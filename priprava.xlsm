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bookViews>
    <workbookView xWindow="-120" yWindow="-120" windowWidth="29040" windowHeight="15840" firstSheet="1" activeTab="1"/>
  </bookViews>
  <sheets>
    <sheet name="debug_data" sheetId="5" r:id="rId1"/>
    <sheet name="tabulka" sheetId="2" r:id="rId2"/>
    <sheet name="prehled" sheetId="3" r:id="rId3"/>
    <sheet name="zajimavosti" sheetId="19" r:id="rId4"/>
    <sheet name="priprava_SKV" sheetId="1" r:id="rId5"/>
    <sheet name="priprava_BA" sheetId="15" r:id="rId6"/>
    <sheet name="priprava_BOH" sheetId="11" r:id="rId7"/>
    <sheet name="priprava_CLP" sheetId="14" r:id="rId8"/>
    <sheet name="priprava_HAT" sheetId="16" r:id="rId9"/>
    <sheet name="priprava_CHO" sheetId="6" r:id="rId10"/>
    <sheet name="priprava_LIB" sheetId="4" r:id="rId11"/>
    <sheet name="priprava_MB" sheetId="8" r:id="rId12"/>
    <sheet name="priprava_OST" sheetId="17" r:id="rId13"/>
    <sheet name="priprava_OTR" sheetId="10" r:id="rId14"/>
    <sheet name="priprava_PAR" sheetId="18" r:id="rId15"/>
    <sheet name="priprava_SPA" sheetId="12" r:id="rId16"/>
    <sheet name="priprava_TAT" sheetId="9" r:id="rId17"/>
    <sheet name="priprava_VIT" sheetId="7" r:id="rId18"/>
  </sheets>
  <externalReferences>
    <externalReference r:id="rId19"/>
  </externalReferences>
  <definedNames>
    <definedName name="BA_bestof" localSheetId="5">priprava_BA!$BT$2:$BU$31</definedName>
    <definedName name="BA_goalies" localSheetId="5">priprava_BA!$S$45:$AD$46</definedName>
    <definedName name="BA_matches" localSheetId="5">priprava_BA!$BY$2:$CA$12</definedName>
    <definedName name="BA_players" localSheetId="5">priprava_BA!$S$2:$AB$24</definedName>
    <definedName name="BOH_bestof" localSheetId="6">priprava_BOH!$BT$2:$BU$31</definedName>
    <definedName name="BOH_goalies" localSheetId="6">priprava_BOH!$S$45:$AD$46</definedName>
    <definedName name="BOH_matches" localSheetId="6">priprava_BOH!$BY$2:$CA$12</definedName>
    <definedName name="BOH_players" localSheetId="6">priprava_BOH!$S$2:$AB$22</definedName>
    <definedName name="CLP_bestof" localSheetId="7">priprava_CLP!$BT$2:$BU$31</definedName>
    <definedName name="CLP_goalies" localSheetId="7">priprava_CLP!$S$45:$AD$46</definedName>
    <definedName name="CLP_matches" localSheetId="7">priprava_CLP!$BY$2:$CA$12</definedName>
    <definedName name="CLP_players" localSheetId="7">priprava_CLP!$S$2:$AB$21</definedName>
    <definedName name="HAT_bestof" localSheetId="8">priprava_HAT!$BT$2:$BU$31</definedName>
    <definedName name="HAT_goalies" localSheetId="8">priprava_HAT!$S$45:$AD$46</definedName>
    <definedName name="HAT_matches" localSheetId="8">priprava_HAT!$BY$2:$CA$12</definedName>
    <definedName name="HAT_players" localSheetId="8">priprava_HAT!$S$2:$AB$21</definedName>
    <definedName name="CHO_bestof" localSheetId="9">priprava_CHO!$BT$2:$BU$31</definedName>
    <definedName name="CHO_goalies" localSheetId="9">priprava_CHO!$S$45:$AD$46</definedName>
    <definedName name="CHO_matches_1" localSheetId="9">priprava_CHO!$BY$2:$CA$12</definedName>
    <definedName name="CHO_players_1" localSheetId="9">priprava_CHO!$S$2:$AB$23</definedName>
    <definedName name="league_table" localSheetId="1">tabulka!$W$2:$AZ$15</definedName>
    <definedName name="LIB_bestof" localSheetId="10">priprava_LIB!$BT$2:$BU$31</definedName>
    <definedName name="LIB_goalies" localSheetId="10">priprava_LIB!$S$45:$AD$47</definedName>
    <definedName name="LIB_matches" localSheetId="10">priprava_LIB!$BY$2:$CA$12</definedName>
    <definedName name="LIB_players" localSheetId="10">priprava_LIB!$S$2:$AB$22</definedName>
    <definedName name="MB_bestof" localSheetId="11">priprava_MB!$BT$2:$BU$31</definedName>
    <definedName name="MB_goalies" localSheetId="11">priprava_MB!$S$45:$AD$46</definedName>
    <definedName name="MB_matches" localSheetId="11">priprava_MB!$BY$2:$CA$12</definedName>
    <definedName name="MB_players" localSheetId="11">priprava_MB!$S$2:$AB$21</definedName>
    <definedName name="_xlnm.Print_Area" localSheetId="2">prehled!$A$1:$R$50</definedName>
    <definedName name="_xlnm.Print_Area" localSheetId="5">priprava_BA!$A$1:$R$50</definedName>
    <definedName name="_xlnm.Print_Area" localSheetId="6">priprava_BOH!$A$1:$R$50</definedName>
    <definedName name="_xlnm.Print_Area" localSheetId="7">priprava_CLP!$A$1:$R$50</definedName>
    <definedName name="_xlnm.Print_Area" localSheetId="8">priprava_HAT!$A$1:$R$50</definedName>
    <definedName name="_xlnm.Print_Area" localSheetId="9">priprava_CHO!$A$1:$R$50</definedName>
    <definedName name="_xlnm.Print_Area" localSheetId="10">priprava_LIB!$A$1:$R$50</definedName>
    <definedName name="_xlnm.Print_Area" localSheetId="11">priprava_MB!$A$1:$R$50</definedName>
    <definedName name="_xlnm.Print_Area" localSheetId="12">priprava_OST!$A$1:$R$50</definedName>
    <definedName name="_xlnm.Print_Area" localSheetId="13">priprava_OTR!$A$1:$R$50</definedName>
    <definedName name="_xlnm.Print_Area" localSheetId="14">priprava_PAR!$A$1:$R$50</definedName>
    <definedName name="_xlnm.Print_Area" localSheetId="4">priprava_SKV!$A$1:$R$50</definedName>
    <definedName name="_xlnm.Print_Area" localSheetId="15">priprava_SPA!$A$1:$R$50</definedName>
    <definedName name="_xlnm.Print_Area" localSheetId="16">priprava_TAT!$A$1:$R$50</definedName>
    <definedName name="_xlnm.Print_Area" localSheetId="17">priprava_VIT!$A$1:$R$50</definedName>
    <definedName name="_xlnm.Print_Area" localSheetId="1">tabulka!$A$1:$V$15</definedName>
    <definedName name="_xlnm.Print_Area" localSheetId="3">zajimavosti!$A$1:$L$31</definedName>
    <definedName name="OST_bestof" localSheetId="12">priprava_OST!$BT$2:$BU$31</definedName>
    <definedName name="OST_goalies" localSheetId="12">priprava_OST!$S$45:$AD$47</definedName>
    <definedName name="OST_matches" localSheetId="12">priprava_OST!$BY$2:$CA$12</definedName>
    <definedName name="OST_players" localSheetId="12">priprava_OST!$S$2:$AB$23</definedName>
    <definedName name="OTR_bestof" localSheetId="13">priprava_OTR!$BT$2:$BU$31</definedName>
    <definedName name="OTR_goalies" localSheetId="13">priprava_OTR!$S$45:$AD$46</definedName>
    <definedName name="OTR_matches" localSheetId="13">priprava_OTR!$BY$2:$CA$12</definedName>
    <definedName name="OTR_players" localSheetId="13">priprava_OTR!$S$2:$AB$21</definedName>
    <definedName name="PAR_bestof" localSheetId="14">priprava_PAR!$BT$2:$BU$31</definedName>
    <definedName name="PAR_goalies" localSheetId="14">priprava_PAR!$S$45:$AD$46</definedName>
    <definedName name="PAR_matches" localSheetId="14">priprava_PAR!$BY$2:$CA$12</definedName>
    <definedName name="PAR_players" localSheetId="14">priprava_PAR!$S$2:$AB$21</definedName>
    <definedName name="player_names" localSheetId="5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6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7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8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9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0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1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2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3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4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4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5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6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7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4">priprava_SKV!$BT$2:$BU$31</definedName>
    <definedName name="SKV_goalies" localSheetId="4">priprava_SKV!$S$45:$AD$46</definedName>
    <definedName name="SKV_matches" localSheetId="4">priprava_SKV!$BY$2:$CA$12</definedName>
    <definedName name="SKV_players" localSheetId="4">priprava_SKV!$S$2:$AB$22</definedName>
    <definedName name="SPA_bestof" localSheetId="15">priprava_SPA!$BT$2:$BU$31</definedName>
    <definedName name="SPA_goalies" localSheetId="15">priprava_SPA!$S$45:$AD$45</definedName>
    <definedName name="SPA_matches" localSheetId="15">priprava_SPA!$BY$2:$CA$12</definedName>
    <definedName name="SPA_players" localSheetId="15">priprava_SPA!$S$2:$AB$21</definedName>
    <definedName name="TAT_bestof" localSheetId="16">priprava_TAT!$BT$2:$BU$31</definedName>
    <definedName name="TAT_goalies" localSheetId="16">priprava_TAT!$S$45:$AD$46</definedName>
    <definedName name="TAT_matches" localSheetId="16">priprava_TAT!$BY$2:$CA$12</definedName>
    <definedName name="TAT_players" localSheetId="16">priprava_TAT!$S$2:$AB$22</definedName>
    <definedName name="VIT_bestof" localSheetId="17">priprava_VIT!$BT$2:$BU$31</definedName>
    <definedName name="VIT_goalies" localSheetId="17">priprava_VIT!$S$45:$AD$46</definedName>
    <definedName name="VIT_matches" localSheetId="17">priprava_VIT!$BY$2:$CA$12</definedName>
    <definedName name="VIT_players" localSheetId="17">priprava_VIT!$S$2:$AB$21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9" l="1"/>
  <c r="J4" i="19"/>
  <c r="K4" i="19"/>
  <c r="L4" i="19"/>
  <c r="I5" i="19"/>
  <c r="J5" i="19"/>
  <c r="K5" i="19"/>
  <c r="L5" i="19"/>
  <c r="I6" i="19"/>
  <c r="J6" i="19"/>
  <c r="K6" i="19"/>
  <c r="L6" i="19"/>
  <c r="H6" i="19"/>
  <c r="H5" i="19"/>
  <c r="H4" i="19"/>
  <c r="C4" i="19"/>
  <c r="D4" i="19"/>
  <c r="E4" i="19"/>
  <c r="F4" i="19"/>
  <c r="C5" i="19"/>
  <c r="D5" i="19"/>
  <c r="E5" i="19"/>
  <c r="F5" i="19"/>
  <c r="C6" i="19"/>
  <c r="D6" i="19"/>
  <c r="E6" i="19"/>
  <c r="F6" i="19"/>
  <c r="B6" i="19"/>
  <c r="B5" i="19"/>
  <c r="B4" i="19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N39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E18" i="4"/>
  <c r="F20" i="4"/>
  <c r="D20" i="4"/>
  <c r="A20" i="4"/>
  <c r="Q44" i="1"/>
  <c r="N44" i="1"/>
  <c r="J44" i="1"/>
  <c r="N43" i="1"/>
  <c r="K43" i="1"/>
  <c r="J43" i="1"/>
  <c r="Q40" i="1"/>
  <c r="N40" i="1"/>
  <c r="J40" i="1"/>
  <c r="N39" i="1"/>
  <c r="K39" i="1"/>
  <c r="J39" i="1"/>
  <c r="Q36" i="1"/>
  <c r="N36" i="1"/>
  <c r="J36" i="1"/>
  <c r="A20" i="1"/>
  <c r="F20" i="1"/>
  <c r="D20" i="1"/>
  <c r="E18" i="1"/>
  <c r="G12" i="19"/>
  <c r="A15" i="19"/>
  <c r="G10" i="19"/>
  <c r="G22" i="19"/>
  <c r="G9" i="19"/>
  <c r="A12" i="19"/>
  <c r="G20" i="19"/>
  <c r="A22" i="19"/>
  <c r="A10" i="19"/>
  <c r="G19" i="19"/>
  <c r="A20" i="19"/>
  <c r="A9" i="19"/>
  <c r="G17" i="19"/>
  <c r="A19" i="19"/>
  <c r="A14" i="19"/>
  <c r="G15" i="19"/>
  <c r="A18" i="19"/>
  <c r="G14" i="19"/>
  <c r="A17" i="19"/>
  <c r="G1" i="19" l="1"/>
  <c r="G4" i="19" s="1"/>
  <c r="A1" i="19"/>
  <c r="A4" i="19" s="1"/>
  <c r="E22" i="19"/>
  <c r="D10" i="19"/>
  <c r="B10" i="19"/>
  <c r="F20" i="19"/>
  <c r="D19" i="19"/>
  <c r="E18" i="19"/>
  <c r="I22" i="19"/>
  <c r="J22" i="19"/>
  <c r="K22" i="19"/>
  <c r="L22" i="19"/>
  <c r="H9" i="19"/>
  <c r="H19" i="19"/>
  <c r="G23" i="19"/>
  <c r="A30" i="19"/>
  <c r="G11" i="19"/>
  <c r="A31" i="19"/>
  <c r="G29" i="19"/>
  <c r="D20" i="19"/>
  <c r="D14" i="19"/>
  <c r="D9" i="19"/>
  <c r="E17" i="19"/>
  <c r="F19" i="19"/>
  <c r="E19" i="19"/>
  <c r="I14" i="19"/>
  <c r="I20" i="19"/>
  <c r="K17" i="19"/>
  <c r="I10" i="19"/>
  <c r="H12" i="19"/>
  <c r="G26" i="19"/>
  <c r="A24" i="19"/>
  <c r="G24" i="19"/>
  <c r="G16" i="19"/>
  <c r="K20" i="19"/>
  <c r="A8" i="19"/>
  <c r="G25" i="19"/>
  <c r="G18" i="19"/>
  <c r="B9" i="19"/>
  <c r="F14" i="19"/>
  <c r="B17" i="19"/>
  <c r="C12" i="19"/>
  <c r="F17" i="19"/>
  <c r="E10" i="19"/>
  <c r="C22" i="19"/>
  <c r="J20" i="19"/>
  <c r="J14" i="19"/>
  <c r="I17" i="19"/>
  <c r="K14" i="19"/>
  <c r="H14" i="19"/>
  <c r="G8" i="19"/>
  <c r="G31" i="19"/>
  <c r="A11" i="19"/>
  <c r="A26" i="19"/>
  <c r="H10" i="19"/>
  <c r="G21" i="19"/>
  <c r="A29" i="19"/>
  <c r="A27" i="19"/>
  <c r="C10" i="19"/>
  <c r="F9" i="19"/>
  <c r="D18" i="19"/>
  <c r="E14" i="19"/>
  <c r="B14" i="19"/>
  <c r="F12" i="19"/>
  <c r="C15" i="19"/>
  <c r="J17" i="19"/>
  <c r="L20" i="19"/>
  <c r="K10" i="19"/>
  <c r="A25" i="19"/>
  <c r="A16" i="19"/>
  <c r="J19" i="19"/>
  <c r="C14" i="19"/>
  <c r="C19" i="19"/>
  <c r="F22" i="19"/>
  <c r="C17" i="19"/>
  <c r="E9" i="19"/>
  <c r="F18" i="19"/>
  <c r="K9" i="19"/>
  <c r="J9" i="19"/>
  <c r="L9" i="19"/>
  <c r="I9" i="19"/>
  <c r="J10" i="19"/>
  <c r="H15" i="19"/>
  <c r="A13" i="19"/>
  <c r="A23" i="19"/>
  <c r="G27" i="19"/>
  <c r="G13" i="19"/>
  <c r="L14" i="19"/>
  <c r="B15" i="19"/>
  <c r="B22" i="19"/>
  <c r="D17" i="19"/>
  <c r="C18" i="19"/>
  <c r="B19" i="19"/>
  <c r="F10" i="19"/>
  <c r="I12" i="19"/>
  <c r="J12" i="19"/>
  <c r="L12" i="19"/>
  <c r="K12" i="19"/>
  <c r="L10" i="19"/>
  <c r="H20" i="19"/>
  <c r="A21" i="19"/>
  <c r="H17" i="19"/>
  <c r="B18" i="19"/>
  <c r="D22" i="19"/>
  <c r="E12" i="19"/>
  <c r="E20" i="19"/>
  <c r="D15" i="19"/>
  <c r="B12" i="19"/>
  <c r="K15" i="19"/>
  <c r="J15" i="19"/>
  <c r="L15" i="19"/>
  <c r="I15" i="19"/>
  <c r="L17" i="19"/>
  <c r="H22" i="19"/>
  <c r="G30" i="19"/>
  <c r="C20" i="19"/>
  <c r="C9" i="19"/>
  <c r="B20" i="19"/>
  <c r="D12" i="19"/>
  <c r="E15" i="19"/>
  <c r="F15" i="19"/>
  <c r="K19" i="19"/>
  <c r="L19" i="19"/>
  <c r="I19" i="19"/>
  <c r="X15" i="3" l="1"/>
  <c r="AB15" i="3"/>
  <c r="AC15" i="3"/>
  <c r="X16" i="3"/>
  <c r="AB16" i="3"/>
  <c r="AC16" i="3"/>
  <c r="X17" i="3"/>
  <c r="AB17" i="3"/>
  <c r="AC17" i="3"/>
  <c r="X18" i="3"/>
  <c r="AB18" i="3"/>
  <c r="AC18" i="3"/>
  <c r="J29" i="19"/>
  <c r="B30" i="19"/>
  <c r="B31" i="19"/>
  <c r="D26" i="19"/>
  <c r="C26" i="19"/>
  <c r="B27" i="19"/>
  <c r="C27" i="19"/>
  <c r="F16" i="19"/>
  <c r="B11" i="19"/>
  <c r="B8" i="19"/>
  <c r="K31" i="19"/>
  <c r="J16" i="19"/>
  <c r="I13" i="19"/>
  <c r="J23" i="19"/>
  <c r="L26" i="19"/>
  <c r="L11" i="19"/>
  <c r="H11" i="19"/>
  <c r="H18" i="19"/>
  <c r="L29" i="19"/>
  <c r="E30" i="19"/>
  <c r="C30" i="19"/>
  <c r="C11" i="19"/>
  <c r="D11" i="19"/>
  <c r="E11" i="19"/>
  <c r="F11" i="19"/>
  <c r="D27" i="19"/>
  <c r="D21" i="19"/>
  <c r="I30" i="19"/>
  <c r="I16" i="19"/>
  <c r="L13" i="19"/>
  <c r="K24" i="19"/>
  <c r="J25" i="19"/>
  <c r="I11" i="19"/>
  <c r="L8" i="19"/>
  <c r="H26" i="19"/>
  <c r="H25" i="19"/>
  <c r="H23" i="19"/>
  <c r="K29" i="19"/>
  <c r="E31" i="19"/>
  <c r="C29" i="19"/>
  <c r="E21" i="19"/>
  <c r="D23" i="19"/>
  <c r="E23" i="19"/>
  <c r="F23" i="19"/>
  <c r="F21" i="19"/>
  <c r="C24" i="19"/>
  <c r="J30" i="19"/>
  <c r="K13" i="19"/>
  <c r="J24" i="19"/>
  <c r="L23" i="19"/>
  <c r="J27" i="19"/>
  <c r="L21" i="19"/>
  <c r="H8" i="19"/>
  <c r="H13" i="19"/>
  <c r="H29" i="19"/>
  <c r="J11" i="19"/>
  <c r="H27" i="19"/>
  <c r="B26" i="19"/>
  <c r="L24" i="19"/>
  <c r="I29" i="19"/>
  <c r="C31" i="19"/>
  <c r="F29" i="19"/>
  <c r="D24" i="19"/>
  <c r="E24" i="19"/>
  <c r="F24" i="19"/>
  <c r="F13" i="19"/>
  <c r="C23" i="19"/>
  <c r="E13" i="19"/>
  <c r="L31" i="19"/>
  <c r="I24" i="19"/>
  <c r="I23" i="19"/>
  <c r="I25" i="19"/>
  <c r="L27" i="19"/>
  <c r="I8" i="19"/>
  <c r="J31" i="19"/>
  <c r="D30" i="19"/>
  <c r="D29" i="19"/>
  <c r="B25" i="19"/>
  <c r="C25" i="19"/>
  <c r="D25" i="19"/>
  <c r="E25" i="19"/>
  <c r="B13" i="19"/>
  <c r="F8" i="19"/>
  <c r="K30" i="19"/>
  <c r="K23" i="19"/>
  <c r="L25" i="19"/>
  <c r="I26" i="19"/>
  <c r="K11" i="19"/>
  <c r="I27" i="19"/>
  <c r="J8" i="19"/>
  <c r="H24" i="19"/>
  <c r="B16" i="19"/>
  <c r="E16" i="19"/>
  <c r="I18" i="19"/>
  <c r="K26" i="19"/>
  <c r="F30" i="19"/>
  <c r="B29" i="19"/>
  <c r="B23" i="19"/>
  <c r="E26" i="19"/>
  <c r="E27" i="19"/>
  <c r="F25" i="19"/>
  <c r="C13" i="19"/>
  <c r="E8" i="19"/>
  <c r="I31" i="19"/>
  <c r="K25" i="19"/>
  <c r="J21" i="19"/>
  <c r="K16" i="19"/>
  <c r="K27" i="19"/>
  <c r="I21" i="19"/>
  <c r="K8" i="19"/>
  <c r="H16" i="19"/>
  <c r="D31" i="19"/>
  <c r="D16" i="19"/>
  <c r="C8" i="19"/>
  <c r="K18" i="19"/>
  <c r="F31" i="19"/>
  <c r="E29" i="19"/>
  <c r="F27" i="19"/>
  <c r="D13" i="19"/>
  <c r="C21" i="19"/>
  <c r="B21" i="19"/>
  <c r="F26" i="19"/>
  <c r="D8" i="19"/>
  <c r="L30" i="19"/>
  <c r="L18" i="19"/>
  <c r="J26" i="19"/>
  <c r="J13" i="19"/>
  <c r="K21" i="19"/>
  <c r="J18" i="19"/>
  <c r="H31" i="19"/>
  <c r="H21" i="19"/>
  <c r="C16" i="19"/>
  <c r="B24" i="19"/>
  <c r="L16" i="19"/>
  <c r="H30" i="19"/>
  <c r="K45" i="3" l="1"/>
  <c r="O45" i="3"/>
  <c r="P45" i="3"/>
  <c r="K46" i="3"/>
  <c r="O46" i="3"/>
  <c r="P46" i="3"/>
  <c r="K47" i="3"/>
  <c r="O47" i="3"/>
  <c r="P47" i="3"/>
  <c r="K48" i="3"/>
  <c r="O48" i="3"/>
  <c r="P48" i="3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19" i="4"/>
  <c r="AL16" i="4"/>
  <c r="AL23" i="4"/>
  <c r="AL25" i="4"/>
  <c r="AL24" i="4"/>
  <c r="AL22" i="4"/>
  <c r="AL21" i="4"/>
  <c r="AL20" i="4"/>
  <c r="AL18" i="4"/>
  <c r="AL17" i="4"/>
  <c r="AL15" i="4"/>
  <c r="AL14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Y47" i="18"/>
  <c r="AX47" i="18"/>
  <c r="AW47" i="18"/>
  <c r="AV47" i="18"/>
  <c r="AU47" i="18"/>
  <c r="AL47" i="18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Y46" i="18"/>
  <c r="AX46" i="18"/>
  <c r="AW46" i="18"/>
  <c r="AV46" i="18"/>
  <c r="AU46" i="18"/>
  <c r="AL46" i="18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Y41" i="18"/>
  <c r="AX41" i="18"/>
  <c r="AW41" i="18"/>
  <c r="AV41" i="18"/>
  <c r="AU41" i="18"/>
  <c r="AL41" i="18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Y36" i="18"/>
  <c r="AX36" i="18"/>
  <c r="AV36" i="18"/>
  <c r="AU36" i="18"/>
  <c r="AL36" i="18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Y33" i="18"/>
  <c r="AX33" i="18"/>
  <c r="AV33" i="18"/>
  <c r="AU33" i="18"/>
  <c r="AL33" i="18"/>
  <c r="AC33" i="18"/>
  <c r="BF32" i="18"/>
  <c r="BD32" i="18"/>
  <c r="AY32" i="18"/>
  <c r="AX32" i="18"/>
  <c r="AV32" i="18"/>
  <c r="AU32" i="18"/>
  <c r="AL32" i="18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Y14" i="18" s="1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Y9" i="18" s="1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Y47" i="17"/>
  <c r="AX47" i="17"/>
  <c r="AW47" i="17"/>
  <c r="AV47" i="17"/>
  <c r="AU47" i="17"/>
  <c r="AL47" i="17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Y45" i="17"/>
  <c r="AX45" i="17"/>
  <c r="AW45" i="17"/>
  <c r="AV45" i="17"/>
  <c r="AU45" i="17"/>
  <c r="AL45" i="17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Y44" i="17"/>
  <c r="AX44" i="17"/>
  <c r="AW44" i="17"/>
  <c r="AV44" i="17"/>
  <c r="AU44" i="17"/>
  <c r="AL44" i="17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Y43" i="17"/>
  <c r="AX43" i="17"/>
  <c r="AW43" i="17"/>
  <c r="AV43" i="17"/>
  <c r="AU43" i="17"/>
  <c r="AL43" i="17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Y42" i="17"/>
  <c r="AX42" i="17"/>
  <c r="AW42" i="17"/>
  <c r="AV42" i="17"/>
  <c r="AU42" i="17"/>
  <c r="AL42" i="17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Y30" i="17"/>
  <c r="AX30" i="17"/>
  <c r="AV30" i="17"/>
  <c r="AU30" i="17"/>
  <c r="AL30" i="17"/>
  <c r="AC30" i="17"/>
  <c r="P30" i="17"/>
  <c r="M30" i="17"/>
  <c r="H30" i="17"/>
  <c r="D30" i="17"/>
  <c r="A30" i="17"/>
  <c r="BW29" i="17"/>
  <c r="BV29" i="17"/>
  <c r="BF29" i="17"/>
  <c r="BD29" i="17"/>
  <c r="BE29" i="17" s="1"/>
  <c r="AY29" i="17"/>
  <c r="AX29" i="17"/>
  <c r="AV29" i="17"/>
  <c r="AU29" i="17"/>
  <c r="AL29" i="17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Y27" i="17"/>
  <c r="AX27" i="17"/>
  <c r="AV27" i="17"/>
  <c r="AU27" i="17"/>
  <c r="AL27" i="17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Y24" i="17"/>
  <c r="AX24" i="17"/>
  <c r="AV24" i="17"/>
  <c r="AU24" i="17"/>
  <c r="AL24" i="17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Y22" i="17"/>
  <c r="AX22" i="17"/>
  <c r="AV22" i="17"/>
  <c r="AU22" i="17"/>
  <c r="AL22" i="17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Y20" i="17"/>
  <c r="AX20" i="17"/>
  <c r="AV20" i="17"/>
  <c r="AU20" i="17"/>
  <c r="AL20" i="17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Y19" i="17" s="1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Y17" i="17" s="1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Y11" i="17" s="1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Y9" i="17" s="1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Y7" i="17" s="1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Y6" i="17" s="1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Y5" i="17" s="1"/>
  <c r="AC5" i="17"/>
  <c r="J5" i="17"/>
  <c r="G5" i="17"/>
  <c r="BW4" i="17"/>
  <c r="BV4" i="17"/>
  <c r="BR4" i="17"/>
  <c r="BF4" i="17"/>
  <c r="BD4" i="17"/>
  <c r="AX4" i="17"/>
  <c r="AV16" i="17"/>
  <c r="AU16" i="17"/>
  <c r="AL16" i="17"/>
  <c r="AY4" i="17" s="1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Y3" i="17" s="1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Y41" i="16"/>
  <c r="AX41" i="16"/>
  <c r="AW41" i="16"/>
  <c r="AV41" i="16"/>
  <c r="AU41" i="16"/>
  <c r="AL41" i="16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Y38" i="16"/>
  <c r="AX38" i="16"/>
  <c r="AW38" i="16"/>
  <c r="AV38" i="16"/>
  <c r="AU38" i="16"/>
  <c r="AL38" i="16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Y32" i="16"/>
  <c r="AX32" i="16"/>
  <c r="AV32" i="16"/>
  <c r="AU32" i="16"/>
  <c r="AL32" i="16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Y29" i="16"/>
  <c r="AX29" i="16"/>
  <c r="AV29" i="16"/>
  <c r="AU29" i="16"/>
  <c r="AL29" i="16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Y25" i="16"/>
  <c r="AX25" i="16"/>
  <c r="AV25" i="16"/>
  <c r="AU25" i="16"/>
  <c r="AL25" i="16"/>
  <c r="AC25" i="16"/>
  <c r="P25" i="16"/>
  <c r="M25" i="16"/>
  <c r="L25" i="16"/>
  <c r="K25" i="16"/>
  <c r="D25" i="16"/>
  <c r="A25" i="16"/>
  <c r="BW24" i="16"/>
  <c r="BV24" i="16"/>
  <c r="BF24" i="16"/>
  <c r="BD24" i="16"/>
  <c r="AY24" i="16"/>
  <c r="AX24" i="16"/>
  <c r="AV24" i="16"/>
  <c r="AU24" i="16"/>
  <c r="AL24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Y17" i="16" s="1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Y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Y12" i="16" s="1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Y11" i="16" s="1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Y7" i="16" s="1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Y6" i="16" s="1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Y5" i="16" s="1"/>
  <c r="D3" i="16" s="1"/>
  <c r="AC5" i="16"/>
  <c r="J5" i="16"/>
  <c r="G5" i="16"/>
  <c r="BW4" i="16"/>
  <c r="BV4" i="16"/>
  <c r="BR4" i="16"/>
  <c r="BF4" i="16"/>
  <c r="BD4" i="16"/>
  <c r="AY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Y3" i="16" s="1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Y46" i="15"/>
  <c r="AX46" i="15"/>
  <c r="AW46" i="15"/>
  <c r="AV46" i="15"/>
  <c r="AU46" i="15"/>
  <c r="AL46" i="15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Y42" i="15"/>
  <c r="AX42" i="15"/>
  <c r="AW42" i="15"/>
  <c r="AV42" i="15"/>
  <c r="AU42" i="15"/>
  <c r="AL42" i="15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Y39" i="15"/>
  <c r="AX39" i="15"/>
  <c r="AW39" i="15"/>
  <c r="AV39" i="15"/>
  <c r="AU39" i="15"/>
  <c r="AL39" i="15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Y38" i="15"/>
  <c r="AX38" i="15"/>
  <c r="AW38" i="15"/>
  <c r="AV38" i="15"/>
  <c r="AU38" i="15"/>
  <c r="AL38" i="15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Y33" i="15"/>
  <c r="AX33" i="15"/>
  <c r="AV33" i="15"/>
  <c r="AU33" i="15"/>
  <c r="AL33" i="15"/>
  <c r="AC33" i="15"/>
  <c r="BF32" i="15"/>
  <c r="BD32" i="15"/>
  <c r="AY32" i="15"/>
  <c r="AX32" i="15"/>
  <c r="AV32" i="15"/>
  <c r="AU32" i="15"/>
  <c r="AL32" i="15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Y30" i="15"/>
  <c r="AX30" i="15"/>
  <c r="AV30" i="15"/>
  <c r="AU30" i="15"/>
  <c r="AL30" i="15"/>
  <c r="AC30" i="15"/>
  <c r="P30" i="15"/>
  <c r="M30" i="15"/>
  <c r="H30" i="15"/>
  <c r="D30" i="15"/>
  <c r="A30" i="15"/>
  <c r="BW29" i="15"/>
  <c r="BV29" i="15"/>
  <c r="BF29" i="15"/>
  <c r="BD29" i="15"/>
  <c r="AY29" i="15"/>
  <c r="AX29" i="15"/>
  <c r="AV29" i="15"/>
  <c r="AU29" i="15"/>
  <c r="AL29" i="15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Y24" i="15"/>
  <c r="AX24" i="15"/>
  <c r="AV24" i="15"/>
  <c r="AU24" i="15"/>
  <c r="AL24" i="15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Y23" i="15"/>
  <c r="AX23" i="15"/>
  <c r="AV23" i="15"/>
  <c r="AU23" i="15"/>
  <c r="AL23" i="15"/>
  <c r="AC23" i="15"/>
  <c r="R23" i="15"/>
  <c r="Q23" i="15"/>
  <c r="F23" i="15"/>
  <c r="E23" i="15"/>
  <c r="BW22" i="15"/>
  <c r="BV22" i="15"/>
  <c r="BF22" i="15"/>
  <c r="BD22" i="15"/>
  <c r="AY22" i="15"/>
  <c r="AX22" i="15"/>
  <c r="AV22" i="15"/>
  <c r="AU22" i="15"/>
  <c r="AL22" i="15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Y20" i="15" s="1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Y11" i="15" s="1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BE4" i="15" s="1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Y5" i="15" s="1"/>
  <c r="AC5" i="15"/>
  <c r="J5" i="15"/>
  <c r="G5" i="15"/>
  <c r="BW4" i="15"/>
  <c r="BV4" i="15"/>
  <c r="BR4" i="15"/>
  <c r="BF4" i="15"/>
  <c r="BD4" i="15"/>
  <c r="AX4" i="15"/>
  <c r="AV6" i="15"/>
  <c r="AU6" i="15"/>
  <c r="AL6" i="15"/>
  <c r="AY4" i="15" s="1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Y2" i="15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Y47" i="14"/>
  <c r="AX47" i="14"/>
  <c r="AW47" i="14"/>
  <c r="AV47" i="14"/>
  <c r="AU47" i="14"/>
  <c r="AL47" i="14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Y44" i="14"/>
  <c r="AX44" i="14"/>
  <c r="AW44" i="14"/>
  <c r="AV44" i="14"/>
  <c r="AU44" i="14"/>
  <c r="AL44" i="14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E41" i="14"/>
  <c r="BG41" i="14" s="1"/>
  <c r="BH41" i="14" s="1"/>
  <c r="BI41" i="14" s="1"/>
  <c r="BJ41" i="14" s="1"/>
  <c r="BK41" i="14" s="1"/>
  <c r="BL41" i="14" s="1"/>
  <c r="BM41" i="14" s="1"/>
  <c r="BD41" i="14"/>
  <c r="AY41" i="14"/>
  <c r="AX41" i="14"/>
  <c r="AW41" i="14"/>
  <c r="AV41" i="14"/>
  <c r="AU41" i="14"/>
  <c r="AL41" i="14"/>
  <c r="AC41" i="14"/>
  <c r="E41" i="14"/>
  <c r="D41" i="14"/>
  <c r="B41" i="14"/>
  <c r="A41" i="14"/>
  <c r="BF40" i="14"/>
  <c r="BE40" i="14"/>
  <c r="BG40" i="14" s="1"/>
  <c r="BH40" i="14" s="1"/>
  <c r="BI40" i="14" s="1"/>
  <c r="BJ40" i="14" s="1"/>
  <c r="BK40" i="14" s="1"/>
  <c r="BL40" i="14" s="1"/>
  <c r="BM40" i="14" s="1"/>
  <c r="BD40" i="14"/>
  <c r="AX40" i="14"/>
  <c r="AW40" i="14"/>
  <c r="AV40" i="14"/>
  <c r="AU40" i="14"/>
  <c r="AL40" i="14"/>
  <c r="AY40" i="14" s="1"/>
  <c r="AC40" i="14"/>
  <c r="F40" i="14"/>
  <c r="E40" i="14"/>
  <c r="BF39" i="14"/>
  <c r="BE39" i="14"/>
  <c r="BG39" i="14" s="1"/>
  <c r="BH39" i="14" s="1"/>
  <c r="BI39" i="14" s="1"/>
  <c r="BJ39" i="14" s="1"/>
  <c r="BK39" i="14" s="1"/>
  <c r="BL39" i="14" s="1"/>
  <c r="BM39" i="14" s="1"/>
  <c r="BD39" i="14"/>
  <c r="AY39" i="14"/>
  <c r="AX39" i="14"/>
  <c r="AW39" i="14"/>
  <c r="AV39" i="14"/>
  <c r="AU39" i="14"/>
  <c r="AL39" i="14"/>
  <c r="AC39" i="14"/>
  <c r="BF38" i="14"/>
  <c r="BE38" i="14"/>
  <c r="BG38" i="14" s="1"/>
  <c r="BH38" i="14" s="1"/>
  <c r="BI38" i="14" s="1"/>
  <c r="BJ38" i="14" s="1"/>
  <c r="BK38" i="14" s="1"/>
  <c r="BL38" i="14" s="1"/>
  <c r="BM38" i="14" s="1"/>
  <c r="BD38" i="14"/>
  <c r="AY38" i="14"/>
  <c r="AX38" i="14"/>
  <c r="AW38" i="14"/>
  <c r="AV38" i="14"/>
  <c r="AU38" i="14"/>
  <c r="AL38" i="14"/>
  <c r="AC38" i="14"/>
  <c r="R38" i="14"/>
  <c r="Q38" i="14"/>
  <c r="F38" i="14"/>
  <c r="D38" i="14"/>
  <c r="A38" i="14"/>
  <c r="BF37" i="14"/>
  <c r="BE37" i="14"/>
  <c r="BG37" i="14" s="1"/>
  <c r="BH37" i="14" s="1"/>
  <c r="BI37" i="14" s="1"/>
  <c r="BJ37" i="14" s="1"/>
  <c r="BK37" i="14" s="1"/>
  <c r="BL37" i="14" s="1"/>
  <c r="BM37" i="14" s="1"/>
  <c r="BD37" i="14"/>
  <c r="AY37" i="14"/>
  <c r="AX37" i="14"/>
  <c r="AW37" i="14"/>
  <c r="AV37" i="14"/>
  <c r="AU37" i="14"/>
  <c r="AL37" i="14"/>
  <c r="AC37" i="14"/>
  <c r="E37" i="14"/>
  <c r="C37" i="14"/>
  <c r="A37" i="14"/>
  <c r="BF36" i="14"/>
  <c r="BD36" i="14"/>
  <c r="BE36" i="14" s="1"/>
  <c r="AX36" i="14"/>
  <c r="AV36" i="14"/>
  <c r="AU36" i="14"/>
  <c r="AL36" i="14"/>
  <c r="AY36" i="14" s="1"/>
  <c r="AC36" i="14"/>
  <c r="F36" i="14"/>
  <c r="D36" i="14"/>
  <c r="B36" i="14"/>
  <c r="A36" i="14"/>
  <c r="BF35" i="14"/>
  <c r="BD35" i="14"/>
  <c r="BE35" i="14" s="1"/>
  <c r="AX35" i="14"/>
  <c r="AV35" i="14"/>
  <c r="AU35" i="14"/>
  <c r="AL35" i="14"/>
  <c r="AY35" i="14" s="1"/>
  <c r="AC35" i="14"/>
  <c r="N35" i="14"/>
  <c r="M35" i="14"/>
  <c r="K35" i="14"/>
  <c r="J35" i="14"/>
  <c r="E35" i="14"/>
  <c r="D35" i="14"/>
  <c r="B35" i="14"/>
  <c r="A35" i="14"/>
  <c r="BF34" i="14"/>
  <c r="BD34" i="14"/>
  <c r="BE34" i="14" s="1"/>
  <c r="AX34" i="14"/>
  <c r="AV34" i="14"/>
  <c r="AU34" i="14"/>
  <c r="AL34" i="14"/>
  <c r="AY34" i="14" s="1"/>
  <c r="AC34" i="14"/>
  <c r="F34" i="14"/>
  <c r="E34" i="14"/>
  <c r="BF33" i="14"/>
  <c r="BD33" i="14"/>
  <c r="AY33" i="14"/>
  <c r="AX33" i="14"/>
  <c r="AV33" i="14"/>
  <c r="AU33" i="14"/>
  <c r="AL33" i="14"/>
  <c r="AC33" i="14"/>
  <c r="BF32" i="14"/>
  <c r="BD32" i="14"/>
  <c r="AY32" i="14"/>
  <c r="AX32" i="14"/>
  <c r="AV32" i="14"/>
  <c r="AU32" i="14"/>
  <c r="AL32" i="14"/>
  <c r="AC32" i="14"/>
  <c r="BW31" i="14"/>
  <c r="BV31" i="14"/>
  <c r="BF31" i="14"/>
  <c r="BD31" i="14"/>
  <c r="BE31" i="14" s="1"/>
  <c r="AX31" i="14"/>
  <c r="AV31" i="14"/>
  <c r="AU31" i="14"/>
  <c r="AL31" i="14"/>
  <c r="AY31" i="14" s="1"/>
  <c r="AC31" i="14"/>
  <c r="R31" i="14"/>
  <c r="P31" i="14"/>
  <c r="M31" i="14"/>
  <c r="F31" i="14"/>
  <c r="D31" i="14"/>
  <c r="A31" i="14"/>
  <c r="BW30" i="14"/>
  <c r="BV30" i="14"/>
  <c r="BF30" i="14"/>
  <c r="BD30" i="14"/>
  <c r="BE30" i="14" s="1"/>
  <c r="AX30" i="14"/>
  <c r="AV30" i="14"/>
  <c r="AU30" i="14"/>
  <c r="AL30" i="14"/>
  <c r="AY30" i="14" s="1"/>
  <c r="AC30" i="14"/>
  <c r="P30" i="14"/>
  <c r="M30" i="14"/>
  <c r="H30" i="14"/>
  <c r="D30" i="14"/>
  <c r="A30" i="14"/>
  <c r="BW29" i="14"/>
  <c r="BV29" i="14"/>
  <c r="BF29" i="14"/>
  <c r="BD29" i="14"/>
  <c r="AY29" i="14"/>
  <c r="AX29" i="14"/>
  <c r="AV29" i="14"/>
  <c r="AU29" i="14"/>
  <c r="AL29" i="14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28" i="14"/>
  <c r="AU28" i="14"/>
  <c r="AL28" i="14"/>
  <c r="AY28" i="14" s="1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27" i="14"/>
  <c r="AU27" i="14"/>
  <c r="AL27" i="14"/>
  <c r="AY27" i="14" s="1"/>
  <c r="AC27" i="14"/>
  <c r="J27" i="14"/>
  <c r="G27" i="14"/>
  <c r="BW26" i="14"/>
  <c r="BV26" i="14"/>
  <c r="BF26" i="14"/>
  <c r="BD26" i="14"/>
  <c r="AY26" i="14"/>
  <c r="AX26" i="14"/>
  <c r="AV26" i="14"/>
  <c r="AU26" i="14"/>
  <c r="AL26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5" i="14"/>
  <c r="AU25" i="14"/>
  <c r="AL25" i="14"/>
  <c r="AY25" i="14" s="1"/>
  <c r="AC25" i="14"/>
  <c r="P25" i="14"/>
  <c r="M25" i="14"/>
  <c r="L25" i="14"/>
  <c r="K25" i="14"/>
  <c r="D25" i="14"/>
  <c r="A25" i="14"/>
  <c r="BW24" i="14"/>
  <c r="BV24" i="14"/>
  <c r="BF24" i="14"/>
  <c r="BD24" i="14"/>
  <c r="AY24" i="14"/>
  <c r="AX24" i="14"/>
  <c r="AV24" i="14"/>
  <c r="AU24" i="14"/>
  <c r="AL24" i="14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3" i="14"/>
  <c r="AU23" i="14"/>
  <c r="AL23" i="14"/>
  <c r="AY23" i="14" s="1"/>
  <c r="AC23" i="14"/>
  <c r="R23" i="14"/>
  <c r="Q23" i="14"/>
  <c r="F23" i="14"/>
  <c r="E23" i="14"/>
  <c r="BW22" i="14"/>
  <c r="BV22" i="14"/>
  <c r="BF22" i="14"/>
  <c r="BD22" i="14"/>
  <c r="AX22" i="14"/>
  <c r="AV22" i="14"/>
  <c r="AU22" i="14"/>
  <c r="AL22" i="14"/>
  <c r="AY22" i="14" s="1"/>
  <c r="AC22" i="14"/>
  <c r="BW21" i="14"/>
  <c r="BV21" i="14"/>
  <c r="BF21" i="14"/>
  <c r="BD21" i="14"/>
  <c r="AX21" i="14"/>
  <c r="AV21" i="14"/>
  <c r="AU21" i="14"/>
  <c r="AL21" i="14"/>
  <c r="AY21" i="14" s="1"/>
  <c r="AC21" i="14"/>
  <c r="BW20" i="14"/>
  <c r="BV20" i="14"/>
  <c r="BF20" i="14"/>
  <c r="BD20" i="14"/>
  <c r="AY20" i="14"/>
  <c r="AX20" i="14"/>
  <c r="AV20" i="14"/>
  <c r="AU20" i="14"/>
  <c r="AL20" i="14"/>
  <c r="AC20" i="14"/>
  <c r="R20" i="14"/>
  <c r="P20" i="14"/>
  <c r="M20" i="14"/>
  <c r="BW19" i="14"/>
  <c r="BV19" i="14"/>
  <c r="BF19" i="14"/>
  <c r="BD19" i="14"/>
  <c r="AX19" i="14"/>
  <c r="AV19" i="14"/>
  <c r="AU19" i="14"/>
  <c r="AL19" i="14"/>
  <c r="AY19" i="14" s="1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Y18" i="14" s="1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Y17" i="14" s="1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Y16" i="14" s="1"/>
  <c r="AC16" i="14"/>
  <c r="J16" i="14"/>
  <c r="G16" i="14"/>
  <c r="BW15" i="14"/>
  <c r="BV15" i="14"/>
  <c r="BF15" i="14"/>
  <c r="BD15" i="14"/>
  <c r="AX15" i="14"/>
  <c r="AV15" i="14"/>
  <c r="AU15" i="14"/>
  <c r="AL15" i="14"/>
  <c r="AY15" i="14" s="1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Y14" i="14" s="1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13" i="14"/>
  <c r="AU13" i="14"/>
  <c r="AL13" i="14"/>
  <c r="AY13" i="14" s="1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2" i="14"/>
  <c r="AU12" i="14"/>
  <c r="AL12" i="14"/>
  <c r="AY12" i="14" s="1"/>
  <c r="AC12" i="14"/>
  <c r="R12" i="14"/>
  <c r="Q12" i="14"/>
  <c r="F12" i="14"/>
  <c r="E12" i="14"/>
  <c r="BW11" i="14"/>
  <c r="BV11" i="14"/>
  <c r="BR11" i="14"/>
  <c r="BF11" i="14"/>
  <c r="BD11" i="14"/>
  <c r="AX11" i="14"/>
  <c r="AV11" i="14"/>
  <c r="AU11" i="14"/>
  <c r="AL11" i="14"/>
  <c r="AY11" i="14" s="1"/>
  <c r="AC11" i="14"/>
  <c r="BW10" i="14"/>
  <c r="BV10" i="14"/>
  <c r="BR10" i="14"/>
  <c r="BF10" i="14"/>
  <c r="BD10" i="14"/>
  <c r="AY10" i="14"/>
  <c r="AX10" i="14"/>
  <c r="AV10" i="14"/>
  <c r="AU10" i="14"/>
  <c r="AL10" i="14"/>
  <c r="AC10" i="14"/>
  <c r="BW9" i="14"/>
  <c r="BV9" i="14"/>
  <c r="BR9" i="14"/>
  <c r="BF9" i="14"/>
  <c r="BD9" i="14"/>
  <c r="AX9" i="14"/>
  <c r="AV9" i="14"/>
  <c r="AU9" i="14"/>
  <c r="AL9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8" i="14"/>
  <c r="AU8" i="14"/>
  <c r="AL8" i="14"/>
  <c r="AY8" i="14" s="1"/>
  <c r="AC8" i="14"/>
  <c r="P8" i="14"/>
  <c r="M8" i="14"/>
  <c r="D8" i="14"/>
  <c r="A8" i="14"/>
  <c r="BW7" i="14"/>
  <c r="BV7" i="14"/>
  <c r="BR7" i="14"/>
  <c r="BF7" i="14"/>
  <c r="BD7" i="14"/>
  <c r="AY7" i="14"/>
  <c r="AX7" i="14"/>
  <c r="AV7" i="14"/>
  <c r="AU7" i="14"/>
  <c r="AL7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Y6" i="14" s="1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Y5" i="14" s="1"/>
  <c r="AC5" i="14"/>
  <c r="J5" i="14"/>
  <c r="G5" i="14"/>
  <c r="BW4" i="14"/>
  <c r="BV4" i="14"/>
  <c r="BR4" i="14"/>
  <c r="BF4" i="14"/>
  <c r="BD4" i="14"/>
  <c r="BE4" i="14" s="1"/>
  <c r="AX4" i="14"/>
  <c r="AV4" i="14"/>
  <c r="AU4" i="14"/>
  <c r="AL4" i="14"/>
  <c r="AY4" i="14" s="1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2" i="14"/>
  <c r="AU2" i="14"/>
  <c r="AL2" i="14"/>
  <c r="AY2" i="14" s="1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12" i="18" l="1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G4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AW34" i="14"/>
  <c r="BG35" i="14"/>
  <c r="BH35" i="14" s="1"/>
  <c r="BI35" i="14" s="1"/>
  <c r="BJ35" i="14" s="1"/>
  <c r="BK35" i="14" s="1"/>
  <c r="BL35" i="14" s="1"/>
  <c r="BM35" i="14" s="1"/>
  <c r="AW35" i="14"/>
  <c r="BG36" i="14"/>
  <c r="BH36" i="14" s="1"/>
  <c r="BI36" i="14" s="1"/>
  <c r="BJ36" i="14" s="1"/>
  <c r="BK36" i="14" s="1"/>
  <c r="BL36" i="14" s="1"/>
  <c r="BM36" i="14" s="1"/>
  <c r="AW36" i="14"/>
  <c r="BG31" i="14"/>
  <c r="BH31" i="14" s="1"/>
  <c r="BI31" i="14" s="1"/>
  <c r="BJ31" i="14" s="1"/>
  <c r="BK31" i="14" s="1"/>
  <c r="BL31" i="14" s="1"/>
  <c r="BM31" i="14" s="1"/>
  <c r="AW31" i="14"/>
  <c r="BG30" i="14"/>
  <c r="BH30" i="14" s="1"/>
  <c r="BI30" i="14" s="1"/>
  <c r="BJ30" i="14" s="1"/>
  <c r="BK30" i="14" s="1"/>
  <c r="BL30" i="14" s="1"/>
  <c r="BM30" i="14" s="1"/>
  <c r="AW30" i="14"/>
  <c r="BE14" i="14"/>
  <c r="AW14" i="14" s="1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AW21" i="14" s="1"/>
  <c r="BE2" i="14"/>
  <c r="AW2" i="14" s="1"/>
  <c r="BE3" i="14"/>
  <c r="AW3" i="14" s="1"/>
  <c r="BE5" i="14"/>
  <c r="BG5" i="14" s="1"/>
  <c r="BE10" i="14"/>
  <c r="AW10" i="14" s="1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AW7" i="14" s="1"/>
  <c r="BE23" i="14"/>
  <c r="AW23" i="14" s="1"/>
  <c r="BE27" i="14"/>
  <c r="AW27" i="14" s="1"/>
  <c r="BE28" i="14"/>
  <c r="AW28" i="14" s="1"/>
  <c r="BE6" i="14"/>
  <c r="BE13" i="14"/>
  <c r="BE22" i="14"/>
  <c r="BE26" i="14"/>
  <c r="BE18" i="14"/>
  <c r="BG4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Y47" i="12"/>
  <c r="AX47" i="12"/>
  <c r="AW47" i="12"/>
  <c r="AV47" i="12"/>
  <c r="AU47" i="12"/>
  <c r="AL47" i="12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Y44" i="12"/>
  <c r="AX44" i="12"/>
  <c r="AW44" i="12"/>
  <c r="AV44" i="12"/>
  <c r="AU44" i="12"/>
  <c r="AL44" i="12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Y43" i="12"/>
  <c r="AX43" i="12"/>
  <c r="AW43" i="12"/>
  <c r="AV43" i="12"/>
  <c r="AU43" i="12"/>
  <c r="AL43" i="12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Y42" i="12"/>
  <c r="AX42" i="12"/>
  <c r="AW42" i="12"/>
  <c r="AV42" i="12"/>
  <c r="AU42" i="12"/>
  <c r="AL42" i="12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Y38" i="12"/>
  <c r="AX38" i="12"/>
  <c r="AW38" i="12"/>
  <c r="AV38" i="12"/>
  <c r="AU38" i="12"/>
  <c r="AL38" i="12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Y33" i="12"/>
  <c r="AX33" i="12"/>
  <c r="AW33" i="12"/>
  <c r="AV33" i="12"/>
  <c r="AU33" i="12"/>
  <c r="AL33" i="12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Y23" i="12"/>
  <c r="AX23" i="12"/>
  <c r="AV23" i="12"/>
  <c r="AU23" i="12"/>
  <c r="AL23" i="12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Y38" i="11"/>
  <c r="AX38" i="11"/>
  <c r="AW38" i="11"/>
  <c r="AV38" i="11"/>
  <c r="AU38" i="11"/>
  <c r="AL38" i="1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Y37" i="11"/>
  <c r="AX37" i="11"/>
  <c r="AW37" i="11"/>
  <c r="AV37" i="11"/>
  <c r="AU37" i="11"/>
  <c r="AL37" i="11"/>
  <c r="AC37" i="11"/>
  <c r="E37" i="11"/>
  <c r="C37" i="11"/>
  <c r="A37" i="11"/>
  <c r="BF36" i="11"/>
  <c r="BD36" i="11"/>
  <c r="BE36" i="11" s="1"/>
  <c r="AY36" i="11"/>
  <c r="AX36" i="11"/>
  <c r="AV36" i="11"/>
  <c r="AU36" i="11"/>
  <c r="AL36" i="11"/>
  <c r="AC36" i="11"/>
  <c r="F36" i="11"/>
  <c r="D36" i="11"/>
  <c r="B36" i="11"/>
  <c r="A36" i="11"/>
  <c r="BF35" i="11"/>
  <c r="BD35" i="11"/>
  <c r="AY35" i="11"/>
  <c r="AX35" i="11"/>
  <c r="AV35" i="11"/>
  <c r="AU35" i="11"/>
  <c r="AL35" i="1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Y31" i="11"/>
  <c r="AX31" i="11"/>
  <c r="AV31" i="11"/>
  <c r="AU31" i="11"/>
  <c r="AL31" i="11"/>
  <c r="AC31" i="11"/>
  <c r="R31" i="11"/>
  <c r="P31" i="11"/>
  <c r="M31" i="11"/>
  <c r="F31" i="11"/>
  <c r="D31" i="11"/>
  <c r="A31" i="11"/>
  <c r="BW30" i="11"/>
  <c r="BV30" i="11"/>
  <c r="BF30" i="11"/>
  <c r="BD30" i="11"/>
  <c r="AY30" i="11"/>
  <c r="AX30" i="11"/>
  <c r="AV30" i="11"/>
  <c r="AU30" i="11"/>
  <c r="AL30" i="1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Y13" i="11"/>
  <c r="AX13" i="11"/>
  <c r="AV13" i="11"/>
  <c r="AU13" i="11"/>
  <c r="AL13" i="1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BE4" i="11" s="1"/>
  <c r="AW4" i="11" s="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L7" i="6"/>
  <c r="AL8" i="6"/>
  <c r="AY8" i="6" s="1"/>
  <c r="AL9" i="6"/>
  <c r="AL10" i="6"/>
  <c r="AY10" i="6" s="1"/>
  <c r="AL11" i="6"/>
  <c r="AL12" i="6"/>
  <c r="AY12" i="6" s="1"/>
  <c r="AL13" i="6"/>
  <c r="AL14" i="6"/>
  <c r="AL15" i="6"/>
  <c r="AL16" i="6"/>
  <c r="AY16" i="6" s="1"/>
  <c r="AL17" i="6"/>
  <c r="AL18" i="6"/>
  <c r="AL19" i="6"/>
  <c r="AL20" i="6"/>
  <c r="AY20" i="6" s="1"/>
  <c r="AL21" i="6"/>
  <c r="AL22" i="6"/>
  <c r="AL23" i="6"/>
  <c r="AL24" i="6"/>
  <c r="AY24" i="6" s="1"/>
  <c r="AL25" i="6"/>
  <c r="AL26" i="6"/>
  <c r="AL27" i="6"/>
  <c r="AL28" i="6"/>
  <c r="AY28" i="6" s="1"/>
  <c r="AL29" i="6"/>
  <c r="AL30" i="6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L8" i="9"/>
  <c r="AL9" i="9"/>
  <c r="AL10" i="9"/>
  <c r="AY10" i="9" s="1"/>
  <c r="AL11" i="9"/>
  <c r="AL12" i="9"/>
  <c r="AY12" i="9" s="1"/>
  <c r="AL13" i="9"/>
  <c r="AL14" i="9"/>
  <c r="AL15" i="9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L28" i="9"/>
  <c r="AY28" i="9" s="1"/>
  <c r="AL29" i="9"/>
  <c r="AL30" i="9"/>
  <c r="AL31" i="9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Y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Y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Y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Y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Y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Y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Y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Y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AY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Y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I8" i="5"/>
  <c r="B3" i="5"/>
  <c r="B8" i="5"/>
  <c r="E8" i="5"/>
  <c r="N8" i="5"/>
  <c r="K8" i="5"/>
  <c r="L8" i="5"/>
  <c r="D8" i="5"/>
  <c r="C8" i="5"/>
  <c r="J8" i="5"/>
  <c r="O8" i="5"/>
  <c r="G8" i="5"/>
  <c r="M8" i="5"/>
  <c r="F8" i="5"/>
  <c r="H8" i="5"/>
  <c r="AW4" i="18" l="1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8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29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2" i="14"/>
  <c r="BG33" i="14"/>
  <c r="BH33" i="14" s="1"/>
  <c r="BI33" i="14" s="1"/>
  <c r="BJ33" i="14" s="1"/>
  <c r="BK33" i="14" s="1"/>
  <c r="BL33" i="14" s="1"/>
  <c r="BM33" i="14" s="1"/>
  <c r="AW33" i="14"/>
  <c r="AW9" i="14"/>
  <c r="BG9" i="14"/>
  <c r="BH9" i="14" s="1"/>
  <c r="BI9" i="14" s="1"/>
  <c r="BJ9" i="14" s="1"/>
  <c r="BK9" i="14" s="1"/>
  <c r="BL9" i="14" s="1"/>
  <c r="BM9" i="14" s="1"/>
  <c r="AW13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19" i="14"/>
  <c r="BG25" i="14"/>
  <c r="BH25" i="14" s="1"/>
  <c r="BI25" i="14" s="1"/>
  <c r="BJ25" i="14" s="1"/>
  <c r="BK25" i="14" s="1"/>
  <c r="BL25" i="14" s="1"/>
  <c r="BM25" i="14" s="1"/>
  <c r="AW25" i="14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20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2" i="14"/>
  <c r="BG12" i="14"/>
  <c r="BH12" i="14" s="1"/>
  <c r="BI12" i="14" s="1"/>
  <c r="BJ12" i="14" s="1"/>
  <c r="BK12" i="14" s="1"/>
  <c r="BL12" i="14" s="1"/>
  <c r="BM12" i="14" s="1"/>
  <c r="AW26" i="14"/>
  <c r="BG26" i="14"/>
  <c r="BH26" i="14" s="1"/>
  <c r="BI26" i="14" s="1"/>
  <c r="BJ26" i="14" s="1"/>
  <c r="BK26" i="14" s="1"/>
  <c r="BL26" i="14" s="1"/>
  <c r="BM26" i="14" s="1"/>
  <c r="AW11" i="14"/>
  <c r="BG11" i="14"/>
  <c r="BH11" i="14" s="1"/>
  <c r="BI11" i="14" s="1"/>
  <c r="BJ11" i="14" s="1"/>
  <c r="BK11" i="14" s="1"/>
  <c r="BL11" i="14" s="1"/>
  <c r="BM11" i="14" s="1"/>
  <c r="AW22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G4" i="11"/>
  <c r="BH4" i="11" s="1"/>
  <c r="BI4" i="11" s="1"/>
  <c r="BJ4" i="11" s="1"/>
  <c r="BK4" i="11" s="1"/>
  <c r="BL4" i="11" s="1"/>
  <c r="BM4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G27" i="6" l="1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0" i="17" l="1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11" i="17" l="1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11" i="17" l="1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L8" i="9" l="1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L6" i="5"/>
  <c r="K4" i="5"/>
  <c r="B6" i="5"/>
  <c r="F4" i="5"/>
  <c r="C6" i="5"/>
  <c r="K6" i="5"/>
  <c r="G4" i="5"/>
  <c r="D4" i="5"/>
  <c r="J4" i="5"/>
  <c r="M4" i="5"/>
  <c r="H4" i="5"/>
  <c r="M6" i="5"/>
  <c r="D6" i="5"/>
  <c r="E6" i="5"/>
  <c r="L4" i="5"/>
  <c r="I4" i="5"/>
  <c r="B4" i="5"/>
  <c r="I6" i="5"/>
  <c r="H6" i="5"/>
  <c r="C4" i="5"/>
  <c r="J6" i="5"/>
  <c r="G6" i="5"/>
  <c r="E4" i="5"/>
  <c r="N4" i="5"/>
  <c r="O6" i="5"/>
  <c r="F6" i="5"/>
  <c r="N6" i="5"/>
  <c r="O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N35" i="4"/>
  <c r="E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Q29" i="4"/>
  <c r="E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26" i="4"/>
  <c r="E41" i="4" s="1"/>
  <c r="AU26" i="4"/>
  <c r="R26" i="4"/>
  <c r="P26" i="4"/>
  <c r="M26" i="4"/>
  <c r="K26" i="4"/>
  <c r="F26" i="4"/>
  <c r="D26" i="4"/>
  <c r="A26" i="4"/>
  <c r="BW25" i="4"/>
  <c r="BV25" i="4"/>
  <c r="BF25" i="4"/>
  <c r="BD25" i="4"/>
  <c r="AY25" i="4"/>
  <c r="P14" i="4" s="1"/>
  <c r="AX25" i="4"/>
  <c r="M14" i="4" s="1"/>
  <c r="AV13" i="4"/>
  <c r="AU13" i="4"/>
  <c r="K25" i="4"/>
  <c r="BW24" i="4"/>
  <c r="BV24" i="4"/>
  <c r="BF24" i="4"/>
  <c r="BD24" i="4"/>
  <c r="AY24" i="4"/>
  <c r="J16" i="4" s="1"/>
  <c r="AX24" i="4"/>
  <c r="G16" i="4" s="1"/>
  <c r="AV19" i="4"/>
  <c r="AU19" i="4"/>
  <c r="Q24" i="4"/>
  <c r="E24" i="4"/>
  <c r="BW23" i="4"/>
  <c r="BV23" i="4"/>
  <c r="BF23" i="4"/>
  <c r="BD23" i="4"/>
  <c r="AY23" i="4"/>
  <c r="K44" i="4" s="1"/>
  <c r="AX23" i="4"/>
  <c r="P43" i="4" s="1"/>
  <c r="AV16" i="4"/>
  <c r="AU16" i="4"/>
  <c r="D7" i="4" s="1"/>
  <c r="Q23" i="4"/>
  <c r="E23" i="4"/>
  <c r="BW22" i="4"/>
  <c r="BV22" i="4"/>
  <c r="BF22" i="4"/>
  <c r="BD22" i="4"/>
  <c r="AY22" i="4"/>
  <c r="D3" i="4" s="1"/>
  <c r="AX22" i="4"/>
  <c r="A3" i="4" s="1"/>
  <c r="AV23" i="4"/>
  <c r="AU23" i="4"/>
  <c r="M43" i="4" s="1"/>
  <c r="BW21" i="4"/>
  <c r="BV21" i="4"/>
  <c r="BF21" i="4"/>
  <c r="BD21" i="4"/>
  <c r="AY21" i="4"/>
  <c r="P25" i="4" s="1"/>
  <c r="AX21" i="4"/>
  <c r="M25" i="4" s="1"/>
  <c r="AV25" i="4"/>
  <c r="AU25" i="4"/>
  <c r="P13" i="4" s="1"/>
  <c r="BW20" i="4"/>
  <c r="BV20" i="4"/>
  <c r="BF20" i="4"/>
  <c r="BD20" i="4"/>
  <c r="AY20" i="4"/>
  <c r="P3" i="4" s="1"/>
  <c r="AX20" i="4"/>
  <c r="M3" i="4" s="1"/>
  <c r="AV24" i="4"/>
  <c r="AU24" i="4"/>
  <c r="J15" i="4" s="1"/>
  <c r="R20" i="4"/>
  <c r="P20" i="4"/>
  <c r="M20" i="4"/>
  <c r="BW19" i="4"/>
  <c r="BV19" i="4"/>
  <c r="BF19" i="4"/>
  <c r="BD19" i="4"/>
  <c r="AY19" i="4"/>
  <c r="AX19" i="4"/>
  <c r="AV22" i="4"/>
  <c r="AU22" i="4"/>
  <c r="D2" i="4" s="1"/>
  <c r="H19" i="4"/>
  <c r="BW18" i="4"/>
  <c r="BV18" i="4"/>
  <c r="BF18" i="4"/>
  <c r="BD18" i="4"/>
  <c r="AY18" i="4"/>
  <c r="AX18" i="4"/>
  <c r="AV21" i="4"/>
  <c r="AU21" i="4"/>
  <c r="P24" i="4" s="1"/>
  <c r="Q18" i="4"/>
  <c r="BW17" i="4"/>
  <c r="BV17" i="4"/>
  <c r="BF17" i="4"/>
  <c r="BD17" i="4"/>
  <c r="AY17" i="4"/>
  <c r="K36" i="4" s="1"/>
  <c r="AX17" i="4"/>
  <c r="P35" i="4" s="1"/>
  <c r="AV20" i="4"/>
  <c r="AU20" i="4"/>
  <c r="P2" i="4" s="1"/>
  <c r="Q17" i="4"/>
  <c r="L17" i="4"/>
  <c r="J17" i="4"/>
  <c r="G17" i="4"/>
  <c r="E17" i="4"/>
  <c r="BW16" i="4"/>
  <c r="BV16" i="4"/>
  <c r="BF16" i="4"/>
  <c r="BD16" i="4"/>
  <c r="AY16" i="4"/>
  <c r="D8" i="4" s="1"/>
  <c r="AX16" i="4"/>
  <c r="A8" i="4" s="1"/>
  <c r="AV18" i="4"/>
  <c r="AU18" i="4"/>
  <c r="BW15" i="4"/>
  <c r="BV15" i="4"/>
  <c r="BF15" i="4"/>
  <c r="BD15" i="4"/>
  <c r="AY15" i="4"/>
  <c r="AX15" i="4"/>
  <c r="AV17" i="4"/>
  <c r="AU17" i="4"/>
  <c r="M35" i="4" s="1"/>
  <c r="R15" i="4"/>
  <c r="P15" i="4"/>
  <c r="M15" i="4"/>
  <c r="K15" i="4"/>
  <c r="F15" i="4"/>
  <c r="D15" i="4"/>
  <c r="A15" i="4"/>
  <c r="BW14" i="4"/>
  <c r="BV14" i="4"/>
  <c r="BF14" i="4"/>
  <c r="BD14" i="4"/>
  <c r="AY14" i="4"/>
  <c r="K40" i="4" s="1"/>
  <c r="AX14" i="4"/>
  <c r="P39" i="4" s="1"/>
  <c r="AV15" i="4"/>
  <c r="AU15" i="4"/>
  <c r="K14" i="4"/>
  <c r="BW13" i="4"/>
  <c r="BV13" i="4"/>
  <c r="BF13" i="4"/>
  <c r="BD13" i="4"/>
  <c r="AY13" i="4"/>
  <c r="AX13" i="4"/>
  <c r="AV14" i="4"/>
  <c r="AU14" i="4"/>
  <c r="M39" i="4" s="1"/>
  <c r="Q13" i="4"/>
  <c r="E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P30" i="4" s="1"/>
  <c r="AX10" i="4"/>
  <c r="M30" i="4" s="1"/>
  <c r="AV10" i="4"/>
  <c r="AU10" i="4"/>
  <c r="P29" i="4" s="1"/>
  <c r="BW9" i="4"/>
  <c r="BV9" i="4"/>
  <c r="BR9" i="4"/>
  <c r="BF9" i="4"/>
  <c r="BD9" i="4"/>
  <c r="AY9" i="4"/>
  <c r="P8" i="4" s="1"/>
  <c r="AX9" i="4"/>
  <c r="AV9" i="4"/>
  <c r="AU9" i="4"/>
  <c r="P7" i="4" s="1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AU7" i="4"/>
  <c r="D35" i="4" s="1"/>
  <c r="Q7" i="4"/>
  <c r="E7" i="4"/>
  <c r="BW6" i="4"/>
  <c r="BV6" i="4"/>
  <c r="BR6" i="4"/>
  <c r="BF6" i="4"/>
  <c r="BD6" i="4"/>
  <c r="AY6" i="4"/>
  <c r="D14" i="4" s="1"/>
  <c r="AX6" i="4"/>
  <c r="A14" i="4" s="1"/>
  <c r="AV6" i="4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AU2" i="4"/>
  <c r="J26" i="4" s="1"/>
  <c r="Q2" i="4"/>
  <c r="E2" i="4"/>
  <c r="Q1" i="4"/>
  <c r="E1" i="4"/>
  <c r="K50" i="1"/>
  <c r="K48" i="1"/>
  <c r="B48" i="1"/>
  <c r="O5" i="5"/>
  <c r="K3" i="5"/>
  <c r="F7" i="5"/>
  <c r="M5" i="5"/>
  <c r="G3" i="5"/>
  <c r="C7" i="5"/>
  <c r="E5" i="5"/>
  <c r="K7" i="5"/>
  <c r="G7" i="5"/>
  <c r="N5" i="5"/>
  <c r="I5" i="5"/>
  <c r="J7" i="5"/>
  <c r="O3" i="5"/>
  <c r="H5" i="5"/>
  <c r="H7" i="5"/>
  <c r="C3" i="5"/>
  <c r="N3" i="5"/>
  <c r="F3" i="5"/>
  <c r="L7" i="5"/>
  <c r="B5" i="5"/>
  <c r="B7" i="5"/>
  <c r="C5" i="5"/>
  <c r="N2" i="5"/>
  <c r="F5" i="5"/>
  <c r="O2" i="5"/>
  <c r="M3" i="5"/>
  <c r="L2" i="5"/>
  <c r="E2" i="5"/>
  <c r="I2" i="5"/>
  <c r="I3" i="5"/>
  <c r="K2" i="5"/>
  <c r="M2" i="5"/>
  <c r="G2" i="5"/>
  <c r="M7" i="5"/>
  <c r="D7" i="5"/>
  <c r="E3" i="5"/>
  <c r="N7" i="5"/>
  <c r="F2" i="5"/>
  <c r="E7" i="5"/>
  <c r="O7" i="5"/>
  <c r="J3" i="5"/>
  <c r="L5" i="5"/>
  <c r="G5" i="5"/>
  <c r="I7" i="5"/>
  <c r="H3" i="5"/>
  <c r="D3" i="5"/>
  <c r="J5" i="5"/>
  <c r="L3" i="5"/>
  <c r="B2" i="5"/>
  <c r="D2" i="5"/>
  <c r="H2" i="5"/>
  <c r="J2" i="5"/>
  <c r="K5" i="5"/>
  <c r="C2" i="5"/>
  <c r="D5" i="5"/>
  <c r="A25" i="4" l="1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E41" i="1"/>
  <c r="F38" i="1"/>
  <c r="D36" i="1"/>
  <c r="D38" i="1"/>
  <c r="A38" i="1"/>
  <c r="A37" i="1"/>
  <c r="A36" i="1"/>
  <c r="E35" i="1"/>
  <c r="F31" i="1"/>
  <c r="AX2" i="1"/>
  <c r="AX3" i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14" i="1" s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N35" i="1"/>
  <c r="P31" i="1"/>
  <c r="M31" i="1"/>
  <c r="Q29" i="1"/>
  <c r="R26" i="1"/>
  <c r="P26" i="1"/>
  <c r="M26" i="1"/>
  <c r="Q24" i="1"/>
  <c r="L28" i="1"/>
  <c r="J28" i="1"/>
  <c r="G28" i="1"/>
  <c r="K26" i="1"/>
  <c r="D31" i="1"/>
  <c r="A31" i="1"/>
  <c r="E29" i="1"/>
  <c r="F26" i="1"/>
  <c r="D26" i="1"/>
  <c r="A26" i="1"/>
  <c r="E24" i="1"/>
  <c r="R20" i="1"/>
  <c r="P20" i="1"/>
  <c r="M20" i="1"/>
  <c r="Q18" i="1"/>
  <c r="R15" i="1"/>
  <c r="P15" i="1"/>
  <c r="M15" i="1"/>
  <c r="Q13" i="1"/>
  <c r="L17" i="1"/>
  <c r="J17" i="1"/>
  <c r="G17" i="1"/>
  <c r="G16" i="1"/>
  <c r="K15" i="1"/>
  <c r="F15" i="1"/>
  <c r="D15" i="1"/>
  <c r="A15" i="1"/>
  <c r="E13" i="1"/>
  <c r="F9" i="1"/>
  <c r="D9" i="1"/>
  <c r="A9" i="1"/>
  <c r="E7" i="1"/>
  <c r="R9" i="1"/>
  <c r="P9" i="1"/>
  <c r="M9" i="1"/>
  <c r="Q7" i="1"/>
  <c r="R4" i="1"/>
  <c r="P4" i="1"/>
  <c r="M4" i="1"/>
  <c r="Q2" i="1"/>
  <c r="L6" i="1"/>
  <c r="J6" i="1"/>
  <c r="G6" i="1"/>
  <c r="K4" i="1"/>
  <c r="F4" i="1"/>
  <c r="D4" i="1"/>
  <c r="A4" i="1"/>
  <c r="E2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AV5" i="1"/>
  <c r="AV6" i="1"/>
  <c r="AV7" i="1"/>
  <c r="AV8" i="1"/>
  <c r="AV9" i="1"/>
  <c r="AV11" i="1"/>
  <c r="AV14" i="1"/>
  <c r="AV16" i="1"/>
  <c r="AV17" i="1"/>
  <c r="AV18" i="1"/>
  <c r="AV19" i="1"/>
  <c r="AV20" i="1"/>
  <c r="AV22" i="1"/>
  <c r="AV24" i="1"/>
  <c r="AV26" i="1"/>
  <c r="AV27" i="1"/>
  <c r="AV28" i="1"/>
  <c r="AV29" i="1"/>
  <c r="AV30" i="1"/>
  <c r="AV31" i="1"/>
  <c r="AV32" i="1"/>
  <c r="AV15" i="1"/>
  <c r="AV33" i="1"/>
  <c r="AV25" i="1"/>
  <c r="AV21" i="1"/>
  <c r="AV23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P2" i="1" s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D30" i="3"/>
  <c r="E11" i="3"/>
  <c r="G28" i="3"/>
  <c r="D28" i="3"/>
  <c r="M29" i="3"/>
  <c r="E13" i="3"/>
  <c r="N13" i="3"/>
  <c r="P30" i="3"/>
  <c r="G30" i="3"/>
  <c r="G29" i="3"/>
  <c r="E14" i="3"/>
  <c r="C8" i="3"/>
  <c r="A13" i="3"/>
  <c r="J15" i="3"/>
  <c r="N11" i="3"/>
  <c r="N12" i="3"/>
  <c r="D29" i="3"/>
  <c r="E12" i="3"/>
  <c r="J13" i="3"/>
  <c r="A12" i="3"/>
  <c r="M30" i="3"/>
  <c r="N15" i="3"/>
  <c r="A15" i="3"/>
  <c r="A14" i="3"/>
  <c r="J14" i="3"/>
  <c r="L8" i="3"/>
  <c r="E15" i="3"/>
  <c r="A11" i="3"/>
  <c r="P29" i="3"/>
  <c r="N14" i="3"/>
  <c r="J12" i="3"/>
  <c r="J11" i="3"/>
  <c r="P3" i="1" l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5" i="4"/>
  <c r="E43" i="1"/>
  <c r="B42" i="1"/>
  <c r="D41" i="1"/>
  <c r="AW22" i="4"/>
  <c r="AW17" i="4"/>
  <c r="AW24" i="4"/>
  <c r="AW23" i="4"/>
  <c r="AW19" i="4"/>
  <c r="AW21" i="4"/>
  <c r="AW25" i="4"/>
  <c r="BG27" i="4"/>
  <c r="BG26" i="4"/>
  <c r="E37" i="1"/>
  <c r="D35" i="1"/>
  <c r="BG23" i="4"/>
  <c r="AW16" i="4"/>
  <c r="BG17" i="4"/>
  <c r="BH17" i="4" s="1"/>
  <c r="BI17" i="4" s="1"/>
  <c r="BJ17" i="4" s="1"/>
  <c r="BK17" i="4" s="1"/>
  <c r="BL17" i="4" s="1"/>
  <c r="BM17" i="4" s="1"/>
  <c r="AW20" i="4"/>
  <c r="BG16" i="4"/>
  <c r="AW18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4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L13" i="3"/>
  <c r="L15" i="3"/>
  <c r="L14" i="3"/>
  <c r="C15" i="3"/>
  <c r="C14" i="3"/>
  <c r="C13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F36" i="1" s="1"/>
  <c r="AF47" i="1"/>
  <c r="AF48" i="1"/>
  <c r="AF49" i="1"/>
  <c r="AF50" i="1"/>
  <c r="AF45" i="1"/>
  <c r="F42" i="1" s="1"/>
  <c r="AE46" i="1"/>
  <c r="C37" i="1" s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G11" i="3"/>
  <c r="C11" i="3"/>
  <c r="M26" i="3"/>
  <c r="P12" i="3"/>
  <c r="J23" i="3"/>
  <c r="P23" i="3"/>
  <c r="M22" i="3"/>
  <c r="J30" i="3"/>
  <c r="L12" i="3"/>
  <c r="P13" i="3"/>
  <c r="P15" i="3"/>
  <c r="L11" i="3"/>
  <c r="J28" i="3"/>
  <c r="P14" i="3"/>
  <c r="G15" i="3"/>
  <c r="G14" i="3"/>
  <c r="M23" i="3"/>
  <c r="P22" i="3"/>
  <c r="G12" i="3"/>
  <c r="C12" i="3"/>
  <c r="P26" i="3"/>
  <c r="P11" i="3"/>
  <c r="G13" i="3"/>
  <c r="AW20" i="1" l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O23" i="3"/>
  <c r="L28" i="3"/>
  <c r="R22" i="3"/>
  <c r="L23" i="3"/>
  <c r="O22" i="3"/>
  <c r="A30" i="3"/>
  <c r="G19" i="3"/>
  <c r="G23" i="3"/>
  <c r="A22" i="3"/>
  <c r="L30" i="3"/>
  <c r="R26" i="3"/>
  <c r="R23" i="3"/>
  <c r="O26" i="3"/>
  <c r="BI25" i="4" l="1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J29" i="3"/>
  <c r="J20" i="3"/>
  <c r="J22" i="3"/>
  <c r="M19" i="3"/>
  <c r="C30" i="3"/>
  <c r="M21" i="3"/>
  <c r="A21" i="3"/>
  <c r="P21" i="3"/>
  <c r="G20" i="3"/>
  <c r="P20" i="3"/>
  <c r="D21" i="3"/>
  <c r="I23" i="3"/>
  <c r="D20" i="3"/>
  <c r="M20" i="3"/>
  <c r="I19" i="3"/>
  <c r="A27" i="3"/>
  <c r="C22" i="3"/>
  <c r="J21" i="3"/>
  <c r="A26" i="3"/>
  <c r="P19" i="3"/>
  <c r="J19" i="3"/>
  <c r="J26" i="3"/>
  <c r="A20" i="3"/>
  <c r="J27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9" i="3"/>
  <c r="I20" i="3"/>
  <c r="F21" i="3"/>
  <c r="C21" i="3"/>
  <c r="A28" i="3"/>
  <c r="L21" i="3"/>
  <c r="A19" i="3"/>
  <c r="A23" i="3"/>
  <c r="L22" i="3"/>
  <c r="O19" i="3"/>
  <c r="R20" i="3"/>
  <c r="G26" i="3"/>
  <c r="D19" i="3"/>
  <c r="O20" i="3"/>
  <c r="D23" i="3"/>
  <c r="L20" i="3"/>
  <c r="R19" i="3"/>
  <c r="F20" i="3"/>
  <c r="D26" i="3"/>
  <c r="L26" i="3"/>
  <c r="L19" i="3"/>
  <c r="C26" i="3"/>
  <c r="R21" i="3"/>
  <c r="L27" i="3"/>
  <c r="D22" i="3"/>
  <c r="G22" i="3"/>
  <c r="A29" i="3"/>
  <c r="C20" i="3"/>
  <c r="O21" i="3"/>
  <c r="G21" i="3"/>
  <c r="C27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F22" i="3"/>
  <c r="F23" i="3"/>
  <c r="C29" i="3"/>
  <c r="C23" i="3"/>
  <c r="I21" i="3"/>
  <c r="F19" i="3"/>
  <c r="I22" i="3"/>
  <c r="I26" i="3"/>
  <c r="F26" i="3"/>
  <c r="C19" i="3"/>
  <c r="C28" i="3"/>
  <c r="BL27" i="4" l="1"/>
  <c r="BM27" i="4" s="1"/>
  <c r="BM25" i="4"/>
  <c r="AW13" i="4" s="1"/>
  <c r="AW27" i="4"/>
  <c r="BM26" i="4"/>
  <c r="AW26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7" i="3"/>
  <c r="P28" i="3"/>
  <c r="M28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I27" i="3"/>
  <c r="F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<sst xmlns="http://schemas.openxmlformats.org/spreadsheetml/2006/main" count="3717" uniqueCount="1115">
  <si>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</si>
  <si>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</si>
  <si>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</si>
  <si>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</si>
  <si>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</si>
  <si>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</si>
  <si>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</si>
  <si>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</si>
  <si>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</si>
  <si>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</si>
  <si>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</si>
  <si>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</si>
  <si>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</si>
  <si>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</si>
  <si>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</si>
  <si>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</si>
  <si>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</si>
  <si>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</si>
  <si>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</si>
  <si>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</si>
  <si>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</si>
  <si>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</si>
  <si>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</si>
  <si>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</si>
  <si>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</si>
  <si>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</si>
  <si>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</si>
  <si>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</si>
  <si>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</si>
  <si>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</si>
  <si>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</si>
  <si>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</si>
  <si>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</si>
  <si>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</si>
  <si>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</si>
  <si>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</si>
  <si>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</si>
  <si>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</si>
  <si>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</si>
  <si>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</si>
  <si>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</si>
  <si>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</si>
  <si>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</si>
  <si>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</si>
  <si>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PD</t>
  </si>
  <si>
    <t>B</t>
  </si>
  <si>
    <t>15 zápasů, 5 - 0 - 0 - 3 - 7, skóre 69:88</t>
  </si>
  <si>
    <t>10 zápasů, 1 - 0 - 0 - 3 - 6, skóre 42:72</t>
  </si>
  <si>
    <t>5 zápasů, 4 - 0 - 0 - 0 - 1, skóre 27:16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</si>
  <si>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</si>
  <si>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</si>
  <si>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</si>
  <si>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</si>
  <si>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</si>
  <si>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</si>
  <si>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</si>
  <si>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</si>
  <si>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</si>
  <si>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</si>
  <si>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</si>
  <si>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</si>
  <si>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</si>
  <si>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</si>
  <si>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</si>
  <si>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</si>
  <si>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</si>
  <si>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</si>
  <si>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</si>
  <si>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</si>
  <si>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</si>
  <si>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</si>
  <si>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</si>
  <si>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</si>
  <si>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</si>
  <si>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</si>
  <si>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</si>
  <si>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</si>
  <si>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</si>
  <si>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</si>
  <si>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</si>
  <si>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</si>
  <si>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</si>
  <si>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</si>
  <si>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</si>
  <si>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</si>
  <si>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</si>
  <si>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</si>
  <si>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</si>
  <si>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</si>
  <si>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</si>
  <si>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</si>
  <si>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</si>
  <si>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</si>
  <si>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</si>
  <si>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</si>
  <si>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</si>
  <si>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</si>
  <si>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</si>
  <si>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</si>
  <si>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</si>
  <si>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</si>
  <si>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</si>
  <si>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</si>
  <si>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</si>
  <si>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</si>
  <si>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</si>
  <si>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</si>
  <si>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</si>
  <si>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</si>
  <si>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</si>
  <si>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</si>
  <si>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</si>
  <si>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</si>
  <si>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</si>
  <si>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</si>
  <si>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</si>
  <si>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</si>
  <si>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6:5pn</t>
  </si>
  <si>
    <t>7:6p</t>
  </si>
  <si>
    <t>2019/2020</t>
  </si>
  <si>
    <t>5:3</t>
  </si>
  <si>
    <t>6:5</t>
  </si>
  <si>
    <t>2018/2019</t>
  </si>
  <si>
    <t>5:6</t>
  </si>
  <si>
    <t>5:6p</t>
  </si>
  <si>
    <t>2014/2015</t>
  </si>
  <si>
    <t>11:4</t>
  </si>
  <si>
    <t>0:6</t>
  </si>
  <si>
    <t>2006/2007</t>
  </si>
  <si>
    <t>10:3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</si>
  <si>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</si>
  <si>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</si>
  <si>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</si>
  <si>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</si>
  <si>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</si>
  <si>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</si>
  <si>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</si>
  <si>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</si>
  <si>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</si>
  <si>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</si>
  <si>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</si>
  <si>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</si>
  <si>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</si>
  <si>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</si>
  <si>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</si>
  <si>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</si>
  <si>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</si>
  <si>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</si>
  <si>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</si>
  <si>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</si>
  <si>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</si>
  <si>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</si>
  <si>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</si>
  <si>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</si>
  <si>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</si>
  <si>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</si>
  <si>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</si>
  <si>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</si>
  <si>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</si>
  <si>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</si>
  <si>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</si>
  <si>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</si>
  <si>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</si>
  <si>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</si>
  <si>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</si>
  <si>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</si>
  <si>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</si>
  <si>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</si>
  <si>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</si>
  <si>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</si>
  <si>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</si>
  <si>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</si>
  <si>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</si>
  <si>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</si>
  <si>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</si>
  <si>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</si>
  <si>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</si>
  <si>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</si>
  <si>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</si>
  <si>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</si>
  <si>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</si>
  <si>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</si>
  <si>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</si>
  <si>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</si>
  <si>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</si>
  <si>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</si>
  <si>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</si>
  <si>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</si>
  <si>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</si>
  <si>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</si>
  <si>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</si>
  <si>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</si>
  <si>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</si>
  <si>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</si>
  <si>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</si>
  <si>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</si>
  <si>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</si>
  <si>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</si>
  <si>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</si>
  <si>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</si>
  <si>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</si>
  <si>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</si>
  <si>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</si>
  <si>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</si>
  <si>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</si>
  <si>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</si>
  <si>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</si>
  <si>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</si>
  <si>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</si>
  <si>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</si>
  <si>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</si>
  <si>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</si>
  <si>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</si>
  <si>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</si>
  <si>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5. David Ježek</t>
  </si>
  <si>
    <t>11,00</t>
  </si>
  <si>
    <t>0,00</t>
  </si>
  <si>
    <t>4. David Ježek</t>
  </si>
  <si>
    <t>5. Ivan Pergler</t>
  </si>
  <si>
    <t>1.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</si>
  <si>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</si>
  <si>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</si>
  <si>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</si>
  <si>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</si>
  <si>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</si>
  <si>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</si>
  <si>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</si>
  <si>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</si>
  <si>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</si>
  <si>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</si>
  <si>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</si>
  <si>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</si>
  <si>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</si>
  <si>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</si>
  <si>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</si>
  <si>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</si>
  <si>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</si>
  <si>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</si>
  <si>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</si>
  <si>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</si>
  <si>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</si>
  <si>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</si>
  <si>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</si>
  <si>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</si>
  <si>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</si>
  <si>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</si>
  <si>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</si>
  <si>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</si>
  <si>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</si>
  <si>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</si>
  <si>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</si>
  <si>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</si>
  <si>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</si>
  <si>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</si>
  <si>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</si>
  <si>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</si>
  <si>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</si>
  <si>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</si>
  <si>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</si>
  <si>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</si>
  <si>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</si>
  <si>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</si>
  <si>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</si>
  <si>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</si>
  <si>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</si>
  <si>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</si>
  <si>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</si>
  <si>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</si>
  <si>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</si>
  <si>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</si>
  <si>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</si>
  <si>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</si>
  <si>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</si>
  <si>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</si>
  <si>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</si>
  <si>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</si>
  <si>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</si>
  <si>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</si>
  <si>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</si>
  <si>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</si>
  <si>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</si>
  <si>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</si>
  <si>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</si>
  <si>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</si>
  <si>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</si>
  <si>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</si>
  <si>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4. Daniel Martínek</t>
  </si>
  <si>
    <t>5. Filip Smutný</t>
  </si>
  <si>
    <t>1. Petr Chlad</t>
  </si>
  <si>
    <t>5. Jakub Kárník</t>
  </si>
  <si>
    <t>1. Radek Valeš</t>
  </si>
  <si>
    <t>2. Daniel Martínek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</si>
  <si>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</si>
  <si>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</si>
  <si>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</si>
  <si>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</si>
  <si>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</si>
  <si>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</si>
  <si>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</si>
  <si>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</si>
  <si>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</si>
  <si>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</si>
  <si>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</si>
  <si>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</si>
  <si>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</si>
  <si>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</si>
  <si>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</si>
  <si>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</si>
  <si>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</si>
  <si>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</si>
  <si>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</si>
  <si>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</si>
  <si>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</si>
  <si>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</si>
  <si>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</si>
  <si>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</si>
  <si>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</si>
  <si>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</si>
  <si>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</si>
  <si>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</si>
  <si>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</si>
  <si>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</si>
  <si>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</si>
  <si>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</si>
  <si>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</si>
  <si>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</si>
  <si>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</si>
  <si>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</si>
  <si>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</si>
  <si>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</si>
  <si>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</si>
  <si>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</si>
  <si>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</si>
  <si>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</si>
  <si>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</si>
  <si>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</si>
  <si>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</si>
  <si>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</si>
  <si>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</si>
  <si>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</si>
  <si>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</si>
  <si>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</si>
  <si>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</si>
  <si>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</si>
  <si>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</si>
  <si>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</si>
  <si>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</si>
  <si>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</si>
  <si>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</si>
  <si>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</si>
  <si>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</si>
  <si>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</si>
  <si>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</si>
  <si>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</si>
  <si>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</si>
  <si>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</si>
  <si>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</si>
  <si>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</si>
  <si>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</si>
  <si>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</si>
  <si>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</si>
  <si>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</si>
  <si>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</si>
  <si>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</si>
  <si>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</si>
  <si>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</si>
  <si>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6,00</t>
  </si>
  <si>
    <t>2. Karel Pergler</t>
  </si>
  <si>
    <t>4. Martin Řezáč</t>
  </si>
  <si>
    <t>1. Michal Podhráský</t>
  </si>
  <si>
    <t>2. Mikuláš Komárek</t>
  </si>
  <si>
    <t>3. Ondřej Vošta</t>
  </si>
  <si>
    <t>4. Adam Balatka</t>
  </si>
  <si>
    <t>5. Daniel Eremiáš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</si>
  <si>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</si>
  <si>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</si>
  <si>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</si>
  <si>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</si>
  <si>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</si>
  <si>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</si>
  <si>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</si>
  <si>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</si>
  <si>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</si>
  <si>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</si>
  <si>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</si>
  <si>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</si>
  <si>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</si>
  <si>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</si>
  <si>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</si>
  <si>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</si>
  <si>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</si>
  <si>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</si>
  <si>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</si>
  <si>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</si>
  <si>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</si>
  <si>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</si>
  <si>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</si>
  <si>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</si>
  <si>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</si>
  <si>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</si>
  <si>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</si>
  <si>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</si>
  <si>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</si>
  <si>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</si>
  <si>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</si>
  <si>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</si>
  <si>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</si>
  <si>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</si>
  <si>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</si>
  <si>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</si>
  <si>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</si>
  <si>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</si>
  <si>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</si>
  <si>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</si>
  <si>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</si>
  <si>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</si>
  <si>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</si>
  <si>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</si>
  <si>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</si>
  <si>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</si>
  <si>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</si>
  <si>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</si>
  <si>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</si>
  <si>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</si>
  <si>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</si>
  <si>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</si>
  <si>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</si>
  <si>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</si>
  <si>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</si>
  <si>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2. Rostislav Gattnar</t>
  </si>
  <si>
    <t>3. Filip Čonka-Skyba</t>
  </si>
  <si>
    <t>4. Matyáš Šindler</t>
  </si>
  <si>
    <t>5. Adam Zubek</t>
  </si>
  <si>
    <t>1. Denis Jasiok</t>
  </si>
  <si>
    <t>4,00</t>
  </si>
  <si>
    <t>2. Petr Maláč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</si>
  <si>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</si>
  <si>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</si>
  <si>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</si>
  <si>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</si>
  <si>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</si>
  <si>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</si>
  <si>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</si>
  <si>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</si>
  <si>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</si>
  <si>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</si>
  <si>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</si>
  <si>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</si>
  <si>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</si>
  <si>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</si>
  <si>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</si>
  <si>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</si>
  <si>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</si>
  <si>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</si>
  <si>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</si>
  <si>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</si>
  <si>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</si>
  <si>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</si>
  <si>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</si>
  <si>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</si>
  <si>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</si>
  <si>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</si>
  <si>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</si>
  <si>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</si>
  <si>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</si>
  <si>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</si>
  <si>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</si>
  <si>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</si>
  <si>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</si>
  <si>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</si>
  <si>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</si>
  <si>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</si>
  <si>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</si>
  <si>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</si>
  <si>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</si>
  <si>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</si>
  <si>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</si>
  <si>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</si>
  <si>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</si>
  <si>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</si>
  <si>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</si>
  <si>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</si>
  <si>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</si>
  <si>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</si>
  <si>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</si>
  <si>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</si>
  <si>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</si>
  <si>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</si>
  <si>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</si>
  <si>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</si>
  <si>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2. Martin Tokoš</t>
  </si>
  <si>
    <t>4. Jan Natov</t>
  </si>
  <si>
    <t>5. Dominik Beneš</t>
  </si>
  <si>
    <t>1. Lukáš Bauer</t>
  </si>
  <si>
    <t>2. Ondřej Tomšík</t>
  </si>
  <si>
    <t>1. Dominik Beneš</t>
  </si>
  <si>
    <t>2. Jakub Gruber</t>
  </si>
  <si>
    <t>1. Martin Tokoš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</si>
  <si>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</si>
  <si>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</si>
  <si>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</si>
  <si>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</si>
  <si>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</si>
  <si>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</si>
  <si>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</si>
  <si>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</si>
  <si>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</si>
  <si>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</si>
  <si>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</si>
  <si>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</si>
  <si>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</si>
  <si>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</si>
  <si>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</si>
  <si>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</si>
  <si>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</si>
  <si>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</si>
  <si>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</si>
  <si>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</si>
  <si>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</si>
  <si>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</si>
  <si>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</si>
  <si>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</si>
  <si>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</si>
  <si>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</si>
  <si>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</si>
  <si>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</si>
  <si>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</si>
  <si>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</si>
  <si>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</si>
  <si>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</si>
  <si>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</si>
  <si>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</si>
  <si>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</si>
  <si>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</si>
  <si>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</si>
  <si>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</si>
  <si>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</si>
  <si>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</si>
  <si>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</si>
  <si>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</si>
  <si>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</si>
  <si>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</si>
  <si>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</si>
  <si>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</si>
  <si>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</si>
  <si>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</si>
  <si>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</si>
  <si>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</si>
  <si>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4. Jonáš Kreysa</t>
  </si>
  <si>
    <t>1. Lukáš Kříž</t>
  </si>
  <si>
    <t>2. Jan Buzík</t>
  </si>
  <si>
    <t>1. David Šimek</t>
  </si>
  <si>
    <t>3. Jonáš Kreysa</t>
  </si>
  <si>
    <t>4. Martin Pánek</t>
  </si>
  <si>
    <t>5. Ondřej Němeček</t>
  </si>
  <si>
    <t>1. Milan Meliš</t>
  </si>
  <si>
    <t>2. Petr Brautferger</t>
  </si>
  <si>
    <t>3. Adam Tlapák</t>
  </si>
  <si>
    <t>4. Bohumil Piskáček</t>
  </si>
  <si>
    <t>5. Dalibor Švéda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</si>
  <si>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</si>
  <si>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</si>
  <si>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</si>
  <si>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</si>
  <si>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</si>
  <si>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</si>
  <si>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</si>
  <si>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</si>
  <si>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</si>
  <si>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</si>
  <si>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</si>
  <si>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</si>
  <si>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</si>
  <si>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</si>
  <si>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</si>
  <si>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</si>
  <si>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</si>
  <si>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</si>
  <si>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</si>
  <si>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</si>
  <si>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</si>
  <si>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</si>
  <si>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</si>
  <si>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</si>
  <si>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</si>
  <si>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</si>
  <si>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</si>
  <si>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</si>
  <si>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</si>
  <si>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</si>
  <si>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</si>
  <si>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</si>
  <si>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</si>
  <si>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</si>
  <si>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</si>
  <si>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</si>
  <si>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</si>
  <si>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</si>
  <si>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</si>
  <si>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</si>
  <si>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</si>
  <si>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</si>
  <si>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</si>
  <si>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</si>
  <si>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</si>
  <si>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</si>
  <si>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</si>
  <si>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</si>
  <si>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</si>
  <si>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</si>
  <si>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</si>
  <si>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</si>
  <si>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</si>
  <si>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</si>
  <si>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</si>
  <si>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</si>
  <si>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</si>
  <si>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</si>
  <si>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</si>
  <si>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</si>
  <si>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</si>
  <si>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</si>
  <si>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</si>
  <si>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</si>
  <si>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</si>
  <si>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3. David Ležatka</t>
  </si>
  <si>
    <t>4. Martin Ležatka</t>
  </si>
  <si>
    <t>1. Adam Kohút</t>
  </si>
  <si>
    <t>7,00</t>
  </si>
  <si>
    <t>2. Kevin Majrich</t>
  </si>
  <si>
    <t>4. Ronald Gašparík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</si>
  <si>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</si>
  <si>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</si>
  <si>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</si>
  <si>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</si>
  <si>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</si>
  <si>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</si>
  <si>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</si>
  <si>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</si>
  <si>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</si>
  <si>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</si>
  <si>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</si>
  <si>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</si>
  <si>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</si>
  <si>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</si>
  <si>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</si>
  <si>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</si>
  <si>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</si>
  <si>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</si>
  <si>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</si>
  <si>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</si>
  <si>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</si>
  <si>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</si>
  <si>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</si>
  <si>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</si>
  <si>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</si>
  <si>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</si>
  <si>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</si>
  <si>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</si>
  <si>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</si>
  <si>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</si>
  <si>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</si>
  <si>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</si>
  <si>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</si>
  <si>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</si>
  <si>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</si>
  <si>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</si>
  <si>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</si>
  <si>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</si>
  <si>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</si>
  <si>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</si>
  <si>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</si>
  <si>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</si>
  <si>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</si>
  <si>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</si>
  <si>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</si>
  <si>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</si>
  <si>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</si>
  <si>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</si>
  <si>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</si>
  <si>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</si>
  <si>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</si>
  <si>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3. Adam Růžek</t>
  </si>
  <si>
    <t>4. Filip Forman</t>
  </si>
  <si>
    <t>5. Jan Malič</t>
  </si>
  <si>
    <t>1. Filip Forman</t>
  </si>
  <si>
    <t>2. Filip Forman</t>
  </si>
  <si>
    <t>3. Jakub Buršík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</si>
  <si>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</si>
  <si>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</si>
  <si>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</si>
  <si>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</si>
  <si>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</si>
  <si>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</si>
  <si>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</si>
  <si>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</si>
  <si>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</si>
  <si>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</si>
  <si>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</si>
  <si>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</si>
  <si>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</si>
  <si>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</si>
  <si>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</si>
  <si>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</si>
  <si>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</si>
  <si>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</si>
  <si>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</si>
  <si>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</si>
  <si>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</si>
  <si>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</si>
  <si>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</si>
  <si>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</si>
  <si>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</si>
  <si>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</si>
  <si>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</si>
  <si>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</si>
  <si>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</si>
  <si>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</si>
  <si>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</si>
  <si>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</si>
  <si>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</si>
  <si>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</si>
  <si>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</si>
  <si>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</si>
  <si>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</si>
  <si>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</si>
  <si>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</si>
  <si>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</si>
  <si>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</si>
  <si>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</si>
  <si>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</si>
  <si>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</si>
  <si>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</si>
  <si>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</si>
  <si>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</si>
  <si>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</si>
  <si>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</si>
  <si>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</si>
  <si>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</si>
  <si>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</si>
  <si>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</si>
  <si>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</si>
  <si>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</si>
  <si>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</si>
  <si>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</si>
  <si>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</si>
  <si>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</si>
  <si>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2. Jakub Kolstrunk</t>
  </si>
  <si>
    <t>3. Josef Juha</t>
  </si>
  <si>
    <t>3. Dominik Bartoš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</si>
  <si>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</si>
  <si>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</si>
  <si>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</si>
  <si>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</si>
  <si>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</si>
  <si>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</si>
  <si>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</si>
  <si>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</si>
  <si>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</si>
  <si>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</si>
  <si>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</si>
  <si>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</si>
  <si>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</si>
  <si>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</si>
  <si>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</si>
  <si>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</si>
  <si>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</si>
  <si>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</si>
  <si>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Jakub Černý</t>
  </si>
  <si>
    <t>Tadeáš Dittrich</t>
  </si>
  <si>
    <t>Jan Dvořák</t>
  </si>
  <si>
    <t>Martin Fuchsig</t>
  </si>
  <si>
    <t>Jan Hřebřina</t>
  </si>
  <si>
    <t>Oldřich Jireček</t>
  </si>
  <si>
    <t>Tomáš Kadlec</t>
  </si>
  <si>
    <t>Matyáš Kalina</t>
  </si>
  <si>
    <t>Daniel Nicklas</t>
  </si>
  <si>
    <t>Tomáš Novák</t>
  </si>
  <si>
    <t>Drahoslav Pastor</t>
  </si>
  <si>
    <t>Jan Petříček</t>
  </si>
  <si>
    <t>Josef Pluhař</t>
  </si>
  <si>
    <t>Petr Procházka</t>
  </si>
  <si>
    <t>Dan Semerád</t>
  </si>
  <si>
    <t>Jan Spilka</t>
  </si>
  <si>
    <t>Lukáš Studený</t>
  </si>
  <si>
    <t>Vladimír Trčka</t>
  </si>
  <si>
    <t>Václav Vavruška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</si>
  <si>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</si>
  <si>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</si>
  <si>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</si>
  <si>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</si>
  <si>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</si>
  <si>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</si>
  <si>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</si>
  <si>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TJ Sokol Plzeň IV</t>
  </si>
  <si>
    <t>BILLY BOY Mladá Boleslav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</si>
  <si>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</si>
  <si>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</si>
  <si>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</si>
  <si>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</si>
  <si>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</si>
  <si>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</si>
  <si>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</si>
  <si>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</si>
  <si>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</si>
  <si>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4. Ondřej Kopič</t>
  </si>
  <si>
    <t>1. Ivan Ponomarev</t>
  </si>
  <si>
    <t>2. Lukáš Chyna</t>
  </si>
  <si>
    <t>1. Daniel Štěrba</t>
  </si>
  <si>
    <t>2. Jakub Karel</t>
  </si>
  <si>
    <t>3. Jaromír Ekl</t>
  </si>
  <si>
    <t>1. Milan Tichý</t>
  </si>
  <si>
    <t>2. Radek Krajcigr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</si>
  <si>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</si>
  <si>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</si>
  <si>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</si>
  <si>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</si>
  <si>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</si>
  <si>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</si>
  <si>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</si>
  <si>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</si>
  <si>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</si>
  <si>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</si>
  <si>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</si>
  <si>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</si>
  <si>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</si>
  <si>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</si>
  <si>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</si>
  <si>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</si>
  <si>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</si>
  <si>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</si>
  <si>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</si>
  <si>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</si>
  <si>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</si>
  <si>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Jakub Hromada</t>
  </si>
  <si>
    <t>2. Jan Bauman</t>
  </si>
  <si>
    <t>3. Matouš Burian</t>
  </si>
  <si>
    <t>4. Tomáš Hanák</t>
  </si>
  <si>
    <t>1. Ondřej Matiášek</t>
  </si>
  <si>
    <t>1,00</t>
  </si>
  <si>
    <t>2. Daniel Körber</t>
  </si>
  <si>
    <t>1. Adam Bouček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</si>
  <si>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</si>
  <si>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</si>
  <si>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</si>
  <si>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</si>
  <si>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</si>
  <si>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</si>
  <si>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</si>
  <si>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</si>
  <si>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</si>
  <si>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</si>
  <si>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</si>
  <si>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</si>
  <si>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</si>
  <si>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</si>
  <si>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</si>
  <si>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</si>
  <si>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</si>
  <si>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</si>
  <si>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</si>
  <si>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</si>
  <si>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</si>
  <si>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2. Lukáš Jalový</t>
  </si>
  <si>
    <t>1. Filip Létal</t>
  </si>
  <si>
    <t>2. Ondřej Kolajta</t>
  </si>
  <si>
    <t>2. David Sládeček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</si>
  <si>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</si>
  <si>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</si>
  <si>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</si>
  <si>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</si>
  <si>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</si>
  <si>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</si>
  <si>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</si>
  <si>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</si>
  <si>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</si>
  <si>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</si>
  <si>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</si>
  <si>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</si>
  <si>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</si>
  <si>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</si>
  <si>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</si>
  <si>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</si>
  <si>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</si>
  <si>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</si>
  <si>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5. Daniel Chatrný</t>
  </si>
  <si>
    <t>1. Jan Binder</t>
  </si>
  <si>
    <t>2. Jan Klinka</t>
  </si>
  <si>
    <t>2. Daniel Chatrný</t>
  </si>
  <si>
    <t>3. Ladislav Gál</t>
  </si>
  <si>
    <t>4. Šimon Kuczera</t>
  </si>
  <si>
    <t>5. Adam Choma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</si>
  <si>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</si>
  <si>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</si>
  <si>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</si>
  <si>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</si>
  <si>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</si>
  <si>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</si>
  <si>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</si>
  <si>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</si>
  <si>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</si>
  <si>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</si>
  <si>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</si>
  <si>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</si>
  <si>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</si>
  <si>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</si>
  <si>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</si>
  <si>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</si>
  <si>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</si>
  <si>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David Petržela</t>
  </si>
  <si>
    <t>1. Martin Haleš</t>
  </si>
  <si>
    <t>2. Karel Aubus</t>
  </si>
  <si>
    <t>1. Adam Šmíd</t>
  </si>
  <si>
    <t>2. Matyáš Velc</t>
  </si>
  <si>
    <t>3. Adam Šmíd</t>
  </si>
  <si>
    <t>1. Ivo Teichman</t>
  </si>
  <si>
    <t>SKF Draci 99 Liberec</t>
  </si>
  <si>
    <t>Jiří Buchta</t>
  </si>
  <si>
    <t>FBC Panthers Liberec</t>
  </si>
  <si>
    <t>1:8</t>
  </si>
  <si>
    <t>8. 10.</t>
  </si>
  <si>
    <t>P - P</t>
  </si>
  <si>
    <t>3. Zbyněk Stuchlík</t>
  </si>
  <si>
    <t>4. Daniel Cabejšek</t>
  </si>
  <si>
    <t>5. Ondřej Stuchlík</t>
  </si>
  <si>
    <t>1. Karel Šantora</t>
  </si>
  <si>
    <t>8,00</t>
  </si>
  <si>
    <t>2. Petr Musil</t>
  </si>
  <si>
    <t>2. Ondřej Stuchlík</t>
  </si>
  <si>
    <t>3. Štěpán Čuda</t>
  </si>
  <si>
    <t>1. Jan Fiala</t>
  </si>
  <si>
    <t>3. Vojtěch Klápa</t>
  </si>
  <si>
    <t>6:4</t>
  </si>
  <si>
    <t>V - V</t>
  </si>
  <si>
    <t>2. Tomáš Hanák</t>
  </si>
  <si>
    <t>3. Radek Hanák</t>
  </si>
  <si>
    <t>4. Jan Bauman</t>
  </si>
  <si>
    <t>5. Matouš Burian</t>
  </si>
  <si>
    <t>5. Jakub Boček</t>
  </si>
  <si>
    <t>1. Daniel Körber</t>
  </si>
  <si>
    <t>2. Ondřej Matiášek</t>
  </si>
  <si>
    <t>2. Jakub Hromada</t>
  </si>
  <si>
    <t>4. Jakub Boček</t>
  </si>
  <si>
    <t>5. Matěj Boček</t>
  </si>
  <si>
    <t>2. Vojtěch Novotný</t>
  </si>
  <si>
    <t>3. Filip Neklan</t>
  </si>
  <si>
    <t>4. Jakub Hromada</t>
  </si>
  <si>
    <t>5. Jakub Renčín</t>
  </si>
  <si>
    <t>Jan Pícha</t>
  </si>
  <si>
    <t>Tomáš Čáslava</t>
  </si>
  <si>
    <t>Jan Beránek</t>
  </si>
  <si>
    <t>Lukáš Vašíček</t>
  </si>
  <si>
    <t>Ondřej Valenta</t>
  </si>
  <si>
    <t>7:4</t>
  </si>
  <si>
    <t>4. Adam Růžek</t>
  </si>
  <si>
    <t>1. Tomáš Hyršl</t>
  </si>
  <si>
    <t>2. Radovan Michajlovič</t>
  </si>
  <si>
    <t>3. Karel Petrák</t>
  </si>
  <si>
    <t>4. Patrik Šebek</t>
  </si>
  <si>
    <t>1. Marek Ďopan</t>
  </si>
  <si>
    <t>2. Adam Růžek</t>
  </si>
  <si>
    <t>3. Drahoslav Pastor</t>
  </si>
  <si>
    <t>5. Jakub Buršík</t>
  </si>
  <si>
    <t>4:6</t>
  </si>
  <si>
    <t>2. Milan Tichý</t>
  </si>
  <si>
    <t>5. Daniel Štěrba</t>
  </si>
  <si>
    <t>7,63</t>
  </si>
  <si>
    <t>3. Antonín Stárek</t>
  </si>
  <si>
    <t>4. Jaromír Ekl</t>
  </si>
  <si>
    <t>5. Jiří Vlček</t>
  </si>
  <si>
    <t>4. Jakub Jirsa</t>
  </si>
  <si>
    <t>5. Milan Tichý</t>
  </si>
  <si>
    <t>3. Tomáš Novák</t>
  </si>
  <si>
    <t>4. Štěpán Slaný</t>
  </si>
  <si>
    <t>5. Albert Kouba</t>
  </si>
  <si>
    <t>1. Marek Vávra</t>
  </si>
  <si>
    <t>3. Petr Majer</t>
  </si>
  <si>
    <t>5,45</t>
  </si>
  <si>
    <t>2. Martin Řezáč</t>
  </si>
  <si>
    <t>3. Mikuláš Komárek</t>
  </si>
  <si>
    <t>4. Daniel Eremiáš</t>
  </si>
  <si>
    <t>5. Martin Skřivánek</t>
  </si>
  <si>
    <t>1. Petr Majer</t>
  </si>
  <si>
    <t>2. Tomáš Vávra</t>
  </si>
  <si>
    <t>3. Daniel Eremiáš</t>
  </si>
  <si>
    <t>4. Lukáš Kafka</t>
  </si>
  <si>
    <t>5. Marek Vávra</t>
  </si>
  <si>
    <t>Lukáš Kafka</t>
  </si>
  <si>
    <t>4:5p</t>
  </si>
  <si>
    <t>V - PP</t>
  </si>
  <si>
    <t>Jakub Levínský</t>
  </si>
  <si>
    <t>2:4</t>
  </si>
  <si>
    <t>2. Prokop Ferdan</t>
  </si>
  <si>
    <t>3. Jan Šoltys</t>
  </si>
  <si>
    <t>4. Tomáš Dlesk</t>
  </si>
  <si>
    <t>5. Radek Valeš</t>
  </si>
  <si>
    <t>2. Jakub Levínský</t>
  </si>
  <si>
    <t>3. Jan Král</t>
  </si>
  <si>
    <t>3. Prokop Ferdan</t>
  </si>
  <si>
    <t>5. Daniel Martínek</t>
  </si>
  <si>
    <t>5:4p</t>
  </si>
  <si>
    <t>V - VP</t>
  </si>
  <si>
    <t>2. Dominik Beneš</t>
  </si>
  <si>
    <t>3. Jiří Curney</t>
  </si>
  <si>
    <t>5. Jakub Bína</t>
  </si>
  <si>
    <t>2,97</t>
  </si>
  <si>
    <t>3. Jakub Bína</t>
  </si>
  <si>
    <t>4. Jiří Curney</t>
  </si>
  <si>
    <t>5. Matěj Pěnička</t>
  </si>
  <si>
    <t>3. Jan Natov</t>
  </si>
  <si>
    <t>5. Milan Tomašík</t>
  </si>
  <si>
    <t>1. Patrik Suchánek</t>
  </si>
  <si>
    <t>3. Adam Hemerka</t>
  </si>
  <si>
    <t>4. Daniel Šebek</t>
  </si>
  <si>
    <t>Martin Janík</t>
  </si>
  <si>
    <t>Adam Mikoláš</t>
  </si>
  <si>
    <t>Martin Sedláček</t>
  </si>
  <si>
    <t>Petr Vítovec</t>
  </si>
  <si>
    <t>8:1</t>
  </si>
  <si>
    <t>3. Michal Sládek</t>
  </si>
  <si>
    <t>4. Daniel Chatrný</t>
  </si>
  <si>
    <t>5. Lukáš Pešat</t>
  </si>
  <si>
    <t>3,26</t>
  </si>
  <si>
    <t>3. Martin Janík</t>
  </si>
  <si>
    <t>2. Martin Janík</t>
  </si>
  <si>
    <t>3. Jan Klinka</t>
  </si>
  <si>
    <t>1. Michal Sládek</t>
  </si>
  <si>
    <t>2. Lukáš Pešat</t>
  </si>
  <si>
    <t>3. Šimon Kuczera</t>
  </si>
  <si>
    <t>4. Wojciech Malajka</t>
  </si>
  <si>
    <t>1. Daniel Chatrný</t>
  </si>
  <si>
    <t>2. Denis Zimmer</t>
  </si>
  <si>
    <t>3. Jan Binder</t>
  </si>
  <si>
    <t>4. Marcel Jakubec</t>
  </si>
  <si>
    <t>1. Ronald Gašparík</t>
  </si>
  <si>
    <t>2. František Vykopal</t>
  </si>
  <si>
    <t>3. Peter Nehila</t>
  </si>
  <si>
    <t>5. David Ležatka</t>
  </si>
  <si>
    <t>5,54</t>
  </si>
  <si>
    <t>2. Martin Ležatka</t>
  </si>
  <si>
    <t>4. Filip Hrabal</t>
  </si>
  <si>
    <t>5. Lukáš Petřík</t>
  </si>
  <si>
    <t>2. David Medek</t>
  </si>
  <si>
    <t>3. Adam Kohút</t>
  </si>
  <si>
    <t>4. Dalimil Krčma</t>
  </si>
  <si>
    <t>4:2</t>
  </si>
  <si>
    <t>P - V</t>
  </si>
  <si>
    <t>4. Matěj Čermák</t>
  </si>
  <si>
    <t>1. Jakub Kolstrunk</t>
  </si>
  <si>
    <t>3. Lukáš Ujhélyi</t>
  </si>
  <si>
    <t>2. Mikuláš Krbec</t>
  </si>
  <si>
    <t>5. Josef Juha</t>
  </si>
  <si>
    <t>1. Michal Pažák</t>
  </si>
  <si>
    <t>2. Milan Garčar</t>
  </si>
  <si>
    <t>3. Daniel Fišer</t>
  </si>
  <si>
    <t>4. Dominik Bartoš</t>
  </si>
  <si>
    <t>5. Jakub Kolstrunk</t>
  </si>
  <si>
    <t>Lukáš Macháček</t>
  </si>
  <si>
    <t>2. David Šimek</t>
  </si>
  <si>
    <t>4. Martin Šindelář</t>
  </si>
  <si>
    <t>3,00</t>
  </si>
  <si>
    <t>2. Marek Beneš</t>
  </si>
  <si>
    <t>3. Jakub Kolísko</t>
  </si>
  <si>
    <t>5. Milan Meliš</t>
  </si>
  <si>
    <t>5. Bohumil Piskáček</t>
  </si>
  <si>
    <t>Adam Palčinský</t>
  </si>
  <si>
    <t>4:7</t>
  </si>
  <si>
    <t>V - P</t>
  </si>
  <si>
    <t>3. Matyáš Šindler</t>
  </si>
  <si>
    <t>4. Marek Matejčík</t>
  </si>
  <si>
    <t>5,15</t>
  </si>
  <si>
    <t>4. Marek Bräuer</t>
  </si>
  <si>
    <t>5. Matyáš Šindler</t>
  </si>
  <si>
    <t>2. Marek Matejčík</t>
  </si>
  <si>
    <t>3. Adam Zubek</t>
  </si>
  <si>
    <t>5. Rostislav Gattnar</t>
  </si>
  <si>
    <t>1. Marek Bräuer</t>
  </si>
  <si>
    <t>2. Martin Gattnar</t>
  </si>
  <si>
    <t>3. Adam Delong</t>
  </si>
  <si>
    <t>4. Adam Palčinský</t>
  </si>
  <si>
    <t>1:2</t>
  </si>
  <si>
    <t>8:4</t>
  </si>
  <si>
    <t>3:7</t>
  </si>
  <si>
    <t>4:8</t>
  </si>
  <si>
    <t>Hráči</t>
  </si>
  <si>
    <t>Trenéři</t>
  </si>
  <si>
    <t>Matyáš Kůra</t>
  </si>
  <si>
    <t>18. 9.</t>
  </si>
  <si>
    <t>2. Marek Fuchs</t>
  </si>
  <si>
    <t>3. Tomáš Brom</t>
  </si>
  <si>
    <t>4. Šimon Hronek</t>
  </si>
  <si>
    <t>5. Matěj Kostka</t>
  </si>
  <si>
    <t>3. Matěj Kostka</t>
  </si>
  <si>
    <t>4. Tomáš Brom</t>
  </si>
  <si>
    <t>5. Šimon Hronek</t>
  </si>
  <si>
    <t>2. René Slezák</t>
  </si>
  <si>
    <t>5. David Sládeček</t>
  </si>
  <si>
    <t>1. René Slezák</t>
  </si>
  <si>
    <t>3. Jonáš Kůra</t>
  </si>
  <si>
    <t>4. Lukáš Lhota</t>
  </si>
  <si>
    <t>5. Matěj Hronek</t>
  </si>
  <si>
    <t>Lukáš Slabý</t>
  </si>
  <si>
    <t>Petr Křinka</t>
  </si>
  <si>
    <t>3. Jan Savický</t>
  </si>
  <si>
    <t>4. Lukáš Kučera</t>
  </si>
  <si>
    <t>5. Petr Černý</t>
  </si>
  <si>
    <t>16,00</t>
  </si>
  <si>
    <t>2. David Žáček</t>
  </si>
  <si>
    <t>5. Matyáš Velc</t>
  </si>
  <si>
    <t>4. Jan Savický</t>
  </si>
  <si>
    <t>5. Lukáš Kučera</t>
  </si>
  <si>
    <t>2. Vojtěch Rusin</t>
  </si>
  <si>
    <t>4. David Petržela</t>
  </si>
  <si>
    <t>5. David Žáček</t>
  </si>
  <si>
    <t>10. 10.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</si>
</sst>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364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2" fillId="0" borderId="91" xfId="0" applyFont="1" applyBorder="1" applyAlignment="1">
      <alignment horizontal="left" vertical="center"/>
    </xf>
    <xf numFmtId="0" fontId="2" fillId="0" borderId="92" xfId="0" applyFont="1" applyBorder="1" applyAlignment="1">
      <alignment horizontal="left" vertical="center"/>
    </xf>
    <xf numFmtId="0" fontId="2" fillId="0" borderId="93" xfId="0" applyFont="1" applyBorder="1" applyAlignment="1">
      <alignment horizontal="left"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1">
    <cellStyle name="Normální" xfId="0" builtinId="0"/>
  </cellStyles>
  <dxfs count="85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ajimavost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aci_&amp;_treneri"/>
      <sheetName val="tymy"/>
    </sheetNames>
    <sheetDataSet>
      <sheetData sheetId="0">
        <row r="1">
          <cell r="C1" t="str">
            <v>Zajímavosti</v>
          </cell>
          <cell r="D1"/>
          <cell r="E1"/>
          <cell r="F1"/>
          <cell r="G1"/>
          <cell r="H1" t="str">
            <v>jm&amp;datnar</v>
          </cell>
        </row>
        <row r="2">
          <cell r="C2" t="str">
            <v>juniorský mistr světa (2021)</v>
          </cell>
          <cell r="D2"/>
          <cell r="E2"/>
          <cell r="F2"/>
          <cell r="G2"/>
          <cell r="H2" t="str">
            <v>Šimon Stránský (37818)</v>
          </cell>
        </row>
        <row r="3">
          <cell r="C3" t="str">
            <v>trenér LIB od 15/16 (1. liga)</v>
          </cell>
          <cell r="D3"/>
          <cell r="E3"/>
          <cell r="F3"/>
          <cell r="G3"/>
          <cell r="H3" t="str">
            <v>Zdeněk Skružný (24850)</v>
          </cell>
        </row>
        <row r="4">
          <cell r="C4" t="str">
            <v>příchod z MB (před 21/22)</v>
          </cell>
          <cell r="D4"/>
          <cell r="E4"/>
          <cell r="F4"/>
          <cell r="G4"/>
          <cell r="H4" t="str">
            <v>Jakub Pařízek (37276)</v>
          </cell>
        </row>
        <row r="5">
          <cell r="C5" t="str">
            <v>před 21/22 zvolen kapitánem</v>
          </cell>
          <cell r="D5"/>
          <cell r="E5"/>
          <cell r="F5"/>
          <cell r="G5"/>
          <cell r="H5" t="str">
            <v>Lukáš Lanc (32379)</v>
          </cell>
        </row>
        <row r="6">
          <cell r="C6"/>
          <cell r="D6"/>
          <cell r="E6"/>
          <cell r="F6"/>
          <cell r="G6"/>
          <cell r="H6" t="str">
            <v/>
          </cell>
        </row>
        <row r="7">
          <cell r="C7"/>
          <cell r="D7"/>
          <cell r="E7"/>
          <cell r="F7"/>
          <cell r="G7"/>
          <cell r="H7" t="str">
            <v/>
          </cell>
        </row>
        <row r="8">
          <cell r="C8"/>
          <cell r="D8"/>
          <cell r="E8"/>
          <cell r="F8"/>
          <cell r="G8"/>
          <cell r="H8" t="str">
            <v/>
          </cell>
        </row>
        <row r="9">
          <cell r="C9"/>
          <cell r="D9"/>
          <cell r="E9"/>
          <cell r="F9"/>
          <cell r="G9"/>
          <cell r="H9" t="str">
            <v/>
          </cell>
        </row>
        <row r="10">
          <cell r="C10"/>
          <cell r="D10"/>
          <cell r="E10"/>
          <cell r="F10"/>
          <cell r="G10"/>
          <cell r="H10" t="str">
            <v/>
          </cell>
        </row>
        <row r="11">
          <cell r="C11"/>
          <cell r="D11"/>
          <cell r="E11"/>
          <cell r="F11"/>
          <cell r="G11"/>
          <cell r="H11" t="str">
            <v/>
          </cell>
        </row>
        <row r="12">
          <cell r="C12"/>
          <cell r="D12"/>
          <cell r="E12"/>
          <cell r="F12"/>
          <cell r="G12"/>
          <cell r="H12" t="str">
            <v/>
          </cell>
        </row>
        <row r="13">
          <cell r="C13"/>
          <cell r="D13"/>
          <cell r="E13"/>
          <cell r="F13"/>
          <cell r="G13"/>
          <cell r="H13" t="str">
            <v/>
          </cell>
        </row>
        <row r="14">
          <cell r="C14"/>
          <cell r="D14"/>
          <cell r="E14"/>
          <cell r="F14"/>
          <cell r="G14"/>
          <cell r="H14" t="str">
            <v/>
          </cell>
        </row>
        <row r="15">
          <cell r="C15"/>
          <cell r="D15"/>
          <cell r="E15"/>
          <cell r="F15"/>
          <cell r="G15"/>
          <cell r="H15" t="str">
            <v/>
          </cell>
        </row>
        <row r="16">
          <cell r="C16"/>
          <cell r="D16"/>
          <cell r="E16"/>
          <cell r="F16"/>
          <cell r="G16"/>
          <cell r="H16" t="str">
            <v/>
          </cell>
        </row>
        <row r="17">
          <cell r="C17"/>
          <cell r="D17"/>
          <cell r="E17"/>
          <cell r="F17"/>
          <cell r="G17"/>
          <cell r="H17" t="str">
            <v/>
          </cell>
        </row>
        <row r="18">
          <cell r="C18"/>
          <cell r="D18"/>
          <cell r="E18"/>
          <cell r="F18"/>
          <cell r="G18"/>
          <cell r="H18" t="str">
            <v/>
          </cell>
        </row>
        <row r="19">
          <cell r="C19"/>
          <cell r="D19"/>
          <cell r="E19"/>
          <cell r="F19"/>
          <cell r="G19"/>
          <cell r="H19" t="str">
            <v/>
          </cell>
        </row>
        <row r="20">
          <cell r="H20" t="str">
            <v/>
          </cell>
        </row>
        <row r="21">
          <cell r="H21" t="str">
            <v/>
          </cell>
        </row>
        <row r="22">
          <cell r="H22" t="str">
            <v/>
          </cell>
        </row>
        <row r="23">
          <cell r="H23" t="str">
            <v/>
          </cell>
        </row>
        <row r="24">
          <cell r="H24" t="str">
            <v/>
          </cell>
        </row>
        <row r="25">
          <cell r="H25" t="str">
            <v/>
          </cell>
        </row>
        <row r="26">
          <cell r="H26" t="str">
            <v/>
          </cell>
        </row>
        <row r="27">
          <cell r="H27" t="str">
            <v/>
          </cell>
        </row>
        <row r="28">
          <cell r="H28" t="str">
            <v/>
          </cell>
        </row>
        <row r="29">
          <cell r="H29" t="str">
            <v/>
          </cell>
        </row>
        <row r="30">
          <cell r="H30" t="str">
            <v/>
          </cell>
        </row>
        <row r="31">
          <cell r="H31" t="str">
            <v/>
          </cell>
        </row>
        <row r="32">
          <cell r="H32" t="str">
            <v/>
          </cell>
        </row>
        <row r="33">
          <cell r="H33" t="str">
            <v/>
          </cell>
        </row>
        <row r="34">
          <cell r="H34" t="str">
            <v/>
          </cell>
        </row>
        <row r="35">
          <cell r="H35" t="str">
            <v/>
          </cell>
        </row>
        <row r="36">
          <cell r="H36" t="str">
            <v/>
          </cell>
        </row>
        <row r="37">
          <cell r="H37" t="str">
            <v/>
          </cell>
        </row>
        <row r="38">
          <cell r="H38" t="str">
            <v/>
          </cell>
        </row>
        <row r="39">
          <cell r="H39" t="str">
            <v/>
          </cell>
        </row>
        <row r="40">
          <cell r="H40" t="str">
            <v/>
          </cell>
        </row>
        <row r="41">
          <cell r="H41" t="str">
            <v/>
          </cell>
        </row>
        <row r="42">
          <cell r="H42" t="str">
            <v/>
          </cell>
        </row>
        <row r="43">
          <cell r="H43" t="str">
            <v/>
          </cell>
        </row>
        <row r="44">
          <cell r="H44" t="str">
            <v/>
          </cell>
        </row>
        <row r="45">
          <cell r="H45" t="str">
            <v/>
          </cell>
        </row>
        <row r="46">
          <cell r="H46" t="str">
            <v/>
          </cell>
        </row>
        <row r="47">
          <cell r="H47" t="str">
            <v/>
          </cell>
        </row>
        <row r="48">
          <cell r="H48" t="str">
            <v/>
          </cell>
        </row>
        <row r="49">
          <cell r="H49" t="str">
            <v/>
          </cell>
        </row>
        <row r="50">
          <cell r="H50" t="str">
            <v/>
          </cell>
        </row>
        <row r="51">
          <cell r="H51" t="str">
            <v/>
          </cell>
        </row>
        <row r="52">
          <cell r="H52" t="str">
            <v/>
          </cell>
        </row>
        <row r="53">
          <cell r="H53" t="str">
            <v/>
          </cell>
        </row>
        <row r="54">
          <cell r="H54" t="str">
            <v/>
          </cell>
        </row>
        <row r="55">
          <cell r="H55" t="str">
            <v/>
          </cell>
        </row>
        <row r="56">
          <cell r="H56" t="str">
            <v/>
          </cell>
        </row>
        <row r="57">
          <cell r="H57" t="str">
            <v/>
          </cell>
        </row>
        <row r="58">
          <cell r="H58" t="str">
            <v/>
          </cell>
        </row>
        <row r="59">
          <cell r="H59" t="str">
            <v/>
          </cell>
        </row>
        <row r="60">
          <cell r="H60" t="str">
            <v/>
          </cell>
        </row>
        <row r="61">
          <cell r="H61" t="str">
            <v/>
          </cell>
        </row>
        <row r="62">
          <cell r="H62" t="str">
            <v/>
          </cell>
        </row>
        <row r="63">
          <cell r="H63" t="str">
            <v/>
          </cell>
        </row>
        <row r="64">
          <cell r="H64" t="str">
            <v/>
          </cell>
        </row>
        <row r="65">
          <cell r="H65" t="str">
            <v/>
          </cell>
        </row>
        <row r="66">
          <cell r="H66" t="str">
            <v/>
          </cell>
        </row>
        <row r="67">
          <cell r="H67" t="str">
            <v/>
          </cell>
        </row>
        <row r="68">
          <cell r="H68" t="str">
            <v/>
          </cell>
        </row>
        <row r="69">
          <cell r="H69" t="str">
            <v/>
          </cell>
        </row>
        <row r="70">
          <cell r="H70" t="str">
            <v/>
          </cell>
        </row>
        <row r="71">
          <cell r="H71" t="str">
            <v/>
          </cell>
        </row>
        <row r="72">
          <cell r="H72" t="str">
            <v/>
          </cell>
        </row>
        <row r="73">
          <cell r="H73" t="str">
            <v/>
          </cell>
        </row>
        <row r="74">
          <cell r="H74" t="str">
            <v/>
          </cell>
        </row>
        <row r="75">
          <cell r="H75" t="str">
            <v/>
          </cell>
        </row>
        <row r="76">
          <cell r="H76" t="str">
            <v/>
          </cell>
        </row>
        <row r="77">
          <cell r="H77" t="str">
            <v/>
          </cell>
        </row>
        <row r="78">
          <cell r="H78" t="str">
            <v/>
          </cell>
        </row>
        <row r="79">
          <cell r="H79" t="str">
            <v/>
          </cell>
        </row>
        <row r="80">
          <cell r="H80" t="str">
            <v/>
          </cell>
        </row>
        <row r="81">
          <cell r="H81" t="str">
            <v/>
          </cell>
        </row>
        <row r="82">
          <cell r="H82" t="str">
            <v/>
          </cell>
        </row>
        <row r="83">
          <cell r="H83" t="str">
            <v/>
          </cell>
        </row>
        <row r="84">
          <cell r="H84" t="str">
            <v/>
          </cell>
        </row>
        <row r="85">
          <cell r="H85" t="str">
            <v/>
          </cell>
        </row>
        <row r="86">
          <cell r="H86" t="str">
            <v/>
          </cell>
        </row>
        <row r="87">
          <cell r="H87" t="str">
            <v/>
          </cell>
        </row>
        <row r="88">
          <cell r="H88" t="str">
            <v/>
          </cell>
        </row>
        <row r="89">
          <cell r="H89" t="str">
            <v/>
          </cell>
        </row>
        <row r="90">
          <cell r="H90" t="str">
            <v/>
          </cell>
        </row>
        <row r="91">
          <cell r="H91" t="str">
            <v/>
          </cell>
        </row>
        <row r="92">
          <cell r="H92" t="str">
            <v/>
          </cell>
        </row>
        <row r="93">
          <cell r="H93" t="str">
            <v/>
          </cell>
        </row>
        <row r="94">
          <cell r="H94" t="str">
            <v/>
          </cell>
        </row>
        <row r="95">
          <cell r="H95" t="str">
            <v/>
          </cell>
        </row>
        <row r="96">
          <cell r="H96" t="str">
            <v/>
          </cell>
        </row>
        <row r="97">
          <cell r="H97" t="str">
            <v/>
          </cell>
        </row>
        <row r="98">
          <cell r="H98" t="str">
            <v/>
          </cell>
        </row>
        <row r="99">
          <cell r="H99" t="str">
            <v/>
          </cell>
        </row>
        <row r="100">
          <cell r="H100" t="str">
            <v/>
          </cell>
        </row>
        <row r="101">
          <cell r="H101" t="str">
            <v/>
          </cell>
        </row>
        <row r="102">
          <cell r="H102" t="str">
            <v/>
          </cell>
        </row>
        <row r="103">
          <cell r="H103" t="str">
            <v/>
          </cell>
        </row>
        <row r="104">
          <cell r="H104" t="str">
            <v/>
          </cell>
        </row>
        <row r="105">
          <cell r="H105" t="str">
            <v/>
          </cell>
        </row>
        <row r="106">
          <cell r="H106" t="str">
            <v/>
          </cell>
        </row>
        <row r="107">
          <cell r="H107" t="str">
            <v/>
          </cell>
        </row>
        <row r="108">
          <cell r="H108" t="str">
            <v/>
          </cell>
        </row>
        <row r="109">
          <cell r="H109" t="str">
            <v/>
          </cell>
        </row>
        <row r="110">
          <cell r="H110" t="str">
            <v/>
          </cell>
        </row>
        <row r="111">
          <cell r="H111" t="str">
            <v/>
          </cell>
        </row>
        <row r="112">
          <cell r="H112" t="str">
            <v/>
          </cell>
        </row>
        <row r="113">
          <cell r="H113" t="str">
            <v/>
          </cell>
        </row>
        <row r="114">
          <cell r="H114" t="str">
            <v/>
          </cell>
        </row>
        <row r="115">
          <cell r="H115" t="str">
            <v/>
          </cell>
        </row>
        <row r="116">
          <cell r="H116" t="str">
            <v/>
          </cell>
        </row>
        <row r="117">
          <cell r="H117" t="str">
            <v/>
          </cell>
        </row>
        <row r="118">
          <cell r="H118" t="str">
            <v/>
          </cell>
        </row>
        <row r="119">
          <cell r="H119" t="str">
            <v/>
          </cell>
        </row>
        <row r="120">
          <cell r="H120" t="str">
            <v/>
          </cell>
        </row>
        <row r="121">
          <cell r="H121" t="str">
            <v/>
          </cell>
        </row>
        <row r="122">
          <cell r="H122" t="str">
            <v/>
          </cell>
        </row>
        <row r="123">
          <cell r="H123" t="str">
            <v/>
          </cell>
        </row>
        <row r="124">
          <cell r="H124" t="str">
            <v/>
          </cell>
        </row>
        <row r="125">
          <cell r="H125" t="str">
            <v/>
          </cell>
        </row>
        <row r="126">
          <cell r="H126" t="str">
            <v/>
          </cell>
        </row>
        <row r="127">
          <cell r="H127" t="str">
            <v/>
          </cell>
        </row>
        <row r="128">
          <cell r="H128" t="str">
            <v/>
          </cell>
        </row>
        <row r="129">
          <cell r="H129" t="str">
            <v/>
          </cell>
        </row>
        <row r="130">
          <cell r="H130" t="str">
            <v/>
          </cell>
        </row>
        <row r="131">
          <cell r="H131" t="str">
            <v/>
          </cell>
        </row>
        <row r="132">
          <cell r="H132" t="str">
            <v/>
          </cell>
        </row>
        <row r="133">
          <cell r="H133" t="str">
            <v/>
          </cell>
        </row>
        <row r="134">
          <cell r="H134" t="str">
            <v/>
          </cell>
        </row>
        <row r="135">
          <cell r="H135" t="str">
            <v/>
          </cell>
        </row>
        <row r="136">
          <cell r="H136" t="str">
            <v/>
          </cell>
        </row>
        <row r="137">
          <cell r="H137" t="str">
            <v/>
          </cell>
        </row>
        <row r="138">
          <cell r="H138" t="str">
            <v/>
          </cell>
        </row>
        <row r="139">
          <cell r="H139" t="str">
            <v/>
          </cell>
        </row>
      </sheetData>
      <sheetData sheetId="1">
        <row r="1">
          <cell r="A1" t="str">
            <v>Tým</v>
          </cell>
          <cell r="B1" t="str">
            <v>Zajímavosti</v>
          </cell>
          <cell r="C1"/>
          <cell r="D1"/>
          <cell r="E1"/>
          <cell r="F1"/>
        </row>
        <row r="2">
          <cell r="A2" t="str">
            <v>TJ Sokol Královské Vinohrady</v>
          </cell>
          <cell r="B2"/>
          <cell r="C2"/>
          <cell r="D2"/>
          <cell r="E2"/>
          <cell r="F2"/>
        </row>
        <row r="3">
          <cell r="A3"/>
          <cell r="B3"/>
          <cell r="C3"/>
          <cell r="D3"/>
          <cell r="E3"/>
          <cell r="F3"/>
        </row>
        <row r="4">
          <cell r="A4"/>
          <cell r="B4"/>
          <cell r="C4"/>
          <cell r="D4"/>
          <cell r="E4"/>
          <cell r="F4"/>
        </row>
        <row r="5">
          <cell r="A5" t="str">
            <v>FBC Liberec</v>
          </cell>
        </row>
        <row r="6">
          <cell r="A6"/>
        </row>
        <row r="7">
          <cell r="A7"/>
        </row>
      </sheetData>
    </sheetDataSet>
  </externalBook>
</externalLink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6" bestFit="1" customWidth="1"/>
    <col min="2" max="16384" width="9.140625" style="62"/>
  </cols>
  <sheetData>
    <row r="1" spans="1:15" s="63" customFormat="1" x14ac:dyDescent="0.25">
      <c r="A1" s="106"/>
      <c r="B1" s="63" t="s">
        <v>5</v>
      </c>
      <c r="C1" s="63" t="s">
        <v>101</v>
      </c>
      <c r="D1" s="63" t="s">
        <v>102</v>
      </c>
      <c r="E1" s="63" t="s">
        <v>106</v>
      </c>
      <c r="F1" s="63" t="s">
        <v>107</v>
      </c>
      <c r="G1" s="63" t="s">
        <v>24</v>
      </c>
      <c r="H1" s="63" t="s">
        <v>109</v>
      </c>
      <c r="I1" s="63" t="s">
        <v>23</v>
      </c>
      <c r="J1" s="63" t="s">
        <v>103</v>
      </c>
      <c r="K1" s="63" t="s">
        <v>104</v>
      </c>
      <c r="L1" s="63" t="s">
        <v>108</v>
      </c>
      <c r="M1" s="63" t="s">
        <v>105</v>
      </c>
      <c r="N1" s="63" t="s">
        <v>98</v>
      </c>
      <c r="O1" s="63" t="s">
        <v>100</v>
      </c>
    </row>
    <row r="2" spans="1:15" s="72" customFormat="1" x14ac:dyDescent="0.25">
      <c r="A2" s="109" t="s">
        <v>298</v>
      </c>
      <c r="B2" s="72">
        <f ca="1">IFERROR(COUNTIF(INDIRECT("priprava_" &amp; B$1 &amp; "!$S$2:$S$42"),"?*"),"")</f>
        <v>21</v>
      </c>
      <c r="C2" s="72">
        <f ca="1">IFERROR(COUNTIF(INDIRECT("priprava_" &amp; C$1 &amp; "!$S$2:$S$42"),"?*"),"")</f>
        <v>23</v>
      </c>
      <c r="D2" s="72">
        <f t="shared" ref="D2:O2" ca="1" si="0">IFERROR(COUNTIF(INDIRECT("priprava_" &amp; D$1 &amp; "!$S$2:$S$42"),"?*"),"")</f>
        <v>21</v>
      </c>
      <c r="E2" s="72">
        <f t="shared" ca="1" si="0"/>
        <v>20</v>
      </c>
      <c r="F2" s="72">
        <f t="shared" ca="1" si="0"/>
        <v>20</v>
      </c>
      <c r="G2" s="72">
        <f t="shared" ca="1" si="0"/>
        <v>22</v>
      </c>
      <c r="H2" s="72">
        <f t="shared" ca="1" si="0"/>
        <v>21</v>
      </c>
      <c r="I2" s="72">
        <f t="shared" ca="1" si="0"/>
        <v>20</v>
      </c>
      <c r="J2" s="72">
        <f t="shared" ca="1" si="0"/>
        <v>22</v>
      </c>
      <c r="K2" s="72">
        <f t="shared" ca="1" si="0"/>
        <v>20</v>
      </c>
      <c r="L2" s="72">
        <f t="shared" ca="1" si="0"/>
        <v>20</v>
      </c>
      <c r="M2" s="72">
        <f t="shared" ca="1" si="0"/>
        <v>20</v>
      </c>
      <c r="N2" s="72">
        <f t="shared" ca="1" si="0"/>
        <v>21</v>
      </c>
      <c r="O2" s="72">
        <f t="shared" ca="1" si="0"/>
        <v>20</v>
      </c>
    </row>
    <row r="3" spans="1:15" s="72" customFormat="1" x14ac:dyDescent="0.25">
      <c r="A3" s="109" t="s">
        <v>303</v>
      </c>
      <c r="B3" s="72">
        <f ca="1">IFERROR(COUNTIF(INDIRECT("priprava_" &amp; B$1 &amp; "!$BN$2:$BN$11"),"?*"),"")</f>
        <v>5</v>
      </c>
      <c r="C3" s="72">
        <f ca="1">IFERROR(COUNTIF(INDIRECT("priprava_" &amp; C$1 &amp; "!$BN$2:$BN$11"),"?*"),"")</f>
        <v>0</v>
      </c>
      <c r="D3" s="72">
        <f t="shared" ref="D3:O3" ca="1" si="1">IFERROR(COUNTIF(INDIRECT("priprava_" &amp; D$1 &amp; "!$BN$2:$BN$11"),"?*"),"")</f>
        <v>5</v>
      </c>
      <c r="E3" s="72">
        <f t="shared" ca="1" si="1"/>
        <v>4</v>
      </c>
      <c r="F3" s="72">
        <f t="shared" ca="1" si="1"/>
        <v>0</v>
      </c>
      <c r="G3" s="72">
        <f t="shared" ca="1" si="1"/>
        <v>5</v>
      </c>
      <c r="H3" s="72">
        <f t="shared" ca="1" si="1"/>
        <v>5</v>
      </c>
      <c r="I3" s="72">
        <f t="shared" ca="1" si="1"/>
        <v>5</v>
      </c>
      <c r="J3" s="72">
        <f t="shared" ca="1" si="1"/>
        <v>0</v>
      </c>
      <c r="K3" s="72">
        <f t="shared" ca="1" si="1"/>
        <v>3</v>
      </c>
      <c r="L3" s="72">
        <f t="shared" ca="1" si="1"/>
        <v>0</v>
      </c>
      <c r="M3" s="72">
        <f t="shared" ca="1" si="1"/>
        <v>5</v>
      </c>
      <c r="N3" s="72">
        <f t="shared" ca="1" si="1"/>
        <v>5</v>
      </c>
      <c r="O3" s="72">
        <f t="shared" ca="1" si="1"/>
        <v>5</v>
      </c>
    </row>
    <row r="4" spans="1:15" s="72" customFormat="1" x14ac:dyDescent="0.25">
      <c r="A4" s="109" t="s">
        <v>299</v>
      </c>
      <c r="B4" s="72">
        <f ca="1">IFERROR(COUNTIF(OFFSET(INDIRECT("priprava_" &amp; B$1 &amp; "!$AC$2"),,,COUNTIF(INDIRECT("priprava_" &amp; B$1 &amp; "!$S$2:$S$42"),"?*")),"NE"),"")</f>
        <v>0</v>
      </c>
      <c r="C4" s="72">
        <f t="shared" ref="C4:O4" ca="1" si="2">IFERROR(COUNTIF(OFFSET(INDIRECT("priprava_" &amp; C$1 &amp; "!$AC$2"),,,COUNTIF(INDIRECT("priprava_" &amp; C$1 &amp; "!$S$2:$S$42"),"?*")),"NE"),"")</f>
        <v>3</v>
      </c>
      <c r="D4" s="72">
        <f t="shared" ca="1" si="2"/>
        <v>9</v>
      </c>
      <c r="E4" s="72">
        <f t="shared" ca="1" si="2"/>
        <v>5</v>
      </c>
      <c r="F4" s="72">
        <f t="shared" ca="1" si="2"/>
        <v>1</v>
      </c>
      <c r="G4" s="72">
        <f t="shared" ca="1" si="2"/>
        <v>4</v>
      </c>
      <c r="H4" s="72">
        <f t="shared" ca="1" si="2"/>
        <v>0</v>
      </c>
      <c r="I4" s="72">
        <f t="shared" ca="1" si="2"/>
        <v>5</v>
      </c>
      <c r="J4" s="72">
        <f t="shared" ca="1" si="2"/>
        <v>4</v>
      </c>
      <c r="K4" s="72">
        <f t="shared" ca="1" si="2"/>
        <v>8</v>
      </c>
      <c r="L4" s="72">
        <f t="shared" ca="1" si="2"/>
        <v>2</v>
      </c>
      <c r="M4" s="72">
        <f t="shared" ca="1" si="2"/>
        <v>4</v>
      </c>
      <c r="N4" s="72">
        <f t="shared" ca="1" si="2"/>
        <v>6</v>
      </c>
      <c r="O4" s="72">
        <f t="shared" ca="1" si="2"/>
        <v>4</v>
      </c>
    </row>
    <row r="5" spans="1:15" s="72" customFormat="1" x14ac:dyDescent="0.25">
      <c r="A5" s="109" t="s">
        <v>300</v>
      </c>
      <c r="B5" s="72">
        <f ca="1">IFERROR(COUNTBLANK(OFFSET(INDIRECT("priprava_" &amp; B$1 &amp; "!$AH$2"),,,COUNTIF(INDIRECT("priprava_" &amp; B$1 &amp; "!$AG$2:$AG$42"),"?*"))),"")</f>
        <v>0</v>
      </c>
      <c r="C5" s="72">
        <f ca="1">IFERROR(COUNTBLANK(OFFSET(INDIRECT("priprava_" &amp; C$1 &amp; "!$AH$2"),,,COUNTIF(INDIRECT("priprava_" &amp; C$1 &amp; "!$AG$2:$AG$42"),"?*"))),"")</f>
        <v>20</v>
      </c>
      <c r="D5" s="72">
        <f t="shared" ref="D5:O5" ca="1" si="3">IFERROR(COUNTBLANK(OFFSET(INDIRECT("priprava_" &amp; D$1 &amp; "!$AH$2"),,,COUNTIF(INDIRECT("priprava_" &amp; D$1 &amp; "!$AG$2:$AG$42"),"?*"))),"")</f>
        <v>1</v>
      </c>
      <c r="E5" s="72">
        <f t="shared" ca="1" si="3"/>
        <v>6</v>
      </c>
      <c r="F5" s="72">
        <f t="shared" ca="1" si="3"/>
        <v>19</v>
      </c>
      <c r="G5" s="72">
        <f t="shared" ca="1" si="3"/>
        <v>5</v>
      </c>
      <c r="H5" s="72">
        <f t="shared" ca="1" si="3"/>
        <v>1</v>
      </c>
      <c r="I5" s="72">
        <f t="shared" ca="1" si="3"/>
        <v>0</v>
      </c>
      <c r="J5" s="72">
        <f t="shared" ca="1" si="3"/>
        <v>18</v>
      </c>
      <c r="K5" s="72">
        <f t="shared" ca="1" si="3"/>
        <v>6</v>
      </c>
      <c r="L5" s="72">
        <f t="shared" ca="1" si="3"/>
        <v>18</v>
      </c>
      <c r="M5" s="72">
        <f t="shared" ca="1" si="3"/>
        <v>3</v>
      </c>
      <c r="N5" s="72">
        <f t="shared" ca="1" si="3"/>
        <v>4</v>
      </c>
      <c r="O5" s="72">
        <f t="shared" ca="1" si="3"/>
        <v>3</v>
      </c>
    </row>
    <row r="6" spans="1:15" s="107" customFormat="1" x14ac:dyDescent="0.25">
      <c r="A6" s="108" t="s">
        <v>301</v>
      </c>
      <c r="B6" s="107">
        <f ca="1">IFERROR(COUNTBLANK(OFFSET(INDIRECT("priprava_" &amp; B$1 &amp; "!$AI$2"),,,COUNTIF(INDIRECT("priprava_" &amp; B$1 &amp; "!$AG$2:$AG$50"),"?*"))),"")</f>
        <v>0</v>
      </c>
      <c r="C6" s="107">
        <f t="shared" ref="C6:O6" ca="1" si="4">IFERROR(COUNTBLANK(OFFSET(INDIRECT("priprava_" &amp; C$1 &amp; "!$AI$2"),,,COUNTIF(INDIRECT("priprava_" &amp; C$1 &amp; "!$AG$2:$AG$50"),"?*"))),"")</f>
        <v>20</v>
      </c>
      <c r="D6" s="107">
        <f t="shared" ca="1" si="4"/>
        <v>1</v>
      </c>
      <c r="E6" s="107">
        <f t="shared" ca="1" si="4"/>
        <v>1</v>
      </c>
      <c r="F6" s="107">
        <f t="shared" ca="1" si="4"/>
        <v>19</v>
      </c>
      <c r="G6" s="107">
        <f t="shared" ca="1" si="4"/>
        <v>4</v>
      </c>
      <c r="H6" s="107">
        <f t="shared" ca="1" si="4"/>
        <v>1</v>
      </c>
      <c r="I6" s="107">
        <f t="shared" ca="1" si="4"/>
        <v>0</v>
      </c>
      <c r="J6" s="107">
        <f t="shared" ca="1" si="4"/>
        <v>18</v>
      </c>
      <c r="K6" s="107">
        <f t="shared" ca="1" si="4"/>
        <v>6</v>
      </c>
      <c r="L6" s="107">
        <f t="shared" ca="1" si="4"/>
        <v>18</v>
      </c>
      <c r="M6" s="107">
        <f t="shared" ca="1" si="4"/>
        <v>3</v>
      </c>
      <c r="N6" s="107">
        <f t="shared" ca="1" si="4"/>
        <v>5</v>
      </c>
      <c r="O6" s="107">
        <f t="shared" ca="1" si="4"/>
        <v>3</v>
      </c>
    </row>
    <row r="7" spans="1:15" s="107" customFormat="1" x14ac:dyDescent="0.25">
      <c r="A7" s="108" t="s">
        <v>302</v>
      </c>
      <c r="B7" s="107">
        <f ca="1">IFERROR(COUNTBLANK(OFFSET(INDIRECT("priprava_" &amp; B$1 &amp; "!$AS$2"),,,COUNTIF(INDIRECT("priprava_" &amp; B$1 &amp; "!$AG$2:$AG$50"),"?*"),2))/2,"")</f>
        <v>0.5</v>
      </c>
      <c r="C7" s="107">
        <f ca="1">IFERROR(COUNTBLANK(OFFSET(INDIRECT("priprava_" &amp; C$1 &amp; "!$AS$2"),,,COUNTIF(INDIRECT("priprava_" &amp; C$1 &amp; "!$AG$2:$AG$50"),"?*"),2))/2,"")</f>
        <v>20</v>
      </c>
      <c r="D7" s="107">
        <f t="shared" ref="D7:O7" ca="1" si="5">IFERROR(COUNTBLANK(OFFSET(INDIRECT("priprava_" &amp; D$1 &amp; "!$AS$2"),,,COUNTIF(INDIRECT("priprava_" &amp; D$1 &amp; "!$AG$2:$AG$50"),"?*"),2))/2,"")</f>
        <v>6.5</v>
      </c>
      <c r="E7" s="107">
        <f t="shared" ca="1" si="5"/>
        <v>0</v>
      </c>
      <c r="F7" s="107">
        <f t="shared" ca="1" si="5"/>
        <v>19</v>
      </c>
      <c r="G7" s="107">
        <f t="shared" ca="1" si="5"/>
        <v>6</v>
      </c>
      <c r="H7" s="107">
        <f t="shared" ca="1" si="5"/>
        <v>1</v>
      </c>
      <c r="I7" s="107">
        <f t="shared" ca="1" si="5"/>
        <v>0.5</v>
      </c>
      <c r="J7" s="107">
        <f t="shared" ca="1" si="5"/>
        <v>18</v>
      </c>
      <c r="K7" s="107">
        <f t="shared" ca="1" si="5"/>
        <v>6.5</v>
      </c>
      <c r="L7" s="107">
        <f t="shared" ca="1" si="5"/>
        <v>18</v>
      </c>
      <c r="M7" s="107">
        <f t="shared" ca="1" si="5"/>
        <v>8.5</v>
      </c>
      <c r="N7" s="107">
        <f t="shared" ca="1" si="5"/>
        <v>5</v>
      </c>
      <c r="O7" s="107">
        <f t="shared" ca="1" si="5"/>
        <v>4.5</v>
      </c>
    </row>
    <row r="8" spans="1:15" x14ac:dyDescent="0.25">
      <c r="A8" s="106" t="s">
        <v>633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conditionalFormatting sqref="B2:O2">
    <cfRule type="cellIs" dxfId="857" priority="14" stopIfTrue="1" operator="greaterThan">
      <formula>40</formula>
    </cfRule>
    <cfRule type="cellIs" dxfId="856" priority="15" stopIfTrue="1" operator="between">
      <formula>35</formula>
      <formula>40</formula>
    </cfRule>
    <cfRule type="cellIs" dxfId="855" priority="16" operator="lessThan">
      <formula>35</formula>
    </cfRule>
  </conditionalFormatting>
  <conditionalFormatting sqref="B3:O3">
    <cfRule type="cellIs" dxfId="854" priority="1" stopIfTrue="1" operator="greaterThan">
      <formula>9</formula>
    </cfRule>
    <cfRule type="cellIs" dxfId="853" priority="11" stopIfTrue="1" operator="between">
      <formula>7</formula>
      <formula>9</formula>
    </cfRule>
    <cfRule type="cellIs" dxfId="852" priority="12" stopIfTrue="1" operator="equal">
      <formula>0</formula>
    </cfRule>
    <cfRule type="cellIs" dxfId="851" priority="13" operator="lessThan">
      <formula>7</formula>
    </cfRule>
  </conditionalFormatting>
  <conditionalFormatting sqref="B5:O7">
    <cfRule type="cellIs" dxfId="850" priority="7" stopIfTrue="1" operator="greaterThan">
      <formula>6</formula>
    </cfRule>
    <cfRule type="cellIs" dxfId="849" priority="8" stopIfTrue="1" operator="between">
      <formula>4</formula>
      <formula>6</formula>
    </cfRule>
    <cfRule type="cellIs" dxfId="848" priority="9" stopIfTrue="1" operator="between">
      <formula>1</formula>
      <formula>3</formula>
    </cfRule>
    <cfRule type="cellIs" dxfId="847" priority="10" operator="lessThan">
      <formula>1</formula>
    </cfRule>
  </conditionalFormatting>
  <conditionalFormatting sqref="B4:O4">
    <cfRule type="cellIs" dxfId="846" priority="4" stopIfTrue="1" operator="greaterThan">
      <formula>2</formula>
    </cfRule>
    <cfRule type="cellIs" dxfId="845" priority="5" stopIfTrue="1" operator="between">
      <formula>1</formula>
      <formula>2</formula>
    </cfRule>
    <cfRule type="cellIs" dxfId="844" priority="6" operator="lessThan">
      <formula>1</formula>
    </cfRule>
  </conditionalFormatting>
  <conditionalFormatting sqref="B8:O8">
    <cfRule type="cellIs" dxfId="843" priority="2" stopIfTrue="1" operator="greaterThan">
      <formula>0</formula>
    </cfRule>
    <cfRule type="cellIs" dxfId="84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>
      <selection activeCell="AG15" sqref="AG15"/>
    </sheetView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1" customWidth="1"/>
    <col min="15" max="15" width="7.140625" style="82" customWidth="1"/>
    <col min="16" max="18" width="5.28515625" style="81" customWidth="1"/>
    <col min="19" max="19" width="7.140625" style="82" customWidth="1"/>
    <col min="20" max="21" width="5.28515625" style="81" customWidth="1"/>
    <col min="22" max="22" width="7.140625" style="82" customWidth="1"/>
    <col min="23" max="23" width="23.85546875" style="70" hidden="1" customWidth="1"/>
    <col min="24" max="35" width="3.85546875" style="72" hidden="1" customWidth="1"/>
    <col min="36" max="36" width="5.28515625" style="71" hidden="1" customWidth="1"/>
    <col min="37" max="39" width="3.85546875" style="72" hidden="1" customWidth="1"/>
    <col min="40" max="40" width="5.28515625" style="71" hidden="1" customWidth="1"/>
    <col min="41" max="48" width="3.85546875" style="72" hidden="1" customWidth="1"/>
    <col min="49" max="49" width="5.28515625" style="71" hidden="1" customWidth="1"/>
    <col min="50" max="51" width="5" style="72" hidden="1" customWidth="1"/>
    <col min="52" max="52" width="3.85546875" style="72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6" t="s">
        <v>57</v>
      </c>
      <c r="B1" s="67" t="s">
        <v>58</v>
      </c>
      <c r="C1" s="76" t="s">
        <v>59</v>
      </c>
      <c r="D1" s="76" t="s">
        <v>26</v>
      </c>
      <c r="E1" s="76" t="s">
        <v>60</v>
      </c>
      <c r="F1" s="76" t="s">
        <v>61</v>
      </c>
      <c r="G1" s="76" t="s">
        <v>27</v>
      </c>
      <c r="H1" s="78" t="s">
        <v>45</v>
      </c>
      <c r="I1" s="76" t="s">
        <v>62</v>
      </c>
      <c r="J1" s="76" t="s">
        <v>63</v>
      </c>
      <c r="K1" s="76" t="s">
        <v>64</v>
      </c>
      <c r="L1" s="76" t="s">
        <v>61</v>
      </c>
      <c r="M1" s="76" t="s">
        <v>65</v>
      </c>
      <c r="N1" s="76" t="s">
        <v>66</v>
      </c>
      <c r="O1" s="75" t="s">
        <v>67</v>
      </c>
      <c r="P1" s="76" t="s">
        <v>68</v>
      </c>
      <c r="Q1" s="76" t="s">
        <v>69</v>
      </c>
      <c r="R1" s="76" t="s">
        <v>70</v>
      </c>
      <c r="S1" s="75" t="s">
        <v>71</v>
      </c>
      <c r="T1" s="76" t="s">
        <v>31</v>
      </c>
      <c r="U1" s="76" t="s">
        <v>72</v>
      </c>
      <c r="V1" s="74" t="s">
        <v>73</v>
      </c>
      <c r="W1" s="70" t="s">
        <v>96</v>
      </c>
      <c r="X1" s="72" t="s">
        <v>88</v>
      </c>
      <c r="Y1" s="72" t="s">
        <v>26</v>
      </c>
      <c r="Z1" s="72" t="s">
        <v>60</v>
      </c>
      <c r="AA1" s="72" t="s">
        <v>61</v>
      </c>
      <c r="AB1" s="72" t="s">
        <v>27</v>
      </c>
      <c r="AC1" s="72" t="s">
        <v>45</v>
      </c>
      <c r="AD1" s="72" t="s">
        <v>62</v>
      </c>
      <c r="AE1" s="72" t="s">
        <v>63</v>
      </c>
      <c r="AF1" s="72" t="s">
        <v>64</v>
      </c>
      <c r="AG1" s="72" t="s">
        <v>61</v>
      </c>
      <c r="AH1" s="72" t="s">
        <v>65</v>
      </c>
      <c r="AI1" s="72" t="s">
        <v>66</v>
      </c>
      <c r="AJ1" s="71" t="s">
        <v>67</v>
      </c>
      <c r="AK1" s="72" t="s">
        <v>68</v>
      </c>
      <c r="AL1" s="72" t="s">
        <v>69</v>
      </c>
      <c r="AM1" s="72" t="s">
        <v>70</v>
      </c>
      <c r="AN1" s="71" t="s">
        <v>71</v>
      </c>
      <c r="AO1" s="72">
        <v>2</v>
      </c>
      <c r="AP1" s="72">
        <v>5</v>
      </c>
      <c r="AQ1" s="72">
        <v>10</v>
      </c>
      <c r="AR1" s="72" t="s">
        <v>90</v>
      </c>
      <c r="AS1" s="72" t="s">
        <v>91</v>
      </c>
      <c r="AT1" s="72" t="s">
        <v>92</v>
      </c>
      <c r="AU1" s="72" t="s">
        <v>31</v>
      </c>
      <c r="AV1" s="72" t="s">
        <v>72</v>
      </c>
      <c r="AW1" s="71" t="s">
        <v>73</v>
      </c>
      <c r="AX1" s="72" t="s">
        <v>93</v>
      </c>
      <c r="AY1" s="72" t="s">
        <v>94</v>
      </c>
      <c r="AZ1" s="72" t="s">
        <v>95</v>
      </c>
      <c r="BA1" s="3" t="s">
        <v>96</v>
      </c>
      <c r="BB1" s="62" t="s">
        <v>97</v>
      </c>
      <c r="BC1" s="62" t="s">
        <v>113</v>
      </c>
      <c r="BD1" s="62" t="s">
        <v>110</v>
      </c>
      <c r="BE1" s="62" t="s">
        <v>111</v>
      </c>
      <c r="BF1" s="62" t="s">
        <v>112</v>
      </c>
    </row>
    <row r="2" spans="1:58" ht="24" customHeight="1" x14ac:dyDescent="0.25">
      <c r="A2" s="139">
        <v>1</v>
      </c>
      <c r="B2" s="25" t="str">
        <f>W2</f>
        <v>Tatran Střešovice</v>
      </c>
      <c r="C2" s="77">
        <f t="shared" ref="C2:S2" si="0">X2</f>
        <v>2</v>
      </c>
      <c r="D2" s="77">
        <f t="shared" si="0"/>
        <v>2</v>
      </c>
      <c r="E2" s="77">
        <f t="shared" si="0"/>
        <v>0</v>
      </c>
      <c r="F2" s="77">
        <f t="shared" si="0"/>
        <v>0</v>
      </c>
      <c r="G2" s="77">
        <f t="shared" si="0"/>
        <v>0</v>
      </c>
      <c r="H2" s="79">
        <f t="shared" si="0"/>
        <v>6</v>
      </c>
      <c r="I2" s="77">
        <f t="shared" si="0"/>
        <v>17</v>
      </c>
      <c r="J2" s="77">
        <f t="shared" si="0"/>
        <v>6</v>
      </c>
      <c r="K2" s="77">
        <f t="shared" si="0"/>
        <v>11</v>
      </c>
      <c r="L2" s="77">
        <f t="shared" si="0"/>
        <v>5</v>
      </c>
      <c r="M2" s="77">
        <f t="shared" si="0"/>
        <v>1</v>
      </c>
      <c r="N2" s="77">
        <f t="shared" si="0"/>
        <v>1</v>
      </c>
      <c r="O2" s="68">
        <f t="shared" si="0"/>
        <v>20</v>
      </c>
      <c r="P2" s="77">
        <f t="shared" si="0"/>
        <v>3</v>
      </c>
      <c r="Q2" s="77">
        <f t="shared" si="0"/>
        <v>3</v>
      </c>
      <c r="R2" s="77">
        <f t="shared" si="0"/>
        <v>0</v>
      </c>
      <c r="S2" s="68">
        <f t="shared" si="0"/>
        <v>0</v>
      </c>
      <c r="T2" s="77">
        <f>AU2</f>
        <v>6</v>
      </c>
      <c r="U2" s="77">
        <f t="shared" ref="U2:V2" si="1">AV2</f>
        <v>30</v>
      </c>
      <c r="V2" s="69">
        <f t="shared" si="1"/>
        <v>10</v>
      </c>
      <c r="W2" s="73" t="s">
        <v>74</v>
      </c>
      <c r="X2" s="72">
        <v>2</v>
      </c>
      <c r="Y2" s="72">
        <v>2</v>
      </c>
      <c r="Z2" s="72">
        <v>0</v>
      </c>
      <c r="AA2" s="72">
        <v>0</v>
      </c>
      <c r="AB2" s="72">
        <v>0</v>
      </c>
      <c r="AC2" s="72">
        <v>6</v>
      </c>
      <c r="AD2" s="72">
        <v>17</v>
      </c>
      <c r="AE2" s="72">
        <v>6</v>
      </c>
      <c r="AF2" s="72">
        <v>11</v>
      </c>
      <c r="AG2" s="72">
        <v>5</v>
      </c>
      <c r="AH2" s="72">
        <v>1</v>
      </c>
      <c r="AI2" s="72">
        <v>1</v>
      </c>
      <c r="AJ2" s="71">
        <v>20</v>
      </c>
      <c r="AK2" s="72">
        <v>3</v>
      </c>
      <c r="AL2" s="72">
        <v>3</v>
      </c>
      <c r="AM2" s="72">
        <v>0</v>
      </c>
      <c r="AN2" s="71">
        <v>0</v>
      </c>
      <c r="AO2" s="72">
        <v>3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6</v>
      </c>
      <c r="AV2" s="72">
        <v>30</v>
      </c>
      <c r="AW2" s="71">
        <v>10</v>
      </c>
      <c r="AX2" s="72">
        <v>0</v>
      </c>
      <c r="AY2" s="72">
        <v>326</v>
      </c>
      <c r="AZ2" s="72">
        <v>163</v>
      </c>
      <c r="BA2" s="3" t="s">
        <v>76</v>
      </c>
      <c r="BB2" s="62" t="s">
        <v>100</v>
      </c>
      <c r="BC2" s="62">
        <f>MATCH(BA2,$B$2:$B$15,0)</f>
        <v>7</v>
      </c>
      <c r="BD2" s="62">
        <f>_xlfn.RANK.EQ(VLOOKUP(BA2,$B$2:$V$15,14,FALSE),$O$2:$O$15,0)</f>
        <v>4</v>
      </c>
      <c r="BE2" s="62">
        <f>_xlfn.RANK.EQ(VLOOKUP(BA2,$B$2:$V$15,18,FALSE),$S$2:$S$15,0)</f>
        <v>1</v>
      </c>
      <c r="BF2" s="62">
        <f>_xlfn.RANK.EQ(VLOOKUP(BA2,$B$2:$V$16,19,FALSE),$T$2:$T$15,1)</f>
        <v>3</v>
      </c>
    </row>
    <row r="3" spans="1:58" ht="24" customHeight="1" x14ac:dyDescent="0.25">
      <c r="A3" s="139">
        <v>2</v>
      </c>
      <c r="B3" s="25" t="str">
        <f t="shared" ref="B3:B15" si="2">W3</f>
        <v>FBC ČPP OSTRAVA</v>
      </c>
      <c r="C3" s="77">
        <f t="shared" ref="C3:C15" si="3">X3</f>
        <v>2</v>
      </c>
      <c r="D3" s="77">
        <f t="shared" ref="D3:D15" si="4">Y3</f>
        <v>2</v>
      </c>
      <c r="E3" s="77">
        <f t="shared" ref="E3:E15" si="5">Z3</f>
        <v>0</v>
      </c>
      <c r="F3" s="77">
        <f t="shared" ref="F3:F15" si="6">AA3</f>
        <v>0</v>
      </c>
      <c r="G3" s="77">
        <f t="shared" ref="G3:G15" si="7">AB3</f>
        <v>0</v>
      </c>
      <c r="H3" s="79">
        <f t="shared" ref="H3:H15" si="8">AC3</f>
        <v>6</v>
      </c>
      <c r="I3" s="77">
        <f t="shared" ref="I3:I15" si="9">AD3</f>
        <v>15</v>
      </c>
      <c r="J3" s="77">
        <f t="shared" ref="J3:J15" si="10">AE3</f>
        <v>6</v>
      </c>
      <c r="K3" s="77">
        <f t="shared" ref="K3:K15" si="11">AF3</f>
        <v>9</v>
      </c>
      <c r="L3" s="77">
        <f t="shared" ref="L3:L15" si="12">AG3</f>
        <v>6</v>
      </c>
      <c r="M3" s="77">
        <f t="shared" ref="M3:M15" si="13">AH3</f>
        <v>1</v>
      </c>
      <c r="N3" s="77">
        <f t="shared" ref="N3:N15" si="14">AI3</f>
        <v>0</v>
      </c>
      <c r="O3" s="68">
        <f t="shared" ref="O3:O15" si="15">AJ3</f>
        <v>16.670000000000002</v>
      </c>
      <c r="P3" s="77">
        <f t="shared" ref="P3:P15" si="16">AK3</f>
        <v>5</v>
      </c>
      <c r="Q3" s="77">
        <f t="shared" ref="Q3:Q15" si="17">AL3</f>
        <v>1</v>
      </c>
      <c r="R3" s="77">
        <f t="shared" ref="R3:R15" si="18">AM3</f>
        <v>0</v>
      </c>
      <c r="S3" s="68">
        <f t="shared" ref="S3:S15" si="19">AN3</f>
        <v>80</v>
      </c>
      <c r="T3" s="77">
        <f t="shared" ref="T3:T15" si="20">AU3</f>
        <v>12</v>
      </c>
      <c r="U3" s="77">
        <f t="shared" ref="U3:U15" si="21">AV3</f>
        <v>48</v>
      </c>
      <c r="V3" s="69">
        <f t="shared" ref="V3:V15" si="22">AW3</f>
        <v>12.5</v>
      </c>
      <c r="W3" s="73" t="s">
        <v>79</v>
      </c>
      <c r="X3" s="72">
        <v>2</v>
      </c>
      <c r="Y3" s="72">
        <v>2</v>
      </c>
      <c r="Z3" s="72">
        <v>0</v>
      </c>
      <c r="AA3" s="72">
        <v>0</v>
      </c>
      <c r="AB3" s="72">
        <v>0</v>
      </c>
      <c r="AC3" s="72">
        <v>6</v>
      </c>
      <c r="AD3" s="72">
        <v>15</v>
      </c>
      <c r="AE3" s="72">
        <v>6</v>
      </c>
      <c r="AF3" s="72">
        <v>9</v>
      </c>
      <c r="AG3" s="72">
        <v>6</v>
      </c>
      <c r="AH3" s="72">
        <v>1</v>
      </c>
      <c r="AI3" s="72">
        <v>0</v>
      </c>
      <c r="AJ3" s="71">
        <v>16.670000000000002</v>
      </c>
      <c r="AK3" s="72">
        <v>5</v>
      </c>
      <c r="AL3" s="72">
        <v>1</v>
      </c>
      <c r="AM3" s="72">
        <v>0</v>
      </c>
      <c r="AN3" s="71">
        <v>80</v>
      </c>
      <c r="AO3" s="72">
        <v>6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12</v>
      </c>
      <c r="AV3" s="72">
        <v>48</v>
      </c>
      <c r="AW3" s="71">
        <v>12.5</v>
      </c>
      <c r="AX3" s="72">
        <v>117</v>
      </c>
      <c r="AY3" s="72">
        <v>359</v>
      </c>
      <c r="AZ3" s="72">
        <v>238</v>
      </c>
      <c r="BA3" s="3" t="s">
        <v>82</v>
      </c>
      <c r="BB3" s="62" t="s">
        <v>105</v>
      </c>
      <c r="BC3" s="62">
        <f t="shared" ref="BC3:BC15" si="23">MATCH(BA3,$B$2:$B$15,0)</f>
        <v>8</v>
      </c>
      <c r="BD3" s="62">
        <f t="shared" ref="BD3:BD15" si="24">_xlfn.RANK.EQ(VLOOKUP(BA3,$B$2:$V$15,14,FALSE),$O$2:$O$15,0)</f>
        <v>8</v>
      </c>
      <c r="BE3" s="62">
        <f t="shared" ref="BE3:BE15" si="25">_xlfn.RANK.EQ(VLOOKUP(BA3,$B$2:$V$15,18,FALSE),$S$2:$S$15,0)</f>
        <v>1</v>
      </c>
      <c r="BF3" s="62">
        <f t="shared" ref="BF3:BF15" si="26">_xlfn.RANK.EQ(VLOOKUP(BA3,$B$2:$V$16,19,FALSE),$T$2:$T$15,1)</f>
        <v>1</v>
      </c>
    </row>
    <row r="4" spans="1:58" ht="24" customHeight="1" x14ac:dyDescent="0.25">
      <c r="A4" s="139">
        <v>3</v>
      </c>
      <c r="B4" s="25" t="str">
        <f t="shared" si="2"/>
        <v>FbŠ Bohemians</v>
      </c>
      <c r="C4" s="77">
        <f t="shared" si="3"/>
        <v>2</v>
      </c>
      <c r="D4" s="77">
        <f t="shared" si="4"/>
        <v>2</v>
      </c>
      <c r="E4" s="77">
        <f t="shared" si="5"/>
        <v>0</v>
      </c>
      <c r="F4" s="77">
        <f t="shared" si="6"/>
        <v>0</v>
      </c>
      <c r="G4" s="77">
        <f t="shared" si="7"/>
        <v>0</v>
      </c>
      <c r="H4" s="79">
        <f t="shared" si="8"/>
        <v>6</v>
      </c>
      <c r="I4" s="77">
        <f t="shared" si="9"/>
        <v>17</v>
      </c>
      <c r="J4" s="77">
        <f t="shared" si="10"/>
        <v>10</v>
      </c>
      <c r="K4" s="77">
        <f t="shared" si="11"/>
        <v>7</v>
      </c>
      <c r="L4" s="77">
        <f t="shared" si="12"/>
        <v>3</v>
      </c>
      <c r="M4" s="77">
        <f t="shared" si="13"/>
        <v>2</v>
      </c>
      <c r="N4" s="77">
        <f t="shared" si="14"/>
        <v>0</v>
      </c>
      <c r="O4" s="68">
        <f t="shared" si="15"/>
        <v>66.67</v>
      </c>
      <c r="P4" s="77">
        <f t="shared" si="16"/>
        <v>1</v>
      </c>
      <c r="Q4" s="77">
        <f t="shared" si="17"/>
        <v>1</v>
      </c>
      <c r="R4" s="77">
        <f t="shared" si="18"/>
        <v>0</v>
      </c>
      <c r="S4" s="68">
        <f t="shared" si="19"/>
        <v>0</v>
      </c>
      <c r="T4" s="77">
        <f t="shared" si="20"/>
        <v>2</v>
      </c>
      <c r="U4" s="77">
        <f t="shared" si="21"/>
        <v>23</v>
      </c>
      <c r="V4" s="69">
        <f t="shared" si="22"/>
        <v>17.39</v>
      </c>
      <c r="W4" s="73" t="s">
        <v>78</v>
      </c>
      <c r="X4" s="72">
        <v>2</v>
      </c>
      <c r="Y4" s="72">
        <v>2</v>
      </c>
      <c r="Z4" s="72">
        <v>0</v>
      </c>
      <c r="AA4" s="72">
        <v>0</v>
      </c>
      <c r="AB4" s="72">
        <v>0</v>
      </c>
      <c r="AC4" s="72">
        <v>6</v>
      </c>
      <c r="AD4" s="72">
        <v>17</v>
      </c>
      <c r="AE4" s="72">
        <v>10</v>
      </c>
      <c r="AF4" s="72">
        <v>7</v>
      </c>
      <c r="AG4" s="72">
        <v>3</v>
      </c>
      <c r="AH4" s="72">
        <v>2</v>
      </c>
      <c r="AI4" s="72">
        <v>0</v>
      </c>
      <c r="AJ4" s="71">
        <v>66.67</v>
      </c>
      <c r="AK4" s="72">
        <v>1</v>
      </c>
      <c r="AL4" s="72">
        <v>1</v>
      </c>
      <c r="AM4" s="72">
        <v>0</v>
      </c>
      <c r="AN4" s="71">
        <v>0</v>
      </c>
      <c r="AO4" s="72">
        <v>1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2</v>
      </c>
      <c r="AV4" s="72">
        <v>23</v>
      </c>
      <c r="AW4" s="71">
        <v>17.39</v>
      </c>
      <c r="AX4" s="72">
        <v>210</v>
      </c>
      <c r="AY4" s="72">
        <v>0</v>
      </c>
      <c r="AZ4" s="72">
        <v>105</v>
      </c>
      <c r="BA4" s="3" t="s">
        <v>77</v>
      </c>
      <c r="BB4" s="62" t="s">
        <v>101</v>
      </c>
      <c r="BC4" s="62">
        <f t="shared" si="23"/>
        <v>4</v>
      </c>
      <c r="BD4" s="62">
        <f t="shared" si="24"/>
        <v>1</v>
      </c>
      <c r="BE4" s="62">
        <f t="shared" si="25"/>
        <v>12</v>
      </c>
      <c r="BF4" s="62">
        <f t="shared" si="26"/>
        <v>3</v>
      </c>
    </row>
    <row r="5" spans="1:58" ht="24" customHeight="1" x14ac:dyDescent="0.25">
      <c r="A5" s="139">
        <v>4</v>
      </c>
      <c r="B5" s="25" t="str">
        <f t="shared" si="2"/>
        <v>BLACK ANGELS</v>
      </c>
      <c r="C5" s="77">
        <f t="shared" si="3"/>
        <v>2</v>
      </c>
      <c r="D5" s="77">
        <f t="shared" si="4"/>
        <v>2</v>
      </c>
      <c r="E5" s="77">
        <f t="shared" si="5"/>
        <v>0</v>
      </c>
      <c r="F5" s="77">
        <f t="shared" si="6"/>
        <v>0</v>
      </c>
      <c r="G5" s="77">
        <f t="shared" si="7"/>
        <v>0</v>
      </c>
      <c r="H5" s="79">
        <f t="shared" si="8"/>
        <v>6</v>
      </c>
      <c r="I5" s="77">
        <f t="shared" si="9"/>
        <v>11</v>
      </c>
      <c r="J5" s="77">
        <f t="shared" si="10"/>
        <v>5</v>
      </c>
      <c r="K5" s="77">
        <f t="shared" si="11"/>
        <v>6</v>
      </c>
      <c r="L5" s="77">
        <f t="shared" si="12"/>
        <v>1</v>
      </c>
      <c r="M5" s="77">
        <f t="shared" si="13"/>
        <v>1</v>
      </c>
      <c r="N5" s="77">
        <f t="shared" si="14"/>
        <v>0</v>
      </c>
      <c r="O5" s="68">
        <f t="shared" si="15"/>
        <v>100</v>
      </c>
      <c r="P5" s="77">
        <f t="shared" si="16"/>
        <v>2</v>
      </c>
      <c r="Q5" s="77">
        <f t="shared" si="17"/>
        <v>2</v>
      </c>
      <c r="R5" s="77">
        <f t="shared" si="18"/>
        <v>0</v>
      </c>
      <c r="S5" s="68">
        <f t="shared" si="19"/>
        <v>0</v>
      </c>
      <c r="T5" s="77">
        <f t="shared" si="20"/>
        <v>4</v>
      </c>
      <c r="U5" s="77">
        <f t="shared" si="21"/>
        <v>44</v>
      </c>
      <c r="V5" s="69">
        <f t="shared" si="22"/>
        <v>20.45</v>
      </c>
      <c r="W5" s="73" t="s">
        <v>77</v>
      </c>
      <c r="X5" s="72">
        <v>2</v>
      </c>
      <c r="Y5" s="72">
        <v>2</v>
      </c>
      <c r="Z5" s="72">
        <v>0</v>
      </c>
      <c r="AA5" s="72">
        <v>0</v>
      </c>
      <c r="AB5" s="72">
        <v>0</v>
      </c>
      <c r="AC5" s="72">
        <v>6</v>
      </c>
      <c r="AD5" s="72">
        <v>11</v>
      </c>
      <c r="AE5" s="72">
        <v>5</v>
      </c>
      <c r="AF5" s="72">
        <v>6</v>
      </c>
      <c r="AG5" s="72">
        <v>1</v>
      </c>
      <c r="AH5" s="72">
        <v>1</v>
      </c>
      <c r="AI5" s="72">
        <v>0</v>
      </c>
      <c r="AJ5" s="71">
        <v>100</v>
      </c>
      <c r="AK5" s="72">
        <v>2</v>
      </c>
      <c r="AL5" s="72">
        <v>2</v>
      </c>
      <c r="AM5" s="72">
        <v>0</v>
      </c>
      <c r="AN5" s="71">
        <v>0</v>
      </c>
      <c r="AO5" s="72">
        <v>2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4</v>
      </c>
      <c r="AV5" s="72">
        <v>44</v>
      </c>
      <c r="AW5" s="71">
        <v>20.45</v>
      </c>
      <c r="AX5" s="72">
        <v>131</v>
      </c>
      <c r="AY5" s="72">
        <v>65</v>
      </c>
      <c r="AZ5" s="72">
        <v>98</v>
      </c>
      <c r="BA5" s="3" t="s">
        <v>80</v>
      </c>
      <c r="BB5" s="62" t="s">
        <v>24</v>
      </c>
      <c r="BC5" s="62">
        <f t="shared" si="23"/>
        <v>6</v>
      </c>
      <c r="BD5" s="62">
        <f t="shared" si="24"/>
        <v>6</v>
      </c>
      <c r="BE5" s="62">
        <f t="shared" si="25"/>
        <v>6</v>
      </c>
      <c r="BF5" s="62">
        <f t="shared" si="26"/>
        <v>14</v>
      </c>
    </row>
    <row r="6" spans="1:58" ht="24" customHeight="1" x14ac:dyDescent="0.25">
      <c r="A6" s="139">
        <v>5</v>
      </c>
      <c r="B6" s="25" t="str">
        <f t="shared" si="2"/>
        <v>Předvýběr.CZ Florbal MB</v>
      </c>
      <c r="C6" s="77">
        <f t="shared" si="3"/>
        <v>2</v>
      </c>
      <c r="D6" s="77">
        <f t="shared" si="4"/>
        <v>1</v>
      </c>
      <c r="E6" s="77">
        <f t="shared" si="5"/>
        <v>1</v>
      </c>
      <c r="F6" s="77">
        <f t="shared" si="6"/>
        <v>0</v>
      </c>
      <c r="G6" s="77">
        <f t="shared" si="7"/>
        <v>0</v>
      </c>
      <c r="H6" s="79">
        <f t="shared" si="8"/>
        <v>5</v>
      </c>
      <c r="I6" s="77">
        <f t="shared" si="9"/>
        <v>15</v>
      </c>
      <c r="J6" s="77">
        <f t="shared" si="10"/>
        <v>6</v>
      </c>
      <c r="K6" s="77">
        <f t="shared" si="11"/>
        <v>9</v>
      </c>
      <c r="L6" s="77">
        <f t="shared" si="12"/>
        <v>0</v>
      </c>
      <c r="M6" s="77">
        <f t="shared" si="13"/>
        <v>0</v>
      </c>
      <c r="N6" s="77">
        <f t="shared" si="14"/>
        <v>0</v>
      </c>
      <c r="O6" s="68">
        <f t="shared" si="15"/>
        <v>0</v>
      </c>
      <c r="P6" s="77">
        <f t="shared" si="16"/>
        <v>8</v>
      </c>
      <c r="Q6" s="77">
        <f t="shared" si="17"/>
        <v>4</v>
      </c>
      <c r="R6" s="77">
        <f t="shared" si="18"/>
        <v>1</v>
      </c>
      <c r="S6" s="68">
        <f t="shared" si="19"/>
        <v>50</v>
      </c>
      <c r="T6" s="77">
        <f t="shared" si="20"/>
        <v>16</v>
      </c>
      <c r="U6" s="77">
        <f t="shared" si="21"/>
        <v>46</v>
      </c>
      <c r="V6" s="69">
        <f t="shared" si="22"/>
        <v>21.74</v>
      </c>
      <c r="W6" s="73" t="s">
        <v>75</v>
      </c>
      <c r="X6" s="72">
        <v>2</v>
      </c>
      <c r="Y6" s="72">
        <v>1</v>
      </c>
      <c r="Z6" s="72">
        <v>1</v>
      </c>
      <c r="AA6" s="72">
        <v>0</v>
      </c>
      <c r="AB6" s="72">
        <v>0</v>
      </c>
      <c r="AC6" s="72">
        <v>5</v>
      </c>
      <c r="AD6" s="72">
        <v>15</v>
      </c>
      <c r="AE6" s="72">
        <v>6</v>
      </c>
      <c r="AF6" s="72">
        <v>9</v>
      </c>
      <c r="AG6" s="72">
        <v>0</v>
      </c>
      <c r="AH6" s="72">
        <v>0</v>
      </c>
      <c r="AI6" s="72">
        <v>0</v>
      </c>
      <c r="AJ6" s="71">
        <v>0</v>
      </c>
      <c r="AK6" s="72">
        <v>8</v>
      </c>
      <c r="AL6" s="72">
        <v>4</v>
      </c>
      <c r="AM6" s="72">
        <v>1</v>
      </c>
      <c r="AN6" s="71">
        <v>50</v>
      </c>
      <c r="AO6" s="72">
        <v>8</v>
      </c>
      <c r="AP6" s="72">
        <v>0</v>
      </c>
      <c r="AQ6" s="72">
        <v>0</v>
      </c>
      <c r="AR6" s="72">
        <v>0</v>
      </c>
      <c r="AS6" s="72">
        <v>0</v>
      </c>
      <c r="AT6" s="72">
        <v>0</v>
      </c>
      <c r="AU6" s="72">
        <v>16</v>
      </c>
      <c r="AV6" s="72">
        <v>46</v>
      </c>
      <c r="AW6" s="71">
        <v>21.74</v>
      </c>
      <c r="AX6" s="72">
        <v>265</v>
      </c>
      <c r="AY6" s="72">
        <v>120</v>
      </c>
      <c r="AZ6" s="72">
        <v>192</v>
      </c>
      <c r="BA6" s="3" t="s">
        <v>83</v>
      </c>
      <c r="BB6" s="62" t="s">
        <v>106</v>
      </c>
      <c r="BC6" s="62">
        <f t="shared" si="23"/>
        <v>11</v>
      </c>
      <c r="BD6" s="62">
        <f t="shared" si="24"/>
        <v>1</v>
      </c>
      <c r="BE6" s="62">
        <f t="shared" si="25"/>
        <v>7</v>
      </c>
      <c r="BF6" s="62">
        <f t="shared" si="26"/>
        <v>7</v>
      </c>
    </row>
    <row r="7" spans="1:58" ht="24" customHeight="1" x14ac:dyDescent="0.25">
      <c r="A7" s="139">
        <v>6</v>
      </c>
      <c r="B7" s="25" t="str">
        <f t="shared" si="2"/>
        <v>FAT PIPE FLORBAL CHODOV</v>
      </c>
      <c r="C7" s="77">
        <f t="shared" si="3"/>
        <v>2</v>
      </c>
      <c r="D7" s="77">
        <f t="shared" si="4"/>
        <v>1</v>
      </c>
      <c r="E7" s="77">
        <f t="shared" si="5"/>
        <v>0</v>
      </c>
      <c r="F7" s="77">
        <f t="shared" si="6"/>
        <v>1</v>
      </c>
      <c r="G7" s="77">
        <f t="shared" si="7"/>
        <v>0</v>
      </c>
      <c r="H7" s="79">
        <f t="shared" si="8"/>
        <v>4</v>
      </c>
      <c r="I7" s="77">
        <f t="shared" si="9"/>
        <v>11</v>
      </c>
      <c r="J7" s="77">
        <f t="shared" si="10"/>
        <v>11</v>
      </c>
      <c r="K7" s="77">
        <f t="shared" si="11"/>
        <v>0</v>
      </c>
      <c r="L7" s="77">
        <f t="shared" si="12"/>
        <v>4</v>
      </c>
      <c r="M7" s="77">
        <f t="shared" si="13"/>
        <v>2</v>
      </c>
      <c r="N7" s="77">
        <f t="shared" si="14"/>
        <v>0</v>
      </c>
      <c r="O7" s="68">
        <f t="shared" si="15"/>
        <v>50</v>
      </c>
      <c r="P7" s="77">
        <f t="shared" si="16"/>
        <v>8</v>
      </c>
      <c r="Q7" s="77">
        <f t="shared" si="17"/>
        <v>2</v>
      </c>
      <c r="R7" s="77">
        <f t="shared" si="18"/>
        <v>0</v>
      </c>
      <c r="S7" s="68">
        <f t="shared" si="19"/>
        <v>75</v>
      </c>
      <c r="T7" s="77">
        <f t="shared" si="20"/>
        <v>18</v>
      </c>
      <c r="U7" s="77">
        <f t="shared" si="21"/>
        <v>50</v>
      </c>
      <c r="V7" s="69">
        <f t="shared" si="22"/>
        <v>22</v>
      </c>
      <c r="W7" s="73" t="s">
        <v>80</v>
      </c>
      <c r="X7" s="72">
        <v>2</v>
      </c>
      <c r="Y7" s="72">
        <v>1</v>
      </c>
      <c r="Z7" s="72">
        <v>0</v>
      </c>
      <c r="AA7" s="72">
        <v>1</v>
      </c>
      <c r="AB7" s="72">
        <v>0</v>
      </c>
      <c r="AC7" s="72">
        <v>4</v>
      </c>
      <c r="AD7" s="72">
        <v>11</v>
      </c>
      <c r="AE7" s="72">
        <v>11</v>
      </c>
      <c r="AF7" s="72">
        <v>0</v>
      </c>
      <c r="AG7" s="72">
        <v>4</v>
      </c>
      <c r="AH7" s="72">
        <v>2</v>
      </c>
      <c r="AI7" s="72">
        <v>0</v>
      </c>
      <c r="AJ7" s="71">
        <v>50</v>
      </c>
      <c r="AK7" s="72">
        <v>8</v>
      </c>
      <c r="AL7" s="72">
        <v>2</v>
      </c>
      <c r="AM7" s="72">
        <v>0</v>
      </c>
      <c r="AN7" s="71">
        <v>75</v>
      </c>
      <c r="AO7" s="72">
        <v>9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18</v>
      </c>
      <c r="AV7" s="72">
        <v>50</v>
      </c>
      <c r="AW7" s="71">
        <v>22</v>
      </c>
      <c r="AX7" s="72">
        <v>120</v>
      </c>
      <c r="AY7" s="72">
        <v>110</v>
      </c>
      <c r="AZ7" s="72">
        <v>115</v>
      </c>
      <c r="BA7" s="3" t="s">
        <v>79</v>
      </c>
      <c r="BB7" s="62" t="s">
        <v>103</v>
      </c>
      <c r="BC7" s="62">
        <f t="shared" si="23"/>
        <v>2</v>
      </c>
      <c r="BD7" s="62">
        <f t="shared" si="24"/>
        <v>10</v>
      </c>
      <c r="BE7" s="62">
        <f t="shared" si="25"/>
        <v>5</v>
      </c>
      <c r="BF7" s="62">
        <f t="shared" si="26"/>
        <v>12</v>
      </c>
    </row>
    <row r="8" spans="1:58" ht="24" customHeight="1" x14ac:dyDescent="0.25">
      <c r="A8" s="139">
        <v>7</v>
      </c>
      <c r="B8" s="25" t="str">
        <f t="shared" si="2"/>
        <v>1. SC TEMPISH Vítkovice</v>
      </c>
      <c r="C8" s="77">
        <f t="shared" si="3"/>
        <v>2</v>
      </c>
      <c r="D8" s="77">
        <f t="shared" si="4"/>
        <v>1</v>
      </c>
      <c r="E8" s="77">
        <f t="shared" si="5"/>
        <v>0</v>
      </c>
      <c r="F8" s="77">
        <f t="shared" si="6"/>
        <v>0</v>
      </c>
      <c r="G8" s="77">
        <f t="shared" si="7"/>
        <v>1</v>
      </c>
      <c r="H8" s="79">
        <f t="shared" si="8"/>
        <v>3</v>
      </c>
      <c r="I8" s="77">
        <f t="shared" si="9"/>
        <v>15</v>
      </c>
      <c r="J8" s="77">
        <f t="shared" si="10"/>
        <v>11</v>
      </c>
      <c r="K8" s="77">
        <f t="shared" si="11"/>
        <v>4</v>
      </c>
      <c r="L8" s="77">
        <f t="shared" si="12"/>
        <v>3</v>
      </c>
      <c r="M8" s="77">
        <f t="shared" si="13"/>
        <v>2</v>
      </c>
      <c r="N8" s="77">
        <f t="shared" si="14"/>
        <v>0</v>
      </c>
      <c r="O8" s="68">
        <f t="shared" si="15"/>
        <v>66.67</v>
      </c>
      <c r="P8" s="77">
        <f t="shared" si="16"/>
        <v>2</v>
      </c>
      <c r="Q8" s="77">
        <f t="shared" si="17"/>
        <v>0</v>
      </c>
      <c r="R8" s="77">
        <f t="shared" si="18"/>
        <v>1</v>
      </c>
      <c r="S8" s="68">
        <f t="shared" si="19"/>
        <v>100</v>
      </c>
      <c r="T8" s="77">
        <f t="shared" si="20"/>
        <v>4</v>
      </c>
      <c r="U8" s="77">
        <f t="shared" si="21"/>
        <v>69</v>
      </c>
      <c r="V8" s="69">
        <f t="shared" si="22"/>
        <v>24.64</v>
      </c>
      <c r="W8" s="73" t="s">
        <v>76</v>
      </c>
      <c r="X8" s="72">
        <v>2</v>
      </c>
      <c r="Y8" s="72">
        <v>1</v>
      </c>
      <c r="Z8" s="72">
        <v>0</v>
      </c>
      <c r="AA8" s="72">
        <v>0</v>
      </c>
      <c r="AB8" s="72">
        <v>1</v>
      </c>
      <c r="AC8" s="72">
        <v>3</v>
      </c>
      <c r="AD8" s="72">
        <v>15</v>
      </c>
      <c r="AE8" s="72">
        <v>11</v>
      </c>
      <c r="AF8" s="72">
        <v>4</v>
      </c>
      <c r="AG8" s="72">
        <v>3</v>
      </c>
      <c r="AH8" s="72">
        <v>2</v>
      </c>
      <c r="AI8" s="72">
        <v>0</v>
      </c>
      <c r="AJ8" s="71">
        <v>66.67</v>
      </c>
      <c r="AK8" s="72">
        <v>2</v>
      </c>
      <c r="AL8" s="72">
        <v>0</v>
      </c>
      <c r="AM8" s="72">
        <v>1</v>
      </c>
      <c r="AN8" s="71">
        <v>100</v>
      </c>
      <c r="AO8" s="72">
        <v>2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4</v>
      </c>
      <c r="AV8" s="72">
        <v>69</v>
      </c>
      <c r="AW8" s="71">
        <v>24.64</v>
      </c>
      <c r="AX8" s="72">
        <v>133</v>
      </c>
      <c r="AY8" s="72">
        <v>103</v>
      </c>
      <c r="AZ8" s="72">
        <v>118</v>
      </c>
      <c r="BA8" s="3" t="s">
        <v>86</v>
      </c>
      <c r="BB8" s="62" t="s">
        <v>109</v>
      </c>
      <c r="BC8" s="62">
        <f t="shared" si="23"/>
        <v>13</v>
      </c>
      <c r="BD8" s="62">
        <f t="shared" si="24"/>
        <v>11</v>
      </c>
      <c r="BE8" s="62">
        <f t="shared" si="25"/>
        <v>11</v>
      </c>
      <c r="BF8" s="62">
        <f t="shared" si="26"/>
        <v>7</v>
      </c>
    </row>
    <row r="9" spans="1:58" ht="24" customHeight="1" x14ac:dyDescent="0.25">
      <c r="A9" s="139">
        <v>8</v>
      </c>
      <c r="B9" s="25" t="str">
        <f t="shared" si="2"/>
        <v>ACEMA Sparta Praha</v>
      </c>
      <c r="C9" s="77">
        <f t="shared" si="3"/>
        <v>2</v>
      </c>
      <c r="D9" s="77">
        <f t="shared" si="4"/>
        <v>1</v>
      </c>
      <c r="E9" s="77">
        <f t="shared" si="5"/>
        <v>0</v>
      </c>
      <c r="F9" s="77">
        <f t="shared" si="6"/>
        <v>0</v>
      </c>
      <c r="G9" s="77">
        <f t="shared" si="7"/>
        <v>1</v>
      </c>
      <c r="H9" s="79">
        <f t="shared" si="8"/>
        <v>3</v>
      </c>
      <c r="I9" s="77">
        <f t="shared" si="9"/>
        <v>9</v>
      </c>
      <c r="J9" s="77">
        <f t="shared" si="10"/>
        <v>9</v>
      </c>
      <c r="K9" s="77">
        <f t="shared" si="11"/>
        <v>0</v>
      </c>
      <c r="L9" s="77">
        <f t="shared" si="12"/>
        <v>8</v>
      </c>
      <c r="M9" s="77">
        <f t="shared" si="13"/>
        <v>3</v>
      </c>
      <c r="N9" s="77">
        <f t="shared" si="14"/>
        <v>1</v>
      </c>
      <c r="O9" s="68">
        <f t="shared" si="15"/>
        <v>37.5</v>
      </c>
      <c r="P9" s="77">
        <f t="shared" si="16"/>
        <v>1</v>
      </c>
      <c r="Q9" s="77">
        <f t="shared" si="17"/>
        <v>0</v>
      </c>
      <c r="R9" s="77">
        <f t="shared" si="18"/>
        <v>0</v>
      </c>
      <c r="S9" s="68">
        <f t="shared" si="19"/>
        <v>100</v>
      </c>
      <c r="T9" s="77">
        <f t="shared" si="20"/>
        <v>2</v>
      </c>
      <c r="U9" s="77">
        <f t="shared" si="21"/>
        <v>65</v>
      </c>
      <c r="V9" s="69">
        <f t="shared" si="22"/>
        <v>26.15</v>
      </c>
      <c r="W9" s="73" t="s">
        <v>82</v>
      </c>
      <c r="X9" s="72">
        <v>2</v>
      </c>
      <c r="Y9" s="72">
        <v>1</v>
      </c>
      <c r="Z9" s="72">
        <v>0</v>
      </c>
      <c r="AA9" s="72">
        <v>0</v>
      </c>
      <c r="AB9" s="72">
        <v>1</v>
      </c>
      <c r="AC9" s="72">
        <v>3</v>
      </c>
      <c r="AD9" s="72">
        <v>9</v>
      </c>
      <c r="AE9" s="72">
        <v>9</v>
      </c>
      <c r="AF9" s="72">
        <v>0</v>
      </c>
      <c r="AG9" s="72">
        <v>8</v>
      </c>
      <c r="AH9" s="72">
        <v>3</v>
      </c>
      <c r="AI9" s="72">
        <v>1</v>
      </c>
      <c r="AJ9" s="71">
        <v>37.5</v>
      </c>
      <c r="AK9" s="72">
        <v>1</v>
      </c>
      <c r="AL9" s="72">
        <v>0</v>
      </c>
      <c r="AM9" s="72">
        <v>0</v>
      </c>
      <c r="AN9" s="71">
        <v>100</v>
      </c>
      <c r="AO9" s="72">
        <v>1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2</v>
      </c>
      <c r="AV9" s="72">
        <v>65</v>
      </c>
      <c r="AW9" s="71">
        <v>26.15</v>
      </c>
      <c r="AX9" s="72">
        <v>359</v>
      </c>
      <c r="AY9" s="72">
        <v>192</v>
      </c>
      <c r="AZ9" s="72">
        <v>276</v>
      </c>
      <c r="BA9" s="3" t="s">
        <v>78</v>
      </c>
      <c r="BB9" s="62" t="s">
        <v>102</v>
      </c>
      <c r="BC9" s="62">
        <f t="shared" si="23"/>
        <v>3</v>
      </c>
      <c r="BD9" s="62">
        <f t="shared" si="24"/>
        <v>4</v>
      </c>
      <c r="BE9" s="62">
        <f t="shared" si="25"/>
        <v>12</v>
      </c>
      <c r="BF9" s="62">
        <f t="shared" si="26"/>
        <v>1</v>
      </c>
    </row>
    <row r="10" spans="1:58" ht="24" customHeight="1" x14ac:dyDescent="0.25">
      <c r="A10" s="139">
        <v>9</v>
      </c>
      <c r="B10" s="25" t="str">
        <f t="shared" si="2"/>
        <v>SOKOLI Pardubice</v>
      </c>
      <c r="C10" s="77">
        <f t="shared" si="3"/>
        <v>2</v>
      </c>
      <c r="D10" s="77">
        <f t="shared" si="4"/>
        <v>1</v>
      </c>
      <c r="E10" s="77">
        <f t="shared" si="5"/>
        <v>0</v>
      </c>
      <c r="F10" s="77">
        <f t="shared" si="6"/>
        <v>0</v>
      </c>
      <c r="G10" s="77">
        <f t="shared" si="7"/>
        <v>1</v>
      </c>
      <c r="H10" s="79">
        <f t="shared" si="8"/>
        <v>3</v>
      </c>
      <c r="I10" s="77">
        <f t="shared" si="9"/>
        <v>11</v>
      </c>
      <c r="J10" s="77">
        <f t="shared" si="10"/>
        <v>16</v>
      </c>
      <c r="K10" s="77">
        <f t="shared" si="11"/>
        <v>-5</v>
      </c>
      <c r="L10" s="77">
        <f t="shared" si="12"/>
        <v>2</v>
      </c>
      <c r="M10" s="77">
        <f t="shared" si="13"/>
        <v>0</v>
      </c>
      <c r="N10" s="77">
        <f t="shared" si="14"/>
        <v>0</v>
      </c>
      <c r="O10" s="68">
        <f t="shared" si="15"/>
        <v>0</v>
      </c>
      <c r="P10" s="77">
        <f t="shared" si="16"/>
        <v>2</v>
      </c>
      <c r="Q10" s="77">
        <f t="shared" si="17"/>
        <v>0</v>
      </c>
      <c r="R10" s="77">
        <f t="shared" si="18"/>
        <v>0</v>
      </c>
      <c r="S10" s="68">
        <f t="shared" si="19"/>
        <v>100</v>
      </c>
      <c r="T10" s="77">
        <f t="shared" si="20"/>
        <v>4</v>
      </c>
      <c r="U10" s="77">
        <f t="shared" si="21"/>
        <v>57</v>
      </c>
      <c r="V10" s="69">
        <f t="shared" si="22"/>
        <v>26.32</v>
      </c>
      <c r="W10" s="73" t="s">
        <v>85</v>
      </c>
      <c r="X10" s="72">
        <v>2</v>
      </c>
      <c r="Y10" s="72">
        <v>1</v>
      </c>
      <c r="Z10" s="72">
        <v>0</v>
      </c>
      <c r="AA10" s="72">
        <v>0</v>
      </c>
      <c r="AB10" s="72">
        <v>1</v>
      </c>
      <c r="AC10" s="72">
        <v>3</v>
      </c>
      <c r="AD10" s="72">
        <v>11</v>
      </c>
      <c r="AE10" s="72">
        <v>16</v>
      </c>
      <c r="AF10" s="72">
        <v>-5</v>
      </c>
      <c r="AG10" s="72">
        <v>2</v>
      </c>
      <c r="AH10" s="72">
        <v>0</v>
      </c>
      <c r="AI10" s="72">
        <v>0</v>
      </c>
      <c r="AJ10" s="71">
        <v>0</v>
      </c>
      <c r="AK10" s="72">
        <v>2</v>
      </c>
      <c r="AL10" s="72">
        <v>0</v>
      </c>
      <c r="AM10" s="72">
        <v>0</v>
      </c>
      <c r="AN10" s="71">
        <v>100</v>
      </c>
      <c r="AO10" s="72">
        <v>2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4</v>
      </c>
      <c r="AV10" s="72">
        <v>57</v>
      </c>
      <c r="AW10" s="71">
        <v>26.32</v>
      </c>
      <c r="AX10" s="72">
        <v>205</v>
      </c>
      <c r="AY10" s="72">
        <v>133</v>
      </c>
      <c r="AZ10" s="72">
        <v>169</v>
      </c>
      <c r="BA10" s="3" t="s">
        <v>84</v>
      </c>
      <c r="BB10" s="62" t="s">
        <v>107</v>
      </c>
      <c r="BC10" s="62">
        <f t="shared" si="23"/>
        <v>12</v>
      </c>
      <c r="BD10" s="62">
        <f t="shared" si="24"/>
        <v>1</v>
      </c>
      <c r="BE10" s="62">
        <f t="shared" si="25"/>
        <v>9</v>
      </c>
      <c r="BF10" s="62">
        <f t="shared" si="26"/>
        <v>11</v>
      </c>
    </row>
    <row r="11" spans="1:58" ht="24" customHeight="1" x14ac:dyDescent="0.25">
      <c r="A11" s="139">
        <v>10</v>
      </c>
      <c r="B11" s="25" t="str">
        <f t="shared" si="2"/>
        <v>Navláčil PANTHERS OTROKOVICE</v>
      </c>
      <c r="C11" s="77">
        <f t="shared" si="3"/>
        <v>2</v>
      </c>
      <c r="D11" s="77">
        <f t="shared" si="4"/>
        <v>0</v>
      </c>
      <c r="E11" s="77">
        <f t="shared" si="5"/>
        <v>0</v>
      </c>
      <c r="F11" s="77">
        <f t="shared" si="6"/>
        <v>0</v>
      </c>
      <c r="G11" s="77">
        <f t="shared" si="7"/>
        <v>2</v>
      </c>
      <c r="H11" s="79">
        <f t="shared" si="8"/>
        <v>0</v>
      </c>
      <c r="I11" s="77">
        <f t="shared" si="9"/>
        <v>10</v>
      </c>
      <c r="J11" s="77">
        <f t="shared" si="10"/>
        <v>13</v>
      </c>
      <c r="K11" s="77">
        <f t="shared" si="11"/>
        <v>-3</v>
      </c>
      <c r="L11" s="77">
        <f t="shared" si="12"/>
        <v>6</v>
      </c>
      <c r="M11" s="77">
        <f t="shared" si="13"/>
        <v>3</v>
      </c>
      <c r="N11" s="77">
        <f t="shared" si="14"/>
        <v>0</v>
      </c>
      <c r="O11" s="68">
        <f t="shared" si="15"/>
        <v>50</v>
      </c>
      <c r="P11" s="77">
        <f t="shared" si="16"/>
        <v>3</v>
      </c>
      <c r="Q11" s="77">
        <f t="shared" si="17"/>
        <v>1</v>
      </c>
      <c r="R11" s="77">
        <f t="shared" si="18"/>
        <v>0</v>
      </c>
      <c r="S11" s="68">
        <f t="shared" si="19"/>
        <v>66.67</v>
      </c>
      <c r="T11" s="77">
        <f t="shared" si="20"/>
        <v>6</v>
      </c>
      <c r="U11" s="77">
        <f t="shared" si="21"/>
        <v>37</v>
      </c>
      <c r="V11" s="69">
        <f t="shared" si="22"/>
        <v>27.03</v>
      </c>
      <c r="W11" s="73" t="s">
        <v>81</v>
      </c>
      <c r="X11" s="72">
        <v>2</v>
      </c>
      <c r="Y11" s="72">
        <v>0</v>
      </c>
      <c r="Z11" s="72">
        <v>0</v>
      </c>
      <c r="AA11" s="72">
        <v>0</v>
      </c>
      <c r="AB11" s="72">
        <v>2</v>
      </c>
      <c r="AC11" s="72">
        <v>0</v>
      </c>
      <c r="AD11" s="72">
        <v>10</v>
      </c>
      <c r="AE11" s="72">
        <v>13</v>
      </c>
      <c r="AF11" s="72">
        <v>-3</v>
      </c>
      <c r="AG11" s="72">
        <v>6</v>
      </c>
      <c r="AH11" s="72">
        <v>3</v>
      </c>
      <c r="AI11" s="72">
        <v>0</v>
      </c>
      <c r="AJ11" s="71">
        <v>50</v>
      </c>
      <c r="AK11" s="72">
        <v>3</v>
      </c>
      <c r="AL11" s="72">
        <v>1</v>
      </c>
      <c r="AM11" s="72">
        <v>0</v>
      </c>
      <c r="AN11" s="71">
        <v>66.67</v>
      </c>
      <c r="AO11" s="72">
        <v>3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6</v>
      </c>
      <c r="AV11" s="72">
        <v>37</v>
      </c>
      <c r="AW11" s="71">
        <v>27.03</v>
      </c>
      <c r="AX11" s="72">
        <v>110</v>
      </c>
      <c r="AY11" s="72">
        <v>131</v>
      </c>
      <c r="AZ11" s="72">
        <v>120</v>
      </c>
      <c r="BA11" s="3" t="s">
        <v>81</v>
      </c>
      <c r="BB11" s="62" t="s">
        <v>104</v>
      </c>
      <c r="BC11" s="62">
        <f t="shared" si="23"/>
        <v>10</v>
      </c>
      <c r="BD11" s="62">
        <f t="shared" si="24"/>
        <v>6</v>
      </c>
      <c r="BE11" s="62">
        <f t="shared" si="25"/>
        <v>7</v>
      </c>
      <c r="BF11" s="62">
        <f t="shared" si="26"/>
        <v>7</v>
      </c>
    </row>
    <row r="12" spans="1:58" ht="24" customHeight="1" x14ac:dyDescent="0.25">
      <c r="A12" s="139">
        <v>11</v>
      </c>
      <c r="B12" s="25" t="str">
        <f t="shared" si="2"/>
        <v>FBC 4CLEAN Česká Lípa</v>
      </c>
      <c r="C12" s="77">
        <f t="shared" si="3"/>
        <v>2</v>
      </c>
      <c r="D12" s="77">
        <f t="shared" si="4"/>
        <v>0</v>
      </c>
      <c r="E12" s="77">
        <f t="shared" si="5"/>
        <v>0</v>
      </c>
      <c r="F12" s="77">
        <f t="shared" si="6"/>
        <v>0</v>
      </c>
      <c r="G12" s="77">
        <f t="shared" si="7"/>
        <v>2</v>
      </c>
      <c r="H12" s="79">
        <f t="shared" si="8"/>
        <v>0</v>
      </c>
      <c r="I12" s="77">
        <f t="shared" si="9"/>
        <v>10</v>
      </c>
      <c r="J12" s="77">
        <f t="shared" si="10"/>
        <v>16</v>
      </c>
      <c r="K12" s="77">
        <f t="shared" si="11"/>
        <v>-6</v>
      </c>
      <c r="L12" s="77">
        <f t="shared" si="12"/>
        <v>1</v>
      </c>
      <c r="M12" s="77">
        <f t="shared" si="13"/>
        <v>1</v>
      </c>
      <c r="N12" s="77">
        <f t="shared" si="14"/>
        <v>0</v>
      </c>
      <c r="O12" s="68">
        <f t="shared" si="15"/>
        <v>100</v>
      </c>
      <c r="P12" s="77">
        <f t="shared" si="16"/>
        <v>3</v>
      </c>
      <c r="Q12" s="77">
        <f t="shared" si="17"/>
        <v>1</v>
      </c>
      <c r="R12" s="77">
        <f t="shared" si="18"/>
        <v>0</v>
      </c>
      <c r="S12" s="68">
        <f t="shared" si="19"/>
        <v>66.67</v>
      </c>
      <c r="T12" s="77">
        <f t="shared" si="20"/>
        <v>6</v>
      </c>
      <c r="U12" s="77">
        <f t="shared" si="21"/>
        <v>50</v>
      </c>
      <c r="V12" s="69">
        <f t="shared" si="22"/>
        <v>30</v>
      </c>
      <c r="W12" s="73" t="s">
        <v>83</v>
      </c>
      <c r="X12" s="72">
        <v>2</v>
      </c>
      <c r="Y12" s="72">
        <v>0</v>
      </c>
      <c r="Z12" s="72">
        <v>0</v>
      </c>
      <c r="AA12" s="72">
        <v>0</v>
      </c>
      <c r="AB12" s="72">
        <v>2</v>
      </c>
      <c r="AC12" s="72">
        <v>0</v>
      </c>
      <c r="AD12" s="72">
        <v>10</v>
      </c>
      <c r="AE12" s="72">
        <v>16</v>
      </c>
      <c r="AF12" s="72">
        <v>-6</v>
      </c>
      <c r="AG12" s="72">
        <v>1</v>
      </c>
      <c r="AH12" s="72">
        <v>1</v>
      </c>
      <c r="AI12" s="72">
        <v>0</v>
      </c>
      <c r="AJ12" s="71">
        <v>100</v>
      </c>
      <c r="AK12" s="72">
        <v>3</v>
      </c>
      <c r="AL12" s="72">
        <v>1</v>
      </c>
      <c r="AM12" s="72">
        <v>0</v>
      </c>
      <c r="AN12" s="71">
        <v>66.67</v>
      </c>
      <c r="AO12" s="72">
        <v>3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6</v>
      </c>
      <c r="AV12" s="72">
        <v>50</v>
      </c>
      <c r="AW12" s="71">
        <v>30</v>
      </c>
      <c r="AX12" s="72">
        <v>202</v>
      </c>
      <c r="AY12" s="72">
        <v>107</v>
      </c>
      <c r="AZ12" s="72">
        <v>154</v>
      </c>
      <c r="BA12" s="3" t="s">
        <v>75</v>
      </c>
      <c r="BB12" s="62" t="s">
        <v>23</v>
      </c>
      <c r="BC12" s="62">
        <f t="shared" si="23"/>
        <v>5</v>
      </c>
      <c r="BD12" s="62">
        <f t="shared" si="24"/>
        <v>11</v>
      </c>
      <c r="BE12" s="62">
        <f t="shared" si="25"/>
        <v>9</v>
      </c>
      <c r="BF12" s="62">
        <f t="shared" si="26"/>
        <v>13</v>
      </c>
    </row>
    <row r="13" spans="1:58" ht="24" customHeight="1" x14ac:dyDescent="0.25">
      <c r="A13" s="139">
        <v>12</v>
      </c>
      <c r="B13" s="25" t="str">
        <f t="shared" si="2"/>
        <v>FBŠ Hummel Hattrick Brno</v>
      </c>
      <c r="C13" s="77">
        <f t="shared" si="3"/>
        <v>2</v>
      </c>
      <c r="D13" s="77">
        <f t="shared" si="4"/>
        <v>0</v>
      </c>
      <c r="E13" s="77">
        <f t="shared" si="5"/>
        <v>0</v>
      </c>
      <c r="F13" s="77">
        <f t="shared" si="6"/>
        <v>0</v>
      </c>
      <c r="G13" s="77">
        <f t="shared" si="7"/>
        <v>2</v>
      </c>
      <c r="H13" s="79">
        <f t="shared" si="8"/>
        <v>0</v>
      </c>
      <c r="I13" s="77">
        <f t="shared" si="9"/>
        <v>6</v>
      </c>
      <c r="J13" s="77">
        <f t="shared" si="10"/>
        <v>12</v>
      </c>
      <c r="K13" s="77">
        <f t="shared" si="11"/>
        <v>-6</v>
      </c>
      <c r="L13" s="77">
        <f t="shared" si="12"/>
        <v>3</v>
      </c>
      <c r="M13" s="77">
        <f t="shared" si="13"/>
        <v>3</v>
      </c>
      <c r="N13" s="77">
        <f t="shared" si="14"/>
        <v>0</v>
      </c>
      <c r="O13" s="68">
        <f t="shared" si="15"/>
        <v>100</v>
      </c>
      <c r="P13" s="77">
        <f t="shared" si="16"/>
        <v>4</v>
      </c>
      <c r="Q13" s="77">
        <f t="shared" si="17"/>
        <v>2</v>
      </c>
      <c r="R13" s="77">
        <f t="shared" si="18"/>
        <v>0</v>
      </c>
      <c r="S13" s="68">
        <f t="shared" si="19"/>
        <v>50</v>
      </c>
      <c r="T13" s="77">
        <f t="shared" si="20"/>
        <v>8</v>
      </c>
      <c r="U13" s="77">
        <f t="shared" si="21"/>
        <v>48</v>
      </c>
      <c r="V13" s="69">
        <f t="shared" si="22"/>
        <v>31.25</v>
      </c>
      <c r="W13" s="73" t="s">
        <v>84</v>
      </c>
      <c r="X13" s="72">
        <v>2</v>
      </c>
      <c r="Y13" s="72">
        <v>0</v>
      </c>
      <c r="Z13" s="72">
        <v>0</v>
      </c>
      <c r="AA13" s="72">
        <v>0</v>
      </c>
      <c r="AB13" s="72">
        <v>2</v>
      </c>
      <c r="AC13" s="72">
        <v>0</v>
      </c>
      <c r="AD13" s="72">
        <v>6</v>
      </c>
      <c r="AE13" s="72">
        <v>12</v>
      </c>
      <c r="AF13" s="72">
        <v>-6</v>
      </c>
      <c r="AG13" s="72">
        <v>3</v>
      </c>
      <c r="AH13" s="72">
        <v>3</v>
      </c>
      <c r="AI13" s="72">
        <v>0</v>
      </c>
      <c r="AJ13" s="71">
        <v>100</v>
      </c>
      <c r="AK13" s="72">
        <v>4</v>
      </c>
      <c r="AL13" s="72">
        <v>2</v>
      </c>
      <c r="AM13" s="72">
        <v>0</v>
      </c>
      <c r="AN13" s="71">
        <v>50</v>
      </c>
      <c r="AO13" s="72">
        <v>4</v>
      </c>
      <c r="AP13" s="72">
        <v>0</v>
      </c>
      <c r="AQ13" s="72">
        <v>0</v>
      </c>
      <c r="AR13" s="72">
        <v>0</v>
      </c>
      <c r="AS13" s="72">
        <v>0</v>
      </c>
      <c r="AT13" s="72">
        <v>0</v>
      </c>
      <c r="AU13" s="72">
        <v>8</v>
      </c>
      <c r="AV13" s="72">
        <v>48</v>
      </c>
      <c r="AW13" s="71">
        <v>31.25</v>
      </c>
      <c r="AX13" s="72">
        <v>65</v>
      </c>
      <c r="AY13" s="72">
        <v>205</v>
      </c>
      <c r="AZ13" s="72">
        <v>135</v>
      </c>
      <c r="BA13" s="3" t="s">
        <v>85</v>
      </c>
      <c r="BB13" s="62" t="s">
        <v>108</v>
      </c>
      <c r="BC13" s="62">
        <f t="shared" si="23"/>
        <v>9</v>
      </c>
      <c r="BD13" s="62">
        <f t="shared" si="24"/>
        <v>11</v>
      </c>
      <c r="BE13" s="62">
        <f t="shared" si="25"/>
        <v>1</v>
      </c>
      <c r="BF13" s="62">
        <f t="shared" si="26"/>
        <v>3</v>
      </c>
    </row>
    <row r="14" spans="1:58" ht="24" customHeight="1" x14ac:dyDescent="0.25">
      <c r="A14" s="139">
        <v>13</v>
      </c>
      <c r="B14" s="25" t="str">
        <f t="shared" si="2"/>
        <v>FBC Liberec</v>
      </c>
      <c r="C14" s="77">
        <f t="shared" si="3"/>
        <v>2</v>
      </c>
      <c r="D14" s="77">
        <f t="shared" si="4"/>
        <v>0</v>
      </c>
      <c r="E14" s="77">
        <f t="shared" si="5"/>
        <v>0</v>
      </c>
      <c r="F14" s="77">
        <f t="shared" si="6"/>
        <v>0</v>
      </c>
      <c r="G14" s="77">
        <f t="shared" si="7"/>
        <v>2</v>
      </c>
      <c r="H14" s="79">
        <f t="shared" si="8"/>
        <v>0</v>
      </c>
      <c r="I14" s="77">
        <f t="shared" si="9"/>
        <v>4</v>
      </c>
      <c r="J14" s="77">
        <f t="shared" si="10"/>
        <v>14</v>
      </c>
      <c r="K14" s="77">
        <f t="shared" si="11"/>
        <v>-10</v>
      </c>
      <c r="L14" s="77">
        <f t="shared" si="12"/>
        <v>2</v>
      </c>
      <c r="M14" s="77">
        <f t="shared" si="13"/>
        <v>0</v>
      </c>
      <c r="N14" s="77">
        <f t="shared" si="14"/>
        <v>0</v>
      </c>
      <c r="O14" s="68">
        <f t="shared" si="15"/>
        <v>0</v>
      </c>
      <c r="P14" s="77">
        <f t="shared" si="16"/>
        <v>3</v>
      </c>
      <c r="Q14" s="77">
        <f t="shared" si="17"/>
        <v>2</v>
      </c>
      <c r="R14" s="77">
        <f t="shared" si="18"/>
        <v>0</v>
      </c>
      <c r="S14" s="68">
        <f t="shared" si="19"/>
        <v>33.33</v>
      </c>
      <c r="T14" s="77">
        <f t="shared" si="20"/>
        <v>6</v>
      </c>
      <c r="U14" s="77">
        <f t="shared" si="21"/>
        <v>34</v>
      </c>
      <c r="V14" s="69">
        <f t="shared" si="22"/>
        <v>32.35</v>
      </c>
      <c r="W14" s="73" t="s">
        <v>86</v>
      </c>
      <c r="X14" s="72">
        <v>2</v>
      </c>
      <c r="Y14" s="72">
        <v>0</v>
      </c>
      <c r="Z14" s="72">
        <v>0</v>
      </c>
      <c r="AA14" s="72">
        <v>0</v>
      </c>
      <c r="AB14" s="72">
        <v>2</v>
      </c>
      <c r="AC14" s="72">
        <v>0</v>
      </c>
      <c r="AD14" s="72">
        <v>4</v>
      </c>
      <c r="AE14" s="72">
        <v>14</v>
      </c>
      <c r="AF14" s="72">
        <v>-10</v>
      </c>
      <c r="AG14" s="72">
        <v>2</v>
      </c>
      <c r="AH14" s="72">
        <v>0</v>
      </c>
      <c r="AI14" s="72">
        <v>0</v>
      </c>
      <c r="AJ14" s="71">
        <v>0</v>
      </c>
      <c r="AK14" s="72">
        <v>3</v>
      </c>
      <c r="AL14" s="72">
        <v>2</v>
      </c>
      <c r="AM14" s="72">
        <v>0</v>
      </c>
      <c r="AN14" s="71">
        <v>33.33</v>
      </c>
      <c r="AO14" s="72">
        <v>3</v>
      </c>
      <c r="AP14" s="72">
        <v>0</v>
      </c>
      <c r="AQ14" s="72">
        <v>0</v>
      </c>
      <c r="AR14" s="72">
        <v>0</v>
      </c>
      <c r="AS14" s="72">
        <v>0</v>
      </c>
      <c r="AT14" s="72">
        <v>0</v>
      </c>
      <c r="AU14" s="72">
        <v>6</v>
      </c>
      <c r="AV14" s="72">
        <v>34</v>
      </c>
      <c r="AW14" s="71">
        <v>32.35</v>
      </c>
      <c r="AX14" s="72">
        <v>192</v>
      </c>
      <c r="AY14" s="72">
        <v>265</v>
      </c>
      <c r="AZ14" s="72">
        <v>228</v>
      </c>
      <c r="BA14" s="3" t="s">
        <v>74</v>
      </c>
      <c r="BB14" s="62" t="s">
        <v>98</v>
      </c>
      <c r="BC14" s="62">
        <f t="shared" si="23"/>
        <v>1</v>
      </c>
      <c r="BD14" s="62">
        <f t="shared" si="24"/>
        <v>9</v>
      </c>
      <c r="BE14" s="62">
        <f t="shared" si="25"/>
        <v>12</v>
      </c>
      <c r="BF14" s="62">
        <f t="shared" si="26"/>
        <v>7</v>
      </c>
    </row>
    <row r="15" spans="1:58" ht="24" customHeight="1" thickBot="1" x14ac:dyDescent="0.3">
      <c r="A15" s="140">
        <v>14</v>
      </c>
      <c r="B15" s="135" t="str">
        <f t="shared" si="2"/>
        <v>TJ Sokol Královské Vinohrady</v>
      </c>
      <c r="C15" s="136">
        <f t="shared" si="3"/>
        <v>2</v>
      </c>
      <c r="D15" s="136">
        <f t="shared" si="4"/>
        <v>0</v>
      </c>
      <c r="E15" s="136">
        <f t="shared" si="5"/>
        <v>0</v>
      </c>
      <c r="F15" s="136">
        <f t="shared" si="6"/>
        <v>0</v>
      </c>
      <c r="G15" s="136">
        <f t="shared" si="7"/>
        <v>2</v>
      </c>
      <c r="H15" s="80">
        <f t="shared" si="8"/>
        <v>0</v>
      </c>
      <c r="I15" s="136">
        <f t="shared" si="9"/>
        <v>3</v>
      </c>
      <c r="J15" s="136">
        <f t="shared" si="10"/>
        <v>19</v>
      </c>
      <c r="K15" s="136">
        <f t="shared" si="11"/>
        <v>-16</v>
      </c>
      <c r="L15" s="136">
        <f t="shared" si="12"/>
        <v>3</v>
      </c>
      <c r="M15" s="136">
        <f t="shared" si="13"/>
        <v>0</v>
      </c>
      <c r="N15" s="136">
        <f t="shared" si="14"/>
        <v>0</v>
      </c>
      <c r="O15" s="137">
        <f t="shared" si="15"/>
        <v>0</v>
      </c>
      <c r="P15" s="136">
        <f t="shared" si="16"/>
        <v>2</v>
      </c>
      <c r="Q15" s="136">
        <f t="shared" si="17"/>
        <v>0</v>
      </c>
      <c r="R15" s="136">
        <f t="shared" si="18"/>
        <v>0</v>
      </c>
      <c r="S15" s="137">
        <f t="shared" si="19"/>
        <v>100</v>
      </c>
      <c r="T15" s="136">
        <f t="shared" si="20"/>
        <v>4</v>
      </c>
      <c r="U15" s="136">
        <f t="shared" si="21"/>
        <v>34</v>
      </c>
      <c r="V15" s="138">
        <f t="shared" si="22"/>
        <v>32.35</v>
      </c>
      <c r="W15" s="73" t="s">
        <v>87</v>
      </c>
      <c r="X15" s="72">
        <v>2</v>
      </c>
      <c r="Y15" s="72">
        <v>0</v>
      </c>
      <c r="Z15" s="72">
        <v>0</v>
      </c>
      <c r="AA15" s="72">
        <v>0</v>
      </c>
      <c r="AB15" s="72">
        <v>2</v>
      </c>
      <c r="AC15" s="72">
        <v>0</v>
      </c>
      <c r="AD15" s="72">
        <v>3</v>
      </c>
      <c r="AE15" s="72">
        <v>19</v>
      </c>
      <c r="AF15" s="72">
        <v>-16</v>
      </c>
      <c r="AG15" s="72">
        <v>3</v>
      </c>
      <c r="AH15" s="72">
        <v>0</v>
      </c>
      <c r="AI15" s="72">
        <v>0</v>
      </c>
      <c r="AJ15" s="71">
        <v>0</v>
      </c>
      <c r="AK15" s="72">
        <v>2</v>
      </c>
      <c r="AL15" s="72">
        <v>0</v>
      </c>
      <c r="AM15" s="72">
        <v>0</v>
      </c>
      <c r="AN15" s="71">
        <v>100</v>
      </c>
      <c r="AO15" s="72">
        <v>2</v>
      </c>
      <c r="AP15" s="72">
        <v>0</v>
      </c>
      <c r="AQ15" s="72">
        <v>0</v>
      </c>
      <c r="AR15" s="72">
        <v>0</v>
      </c>
      <c r="AS15" s="72">
        <v>0</v>
      </c>
      <c r="AT15" s="72">
        <v>0</v>
      </c>
      <c r="AU15" s="72">
        <v>4</v>
      </c>
      <c r="AV15" s="72">
        <v>34</v>
      </c>
      <c r="AW15" s="71">
        <v>32.35</v>
      </c>
      <c r="AX15" s="72">
        <v>124</v>
      </c>
      <c r="AY15" s="72">
        <v>117</v>
      </c>
      <c r="AZ15" s="72">
        <v>120</v>
      </c>
      <c r="BA15" s="3" t="s">
        <v>87</v>
      </c>
      <c r="BB15" s="62" t="s">
        <v>5</v>
      </c>
      <c r="BC15" s="62">
        <f t="shared" si="23"/>
        <v>14</v>
      </c>
      <c r="BD15" s="62">
        <f t="shared" si="24"/>
        <v>11</v>
      </c>
      <c r="BE15" s="62">
        <f t="shared" si="25"/>
        <v>1</v>
      </c>
      <c r="BF15" s="62">
        <f t="shared" si="26"/>
        <v>3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41" priority="20">
      <formula>MOD(ROW($A2),2)=1</formula>
    </cfRule>
  </conditionalFormatting>
  <conditionalFormatting sqref="A2:A15">
    <cfRule type="cellIs" dxfId="840" priority="1" operator="between">
      <formula>1</formula>
      <formula>6</formula>
    </cfRule>
    <cfRule type="cellIs" dxfId="839" priority="18" operator="between">
      <formula>7</formula>
      <formula>10</formula>
    </cfRule>
    <cfRule type="cellIs" dxfId="838" priority="19" operator="greaterThanOrEqual">
      <formula>11</formula>
    </cfRule>
  </conditionalFormatting>
  <conditionalFormatting sqref="I2:I15">
    <cfRule type="top10" dxfId="837" priority="16" bottom="1" rank="1"/>
    <cfRule type="top10" dxfId="836" priority="17" rank="1"/>
  </conditionalFormatting>
  <conditionalFormatting sqref="J2:J15">
    <cfRule type="top10" dxfId="835" priority="14" bottom="1" rank="1"/>
    <cfRule type="top10" dxfId="834" priority="15" rank="1"/>
  </conditionalFormatting>
  <conditionalFormatting sqref="K2:K15">
    <cfRule type="top10" dxfId="833" priority="12" bottom="1" rank="1"/>
    <cfRule type="top10" dxfId="832" priority="13" rank="1"/>
  </conditionalFormatting>
  <conditionalFormatting sqref="O2:O15">
    <cfRule type="top10" dxfId="831" priority="10" bottom="1" rank="1"/>
    <cfRule type="top10" dxfId="830" priority="11" rank="1"/>
  </conditionalFormatting>
  <conditionalFormatting sqref="S2:S15">
    <cfRule type="top10" dxfId="829" priority="8" bottom="1" rank="1"/>
    <cfRule type="top10" dxfId="828" priority="9" rank="1"/>
  </conditionalFormatting>
  <conditionalFormatting sqref="T2:T15">
    <cfRule type="top10" dxfId="827" priority="6" bottom="1" rank="1"/>
    <cfRule type="top10" dxfId="826" priority="7" rank="1"/>
  </conditionalFormatting>
  <conditionalFormatting sqref="U2:U15">
    <cfRule type="top10" dxfId="825" priority="4" bottom="1" rank="1"/>
    <cfRule type="top10" dxfId="824" priority="5" rank="1"/>
  </conditionalFormatting>
  <conditionalFormatting sqref="V2:V15">
    <cfRule type="top10" dxfId="823" priority="2" bottom="1" rank="1"/>
    <cfRule type="top10" dxfId="82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05" t="s">
        <v>5</v>
      </c>
      <c r="B1" s="205"/>
      <c r="C1" s="205"/>
      <c r="D1" s="205"/>
      <c r="E1" s="205"/>
      <c r="F1" s="205"/>
      <c r="G1" s="205"/>
      <c r="H1" s="205"/>
      <c r="I1" s="205"/>
      <c r="J1" s="205" t="s">
        <v>109</v>
      </c>
      <c r="K1" s="205"/>
      <c r="L1" s="205"/>
      <c r="M1" s="205"/>
      <c r="N1" s="205"/>
      <c r="O1" s="205"/>
      <c r="P1" s="205"/>
      <c r="Q1" s="205"/>
      <c r="R1" s="205"/>
      <c r="S1" s="268" t="s">
        <v>56</v>
      </c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70"/>
    </row>
    <row r="2" spans="1:31" ht="15" customHeight="1" thickBot="1" x14ac:dyDescent="0.3">
      <c r="A2" s="206"/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160" t="s">
        <v>51</v>
      </c>
      <c r="T2" s="161" t="s">
        <v>52</v>
      </c>
      <c r="U2" s="161" t="s">
        <v>28</v>
      </c>
      <c r="V2" s="162" t="s">
        <v>53</v>
      </c>
      <c r="W2" s="163" t="s">
        <v>230</v>
      </c>
      <c r="X2" s="271" t="s">
        <v>54</v>
      </c>
      <c r="Y2" s="272"/>
      <c r="Z2" s="272"/>
      <c r="AA2" s="272"/>
      <c r="AB2" s="65" t="s">
        <v>28</v>
      </c>
      <c r="AC2" s="272" t="s">
        <v>53</v>
      </c>
      <c r="AD2" s="272"/>
      <c r="AE2" s="273"/>
    </row>
    <row r="3" spans="1:31" ht="15" customHeight="1" thickTop="1" thickBot="1" x14ac:dyDescent="0.3">
      <c r="A3" s="211" t="str">
        <f>INDEX(tabulka!$BA$2:$BA$15,MATCH($A$1,tabulka!$BB$2:$BB$15,0))</f>
        <v>TJ Sokol Královské Vinohrady</v>
      </c>
      <c r="B3" s="211"/>
      <c r="C3" s="211"/>
      <c r="D3" s="211"/>
      <c r="E3" s="211"/>
      <c r="F3" s="211"/>
      <c r="G3" s="211"/>
      <c r="H3" s="211"/>
      <c r="I3" s="211"/>
      <c r="J3" s="211" t="str">
        <f>INDEX(tabulka!$BA$2:$BA$15,MATCH($J$1,tabulka!$BB$2:$BB$15,0))</f>
        <v>FBC Liberec</v>
      </c>
      <c r="K3" s="211"/>
      <c r="L3" s="211"/>
      <c r="M3" s="211"/>
      <c r="N3" s="211"/>
      <c r="O3" s="211"/>
      <c r="P3" s="211"/>
      <c r="Q3" s="211"/>
      <c r="R3" s="211"/>
      <c r="S3" s="164" t="s">
        <v>5</v>
      </c>
      <c r="T3" s="165" t="s">
        <v>109</v>
      </c>
      <c r="U3" s="165" t="s">
        <v>115</v>
      </c>
      <c r="V3" s="166" t="s">
        <v>116</v>
      </c>
      <c r="W3" s="167" t="s">
        <v>43</v>
      </c>
      <c r="X3" s="274" t="str">
        <f>IF(S3&lt;&gt;"",CONCATENATE(S3, " - ",T3),"")</f>
        <v>SKV - LIB</v>
      </c>
      <c r="Y3" s="274"/>
      <c r="Z3" s="274"/>
      <c r="AA3" s="275"/>
      <c r="AB3" s="176" t="str">
        <f>IF(U3&lt;&gt;"",U3,"")</f>
        <v>4:11</v>
      </c>
      <c r="AC3" s="308" t="str">
        <f>IF(AND(V3&lt;&gt;"",W3&lt;&gt;""),CONCATENATE(V3," (",W3,")"),IF(V3&lt;&gt;"",V3,""))</f>
        <v>2020/2021 (ZČ)</v>
      </c>
      <c r="AD3" s="274"/>
      <c r="AE3" s="309"/>
    </row>
    <row r="4" spans="1:31" ht="15" customHeight="1" thickTop="1" thickBot="1" x14ac:dyDescent="0.3">
      <c r="A4" s="207" t="s">
        <v>25</v>
      </c>
      <c r="B4" s="208"/>
      <c r="C4" s="28" t="s">
        <v>26</v>
      </c>
      <c r="D4" s="28" t="s">
        <v>27</v>
      </c>
      <c r="E4" s="208" t="s">
        <v>28</v>
      </c>
      <c r="F4" s="208"/>
      <c r="G4" s="28" t="s">
        <v>29</v>
      </c>
      <c r="H4" s="28" t="s">
        <v>30</v>
      </c>
      <c r="I4" s="29" t="s">
        <v>31</v>
      </c>
      <c r="J4" s="209" t="s">
        <v>25</v>
      </c>
      <c r="K4" s="210"/>
      <c r="L4" s="30" t="s">
        <v>26</v>
      </c>
      <c r="M4" s="30" t="s">
        <v>27</v>
      </c>
      <c r="N4" s="210" t="s">
        <v>28</v>
      </c>
      <c r="O4" s="210"/>
      <c r="P4" s="30" t="s">
        <v>29</v>
      </c>
      <c r="Q4" s="30" t="s">
        <v>30</v>
      </c>
      <c r="R4" s="64" t="s">
        <v>31</v>
      </c>
      <c r="S4" s="168" t="s">
        <v>109</v>
      </c>
      <c r="T4" s="169" t="s">
        <v>5</v>
      </c>
      <c r="U4" s="169" t="s">
        <v>117</v>
      </c>
      <c r="V4" s="170" t="s">
        <v>116</v>
      </c>
      <c r="W4" s="171" t="s">
        <v>43</v>
      </c>
      <c r="X4" s="178" t="str">
        <f t="shared" ref="X4:X14" si="0">IF(S4&lt;&gt;"",CONCATENATE(S4, " - ",T4),"")</f>
        <v>LIB - SKV</v>
      </c>
      <c r="Y4" s="178"/>
      <c r="Z4" s="178"/>
      <c r="AA4" s="179"/>
      <c r="AB4" s="149" t="str">
        <f t="shared" ref="AB4:AB14" si="1">IF(U4&lt;&gt;"",U4,"")</f>
        <v>6:5pn</v>
      </c>
      <c r="AC4" s="180" t="str">
        <f t="shared" ref="AC4:AC14" si="2">IF(AND(V4&lt;&gt;"",W4&lt;&gt;""),CONCATENATE(V4," (",W4,")"),IF(V4&lt;&gt;"",V4,""))</f>
        <v>2020/2021 (ZČ)</v>
      </c>
      <c r="AD4" s="178"/>
      <c r="AE4" s="181"/>
    </row>
    <row r="5" spans="1:31" ht="15" customHeight="1" thickBot="1" x14ac:dyDescent="0.3">
      <c r="A5" s="186" t="str">
        <f>IFERROR(CONCATENATE(VLOOKUP($A$1,tabulka!$BB$2:$BF$15,2,FALSE),". místo"),"")</f>
        <v>14. místo</v>
      </c>
      <c r="B5" s="187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2</v>
      </c>
      <c r="E5" s="187" t="str">
        <f>IFERROR(CONCATENATE(VLOOKUP($A$3,tabulka!$B$2:$V$15,8,FALSE),":",VLOOKUP($A$3,tabulka!$B$2:$V$15,9,FALSE)),"")</f>
        <v>3:19</v>
      </c>
      <c r="F5" s="187"/>
      <c r="G5" s="83">
        <f>IFERROR(VLOOKUP($A$3,tabulka!$B$2:$V$15,14,FALSE),"")</f>
        <v>0</v>
      </c>
      <c r="H5" s="83">
        <f>IFERROR(VLOOKUP($A$3,tabulka!$B$2:$V$15,18,FALSE),"")</f>
        <v>100</v>
      </c>
      <c r="I5" s="33">
        <f>IFERROR(VLOOKUP($A$3,tabulka!$B$2:$V$15,19,FALSE),"")</f>
        <v>4</v>
      </c>
      <c r="J5" s="188" t="str">
        <f>IFERROR(CONCATENATE(VLOOKUP($J$1,tabulka!$BB$2:$BF$15,2,FALSE),". místo"),"")</f>
        <v>13. místo</v>
      </c>
      <c r="K5" s="189"/>
      <c r="L5" s="34">
        <f>IFERROR(VLOOKUP($J$3,tabulka!$B$2:$V$15,3,FALSE)+VLOOKUP($J$3,tabulka!$B$2:$V$15,4,FALSE),"")</f>
        <v>0</v>
      </c>
      <c r="M5" s="35">
        <f>IFERROR(VLOOKUP($J$3,tabulka!$B$2:$V$15,5,FALSE)+VLOOKUP($J$3,tabulka!$B$2:$V$15,6,FALSE),"")</f>
        <v>2</v>
      </c>
      <c r="N5" s="189" t="str">
        <f>IFERROR(CONCATENATE(VLOOKUP($J$3,tabulka!$B$2:$V$15,8,FALSE),":",VLOOKUP($J$3,tabulka!$B$2:$V$15,9,FALSE)),"")</f>
        <v>4:14</v>
      </c>
      <c r="O5" s="189"/>
      <c r="P5" s="84">
        <f>IFERROR(VLOOKUP($J$3,tabulka!$B$2:$V$15,14,FALSE),"")</f>
        <v>0</v>
      </c>
      <c r="Q5" s="84">
        <f>IFERROR(VLOOKUP($J$3,tabulka!$B$2:$V$15,18,FALSE),"")</f>
        <v>33.33</v>
      </c>
      <c r="R5" s="35">
        <f>IFERROR(VLOOKUP($J$3,tabulka!$B$2:$V$15,19,FALSE),"")</f>
        <v>6</v>
      </c>
      <c r="S5" s="168" t="s">
        <v>109</v>
      </c>
      <c r="T5" s="169" t="s">
        <v>5</v>
      </c>
      <c r="U5" s="169" t="s">
        <v>118</v>
      </c>
      <c r="V5" s="170" t="s">
        <v>119</v>
      </c>
      <c r="W5" s="171" t="s">
        <v>43</v>
      </c>
      <c r="X5" s="178" t="str">
        <f t="shared" si="0"/>
        <v>LIB - SKV</v>
      </c>
      <c r="Y5" s="178"/>
      <c r="Z5" s="178"/>
      <c r="AA5" s="179"/>
      <c r="AB5" s="149" t="str">
        <f t="shared" si="1"/>
        <v>7:6p</v>
      </c>
      <c r="AC5" s="180" t="str">
        <f t="shared" si="2"/>
        <v>2019/2020 (ZČ)</v>
      </c>
      <c r="AD5" s="178"/>
      <c r="AE5" s="181"/>
    </row>
    <row r="6" spans="1:31" ht="15" customHeight="1" thickTop="1" x14ac:dyDescent="0.25">
      <c r="A6" s="26"/>
      <c r="B6" s="26"/>
      <c r="C6" s="26"/>
      <c r="D6" s="26"/>
      <c r="E6" s="214" t="s">
        <v>114</v>
      </c>
      <c r="F6" s="214"/>
      <c r="G6" s="36">
        <f>IFERROR(VLOOKUP($A$1,tabulka!$BB$2:$BF$15,3,FALSE),"")</f>
        <v>11</v>
      </c>
      <c r="H6" s="36">
        <f>IFERROR(VLOOKUP($A$1,tabulka!$BB$2:$BF$15,4,FALSE),"")</f>
        <v>1</v>
      </c>
      <c r="I6" s="36">
        <f>IFERROR(VLOOKUP($A$1,tabulka!$BB$2:$BF$15,5,FALSE),"")</f>
        <v>3</v>
      </c>
      <c r="J6" s="26"/>
      <c r="K6" s="26"/>
      <c r="L6" s="26"/>
      <c r="N6" s="214" t="s">
        <v>114</v>
      </c>
      <c r="O6" s="214"/>
      <c r="P6" s="36">
        <f>IFERROR(VLOOKUP($J$1,tabulka!$BB$2:$BF$15,3,FALSE),"")</f>
        <v>11</v>
      </c>
      <c r="Q6" s="36">
        <f>IFERROR(VLOOKUP($J$1,tabulka!$BB$2:$BF$15,4,FALSE),"")</f>
        <v>11</v>
      </c>
      <c r="R6" s="36">
        <f>IFERROR(VLOOKUP($J$1,tabulka!$BB$2:$BF$15,5,FALSE),"")</f>
        <v>7</v>
      </c>
      <c r="S6" s="168" t="s">
        <v>5</v>
      </c>
      <c r="T6" s="169" t="s">
        <v>109</v>
      </c>
      <c r="U6" s="169" t="s">
        <v>120</v>
      </c>
      <c r="V6" s="170" t="s">
        <v>119</v>
      </c>
      <c r="W6" s="171" t="s">
        <v>43</v>
      </c>
      <c r="X6" s="178" t="str">
        <f t="shared" si="0"/>
        <v>SKV - LIB</v>
      </c>
      <c r="Y6" s="178"/>
      <c r="Z6" s="178"/>
      <c r="AA6" s="179"/>
      <c r="AB6" s="149" t="str">
        <f t="shared" si="1"/>
        <v>5:3</v>
      </c>
      <c r="AC6" s="180" t="str">
        <f t="shared" si="2"/>
        <v>2019/2020 (ZČ)</v>
      </c>
      <c r="AD6" s="178"/>
      <c r="AE6" s="181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8" t="s">
        <v>109</v>
      </c>
      <c r="T7" s="169" t="s">
        <v>5</v>
      </c>
      <c r="U7" s="169" t="s">
        <v>121</v>
      </c>
      <c r="V7" s="170" t="s">
        <v>122</v>
      </c>
      <c r="W7" s="171" t="s">
        <v>43</v>
      </c>
      <c r="X7" s="178" t="str">
        <f t="shared" si="0"/>
        <v>LIB - SKV</v>
      </c>
      <c r="Y7" s="178"/>
      <c r="Z7" s="178"/>
      <c r="AA7" s="179"/>
      <c r="AB7" s="149" t="str">
        <f t="shared" si="1"/>
        <v>6:5</v>
      </c>
      <c r="AC7" s="180" t="str">
        <f t="shared" si="2"/>
        <v>2018/2019 (ZČ)</v>
      </c>
      <c r="AD7" s="178"/>
      <c r="AE7" s="181"/>
    </row>
    <row r="8" spans="1:31" ht="15" customHeight="1" thickTop="1" thickBot="1" x14ac:dyDescent="0.3">
      <c r="A8" s="190" t="s">
        <v>32</v>
      </c>
      <c r="B8" s="191"/>
      <c r="C8" s="192" t="str">
        <f ca="1">IFERROR(IF(INDIRECT("priprava_" &amp; A1 &amp; "!BY12")&lt;&gt;0,INDIRECT("priprava_" &amp; A1 &amp; "!BY12"),""),"")</f>
        <v>P - P</v>
      </c>
      <c r="D8" s="192"/>
      <c r="E8" s="192"/>
      <c r="F8" s="192"/>
      <c r="G8" s="192"/>
      <c r="H8" s="193"/>
      <c r="I8" s="25"/>
      <c r="J8" s="194" t="s">
        <v>32</v>
      </c>
      <c r="K8" s="195"/>
      <c r="L8" s="196" t="str">
        <f ca="1">IFERROR(IF(INDIRECT("priprava_" &amp; J1 &amp; "!BY12")&lt;&gt;0,INDIRECT("priprava_" &amp; J1 &amp; "!BY12"),""),"")</f>
        <v>P - P</v>
      </c>
      <c r="M8" s="196"/>
      <c r="N8" s="196"/>
      <c r="O8" s="196"/>
      <c r="P8" s="196"/>
      <c r="Q8" s="197"/>
      <c r="R8" s="25"/>
      <c r="S8" s="168" t="s">
        <v>5</v>
      </c>
      <c r="T8" s="169" t="s">
        <v>109</v>
      </c>
      <c r="U8" s="169" t="s">
        <v>123</v>
      </c>
      <c r="V8" s="170" t="s">
        <v>122</v>
      </c>
      <c r="W8" s="171" t="s">
        <v>43</v>
      </c>
      <c r="X8" s="178" t="str">
        <f t="shared" si="0"/>
        <v>SKV - LIB</v>
      </c>
      <c r="Y8" s="178"/>
      <c r="Z8" s="178"/>
      <c r="AA8" s="179"/>
      <c r="AB8" s="149" t="str">
        <f t="shared" si="1"/>
        <v>5:6</v>
      </c>
      <c r="AC8" s="180" t="str">
        <f t="shared" si="2"/>
        <v>2018/2019 (ZČ)</v>
      </c>
      <c r="AD8" s="178"/>
      <c r="AE8" s="181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8" t="s">
        <v>109</v>
      </c>
      <c r="T9" s="169" t="s">
        <v>5</v>
      </c>
      <c r="U9" s="169" t="s">
        <v>1080</v>
      </c>
      <c r="V9" s="170" t="s">
        <v>125</v>
      </c>
      <c r="W9" s="171" t="s">
        <v>44</v>
      </c>
      <c r="X9" s="178" t="str">
        <f t="shared" si="0"/>
        <v>LIB - SKV</v>
      </c>
      <c r="Y9" s="178"/>
      <c r="Z9" s="178"/>
      <c r="AA9" s="179"/>
      <c r="AB9" s="149" t="str">
        <f t="shared" si="1"/>
        <v>1:2</v>
      </c>
      <c r="AC9" s="180" t="str">
        <f t="shared" si="2"/>
        <v>2014/2015 (PD)</v>
      </c>
      <c r="AD9" s="178"/>
      <c r="AE9" s="181"/>
    </row>
    <row r="10" spans="1:31" ht="15" customHeight="1" thickTop="1" thickBot="1" x14ac:dyDescent="0.3">
      <c r="A10" s="207" t="s">
        <v>33</v>
      </c>
      <c r="B10" s="208"/>
      <c r="C10" s="208"/>
      <c r="D10" s="212"/>
      <c r="E10" s="213" t="s">
        <v>34</v>
      </c>
      <c r="F10" s="208"/>
      <c r="G10" s="208"/>
      <c r="H10" s="212"/>
      <c r="I10" s="25"/>
      <c r="J10" s="207" t="s">
        <v>33</v>
      </c>
      <c r="K10" s="208"/>
      <c r="L10" s="208"/>
      <c r="M10" s="212"/>
      <c r="N10" s="213" t="s">
        <v>34</v>
      </c>
      <c r="O10" s="208"/>
      <c r="P10" s="208"/>
      <c r="Q10" s="212"/>
      <c r="R10" s="37"/>
      <c r="S10" s="168" t="s">
        <v>5</v>
      </c>
      <c r="T10" s="169" t="s">
        <v>109</v>
      </c>
      <c r="U10" s="169" t="s">
        <v>1081</v>
      </c>
      <c r="V10" s="170" t="s">
        <v>125</v>
      </c>
      <c r="W10" s="171" t="s">
        <v>44</v>
      </c>
      <c r="X10" s="178" t="str">
        <f t="shared" si="0"/>
        <v>SKV - LIB</v>
      </c>
      <c r="Y10" s="178"/>
      <c r="Z10" s="178"/>
      <c r="AA10" s="179"/>
      <c r="AB10" s="149" t="str">
        <f t="shared" si="1"/>
        <v>8:4</v>
      </c>
      <c r="AC10" s="180" t="str">
        <f t="shared" si="2"/>
        <v>2014/2015 (PD)</v>
      </c>
      <c r="AD10" s="178"/>
      <c r="AE10" s="181"/>
    </row>
    <row r="11" spans="1:31" ht="15" customHeight="1" x14ac:dyDescent="0.25">
      <c r="A11" s="198" t="str">
        <f ca="1">IFERROR(IF(INDIRECT("priprava_" &amp; A$1 &amp; "!BZ2")&lt;&gt;"",INDIRECT("priprava_" &amp; A$1 &amp; "!BZ2"),""),"")</f>
        <v>OST</v>
      </c>
      <c r="B11" s="199"/>
      <c r="C11" s="200" t="str">
        <f ca="1">IFERROR(IF(A11&lt;&gt;"",INDIRECT("priprava_" &amp; A$1 &amp; "!CA2"),""),"")</f>
        <v>1:8</v>
      </c>
      <c r="D11" s="201"/>
      <c r="E11" s="202" t="str">
        <f ca="1">IFERROR(IF(INDIRECT("priprava_" &amp; A$1 &amp; "!BZ7")&lt;&gt;"",INDIRECT("priprava_" &amp; A$1 &amp; "!BZ7"),""),"")</f>
        <v>CHO</v>
      </c>
      <c r="F11" s="199"/>
      <c r="G11" s="200" t="str">
        <f ca="1">IFERROR(IF(E11&lt;&gt;"",INDIRECT("priprava_" &amp; A$1 &amp; "!BY7"),""),"")</f>
        <v>25. 9.</v>
      </c>
      <c r="H11" s="201"/>
      <c r="I11" s="25"/>
      <c r="J11" s="198" t="str">
        <f ca="1">IFERROR(IF(INDIRECT("priprava_" &amp; J$1 &amp; "!BZ2")&lt;&gt;"",INDIRECT("priprava_" &amp; J$1 &amp; "!BZ2"),""),"")</f>
        <v>SPA</v>
      </c>
      <c r="K11" s="199"/>
      <c r="L11" s="200" t="str">
        <f ca="1">IFERROR(IF(J11&lt;&gt;"",INDIRECT("priprava_" &amp; J$1 &amp; "!CA2"),""),"")</f>
        <v>2:4</v>
      </c>
      <c r="M11" s="201"/>
      <c r="N11" s="202" t="str">
        <f ca="1">IFERROR(IF(INDIRECT("priprava_" &amp; J$1 &amp; "!BZ7")&lt;&gt;"",INDIRECT("priprava_" &amp; J$1 &amp; "!BZ7"),""),"")</f>
        <v>TAT</v>
      </c>
      <c r="O11" s="199"/>
      <c r="P11" s="200" t="str">
        <f ca="1">IFERROR(IF(N11&lt;&gt;"",INDIRECT("priprava_" &amp; J$1 &amp; "!BY7"),""),"")</f>
        <v>26. 9.</v>
      </c>
      <c r="Q11" s="201"/>
      <c r="R11" s="38"/>
      <c r="S11" s="168" t="s">
        <v>5</v>
      </c>
      <c r="T11" s="169" t="s">
        <v>109</v>
      </c>
      <c r="U11" s="169" t="s">
        <v>991</v>
      </c>
      <c r="V11" s="170" t="s">
        <v>125</v>
      </c>
      <c r="W11" s="171" t="s">
        <v>44</v>
      </c>
      <c r="X11" s="178" t="str">
        <f t="shared" si="0"/>
        <v>SKV - LIB</v>
      </c>
      <c r="Y11" s="178"/>
      <c r="Z11" s="178"/>
      <c r="AA11" s="179"/>
      <c r="AB11" s="149" t="str">
        <f t="shared" si="1"/>
        <v>2:4</v>
      </c>
      <c r="AC11" s="180" t="str">
        <f t="shared" si="2"/>
        <v>2014/2015 (PD)</v>
      </c>
      <c r="AD11" s="178"/>
      <c r="AE11" s="181"/>
    </row>
    <row r="12" spans="1:31" ht="15" customHeight="1" x14ac:dyDescent="0.25">
      <c r="A12" s="203" t="str">
        <f ca="1">IFERROR(IF(INDIRECT("priprava_" &amp; A$1 &amp; "!BZ3")&lt;&gt;"",INDIRECT("priprava_" &amp; A$1 &amp; "!BZ3"),""),"")</f>
        <v>TAT</v>
      </c>
      <c r="B12" s="204"/>
      <c r="C12" s="215" t="str">
        <f ca="1">IFERROR(IF(A12&lt;&gt;"",INDIRECT("priprava_" &amp; A$1 &amp; "!CA3"),""),"")</f>
        <v>2:11</v>
      </c>
      <c r="D12" s="216"/>
      <c r="E12" s="179" t="str">
        <f ca="1">IFERROR(IF(INDIRECT("priprava_" &amp; A$1 &amp; "!BZ8")&lt;&gt;"",INDIRECT("priprava_" &amp; A$1 &amp; "!BZ8"),""),"")</f>
        <v>BA</v>
      </c>
      <c r="F12" s="204"/>
      <c r="G12" s="215" t="str">
        <f ca="1">IFERROR(IF(E12&lt;&gt;"",INDIRECT("priprava_" &amp; A$1 &amp; "!BY8"),""),"")</f>
        <v>28. 9.</v>
      </c>
      <c r="H12" s="216"/>
      <c r="I12" s="26"/>
      <c r="J12" s="203" t="str">
        <f ca="1">IFERROR(IF(INDIRECT("priprava_" &amp; J$1 &amp; "!BZ3")&lt;&gt;"",INDIRECT("priprava_" &amp; J$1 &amp; "!BZ3"),""),"")</f>
        <v>MB</v>
      </c>
      <c r="K12" s="204"/>
      <c r="L12" s="215" t="str">
        <f ca="1">IFERROR(IF(J12&lt;&gt;"",INDIRECT("priprava_" &amp; J$1 &amp; "!CA3"),""),"")</f>
        <v>2:10</v>
      </c>
      <c r="M12" s="216"/>
      <c r="N12" s="179" t="str">
        <f ca="1">IFERROR(IF(INDIRECT("priprava_" &amp; J$1 &amp; "!BZ8")&lt;&gt;"",INDIRECT("priprava_" &amp; J$1 &amp; "!BZ8"),""),"")</f>
        <v>OST</v>
      </c>
      <c r="O12" s="204"/>
      <c r="P12" s="215" t="str">
        <f ca="1">IFERROR(IF(N12&lt;&gt;"",INDIRECT("priprava_" &amp; J$1 &amp; "!BY8"),""),"")</f>
        <v>28. 9.</v>
      </c>
      <c r="Q12" s="216"/>
      <c r="R12" s="25"/>
      <c r="S12" s="168" t="s">
        <v>109</v>
      </c>
      <c r="T12" s="169" t="s">
        <v>5</v>
      </c>
      <c r="U12" s="169" t="s">
        <v>1082</v>
      </c>
      <c r="V12" s="170" t="s">
        <v>125</v>
      </c>
      <c r="W12" s="171" t="s">
        <v>44</v>
      </c>
      <c r="X12" s="178" t="str">
        <f t="shared" si="0"/>
        <v>LIB - SKV</v>
      </c>
      <c r="Y12" s="178"/>
      <c r="Z12" s="178"/>
      <c r="AA12" s="179"/>
      <c r="AB12" s="149" t="str">
        <f t="shared" si="1"/>
        <v>3:7</v>
      </c>
      <c r="AC12" s="180" t="str">
        <f t="shared" si="2"/>
        <v>2014/2015 (PD)</v>
      </c>
      <c r="AD12" s="178"/>
      <c r="AE12" s="181"/>
    </row>
    <row r="13" spans="1:31" ht="15" customHeight="1" x14ac:dyDescent="0.25">
      <c r="A13" s="217" t="str">
        <f ca="1">IFERROR(IF(INDIRECT("priprava_" &amp; A$1 &amp; "!BZ4")&lt;&gt;"",INDIRECT("priprava_" &amp; A$1 &amp; "!BZ4"),""),"")</f>
        <v/>
      </c>
      <c r="B13" s="218"/>
      <c r="C13" s="219" t="str">
        <f ca="1">IFERROR(IF(A13&lt;&gt;"",INDIRECT("priprava_" &amp; A$1 &amp; "!CA4"),""),"")</f>
        <v/>
      </c>
      <c r="D13" s="220"/>
      <c r="E13" s="221" t="str">
        <f ca="1">IFERROR(IF(INDIRECT("priprava_" &amp; A$1 &amp; "!BZ9")&lt;&gt;"",INDIRECT("priprava_" &amp; A$1 &amp; "!BZ9"),""),"")</f>
        <v>CLP</v>
      </c>
      <c r="F13" s="218"/>
      <c r="G13" s="219" t="str">
        <f ca="1">IFERROR(IF(E13&lt;&gt;"",INDIRECT("priprava_" &amp; A$1 &amp; "!BY9"),""),"")</f>
        <v>2. 10.</v>
      </c>
      <c r="H13" s="220"/>
      <c r="I13" s="25"/>
      <c r="J13" s="217" t="str">
        <f ca="1">IFERROR(IF(INDIRECT("priprava_" &amp; J$1 &amp; "!BZ4")&lt;&gt;"",INDIRECT("priprava_" &amp; J$1 &amp; "!BZ4"),""),"")</f>
        <v/>
      </c>
      <c r="K13" s="218"/>
      <c r="L13" s="219" t="str">
        <f ca="1">IFERROR(IF(J13&lt;&gt;"",INDIRECT("priprava_" &amp; J$1 &amp; "!CA4"),""),"")</f>
        <v/>
      </c>
      <c r="M13" s="220"/>
      <c r="N13" s="221" t="str">
        <f ca="1">IFERROR(IF(INDIRECT("priprava_" &amp; J$1 &amp; "!BZ9")&lt;&gt;"",INDIRECT("priprava_" &amp; J$1 &amp; "!BZ9"),""),"")</f>
        <v>OTR</v>
      </c>
      <c r="O13" s="218"/>
      <c r="P13" s="219" t="str">
        <f ca="1">IFERROR(IF(N13&lt;&gt;"",INDIRECT("priprava_" &amp; J$1 &amp; "!BY9"),""),"")</f>
        <v>3. 10.</v>
      </c>
      <c r="Q13" s="220"/>
      <c r="R13" s="27"/>
      <c r="S13" s="168" t="s">
        <v>109</v>
      </c>
      <c r="T13" s="169" t="s">
        <v>5</v>
      </c>
      <c r="U13" s="169" t="s">
        <v>1083</v>
      </c>
      <c r="V13" s="170" t="s">
        <v>125</v>
      </c>
      <c r="W13" s="171" t="s">
        <v>44</v>
      </c>
      <c r="X13" s="178" t="str">
        <f t="shared" si="0"/>
        <v>LIB - SKV</v>
      </c>
      <c r="Y13" s="178"/>
      <c r="Z13" s="178"/>
      <c r="AA13" s="179"/>
      <c r="AB13" s="149" t="str">
        <f t="shared" si="1"/>
        <v>4:8</v>
      </c>
      <c r="AC13" s="180" t="str">
        <f t="shared" si="2"/>
        <v>2014/2015 (PD)</v>
      </c>
      <c r="AD13" s="178"/>
      <c r="AE13" s="181"/>
    </row>
    <row r="14" spans="1:31" ht="15" customHeight="1" x14ac:dyDescent="0.25">
      <c r="A14" s="203" t="str">
        <f ca="1">IFERROR(IF(INDIRECT("priprava_" &amp; A$1 &amp; "!BZ5")&lt;&gt;"",INDIRECT("priprava_" &amp; A$1 &amp; "!BZ5"),""),"")</f>
        <v/>
      </c>
      <c r="B14" s="204"/>
      <c r="C14" s="215" t="str">
        <f ca="1">IFERROR(IF(A14&lt;&gt;"",INDIRECT("priprava_" &amp; A$1 &amp; "!CA5"),""),"")</f>
        <v/>
      </c>
      <c r="D14" s="216"/>
      <c r="E14" s="179" t="str">
        <f ca="1">IFERROR(IF(INDIRECT("priprava_" &amp; A$1 &amp; "!BZ10")&lt;&gt;"",INDIRECT("priprava_" &amp; A$1 &amp; "!BZ10"),""),"")</f>
        <v>PAR</v>
      </c>
      <c r="F14" s="204"/>
      <c r="G14" s="215" t="str">
        <f ca="1">IFERROR(IF(E14&lt;&gt;"",INDIRECT("priprava_" &amp; A$1 &amp; "!BY10"),""),"")</f>
        <v>8. 10.</v>
      </c>
      <c r="H14" s="216"/>
      <c r="I14" s="26"/>
      <c r="J14" s="203" t="str">
        <f ca="1">IFERROR(IF(INDIRECT("priprava_" &amp; J$1 &amp; "!BZ5")&lt;&gt;"",INDIRECT("priprava_" &amp; J$1 &amp; "!BZ5"),""),"")</f>
        <v/>
      </c>
      <c r="K14" s="204"/>
      <c r="L14" s="215" t="str">
        <f ca="1">IFERROR(IF(J14&lt;&gt;"",INDIRECT("priprava_" &amp; J$1 &amp; "!CA5"),""),"")</f>
        <v/>
      </c>
      <c r="M14" s="216"/>
      <c r="N14" s="179" t="str">
        <f ca="1">IFERROR(IF(INDIRECT("priprava_" &amp; J$1 &amp; "!BZ10")&lt;&gt;"",INDIRECT("priprava_" &amp; J$1 &amp; "!BZ10"),""),"")</f>
        <v>CLP</v>
      </c>
      <c r="O14" s="204"/>
      <c r="P14" s="215" t="str">
        <f ca="1">IFERROR(IF(N14&lt;&gt;"",INDIRECT("priprava_" &amp; J$1 &amp; "!BY10"),""),"")</f>
        <v>8. 10.</v>
      </c>
      <c r="Q14" s="216"/>
      <c r="R14" s="25"/>
      <c r="S14" s="168" t="s">
        <v>5</v>
      </c>
      <c r="T14" s="169" t="s">
        <v>109</v>
      </c>
      <c r="U14" s="169" t="s">
        <v>124</v>
      </c>
      <c r="V14" s="170" t="s">
        <v>125</v>
      </c>
      <c r="W14" s="171" t="s">
        <v>43</v>
      </c>
      <c r="X14" s="178" t="str">
        <f t="shared" si="0"/>
        <v>SKV - LIB</v>
      </c>
      <c r="Y14" s="178"/>
      <c r="Z14" s="178"/>
      <c r="AA14" s="179"/>
      <c r="AB14" s="149" t="str">
        <f t="shared" si="1"/>
        <v>5:6p</v>
      </c>
      <c r="AC14" s="180" t="str">
        <f t="shared" si="2"/>
        <v>2014/2015 (ZČ)</v>
      </c>
      <c r="AD14" s="178"/>
      <c r="AE14" s="181"/>
    </row>
    <row r="15" spans="1:31" ht="15" customHeight="1" thickBot="1" x14ac:dyDescent="0.3">
      <c r="A15" s="284" t="str">
        <f ca="1">IFERROR(IF(INDIRECT("priprava_" &amp; A$1 &amp; "!BZ6")&lt;&gt;"",INDIRECT("priprava_" &amp; A$1 &amp; "!BZ6"),""),"")</f>
        <v/>
      </c>
      <c r="B15" s="280"/>
      <c r="C15" s="281" t="str">
        <f ca="1">IFERROR(IF(A15&lt;&gt;"",INDIRECT("priprava_" &amp; A$1 &amp; "!CA6"),""),"")</f>
        <v/>
      </c>
      <c r="D15" s="282"/>
      <c r="E15" s="279" t="str">
        <f ca="1">IFERROR(IF(INDIRECT("priprava_" &amp; A$1 &amp; "!BZ11")&lt;&gt;"",INDIRECT("priprava_" &amp; A$1 &amp; "!BZ11"),""),"")</f>
        <v>BOH</v>
      </c>
      <c r="F15" s="280"/>
      <c r="G15" s="281" t="str">
        <f ca="1">IFERROR(IF(E15&lt;&gt;"",INDIRECT("priprava_" &amp; A$1 &amp; "!BY11"),""),"")</f>
        <v>10. 10.</v>
      </c>
      <c r="H15" s="282"/>
      <c r="I15" s="25"/>
      <c r="J15" s="284" t="str">
        <f ca="1">IFERROR(IF(INDIRECT("priprava_" &amp; J$1 &amp; "!BZ6")&lt;&gt;"",INDIRECT("priprava_" &amp; J$1 &amp; "!BZ6"),""),"")</f>
        <v/>
      </c>
      <c r="K15" s="280"/>
      <c r="L15" s="281" t="str">
        <f ca="1">IFERROR(IF(J15&lt;&gt;"",INDIRECT("priprava_" &amp; J$1 &amp; "!CA6"),""),"")</f>
        <v/>
      </c>
      <c r="M15" s="282"/>
      <c r="N15" s="279" t="str">
        <f ca="1">IFERROR(IF(INDIRECT("priprava_" &amp; J$1 &amp; "!BZ11")&lt;&gt;"",INDIRECT("priprava_" &amp; J$1 &amp; "!BZ11"),""),"")</f>
        <v>CHO</v>
      </c>
      <c r="O15" s="280"/>
      <c r="P15" s="281" t="str">
        <f ca="1">IFERROR(IF(N15&lt;&gt;"",INDIRECT("priprava_" &amp; J$1 &amp; "!BY11"),""),"")</f>
        <v>10. 10.</v>
      </c>
      <c r="Q15" s="282"/>
      <c r="R15" s="25"/>
      <c r="S15" s="168" t="s">
        <v>109</v>
      </c>
      <c r="T15" s="169" t="s">
        <v>5</v>
      </c>
      <c r="U15" s="169" t="s">
        <v>126</v>
      </c>
      <c r="V15" s="170" t="s">
        <v>125</v>
      </c>
      <c r="W15" s="171" t="s">
        <v>43</v>
      </c>
      <c r="X15" s="178" t="str">
        <f t="shared" ref="X15:X18" si="3">IF(S15&lt;&gt;"",CONCATENATE(S15, " - ",T15),"")</f>
        <v>LIB - SKV</v>
      </c>
      <c r="Y15" s="178"/>
      <c r="Z15" s="178"/>
      <c r="AA15" s="179"/>
      <c r="AB15" s="149" t="str">
        <f t="shared" ref="AB15:AB18" si="4">IF(U15&lt;&gt;"",U15,"")</f>
        <v>11:4</v>
      </c>
      <c r="AC15" s="180" t="str">
        <f t="shared" ref="AC15:AC18" si="5">IF(AND(V15&lt;&gt;"",W15&lt;&gt;""),CONCATENATE(V15," (",W15,")"),IF(V15&lt;&gt;"",V15,""))</f>
        <v>2014/2015 (ZČ)</v>
      </c>
      <c r="AD15" s="178"/>
      <c r="AE15" s="181"/>
    </row>
    <row r="16" spans="1:31" ht="15" customHeight="1" thickTop="1" x14ac:dyDescent="0.25">
      <c r="R16" s="37"/>
      <c r="S16" s="168" t="s">
        <v>5</v>
      </c>
      <c r="T16" s="169" t="s">
        <v>109</v>
      </c>
      <c r="U16" s="169" t="s">
        <v>127</v>
      </c>
      <c r="V16" s="170" t="s">
        <v>128</v>
      </c>
      <c r="W16" s="171" t="s">
        <v>43</v>
      </c>
      <c r="X16" s="178" t="str">
        <f t="shared" si="3"/>
        <v>SKV - LIB</v>
      </c>
      <c r="Y16" s="178"/>
      <c r="Z16" s="178"/>
      <c r="AA16" s="179"/>
      <c r="AB16" s="149" t="str">
        <f t="shared" si="4"/>
        <v>0:6</v>
      </c>
      <c r="AC16" s="180" t="str">
        <f t="shared" si="5"/>
        <v>2006/2007 (ZČ)</v>
      </c>
      <c r="AD16" s="178"/>
      <c r="AE16" s="181"/>
    </row>
    <row r="17" spans="1:31" ht="15" customHeight="1" thickBot="1" x14ac:dyDescent="0.3">
      <c r="A17" s="283" t="s">
        <v>35</v>
      </c>
      <c r="B17" s="283"/>
      <c r="C17" s="283"/>
      <c r="D17" s="283"/>
      <c r="E17" s="283"/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3"/>
      <c r="S17" s="168" t="s">
        <v>109</v>
      </c>
      <c r="T17" s="169" t="s">
        <v>5</v>
      </c>
      <c r="U17" s="169" t="s">
        <v>129</v>
      </c>
      <c r="V17" s="170" t="s">
        <v>128</v>
      </c>
      <c r="W17" s="171" t="s">
        <v>43</v>
      </c>
      <c r="X17" s="178" t="str">
        <f t="shared" si="3"/>
        <v>LIB - SKV</v>
      </c>
      <c r="Y17" s="178"/>
      <c r="Z17" s="178"/>
      <c r="AA17" s="179"/>
      <c r="AB17" s="149" t="str">
        <f t="shared" si="4"/>
        <v>10:3</v>
      </c>
      <c r="AC17" s="180" t="str">
        <f t="shared" si="5"/>
        <v>2006/2007 (ZČ)</v>
      </c>
      <c r="AD17" s="178"/>
      <c r="AE17" s="181"/>
    </row>
    <row r="18" spans="1:31" ht="15" customHeight="1" thickTop="1" thickBot="1" x14ac:dyDescent="0.3">
      <c r="A18" s="207" t="s">
        <v>36</v>
      </c>
      <c r="B18" s="208"/>
      <c r="C18" s="236"/>
      <c r="D18" s="237" t="s">
        <v>37</v>
      </c>
      <c r="E18" s="208"/>
      <c r="F18" s="238"/>
      <c r="G18" s="213" t="s">
        <v>38</v>
      </c>
      <c r="H18" s="208"/>
      <c r="I18" s="212"/>
      <c r="J18" s="209" t="s">
        <v>36</v>
      </c>
      <c r="K18" s="210"/>
      <c r="L18" s="239"/>
      <c r="M18" s="240" t="s">
        <v>37</v>
      </c>
      <c r="N18" s="210"/>
      <c r="O18" s="241"/>
      <c r="P18" s="242" t="s">
        <v>38</v>
      </c>
      <c r="Q18" s="210"/>
      <c r="R18" s="243"/>
      <c r="S18" s="172"/>
      <c r="T18" s="173"/>
      <c r="U18" s="173"/>
      <c r="V18" s="174"/>
      <c r="W18" s="175"/>
      <c r="X18" s="182" t="str">
        <f t="shared" si="3"/>
        <v/>
      </c>
      <c r="Y18" s="182"/>
      <c r="Z18" s="182"/>
      <c r="AA18" s="183"/>
      <c r="AB18" s="177" t="str">
        <f t="shared" si="4"/>
        <v/>
      </c>
      <c r="AC18" s="184" t="str">
        <f t="shared" si="5"/>
        <v/>
      </c>
      <c r="AD18" s="182"/>
      <c r="AE18" s="185"/>
    </row>
    <row r="19" spans="1:31" ht="15" customHeight="1" x14ac:dyDescent="0.25">
      <c r="A19" s="230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31"/>
      <c r="C19" s="39">
        <f ca="1">IFERROR(IF(A19&lt;&gt;"",INDIRECT("priprava_" &amp; A$1 &amp; "!BW2"),""),"")</f>
        <v>1</v>
      </c>
      <c r="D19" s="232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31"/>
      <c r="F19" s="39">
        <f ca="1">IFERROR(IF(D19&lt;&gt;"",INDIRECT("priprava_" &amp; A$1 &amp; "!BW12"),""),"")</f>
        <v>1</v>
      </c>
      <c r="G19" s="232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31"/>
      <c r="I19" s="39">
        <f ca="1">IFERROR(IF(G19&lt;&gt;"",INDIRECT("priprava_" &amp; A$1 &amp; "!BW22"),""),"")</f>
        <v>1</v>
      </c>
      <c r="J19" s="233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Kopecký</v>
      </c>
      <c r="K19" s="234"/>
      <c r="L19" s="40">
        <f ca="1">IFERROR(IF(J19&lt;&gt;"",INDIRECT("priprava_" &amp; J$1 &amp; "!BW2"),""),"")</f>
        <v>3</v>
      </c>
      <c r="M19" s="235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Kopecký</v>
      </c>
      <c r="N19" s="234"/>
      <c r="O19" s="40">
        <f ca="1">IFERROR(IF(M19&lt;&gt;"",INDIRECT("priprava_" &amp; J$1 &amp; "!BW12"),""),"")</f>
        <v>1</v>
      </c>
      <c r="P19" s="235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Kopecký</v>
      </c>
      <c r="Q19" s="234"/>
      <c r="R19" s="41">
        <f ca="1">IFERROR(IF(P19&lt;&gt;"",INDIRECT("priprava_" &amp; J$1 &amp; "!BW22"),""),"")</f>
        <v>2</v>
      </c>
    </row>
    <row r="20" spans="1:31" ht="15" customHeight="1" x14ac:dyDescent="0.25">
      <c r="A20" s="222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23"/>
      <c r="C20" s="42">
        <f ca="1">IFERROR(IF(A20&lt;&gt;"",INDIRECT("priprava_" &amp; A$1 &amp; "!BW3"),""),"")</f>
        <v>1</v>
      </c>
      <c r="D20" s="224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23"/>
      <c r="F20" s="43">
        <f ca="1">IFERROR(IF(D20&lt;&gt;"",INDIRECT("priprava_" &amp; A$1 &amp; "!BW13"),""),"")</f>
        <v>1</v>
      </c>
      <c r="G20" s="225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Stuchlík O.</v>
      </c>
      <c r="H20" s="223"/>
      <c r="I20" s="44">
        <f ca="1">IFERROR(IF(G20&lt;&gt;"",INDIRECT("priprava_" &amp; A$1 &amp; "!BW23"),""),"")</f>
        <v>1</v>
      </c>
      <c r="J20" s="226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Ferdan</v>
      </c>
      <c r="K20" s="227"/>
      <c r="L20" s="45">
        <f ca="1">IFERROR(IF(J20&lt;&gt;"",INDIRECT("priprava_" &amp; J$1 &amp; "!BW3"),""),"")</f>
        <v>2</v>
      </c>
      <c r="M20" s="228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Šoltys</v>
      </c>
      <c r="N20" s="227"/>
      <c r="O20" s="46">
        <f ca="1">IFERROR(IF(M20&lt;&gt;"",INDIRECT("priprava_" &amp; J$1 &amp; "!BW13"),""),"")</f>
        <v>1</v>
      </c>
      <c r="P20" s="229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Ferdan</v>
      </c>
      <c r="Q20" s="227"/>
      <c r="R20" s="47">
        <f ca="1">IFERROR(IF(P20&lt;&gt;"",INDIRECT("priprava_" &amp; J$1 &amp; "!BW23"),""),"")</f>
        <v>1</v>
      </c>
    </row>
    <row r="21" spans="1:31" ht="15" customHeight="1" x14ac:dyDescent="0.25">
      <c r="A21" s="222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Stuchlík Z.</v>
      </c>
      <c r="B21" s="223"/>
      <c r="C21" s="42">
        <f ca="1">IFERROR(IF(A21&lt;&gt;"",INDIRECT("priprava_" &amp; A$1 &amp; "!BW4"),""),"")</f>
        <v>1</v>
      </c>
      <c r="D21" s="224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Stuchlík Z.</v>
      </c>
      <c r="E21" s="223"/>
      <c r="F21" s="43">
        <f ca="1">IFERROR(IF(D21&lt;&gt;"",INDIRECT("priprava_" &amp; A$1 &amp; "!BW14"),""),"")</f>
        <v>1</v>
      </c>
      <c r="G21" s="225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Čuda</v>
      </c>
      <c r="H21" s="223"/>
      <c r="I21" s="44">
        <f ca="1">IFERROR(IF(G21&lt;&gt;"",INDIRECT("priprava_" &amp; A$1 &amp; "!BW24"),""),"")</f>
        <v>1</v>
      </c>
      <c r="J21" s="226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Šoltys</v>
      </c>
      <c r="K21" s="227"/>
      <c r="L21" s="45">
        <f ca="1">IFERROR(IF(J21&lt;&gt;"",INDIRECT("priprava_" &amp; J$1 &amp; "!BW4"),""),"")</f>
        <v>1</v>
      </c>
      <c r="M21" s="228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Ferdan</v>
      </c>
      <c r="N21" s="227"/>
      <c r="O21" s="46">
        <f ca="1">IFERROR(IF(M21&lt;&gt;"",INDIRECT("priprava_" &amp; J$1 &amp; "!BW14"),""),"")</f>
        <v>1</v>
      </c>
      <c r="P21" s="229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Valeš</v>
      </c>
      <c r="Q21" s="227"/>
      <c r="R21" s="47">
        <f ca="1">IFERROR(IF(P21&lt;&gt;"",INDIRECT("priprava_" &amp; J$1 &amp; "!BW24"),""),"")</f>
        <v>1</v>
      </c>
    </row>
    <row r="22" spans="1:31" ht="15" customHeight="1" x14ac:dyDescent="0.25">
      <c r="A22" s="222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Cabejšek</v>
      </c>
      <c r="B22" s="223"/>
      <c r="C22" s="42">
        <f ca="1">IFERROR(IF(A22&lt;&gt;"",INDIRECT("priprava_" &amp; A$1 &amp; "!BW5"),""),"")</f>
        <v>1</v>
      </c>
      <c r="D22" s="224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Cabejšek</v>
      </c>
      <c r="E22" s="223"/>
      <c r="F22" s="43">
        <f ca="1">IFERROR(IF(D22&lt;&gt;"",INDIRECT("priprava_" &amp; A$1 &amp; "!BW15"),""),"")</f>
        <v>0</v>
      </c>
      <c r="G22" s="225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Ježek</v>
      </c>
      <c r="H22" s="223"/>
      <c r="I22" s="44">
        <f ca="1">IFERROR(IF(G22&lt;&gt;"",INDIRECT("priprava_" &amp; A$1 &amp; "!BW25"),""),"")</f>
        <v>0</v>
      </c>
      <c r="J22" s="226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Dlesk</v>
      </c>
      <c r="K22" s="227"/>
      <c r="L22" s="45">
        <f ca="1">IFERROR(IF(J22&lt;&gt;"",INDIRECT("priprava_" &amp; J$1 &amp; "!BW5"),""),"")</f>
        <v>1</v>
      </c>
      <c r="M22" s="228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Dlesk</v>
      </c>
      <c r="N22" s="227"/>
      <c r="O22" s="46">
        <f ca="1">IFERROR(IF(M22&lt;&gt;"",INDIRECT("priprava_" &amp; J$1 &amp; "!BW15"),""),"")</f>
        <v>1</v>
      </c>
      <c r="P22" s="229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Martínek</v>
      </c>
      <c r="Q22" s="227"/>
      <c r="R22" s="47">
        <f ca="1">IFERROR(IF(P22&lt;&gt;"",INDIRECT("priprava_" &amp; J$1 &amp; "!BW25"),""),"")</f>
        <v>0</v>
      </c>
    </row>
    <row r="23" spans="1:31" ht="15" customHeight="1" thickBot="1" x14ac:dyDescent="0.3">
      <c r="A23" s="244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245"/>
      <c r="C23" s="48">
        <f ca="1">IFERROR(IF(A23&lt;&gt;"",INDIRECT("priprava_" &amp; A$1 &amp; "!BW6"),""),"")</f>
        <v>1</v>
      </c>
      <c r="D23" s="246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Ježek</v>
      </c>
      <c r="E23" s="245"/>
      <c r="F23" s="49">
        <f ca="1">IFERROR(IF(D23&lt;&gt;"",INDIRECT("priprava_" &amp; A$1 &amp; "!BW16"),""),"")</f>
        <v>0</v>
      </c>
      <c r="G23" s="247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Pergler</v>
      </c>
      <c r="H23" s="245"/>
      <c r="I23" s="50">
        <f ca="1">IFERROR(IF(G23&lt;&gt;"",INDIRECT("priprava_" &amp; A$1 &amp; "!BW26"),""),"")</f>
        <v>0</v>
      </c>
      <c r="J23" s="248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Valeš</v>
      </c>
      <c r="K23" s="249"/>
      <c r="L23" s="51">
        <f ca="1">IFERROR(IF(J23&lt;&gt;"",INDIRECT("priprava_" &amp; J$1 &amp; "!BW6"),""),"")</f>
        <v>1</v>
      </c>
      <c r="M23" s="250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Martínek</v>
      </c>
      <c r="N23" s="249"/>
      <c r="O23" s="52">
        <f ca="1">IFERROR(IF(M23&lt;&gt;"",INDIRECT("priprava_" &amp; J$1 &amp; "!BW16"),""),"")</f>
        <v>0</v>
      </c>
      <c r="P23" s="251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Smutný</v>
      </c>
      <c r="Q23" s="249"/>
      <c r="R23" s="53">
        <f ca="1">IFERROR(IF(P23&lt;&gt;"",INDIRECT("priprava_" &amp; J$1 &amp; "!BW26"),""),"")</f>
        <v>0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07" t="s">
        <v>39</v>
      </c>
      <c r="B25" s="208"/>
      <c r="C25" s="236"/>
      <c r="D25" s="237" t="s">
        <v>40</v>
      </c>
      <c r="E25" s="208"/>
      <c r="F25" s="238"/>
      <c r="G25" s="213" t="s">
        <v>41</v>
      </c>
      <c r="H25" s="208"/>
      <c r="I25" s="212"/>
      <c r="J25" s="209" t="s">
        <v>39</v>
      </c>
      <c r="K25" s="210"/>
      <c r="L25" s="239"/>
      <c r="M25" s="240" t="s">
        <v>40</v>
      </c>
      <c r="N25" s="210"/>
      <c r="O25" s="241"/>
      <c r="P25" s="242" t="s">
        <v>41</v>
      </c>
      <c r="Q25" s="210"/>
      <c r="R25" s="243"/>
    </row>
    <row r="26" spans="1:31" ht="15" customHeight="1" x14ac:dyDescent="0.25">
      <c r="A26" s="230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31"/>
      <c r="C26" s="39">
        <f ca="1">IFERROR(IF(A26&lt;&gt;"",INDIRECT("priprava_" &amp; A$1 &amp; "!BW27"),""),"")</f>
        <v>2</v>
      </c>
      <c r="D26" s="232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31"/>
      <c r="F26" s="54">
        <f ca="1">IFERROR(IF(D26&lt;&gt;"",INDIRECT("priprava_" &amp; A$1 &amp; "!BW7"),""),"")</f>
        <v>8</v>
      </c>
      <c r="G26" s="232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31"/>
      <c r="I26" s="39">
        <f ca="1">IFERROR(IF(G26&lt;&gt;"",INDIRECT("priprava_" &amp; A$1 &amp; "!BW17"),""),"")</f>
        <v>0</v>
      </c>
      <c r="J26" s="233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Valeš</v>
      </c>
      <c r="K26" s="234"/>
      <c r="L26" s="40">
        <f ca="1">IFERROR(IF(J26&lt;&gt;"",INDIRECT("priprava_" &amp; J$1 &amp; "!BW27"),""),"")</f>
        <v>2</v>
      </c>
      <c r="M26" s="235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Chlad</v>
      </c>
      <c r="N26" s="234"/>
      <c r="O26" s="55">
        <f ca="1">IFERROR(IF(M26&lt;&gt;"",INDIRECT("priprava_" &amp; J$1 &amp; "!BW7"),""),"")</f>
        <v>7</v>
      </c>
      <c r="P26" s="235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Chlad</v>
      </c>
      <c r="Q26" s="234"/>
      <c r="R26" s="41">
        <f ca="1">IFERROR(IF(P26&lt;&gt;"",INDIRECT("priprava_" &amp; J$1 &amp; "!BW17"),""),"")</f>
        <v>0</v>
      </c>
    </row>
    <row r="27" spans="1:31" ht="15" customHeight="1" x14ac:dyDescent="0.25">
      <c r="A27" s="222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Stuchlík O.</v>
      </c>
      <c r="B27" s="223"/>
      <c r="C27" s="42">
        <f ca="1">IFERROR(IF(A27&lt;&gt;"",INDIRECT("priprava_" &amp; A$1 &amp; "!BW28"),""),"")</f>
        <v>2</v>
      </c>
      <c r="D27" s="224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23"/>
      <c r="F27" s="56">
        <f ca="1">IFERROR(IF(D27&lt;&gt;"",INDIRECT("priprava_" &amp; A$1 &amp; "!BW8"),""),"")</f>
        <v>11</v>
      </c>
      <c r="G27" s="225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23"/>
      <c r="I27" s="44">
        <f ca="1">IFERROR(IF(G27&lt;&gt;"",INDIRECT("priprava_" &amp; A$1 &amp; "!BW18"),""),"")</f>
        <v>0</v>
      </c>
      <c r="J27" s="226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Martínek</v>
      </c>
      <c r="K27" s="227"/>
      <c r="L27" s="45">
        <f ca="1">IFERROR(IF(J27&lt;&gt;"",INDIRECT("priprava_" &amp; J$1 &amp; "!BW28"),""),"")</f>
        <v>0</v>
      </c>
      <c r="M27" s="228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Levínský</v>
      </c>
      <c r="N27" s="227"/>
      <c r="O27" s="57">
        <f ca="1">IFERROR(IF(M27&lt;&gt;"",INDIRECT("priprava_" &amp; J$1 &amp; "!BW8"),""),"")</f>
        <v>0</v>
      </c>
      <c r="P27" s="229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Levínský</v>
      </c>
      <c r="Q27" s="227"/>
      <c r="R27" s="47">
        <f ca="1">IFERROR(IF(P27&lt;&gt;"",INDIRECT("priprava_" &amp; J$1 &amp; "!BW18"),""),"")</f>
        <v>0</v>
      </c>
    </row>
    <row r="28" spans="1:31" ht="15" customHeight="1" x14ac:dyDescent="0.25">
      <c r="A28" s="222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Klápa</v>
      </c>
      <c r="B28" s="223"/>
      <c r="C28" s="42">
        <f ca="1">IFERROR(IF(A28&lt;&gt;"",INDIRECT("priprava_" &amp; A$1 &amp; "!BW29"),""),"")</f>
        <v>2</v>
      </c>
      <c r="D28" s="224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23"/>
      <c r="F28" s="56" t="str">
        <f ca="1">IFERROR(IF(D28&lt;&gt;"",INDIRECT("priprava_" &amp; A$1 &amp; "!BW9"),""),"")</f>
        <v/>
      </c>
      <c r="G28" s="225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23"/>
      <c r="I28" s="44" t="str">
        <f ca="1">IFERROR(IF(G28&lt;&gt;"",INDIRECT("priprava_" &amp; A$1 &amp; "!BW19"),""),"")</f>
        <v/>
      </c>
      <c r="J28" s="226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Smutný</v>
      </c>
      <c r="K28" s="227"/>
      <c r="L28" s="45">
        <f ca="1">IFERROR(IF(J28&lt;&gt;"",INDIRECT("priprava_" &amp; J$1 &amp; "!BW29"),""),"")</f>
        <v>0</v>
      </c>
      <c r="M28" s="228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Král</v>
      </c>
      <c r="N28" s="227"/>
      <c r="O28" s="57">
        <f ca="1">IFERROR(IF(M28&lt;&gt;"",INDIRECT("priprava_" &amp; J$1 &amp; "!BW9"),""),"")</f>
        <v>0</v>
      </c>
      <c r="P28" s="229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Král</v>
      </c>
      <c r="Q28" s="227"/>
      <c r="R28" s="47">
        <f ca="1">IFERROR(IF(P28&lt;&gt;"",INDIRECT("priprava_" &amp; J$1 &amp; "!BW19"),""),"")</f>
        <v>0</v>
      </c>
    </row>
    <row r="29" spans="1:31" ht="15" customHeight="1" x14ac:dyDescent="0.25">
      <c r="A29" s="222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Cabejšek</v>
      </c>
      <c r="B29" s="223"/>
      <c r="C29" s="42">
        <f ca="1">IFERROR(IF(A29&lt;&gt;"",INDIRECT("priprava_" &amp; A$1 &amp; "!BW30"),""),"")</f>
        <v>0</v>
      </c>
      <c r="D29" s="224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23"/>
      <c r="F29" s="56" t="str">
        <f ca="1">IFERROR(IF(D29&lt;&gt;"",INDIRECT("priprava_" &amp; A$1 &amp; "!BW10"),""),"")</f>
        <v/>
      </c>
      <c r="G29" s="225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23"/>
      <c r="I29" s="44" t="str">
        <f ca="1">IFERROR(IF(G29&lt;&gt;"",INDIRECT("priprava_" &amp; A$1 &amp; "!BW20"),""),"")</f>
        <v/>
      </c>
      <c r="J29" s="226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Kopecký</v>
      </c>
      <c r="K29" s="227"/>
      <c r="L29" s="45">
        <f ca="1">IFERROR(IF(J29&lt;&gt;"",INDIRECT("priprava_" &amp; J$1 &amp; "!BW30"),""),"")</f>
        <v>0</v>
      </c>
      <c r="M29" s="228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27"/>
      <c r="O29" s="57" t="str">
        <f ca="1">IFERROR(IF(M29&lt;&gt;"",INDIRECT("priprava_" &amp; J$1 &amp; "!BW10"),""),"")</f>
        <v/>
      </c>
      <c r="P29" s="229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27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44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Ježek</v>
      </c>
      <c r="B30" s="245"/>
      <c r="C30" s="48">
        <f ca="1">IFERROR(IF(A30&lt;&gt;"",INDIRECT("priprava_" &amp; A$1 &amp; "!BW31"),""),"")</f>
        <v>0</v>
      </c>
      <c r="D30" s="246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45"/>
      <c r="F30" s="58" t="str">
        <f ca="1">IFERROR(IF(D30&lt;&gt;"",INDIRECT("priprava_" &amp; A$1 &amp; "!BW11"),""),"")</f>
        <v/>
      </c>
      <c r="G30" s="247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45"/>
      <c r="I30" s="50" t="str">
        <f ca="1">IFERROR(IF(G30&lt;&gt;"",INDIRECT("priprava_" &amp; A$1 &amp; "!BW21"),""),"")</f>
        <v/>
      </c>
      <c r="J30" s="248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Kárník</v>
      </c>
      <c r="K30" s="249"/>
      <c r="L30" s="51">
        <f ca="1">IFERROR(IF(J30&lt;&gt;"",INDIRECT("priprava_" &amp; J$1 &amp; "!BW31"),""),"")</f>
        <v>0</v>
      </c>
      <c r="M30" s="250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49"/>
      <c r="O30" s="59" t="str">
        <f ca="1">IFERROR(IF(M30&lt;&gt;"",INDIRECT("priprava_" &amp; J$1 &amp; "!BW11"),""),"")</f>
        <v/>
      </c>
      <c r="P30" s="251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49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1"/>
      <c r="J32" s="141"/>
      <c r="K32" s="276" t="s">
        <v>50</v>
      </c>
      <c r="L32" s="277"/>
      <c r="M32" s="277"/>
      <c r="N32" s="277"/>
      <c r="O32" s="277"/>
      <c r="P32" s="277"/>
      <c r="Q32" s="277"/>
      <c r="R32" s="278"/>
    </row>
    <row r="33" spans="1:18" ht="15" customHeight="1" x14ac:dyDescent="0.25">
      <c r="I33" s="141"/>
      <c r="J33" s="142"/>
      <c r="K33" s="297" t="str">
        <f t="shared" ref="K33:K44" si="6">X3</f>
        <v>SKV - LIB</v>
      </c>
      <c r="L33" s="298"/>
      <c r="M33" s="298"/>
      <c r="N33" s="298"/>
      <c r="O33" s="143" t="str">
        <f t="shared" ref="O33:O44" si="7">AB3</f>
        <v>4:11</v>
      </c>
      <c r="P33" s="310" t="str">
        <f t="shared" ref="P33:P44" si="8">AC3</f>
        <v>2020/2021 (ZČ)</v>
      </c>
      <c r="Q33" s="298"/>
      <c r="R33" s="311"/>
    </row>
    <row r="34" spans="1:18" ht="15" customHeight="1" thickBot="1" x14ac:dyDescent="0.3">
      <c r="I34" s="141"/>
      <c r="J34" s="142"/>
      <c r="K34" s="302" t="str">
        <f t="shared" si="6"/>
        <v>LIB - SKV</v>
      </c>
      <c r="L34" s="303"/>
      <c r="M34" s="303"/>
      <c r="N34" s="303"/>
      <c r="O34" s="144" t="str">
        <f t="shared" si="7"/>
        <v>6:5pn</v>
      </c>
      <c r="P34" s="312" t="str">
        <f t="shared" si="8"/>
        <v>2020/2021 (ZČ)</v>
      </c>
      <c r="Q34" s="303"/>
      <c r="R34" s="313"/>
    </row>
    <row r="35" spans="1:18" ht="15" customHeight="1" thickTop="1" thickBot="1" x14ac:dyDescent="0.3">
      <c r="A35" s="299" t="s">
        <v>49</v>
      </c>
      <c r="B35" s="300"/>
      <c r="C35" s="300"/>
      <c r="D35" s="300"/>
      <c r="E35" s="300"/>
      <c r="F35" s="300"/>
      <c r="G35" s="300"/>
      <c r="H35" s="301"/>
      <c r="I35" s="145"/>
      <c r="J35" s="145"/>
      <c r="K35" s="302" t="str">
        <f t="shared" si="6"/>
        <v>LIB - SKV</v>
      </c>
      <c r="L35" s="303"/>
      <c r="M35" s="303"/>
      <c r="N35" s="303"/>
      <c r="O35" s="144" t="str">
        <f t="shared" si="7"/>
        <v>7:6p</v>
      </c>
      <c r="P35" s="312" t="str">
        <f t="shared" si="8"/>
        <v>2019/2020 (ZČ)</v>
      </c>
      <c r="Q35" s="303"/>
      <c r="R35" s="313"/>
    </row>
    <row r="36" spans="1:18" ht="15" customHeight="1" x14ac:dyDescent="0.25">
      <c r="A36" s="291" t="str">
        <f>A1</f>
        <v>SKV</v>
      </c>
      <c r="B36" s="292"/>
      <c r="C36" s="292"/>
      <c r="D36" s="293"/>
      <c r="E36" s="294" t="str">
        <f>J1</f>
        <v>LIB</v>
      </c>
      <c r="F36" s="295"/>
      <c r="G36" s="295"/>
      <c r="H36" s="296"/>
      <c r="I36" s="145"/>
      <c r="J36" s="145"/>
      <c r="K36" s="254" t="str">
        <f t="shared" si="6"/>
        <v>SKV - LIB</v>
      </c>
      <c r="L36" s="255"/>
      <c r="M36" s="255"/>
      <c r="N36" s="255"/>
      <c r="O36" s="146" t="str">
        <f t="shared" si="7"/>
        <v>5:3</v>
      </c>
      <c r="P36" s="256" t="str">
        <f t="shared" si="8"/>
        <v>2019/2020 (ZČ)</v>
      </c>
      <c r="Q36" s="255"/>
      <c r="R36" s="257"/>
    </row>
    <row r="37" spans="1:18" ht="15" customHeight="1" x14ac:dyDescent="0.25">
      <c r="A37" s="285" t="s">
        <v>42</v>
      </c>
      <c r="B37" s="286"/>
      <c r="C37" s="262" t="s">
        <v>46</v>
      </c>
      <c r="D37" s="262"/>
      <c r="E37" s="262"/>
      <c r="F37" s="262"/>
      <c r="G37" s="262"/>
      <c r="H37" s="263"/>
      <c r="I37" s="145"/>
      <c r="J37" s="145"/>
      <c r="K37" s="254" t="str">
        <f t="shared" si="6"/>
        <v>LIB - SKV</v>
      </c>
      <c r="L37" s="255"/>
      <c r="M37" s="255"/>
      <c r="N37" s="255"/>
      <c r="O37" s="146" t="str">
        <f t="shared" si="7"/>
        <v>6:5</v>
      </c>
      <c r="P37" s="256" t="str">
        <f t="shared" si="8"/>
        <v>2018/2019 (ZČ)</v>
      </c>
      <c r="Q37" s="255"/>
      <c r="R37" s="257"/>
    </row>
    <row r="38" spans="1:18" ht="15" customHeight="1" x14ac:dyDescent="0.25">
      <c r="A38" s="287" t="s">
        <v>43</v>
      </c>
      <c r="B38" s="288"/>
      <c r="C38" s="264" t="s">
        <v>47</v>
      </c>
      <c r="D38" s="264"/>
      <c r="E38" s="264"/>
      <c r="F38" s="264"/>
      <c r="G38" s="264"/>
      <c r="H38" s="265"/>
      <c r="I38" s="141"/>
      <c r="J38" s="147"/>
      <c r="K38" s="258" t="str">
        <f t="shared" si="6"/>
        <v>SKV - LIB</v>
      </c>
      <c r="L38" s="259"/>
      <c r="M38" s="259"/>
      <c r="N38" s="259"/>
      <c r="O38" s="148" t="str">
        <f t="shared" si="7"/>
        <v>5:6</v>
      </c>
      <c r="P38" s="260" t="str">
        <f t="shared" si="8"/>
        <v>2018/2019 (ZČ)</v>
      </c>
      <c r="Q38" s="259"/>
      <c r="R38" s="261"/>
    </row>
    <row r="39" spans="1:18" ht="15" customHeight="1" x14ac:dyDescent="0.25">
      <c r="A39" s="285" t="s">
        <v>44</v>
      </c>
      <c r="B39" s="286"/>
      <c r="C39" s="262" t="s">
        <v>48</v>
      </c>
      <c r="D39" s="262"/>
      <c r="E39" s="262"/>
      <c r="F39" s="262"/>
      <c r="G39" s="262"/>
      <c r="H39" s="263"/>
      <c r="I39" s="141"/>
      <c r="J39" s="147"/>
      <c r="K39" s="254" t="str">
        <f t="shared" si="6"/>
        <v>LIB - SKV</v>
      </c>
      <c r="L39" s="255"/>
      <c r="M39" s="255"/>
      <c r="N39" s="255"/>
      <c r="O39" s="146" t="str">
        <f t="shared" si="7"/>
        <v>1:2</v>
      </c>
      <c r="P39" s="256" t="str">
        <f t="shared" si="8"/>
        <v>2014/2015 (PD)</v>
      </c>
      <c r="Q39" s="255"/>
      <c r="R39" s="257"/>
    </row>
    <row r="40" spans="1:18" ht="15" customHeight="1" x14ac:dyDescent="0.25">
      <c r="A40" s="287"/>
      <c r="B40" s="288"/>
      <c r="C40" s="264"/>
      <c r="D40" s="264"/>
      <c r="E40" s="264"/>
      <c r="F40" s="264"/>
      <c r="G40" s="264"/>
      <c r="H40" s="265"/>
      <c r="I40" s="145"/>
      <c r="J40" s="145"/>
      <c r="K40" s="254" t="str">
        <f t="shared" si="6"/>
        <v>SKV - LIB</v>
      </c>
      <c r="L40" s="255"/>
      <c r="M40" s="255"/>
      <c r="N40" s="255"/>
      <c r="O40" s="146" t="str">
        <f t="shared" si="7"/>
        <v>8:4</v>
      </c>
      <c r="P40" s="256" t="str">
        <f t="shared" si="8"/>
        <v>2014/2015 (PD)</v>
      </c>
      <c r="Q40" s="255"/>
      <c r="R40" s="257"/>
    </row>
    <row r="41" spans="1:18" ht="15" customHeight="1" x14ac:dyDescent="0.25">
      <c r="A41" s="285"/>
      <c r="B41" s="286"/>
      <c r="C41" s="262"/>
      <c r="D41" s="262"/>
      <c r="E41" s="262"/>
      <c r="F41" s="262"/>
      <c r="G41" s="262"/>
      <c r="H41" s="263"/>
      <c r="I41" s="145"/>
      <c r="J41" s="145"/>
      <c r="K41" s="258" t="str">
        <f t="shared" si="6"/>
        <v>SKV - LIB</v>
      </c>
      <c r="L41" s="259"/>
      <c r="M41" s="259"/>
      <c r="N41" s="259"/>
      <c r="O41" s="148" t="str">
        <f t="shared" si="7"/>
        <v>2:4</v>
      </c>
      <c r="P41" s="260" t="str">
        <f t="shared" si="8"/>
        <v>2014/2015 (PD)</v>
      </c>
      <c r="Q41" s="259"/>
      <c r="R41" s="261"/>
    </row>
    <row r="42" spans="1:18" ht="15" customHeight="1" x14ac:dyDescent="0.25">
      <c r="A42" s="287"/>
      <c r="B42" s="288"/>
      <c r="C42" s="264"/>
      <c r="D42" s="264"/>
      <c r="E42" s="264"/>
      <c r="F42" s="264"/>
      <c r="G42" s="264"/>
      <c r="H42" s="265"/>
      <c r="I42" s="145"/>
      <c r="J42" s="145"/>
      <c r="K42" s="254" t="str">
        <f t="shared" si="6"/>
        <v>LIB - SKV</v>
      </c>
      <c r="L42" s="255"/>
      <c r="M42" s="255"/>
      <c r="N42" s="255"/>
      <c r="O42" s="146" t="str">
        <f t="shared" si="7"/>
        <v>3:7</v>
      </c>
      <c r="P42" s="256" t="str">
        <f t="shared" si="8"/>
        <v>2014/2015 (PD)</v>
      </c>
      <c r="Q42" s="255"/>
      <c r="R42" s="257"/>
    </row>
    <row r="43" spans="1:18" ht="15" customHeight="1" x14ac:dyDescent="0.25">
      <c r="A43" s="285"/>
      <c r="B43" s="286"/>
      <c r="C43" s="262"/>
      <c r="D43" s="262"/>
      <c r="E43" s="262"/>
      <c r="F43" s="262"/>
      <c r="G43" s="262"/>
      <c r="H43" s="263"/>
      <c r="I43" s="145"/>
      <c r="J43" s="145"/>
      <c r="K43" s="254" t="str">
        <f t="shared" si="6"/>
        <v>LIB - SKV</v>
      </c>
      <c r="L43" s="255"/>
      <c r="M43" s="255"/>
      <c r="N43" s="255"/>
      <c r="O43" s="146" t="str">
        <f t="shared" si="7"/>
        <v>4:8</v>
      </c>
      <c r="P43" s="256" t="str">
        <f t="shared" si="8"/>
        <v>2014/2015 (PD)</v>
      </c>
      <c r="Q43" s="255"/>
      <c r="R43" s="257"/>
    </row>
    <row r="44" spans="1:18" ht="15" customHeight="1" thickBot="1" x14ac:dyDescent="0.3">
      <c r="A44" s="289"/>
      <c r="B44" s="290"/>
      <c r="C44" s="266"/>
      <c r="D44" s="266"/>
      <c r="E44" s="266"/>
      <c r="F44" s="266"/>
      <c r="G44" s="266"/>
      <c r="H44" s="267"/>
      <c r="I44" s="145"/>
      <c r="J44" s="145"/>
      <c r="K44" s="254" t="str">
        <f t="shared" si="6"/>
        <v>SKV - LIB</v>
      </c>
      <c r="L44" s="255"/>
      <c r="M44" s="255"/>
      <c r="N44" s="255"/>
      <c r="O44" s="146" t="str">
        <f t="shared" si="7"/>
        <v>5:6p</v>
      </c>
      <c r="P44" s="256" t="str">
        <f t="shared" si="8"/>
        <v>2014/2015 (ZČ)</v>
      </c>
      <c r="Q44" s="255"/>
      <c r="R44" s="257"/>
    </row>
    <row r="45" spans="1:18" ht="15" customHeight="1" thickTop="1" x14ac:dyDescent="0.25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254" t="str">
        <f t="shared" ref="K45:K48" si="9">X15</f>
        <v>LIB - SKV</v>
      </c>
      <c r="L45" s="255"/>
      <c r="M45" s="255"/>
      <c r="N45" s="255"/>
      <c r="O45" s="146" t="str">
        <f t="shared" ref="O45:P45" si="10">AB15</f>
        <v>11:4</v>
      </c>
      <c r="P45" s="256" t="str">
        <f t="shared" si="10"/>
        <v>2014/2015 (ZČ)</v>
      </c>
      <c r="Q45" s="255"/>
      <c r="R45" s="257"/>
    </row>
    <row r="46" spans="1:18" ht="15" customHeight="1" x14ac:dyDescent="0.25">
      <c r="A46" s="141"/>
      <c r="B46" s="141"/>
      <c r="C46" s="141"/>
      <c r="D46" s="141"/>
      <c r="E46" s="141"/>
      <c r="F46" s="145"/>
      <c r="G46" s="145"/>
      <c r="H46" s="145"/>
      <c r="I46" s="145"/>
      <c r="J46" s="145"/>
      <c r="K46" s="254" t="str">
        <f t="shared" si="9"/>
        <v>SKV - LIB</v>
      </c>
      <c r="L46" s="255"/>
      <c r="M46" s="255"/>
      <c r="N46" s="255"/>
      <c r="O46" s="146" t="str">
        <f t="shared" ref="O46:P46" si="11">AB16</f>
        <v>0:6</v>
      </c>
      <c r="P46" s="256" t="str">
        <f t="shared" si="11"/>
        <v>2006/2007 (ZČ)</v>
      </c>
      <c r="Q46" s="255"/>
      <c r="R46" s="257"/>
    </row>
    <row r="47" spans="1:18" ht="15" customHeight="1" x14ac:dyDescent="0.25">
      <c r="A47" s="141"/>
      <c r="B47" s="141"/>
      <c r="C47" s="141"/>
      <c r="D47" s="141"/>
      <c r="E47" s="141"/>
      <c r="F47" s="145"/>
      <c r="G47" s="145"/>
      <c r="H47" s="145"/>
      <c r="I47" s="145"/>
      <c r="J47" s="145"/>
      <c r="K47" s="254" t="str">
        <f t="shared" si="9"/>
        <v>LIB - SKV</v>
      </c>
      <c r="L47" s="255"/>
      <c r="M47" s="255"/>
      <c r="N47" s="255"/>
      <c r="O47" s="146" t="str">
        <f t="shared" ref="O47:P47" si="12">AB17</f>
        <v>10:3</v>
      </c>
      <c r="P47" s="256" t="str">
        <f t="shared" si="12"/>
        <v>2006/2007 (ZČ)</v>
      </c>
      <c r="Q47" s="255"/>
      <c r="R47" s="257"/>
    </row>
    <row r="48" spans="1:18" ht="15" customHeight="1" thickBot="1" x14ac:dyDescent="0.3">
      <c r="A48" s="141"/>
      <c r="B48" s="141"/>
      <c r="C48" s="141"/>
      <c r="D48" s="141"/>
      <c r="E48" s="141"/>
      <c r="F48" s="145"/>
      <c r="G48" s="145"/>
      <c r="H48" s="145"/>
      <c r="I48" s="145"/>
      <c r="J48" s="145"/>
      <c r="K48" s="304" t="str">
        <f t="shared" si="9"/>
        <v/>
      </c>
      <c r="L48" s="305"/>
      <c r="M48" s="305"/>
      <c r="N48" s="305"/>
      <c r="O48" s="150" t="str">
        <f t="shared" ref="O48:P48" si="13">AB18</f>
        <v/>
      </c>
      <c r="P48" s="306" t="str">
        <f t="shared" si="13"/>
        <v/>
      </c>
      <c r="Q48" s="305"/>
      <c r="R48" s="307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52">
        <f ca="1">TODAY()</f>
        <v>44458</v>
      </c>
      <c r="H50" s="253"/>
      <c r="I50" s="253"/>
      <c r="J50" s="253"/>
      <c r="K50" s="253"/>
      <c r="L50" s="253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21" priority="3" stopIfTrue="1" operator="equal">
      <formula>"OTR"</formula>
    </cfRule>
  </conditionalFormatting>
  <conditionalFormatting sqref="A1:R2 A36 E36">
    <cfRule type="cellIs" dxfId="820" priority="4" stopIfTrue="1" operator="equal">
      <formula>"PAR"</formula>
    </cfRule>
    <cfRule type="cellIs" dxfId="819" priority="5" stopIfTrue="1" operator="equal">
      <formula>"CLP"</formula>
    </cfRule>
    <cfRule type="cellIs" dxfId="818" priority="6" stopIfTrue="1" operator="equal">
      <formula>"HAT"</formula>
    </cfRule>
    <cfRule type="cellIs" dxfId="817" priority="7" stopIfTrue="1" operator="equal">
      <formula>"LIB"</formula>
    </cfRule>
    <cfRule type="cellIs" dxfId="816" priority="8" stopIfTrue="1" operator="equal">
      <formula>"BA"</formula>
    </cfRule>
    <cfRule type="cellIs" dxfId="815" priority="9" stopIfTrue="1" operator="equal">
      <formula>"SPA"</formula>
    </cfRule>
    <cfRule type="cellIs" dxfId="814" priority="10" stopIfTrue="1" operator="equal">
      <formula>"OST"</formula>
    </cfRule>
    <cfRule type="cellIs" dxfId="813" priority="11" stopIfTrue="1" operator="equal">
      <formula>"BOH"</formula>
    </cfRule>
    <cfRule type="cellIs" dxfId="812" priority="12" stopIfTrue="1" operator="equal">
      <formula>"TAT"</formula>
    </cfRule>
    <cfRule type="cellIs" dxfId="811" priority="13" stopIfTrue="1" operator="equal">
      <formula>"MB"</formula>
    </cfRule>
    <cfRule type="cellIs" dxfId="810" priority="14" stopIfTrue="1" operator="equal">
      <formula>"VIT"</formula>
    </cfRule>
    <cfRule type="cellIs" dxfId="809" priority="15" stopIfTrue="1" operator="equal">
      <formula>"CHO"</formula>
    </cfRule>
    <cfRule type="cellIs" dxfId="808" priority="16" stopIfTrue="1" operator="equal">
      <formula>"SKV"</formula>
    </cfRule>
  </conditionalFormatting>
  <conditionalFormatting sqref="K33:R48">
    <cfRule type="expression" dxfId="807" priority="2">
      <formula>AND($K33&lt;&gt;"", MOD(ROW($K33),2)=0)</formula>
    </cfRule>
  </conditionalFormatting>
  <conditionalFormatting sqref="A37:H44">
    <cfRule type="expression" dxfId="80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sqref="A1:F2"/>
    </sheetView>
  </sheetViews>
  <sheetFormatPr defaultColWidth="9.140625" defaultRowHeight="14.25" x14ac:dyDescent="0.25"/>
  <cols>
    <col min="1" max="12" width="21.28515625" style="3" customWidth="1"/>
    <col min="13" max="16384" width="9.140625" style="3"/>
  </cols>
  <sheetData>
    <row r="1" spans="1:12" x14ac:dyDescent="0.25">
      <c r="A1" s="315" t="str">
        <f>prehled!A1</f>
        <v>SKV</v>
      </c>
      <c r="B1" s="315"/>
      <c r="C1" s="315"/>
      <c r="D1" s="315"/>
      <c r="E1" s="315"/>
      <c r="F1" s="315"/>
      <c r="G1" s="315" t="str">
        <f>prehled!J1</f>
        <v>LIB</v>
      </c>
      <c r="H1" s="315"/>
      <c r="I1" s="315"/>
      <c r="J1" s="315"/>
      <c r="K1" s="315"/>
      <c r="L1" s="315"/>
    </row>
    <row r="2" spans="1:12" x14ac:dyDescent="0.25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</row>
    <row r="3" spans="1:12" s="154" customFormat="1" ht="19.5" x14ac:dyDescent="0.25">
      <c r="A3" s="314" t="s">
        <v>96</v>
      </c>
      <c r="B3" s="314"/>
      <c r="C3" s="314"/>
      <c r="D3" s="314"/>
      <c r="E3" s="314"/>
      <c r="F3" s="314"/>
      <c r="G3" s="314" t="s">
        <v>96</v>
      </c>
      <c r="H3" s="314"/>
      <c r="I3" s="314"/>
      <c r="J3" s="314"/>
      <c r="K3" s="314"/>
      <c r="L3" s="314"/>
    </row>
    <row r="4" spans="1:12" ht="14.25" customHeight="1" x14ac:dyDescent="0.25">
      <c r="A4" s="315" t="str">
        <f>A1</f>
        <v>SKV</v>
      </c>
      <c r="B4" s="157" t="str">
        <f ca="1">IF($A$4&lt;&gt;0,IFERROR(INDEX([1]tymy!B:B,MATCH(prehled!$A$3,OFFSET([1]tymy!$A$2,,,(COUNTA([1]tymy!$A:$A)-1)*3),0)+1),""),"")</f>
        <v/>
      </c>
      <c r="C4" s="158" t="str">
        <f ca="1">IF($A$4&lt;&gt;0,IFERROR(INDEX([1]tymy!C:C,MATCH(prehled!$A$3,OFFSET([1]tymy!$A$2,,,(COUNTA([1]tymy!$A:$A)-1)*3),0)+1),""),"")</f>
        <v/>
      </c>
      <c r="D4" s="158" t="str">
        <f ca="1">IF($A$4&lt;&gt;0,IFERROR(INDEX([1]tymy!D:D,MATCH(prehled!$A$3,OFFSET([1]tymy!$A$2,,,(COUNTA([1]tymy!$A:$A)-1)*3),0)+1),""),"")</f>
        <v/>
      </c>
      <c r="E4" s="158" t="str">
        <f ca="1">IF($A$4&lt;&gt;0,IFERROR(INDEX([1]tymy!E:E,MATCH(prehled!$A$3,OFFSET([1]tymy!$A$2,,,(COUNTA([1]tymy!$A:$A)-1)*3),0)+1),""),"")</f>
        <v/>
      </c>
      <c r="F4" s="159" t="str">
        <f ca="1">IF($A$4&lt;&gt;0,IFERROR(INDEX([1]tymy!F:F,MATCH(prehled!$A$3,OFFSET([1]tymy!$A$2,,,(COUNTA([1]tymy!$A:$A)-1)*3),0)+1),""),"")</f>
        <v/>
      </c>
      <c r="G4" s="315" t="str">
        <f>G1</f>
        <v>LIB</v>
      </c>
      <c r="H4" s="157" t="str">
        <f ca="1">IF($G$4&lt;&gt;0,IFERROR(INDEX([1]tymy!B:B,MATCH(prehled!$J$3,OFFSET([1]tymy!$A$2,,,(COUNTA([1]tymy!$A:$A)-1)*3),0)+1),""),"")</f>
        <v/>
      </c>
      <c r="I4" s="158" t="str">
        <f ca="1">IF($G$4&lt;&gt;0,IFERROR(INDEX([1]tymy!C:C,MATCH(prehled!$J$3,OFFSET([1]tymy!$A$2,,,(COUNTA([1]tymy!$A:$A)-1)*3),0)+1),""),"")</f>
        <v/>
      </c>
      <c r="J4" s="158" t="str">
        <f ca="1">IF($G$4&lt;&gt;0,IFERROR(INDEX([1]tymy!D:D,MATCH(prehled!$J$3,OFFSET([1]tymy!$A$2,,,(COUNTA([1]tymy!$A:$A)-1)*3),0)+1),""),"")</f>
        <v/>
      </c>
      <c r="K4" s="158" t="str">
        <f ca="1">IF($G$4&lt;&gt;0,IFERROR(INDEX([1]tymy!E:E,MATCH(prehled!$J$3,OFFSET([1]tymy!$A$2,,,(COUNTA([1]tymy!$A:$A)-1)*3),0)+1),""),"")</f>
        <v/>
      </c>
      <c r="L4" s="159" t="str">
        <f ca="1">IF($G$4&lt;&gt;0,IFERROR(INDEX([1]tymy!F:F,MATCH(prehled!$J$3,OFFSET([1]tymy!$A$2,,,(COUNTA([1]tymy!$A:$A)-1)*3),0)+1),""),"")</f>
        <v/>
      </c>
    </row>
    <row r="5" spans="1:12" ht="14.25" customHeight="1" x14ac:dyDescent="0.25">
      <c r="A5" s="315"/>
      <c r="B5" s="157" t="str">
        <f ca="1">IF($A$4&lt;&gt;0,IFERROR(INDEX([1]tymy!B:B,MATCH(prehled!$A$3,OFFSET([1]tymy!$A$2,,,(COUNTA([1]tymy!$A:$A)-1)*3),0)+2),""),"")</f>
        <v/>
      </c>
      <c r="C5" s="158" t="str">
        <f ca="1">IF($A$4&lt;&gt;0,IFERROR(INDEX([1]tymy!C:C,MATCH(prehled!$A$3,OFFSET([1]tymy!$A$2,,,(COUNTA([1]tymy!$A:$A)-1)*3),0)+2),""),"")</f>
        <v/>
      </c>
      <c r="D5" s="158" t="str">
        <f ca="1">IF($A$4&lt;&gt;0,IFERROR(INDEX([1]tymy!D:D,MATCH(prehled!$A$3,OFFSET([1]tymy!$A$2,,,(COUNTA([1]tymy!$A:$A)-1)*3),0)+2),""),"")</f>
        <v/>
      </c>
      <c r="E5" s="158" t="str">
        <f ca="1">IF($A$4&lt;&gt;0,IFERROR(INDEX([1]tymy!E:E,MATCH(prehled!$A$3,OFFSET([1]tymy!$A$2,,,(COUNTA([1]tymy!$A:$A)-1)*3),0)+2),""),"")</f>
        <v/>
      </c>
      <c r="F5" s="159" t="str">
        <f ca="1">IF($A$4&lt;&gt;0,IFERROR(INDEX([1]tymy!F:F,MATCH(prehled!$A$3,OFFSET([1]tymy!$A$2,,,(COUNTA([1]tymy!$A:$A)-1)*3),0)+2),""),"")</f>
        <v/>
      </c>
      <c r="G5" s="315"/>
      <c r="H5" s="157" t="str">
        <f ca="1">IF($G$4&lt;&gt;0,IFERROR(INDEX([1]tymy!B:B,MATCH(prehled!$J$3,OFFSET([1]tymy!$A$2,,,(COUNTA([1]tymy!$A:$A)-1)*3),0)+2),""),"")</f>
        <v/>
      </c>
      <c r="I5" s="158" t="str">
        <f ca="1">IF($G$4&lt;&gt;0,IFERROR(INDEX([1]tymy!C:C,MATCH(prehled!$J$3,OFFSET([1]tymy!$A$2,,,(COUNTA([1]tymy!$A:$A)-1)*3),0)+2),""),"")</f>
        <v/>
      </c>
      <c r="J5" s="158" t="str">
        <f ca="1">IF($G$4&lt;&gt;0,IFERROR(INDEX([1]tymy!D:D,MATCH(prehled!$J$3,OFFSET([1]tymy!$A$2,,,(COUNTA([1]tymy!$A:$A)-1)*3),0)+2),""),"")</f>
        <v/>
      </c>
      <c r="K5" s="158" t="str">
        <f ca="1">IF($G$4&lt;&gt;0,IFERROR(INDEX([1]tymy!E:E,MATCH(prehled!$J$3,OFFSET([1]tymy!$A$2,,,(COUNTA([1]tymy!$A:$A)-1)*3),0)+2),""),"")</f>
        <v/>
      </c>
      <c r="L5" s="159" t="str">
        <f ca="1">IF($G$4&lt;&gt;0,IFERROR(INDEX([1]tymy!F:F,MATCH(prehled!$J$3,OFFSET([1]tymy!$A$2,,,(COUNTA([1]tymy!$A:$A)-1)*3),0)+2),""),"")</f>
        <v/>
      </c>
    </row>
    <row r="6" spans="1:12" x14ac:dyDescent="0.25">
      <c r="A6" s="315"/>
      <c r="B6" s="157" t="str">
        <f ca="1">IF($A$4&lt;&gt;0,IFERROR(INDEX([1]tymy!B:B,MATCH(prehled!$A$3,OFFSET([1]tymy!$A$2,,,(COUNTA([1]tymy!$A:$A)-1)*3),0)+3),""),"")</f>
        <v/>
      </c>
      <c r="C6" s="158" t="str">
        <f ca="1">IF($A$4&lt;&gt;0,IFERROR(INDEX([1]tymy!C:C,MATCH(prehled!$A$3,OFFSET([1]tymy!$A$2,,,(COUNTA([1]tymy!$A:$A)-1)*3),0)+3),""),"")</f>
        <v/>
      </c>
      <c r="D6" s="158" t="str">
        <f ca="1">IF($A$4&lt;&gt;0,IFERROR(INDEX([1]tymy!D:D,MATCH(prehled!$A$3,OFFSET([1]tymy!$A$2,,,(COUNTA([1]tymy!$A:$A)-1)*3),0)+3),""),"")</f>
        <v/>
      </c>
      <c r="E6" s="158" t="str">
        <f ca="1">IF($A$4&lt;&gt;0,IFERROR(INDEX([1]tymy!E:E,MATCH(prehled!$A$3,OFFSET([1]tymy!$A$2,,,(COUNTA([1]tymy!$A:$A)-1)*3),0)+3),""),"")</f>
        <v/>
      </c>
      <c r="F6" s="159" t="str">
        <f ca="1">IF($A$4&lt;&gt;0,IFERROR(INDEX([1]tymy!F:F,MATCH(prehled!$A$3,OFFSET([1]tymy!$A$2,,,(COUNTA([1]tymy!$A:$A)-1)*3),0)+3),""),"")</f>
        <v/>
      </c>
      <c r="G6" s="315"/>
      <c r="H6" s="157" t="str">
        <f ca="1">IF($G$4&lt;&gt;0,IFERROR(INDEX([1]tymy!B:B,MATCH(prehled!$J$3,OFFSET([1]tymy!$A$2,,,(COUNTA([1]tymy!$A:$A)-1)*3),0)+3),""),"")</f>
        <v/>
      </c>
      <c r="I6" s="158" t="str">
        <f ca="1">IF($G$4&lt;&gt;0,IFERROR(INDEX([1]tymy!C:C,MATCH(prehled!$J$3,OFFSET([1]tymy!$A$2,,,(COUNTA([1]tymy!$A:$A)-1)*3),0)+3),""),"")</f>
        <v/>
      </c>
      <c r="J6" s="158" t="str">
        <f ca="1">IF($G$4&lt;&gt;0,IFERROR(INDEX([1]tymy!D:D,MATCH(prehled!$J$3,OFFSET([1]tymy!$A$2,,,(COUNTA([1]tymy!$A:$A)-1)*3),0)+3),""),"")</f>
        <v/>
      </c>
      <c r="K6" s="158" t="str">
        <f ca="1">IF($G$4&lt;&gt;0,IFERROR(INDEX([1]tymy!E:E,MATCH(prehled!$J$3,OFFSET([1]tymy!$A$2,,,(COUNTA([1]tymy!$A:$A)-1)*3),0)+3),""),"")</f>
        <v/>
      </c>
      <c r="L6" s="159" t="str">
        <f ca="1">IF($G$4&lt;&gt;0,IFERROR(INDEX([1]tymy!F:F,MATCH(prehled!$J$3,OFFSET([1]tymy!$A$2,,,(COUNTA([1]tymy!$A:$A)-1)*3),0)+3),""),"")</f>
        <v/>
      </c>
    </row>
    <row r="7" spans="1:12" s="154" customFormat="1" ht="19.5" x14ac:dyDescent="0.25">
      <c r="A7" s="314" t="s">
        <v>1084</v>
      </c>
      <c r="B7" s="314"/>
      <c r="C7" s="314"/>
      <c r="D7" s="314"/>
      <c r="E7" s="314"/>
      <c r="F7" s="314"/>
      <c r="G7" s="314" t="s">
        <v>1084</v>
      </c>
      <c r="H7" s="314"/>
      <c r="I7" s="314"/>
      <c r="J7" s="314"/>
      <c r="K7" s="314"/>
      <c r="L7" s="314"/>
    </row>
    <row r="8" spans="1:12" x14ac:dyDescent="0.25">
      <c r="A8" s="156" t="str">
        <f ca="1">IF(INDIRECT("priprava_" &amp; A$1 &amp; "!A1")&lt;&gt;0,INDIRECT("priprava_" &amp; A$1 &amp; "!A1"),"")</f>
        <v>Jan Fiala</v>
      </c>
      <c r="B8" s="157" t="str">
        <f ca="1">IF($A8&lt;&gt;0,IFERROR(INDEX('[1]hraci_&amp;_treneri'!$C:$C,MATCH(CONCATENATE($A8," (",VLOOKUP($A8,OFFSET(INDIRECT("priprava_"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+ 1),IFERROR(INDEX('[1]hraci_&amp;_treneri'!$C:$C,MATCH(CONCATENATE($A8," (",VLOOKUP($A8,OFFSET(INDIRECT("priprava_"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8" s="158" t="str">
        <f ca="1">IF($A8&lt;&gt;0,IFERROR(INDEX('[1]hraci_&amp;_treneri'!$D:$D,MATCH(CONCATENATE($A8," (",VLOOKUP($A8,OFFSET(INDIRECT("priprava_"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+ 1),IFERROR(INDEX('[1]hraci_&amp;_treneri'!$D:$D,MATCH(CONCATENATE($A8," (",VLOOKUP($A8,OFFSET(INDIRECT("priprava_"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8" s="158" t="str">
        <f ca="1">IF($A8&lt;&gt;0,IFERROR(INDEX('[1]hraci_&amp;_treneri'!$E:$E,MATCH(CONCATENATE($A8," (",VLOOKUP($A8,OFFSET(INDIRECT("priprava_"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+ 1),IFERROR(INDEX('[1]hraci_&amp;_treneri'!$E:$E,MATCH(CONCATENATE($A8," (",VLOOKUP($A8,OFFSET(INDIRECT("priprava_"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8" s="158" t="str">
        <f ca="1">IF($A8&lt;&gt;0,IFERROR(INDEX('[1]hraci_&amp;_treneri'!$F:$F,MATCH(CONCATENATE($A8," (",VLOOKUP($A8,OFFSET(INDIRECT("priprava_"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+ 1),IFERROR(INDEX('[1]hraci_&amp;_treneri'!$F:$F,MATCH(CONCATENATE($A8," (",VLOOKUP($A8,OFFSET(INDIRECT("priprava_"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8" s="159" t="str">
        <f ca="1">IF($A8&lt;&gt;0,IFERROR(INDEX('[1]hraci_&amp;_treneri'!$G:$G,MATCH(CONCATENATE($A8," (",VLOOKUP($A8,OFFSET(INDIRECT("priprava_"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+ 1),IFERROR(INDEX('[1]hraci_&amp;_treneri'!$G:$G,MATCH(CONCATENATE($A8," (",VLOOKUP($A8,OFFSET(INDIRECT("priprava_"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8" s="156" t="str">
        <f ca="1">IF(INDIRECT("priprava_" &amp; G$1 &amp; "!A1")&lt;&gt;0,INDIRECT("priprava_" &amp; G$1 &amp; "!A1"),"")</f>
        <v>Jan Šoltys</v>
      </c>
      <c r="H8" s="158" t="str">
        <f ca="1">IF($G8&lt;&gt;0,IFERROR(INDEX('[1]hraci_&amp;_treneri'!$C:$C,MATCH(CONCATENATE($G8," (",VLOOKUP($G8,OFFSET(INDIRECT("priprava_"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+ 1),IFERROR(INDEX('[1]hraci_&amp;_treneri'!$C:$C,MATCH(CONCATENATE($G8," (",VLOOKUP($G8,OFFSET(INDIRECT("priprava_"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8" s="158" t="str">
        <f ca="1">IF($G8&lt;&gt;0,IFERROR(INDEX('[1]hraci_&amp;_treneri'!$D:$D,MATCH(CONCATENATE($G8," (",VLOOKUP($G8,OFFSET(INDIRECT("priprava_"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+ 1),IFERROR(INDEX('[1]hraci_&amp;_treneri'!$D:$D,MATCH(CONCATENATE($G8," (",VLOOKUP($G8,OFFSET(INDIRECT("priprava_"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8" s="158" t="str">
        <f ca="1">IF($G8&lt;&gt;0,IFERROR(INDEX('[1]hraci_&amp;_treneri'!$E:$E,MATCH(CONCATENATE($G8," (",VLOOKUP($G8,OFFSET(INDIRECT("priprava_"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+ 1),IFERROR(INDEX('[1]hraci_&amp;_treneri'!$E:$E,MATCH(CONCATENATE($G8," (",VLOOKUP($G8,OFFSET(INDIRECT("priprava_"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8" s="158" t="str">
        <f ca="1">IF($G8&lt;&gt;0,IFERROR(INDEX('[1]hraci_&amp;_treneri'!$F:$F,MATCH(CONCATENATE($G8," (",VLOOKUP($G8,OFFSET(INDIRECT("priprava_"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+ 1),IFERROR(INDEX('[1]hraci_&amp;_treneri'!$F:$F,MATCH(CONCATENATE($G8," (",VLOOKUP($G8,OFFSET(INDIRECT("priprava_"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8" s="159" t="str">
        <f ca="1">IF($G8&lt;&gt;0,IFERROR(INDEX('[1]hraci_&amp;_treneri'!$G:$G,MATCH(CONCATENATE($G8," (",VLOOKUP($G8,OFFSET(INDIRECT("priprava_"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+ 1),IFERROR(INDEX('[1]hraci_&amp;_treneri'!$G:$G,MATCH(CONCATENATE($G8," (",VLOOKUP($G8,OFFSET(INDIRECT("priprava_"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9" spans="1:12" x14ac:dyDescent="0.25">
      <c r="A9" s="156" t="str">
        <f ca="1">IF(INDIRECT("priprava_" &amp; A$1 &amp; "!M1")&lt;&gt;0,INDIRECT("priprava_" &amp; A$1 &amp; "!M1"),"")</f>
        <v>Jan Procházka</v>
      </c>
      <c r="B9" s="157" t="str">
        <f ca="1">IF($A9&lt;&gt;0,IFERROR(INDEX('[1]hraci_&amp;_treneri'!$C:$C,MATCH(CONCATENATE($A9," (",VLOOKUP($A9,OFFSET(INDIRECT("priprava_"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+ 1),IFERROR(INDEX('[1]hraci_&amp;_treneri'!$C:$C,MATCH(CONCATENATE($A9," (",VLOOKUP($A9,OFFSET(INDIRECT("priprava_"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9" s="158" t="str">
        <f ca="1">IF($A9&lt;&gt;0,IFERROR(INDEX('[1]hraci_&amp;_treneri'!$D:$D,MATCH(CONCATENATE($A9," (",VLOOKUP($A9,OFFSET(INDIRECT("priprava_"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+ 1),IFERROR(INDEX('[1]hraci_&amp;_treneri'!$D:$D,MATCH(CONCATENATE($A9," (",VLOOKUP($A9,OFFSET(INDIRECT("priprava_"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9" s="158" t="str">
        <f ca="1">IF($A9&lt;&gt;0,IFERROR(INDEX('[1]hraci_&amp;_treneri'!$E:$E,MATCH(CONCATENATE($A9," (",VLOOKUP($A9,OFFSET(INDIRECT("priprava_"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+ 1),IFERROR(INDEX('[1]hraci_&amp;_treneri'!$E:$E,MATCH(CONCATENATE($A9," (",VLOOKUP($A9,OFFSET(INDIRECT("priprava_"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9" s="158" t="str">
        <f ca="1">IF($A9&lt;&gt;0,IFERROR(INDEX('[1]hraci_&amp;_treneri'!$F:$F,MATCH(CONCATENATE($A9," (",VLOOKUP($A9,OFFSET(INDIRECT("priprava_"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+ 1),IFERROR(INDEX('[1]hraci_&amp;_treneri'!$F:$F,MATCH(CONCATENATE($A9," (",VLOOKUP($A9,OFFSET(INDIRECT("priprava_"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9" s="159" t="str">
        <f ca="1">IF($A9&lt;&gt;0,IFERROR(INDEX('[1]hraci_&amp;_treneri'!$G:$G,MATCH(CONCATENATE($A9," (",VLOOKUP($A9,OFFSET(INDIRECT("priprava_"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+ 1),IFERROR(INDEX('[1]hraci_&amp;_treneri'!$G:$G,MATCH(CONCATENATE($A9," (",VLOOKUP($A9,OFFSET(INDIRECT("priprava_"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9" s="156" t="str">
        <f ca="1">IF(INDIRECT("priprava_" &amp; G$1 &amp; "!M1")&lt;&gt;0,INDIRECT("priprava_" &amp; G$1 &amp; "!M1"),"")</f>
        <v>Šimon Stránský</v>
      </c>
      <c r="H9" s="158" t="str">
        <f ca="1">IF($G9&lt;&gt;0,IFERROR(INDEX('[1]hraci_&amp;_treneri'!$C:$C,MATCH(CONCATENATE($G9," (",VLOOKUP($G9,OFFSET(INDIRECT("priprava_"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+ 1),IFERROR(INDEX('[1]hraci_&amp;_treneri'!$C:$C,MATCH(CONCATENATE($G9," (",VLOOKUP($G9,OFFSET(INDIRECT("priprava_"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9" s="158" t="str">
        <f ca="1">IF($G9&lt;&gt;0,IFERROR(INDEX('[1]hraci_&amp;_treneri'!$D:$D,MATCH(CONCATENATE($G9," (",VLOOKUP($G9,OFFSET(INDIRECT("priprava_"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+ 1),IFERROR(INDEX('[1]hraci_&amp;_treneri'!$D:$D,MATCH(CONCATENATE($G9," (",VLOOKUP($G9,OFFSET(INDIRECT("priprava_"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9" s="158" t="str">
        <f ca="1">IF($G9&lt;&gt;0,IFERROR(INDEX('[1]hraci_&amp;_treneri'!$E:$E,MATCH(CONCATENATE($G9," (",VLOOKUP($G9,OFFSET(INDIRECT("priprava_"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+ 1),IFERROR(INDEX('[1]hraci_&amp;_treneri'!$E:$E,MATCH(CONCATENATE($G9," (",VLOOKUP($G9,OFFSET(INDIRECT("priprava_"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9" s="158" t="str">
        <f ca="1">IF($G9&lt;&gt;0,IFERROR(INDEX('[1]hraci_&amp;_treneri'!$F:$F,MATCH(CONCATENATE($G9," (",VLOOKUP($G9,OFFSET(INDIRECT("priprava_"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+ 1),IFERROR(INDEX('[1]hraci_&amp;_treneri'!$F:$F,MATCH(CONCATENATE($G9," (",VLOOKUP($G9,OFFSET(INDIRECT("priprava_"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9" s="159" t="str">
        <f ca="1">IF($G9&lt;&gt;0,IFERROR(INDEX('[1]hraci_&amp;_treneri'!$G:$G,MATCH(CONCATENATE($G9," (",VLOOKUP($G9,OFFSET(INDIRECT("priprava_"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+ 1),IFERROR(INDEX('[1]hraci_&amp;_treneri'!$G:$G,MATCH(CONCATENATE($G9," (",VLOOKUP($G9,OFFSET(INDIRECT("priprava_"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0" spans="1:12" x14ac:dyDescent="0.25">
      <c r="A10" s="156" t="str">
        <f ca="1">IF(INDIRECT("priprava_" &amp; A$1 &amp; "!G3")&lt;&gt;0,INDIRECT("priprava_" &amp; A$1 &amp; "!G3"),"")</f>
        <v>Zbyněk Stuchlík</v>
      </c>
      <c r="B10" s="157" t="str">
        <f ca="1">IF($A10&lt;&gt;0,IFERROR(INDEX('[1]hraci_&amp;_treneri'!$C:$C,MATCH(CONCATENATE($A10," (",VLOOKUP($A10,OFFSET(INDIRECT("priprava_"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+ 1),IFERROR(INDEX('[1]hraci_&amp;_treneri'!$C:$C,MATCH(CONCATENATE($A10," (",VLOOKUP($A10,OFFSET(INDIRECT("priprava_"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0" s="158" t="str">
        <f ca="1">IF($A10&lt;&gt;0,IFERROR(INDEX('[1]hraci_&amp;_treneri'!$D:$D,MATCH(CONCATENATE($A10," (",VLOOKUP($A10,OFFSET(INDIRECT("priprava_"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+ 1),IFERROR(INDEX('[1]hraci_&amp;_treneri'!$D:$D,MATCH(CONCATENATE($A10," (",VLOOKUP($A10,OFFSET(INDIRECT("priprava_"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0" s="158" t="str">
        <f ca="1">IF($A10&lt;&gt;0,IFERROR(INDEX('[1]hraci_&amp;_treneri'!$E:$E,MATCH(CONCATENATE($A10," (",VLOOKUP($A10,OFFSET(INDIRECT("priprava_"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+ 1),IFERROR(INDEX('[1]hraci_&amp;_treneri'!$E:$E,MATCH(CONCATENATE($A10," (",VLOOKUP($A10,OFFSET(INDIRECT("priprava_"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0" s="158" t="str">
        <f ca="1">IF($A10&lt;&gt;0,IFERROR(INDEX('[1]hraci_&amp;_treneri'!$F:$F,MATCH(CONCATENATE($A10," (",VLOOKUP($A10,OFFSET(INDIRECT("priprava_"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+ 1),IFERROR(INDEX('[1]hraci_&amp;_treneri'!$F:$F,MATCH(CONCATENATE($A10," (",VLOOKUP($A10,OFFSET(INDIRECT("priprava_"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0" s="159" t="str">
        <f ca="1">IF($A10&lt;&gt;0,IFERROR(INDEX('[1]hraci_&amp;_treneri'!$G:$G,MATCH(CONCATENATE($A10," (",VLOOKUP($A10,OFFSET(INDIRECT("priprava_"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+ 1),IFERROR(INDEX('[1]hraci_&amp;_treneri'!$G:$G,MATCH(CONCATENATE($A10," (",VLOOKUP($A10,OFFSET(INDIRECT("priprava_"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0" s="156" t="str">
        <f ca="1">IF(INDIRECT("priprava_" &amp; G$1 &amp; "!G3")&lt;&gt;0,INDIRECT("priprava_" &amp; G$1 &amp; "!G3"),"")</f>
        <v>Jakub Kopecký</v>
      </c>
      <c r="H10" s="158" t="str">
        <f ca="1">IF($G10&lt;&gt;0,IFERROR(INDEX('[1]hraci_&amp;_treneri'!$C:$C,MATCH(CONCATENATE($G10," (",VLOOKUP($G10,OFFSET(INDIRECT("priprava_"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+ 1),IFERROR(INDEX('[1]hraci_&amp;_treneri'!$C:$C,MATCH(CONCATENATE($G10," (",VLOOKUP($G10,OFFSET(INDIRECT("priprava_"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0" s="158" t="str">
        <f ca="1">IF($G10&lt;&gt;0,IFERROR(INDEX('[1]hraci_&amp;_treneri'!$D:$D,MATCH(CONCATENATE($G10," (",VLOOKUP($G10,OFFSET(INDIRECT("priprava_"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+ 1),IFERROR(INDEX('[1]hraci_&amp;_treneri'!$D:$D,MATCH(CONCATENATE($G10," (",VLOOKUP($G10,OFFSET(INDIRECT("priprava_"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0" s="158" t="str">
        <f ca="1">IF($G10&lt;&gt;0,IFERROR(INDEX('[1]hraci_&amp;_treneri'!$E:$E,MATCH(CONCATENATE($G10," (",VLOOKUP($G10,OFFSET(INDIRECT("priprava_"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+ 1),IFERROR(INDEX('[1]hraci_&amp;_treneri'!$E:$E,MATCH(CONCATENATE($G10," (",VLOOKUP($G10,OFFSET(INDIRECT("priprava_"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0" s="158" t="str">
        <f ca="1">IF($G10&lt;&gt;0,IFERROR(INDEX('[1]hraci_&amp;_treneri'!$F:$F,MATCH(CONCATENATE($G10," (",VLOOKUP($G10,OFFSET(INDIRECT("priprava_"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+ 1),IFERROR(INDEX('[1]hraci_&amp;_treneri'!$F:$F,MATCH(CONCATENATE($G10," (",VLOOKUP($G10,OFFSET(INDIRECT("priprava_"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0" s="159" t="str">
        <f ca="1">IF($G10&lt;&gt;0,IFERROR(INDEX('[1]hraci_&amp;_treneri'!$G:$G,MATCH(CONCATENATE($G10," (",VLOOKUP($G10,OFFSET(INDIRECT("priprava_"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+ 1),IFERROR(INDEX('[1]hraci_&amp;_treneri'!$G:$G,MATCH(CONCATENATE($G10," (",VLOOKUP($G10,OFFSET(INDIRECT("priprava_"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1" spans="1:12" x14ac:dyDescent="0.25">
      <c r="A11" s="156" t="str">
        <f ca="1">IF(INDIRECT("priprava_" &amp; A$1 &amp; "!A6")&lt;&gt;0,INDIRECT("priprava_" &amp; A$1 &amp; "!A6"),"")</f>
        <v>Oliver Gold</v>
      </c>
      <c r="B11" s="157" t="str">
        <f ca="1">IF($A11&lt;&gt;0,IFERROR(INDEX('[1]hraci_&amp;_treneri'!$C:$C,MATCH(CONCATENATE($A11," (",VLOOKUP($A11,OFFSET(INDIRECT("priprava_"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+ 1),IFERROR(INDEX('[1]hraci_&amp;_treneri'!$C:$C,MATCH(CONCATENATE($A11," (",VLOOKUP($A11,OFFSET(INDIRECT("priprava_"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1" s="158" t="str">
        <f ca="1">IF($A11&lt;&gt;0,IFERROR(INDEX('[1]hraci_&amp;_treneri'!$D:$D,MATCH(CONCATENATE($A11," (",VLOOKUP($A11,OFFSET(INDIRECT("priprava_"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+ 1),IFERROR(INDEX('[1]hraci_&amp;_treneri'!$D:$D,MATCH(CONCATENATE($A11," (",VLOOKUP($A11,OFFSET(INDIRECT("priprava_"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1" s="158" t="str">
        <f ca="1">IF($A11&lt;&gt;0,IFERROR(INDEX('[1]hraci_&amp;_treneri'!$E:$E,MATCH(CONCATENATE($A11," (",VLOOKUP($A11,OFFSET(INDIRECT("priprava_"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+ 1),IFERROR(INDEX('[1]hraci_&amp;_treneri'!$E:$E,MATCH(CONCATENATE($A11," (",VLOOKUP($A11,OFFSET(INDIRECT("priprava_"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1" s="158" t="str">
        <f ca="1">IF($A11&lt;&gt;0,IFERROR(INDEX('[1]hraci_&amp;_treneri'!$F:$F,MATCH(CONCATENATE($A11," (",VLOOKUP($A11,OFFSET(INDIRECT("priprava_"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+ 1),IFERROR(INDEX('[1]hraci_&amp;_treneri'!$F:$F,MATCH(CONCATENATE($A11," (",VLOOKUP($A11,OFFSET(INDIRECT("priprava_"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1" s="159" t="str">
        <f ca="1">IF($A11&lt;&gt;0,IFERROR(INDEX('[1]hraci_&amp;_treneri'!$G:$G,MATCH(CONCATENATE($A11," (",VLOOKUP($A11,OFFSET(INDIRECT("priprava_"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+ 1),IFERROR(INDEX('[1]hraci_&amp;_treneri'!$G:$G,MATCH(CONCATENATE($A11," (",VLOOKUP($A11,OFFSET(INDIRECT("priprava_"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1" s="156" t="str">
        <f ca="1">IF(INDIRECT("priprava_" &amp; G$1 &amp; "!A6")&lt;&gt;0,INDIRECT("priprava_" &amp; G$1 &amp; "!A6"),"")</f>
        <v>Jakub Pařízek</v>
      </c>
      <c r="H11" s="158" t="str">
        <f ca="1">IF($G11&lt;&gt;0,IFERROR(INDEX('[1]hraci_&amp;_treneri'!$C:$C,MATCH(CONCATENATE($G11," (",VLOOKUP($G11,OFFSET(INDIRECT("priprava_"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+ 1),IFERROR(INDEX('[1]hraci_&amp;_treneri'!$C:$C,MATCH(CONCATENATE($G11," (",VLOOKUP($G11,OFFSET(INDIRECT("priprava_"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1" s="158" t="str">
        <f ca="1">IF($G11&lt;&gt;0,IFERROR(INDEX('[1]hraci_&amp;_treneri'!$D:$D,MATCH(CONCATENATE($G11," (",VLOOKUP($G11,OFFSET(INDIRECT("priprava_"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+ 1),IFERROR(INDEX('[1]hraci_&amp;_treneri'!$D:$D,MATCH(CONCATENATE($G11," (",VLOOKUP($G11,OFFSET(INDIRECT("priprava_"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1" s="158" t="str">
        <f ca="1">IF($G11&lt;&gt;0,IFERROR(INDEX('[1]hraci_&amp;_treneri'!$E:$E,MATCH(CONCATENATE($G11," (",VLOOKUP($G11,OFFSET(INDIRECT("priprava_"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+ 1),IFERROR(INDEX('[1]hraci_&amp;_treneri'!$E:$E,MATCH(CONCATENATE($G11," (",VLOOKUP($G11,OFFSET(INDIRECT("priprava_"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1" s="158" t="str">
        <f ca="1">IF($G11&lt;&gt;0,IFERROR(INDEX('[1]hraci_&amp;_treneri'!$F:$F,MATCH(CONCATENATE($G11," (",VLOOKUP($G11,OFFSET(INDIRECT("priprava_"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+ 1),IFERROR(INDEX('[1]hraci_&amp;_treneri'!$F:$F,MATCH(CONCATENATE($G11," (",VLOOKUP($G11,OFFSET(INDIRECT("priprava_"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1" s="159" t="str">
        <f ca="1">IF($G11&lt;&gt;0,IFERROR(INDEX('[1]hraci_&amp;_treneri'!$G:$G,MATCH(CONCATENATE($G11," (",VLOOKUP($G11,OFFSET(INDIRECT("priprava_"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+ 1),IFERROR(INDEX('[1]hraci_&amp;_treneri'!$G:$G,MATCH(CONCATENATE($G11," (",VLOOKUP($G11,OFFSET(INDIRECT("priprava_"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2" spans="1:12" x14ac:dyDescent="0.25">
      <c r="A12" s="156" t="str">
        <f ca="1">IF(INDIRECT("priprava_" &amp; A$1 &amp; "!M6")&lt;&gt;0,INDIRECT("priprava_" &amp; A$1 &amp; "!M6"),"")</f>
        <v>Ondřej Stuchlík</v>
      </c>
      <c r="B12" s="157" t="str">
        <f ca="1">IF($A12&lt;&gt;0,IFERROR(INDEX('[1]hraci_&amp;_treneri'!$C:$C,MATCH(CONCATENATE($A12," (",VLOOKUP($A12,OFFSET(INDIRECT("priprava_"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+ 1),IFERROR(INDEX('[1]hraci_&amp;_treneri'!$C:$C,MATCH(CONCATENATE($A12," (",VLOOKUP($A12,OFFSET(INDIRECT("priprava_"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2" s="158" t="str">
        <f ca="1">IF($A12&lt;&gt;0,IFERROR(INDEX('[1]hraci_&amp;_treneri'!$D:$D,MATCH(CONCATENATE($A12," (",VLOOKUP($A12,OFFSET(INDIRECT("priprava_"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+ 1),IFERROR(INDEX('[1]hraci_&amp;_treneri'!$D:$D,MATCH(CONCATENATE($A12," (",VLOOKUP($A12,OFFSET(INDIRECT("priprava_"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2" s="158" t="str">
        <f ca="1">IF($A12&lt;&gt;0,IFERROR(INDEX('[1]hraci_&amp;_treneri'!$E:$E,MATCH(CONCATENATE($A12," (",VLOOKUP($A12,OFFSET(INDIRECT("priprava_"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+ 1),IFERROR(INDEX('[1]hraci_&amp;_treneri'!$E:$E,MATCH(CONCATENATE($A12," (",VLOOKUP($A12,OFFSET(INDIRECT("priprava_"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2" s="158" t="str">
        <f ca="1">IF($A12&lt;&gt;0,IFERROR(INDEX('[1]hraci_&amp;_treneri'!$F:$F,MATCH(CONCATENATE($A12," (",VLOOKUP($A12,OFFSET(INDIRECT("priprava_"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+ 1),IFERROR(INDEX('[1]hraci_&amp;_treneri'!$F:$F,MATCH(CONCATENATE($A12," (",VLOOKUP($A12,OFFSET(INDIRECT("priprava_"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2" s="159" t="str">
        <f ca="1">IF($A12&lt;&gt;0,IFERROR(INDEX('[1]hraci_&amp;_treneri'!$G:$G,MATCH(CONCATENATE($A12," (",VLOOKUP($A12,OFFSET(INDIRECT("priprava_"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+ 1),IFERROR(INDEX('[1]hraci_&amp;_treneri'!$G:$G,MATCH(CONCATENATE($A12," (",VLOOKUP($A12,OFFSET(INDIRECT("priprava_"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2" s="156" t="str">
        <f ca="1">IF(INDIRECT("priprava_" &amp; G$1 &amp; "!M6")&lt;&gt;0,INDIRECT("priprava_" &amp; G$1 &amp; "!M6"),"")</f>
        <v>Petr Kološ</v>
      </c>
      <c r="H12" s="158" t="str">
        <f ca="1">IF($G12&lt;&gt;0,IFERROR(INDEX('[1]hraci_&amp;_treneri'!$C:$C,MATCH(CONCATENATE($G12," (",VLOOKUP($G12,OFFSET(INDIRECT("priprava_"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+ 1),IFERROR(INDEX('[1]hraci_&amp;_treneri'!$C:$C,MATCH(CONCATENATE($G12," (",VLOOKUP($G12,OFFSET(INDIRECT("priprava_"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2" s="158" t="str">
        <f ca="1">IF($G12&lt;&gt;0,IFERROR(INDEX('[1]hraci_&amp;_treneri'!$D:$D,MATCH(CONCATENATE($G12," (",VLOOKUP($G12,OFFSET(INDIRECT("priprava_"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+ 1),IFERROR(INDEX('[1]hraci_&amp;_treneri'!$D:$D,MATCH(CONCATENATE($G12," (",VLOOKUP($G12,OFFSET(INDIRECT("priprava_"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2" s="158" t="str">
        <f ca="1">IF($G12&lt;&gt;0,IFERROR(INDEX('[1]hraci_&amp;_treneri'!$E:$E,MATCH(CONCATENATE($G12," (",VLOOKUP($G12,OFFSET(INDIRECT("priprava_"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+ 1),IFERROR(INDEX('[1]hraci_&amp;_treneri'!$E:$E,MATCH(CONCATENATE($G12," (",VLOOKUP($G12,OFFSET(INDIRECT("priprava_"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2" s="158" t="str">
        <f ca="1">IF($G12&lt;&gt;0,IFERROR(INDEX('[1]hraci_&amp;_treneri'!$F:$F,MATCH(CONCATENATE($G12," (",VLOOKUP($G12,OFFSET(INDIRECT("priprava_"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+ 1),IFERROR(INDEX('[1]hraci_&amp;_treneri'!$F:$F,MATCH(CONCATENATE($G12," (",VLOOKUP($G12,OFFSET(INDIRECT("priprava_"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2" s="159" t="str">
        <f ca="1">IF($G12&lt;&gt;0,IFERROR(INDEX('[1]hraci_&amp;_treneri'!$G:$G,MATCH(CONCATENATE($G12," (",VLOOKUP($G12,OFFSET(INDIRECT("priprava_"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+ 1),IFERROR(INDEX('[1]hraci_&amp;_treneri'!$G:$G,MATCH(CONCATENATE($G12," (",VLOOKUP($G12,OFFSET(INDIRECT("priprava_"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3" spans="1:12" x14ac:dyDescent="0.25">
      <c r="A13" s="156" t="str">
        <f ca="1">IF(INDIRECT("priprava_" &amp; A$1 &amp; "!A12")&lt;&gt;0,INDIRECT("priprava_" &amp; A$1 &amp; "!A12"),"")</f>
        <v>Viktor Kopecký</v>
      </c>
      <c r="B13" s="157" t="str">
        <f ca="1">IF($A13&lt;&gt;0,IFERROR(INDEX('[1]hraci_&amp;_treneri'!$C:$C,MATCH(CONCATENATE($A13," (",VLOOKUP($A13,OFFSET(INDIRECT("priprava_"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+ 1),IFERROR(INDEX('[1]hraci_&amp;_treneri'!$C:$C,MATCH(CONCATENATE($A13," (",VLOOKUP($A13,OFFSET(INDIRECT("priprava_"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3" s="158" t="str">
        <f ca="1">IF($A13&lt;&gt;0,IFERROR(INDEX('[1]hraci_&amp;_treneri'!$D:$D,MATCH(CONCATENATE($A13," (",VLOOKUP($A13,OFFSET(INDIRECT("priprava_"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+ 1),IFERROR(INDEX('[1]hraci_&amp;_treneri'!$D:$D,MATCH(CONCATENATE($A13," (",VLOOKUP($A13,OFFSET(INDIRECT("priprava_"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3" s="158" t="str">
        <f ca="1">IF($A13&lt;&gt;0,IFERROR(INDEX('[1]hraci_&amp;_treneri'!$E:$E,MATCH(CONCATENATE($A13," (",VLOOKUP($A13,OFFSET(INDIRECT("priprava_"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+ 1),IFERROR(INDEX('[1]hraci_&amp;_treneri'!$E:$E,MATCH(CONCATENATE($A13," (",VLOOKUP($A13,OFFSET(INDIRECT("priprava_"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3" s="158" t="str">
        <f ca="1">IF($A13&lt;&gt;0,IFERROR(INDEX('[1]hraci_&amp;_treneri'!$F:$F,MATCH(CONCATENATE($A13," (",VLOOKUP($A13,OFFSET(INDIRECT("priprava_"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+ 1),IFERROR(INDEX('[1]hraci_&amp;_treneri'!$F:$F,MATCH(CONCATENATE($A13," (",VLOOKUP($A13,OFFSET(INDIRECT("priprava_"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3" s="159" t="str">
        <f ca="1">IF($A13&lt;&gt;0,IFERROR(INDEX('[1]hraci_&amp;_treneri'!$G:$G,MATCH(CONCATENATE($A13," (",VLOOKUP($A13,OFFSET(INDIRECT("priprava_"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+ 1),IFERROR(INDEX('[1]hraci_&amp;_treneri'!$G:$G,MATCH(CONCATENATE($A13," (",VLOOKUP($A13,OFFSET(INDIRECT("priprava_"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3" s="156" t="str">
        <f ca="1">IF(INDIRECT("priprava_" &amp; G$1 &amp; "!A12")&lt;&gt;0,INDIRECT("priprava_" &amp; G$1 &amp; "!A12"),"")</f>
        <v>Prokop Ferdan</v>
      </c>
      <c r="H13" s="158" t="str">
        <f ca="1">IF($G13&lt;&gt;0,IFERROR(INDEX('[1]hraci_&amp;_treneri'!$C:$C,MATCH(CONCATENATE($G13," (",VLOOKUP($G13,OFFSET(INDIRECT("priprava_"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+ 1),IFERROR(INDEX('[1]hraci_&amp;_treneri'!$C:$C,MATCH(CONCATENATE($G13," (",VLOOKUP($G13,OFFSET(INDIRECT("priprava_"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3" s="158" t="str">
        <f ca="1">IF($G13&lt;&gt;0,IFERROR(INDEX('[1]hraci_&amp;_treneri'!$D:$D,MATCH(CONCATENATE($G13," (",VLOOKUP($G13,OFFSET(INDIRECT("priprava_"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+ 1),IFERROR(INDEX('[1]hraci_&amp;_treneri'!$D:$D,MATCH(CONCATENATE($G13," (",VLOOKUP($G13,OFFSET(INDIRECT("priprava_"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3" s="158" t="str">
        <f ca="1">IF($G13&lt;&gt;0,IFERROR(INDEX('[1]hraci_&amp;_treneri'!$E:$E,MATCH(CONCATENATE($G13," (",VLOOKUP($G13,OFFSET(INDIRECT("priprava_"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+ 1),IFERROR(INDEX('[1]hraci_&amp;_treneri'!$E:$E,MATCH(CONCATENATE($G13," (",VLOOKUP($G13,OFFSET(INDIRECT("priprava_"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3" s="158" t="str">
        <f ca="1">IF($G13&lt;&gt;0,IFERROR(INDEX('[1]hraci_&amp;_treneri'!$F:$F,MATCH(CONCATENATE($G13," (",VLOOKUP($G13,OFFSET(INDIRECT("priprava_"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+ 1),IFERROR(INDEX('[1]hraci_&amp;_treneri'!$F:$F,MATCH(CONCATENATE($G13," (",VLOOKUP($G13,OFFSET(INDIRECT("priprava_"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3" s="159" t="str">
        <f ca="1">IF($G13&lt;&gt;0,IFERROR(INDEX('[1]hraci_&amp;_treneri'!$G:$G,MATCH(CONCATENATE($G13," (",VLOOKUP($G13,OFFSET(INDIRECT("priprava_"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+ 1),IFERROR(INDEX('[1]hraci_&amp;_treneri'!$G:$G,MATCH(CONCATENATE($G13," (",VLOOKUP($G13,OFFSET(INDIRECT("priprava_"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4" spans="1:12" x14ac:dyDescent="0.25">
      <c r="A14" s="156" t="str">
        <f ca="1">IF(INDIRECT("priprava_" &amp; A$1 &amp; "!M12")&lt;&gt;0,INDIRECT("priprava_" &amp; A$1 &amp; "!M12"),"")</f>
        <v>Vojtěch Klápa</v>
      </c>
      <c r="B14" s="157" t="str">
        <f ca="1">IF($A14&lt;&gt;0,IFERROR(INDEX('[1]hraci_&amp;_treneri'!$C:$C,MATCH(CONCATENATE($A14," (",VLOOKUP($A14,OFFSET(INDIRECT("priprava_"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+ 1),IFERROR(INDEX('[1]hraci_&amp;_treneri'!$C:$C,MATCH(CONCATENATE($A14," (",VLOOKUP($A14,OFFSET(INDIRECT("priprava_"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4" s="158" t="str">
        <f ca="1">IF($A14&lt;&gt;0,IFERROR(INDEX('[1]hraci_&amp;_treneri'!$D:$D,MATCH(CONCATENATE($A14," (",VLOOKUP($A14,OFFSET(INDIRECT("priprava_"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+ 1),IFERROR(INDEX('[1]hraci_&amp;_treneri'!$D:$D,MATCH(CONCATENATE($A14," (",VLOOKUP($A14,OFFSET(INDIRECT("priprava_"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4" s="158" t="str">
        <f ca="1">IF($A14&lt;&gt;0,IFERROR(INDEX('[1]hraci_&amp;_treneri'!$E:$E,MATCH(CONCATENATE($A14," (",VLOOKUP($A14,OFFSET(INDIRECT("priprava_"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+ 1),IFERROR(INDEX('[1]hraci_&amp;_treneri'!$E:$E,MATCH(CONCATENATE($A14," (",VLOOKUP($A14,OFFSET(INDIRECT("priprava_"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4" s="158" t="str">
        <f ca="1">IF($A14&lt;&gt;0,IFERROR(INDEX('[1]hraci_&amp;_treneri'!$F:$F,MATCH(CONCATENATE($A14," (",VLOOKUP($A14,OFFSET(INDIRECT("priprava_"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+ 1),IFERROR(INDEX('[1]hraci_&amp;_treneri'!$F:$F,MATCH(CONCATENATE($A14," (",VLOOKUP($A14,OFFSET(INDIRECT("priprava_"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4" s="159" t="str">
        <f ca="1">IF($A14&lt;&gt;0,IFERROR(INDEX('[1]hraci_&amp;_treneri'!$G:$G,MATCH(CONCATENATE($A14," (",VLOOKUP($A14,OFFSET(INDIRECT("priprava_"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+ 1),IFERROR(INDEX('[1]hraci_&amp;_treneri'!$G:$G,MATCH(CONCATENATE($A14," (",VLOOKUP($A14,OFFSET(INDIRECT("priprava_"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4" s="156" t="str">
        <f ca="1">IF(INDIRECT("priprava_" &amp; G$1 &amp; "!M12")&lt;&gt;0,INDIRECT("priprava_" &amp; G$1 &amp; "!M12"),"")</f>
        <v>Vojtěch Wiener</v>
      </c>
      <c r="H14" s="158" t="str">
        <f ca="1">IF($G14&lt;&gt;0,IFERROR(INDEX('[1]hraci_&amp;_treneri'!$C:$C,MATCH(CONCATENATE($G14," (",VLOOKUP($G14,OFFSET(INDIRECT("priprava_"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+ 1),IFERROR(INDEX('[1]hraci_&amp;_treneri'!$C:$C,MATCH(CONCATENATE($G14," (",VLOOKUP($G14,OFFSET(INDIRECT("priprava_"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4" s="158" t="str">
        <f ca="1">IF($G14&lt;&gt;0,IFERROR(INDEX('[1]hraci_&amp;_treneri'!$D:$D,MATCH(CONCATENATE($G14," (",VLOOKUP($G14,OFFSET(INDIRECT("priprava_"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+ 1),IFERROR(INDEX('[1]hraci_&amp;_treneri'!$D:$D,MATCH(CONCATENATE($G14," (",VLOOKUP($G14,OFFSET(INDIRECT("priprava_"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4" s="158" t="str">
        <f ca="1">IF($G14&lt;&gt;0,IFERROR(INDEX('[1]hraci_&amp;_treneri'!$E:$E,MATCH(CONCATENATE($G14," (",VLOOKUP($G14,OFFSET(INDIRECT("priprava_"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+ 1),IFERROR(INDEX('[1]hraci_&amp;_treneri'!$E:$E,MATCH(CONCATENATE($G14," (",VLOOKUP($G14,OFFSET(INDIRECT("priprava_"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4" s="158" t="str">
        <f ca="1">IF($G14&lt;&gt;0,IFERROR(INDEX('[1]hraci_&amp;_treneri'!$F:$F,MATCH(CONCATENATE($G14," (",VLOOKUP($G14,OFFSET(INDIRECT("priprava_"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+ 1),IFERROR(INDEX('[1]hraci_&amp;_treneri'!$F:$F,MATCH(CONCATENATE($G14," (",VLOOKUP($G14,OFFSET(INDIRECT("priprava_"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4" s="159" t="str">
        <f ca="1">IF($G14&lt;&gt;0,IFERROR(INDEX('[1]hraci_&amp;_treneri'!$G:$G,MATCH(CONCATENATE($G14," (",VLOOKUP($G14,OFFSET(INDIRECT("priprava_"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+ 1),IFERROR(INDEX('[1]hraci_&amp;_treneri'!$G:$G,MATCH(CONCATENATE($G14," (",VLOOKUP($G14,OFFSET(INDIRECT("priprava_"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5" spans="1:12" x14ac:dyDescent="0.25">
      <c r="A15" s="156" t="str">
        <f ca="1">IF(INDIRECT("priprava_" &amp; A$1 &amp; "!G14")&lt;&gt;0,INDIRECT("priprava_" &amp; A$1 &amp; "!G14"),"")</f>
        <v>Daniel Cabejšek</v>
      </c>
      <c r="B15" s="157" t="str">
        <f ca="1">IF($A15&lt;&gt;0,IFERROR(INDEX('[1]hraci_&amp;_treneri'!$C:$C,MATCH(CONCATENATE($A15," (",VLOOKUP($A15,OFFSET(INDIRECT("priprava_"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+ 1),IFERROR(INDEX('[1]hraci_&amp;_treneri'!$C:$C,MATCH(CONCATENATE($A15," (",VLOOKUP($A15,OFFSET(INDIRECT("priprava_"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5" s="158" t="str">
        <f ca="1">IF($A15&lt;&gt;0,IFERROR(INDEX('[1]hraci_&amp;_treneri'!$D:$D,MATCH(CONCATENATE($A15," (",VLOOKUP($A15,OFFSET(INDIRECT("priprava_"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+ 1),IFERROR(INDEX('[1]hraci_&amp;_treneri'!$D:$D,MATCH(CONCATENATE($A15," (",VLOOKUP($A15,OFFSET(INDIRECT("priprava_"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5" s="158" t="str">
        <f ca="1">IF($A15&lt;&gt;0,IFERROR(INDEX('[1]hraci_&amp;_treneri'!$E:$E,MATCH(CONCATENATE($A15," (",VLOOKUP($A15,OFFSET(INDIRECT("priprava_"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+ 1),IFERROR(INDEX('[1]hraci_&amp;_treneri'!$E:$E,MATCH(CONCATENATE($A15," (",VLOOKUP($A15,OFFSET(INDIRECT("priprava_"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5" s="158" t="str">
        <f ca="1">IF($A15&lt;&gt;0,IFERROR(INDEX('[1]hraci_&amp;_treneri'!$F:$F,MATCH(CONCATENATE($A15," (",VLOOKUP($A15,OFFSET(INDIRECT("priprava_"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+ 1),IFERROR(INDEX('[1]hraci_&amp;_treneri'!$F:$F,MATCH(CONCATENATE($A15," (",VLOOKUP($A15,OFFSET(INDIRECT("priprava_"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5" s="159" t="str">
        <f ca="1">IF($A15&lt;&gt;0,IFERROR(INDEX('[1]hraci_&amp;_treneri'!$G:$G,MATCH(CONCATENATE($A15," (",VLOOKUP($A15,OFFSET(INDIRECT("priprava_"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+ 1),IFERROR(INDEX('[1]hraci_&amp;_treneri'!$G:$G,MATCH(CONCATENATE($A15," (",VLOOKUP($A15,OFFSET(INDIRECT("priprava_"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5" s="156" t="str">
        <f ca="1">IF(INDIRECT("priprava_" &amp; G$1 &amp; "!G14")&lt;&gt;0,INDIRECT("priprava_" &amp; G$1 &amp; "!G14"),"")</f>
        <v>Radek Valeš</v>
      </c>
      <c r="H15" s="158" t="str">
        <f ca="1">IF($G15&lt;&gt;0,IFERROR(INDEX('[1]hraci_&amp;_treneri'!$C:$C,MATCH(CONCATENATE($G15," (",VLOOKUP($G15,OFFSET(INDIRECT("priprava_"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+ 1),IFERROR(INDEX('[1]hraci_&amp;_treneri'!$C:$C,MATCH(CONCATENATE($G15," (",VLOOKUP($G15,OFFSET(INDIRECT("priprava_"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5" s="158" t="str">
        <f ca="1">IF($G15&lt;&gt;0,IFERROR(INDEX('[1]hraci_&amp;_treneri'!$D:$D,MATCH(CONCATENATE($G15," (",VLOOKUP($G15,OFFSET(INDIRECT("priprava_"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+ 1),IFERROR(INDEX('[1]hraci_&amp;_treneri'!$D:$D,MATCH(CONCATENATE($G15," (",VLOOKUP($G15,OFFSET(INDIRECT("priprava_"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5" s="158" t="str">
        <f ca="1">IF($G15&lt;&gt;0,IFERROR(INDEX('[1]hraci_&amp;_treneri'!$E:$E,MATCH(CONCATENATE($G15," (",VLOOKUP($G15,OFFSET(INDIRECT("priprava_"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+ 1),IFERROR(INDEX('[1]hraci_&amp;_treneri'!$E:$E,MATCH(CONCATENATE($G15," (",VLOOKUP($G15,OFFSET(INDIRECT("priprava_"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5" s="158" t="str">
        <f ca="1">IF($G15&lt;&gt;0,IFERROR(INDEX('[1]hraci_&amp;_treneri'!$F:$F,MATCH(CONCATENATE($G15," (",VLOOKUP($G15,OFFSET(INDIRECT("priprava_"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+ 1),IFERROR(INDEX('[1]hraci_&amp;_treneri'!$F:$F,MATCH(CONCATENATE($G15," (",VLOOKUP($G15,OFFSET(INDIRECT("priprava_"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5" s="159" t="str">
        <f ca="1">IF($G15&lt;&gt;0,IFERROR(INDEX('[1]hraci_&amp;_treneri'!$G:$G,MATCH(CONCATENATE($G15," (",VLOOKUP($G15,OFFSET(INDIRECT("priprava_"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+ 1),IFERROR(INDEX('[1]hraci_&amp;_treneri'!$G:$G,MATCH(CONCATENATE($G15," (",VLOOKUP($G15,OFFSET(INDIRECT("priprava_"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6" spans="1:12" x14ac:dyDescent="0.25">
      <c r="A16" s="156" t="str">
        <f ca="1">IF(INDIRECT("priprava_" &amp; A$1 &amp; "!A17")&lt;&gt;0,INDIRECT("priprava_" &amp; A$1 &amp; "!A17"),"")</f>
        <v>Štěpán Čuda</v>
      </c>
      <c r="B16" s="157" t="str">
        <f ca="1">IF($A16&lt;&gt;0,IFERROR(INDEX('[1]hraci_&amp;_treneri'!$C:$C,MATCH(CONCATENATE($A16," (",VLOOKUP($A16,OFFSET(INDIRECT("priprava_"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+ 1),IFERROR(INDEX('[1]hraci_&amp;_treneri'!$C:$C,MATCH(CONCATENATE($A16," (",VLOOKUP($A16,OFFSET(INDIRECT("priprava_"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6" s="158" t="str">
        <f ca="1">IF($A16&lt;&gt;0,IFERROR(INDEX('[1]hraci_&amp;_treneri'!$D:$D,MATCH(CONCATENATE($A16," (",VLOOKUP($A16,OFFSET(INDIRECT("priprava_"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+ 1),IFERROR(INDEX('[1]hraci_&amp;_treneri'!$D:$D,MATCH(CONCATENATE($A16," (",VLOOKUP($A16,OFFSET(INDIRECT("priprava_"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6" s="158" t="str">
        <f ca="1">IF($A16&lt;&gt;0,IFERROR(INDEX('[1]hraci_&amp;_treneri'!$E:$E,MATCH(CONCATENATE($A16," (",VLOOKUP($A16,OFFSET(INDIRECT("priprava_"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+ 1),IFERROR(INDEX('[1]hraci_&amp;_treneri'!$E:$E,MATCH(CONCATENATE($A16," (",VLOOKUP($A16,OFFSET(INDIRECT("priprava_"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6" s="158" t="str">
        <f ca="1">IF($A16&lt;&gt;0,IFERROR(INDEX('[1]hraci_&amp;_treneri'!$F:$F,MATCH(CONCATENATE($A16," (",VLOOKUP($A16,OFFSET(INDIRECT("priprava_"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+ 1),IFERROR(INDEX('[1]hraci_&amp;_treneri'!$F:$F,MATCH(CONCATENATE($A16," (",VLOOKUP($A16,OFFSET(INDIRECT("priprava_"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6" s="159" t="str">
        <f ca="1">IF($A16&lt;&gt;0,IFERROR(INDEX('[1]hraci_&amp;_treneri'!$G:$G,MATCH(CONCATENATE($A16," (",VLOOKUP($A16,OFFSET(INDIRECT("priprava_"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+ 1),IFERROR(INDEX('[1]hraci_&amp;_treneri'!$G:$G,MATCH(CONCATENATE($A16," (",VLOOKUP($A16,OFFSET(INDIRECT("priprava_"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6" s="156" t="str">
        <f ca="1">IF(INDIRECT("priprava_" &amp; G$1 &amp; "!A17")&lt;&gt;0,INDIRECT("priprava_" &amp; G$1 &amp; "!A17"),"")</f>
        <v>Tomáš Dlesk</v>
      </c>
      <c r="H16" s="158" t="str">
        <f ca="1">IF($G16&lt;&gt;0,IFERROR(INDEX('[1]hraci_&amp;_treneri'!$C:$C,MATCH(CONCATENATE($G16," (",VLOOKUP($G16,OFFSET(INDIRECT("priprava_"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+ 1),IFERROR(INDEX('[1]hraci_&amp;_treneri'!$C:$C,MATCH(CONCATENATE($G16," (",VLOOKUP($G16,OFFSET(INDIRECT("priprava_"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6" s="158" t="str">
        <f ca="1">IF($G16&lt;&gt;0,IFERROR(INDEX('[1]hraci_&amp;_treneri'!$D:$D,MATCH(CONCATENATE($G16," (",VLOOKUP($G16,OFFSET(INDIRECT("priprava_"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+ 1),IFERROR(INDEX('[1]hraci_&amp;_treneri'!$D:$D,MATCH(CONCATENATE($G16," (",VLOOKUP($G16,OFFSET(INDIRECT("priprava_"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6" s="158" t="str">
        <f ca="1">IF($G16&lt;&gt;0,IFERROR(INDEX('[1]hraci_&amp;_treneri'!$E:$E,MATCH(CONCATENATE($G16," (",VLOOKUP($G16,OFFSET(INDIRECT("priprava_"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+ 1),IFERROR(INDEX('[1]hraci_&amp;_treneri'!$E:$E,MATCH(CONCATENATE($G16," (",VLOOKUP($G16,OFFSET(INDIRECT("priprava_"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6" s="158" t="str">
        <f ca="1">IF($G16&lt;&gt;0,IFERROR(INDEX('[1]hraci_&amp;_treneri'!$F:$F,MATCH(CONCATENATE($G16," (",VLOOKUP($G16,OFFSET(INDIRECT("priprava_"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+ 1),IFERROR(INDEX('[1]hraci_&amp;_treneri'!$F:$F,MATCH(CONCATENATE($G16," (",VLOOKUP($G16,OFFSET(INDIRECT("priprava_"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6" s="159" t="str">
        <f ca="1">IF($G16&lt;&gt;0,IFERROR(INDEX('[1]hraci_&amp;_treneri'!$G:$G,MATCH(CONCATENATE($G16," (",VLOOKUP($G16,OFFSET(INDIRECT("priprava_"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+ 1),IFERROR(INDEX('[1]hraci_&amp;_treneri'!$G:$G,MATCH(CONCATENATE($G16," (",VLOOKUP($G16,OFFSET(INDIRECT("priprava_"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7" spans="1:12" x14ac:dyDescent="0.25">
      <c r="A17" s="156" t="str">
        <f ca="1">IF(INDIRECT("priprava_" &amp; A$1 &amp; "!M17")&lt;&gt;0,INDIRECT("priprava_" &amp; A$1 &amp; "!M17"),"")</f>
        <v>David Ježek</v>
      </c>
      <c r="B17" s="157" t="str">
        <f ca="1">IF($A17&lt;&gt;0,IFERROR(INDEX('[1]hraci_&amp;_treneri'!$C:$C,MATCH(CONCATENATE($A17," (",VLOOKUP($A17,OFFSET(INDIRECT("priprava_"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+ 1),IFERROR(INDEX('[1]hraci_&amp;_treneri'!$C:$C,MATCH(CONCATENATE($A17," (",VLOOKUP($A17,OFFSET(INDIRECT("priprava_"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7" s="158" t="str">
        <f ca="1">IF($A17&lt;&gt;0,IFERROR(INDEX('[1]hraci_&amp;_treneri'!$D:$D,MATCH(CONCATENATE($A17," (",VLOOKUP($A17,OFFSET(INDIRECT("priprava_"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+ 1),IFERROR(INDEX('[1]hraci_&amp;_treneri'!$D:$D,MATCH(CONCATENATE($A17," (",VLOOKUP($A17,OFFSET(INDIRECT("priprava_"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7" s="158" t="str">
        <f ca="1">IF($A17&lt;&gt;0,IFERROR(INDEX('[1]hraci_&amp;_treneri'!$E:$E,MATCH(CONCATENATE($A17," (",VLOOKUP($A17,OFFSET(INDIRECT("priprava_"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+ 1),IFERROR(INDEX('[1]hraci_&amp;_treneri'!$E:$E,MATCH(CONCATENATE($A17," (",VLOOKUP($A17,OFFSET(INDIRECT("priprava_"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7" s="158" t="str">
        <f ca="1">IF($A17&lt;&gt;0,IFERROR(INDEX('[1]hraci_&amp;_treneri'!$F:$F,MATCH(CONCATENATE($A17," (",VLOOKUP($A17,OFFSET(INDIRECT("priprava_"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+ 1),IFERROR(INDEX('[1]hraci_&amp;_treneri'!$F:$F,MATCH(CONCATENATE($A17," (",VLOOKUP($A17,OFFSET(INDIRECT("priprava_"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7" s="159" t="str">
        <f ca="1">IF($A17&lt;&gt;0,IFERROR(INDEX('[1]hraci_&amp;_treneri'!$G:$G,MATCH(CONCATENATE($A17," (",VLOOKUP($A17,OFFSET(INDIRECT("priprava_"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+ 1),IFERROR(INDEX('[1]hraci_&amp;_treneri'!$G:$G,MATCH(CONCATENATE($A17," (",VLOOKUP($A17,OFFSET(INDIRECT("priprava_"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7" s="156" t="str">
        <f ca="1">IF(INDIRECT("priprava_" &amp; G$1 &amp; "!M17")&lt;&gt;0,INDIRECT("priprava_" &amp; G$1 &amp; "!M17"),"")</f>
        <v>Vojtěch Janeček</v>
      </c>
      <c r="H17" s="158" t="str">
        <f ca="1">IF($G17&lt;&gt;0,IFERROR(INDEX('[1]hraci_&amp;_treneri'!$C:$C,MATCH(CONCATENATE($G17," (",VLOOKUP($G17,OFFSET(INDIRECT("priprava_"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+ 1),IFERROR(INDEX('[1]hraci_&amp;_treneri'!$C:$C,MATCH(CONCATENATE($G17," (",VLOOKUP($G17,OFFSET(INDIRECT("priprava_"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7" s="158" t="str">
        <f ca="1">IF($G17&lt;&gt;0,IFERROR(INDEX('[1]hraci_&amp;_treneri'!$D:$D,MATCH(CONCATENATE($G17," (",VLOOKUP($G17,OFFSET(INDIRECT("priprava_"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+ 1),IFERROR(INDEX('[1]hraci_&amp;_treneri'!$D:$D,MATCH(CONCATENATE($G17," (",VLOOKUP($G17,OFFSET(INDIRECT("priprava_"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7" s="158" t="str">
        <f ca="1">IF($G17&lt;&gt;0,IFERROR(INDEX('[1]hraci_&amp;_treneri'!$E:$E,MATCH(CONCATENATE($G17," (",VLOOKUP($G17,OFFSET(INDIRECT("priprava_"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+ 1),IFERROR(INDEX('[1]hraci_&amp;_treneri'!$E:$E,MATCH(CONCATENATE($G17," (",VLOOKUP($G17,OFFSET(INDIRECT("priprava_"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7" s="158" t="str">
        <f ca="1">IF($G17&lt;&gt;0,IFERROR(INDEX('[1]hraci_&amp;_treneri'!$F:$F,MATCH(CONCATENATE($G17," (",VLOOKUP($G17,OFFSET(INDIRECT("priprava_"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+ 1),IFERROR(INDEX('[1]hraci_&amp;_treneri'!$F:$F,MATCH(CONCATENATE($G17," (",VLOOKUP($G17,OFFSET(INDIRECT("priprava_"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7" s="159" t="str">
        <f ca="1">IF($G17&lt;&gt;0,IFERROR(INDEX('[1]hraci_&amp;_treneri'!$G:$G,MATCH(CONCATENATE($G17," (",VLOOKUP($G17,OFFSET(INDIRECT("priprava_"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+ 1),IFERROR(INDEX('[1]hraci_&amp;_treneri'!$G:$G,MATCH(CONCATENATE($G17," (",VLOOKUP($G17,OFFSET(INDIRECT("priprava_"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8" spans="1:12" x14ac:dyDescent="0.25">
      <c r="A18" s="156" t="str">
        <f ca="1">IF(INDIRECT("priprava_" &amp; A$1 &amp; "!A23")&lt;&gt;0,INDIRECT("priprava_" &amp; A$1 &amp; "!A23"),"")</f>
        <v>Štepán Švejda</v>
      </c>
      <c r="B18" s="157" t="str">
        <f ca="1">IF($A18&lt;&gt;0,IFERROR(INDEX('[1]hraci_&amp;_treneri'!$C:$C,MATCH(CONCATENATE($A18," (",VLOOKUP($A18,OFFSET(INDIRECT("priprava_"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+ 1),IFERROR(INDEX('[1]hraci_&amp;_treneri'!$C:$C,MATCH(CONCATENATE($A18," (",VLOOKUP($A18,OFFSET(INDIRECT("priprava_"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8" s="158" t="str">
        <f ca="1">IF($A18&lt;&gt;0,IFERROR(INDEX('[1]hraci_&amp;_treneri'!$D:$D,MATCH(CONCATENATE($A18," (",VLOOKUP($A18,OFFSET(INDIRECT("priprava_"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+ 1),IFERROR(INDEX('[1]hraci_&amp;_treneri'!$D:$D,MATCH(CONCATENATE($A18," (",VLOOKUP($A18,OFFSET(INDIRECT("priprava_"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8" s="158" t="str">
        <f ca="1">IF($A18&lt;&gt;0,IFERROR(INDEX('[1]hraci_&amp;_treneri'!$E:$E,MATCH(CONCATENATE($A18," (",VLOOKUP($A18,OFFSET(INDIRECT("priprava_"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+ 1),IFERROR(INDEX('[1]hraci_&amp;_treneri'!$E:$E,MATCH(CONCATENATE($A18," (",VLOOKUP($A18,OFFSET(INDIRECT("priprava_"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8" s="158" t="str">
        <f ca="1">IF($A18&lt;&gt;0,IFERROR(INDEX('[1]hraci_&amp;_treneri'!$F:$F,MATCH(CONCATENATE($A18," (",VLOOKUP($A18,OFFSET(INDIRECT("priprava_"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+ 1),IFERROR(INDEX('[1]hraci_&amp;_treneri'!$F:$F,MATCH(CONCATENATE($A18," (",VLOOKUP($A18,OFFSET(INDIRECT("priprava_"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8" s="159" t="str">
        <f ca="1">IF($A18&lt;&gt;0,IFERROR(INDEX('[1]hraci_&amp;_treneri'!$G:$G,MATCH(CONCATENATE($A18," (",VLOOKUP($A18,OFFSET(INDIRECT("priprava_"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+ 1),IFERROR(INDEX('[1]hraci_&amp;_treneri'!$G:$G,MATCH(CONCATENATE($A18," (",VLOOKUP($A18,OFFSET(INDIRECT("priprava_"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8" s="156" t="str">
        <f ca="1">IF(INDIRECT("priprava_" &amp; G$1 &amp; "!A23")&lt;&gt;0,INDIRECT("priprava_" &amp; G$1 &amp; "!A23"),"")</f>
        <v>Patrik Rozkovec</v>
      </c>
      <c r="H18" s="158" t="str">
        <f ca="1">IF($G18&lt;&gt;0,IFERROR(INDEX('[1]hraci_&amp;_treneri'!$C:$C,MATCH(CONCATENATE($G18," (",VLOOKUP($G18,OFFSET(INDIRECT("priprava_"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+ 1),IFERROR(INDEX('[1]hraci_&amp;_treneri'!$C:$C,MATCH(CONCATENATE($G18," (",VLOOKUP($G18,OFFSET(INDIRECT("priprava_"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8" s="158" t="str">
        <f ca="1">IF($G18&lt;&gt;0,IFERROR(INDEX('[1]hraci_&amp;_treneri'!$D:$D,MATCH(CONCATENATE($G18," (",VLOOKUP($G18,OFFSET(INDIRECT("priprava_"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+ 1),IFERROR(INDEX('[1]hraci_&amp;_treneri'!$D:$D,MATCH(CONCATENATE($G18," (",VLOOKUP($G18,OFFSET(INDIRECT("priprava_"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8" s="158" t="str">
        <f ca="1">IF($G18&lt;&gt;0,IFERROR(INDEX('[1]hraci_&amp;_treneri'!$E:$E,MATCH(CONCATENATE($G18," (",VLOOKUP($G18,OFFSET(INDIRECT("priprava_"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+ 1),IFERROR(INDEX('[1]hraci_&amp;_treneri'!$E:$E,MATCH(CONCATENATE($G18," (",VLOOKUP($G18,OFFSET(INDIRECT("priprava_"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8" s="158" t="str">
        <f ca="1">IF($G18&lt;&gt;0,IFERROR(INDEX('[1]hraci_&amp;_treneri'!$F:$F,MATCH(CONCATENATE($G18," (",VLOOKUP($G18,OFFSET(INDIRECT("priprava_"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+ 1),IFERROR(INDEX('[1]hraci_&amp;_treneri'!$F:$F,MATCH(CONCATENATE($G18," (",VLOOKUP($G18,OFFSET(INDIRECT("priprava_"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8" s="159" t="str">
        <f ca="1">IF($G18&lt;&gt;0,IFERROR(INDEX('[1]hraci_&amp;_treneri'!$G:$G,MATCH(CONCATENATE($G18," (",VLOOKUP($G18,OFFSET(INDIRECT("priprava_"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+ 1),IFERROR(INDEX('[1]hraci_&amp;_treneri'!$G:$G,MATCH(CONCATENATE($G18," (",VLOOKUP($G18,OFFSET(INDIRECT("priprava_"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19" spans="1:12" x14ac:dyDescent="0.25">
      <c r="A19" s="156" t="str">
        <f ca="1">IF(INDIRECT("priprava_" &amp; A$1 &amp; "!M23")&lt;&gt;0,INDIRECT("priprava_" &amp; A$1 &amp; "!M23"),"")</f>
        <v>Jan Pinkas</v>
      </c>
      <c r="B19" s="157" t="str">
        <f ca="1">IF($A19&lt;&gt;0,IFERROR(INDEX('[1]hraci_&amp;_treneri'!$C:$C,MATCH(CONCATENATE($A19," (",VLOOKUP($A19,OFFSET(INDIRECT("priprava_"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+ 1),IFERROR(INDEX('[1]hraci_&amp;_treneri'!$C:$C,MATCH(CONCATENATE($A19," (",VLOOKUP($A19,OFFSET(INDIRECT("priprava_"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19" s="158" t="str">
        <f ca="1">IF($A19&lt;&gt;0,IFERROR(INDEX('[1]hraci_&amp;_treneri'!$D:$D,MATCH(CONCATENATE($A19," (",VLOOKUP($A19,OFFSET(INDIRECT("priprava_"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+ 1),IFERROR(INDEX('[1]hraci_&amp;_treneri'!$D:$D,MATCH(CONCATENATE($A19," (",VLOOKUP($A19,OFFSET(INDIRECT("priprava_"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19" s="158" t="str">
        <f ca="1">IF($A19&lt;&gt;0,IFERROR(INDEX('[1]hraci_&amp;_treneri'!$E:$E,MATCH(CONCATENATE($A19," (",VLOOKUP($A19,OFFSET(INDIRECT("priprava_"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+ 1),IFERROR(INDEX('[1]hraci_&amp;_treneri'!$E:$E,MATCH(CONCATENATE($A19," (",VLOOKUP($A19,OFFSET(INDIRECT("priprava_"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19" s="158" t="str">
        <f ca="1">IF($A19&lt;&gt;0,IFERROR(INDEX('[1]hraci_&amp;_treneri'!$F:$F,MATCH(CONCATENATE($A19," (",VLOOKUP($A19,OFFSET(INDIRECT("priprava_"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+ 1),IFERROR(INDEX('[1]hraci_&amp;_treneri'!$F:$F,MATCH(CONCATENATE($A19," (",VLOOKUP($A19,OFFSET(INDIRECT("priprava_"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19" s="159" t="str">
        <f ca="1">IF($A19&lt;&gt;0,IFERROR(INDEX('[1]hraci_&amp;_treneri'!$G:$G,MATCH(CONCATENATE($A19," (",VLOOKUP($A19,OFFSET(INDIRECT("priprava_"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+ 1),IFERROR(INDEX('[1]hraci_&amp;_treneri'!$G:$G,MATCH(CONCATENATE($A19," (",VLOOKUP($A19,OFFSET(INDIRECT("priprava_"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19" s="156" t="str">
        <f ca="1">IF(INDIRECT("priprava_" &amp; G$1 &amp; "!M23")&lt;&gt;0,INDIRECT("priprava_" &amp; G$1 &amp; "!M23"),"")</f>
        <v>Jan Světlík</v>
      </c>
      <c r="H19" s="158" t="str">
        <f ca="1">IF($G19&lt;&gt;0,IFERROR(INDEX('[1]hraci_&amp;_treneri'!$C:$C,MATCH(CONCATENATE($G19," (",VLOOKUP($G19,OFFSET(INDIRECT("priprava_"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+ 1),IFERROR(INDEX('[1]hraci_&amp;_treneri'!$C:$C,MATCH(CONCATENATE($G19," (",VLOOKUP($G19,OFFSET(INDIRECT("priprava_"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19" s="158" t="str">
        <f ca="1">IF($G19&lt;&gt;0,IFERROR(INDEX('[1]hraci_&amp;_treneri'!$D:$D,MATCH(CONCATENATE($G19," (",VLOOKUP($G19,OFFSET(INDIRECT("priprava_"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+ 1),IFERROR(INDEX('[1]hraci_&amp;_treneri'!$D:$D,MATCH(CONCATENATE($G19," (",VLOOKUP($G19,OFFSET(INDIRECT("priprava_"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19" s="158" t="str">
        <f ca="1">IF($G19&lt;&gt;0,IFERROR(INDEX('[1]hraci_&amp;_treneri'!$E:$E,MATCH(CONCATENATE($G19," (",VLOOKUP($G19,OFFSET(INDIRECT("priprava_"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+ 1),IFERROR(INDEX('[1]hraci_&amp;_treneri'!$E:$E,MATCH(CONCATENATE($G19," (",VLOOKUP($G19,OFFSET(INDIRECT("priprava_"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19" s="158" t="str">
        <f ca="1">IF($G19&lt;&gt;0,IFERROR(INDEX('[1]hraci_&amp;_treneri'!$F:$F,MATCH(CONCATENATE($G19," (",VLOOKUP($G19,OFFSET(INDIRECT("priprava_"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+ 1),IFERROR(INDEX('[1]hraci_&amp;_treneri'!$F:$F,MATCH(CONCATENATE($G19," (",VLOOKUP($G19,OFFSET(INDIRECT("priprava_"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19" s="159" t="str">
        <f ca="1">IF($G19&lt;&gt;0,IFERROR(INDEX('[1]hraci_&amp;_treneri'!$G:$G,MATCH(CONCATENATE($G19," (",VLOOKUP($G19,OFFSET(INDIRECT("priprava_"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+ 1),IFERROR(INDEX('[1]hraci_&amp;_treneri'!$G:$G,MATCH(CONCATENATE($G19," (",VLOOKUP($G19,OFFSET(INDIRECT("priprava_"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0" spans="1:12" x14ac:dyDescent="0.25">
      <c r="A20" s="156" t="str">
        <f ca="1">IF(INDIRECT("priprava_" &amp; A$1 &amp; "!G25")&lt;&gt;0,INDIRECT("priprava_" &amp; A$1 &amp; "!G25"),"")</f>
        <v>Ivan Pergler</v>
      </c>
      <c r="B20" s="157" t="str">
        <f ca="1">IF($A20&lt;&gt;0,IFERROR(INDEX('[1]hraci_&amp;_treneri'!$C:$C,MATCH(CONCATENATE($A20," (",VLOOKUP($A20,OFFSET(INDIRECT("priprava_"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+ 1),IFERROR(INDEX('[1]hraci_&amp;_treneri'!$C:$C,MATCH(CONCATENATE($A20," (",VLOOKUP($A20,OFFSET(INDIRECT("priprava_"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0" s="158" t="str">
        <f ca="1">IF($A20&lt;&gt;0,IFERROR(INDEX('[1]hraci_&amp;_treneri'!$D:$D,MATCH(CONCATENATE($A20," (",VLOOKUP($A20,OFFSET(INDIRECT("priprava_"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+ 1),IFERROR(INDEX('[1]hraci_&amp;_treneri'!$D:$D,MATCH(CONCATENATE($A20," (",VLOOKUP($A20,OFFSET(INDIRECT("priprava_"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0" s="158" t="str">
        <f ca="1">IF($A20&lt;&gt;0,IFERROR(INDEX('[1]hraci_&amp;_treneri'!$E:$E,MATCH(CONCATENATE($A20," (",VLOOKUP($A20,OFFSET(INDIRECT("priprava_"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+ 1),IFERROR(INDEX('[1]hraci_&amp;_treneri'!$E:$E,MATCH(CONCATENATE($A20," (",VLOOKUP($A20,OFFSET(INDIRECT("priprava_"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0" s="158" t="str">
        <f ca="1">IF($A20&lt;&gt;0,IFERROR(INDEX('[1]hraci_&amp;_treneri'!$F:$F,MATCH(CONCATENATE($A20," (",VLOOKUP($A20,OFFSET(INDIRECT("priprava_"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+ 1),IFERROR(INDEX('[1]hraci_&amp;_treneri'!$F:$F,MATCH(CONCATENATE($A20," (",VLOOKUP($A20,OFFSET(INDIRECT("priprava_"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0" s="159" t="str">
        <f ca="1">IF($A20&lt;&gt;0,IFERROR(INDEX('[1]hraci_&amp;_treneri'!$G:$G,MATCH(CONCATENATE($A20," (",VLOOKUP($A20,OFFSET(INDIRECT("priprava_"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+ 1),IFERROR(INDEX('[1]hraci_&amp;_treneri'!$G:$G,MATCH(CONCATENATE($A20," (",VLOOKUP($A20,OFFSET(INDIRECT("priprava_"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0" s="156" t="str">
        <f ca="1">IF(INDIRECT("priprava_" &amp; G$1 &amp; "!G25")&lt;&gt;0,INDIRECT("priprava_" &amp; G$1 &amp; "!G25"),"")</f>
        <v>Jan Baudisch</v>
      </c>
      <c r="H20" s="158" t="str">
        <f ca="1">IF($G20&lt;&gt;0,IFERROR(INDEX('[1]hraci_&amp;_treneri'!$C:$C,MATCH(CONCATENATE($G20," (",VLOOKUP($G20,OFFSET(INDIRECT("priprava_"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+ 1),IFERROR(INDEX('[1]hraci_&amp;_treneri'!$C:$C,MATCH(CONCATENATE($G20," (",VLOOKUP($G20,OFFSET(INDIRECT("priprava_"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0" s="158" t="str">
        <f ca="1">IF($G20&lt;&gt;0,IFERROR(INDEX('[1]hraci_&amp;_treneri'!$D:$D,MATCH(CONCATENATE($G20," (",VLOOKUP($G20,OFFSET(INDIRECT("priprava_"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+ 1),IFERROR(INDEX('[1]hraci_&amp;_treneri'!$D:$D,MATCH(CONCATENATE($G20," (",VLOOKUP($G20,OFFSET(INDIRECT("priprava_"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0" s="158" t="str">
        <f ca="1">IF($G20&lt;&gt;0,IFERROR(INDEX('[1]hraci_&amp;_treneri'!$E:$E,MATCH(CONCATENATE($G20," (",VLOOKUP($G20,OFFSET(INDIRECT("priprava_"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+ 1),IFERROR(INDEX('[1]hraci_&amp;_treneri'!$E:$E,MATCH(CONCATENATE($G20," (",VLOOKUP($G20,OFFSET(INDIRECT("priprava_"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0" s="158" t="str">
        <f ca="1">IF($G20&lt;&gt;0,IFERROR(INDEX('[1]hraci_&amp;_treneri'!$F:$F,MATCH(CONCATENATE($G20," (",VLOOKUP($G20,OFFSET(INDIRECT("priprava_"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+ 1),IFERROR(INDEX('[1]hraci_&amp;_treneri'!$F:$F,MATCH(CONCATENATE($G20," (",VLOOKUP($G20,OFFSET(INDIRECT("priprava_"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0" s="159" t="str">
        <f ca="1">IF($G20&lt;&gt;0,IFERROR(INDEX('[1]hraci_&amp;_treneri'!$G:$G,MATCH(CONCATENATE($G20," (",VLOOKUP($G20,OFFSET(INDIRECT("priprava_"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+ 1),IFERROR(INDEX('[1]hraci_&amp;_treneri'!$G:$G,MATCH(CONCATENATE($G20," (",VLOOKUP($G20,OFFSET(INDIRECT("priprava_"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1" spans="1:12" x14ac:dyDescent="0.25">
      <c r="A21" s="156" t="str">
        <f ca="1">IF(INDIRECT("priprava_" &amp; A$1 &amp; "!A28")&lt;&gt;0,INDIRECT("priprava_" &amp; A$1 &amp; "!A28"),"")</f>
        <v>Lukáš Lanc</v>
      </c>
      <c r="B21" s="157" t="str">
        <f ca="1">IF($A21&lt;&gt;0,IFERROR(INDEX('[1]hraci_&amp;_treneri'!$C:$C,MATCH(CONCATENATE($A21," (",VLOOKUP($A21,OFFSET(INDIRECT("priprava_"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+ 1),IFERROR(INDEX('[1]hraci_&amp;_treneri'!$C:$C,MATCH(CONCATENATE($A21," (",VLOOKUP($A21,OFFSET(INDIRECT("priprava_"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1" s="158" t="str">
        <f ca="1">IF($A21&lt;&gt;0,IFERROR(INDEX('[1]hraci_&amp;_treneri'!$D:$D,MATCH(CONCATENATE($A21," (",VLOOKUP($A21,OFFSET(INDIRECT("priprava_"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+ 1),IFERROR(INDEX('[1]hraci_&amp;_treneri'!$D:$D,MATCH(CONCATENATE($A21," (",VLOOKUP($A21,OFFSET(INDIRECT("priprava_"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1" s="158" t="str">
        <f ca="1">IF($A21&lt;&gt;0,IFERROR(INDEX('[1]hraci_&amp;_treneri'!$E:$E,MATCH(CONCATENATE($A21," (",VLOOKUP($A21,OFFSET(INDIRECT("priprava_"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+ 1),IFERROR(INDEX('[1]hraci_&amp;_treneri'!$E:$E,MATCH(CONCATENATE($A21," (",VLOOKUP($A21,OFFSET(INDIRECT("priprava_"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1" s="158" t="str">
        <f ca="1">IF($A21&lt;&gt;0,IFERROR(INDEX('[1]hraci_&amp;_treneri'!$F:$F,MATCH(CONCATENATE($A21," (",VLOOKUP($A21,OFFSET(INDIRECT("priprava_"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+ 1),IFERROR(INDEX('[1]hraci_&amp;_treneri'!$F:$F,MATCH(CONCATENATE($A21," (",VLOOKUP($A21,OFFSET(INDIRECT("priprava_"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1" s="159" t="str">
        <f ca="1">IF($A21&lt;&gt;0,IFERROR(INDEX('[1]hraci_&amp;_treneri'!$G:$G,MATCH(CONCATENATE($A21," (",VLOOKUP($A21,OFFSET(INDIRECT("priprava_"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+ 1),IFERROR(INDEX('[1]hraci_&amp;_treneri'!$G:$G,MATCH(CONCATENATE($A21," (",VLOOKUP($A21,OFFSET(INDIRECT("priprava_"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1" s="156" t="str">
        <f ca="1">IF(INDIRECT("priprava_" &amp; G$1 &amp; "!A28")&lt;&gt;0,INDIRECT("priprava_" &amp; G$1 &amp; "!A28"),"")</f>
        <v>Jakub Kárník</v>
      </c>
      <c r="H21" s="158" t="str">
        <f ca="1">IF($G21&lt;&gt;0,IFERROR(INDEX('[1]hraci_&amp;_treneri'!$C:$C,MATCH(CONCATENATE($G21," (",VLOOKUP($G21,OFFSET(INDIRECT("priprava_"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+ 1),IFERROR(INDEX('[1]hraci_&amp;_treneri'!$C:$C,MATCH(CONCATENATE($G21," (",VLOOKUP($G21,OFFSET(INDIRECT("priprava_"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1" s="158" t="str">
        <f ca="1">IF($G21&lt;&gt;0,IFERROR(INDEX('[1]hraci_&amp;_treneri'!$D:$D,MATCH(CONCATENATE($G21," (",VLOOKUP($G21,OFFSET(INDIRECT("priprava_"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+ 1),IFERROR(INDEX('[1]hraci_&amp;_treneri'!$D:$D,MATCH(CONCATENATE($G21," (",VLOOKUP($G21,OFFSET(INDIRECT("priprava_"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1" s="158" t="str">
        <f ca="1">IF($G21&lt;&gt;0,IFERROR(INDEX('[1]hraci_&amp;_treneri'!$E:$E,MATCH(CONCATENATE($G21," (",VLOOKUP($G21,OFFSET(INDIRECT("priprava_"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+ 1),IFERROR(INDEX('[1]hraci_&amp;_treneri'!$E:$E,MATCH(CONCATENATE($G21," (",VLOOKUP($G21,OFFSET(INDIRECT("priprava_"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1" s="158" t="str">
        <f ca="1">IF($G21&lt;&gt;0,IFERROR(INDEX('[1]hraci_&amp;_treneri'!$F:$F,MATCH(CONCATENATE($G21," (",VLOOKUP($G21,OFFSET(INDIRECT("priprava_"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+ 1),IFERROR(INDEX('[1]hraci_&amp;_treneri'!$F:$F,MATCH(CONCATENATE($G21," (",VLOOKUP($G21,OFFSET(INDIRECT("priprava_"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1" s="159" t="str">
        <f ca="1">IF($G21&lt;&gt;0,IFERROR(INDEX('[1]hraci_&amp;_treneri'!$G:$G,MATCH(CONCATENATE($G21," (",VLOOKUP($G21,OFFSET(INDIRECT("priprava_"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+ 1),IFERROR(INDEX('[1]hraci_&amp;_treneri'!$G:$G,MATCH(CONCATENATE($G21," (",VLOOKUP($G21,OFFSET(INDIRECT("priprava_"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2" spans="1:12" x14ac:dyDescent="0.25">
      <c r="A22" s="156" t="str">
        <f ca="1">IF(INDIRECT("priprava_" &amp; A$1 &amp; "!M28")&lt;&gt;0,INDIRECT("priprava_" &amp; A$1 &amp; "!M28"),"")</f>
        <v>Petr Hartman</v>
      </c>
      <c r="B22" s="157" t="str">
        <f ca="1">IF($A22&lt;&gt;0,IFERROR(INDEX('[1]hraci_&amp;_treneri'!$C:$C,MATCH(CONCATENATE($A22," (",VLOOKUP($A22,OFFSET(INDIRECT("priprava_"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+ 1),IFERROR(INDEX('[1]hraci_&amp;_treneri'!$C:$C,MATCH(CONCATENATE($A22," (",VLOOKUP($A22,OFFSET(INDIRECT("priprava_"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2" s="158" t="str">
        <f ca="1">IF($A22&lt;&gt;0,IFERROR(INDEX('[1]hraci_&amp;_treneri'!$D:$D,MATCH(CONCATENATE($A22," (",VLOOKUP($A22,OFFSET(INDIRECT("priprava_"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+ 1),IFERROR(INDEX('[1]hraci_&amp;_treneri'!$D:$D,MATCH(CONCATENATE($A22," (",VLOOKUP($A22,OFFSET(INDIRECT("priprava_"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2" s="158" t="str">
        <f ca="1">IF($A22&lt;&gt;0,IFERROR(INDEX('[1]hraci_&amp;_treneri'!$E:$E,MATCH(CONCATENATE($A22," (",VLOOKUP($A22,OFFSET(INDIRECT("priprava_"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+ 1),IFERROR(INDEX('[1]hraci_&amp;_treneri'!$E:$E,MATCH(CONCATENATE($A22," (",VLOOKUP($A22,OFFSET(INDIRECT("priprava_"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2" s="158" t="str">
        <f ca="1">IF($A22&lt;&gt;0,IFERROR(INDEX('[1]hraci_&amp;_treneri'!$F:$F,MATCH(CONCATENATE($A22," (",VLOOKUP($A22,OFFSET(INDIRECT("priprava_"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+ 1),IFERROR(INDEX('[1]hraci_&amp;_treneri'!$F:$F,MATCH(CONCATENATE($A22," (",VLOOKUP($A22,OFFSET(INDIRECT("priprava_"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2" s="159" t="str">
        <f ca="1">IF($A22&lt;&gt;0,IFERROR(INDEX('[1]hraci_&amp;_treneri'!$G:$G,MATCH(CONCATENATE($A22," (",VLOOKUP($A22,OFFSET(INDIRECT("priprava_"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+ 1),IFERROR(INDEX('[1]hraci_&amp;_treneri'!$G:$G,MATCH(CONCATENATE($A22," (",VLOOKUP($A22,OFFSET(INDIRECT("priprava_"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2" s="156" t="str">
        <f ca="1">IF(INDIRECT("priprava_" &amp; G$1 &amp; "!M28")&lt;&gt;0,INDIRECT("priprava_" &amp; G$1 &amp; "!M28"),"")</f>
        <v>Matěj Klucho</v>
      </c>
      <c r="H22" s="158" t="str">
        <f ca="1">IF($G22&lt;&gt;0,IFERROR(INDEX('[1]hraci_&amp;_treneri'!$C:$C,MATCH(CONCATENATE($G22," (",VLOOKUP($G22,OFFSET(INDIRECT("priprava_"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+ 1),IFERROR(INDEX('[1]hraci_&amp;_treneri'!$C:$C,MATCH(CONCATENATE($G22," (",VLOOKUP($G22,OFFSET(INDIRECT("priprava_"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2" s="158" t="str">
        <f ca="1">IF($G22&lt;&gt;0,IFERROR(INDEX('[1]hraci_&amp;_treneri'!$D:$D,MATCH(CONCATENATE($G22," (",VLOOKUP($G22,OFFSET(INDIRECT("priprava_"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+ 1),IFERROR(INDEX('[1]hraci_&amp;_treneri'!$D:$D,MATCH(CONCATENATE($G22," (",VLOOKUP($G22,OFFSET(INDIRECT("priprava_"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2" s="158" t="str">
        <f ca="1">IF($G22&lt;&gt;0,IFERROR(INDEX('[1]hraci_&amp;_treneri'!$E:$E,MATCH(CONCATENATE($G22," (",VLOOKUP($G22,OFFSET(INDIRECT("priprava_"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+ 1),IFERROR(INDEX('[1]hraci_&amp;_treneri'!$E:$E,MATCH(CONCATENATE($G22," (",VLOOKUP($G22,OFFSET(INDIRECT("priprava_"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2" s="158" t="str">
        <f ca="1">IF($G22&lt;&gt;0,IFERROR(INDEX('[1]hraci_&amp;_treneri'!$F:$F,MATCH(CONCATENATE($G22," (",VLOOKUP($G22,OFFSET(INDIRECT("priprava_"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+ 1),IFERROR(INDEX('[1]hraci_&amp;_treneri'!$F:$F,MATCH(CONCATENATE($G22," (",VLOOKUP($G22,OFFSET(INDIRECT("priprava_"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2" s="159" t="str">
        <f ca="1">IF($G22&lt;&gt;0,IFERROR(INDEX('[1]hraci_&amp;_treneri'!$G:$G,MATCH(CONCATENATE($G22," (",VLOOKUP($G22,OFFSET(INDIRECT("priprava_"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+ 1),IFERROR(INDEX('[1]hraci_&amp;_treneri'!$G:$G,MATCH(CONCATENATE($G22," (",VLOOKUP($G22,OFFSET(INDIRECT("priprava_"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3" spans="1:12" x14ac:dyDescent="0.25">
      <c r="A23" s="156" t="str">
        <f ca="1">IF(INDIRECT("priprava_" &amp; A$1 &amp; "!J34")&lt;&gt;0,INDIRECT("priprava_" &amp; A$1 &amp; "!J34"),"")</f>
        <v>Marek Paštika</v>
      </c>
      <c r="B23" s="157" t="str">
        <f ca="1">IF($A23&lt;&gt;0,IFERROR(INDEX('[1]hraci_&amp;_treneri'!$C:$C,MATCH(CONCATENATE($A23," (",VLOOKUP($A23,OFFSET(INDIRECT("priprava_"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+ 1),IFERROR(INDEX('[1]hraci_&amp;_treneri'!$C:$C,MATCH(CONCATENATE($A23," (",VLOOKUP($A23,OFFSET(INDIRECT("priprava_"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3" s="158" t="str">
        <f ca="1">IF($A23&lt;&gt;0,IFERROR(INDEX('[1]hraci_&amp;_treneri'!$D:$D,MATCH(CONCATENATE($A23," (",VLOOKUP($A23,OFFSET(INDIRECT("priprava_"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+ 1),IFERROR(INDEX('[1]hraci_&amp;_treneri'!$D:$D,MATCH(CONCATENATE($A23," (",VLOOKUP($A23,OFFSET(INDIRECT("priprava_"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3" s="158" t="str">
        <f ca="1">IF($A23&lt;&gt;0,IFERROR(INDEX('[1]hraci_&amp;_treneri'!$E:$E,MATCH(CONCATENATE($A23," (",VLOOKUP($A23,OFFSET(INDIRECT("priprava_"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+ 1),IFERROR(INDEX('[1]hraci_&amp;_treneri'!$E:$E,MATCH(CONCATENATE($A23," (",VLOOKUP($A23,OFFSET(INDIRECT("priprava_"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3" s="158" t="str">
        <f ca="1">IF($A23&lt;&gt;0,IFERROR(INDEX('[1]hraci_&amp;_treneri'!$F:$F,MATCH(CONCATENATE($A23," (",VLOOKUP($A23,OFFSET(INDIRECT("priprava_"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+ 1),IFERROR(INDEX('[1]hraci_&amp;_treneri'!$F:$F,MATCH(CONCATENATE($A23," (",VLOOKUP($A23,OFFSET(INDIRECT("priprava_"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3" s="159" t="str">
        <f ca="1">IF($A23&lt;&gt;0,IFERROR(INDEX('[1]hraci_&amp;_treneri'!$G:$G,MATCH(CONCATENATE($A23," (",VLOOKUP($A23,OFFSET(INDIRECT("priprava_"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+ 1),IFERROR(INDEX('[1]hraci_&amp;_treneri'!$G:$G,MATCH(CONCATENATE($A23," (",VLOOKUP($A23,OFFSET(INDIRECT("priprava_"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3" s="156" t="str">
        <f ca="1">IF(INDIRECT("priprava_" &amp; G$1 &amp; "!J34")&lt;&gt;0,INDIRECT("priprava_" &amp; G$1 &amp; "!J34"),"")</f>
        <v>Filip Smutný</v>
      </c>
      <c r="H23" s="158" t="str">
        <f ca="1">IF($G23&lt;&gt;0,IFERROR(INDEX('[1]hraci_&amp;_treneri'!$C:$C,MATCH(CONCATENATE($G23," (",VLOOKUP($G23,OFFSET(INDIRECT("priprava_"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+ 1),IFERROR(INDEX('[1]hraci_&amp;_treneri'!$C:$C,MATCH(CONCATENATE($G23," (",VLOOKUP($G23,OFFSET(INDIRECT("priprava_"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3" s="158" t="str">
        <f ca="1">IF($G23&lt;&gt;0,IFERROR(INDEX('[1]hraci_&amp;_treneri'!$D:$D,MATCH(CONCATENATE($G23," (",VLOOKUP($G23,OFFSET(INDIRECT("priprava_"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+ 1),IFERROR(INDEX('[1]hraci_&amp;_treneri'!$D:$D,MATCH(CONCATENATE($G23," (",VLOOKUP($G23,OFFSET(INDIRECT("priprava_"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3" s="158" t="str">
        <f ca="1">IF($G23&lt;&gt;0,IFERROR(INDEX('[1]hraci_&amp;_treneri'!$E:$E,MATCH(CONCATENATE($G23," (",VLOOKUP($G23,OFFSET(INDIRECT("priprava_"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+ 1),IFERROR(INDEX('[1]hraci_&amp;_treneri'!$E:$E,MATCH(CONCATENATE($G23," (",VLOOKUP($G23,OFFSET(INDIRECT("priprava_"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3" s="158" t="str">
        <f ca="1">IF($G23&lt;&gt;0,IFERROR(INDEX('[1]hraci_&amp;_treneri'!$F:$F,MATCH(CONCATENATE($G23," (",VLOOKUP($G23,OFFSET(INDIRECT("priprava_"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+ 1),IFERROR(INDEX('[1]hraci_&amp;_treneri'!$F:$F,MATCH(CONCATENATE($G23," (",VLOOKUP($G23,OFFSET(INDIRECT("priprava_"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3" s="159" t="str">
        <f ca="1">IF($G23&lt;&gt;0,IFERROR(INDEX('[1]hraci_&amp;_treneri'!$G:$G,MATCH(CONCATENATE($G23," (",VLOOKUP($G23,OFFSET(INDIRECT("priprava_"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+ 1),IFERROR(INDEX('[1]hraci_&amp;_treneri'!$G:$G,MATCH(CONCATENATE($G23," (",VLOOKUP($G23,OFFSET(INDIRECT("priprava_"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4" spans="1:12" x14ac:dyDescent="0.25">
      <c r="A24" s="156" t="str">
        <f ca="1">IF(INDIRECT("priprava_" &amp; A$1 &amp; "!J38")&lt;&gt;0,INDIRECT("priprava_" &amp; A$1 &amp; "!J38"),"")</f>
        <v>Matěj Horák</v>
      </c>
      <c r="B24" s="157" t="str">
        <f ca="1">IF($A24&lt;&gt;0,IFERROR(INDEX('[1]hraci_&amp;_treneri'!$C:$C,MATCH(CONCATENATE($A24," (",VLOOKUP($A24,OFFSET(INDIRECT("priprava_"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+ 1),IFERROR(INDEX('[1]hraci_&amp;_treneri'!$C:$C,MATCH(CONCATENATE($A24," (",VLOOKUP($A24,OFFSET(INDIRECT("priprava_"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4" s="158" t="str">
        <f ca="1">IF($A24&lt;&gt;0,IFERROR(INDEX('[1]hraci_&amp;_treneri'!$D:$D,MATCH(CONCATENATE($A24," (",VLOOKUP($A24,OFFSET(INDIRECT("priprava_"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+ 1),IFERROR(INDEX('[1]hraci_&amp;_treneri'!$D:$D,MATCH(CONCATENATE($A24," (",VLOOKUP($A24,OFFSET(INDIRECT("priprava_"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4" s="158" t="str">
        <f ca="1">IF($A24&lt;&gt;0,IFERROR(INDEX('[1]hraci_&amp;_treneri'!$E:$E,MATCH(CONCATENATE($A24," (",VLOOKUP($A24,OFFSET(INDIRECT("priprava_"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+ 1),IFERROR(INDEX('[1]hraci_&amp;_treneri'!$E:$E,MATCH(CONCATENATE($A24," (",VLOOKUP($A24,OFFSET(INDIRECT("priprava_"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4" s="158" t="str">
        <f ca="1">IF($A24&lt;&gt;0,IFERROR(INDEX('[1]hraci_&amp;_treneri'!$F:$F,MATCH(CONCATENATE($A24," (",VLOOKUP($A24,OFFSET(INDIRECT("priprava_"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+ 1),IFERROR(INDEX('[1]hraci_&amp;_treneri'!$F:$F,MATCH(CONCATENATE($A24," (",VLOOKUP($A24,OFFSET(INDIRECT("priprava_"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4" s="159" t="str">
        <f ca="1">IF($A24&lt;&gt;0,IFERROR(INDEX('[1]hraci_&amp;_treneri'!$G:$G,MATCH(CONCATENATE($A24," (",VLOOKUP($A24,OFFSET(INDIRECT("priprava_"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+ 1),IFERROR(INDEX('[1]hraci_&amp;_treneri'!$G:$G,MATCH(CONCATENATE($A24," (",VLOOKUP($A24,OFFSET(INDIRECT("priprava_"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4" s="156" t="str">
        <f ca="1">IF(INDIRECT("priprava_" &amp; G$1 &amp; "!J38")&lt;&gt;0,INDIRECT("priprava_" &amp; G$1 &amp; "!J38"),"")</f>
        <v>Daniel Martínek</v>
      </c>
      <c r="H24" s="158" t="str">
        <f ca="1">IF($G24&lt;&gt;0,IFERROR(INDEX('[1]hraci_&amp;_treneri'!$C:$C,MATCH(CONCATENATE($G24," (",VLOOKUP($G24,OFFSET(INDIRECT("priprava_"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+ 1),IFERROR(INDEX('[1]hraci_&amp;_treneri'!$C:$C,MATCH(CONCATENATE($G24," (",VLOOKUP($G24,OFFSET(INDIRECT("priprava_"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4" s="158" t="str">
        <f ca="1">IF($G24&lt;&gt;0,IFERROR(INDEX('[1]hraci_&amp;_treneri'!$D:$D,MATCH(CONCATENATE($G24," (",VLOOKUP($G24,OFFSET(INDIRECT("priprava_"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+ 1),IFERROR(INDEX('[1]hraci_&amp;_treneri'!$D:$D,MATCH(CONCATENATE($G24," (",VLOOKUP($G24,OFFSET(INDIRECT("priprava_"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4" s="158" t="str">
        <f ca="1">IF($G24&lt;&gt;0,IFERROR(INDEX('[1]hraci_&amp;_treneri'!$E:$E,MATCH(CONCATENATE($G24," (",VLOOKUP($G24,OFFSET(INDIRECT("priprava_"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+ 1),IFERROR(INDEX('[1]hraci_&amp;_treneri'!$E:$E,MATCH(CONCATENATE($G24," (",VLOOKUP($G24,OFFSET(INDIRECT("priprava_"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4" s="158" t="str">
        <f ca="1">IF($G24&lt;&gt;0,IFERROR(INDEX('[1]hraci_&amp;_treneri'!$F:$F,MATCH(CONCATENATE($G24," (",VLOOKUP($G24,OFFSET(INDIRECT("priprava_"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+ 1),IFERROR(INDEX('[1]hraci_&amp;_treneri'!$F:$F,MATCH(CONCATENATE($G24," (",VLOOKUP($G24,OFFSET(INDIRECT("priprava_"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4" s="159" t="str">
        <f ca="1">IF($G24&lt;&gt;0,IFERROR(INDEX('[1]hraci_&amp;_treneri'!$G:$G,MATCH(CONCATENATE($G24," (",VLOOKUP($G24,OFFSET(INDIRECT("priprava_"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+ 1),IFERROR(INDEX('[1]hraci_&amp;_treneri'!$G:$G,MATCH(CONCATENATE($G24," (",VLOOKUP($G24,OFFSET(INDIRECT("priprava_"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5" spans="1:12" x14ac:dyDescent="0.25">
      <c r="A25" s="156" t="str">
        <f ca="1">IF(INDIRECT("priprava_" &amp; A$1 &amp; "!J42")&lt;&gt;0,INDIRECT("priprava_" &amp; A$1 &amp; "!J42"),"")</f>
        <v>Milan Bína</v>
      </c>
      <c r="B25" s="157" t="str">
        <f ca="1">IF($A25&lt;&gt;0,IFERROR(INDEX('[1]hraci_&amp;_treneri'!$C:$C,MATCH(CONCATENATE($A25," (",VLOOKUP($A25,OFFSET(INDIRECT("priprava_"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+ 1),IFERROR(INDEX('[1]hraci_&amp;_treneri'!$C:$C,MATCH(CONCATENATE($A25," (",VLOOKUP($A25,OFFSET(INDIRECT("priprava_"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5" s="158" t="str">
        <f ca="1">IF($A25&lt;&gt;0,IFERROR(INDEX('[1]hraci_&amp;_treneri'!$D:$D,MATCH(CONCATENATE($A25," (",VLOOKUP($A25,OFFSET(INDIRECT("priprava_"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+ 1),IFERROR(INDEX('[1]hraci_&amp;_treneri'!$D:$D,MATCH(CONCATENATE($A25," (",VLOOKUP($A25,OFFSET(INDIRECT("priprava_"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5" s="158" t="str">
        <f ca="1">IF($A25&lt;&gt;0,IFERROR(INDEX('[1]hraci_&amp;_treneri'!$E:$E,MATCH(CONCATENATE($A25," (",VLOOKUP($A25,OFFSET(INDIRECT("priprava_"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+ 1),IFERROR(INDEX('[1]hraci_&amp;_treneri'!$E:$E,MATCH(CONCATENATE($A25," (",VLOOKUP($A25,OFFSET(INDIRECT("priprava_"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5" s="158" t="str">
        <f ca="1">IF($A25&lt;&gt;0,IFERROR(INDEX('[1]hraci_&amp;_treneri'!$F:$F,MATCH(CONCATENATE($A25," (",VLOOKUP($A25,OFFSET(INDIRECT("priprava_"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+ 1),IFERROR(INDEX('[1]hraci_&amp;_treneri'!$F:$F,MATCH(CONCATENATE($A25," (",VLOOKUP($A25,OFFSET(INDIRECT("priprava_"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5" s="159" t="str">
        <f ca="1">IF($A25&lt;&gt;0,IFERROR(INDEX('[1]hraci_&amp;_treneri'!$G:$G,MATCH(CONCATENATE($A25," (",VLOOKUP($A25,OFFSET(INDIRECT("priprava_"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+ 1),IFERROR(INDEX('[1]hraci_&amp;_treneri'!$G:$G,MATCH(CONCATENATE($A25," (",VLOOKUP($A25,OFFSET(INDIRECT("priprava_"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5" s="156" t="str">
        <f ca="1">IF(INDIRECT("priprava_" &amp; G$1 &amp; "!J42")&lt;&gt;0,INDIRECT("priprava_" &amp; G$1 &amp; "!J42"),"")</f>
        <v/>
      </c>
      <c r="H25" s="158" t="str">
        <f ca="1">IF($G25&lt;&gt;0,IFERROR(INDEX('[1]hraci_&amp;_treneri'!$C:$C,MATCH(CONCATENATE($G25," (",VLOOKUP($G25,OFFSET(INDIRECT("priprava_"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+ 1),IFERROR(INDEX('[1]hraci_&amp;_treneri'!$C:$C,MATCH(CONCATENATE($G25," (",VLOOKUP($G25,OFFSET(INDIRECT("priprava_"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5" s="158" t="str">
        <f ca="1">IF($G25&lt;&gt;0,IFERROR(INDEX('[1]hraci_&amp;_treneri'!$D:$D,MATCH(CONCATENATE($G25," (",VLOOKUP($G25,OFFSET(INDIRECT("priprava_"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+ 1),IFERROR(INDEX('[1]hraci_&amp;_treneri'!$D:$D,MATCH(CONCATENATE($G25," (",VLOOKUP($G25,OFFSET(INDIRECT("priprava_"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5" s="158" t="str">
        <f ca="1">IF($G25&lt;&gt;0,IFERROR(INDEX('[1]hraci_&amp;_treneri'!$E:$E,MATCH(CONCATENATE($G25," (",VLOOKUP($G25,OFFSET(INDIRECT("priprava_"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+ 1),IFERROR(INDEX('[1]hraci_&amp;_treneri'!$E:$E,MATCH(CONCATENATE($G25," (",VLOOKUP($G25,OFFSET(INDIRECT("priprava_"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5" s="158" t="str">
        <f ca="1">IF($G25&lt;&gt;0,IFERROR(INDEX('[1]hraci_&amp;_treneri'!$F:$F,MATCH(CONCATENATE($G25," (",VLOOKUP($G25,OFFSET(INDIRECT("priprava_"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+ 1),IFERROR(INDEX('[1]hraci_&amp;_treneri'!$F:$F,MATCH(CONCATENATE($G25," (",VLOOKUP($G25,OFFSET(INDIRECT("priprava_"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5" s="159" t="str">
        <f ca="1">IF($G25&lt;&gt;0,IFERROR(INDEX('[1]hraci_&amp;_treneri'!$G:$G,MATCH(CONCATENATE($G25," (",VLOOKUP($G25,OFFSET(INDIRECT("priprava_"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+ 1),IFERROR(INDEX('[1]hraci_&amp;_treneri'!$G:$G,MATCH(CONCATENATE($G25," (",VLOOKUP($G25,OFFSET(INDIRECT("priprava_"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6" spans="1:12" x14ac:dyDescent="0.25">
      <c r="A26" s="156" t="str">
        <f ca="1">IF(INDIRECT("priprava_" &amp; A$1 &amp; "!A34")&lt;&gt;0,INDIRECT("priprava_" &amp; A$1 &amp; "!A34"),"")</f>
        <v>Petr Musil</v>
      </c>
      <c r="B26" s="157" t="str">
        <f ca="1">IF($A26&lt;&gt;0,IFERROR(INDEX('[1]hraci_&amp;_treneri'!$C:$C,MATCH(CONCATENATE($A26," (",VLOOKUP($A26,OFFSET(INDIRECT("priprava_"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+ 1),IFERROR(INDEX('[1]hraci_&amp;_treneri'!$C:$C,MATCH(CONCATENATE($A26," (",VLOOKUP($A26,OFFSET(INDIRECT("priprava_"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6" s="158" t="str">
        <f ca="1">IF($A26&lt;&gt;0,IFERROR(INDEX('[1]hraci_&amp;_treneri'!$D:$D,MATCH(CONCATENATE($A26," (",VLOOKUP($A26,OFFSET(INDIRECT("priprava_"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+ 1),IFERROR(INDEX('[1]hraci_&amp;_treneri'!$D:$D,MATCH(CONCATENATE($A26," (",VLOOKUP($A26,OFFSET(INDIRECT("priprava_"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6" s="158" t="str">
        <f ca="1">IF($A26&lt;&gt;0,IFERROR(INDEX('[1]hraci_&amp;_treneri'!$E:$E,MATCH(CONCATENATE($A26," (",VLOOKUP($A26,OFFSET(INDIRECT("priprava_"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+ 1),IFERROR(INDEX('[1]hraci_&amp;_treneri'!$E:$E,MATCH(CONCATENATE($A26," (",VLOOKUP($A26,OFFSET(INDIRECT("priprava_"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6" s="158" t="str">
        <f ca="1">IF($A26&lt;&gt;0,IFERROR(INDEX('[1]hraci_&amp;_treneri'!$F:$F,MATCH(CONCATENATE($A26," (",VLOOKUP($A26,OFFSET(INDIRECT("priprava_"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+ 1),IFERROR(INDEX('[1]hraci_&amp;_treneri'!$F:$F,MATCH(CONCATENATE($A26," (",VLOOKUP($A26,OFFSET(INDIRECT("priprava_"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6" s="159" t="str">
        <f ca="1">IF($A26&lt;&gt;0,IFERROR(INDEX('[1]hraci_&amp;_treneri'!$G:$G,MATCH(CONCATENATE($A26," (",VLOOKUP($A26,OFFSET(INDIRECT("priprava_"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+ 1),IFERROR(INDEX('[1]hraci_&amp;_treneri'!$G:$G,MATCH(CONCATENATE($A26," (",VLOOKUP($A26,OFFSET(INDIRECT("priprava_"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6" s="156" t="str">
        <f ca="1">IF(INDIRECT("priprava_" &amp; G$1 &amp; "!A34")&lt;&gt;0,INDIRECT("priprava_" &amp; G$1 &amp; "!A34"),"")</f>
        <v>Petr Chlad</v>
      </c>
      <c r="H26" s="158" t="str">
        <f ca="1">IF($G26&lt;&gt;0,IFERROR(INDEX('[1]hraci_&amp;_treneri'!$C:$C,MATCH(CONCATENATE($G26," (",VLOOKUP($G26,OFFSET(INDIRECT("priprava_"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+ 1),IFERROR(INDEX('[1]hraci_&amp;_treneri'!$C:$C,MATCH(CONCATENATE($G26," (",VLOOKUP($G26,OFFSET(INDIRECT("priprava_"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6" s="158" t="str">
        <f ca="1">IF($G26&lt;&gt;0,IFERROR(INDEX('[1]hraci_&amp;_treneri'!$D:$D,MATCH(CONCATENATE($G26," (",VLOOKUP($G26,OFFSET(INDIRECT("priprava_"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+ 1),IFERROR(INDEX('[1]hraci_&amp;_treneri'!$D:$D,MATCH(CONCATENATE($G26," (",VLOOKUP($G26,OFFSET(INDIRECT("priprava_"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6" s="158" t="str">
        <f ca="1">IF($G26&lt;&gt;0,IFERROR(INDEX('[1]hraci_&amp;_treneri'!$E:$E,MATCH(CONCATENATE($G26," (",VLOOKUP($G26,OFFSET(INDIRECT("priprava_"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+ 1),IFERROR(INDEX('[1]hraci_&amp;_treneri'!$E:$E,MATCH(CONCATENATE($G26," (",VLOOKUP($G26,OFFSET(INDIRECT("priprava_"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6" s="158" t="str">
        <f ca="1">IF($G26&lt;&gt;0,IFERROR(INDEX('[1]hraci_&amp;_treneri'!$F:$F,MATCH(CONCATENATE($G26," (",VLOOKUP($G26,OFFSET(INDIRECT("priprava_"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+ 1),IFERROR(INDEX('[1]hraci_&amp;_treneri'!$F:$F,MATCH(CONCATENATE($G26," (",VLOOKUP($G26,OFFSET(INDIRECT("priprava_"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6" s="159" t="str">
        <f ca="1">IF($G26&lt;&gt;0,IFERROR(INDEX('[1]hraci_&amp;_treneri'!$G:$G,MATCH(CONCATENATE($G26," (",VLOOKUP($G26,OFFSET(INDIRECT("priprava_"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+ 1),IFERROR(INDEX('[1]hraci_&amp;_treneri'!$G:$G,MATCH(CONCATENATE($G26," (",VLOOKUP($G26,OFFSET(INDIRECT("priprava_"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7" spans="1:12" x14ac:dyDescent="0.25">
      <c r="A27" s="156" t="str">
        <f ca="1">IF(INDIRECT("priprava_" &amp; A$1 &amp; "!A40")&lt;&gt;0,INDIRECT("priprava_" &amp; A$1 &amp; "!A40"),"")</f>
        <v>Karel Šantora</v>
      </c>
      <c r="B27" s="157" t="str">
        <f ca="1">IF($A27&lt;&gt;0,IFERROR(INDEX('[1]hraci_&amp;_treneri'!$C:$C,MATCH(CONCATENATE($A27," (",VLOOKUP($A27,OFFSET(INDIRECT("priprava_"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+ 1),IFERROR(INDEX('[1]hraci_&amp;_treneri'!$C:$C,MATCH(CONCATENATE($A27," (",VLOOKUP($A27,OFFSET(INDIRECT("priprava_"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7" s="158" t="str">
        <f ca="1">IF($A27&lt;&gt;0,IFERROR(INDEX('[1]hraci_&amp;_treneri'!$D:$D,MATCH(CONCATENATE($A27," (",VLOOKUP($A27,OFFSET(INDIRECT("priprava_"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+ 1),IFERROR(INDEX('[1]hraci_&amp;_treneri'!$D:$D,MATCH(CONCATENATE($A27," (",VLOOKUP($A27,OFFSET(INDIRECT("priprava_"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7" s="158" t="str">
        <f ca="1">IF($A27&lt;&gt;0,IFERROR(INDEX('[1]hraci_&amp;_treneri'!$E:$E,MATCH(CONCATENATE($A27," (",VLOOKUP($A27,OFFSET(INDIRECT("priprava_"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+ 1),IFERROR(INDEX('[1]hraci_&amp;_treneri'!$E:$E,MATCH(CONCATENATE($A27," (",VLOOKUP($A27,OFFSET(INDIRECT("priprava_"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7" s="158" t="str">
        <f ca="1">IF($A27&lt;&gt;0,IFERROR(INDEX('[1]hraci_&amp;_treneri'!$F:$F,MATCH(CONCATENATE($A27," (",VLOOKUP($A27,OFFSET(INDIRECT("priprava_"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+ 1),IFERROR(INDEX('[1]hraci_&amp;_treneri'!$F:$F,MATCH(CONCATENATE($A27," (",VLOOKUP($A27,OFFSET(INDIRECT("priprava_"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7" s="159" t="str">
        <f ca="1">IF($A27&lt;&gt;0,IFERROR(INDEX('[1]hraci_&amp;_treneri'!$G:$G,MATCH(CONCATENATE($A27," (",VLOOKUP($A27,OFFSET(INDIRECT("priprava_"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+ 1),IFERROR(INDEX('[1]hraci_&amp;_treneri'!$G:$G,MATCH(CONCATENATE($A27," (",VLOOKUP($A27,OFFSET(INDIRECT("priprava_"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7" s="156" t="str">
        <f ca="1">IF(INDIRECT("priprava_" &amp; G$1 &amp; "!A40")&lt;&gt;0,INDIRECT("priprava_" &amp; G$1 &amp; "!A40"),"")</f>
        <v>Jakub Levínský</v>
      </c>
      <c r="H27" s="158" t="str">
        <f ca="1">IF($G27&lt;&gt;0,IFERROR(INDEX('[1]hraci_&amp;_treneri'!$C:$C,MATCH(CONCATENATE($G27," (",VLOOKUP($G27,OFFSET(INDIRECT("priprava_"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+ 1),IFERROR(INDEX('[1]hraci_&amp;_treneri'!$C:$C,MATCH(CONCATENATE($G27," (",VLOOKUP($G27,OFFSET(INDIRECT("priprava_"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7" s="158" t="str">
        <f ca="1">IF($G27&lt;&gt;0,IFERROR(INDEX('[1]hraci_&amp;_treneri'!$D:$D,MATCH(CONCATENATE($G27," (",VLOOKUP($G27,OFFSET(INDIRECT("priprava_"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+ 1),IFERROR(INDEX('[1]hraci_&amp;_treneri'!$D:$D,MATCH(CONCATENATE($G27," (",VLOOKUP($G27,OFFSET(INDIRECT("priprava_"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7" s="158" t="str">
        <f ca="1">IF($G27&lt;&gt;0,IFERROR(INDEX('[1]hraci_&amp;_treneri'!$E:$E,MATCH(CONCATENATE($G27," (",VLOOKUP($G27,OFFSET(INDIRECT("priprava_"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+ 1),IFERROR(INDEX('[1]hraci_&amp;_treneri'!$E:$E,MATCH(CONCATENATE($G27," (",VLOOKUP($G27,OFFSET(INDIRECT("priprava_"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7" s="158" t="str">
        <f ca="1">IF($G27&lt;&gt;0,IFERROR(INDEX('[1]hraci_&amp;_treneri'!$F:$F,MATCH(CONCATENATE($G27," (",VLOOKUP($G27,OFFSET(INDIRECT("priprava_"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+ 1),IFERROR(INDEX('[1]hraci_&amp;_treneri'!$F:$F,MATCH(CONCATENATE($G27," (",VLOOKUP($G27,OFFSET(INDIRECT("priprava_"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7" s="159" t="str">
        <f ca="1">IF($G27&lt;&gt;0,IFERROR(INDEX('[1]hraci_&amp;_treneri'!$G:$G,MATCH(CONCATENATE($G27," (",VLOOKUP($G27,OFFSET(INDIRECT("priprava_"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+ 1),IFERROR(INDEX('[1]hraci_&amp;_treneri'!$G:$G,MATCH(CONCATENATE($G27," (",VLOOKUP($G27,OFFSET(INDIRECT("priprava_"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28" spans="1:12" s="155" customFormat="1" ht="19.5" x14ac:dyDescent="0.25">
      <c r="A28" s="314" t="s">
        <v>1085</v>
      </c>
      <c r="B28" s="314"/>
      <c r="C28" s="314"/>
      <c r="D28" s="314"/>
      <c r="E28" s="314"/>
      <c r="F28" s="314"/>
      <c r="G28" s="314" t="s">
        <v>1085</v>
      </c>
      <c r="H28" s="314"/>
      <c r="I28" s="314"/>
      <c r="J28" s="314"/>
      <c r="K28" s="314"/>
      <c r="L28" s="314"/>
    </row>
    <row r="29" spans="1:12" x14ac:dyDescent="0.25">
      <c r="A29" s="156" t="str">
        <f ca="1">IF(INDIRECT("priprava_" &amp; A$1 &amp; "!A47")&lt;&gt;0,INDIRECT("priprava_" &amp; A$1 &amp; "!A47"),"")</f>
        <v>Michal Kotlas</v>
      </c>
      <c r="B29" s="158" t="str">
        <f ca="1">IF($A29&lt;&gt;0,IFERROR(INDEX('[1]hraci_&amp;_treneri'!$C:$C,MATCH(CONCATENATE($A29," (",VLOOKUP($A29,OFFSET(INDIRECT("priprava_"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+ 1),IFERROR(INDEX('[1]hraci_&amp;_treneri'!$C:$C,MATCH(CONCATENATE($A29," (",VLOOKUP($A29,OFFSET(INDIRECT("priprava_"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29" s="158" t="str">
        <f ca="1">IF($A29&lt;&gt;0,IFERROR(INDEX('[1]hraci_&amp;_treneri'!$D:$D,MATCH(CONCATENATE($A29," (",VLOOKUP($A29,OFFSET(INDIRECT("priprava_"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+ 1),IFERROR(INDEX('[1]hraci_&amp;_treneri'!$D:$D,MATCH(CONCATENATE($A29," (",VLOOKUP($A29,OFFSET(INDIRECT("priprava_"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29" s="158" t="str">
        <f ca="1">IF($A29&lt;&gt;0,IFERROR(INDEX('[1]hraci_&amp;_treneri'!$E:$E,MATCH(CONCATENATE($A29," (",VLOOKUP($A29,OFFSET(INDIRECT("priprava_"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+ 1),IFERROR(INDEX('[1]hraci_&amp;_treneri'!$E:$E,MATCH(CONCATENATE($A29," (",VLOOKUP($A29,OFFSET(INDIRECT("priprava_"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29" s="158" t="str">
        <f ca="1">IF($A29&lt;&gt;0,IFERROR(INDEX('[1]hraci_&amp;_treneri'!$F:$F,MATCH(CONCATENATE($A29," (",VLOOKUP($A29,OFFSET(INDIRECT("priprava_"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+ 1),IFERROR(INDEX('[1]hraci_&amp;_treneri'!$F:$F,MATCH(CONCATENATE($A29," (",VLOOKUP($A29,OFFSET(INDIRECT("priprava_"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29" s="159" t="str">
        <f ca="1">IF($A29&lt;&gt;0,IFERROR(INDEX('[1]hraci_&amp;_treneri'!$G:$G,MATCH(CONCATENATE($A29," (",VLOOKUP($A29,OFFSET(INDIRECT("priprava_"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+ 1),IFERROR(INDEX('[1]hraci_&amp;_treneri'!$G:$G,MATCH(CONCATENATE($A29," (",VLOOKUP($A29,OFFSET(INDIRECT("priprava_"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29" s="156" t="str">
        <f ca="1">IF(INDIRECT("priprava_" &amp; G$1 &amp; "!A47")&lt;&gt;0,INDIRECT("priprava_" &amp; G$1 &amp; "!A47"),"")</f>
        <v>Zdeněk Skružný</v>
      </c>
      <c r="H29" s="158" t="str">
        <f ca="1">IF($G29&lt;&gt;0,IFERROR(INDEX('[1]hraci_&amp;_treneri'!$C:$C,MATCH(CONCATENATE($G29," (",VLOOKUP($G29,OFFSET(INDIRECT("priprava_"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+ 1),IFERROR(INDEX('[1]hraci_&amp;_treneri'!$C:$C,MATCH(CONCATENATE($G29," (",VLOOKUP($G29,OFFSET(INDIRECT("priprava_"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29" s="158" t="str">
        <f ca="1">IF($G29&lt;&gt;0,IFERROR(INDEX('[1]hraci_&amp;_treneri'!$D:$D,MATCH(CONCATENATE($G29," (",VLOOKUP($G29,OFFSET(INDIRECT("priprava_"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+ 1),IFERROR(INDEX('[1]hraci_&amp;_treneri'!$D:$D,MATCH(CONCATENATE($G29," (",VLOOKUP($G29,OFFSET(INDIRECT("priprava_"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29" s="158" t="str">
        <f ca="1">IF($G29&lt;&gt;0,IFERROR(INDEX('[1]hraci_&amp;_treneri'!$E:$E,MATCH(CONCATENATE($G29," (",VLOOKUP($G29,OFFSET(INDIRECT("priprava_"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+ 1),IFERROR(INDEX('[1]hraci_&amp;_treneri'!$E:$E,MATCH(CONCATENATE($G29," (",VLOOKUP($G29,OFFSET(INDIRECT("priprava_"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29" s="158" t="str">
        <f ca="1">IF($G29&lt;&gt;0,IFERROR(INDEX('[1]hraci_&amp;_treneri'!$F:$F,MATCH(CONCATENATE($G29," (",VLOOKUP($G29,OFFSET(INDIRECT("priprava_"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+ 1),IFERROR(INDEX('[1]hraci_&amp;_treneri'!$F:$F,MATCH(CONCATENATE($G29," (",VLOOKUP($G29,OFFSET(INDIRECT("priprava_"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29" s="159" t="str">
        <f ca="1">IF($G29&lt;&gt;0,IFERROR(INDEX('[1]hraci_&amp;_treneri'!$G:$G,MATCH(CONCATENATE($G29," (",VLOOKUP($G29,OFFSET(INDIRECT("priprava_"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+ 1),IFERROR(INDEX('[1]hraci_&amp;_treneri'!$G:$G,MATCH(CONCATENATE($G29," (",VLOOKUP($G29,OFFSET(INDIRECT("priprava_"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30" spans="1:12" x14ac:dyDescent="0.25">
      <c r="A30" s="156" t="str">
        <f ca="1">IF(INDIRECT("priprava_" &amp; A$1 &amp; "!J47")&lt;&gt;0,INDIRECT("priprava_" &amp; A$1 &amp; "!J47"),"")</f>
        <v>David Bouša</v>
      </c>
      <c r="B30" s="158" t="str">
        <f ca="1">IF($A30&lt;&gt;0,IFERROR(INDEX('[1]hraci_&amp;_treneri'!$C:$C,MATCH(CONCATENATE($A30," (",VLOOKUP($A30,OFFSET(INDIRECT("priprava_"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+ 1),IFERROR(INDEX('[1]hraci_&amp;_treneri'!$C:$C,MATCH(CONCATENATE($A30," (",VLOOKUP($A30,OFFSET(INDIRECT("priprava_"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30" s="158" t="str">
        <f ca="1">IF($A30&lt;&gt;0,IFERROR(INDEX('[1]hraci_&amp;_treneri'!$D:$D,MATCH(CONCATENATE($A30," (",VLOOKUP($A30,OFFSET(INDIRECT("priprava_"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+ 1),IFERROR(INDEX('[1]hraci_&amp;_treneri'!$D:$D,MATCH(CONCATENATE($A30," (",VLOOKUP($A30,OFFSET(INDIRECT("priprava_"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30" s="158" t="str">
        <f ca="1">IF($A30&lt;&gt;0,IFERROR(INDEX('[1]hraci_&amp;_treneri'!$E:$E,MATCH(CONCATENATE($A30," (",VLOOKUP($A30,OFFSET(INDIRECT("priprava_"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+ 1),IFERROR(INDEX('[1]hraci_&amp;_treneri'!$E:$E,MATCH(CONCATENATE($A30," (",VLOOKUP($A30,OFFSET(INDIRECT("priprava_"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30" s="158" t="str">
        <f ca="1">IF($A30&lt;&gt;0,IFERROR(INDEX('[1]hraci_&amp;_treneri'!$F:$F,MATCH(CONCATENATE($A30," (",VLOOKUP($A30,OFFSET(INDIRECT("priprava_"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+ 1),IFERROR(INDEX('[1]hraci_&amp;_treneri'!$F:$F,MATCH(CONCATENATE($A30," (",VLOOKUP($A30,OFFSET(INDIRECT("priprava_"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30" s="159" t="str">
        <f ca="1">IF($A30&lt;&gt;0,IFERROR(INDEX('[1]hraci_&amp;_treneri'!$G:$G,MATCH(CONCATENATE($A30," (",VLOOKUP($A30,OFFSET(INDIRECT("priprava_"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+ 1),IFERROR(INDEX('[1]hraci_&amp;_treneri'!$G:$G,MATCH(CONCATENATE($A30," (",VLOOKUP($A30,OFFSET(INDIRECT("priprava_"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30" s="156" t="str">
        <f ca="1">IF(INDIRECT("priprava_" &amp; G$1 &amp; "!J47")&lt;&gt;0,INDIRECT("priprava_" &amp; G$1 &amp; "!J47"),"")</f>
        <v>Ladislav Láska</v>
      </c>
      <c r="H30" s="158" t="str">
        <f ca="1">IF($G30&lt;&gt;0,IFERROR(INDEX('[1]hraci_&amp;_treneri'!$C:$C,MATCH(CONCATENATE($G30," (",VLOOKUP($G30,OFFSET(INDIRECT("priprava_"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+ 1),IFERROR(INDEX('[1]hraci_&amp;_treneri'!$C:$C,MATCH(CONCATENATE($G30," (",VLOOKUP($G30,OFFSET(INDIRECT("priprava_"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30" s="158" t="str">
        <f ca="1">IF($G30&lt;&gt;0,IFERROR(INDEX('[1]hraci_&amp;_treneri'!$D:$D,MATCH(CONCATENATE($G30," (",VLOOKUP($G30,OFFSET(INDIRECT("priprava_"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+ 1),IFERROR(INDEX('[1]hraci_&amp;_treneri'!$D:$D,MATCH(CONCATENATE($G30," (",VLOOKUP($G30,OFFSET(INDIRECT("priprava_"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30" s="158" t="str">
        <f ca="1">IF($G30&lt;&gt;0,IFERROR(INDEX('[1]hraci_&amp;_treneri'!$E:$E,MATCH(CONCATENATE($G30," (",VLOOKUP($G30,OFFSET(INDIRECT("priprava_"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+ 1),IFERROR(INDEX('[1]hraci_&amp;_treneri'!$E:$E,MATCH(CONCATENATE($G30," (",VLOOKUP($G30,OFFSET(INDIRECT("priprava_"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30" s="158" t="str">
        <f ca="1">IF($G30&lt;&gt;0,IFERROR(INDEX('[1]hraci_&amp;_treneri'!$F:$F,MATCH(CONCATENATE($G30," (",VLOOKUP($G30,OFFSET(INDIRECT("priprava_"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+ 1),IFERROR(INDEX('[1]hraci_&amp;_treneri'!$F:$F,MATCH(CONCATENATE($G30," (",VLOOKUP($G30,OFFSET(INDIRECT("priprava_"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30" s="159" t="str">
        <f ca="1">IF($G30&lt;&gt;0,IFERROR(INDEX('[1]hraci_&amp;_treneri'!$G:$G,MATCH(CONCATENATE($G30," (",VLOOKUP($G30,OFFSET(INDIRECT("priprava_"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+ 1),IFERROR(INDEX('[1]hraci_&amp;_treneri'!$G:$G,MATCH(CONCATENATE($G30," (",VLOOKUP($G30,OFFSET(INDIRECT("priprava_"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31" spans="1:12" x14ac:dyDescent="0.25">
      <c r="A31" s="156" t="str">
        <f ca="1">IF(INDIRECT("priprava_" &amp; A$1 &amp; "!J49")&lt;&gt;0,INDIRECT("priprava_" &amp; A$1 &amp; "!J49"),"")</f>
        <v>Boleslav Kytka</v>
      </c>
      <c r="B31" s="158" t="str">
        <f ca="1">IF($A31&lt;&gt;0,IFERROR(INDEX('[1]hraci_&amp;_treneri'!$C:$C,MATCH(CONCATENATE($A31," (",VLOOKUP($A31,OFFSET(INDIRECT("priprava_" &amp; $A$1 &amp; "!$AG$2"),,,COUNTIF(INDIRECT("priprava_" &amp; $A$1 &amp; "!$AG$2:$AG$50"),"?*"),2),2,FALSE),")"),OFFSET('[1]hraci_&amp;_treneri'!$H$2,,,COUNTA('[1]hraci_&amp;_treneri'!$H:$H)-1),0) + 1),IFERROR(INDEX('[1]hraci_&amp;_treneri'!$C:$C,MATCH(CONCATENATE($A31," (",VLOOKUP($A31,OFFSET(INDIRECT("priprava_"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C31" s="158" t="str">
        <f ca="1">IF($A31&lt;&gt;0,IFERROR(INDEX('[1]hraci_&amp;_treneri'!$D:$D,MATCH(CONCATENATE($A31," (",VLOOKUP($A31,OFFSET(INDIRECT("priprava_" &amp; $A$1 &amp; "!$AG$2"),,,COUNTIF(INDIRECT("priprava_" &amp; $A$1 &amp; "!$AG$2:$AG$50"),"?*"),2),2,FALSE),")"),OFFSET('[1]hraci_&amp;_treneri'!$H$2,,,COUNTA('[1]hraci_&amp;_treneri'!$H:$H)-1),0) + 1),IFERROR(INDEX('[1]hraci_&amp;_treneri'!$D:$D,MATCH(CONCATENATE($A31," (",VLOOKUP($A31,OFFSET(INDIRECT("priprava_"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D31" s="158" t="str">
        <f ca="1">IF($A31&lt;&gt;0,IFERROR(INDEX('[1]hraci_&amp;_treneri'!$E:$E,MATCH(CONCATENATE($A31," (",VLOOKUP($A31,OFFSET(INDIRECT("priprava_" &amp; $A$1 &amp; "!$AG$2"),,,COUNTIF(INDIRECT("priprava_" &amp; $A$1 &amp; "!$AG$2:$AG$50"),"?*"),2),2,FALSE),")"),OFFSET('[1]hraci_&amp;_treneri'!$H$2,,,COUNTA('[1]hraci_&amp;_treneri'!$H:$H)-1),0) + 1),IFERROR(INDEX('[1]hraci_&amp;_treneri'!$E:$E,MATCH(CONCATENATE($A31," (",VLOOKUP($A31,OFFSET(INDIRECT("priprava_"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E31" s="158" t="str">
        <f ca="1">IF($A31&lt;&gt;0,IFERROR(INDEX('[1]hraci_&amp;_treneri'!$F:$F,MATCH(CONCATENATE($A31," (",VLOOKUP($A31,OFFSET(INDIRECT("priprava_" &amp; $A$1 &amp; "!$AG$2"),,,COUNTIF(INDIRECT("priprava_" &amp; $A$1 &amp; "!$AG$2:$AG$50"),"?*"),2),2,FALSE),")"),OFFSET('[1]hraci_&amp;_treneri'!$H$2,,,COUNTA('[1]hraci_&amp;_treneri'!$H:$H)-1),0) + 1),IFERROR(INDEX('[1]hraci_&amp;_treneri'!$F:$F,MATCH(CONCATENATE($A31," (",VLOOKUP($A31,OFFSET(INDIRECT("priprava_"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F31" s="159" t="str">
        <f ca="1">IF($A31&lt;&gt;0,IFERROR(INDEX('[1]hraci_&amp;_treneri'!$G:$G,MATCH(CONCATENATE($A31," (",VLOOKUP($A31,OFFSET(INDIRECT("priprava_" &amp; $A$1 &amp; "!$AG$2"),,,COUNTIF(INDIRECT("priprava_" &amp; $A$1 &amp; "!$AG$2:$AG$50"),"?*"),2),2,FALSE),")"),OFFSET('[1]hraci_&amp;_treneri'!$H$2,,,COUNTA('[1]hraci_&amp;_treneri'!$H:$H)-1),0) + 1),IFERROR(INDEX('[1]hraci_&amp;_treneri'!$G:$G,MATCH(CONCATENATE($A31," (",VLOOKUP($A31,OFFSET(INDIRECT("priprava_" &amp; $A$1 &amp; "!$BN$2"),,,COUNTIF(INDIRECT("priprava_" &amp; $A$1 &amp; "!$BN$2:$BN$11"),"?*"),2),2,FALSE),")"),OFFSET('[1]hraci_&amp;_treneri'!$H$2,,,COUNTA('[1]hraci_&amp;_treneri'!$H:$H)-1),0) + 1),"")),"")</f>
        <v/>
      </c>
      <c r="G31" s="156" t="str">
        <f ca="1">IF(INDIRECT("priprava_" &amp; G$1 &amp; "!J49")&lt;&gt;0,INDIRECT("priprava_" &amp; G$1 &amp; "!J49"),"")</f>
        <v>Jan Lorenc</v>
      </c>
      <c r="H31" s="158" t="str">
        <f ca="1">IF($G31&lt;&gt;0,IFERROR(INDEX('[1]hraci_&amp;_treneri'!$C:$C,MATCH(CONCATENATE($G31," (",VLOOKUP($G31,OFFSET(INDIRECT("priprava_" &amp; $G$1 &amp; "!$AG$2"),,,COUNTIF(INDIRECT("priprava_" &amp; $G$1 &amp; "!$AG$2:$AG$50"),"?*"),2),2,FALSE),")"),OFFSET('[1]hraci_&amp;_treneri'!$H$2,,,COUNTA('[1]hraci_&amp;_treneri'!$H:$H)-1),0) + 1),IFERROR(INDEX('[1]hraci_&amp;_treneri'!$C:$C,MATCH(CONCATENATE($G31," (",VLOOKUP($G31,OFFSET(INDIRECT("priprava_"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I31" s="158" t="str">
        <f ca="1">IF($G31&lt;&gt;0,IFERROR(INDEX('[1]hraci_&amp;_treneri'!$D:$D,MATCH(CONCATENATE($G31," (",VLOOKUP($G31,OFFSET(INDIRECT("priprava_" &amp; $G$1 &amp; "!$AG$2"),,,COUNTIF(INDIRECT("priprava_" &amp; $G$1 &amp; "!$AG$2:$AG$50"),"?*"),2),2,FALSE),")"),OFFSET('[1]hraci_&amp;_treneri'!$H$2,,,COUNTA('[1]hraci_&amp;_treneri'!$H:$H)-1),0) + 1),IFERROR(INDEX('[1]hraci_&amp;_treneri'!$D:$D,MATCH(CONCATENATE($G31," (",VLOOKUP($G31,OFFSET(INDIRECT("priprava_"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J31" s="158" t="str">
        <f ca="1">IF($G31&lt;&gt;0,IFERROR(INDEX('[1]hraci_&amp;_treneri'!$E:$E,MATCH(CONCATENATE($G31," (",VLOOKUP($G31,OFFSET(INDIRECT("priprava_" &amp; $G$1 &amp; "!$AG$2"),,,COUNTIF(INDIRECT("priprava_" &amp; $G$1 &amp; "!$AG$2:$AG$50"),"?*"),2),2,FALSE),")"),OFFSET('[1]hraci_&amp;_treneri'!$H$2,,,COUNTA('[1]hraci_&amp;_treneri'!$H:$H)-1),0) + 1),IFERROR(INDEX('[1]hraci_&amp;_treneri'!$E:$E,MATCH(CONCATENATE($G31," (",VLOOKUP($G31,OFFSET(INDIRECT("priprava_"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K31" s="158" t="str">
        <f ca="1">IF($G31&lt;&gt;0,IFERROR(INDEX('[1]hraci_&amp;_treneri'!$F:$F,MATCH(CONCATENATE($G31," (",VLOOKUP($G31,OFFSET(INDIRECT("priprava_" &amp; $G$1 &amp; "!$AG$2"),,,COUNTIF(INDIRECT("priprava_" &amp; $G$1 &amp; "!$AG$2:$AG$50"),"?*"),2),2,FALSE),")"),OFFSET('[1]hraci_&amp;_treneri'!$H$2,,,COUNTA('[1]hraci_&amp;_treneri'!$H:$H)-1),0) + 1),IFERROR(INDEX('[1]hraci_&amp;_treneri'!$F:$F,MATCH(CONCATENATE($G31," (",VLOOKUP($G31,OFFSET(INDIRECT("priprava_" &amp; $G$1 &amp; "!$BN$2"),,,COUNTIF(INDIRECT("priprava_" &amp; $G$1 &amp; "!$BN$2:$BN$11"),"?*"),2),2,FALSE),")"),OFFSET('[1]hraci_&amp;_treneri'!$H$2,,,COUNTA('[1]hraci_&amp;_treneri'!$H:$H)-1),0) + 1),"")),"")</f>
        <v/>
      </c>
      <c r="L31" s="159" t="str">
        <f ca="1">IF($G31&lt;&gt;0,IFERROR(INDEX('[1]hraci_&amp;_treneri'!$G:$G,MATCH(CONCATENATE($G31," (",VLOOKUP($G31,OFFSET(INDIRECT("priprava_" &amp; $G$1 &amp; "!$AG$2"),,,COUNTIF(INDIRECT("priprava_" &amp; $G$1 &amp; "!$AG$2:$AG$50"),"?*"),2),2,FALSE),")"),OFFSET('[1]hraci_&amp;_treneri'!$H$2,,,COUNTA('[1]hraci_&amp;_treneri'!$H:$H)-1),0) + 1),IFERROR(INDEX('[1]hraci_&amp;_treneri'!$G:$G,MATCH(CONCATENATE($G31," (",VLOOKUP($G31,OFFSET(INDIRECT("priprava_" &amp; $G$1 &amp; "!$BN$2"),,,COUNTIF(INDIRECT("priprava_" &amp; $G$1 &amp; "!$BN$2:$BN$11"),"?*"),2),2,FALSE),")"),OFFSET('[1]hraci_&amp;_treneri'!$H$2,,,COUNTA('[1]hraci_&amp;_treneri'!$H:$H)-1),0) + 1),"")),"")</f>
        <v/>
      </c>
    </row>
    <row r="32" spans="1:12" x14ac:dyDescent="0.25">
      <c r="A32" s="153"/>
    </row>
    <row r="33" spans="1:1" x14ac:dyDescent="0.25">
      <c r="A33" s="153"/>
    </row>
    <row r="34" spans="1:1" x14ac:dyDescent="0.25">
      <c r="A34" s="153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05" priority="70" stopIfTrue="1" operator="equal">
      <formula>"OTR"</formula>
    </cfRule>
  </conditionalFormatting>
  <conditionalFormatting sqref="A1:F2">
    <cfRule type="cellIs" dxfId="804" priority="71" stopIfTrue="1" operator="equal">
      <formula>"PAR"</formula>
    </cfRule>
    <cfRule type="cellIs" dxfId="803" priority="72" stopIfTrue="1" operator="equal">
      <formula>"CLP"</formula>
    </cfRule>
    <cfRule type="cellIs" dxfId="802" priority="73" stopIfTrue="1" operator="equal">
      <formula>"HAT"</formula>
    </cfRule>
    <cfRule type="cellIs" dxfId="801" priority="74" stopIfTrue="1" operator="equal">
      <formula>"LIB"</formula>
    </cfRule>
    <cfRule type="cellIs" dxfId="800" priority="75" stopIfTrue="1" operator="equal">
      <formula>"BA"</formula>
    </cfRule>
    <cfRule type="cellIs" dxfId="799" priority="76" stopIfTrue="1" operator="equal">
      <formula>"SPA"</formula>
    </cfRule>
    <cfRule type="cellIs" dxfId="798" priority="77" stopIfTrue="1" operator="equal">
      <formula>"OST"</formula>
    </cfRule>
    <cfRule type="cellIs" dxfId="797" priority="78" stopIfTrue="1" operator="equal">
      <formula>"BOH"</formula>
    </cfRule>
    <cfRule type="cellIs" dxfId="796" priority="79" stopIfTrue="1" operator="equal">
      <formula>"TAT"</formula>
    </cfRule>
    <cfRule type="cellIs" dxfId="795" priority="80" stopIfTrue="1" operator="equal">
      <formula>"MB"</formula>
    </cfRule>
    <cfRule type="cellIs" dxfId="794" priority="81" stopIfTrue="1" operator="equal">
      <formula>"VIT"</formula>
    </cfRule>
    <cfRule type="cellIs" dxfId="793" priority="82" stopIfTrue="1" operator="equal">
      <formula>"CHO"</formula>
    </cfRule>
    <cfRule type="cellIs" dxfId="792" priority="83" stopIfTrue="1" operator="equal">
      <formula>"SKV"</formula>
    </cfRule>
  </conditionalFormatting>
  <conditionalFormatting sqref="G1:L2">
    <cfRule type="cellIs" dxfId="791" priority="56" stopIfTrue="1" operator="equal">
      <formula>"OTR"</formula>
    </cfRule>
  </conditionalFormatting>
  <conditionalFormatting sqref="G1:L2">
    <cfRule type="cellIs" dxfId="790" priority="57" stopIfTrue="1" operator="equal">
      <formula>"PAR"</formula>
    </cfRule>
    <cfRule type="cellIs" dxfId="789" priority="58" stopIfTrue="1" operator="equal">
      <formula>"CLP"</formula>
    </cfRule>
    <cfRule type="cellIs" dxfId="788" priority="59" stopIfTrue="1" operator="equal">
      <formula>"HAT"</formula>
    </cfRule>
    <cfRule type="cellIs" dxfId="787" priority="60" stopIfTrue="1" operator="equal">
      <formula>"LIB"</formula>
    </cfRule>
    <cfRule type="cellIs" dxfId="786" priority="61" stopIfTrue="1" operator="equal">
      <formula>"BA"</formula>
    </cfRule>
    <cfRule type="cellIs" dxfId="785" priority="62" stopIfTrue="1" operator="equal">
      <formula>"SPA"</formula>
    </cfRule>
    <cfRule type="cellIs" dxfId="784" priority="63" stopIfTrue="1" operator="equal">
      <formula>"OST"</formula>
    </cfRule>
    <cfRule type="cellIs" dxfId="783" priority="64" stopIfTrue="1" operator="equal">
      <formula>"BOH"</formula>
    </cfRule>
    <cfRule type="cellIs" dxfId="782" priority="65" stopIfTrue="1" operator="equal">
      <formula>"TAT"</formula>
    </cfRule>
    <cfRule type="cellIs" dxfId="781" priority="66" stopIfTrue="1" operator="equal">
      <formula>"MB"</formula>
    </cfRule>
    <cfRule type="cellIs" dxfId="780" priority="67" stopIfTrue="1" operator="equal">
      <formula>"VIT"</formula>
    </cfRule>
    <cfRule type="cellIs" dxfId="779" priority="68" stopIfTrue="1" operator="equal">
      <formula>"CHO"</formula>
    </cfRule>
    <cfRule type="cellIs" dxfId="778" priority="69" stopIfTrue="1" operator="equal">
      <formula>"SKV"</formula>
    </cfRule>
  </conditionalFormatting>
  <conditionalFormatting sqref="B4:F6">
    <cfRule type="expression" dxfId="777" priority="55">
      <formula>AND($B4&lt;&gt;"",MOD(ROW($B4),2)=1)</formula>
    </cfRule>
    <cfRule type="expression" dxfId="776" priority="18">
      <formula>AND($B4&lt;&gt;"",MOD(ROW($B4),2)=0)</formula>
    </cfRule>
    <cfRule type="expression" dxfId="775" priority="3">
      <formula>AND($B4&lt;&gt;"",MOD(ROW($B4),2)=0,B4=0)</formula>
    </cfRule>
    <cfRule type="expression" dxfId="774" priority="4">
      <formula>AND($B4&lt;&gt;"",MOD(ROW($B4),2)=1,B4=0)</formula>
    </cfRule>
  </conditionalFormatting>
  <conditionalFormatting sqref="A8:F27">
    <cfRule type="expression" dxfId="773" priority="54">
      <formula>AND($A8&lt;&gt;"",MOD(ROW($A8),2)=1)</formula>
    </cfRule>
    <cfRule type="expression" dxfId="772" priority="17">
      <formula>AND($A8&lt;&gt;"",MOD(ROW($A8),2)=0)</formula>
    </cfRule>
  </conditionalFormatting>
  <conditionalFormatting sqref="A29:F31">
    <cfRule type="expression" dxfId="771" priority="53">
      <formula>AND($A29&lt;&gt;"",MOD(ROW($A29),2)=0)</formula>
    </cfRule>
    <cfRule type="expression" dxfId="770" priority="16">
      <formula>AND($A29&lt;&gt;"",MOD(ROW($A29),2)=1)</formula>
    </cfRule>
  </conditionalFormatting>
  <conditionalFormatting sqref="H4:L6">
    <cfRule type="expression" dxfId="769" priority="52">
      <formula>AND($H4&lt;&gt;"",MOD(ROW($H4),2)=1)</formula>
    </cfRule>
    <cfRule type="expression" dxfId="768" priority="15">
      <formula>AND($H4&lt;&gt;"",MOD(ROW($H4),2)=0)</formula>
    </cfRule>
    <cfRule type="expression" dxfId="767" priority="1">
      <formula>AND($H4&lt;&gt;"",MOD(ROW($H4),2)=0,H4=0)</formula>
    </cfRule>
    <cfRule type="expression" dxfId="766" priority="2">
      <formula>AND($H4&lt;&gt;"",MOD(ROW($H4),2)=1,H4=0)</formula>
    </cfRule>
  </conditionalFormatting>
  <conditionalFormatting sqref="G8:L27">
    <cfRule type="expression" dxfId="765" priority="51">
      <formula>AND($G8&lt;&gt;"",MOD(ROW($G8),2)=1)</formula>
    </cfRule>
    <cfRule type="expression" dxfId="764" priority="14">
      <formula>AND($G8&lt;&gt;"",MOD(ROW($G8),2)=0)</formula>
    </cfRule>
  </conditionalFormatting>
  <conditionalFormatting sqref="G29:L31">
    <cfRule type="expression" dxfId="763" priority="50">
      <formula>AND($G29&lt;&gt;"",MOD(ROW($G29),2)=0)</formula>
    </cfRule>
    <cfRule type="expression" dxfId="762" priority="13">
      <formula>AND($G29&lt;&gt;"",MOD(ROW($G29),2)=1)</formula>
    </cfRule>
  </conditionalFormatting>
  <conditionalFormatting sqref="A4">
    <cfRule type="cellIs" dxfId="761" priority="36" stopIfTrue="1" operator="equal">
      <formula>"OTR"</formula>
    </cfRule>
  </conditionalFormatting>
  <conditionalFormatting sqref="A4">
    <cfRule type="cellIs" dxfId="760" priority="37" stopIfTrue="1" operator="equal">
      <formula>"PAR"</formula>
    </cfRule>
    <cfRule type="cellIs" dxfId="759" priority="38" stopIfTrue="1" operator="equal">
      <formula>"CLP"</formula>
    </cfRule>
    <cfRule type="cellIs" dxfId="758" priority="39" stopIfTrue="1" operator="equal">
      <formula>"HAT"</formula>
    </cfRule>
    <cfRule type="cellIs" dxfId="757" priority="40" stopIfTrue="1" operator="equal">
      <formula>"LIB"</formula>
    </cfRule>
    <cfRule type="cellIs" dxfId="756" priority="41" stopIfTrue="1" operator="equal">
      <formula>"BA"</formula>
    </cfRule>
    <cfRule type="cellIs" dxfId="755" priority="42" stopIfTrue="1" operator="equal">
      <formula>"SPA"</formula>
    </cfRule>
    <cfRule type="cellIs" dxfId="754" priority="43" stopIfTrue="1" operator="equal">
      <formula>"OST"</formula>
    </cfRule>
    <cfRule type="cellIs" dxfId="753" priority="44" stopIfTrue="1" operator="equal">
      <formula>"BOH"</formula>
    </cfRule>
    <cfRule type="cellIs" dxfId="752" priority="45" stopIfTrue="1" operator="equal">
      <formula>"TAT"</formula>
    </cfRule>
    <cfRule type="cellIs" dxfId="751" priority="46" stopIfTrue="1" operator="equal">
      <formula>"MB"</formula>
    </cfRule>
    <cfRule type="cellIs" dxfId="750" priority="47" stopIfTrue="1" operator="equal">
      <formula>"VIT"</formula>
    </cfRule>
    <cfRule type="cellIs" dxfId="749" priority="48" stopIfTrue="1" operator="equal">
      <formula>"CHO"</formula>
    </cfRule>
    <cfRule type="cellIs" dxfId="748" priority="49" stopIfTrue="1" operator="equal">
      <formula>"SKV"</formula>
    </cfRule>
  </conditionalFormatting>
  <conditionalFormatting sqref="G4">
    <cfRule type="cellIs" dxfId="747" priority="22" stopIfTrue="1" operator="equal">
      <formula>"OTR"</formula>
    </cfRule>
  </conditionalFormatting>
  <conditionalFormatting sqref="G4">
    <cfRule type="cellIs" dxfId="746" priority="23" stopIfTrue="1" operator="equal">
      <formula>"PAR"</formula>
    </cfRule>
    <cfRule type="cellIs" dxfId="745" priority="24" stopIfTrue="1" operator="equal">
      <formula>"CLP"</formula>
    </cfRule>
    <cfRule type="cellIs" dxfId="744" priority="25" stopIfTrue="1" operator="equal">
      <formula>"HAT"</formula>
    </cfRule>
    <cfRule type="cellIs" dxfId="743" priority="26" stopIfTrue="1" operator="equal">
      <formula>"LIB"</formula>
    </cfRule>
    <cfRule type="cellIs" dxfId="742" priority="27" stopIfTrue="1" operator="equal">
      <formula>"BA"</formula>
    </cfRule>
    <cfRule type="cellIs" dxfId="741" priority="28" stopIfTrue="1" operator="equal">
      <formula>"SPA"</formula>
    </cfRule>
    <cfRule type="cellIs" dxfId="740" priority="29" stopIfTrue="1" operator="equal">
      <formula>"OST"</formula>
    </cfRule>
    <cfRule type="cellIs" dxfId="739" priority="30" stopIfTrue="1" operator="equal">
      <formula>"BOH"</formula>
    </cfRule>
    <cfRule type="cellIs" dxfId="738" priority="31" stopIfTrue="1" operator="equal">
      <formula>"TAT"</formula>
    </cfRule>
    <cfRule type="cellIs" dxfId="737" priority="32" stopIfTrue="1" operator="equal">
      <formula>"MB"</formula>
    </cfRule>
    <cfRule type="cellIs" dxfId="736" priority="33" stopIfTrue="1" operator="equal">
      <formula>"VIT"</formula>
    </cfRule>
    <cfRule type="cellIs" dxfId="735" priority="34" stopIfTrue="1" operator="equal">
      <formula>"CHO"</formula>
    </cfRule>
    <cfRule type="cellIs" dxfId="734" priority="35" stopIfTrue="1" operator="equal">
      <formula>"SKV"</formula>
    </cfRule>
  </conditionalFormatting>
  <conditionalFormatting sqref="I8:L27">
    <cfRule type="expression" dxfId="733" priority="11">
      <formula>AND($G8&lt;&gt;"",MOD(ROW($G8),2)=0,I8=0)</formula>
    </cfRule>
    <cfRule type="expression" dxfId="732" priority="12">
      <formula>AND($G8&lt;&gt;"",MOD(ROW($G8),2)=1,I8=0)</formula>
    </cfRule>
  </conditionalFormatting>
  <conditionalFormatting sqref="I29:L31">
    <cfRule type="expression" dxfId="731" priority="9">
      <formula>AND($G29&lt;&gt;"",MOD(ROW($G29),2)=1,I29=0)</formula>
    </cfRule>
    <cfRule type="expression" dxfId="730" priority="10">
      <formula>AND($G29&lt;&gt;"",MOD(ROW($G29),2)=0,I29=0)</formula>
    </cfRule>
  </conditionalFormatting>
  <conditionalFormatting sqref="C8:F27">
    <cfRule type="expression" dxfId="729" priority="7">
      <formula>AND($A8&lt;&gt;"",MOD(ROW($A8),2)=0,C8=0)</formula>
    </cfRule>
    <cfRule type="expression" dxfId="728" priority="8">
      <formula>AND($A8&lt;&gt;"",MOD(ROW($A8),2)=1,C8=0)</formula>
    </cfRule>
  </conditionalFormatting>
  <conditionalFormatting sqref="C29:F31">
    <cfRule type="expression" dxfId="727" priority="5">
      <formula>AND($A29&lt;&gt;"",MOD(ROW($A29),2)=1,C29)</formula>
    </cfRule>
    <cfRule type="expression" dxfId="72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 t="s">
        <v>6</v>
      </c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24" t="s">
        <v>1</v>
      </c>
      <c r="I1" s="324"/>
      <c r="J1" s="324"/>
      <c r="K1" s="324"/>
      <c r="M1" s="322" t="s">
        <v>139</v>
      </c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25">
        <f ca="1">IFERROR(IF(VLOOKUP(A1,OFFSET($AG$2,,,COUNTIF($AG$2:$AG$50,"?*"),23),2,FALSE)&lt;&gt;0,YEAR(VLOOKUP(A1,OFFSET($AG$2,,,COUNTIF($AG$2:$AG$50,"?*"),23),2,FALSE)),""),"")</f>
        <v>1995</v>
      </c>
      <c r="C2" s="326"/>
      <c r="D2" s="5">
        <f ca="1">IFERROR(VLOOKUP(A1,OFFSET($AG$2,,,COUNTIF($AG$2:$AG$50,"?*"),23),15,FALSE),"")</f>
        <v>26</v>
      </c>
      <c r="E2" s="316" t="str">
        <f ca="1">IFERROR(VLOOKUP(A1,OFFSET($AG$2,,,COUNTIF($AG$2:$AG$50,"?*"),23),16,FALSE),"")</f>
        <v>183/76</v>
      </c>
      <c r="F2" s="317"/>
      <c r="M2" s="4" t="str">
        <f ca="1">IFERROR(IF(VLOOKUP(M1,OFFSET($AG$2,,,COUNTIF($AG$2:$AG$50,"?*"),23),10,FALSE)&lt;&gt;0,VLOOKUP(M1,OFFSET($AG$2,,,COUNTIF($AG$2:$AG$50,"?*"),23),10,FALSE),""),"")</f>
        <v>L</v>
      </c>
      <c r="N2" s="325">
        <f ca="1">IFERROR(IF(VLOOKUP(M1,OFFSET($AG$2,,,COUNTIF($AG$2:$AG$50,"?*"),23),2,FALSE)&lt;&gt;0,YEAR(VLOOKUP(M1,OFFSET($AG$2,,,COUNTIF($AG$2:$AG$50,"?*"),23),2,FALSE)),""),"")</f>
        <v>2000</v>
      </c>
      <c r="O2" s="326"/>
      <c r="P2" s="6">
        <f ca="1">IFERROR(VLOOKUP(M1,OFFSET($AG$2,,,COUNTIF($AG$2:$AG$50,"?*"),23),15,FALSE),"")</f>
        <v>21</v>
      </c>
      <c r="Q2" s="316" t="str">
        <f ca="1">IFERROR(VLOOKUP(M1,OFFSET($AG$2,,,COUNTIF($AG$2:$AG$50,"?*"),23),16,FALSE),"")</f>
        <v>186/80</v>
      </c>
      <c r="R2" s="317"/>
      <c r="S2" s="111" t="s">
        <v>130</v>
      </c>
      <c r="U2" s="103">
        <v>1</v>
      </c>
      <c r="V2" s="103">
        <v>1</v>
      </c>
      <c r="W2" s="103">
        <v>0</v>
      </c>
      <c r="X2" s="103">
        <v>0</v>
      </c>
      <c r="Y2" s="103">
        <v>0</v>
      </c>
      <c r="Z2" s="103">
        <v>1</v>
      </c>
      <c r="AA2" s="103">
        <v>0</v>
      </c>
      <c r="AB2" s="103">
        <v>-3</v>
      </c>
      <c r="AC2" s="103" t="str">
        <f t="shared" ref="AC2:AC20" ca="1" si="0">IF(S2&lt;&gt;"",IFERROR(IF(VLOOKUP(S2,OFFSET($AG$2,,,COUNTIF($AG$2:$AG$50,"?*")),1,FALSE)&lt;&gt;0,"ANO","NE"),"NE"),"")</f>
        <v>ANO</v>
      </c>
      <c r="AG2" s="122" t="s">
        <v>2</v>
      </c>
      <c r="AH2" s="123">
        <v>33786</v>
      </c>
      <c r="AI2" s="124">
        <v>141</v>
      </c>
      <c r="AJ2" s="124">
        <v>90</v>
      </c>
      <c r="AK2" s="124">
        <v>59</v>
      </c>
      <c r="AL2" s="125">
        <f t="shared" ref="AL2:AL50" si="1">IF(AG2&lt;&gt;"",AJ2+AK2,"")</f>
        <v>149</v>
      </c>
      <c r="AM2" s="124">
        <v>10</v>
      </c>
      <c r="AN2" s="124">
        <v>23</v>
      </c>
      <c r="AO2" s="126"/>
      <c r="AP2" s="126" t="s">
        <v>163</v>
      </c>
      <c r="AQ2" s="124">
        <v>181</v>
      </c>
      <c r="AR2" s="124">
        <v>78</v>
      </c>
      <c r="AS2" s="127" t="s">
        <v>164</v>
      </c>
      <c r="AT2" s="124">
        <v>2003</v>
      </c>
      <c r="AU2" s="128">
        <f t="shared" ref="AU2:AU33" ca="1" si="2">IF(AG2&lt;&gt;"",IF(AH2&lt;&gt;"",INT((TODAY()-AH2)/365),"?"),"")</f>
        <v>29</v>
      </c>
      <c r="AV2" s="128" t="str">
        <f t="shared" ref="AV2:AV33" si="3">IF(AG2&lt;&gt;"",CONCATENATE(IF(AQ2&lt;&gt;"",AQ2,"? "),"/",IF(AR2&lt;&gt;"",AR2," ?")),"")</f>
        <v>181/78</v>
      </c>
      <c r="AW2" s="129" t="str">
        <f t="shared" ref="AW2:AW33" ca="1" si="4">IF(AG2&lt;&gt;"",IF(BE2=1,BD2,IF(BH2=1,BG2,IF(BJ2=1,BI2,IF(BL2=1,BK2,BM2)))),"")</f>
        <v>Bína</v>
      </c>
      <c r="AX2" s="130" t="str">
        <f t="shared" ref="AX2:AX3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3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141 OZ, 149 (90+59)</v>
      </c>
      <c r="AZ2" s="131"/>
      <c r="BA2" s="131"/>
      <c r="BB2" s="131"/>
      <c r="BC2" s="131"/>
      <c r="BD2" s="3" t="str">
        <f t="shared" ref="BD2:BD33" si="7">IF(AG2&lt;&gt;"",RIGHT(AG2,LEN(AG2)-SEARCH(" ",AG2)),"")</f>
        <v>Bína</v>
      </c>
      <c r="BE2" s="85">
        <f t="shared" ref="BE2:BE33" ca="1" si="8">IF(AG2&lt;&gt;"",COUNTIF(OFFSET($BD$2,,,COUNTIF($AG$2:$AG$50,"?*")),BD2),"")</f>
        <v>1</v>
      </c>
      <c r="BF2" s="62" t="str">
        <f t="shared" ref="BF2:BF33" si="9">IF(AG2&lt;&gt;"",LEFT(AG2,1),"")</f>
        <v>M</v>
      </c>
      <c r="BG2" s="3" t="str">
        <f t="shared" ref="BG2:BG33" ca="1" si="10">IF(AND($AG2&lt;&gt;"",BE2&gt;1),CONCATENATE($BD2," ",LEFT($AG2,MIN(1,SEARCH(" ",$AG2)-1)),IF(SEARCH(" ",$AG2)-1&gt;1,".",""),""),"")</f>
        <v/>
      </c>
      <c r="BH2" s="62">
        <f t="shared" ref="BH2:BH33" ca="1" si="11">IF(BG2&lt;&gt;"",COUNTIF(OFFSET(BG$2,,,COUNTIF($AG$2:$AG$50,"?*")),BG2),IF($AG2&lt;&gt;"",0,""))</f>
        <v>0</v>
      </c>
      <c r="BI2" s="3" t="str">
        <f t="shared" ref="BI2:BI33" ca="1" si="12">IF(AND($AG2&lt;&gt;"",BH2&gt;1),CONCATENATE($BD2," ",LEFT($AG2,MIN(2,SEARCH(" ",$AG2)-1)),IF(SEARCH(" ",$AG2)-1&gt;2,".",""),""),"")</f>
        <v/>
      </c>
      <c r="BJ2" s="62">
        <f t="shared" ref="BJ2:BJ33" ca="1" si="13">IF(BI2&lt;&gt;"",COUNTIF(OFFSET(BI$2,,,COUNTIF($AG$2:$AG$50,"?*")),BI2),IF($AG2&lt;&gt;"",0,""))</f>
        <v>0</v>
      </c>
      <c r="BK2" s="3" t="str">
        <f t="shared" ref="BK2:BK33" ca="1" si="14">IF(AND($AG2&lt;&gt;"",BJ2&gt;1),CONCATENATE($BD2," ",LEFT($AG2,MIN(3,SEARCH(" ",$AG2)-1)),IF(SEARCH(" ",$AG2)-1&gt;3,".",""),""),"")</f>
        <v/>
      </c>
      <c r="BL2" s="62">
        <f t="shared" ref="BL2:BL33" ca="1" si="15">IF(BK2&lt;&gt;"",COUNTIF(OFFSET(BK$2,,,COUNTIF($AG$2:$AG$50,"?*")),BK2),IF($AG2&lt;&gt;"",0,""))</f>
        <v>0</v>
      </c>
      <c r="BM2" s="3" t="str">
        <f t="shared" ref="BM2:BM33" ca="1" si="16">IF(AND($AG2&lt;&gt;"",BL2&gt;1),CONCATENATE($BD2," ",LEFT($AG2,MIN(4,SEARCH(" ",$AG2)-1)),IF(SEARCH(" ",$AG2)-1&gt;4,".",""),""),"")</f>
        <v/>
      </c>
      <c r="BN2" s="127" t="s">
        <v>20</v>
      </c>
      <c r="BO2" s="123">
        <v>30490</v>
      </c>
      <c r="BP2" s="132" t="s">
        <v>205</v>
      </c>
      <c r="BQ2" s="133" t="s">
        <v>208</v>
      </c>
      <c r="BR2" s="128">
        <f ca="1">IF(BN2&lt;&gt;"",IF(BO2&lt;&gt;"",INT((TODAY()-BO2)/365),"?"),"")</f>
        <v>38</v>
      </c>
      <c r="BS2" s="361" t="s">
        <v>36</v>
      </c>
      <c r="BT2" s="105" t="s">
        <v>212</v>
      </c>
      <c r="BU2" s="104">
        <v>1</v>
      </c>
      <c r="BV2" s="105" t="str">
        <f>IFERROR(RIGHT(BT2,LEN(BT2)-SEARCH(" ",BT2)),"")</f>
        <v>Viktor Kopecký</v>
      </c>
      <c r="BW2" s="103">
        <f>IF(BT2&lt;&gt;0,_xlfn.NUMBERVALUE(BU2,","),"")</f>
        <v>1</v>
      </c>
      <c r="BX2" s="360" t="s">
        <v>233</v>
      </c>
      <c r="BY2" s="104" t="s">
        <v>225</v>
      </c>
      <c r="BZ2" s="104" t="s">
        <v>103</v>
      </c>
      <c r="CA2" s="116" t="s">
        <v>919</v>
      </c>
    </row>
    <row r="3" spans="1:79" ht="15" customHeight="1" thickTop="1" thickBot="1" x14ac:dyDescent="0.25">
      <c r="A3" s="318" t="str">
        <f ca="1">IFERROR(VLOOKUP(A1,OFFSET($AG$2,,,COUNTIF($AG$2:$AG$50,"?*"),23),18,FALSE),"")</f>
        <v>2 OZ, 0 (0+0), -3 ±</v>
      </c>
      <c r="B3" s="319"/>
      <c r="C3" s="319"/>
      <c r="D3" s="320" t="str">
        <f ca="1">IFERROR(VLOOKUP(A1,OFFSET($AG$2,,,COUNTIF($AG$2:$AG$50,"?*"),23),19,FALSE),"")</f>
        <v>105 OZ, 40 (26+14)</v>
      </c>
      <c r="E3" s="320"/>
      <c r="F3" s="321"/>
      <c r="G3" s="322" t="s">
        <v>9</v>
      </c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18" t="str">
        <f ca="1">IFERROR(VLOOKUP(M1,OFFSET($AG$2,,,COUNTIF($AG$2:$AG$50,"?*"),23),18,FALSE),"")</f>
        <v>2 OZ, 0 (0+0), -3 ±</v>
      </c>
      <c r="N3" s="319"/>
      <c r="O3" s="319"/>
      <c r="P3" s="320" t="str">
        <f ca="1">IFERROR(VLOOKUP(M1,OFFSET($AG$2,,,COUNTIF($AG$2:$AG$50,"?*"),23),19,FALSE),"")</f>
        <v>23 OZ, 13 (4+9)</v>
      </c>
      <c r="Q3" s="320"/>
      <c r="R3" s="321"/>
      <c r="S3" s="111" t="s">
        <v>9</v>
      </c>
      <c r="U3" s="103">
        <v>2</v>
      </c>
      <c r="V3" s="103">
        <v>1</v>
      </c>
      <c r="W3" s="103">
        <v>1</v>
      </c>
      <c r="X3" s="103">
        <v>0</v>
      </c>
      <c r="Y3" s="103">
        <v>0</v>
      </c>
      <c r="Z3" s="103">
        <v>1</v>
      </c>
      <c r="AA3" s="103">
        <v>0</v>
      </c>
      <c r="AB3" s="103">
        <v>-3</v>
      </c>
      <c r="AC3" s="103" t="str">
        <f t="shared" ca="1" si="0"/>
        <v>ANO</v>
      </c>
      <c r="AG3" s="122" t="s">
        <v>3</v>
      </c>
      <c r="AH3" s="123">
        <v>36257</v>
      </c>
      <c r="AI3" s="124">
        <v>123</v>
      </c>
      <c r="AJ3" s="124">
        <v>38</v>
      </c>
      <c r="AK3" s="124">
        <v>32</v>
      </c>
      <c r="AL3" s="125">
        <f t="shared" si="1"/>
        <v>70</v>
      </c>
      <c r="AM3" s="124">
        <v>6</v>
      </c>
      <c r="AN3" s="124">
        <v>77</v>
      </c>
      <c r="AO3" s="126"/>
      <c r="AP3" s="126" t="s">
        <v>163</v>
      </c>
      <c r="AQ3" s="124">
        <v>184</v>
      </c>
      <c r="AR3" s="124">
        <v>81</v>
      </c>
      <c r="AS3" s="127" t="s">
        <v>165</v>
      </c>
      <c r="AT3" s="124">
        <v>2008</v>
      </c>
      <c r="AU3" s="128">
        <f t="shared" ca="1" si="2"/>
        <v>22</v>
      </c>
      <c r="AV3" s="128" t="str">
        <f t="shared" si="3"/>
        <v>184/81</v>
      </c>
      <c r="AW3" s="129" t="str">
        <f t="shared" ca="1" si="4"/>
        <v>Cabejšek</v>
      </c>
      <c r="AX3" s="130" t="str">
        <f t="shared" ca="1" si="5"/>
        <v>2 OZ, 1 (0+1), -2 ±</v>
      </c>
      <c r="AY3" s="130" t="str">
        <f t="shared" ca="1" si="6"/>
        <v>125 OZ, 71 (38+33)</v>
      </c>
      <c r="AZ3" s="131"/>
      <c r="BA3" s="131"/>
      <c r="BB3" s="131"/>
      <c r="BC3" s="131"/>
      <c r="BD3" s="90" t="str">
        <f t="shared" si="7"/>
        <v>Cabejšek</v>
      </c>
      <c r="BE3" s="92">
        <f t="shared" ca="1" si="8"/>
        <v>1</v>
      </c>
      <c r="BF3" s="91" t="str">
        <f t="shared" si="9"/>
        <v>D</v>
      </c>
      <c r="BG3" s="90" t="str">
        <f t="shared" ca="1" si="10"/>
        <v/>
      </c>
      <c r="BH3" s="91">
        <f t="shared" ca="1" si="11"/>
        <v>0</v>
      </c>
      <c r="BI3" s="90" t="str">
        <f t="shared" ca="1" si="12"/>
        <v/>
      </c>
      <c r="BJ3" s="91">
        <f t="shared" ca="1" si="13"/>
        <v>0</v>
      </c>
      <c r="BK3" s="90" t="str">
        <f t="shared" ca="1" si="14"/>
        <v/>
      </c>
      <c r="BL3" s="91">
        <f t="shared" ca="1" si="15"/>
        <v>0</v>
      </c>
      <c r="BM3" s="90" t="str">
        <f t="shared" ca="1" si="16"/>
        <v/>
      </c>
      <c r="BN3" s="127" t="s">
        <v>21</v>
      </c>
      <c r="BO3" s="123">
        <v>31402</v>
      </c>
      <c r="BP3" s="132" t="s">
        <v>205</v>
      </c>
      <c r="BQ3" s="133" t="s">
        <v>209</v>
      </c>
      <c r="BR3" s="128">
        <f t="shared" ref="BR3:BR11" ca="1" si="17">IF(BN3&lt;&gt;"",IF(BO3&lt;&gt;"",INT((TODAY()-BO3)/365),"?"),"")</f>
        <v>35</v>
      </c>
      <c r="BS3" s="361"/>
      <c r="BT3" s="105" t="s">
        <v>213</v>
      </c>
      <c r="BU3" s="104">
        <v>1</v>
      </c>
      <c r="BV3" s="105" t="str">
        <f t="shared" ref="BV3:BV31" si="18">IFERROR(RIGHT(BT3,LEN(BT3)-SEARCH(" ",BT3)),"")</f>
        <v>Vojtěch Klápa</v>
      </c>
      <c r="BW3" s="103">
        <f t="shared" ref="BW3:BW31" si="19">IF(BT3&lt;&gt;0,_xlfn.NUMBERVALUE(BU3,","),"")</f>
        <v>1</v>
      </c>
      <c r="BX3" s="360"/>
      <c r="BY3" s="104" t="s">
        <v>224</v>
      </c>
      <c r="BZ3" s="104" t="s">
        <v>98</v>
      </c>
      <c r="CA3" s="116" t="s">
        <v>235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>Chodov</v>
      </c>
      <c r="B4" s="328"/>
      <c r="C4" s="329"/>
      <c r="D4" s="330">
        <f ca="1">IFERROR(IF(VLOOKUP(A1,OFFSET($AG$2,,,COUNTIF($AG$2:$AG$50,"?*"),23),14,FALSE)&lt;&gt;0,VLOOKUP(A1,OFFSET($AG$2,,,COUNTIF($AG$2:$AG$50,"?*"),23),14,FALSE),"?"),"")</f>
        <v>2006</v>
      </c>
      <c r="E4" s="331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25">
        <f ca="1">IFERROR(IF(VLOOKUP(G3,OFFSET($AG$2,,,COUNTIF($AG$2:$AG$50,"?*"),23),2,FALSE)&lt;&gt;0,YEAR(VLOOKUP(G3,OFFSET($AG$2,,,COUNTIF($AG$2:$AG$50,"?*"),23),2,FALSE)),""),"")</f>
        <v>1993</v>
      </c>
      <c r="I4" s="326"/>
      <c r="J4" s="5">
        <f ca="1">IFERROR(VLOOKUP(G3,OFFSET($AG$2,,,COUNTIF($AG$2:$AG$50,"?*"),23),15,FALSE),"")</f>
        <v>28</v>
      </c>
      <c r="K4" s="316" t="str">
        <f ca="1">IFERROR(VLOOKUP(G3,OFFSET($AG$2,,,COUNTIF($AG$2:$AG$50,"?*"),23),16,FALSE),"")</f>
        <v>173/68</v>
      </c>
      <c r="L4" s="317"/>
      <c r="M4" s="327" t="str">
        <f ca="1">IFERROR(IF(VLOOKUP(M1,OFFSET($AG$2,,,COUNTIF($AG$2:$AG$50,"?*"),23),13,FALSE)&lt;&gt;0,VLOOKUP(M1,OFFSET($AG$2,,,COUNTIF($AG$2:$AG$50,"?*"),23),13,FALSE),"?"),"")</f>
        <v>Slovan J. Hradec</v>
      </c>
      <c r="N4" s="328"/>
      <c r="O4" s="329"/>
      <c r="P4" s="330">
        <f ca="1">IFERROR(IF(VLOOKUP(M1,OFFSET($AG$2,,,COUNTIF($AG$2:$AG$50,"?*"),23),14,FALSE)&lt;&gt;0,VLOOKUP(M1,OFFSET($AG$2,,,COUNTIF($AG$2:$AG$50,"?*"),23),14,FALSE),"?"),"")</f>
        <v>2014</v>
      </c>
      <c r="Q4" s="331"/>
      <c r="R4" s="7">
        <f ca="1">IFERROR(IF(VLOOKUP(M1,OFFSET($AG$2,,,COUNTIF($AG$2:$AG$50,"?*"),23),7,FALSE)&lt;&gt;0,VLOOKUP(M1,OFFSET($AG$2,,,COUNTIF($AG$2:$AG$50,"?*"),23),7,FALSE),"?"),"")</f>
        <v>2</v>
      </c>
      <c r="S4" s="111" t="s">
        <v>0</v>
      </c>
      <c r="U4" s="103">
        <v>2</v>
      </c>
      <c r="V4" s="103">
        <v>1</v>
      </c>
      <c r="W4" s="103">
        <v>0</v>
      </c>
      <c r="X4" s="103">
        <v>0</v>
      </c>
      <c r="Y4" s="103">
        <v>0</v>
      </c>
      <c r="Z4" s="103">
        <v>1</v>
      </c>
      <c r="AA4" s="103">
        <v>2</v>
      </c>
      <c r="AB4" s="103">
        <v>-3</v>
      </c>
      <c r="AC4" s="103" t="str">
        <f t="shared" ca="1" si="0"/>
        <v>ANO</v>
      </c>
      <c r="AG4" s="122" t="s">
        <v>4</v>
      </c>
      <c r="AH4" s="123">
        <v>36364</v>
      </c>
      <c r="AI4" s="124">
        <v>24</v>
      </c>
      <c r="AJ4" s="124">
        <v>0</v>
      </c>
      <c r="AK4" s="124">
        <v>1</v>
      </c>
      <c r="AL4" s="125">
        <f t="shared" si="1"/>
        <v>1</v>
      </c>
      <c r="AM4" s="124">
        <v>2</v>
      </c>
      <c r="AN4" s="124">
        <v>47</v>
      </c>
      <c r="AO4" s="126"/>
      <c r="AP4" s="126" t="s">
        <v>163</v>
      </c>
      <c r="AQ4" s="124">
        <v>181</v>
      </c>
      <c r="AR4" s="124">
        <v>82</v>
      </c>
      <c r="AS4" s="127" t="s">
        <v>99</v>
      </c>
      <c r="AT4" s="124">
        <v>2009</v>
      </c>
      <c r="AU4" s="128">
        <f t="shared" ca="1" si="2"/>
        <v>22</v>
      </c>
      <c r="AV4" s="128" t="str">
        <f t="shared" si="3"/>
        <v>181/82</v>
      </c>
      <c r="AW4" s="129" t="str">
        <f t="shared" ca="1" si="4"/>
        <v>Čuda</v>
      </c>
      <c r="AX4" s="130" t="str">
        <f t="shared" ca="1" si="5"/>
        <v>2 OZ, 1 (0+1), -2 ±</v>
      </c>
      <c r="AY4" s="130" t="str">
        <f t="shared" ca="1" si="6"/>
        <v>26 OZ, 2 (0+2)</v>
      </c>
      <c r="AZ4" s="131"/>
      <c r="BA4" s="131"/>
      <c r="BB4" s="131"/>
      <c r="BC4" s="131"/>
      <c r="BD4" s="3" t="str">
        <f t="shared" si="7"/>
        <v>Čuda</v>
      </c>
      <c r="BE4" s="85">
        <f t="shared" ca="1" si="8"/>
        <v>1</v>
      </c>
      <c r="BF4" s="62" t="str">
        <f t="shared" si="9"/>
        <v>Š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3"/>
        <v>0</v>
      </c>
      <c r="BK4" s="3" t="str">
        <f t="shared" ca="1" si="14"/>
        <v/>
      </c>
      <c r="BL4" s="62">
        <f t="shared" ca="1" si="15"/>
        <v>0</v>
      </c>
      <c r="BM4" s="3" t="str">
        <f t="shared" ca="1" si="16"/>
        <v/>
      </c>
      <c r="BN4" s="127" t="s">
        <v>204</v>
      </c>
      <c r="BO4" s="123">
        <v>35465</v>
      </c>
      <c r="BP4" s="132" t="s">
        <v>207</v>
      </c>
      <c r="BQ4" s="133" t="s">
        <v>210</v>
      </c>
      <c r="BR4" s="128">
        <f t="shared" ca="1" si="17"/>
        <v>24</v>
      </c>
      <c r="BS4" s="361"/>
      <c r="BT4" s="105" t="s">
        <v>922</v>
      </c>
      <c r="BU4" s="104">
        <v>1</v>
      </c>
      <c r="BV4" s="105" t="str">
        <f t="shared" si="18"/>
        <v>Zbyněk Stuchlík</v>
      </c>
      <c r="BW4" s="103">
        <f t="shared" si="19"/>
        <v>1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>2 OZ, 1 (1+0), -3 ±</v>
      </c>
      <c r="H5" s="319"/>
      <c r="I5" s="319"/>
      <c r="J5" s="320" t="str">
        <f ca="1">IFERROR(VLOOKUP(G3,OFFSET($AG$2,,,COUNTIF($AG$2:$AG$50,"?*"),23),19,FALSE),"")</f>
        <v>99 OZ, 87 (27+60)</v>
      </c>
      <c r="K5" s="320"/>
      <c r="L5" s="321"/>
      <c r="R5" s="13"/>
      <c r="S5" s="111" t="s">
        <v>10</v>
      </c>
      <c r="T5" s="103" t="s">
        <v>68</v>
      </c>
      <c r="U5" s="103">
        <v>1</v>
      </c>
      <c r="V5" s="103">
        <v>0</v>
      </c>
      <c r="W5" s="103">
        <v>0</v>
      </c>
      <c r="X5" s="103">
        <v>0</v>
      </c>
      <c r="Y5" s="103">
        <v>1</v>
      </c>
      <c r="Z5" s="103">
        <v>1</v>
      </c>
      <c r="AA5" s="103">
        <v>2</v>
      </c>
      <c r="AB5" s="103">
        <v>0</v>
      </c>
      <c r="AC5" s="103" t="str">
        <f t="shared" ca="1" si="0"/>
        <v>ANO</v>
      </c>
      <c r="AG5" s="122" t="s">
        <v>6</v>
      </c>
      <c r="AH5" s="123">
        <v>34880</v>
      </c>
      <c r="AI5" s="124">
        <v>103</v>
      </c>
      <c r="AJ5" s="124">
        <v>26</v>
      </c>
      <c r="AK5" s="124">
        <v>14</v>
      </c>
      <c r="AL5" s="125">
        <f t="shared" si="1"/>
        <v>40</v>
      </c>
      <c r="AM5" s="124">
        <v>6</v>
      </c>
      <c r="AN5" s="124">
        <v>28</v>
      </c>
      <c r="AO5" s="126"/>
      <c r="AP5" s="126" t="s">
        <v>27</v>
      </c>
      <c r="AQ5" s="124">
        <v>183</v>
      </c>
      <c r="AR5" s="124">
        <v>76</v>
      </c>
      <c r="AS5" s="127" t="s">
        <v>166</v>
      </c>
      <c r="AT5" s="124">
        <v>2006</v>
      </c>
      <c r="AU5" s="128">
        <f t="shared" ca="1" si="2"/>
        <v>26</v>
      </c>
      <c r="AV5" s="128" t="str">
        <f t="shared" si="3"/>
        <v>183/76</v>
      </c>
      <c r="AW5" s="129" t="str">
        <f t="shared" ca="1" si="4"/>
        <v>Fiala</v>
      </c>
      <c r="AX5" s="130" t="str">
        <f t="shared" ca="1" si="5"/>
        <v>2 OZ, 0 (0+0), -3 ±</v>
      </c>
      <c r="AY5" s="130" t="str">
        <f t="shared" ca="1" si="6"/>
        <v>105 OZ, 40 (26+14)</v>
      </c>
      <c r="AZ5" s="131"/>
      <c r="BA5" s="131"/>
      <c r="BB5" s="131"/>
      <c r="BC5" s="131"/>
      <c r="BD5" s="90" t="str">
        <f t="shared" si="7"/>
        <v>Fiala</v>
      </c>
      <c r="BE5" s="92">
        <f t="shared" ca="1" si="8"/>
        <v>1</v>
      </c>
      <c r="BF5" s="91" t="str">
        <f t="shared" si="9"/>
        <v>J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3"/>
        <v>0</v>
      </c>
      <c r="BK5" s="90" t="str">
        <f t="shared" ca="1" si="14"/>
        <v/>
      </c>
      <c r="BL5" s="91">
        <f t="shared" ca="1" si="15"/>
        <v>0</v>
      </c>
      <c r="BM5" s="90" t="str">
        <f t="shared" ca="1" si="16"/>
        <v/>
      </c>
      <c r="BN5" s="127" t="s">
        <v>22</v>
      </c>
      <c r="BO5" s="123">
        <v>33139</v>
      </c>
      <c r="BP5" s="132" t="s">
        <v>206</v>
      </c>
      <c r="BQ5" s="133" t="s">
        <v>211</v>
      </c>
      <c r="BR5" s="128">
        <f t="shared" ca="1" si="17"/>
        <v>31</v>
      </c>
      <c r="BS5" s="361"/>
      <c r="BT5" s="105" t="s">
        <v>923</v>
      </c>
      <c r="BU5" s="104">
        <v>1</v>
      </c>
      <c r="BV5" s="105" t="str">
        <f t="shared" si="18"/>
        <v>Daniel Cabejšek</v>
      </c>
      <c r="BW5" s="103">
        <f t="shared" si="19"/>
        <v>1</v>
      </c>
      <c r="BX5" s="360"/>
    </row>
    <row r="6" spans="1:79" ht="15" customHeight="1" thickTop="1" thickBot="1" x14ac:dyDescent="0.25">
      <c r="A6" s="322" t="s">
        <v>11</v>
      </c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27" t="str">
        <f ca="1">IFERROR(IF(VLOOKUP(G3,OFFSET($AG$2,,,COUNTIF($AG$2:$AG$50,"?*"),23),13,FALSE)&lt;&gt;0,VLOOKUP(G3,OFFSET($AG$2,,,COUNTIF($AG$2:$AG$50,"?*"),23),13,FALSE),"?"),"")</f>
        <v>Future</v>
      </c>
      <c r="H6" s="328"/>
      <c r="I6" s="329"/>
      <c r="J6" s="330">
        <f ca="1">IFERROR(IF(VLOOKUP(G3,OFFSET($AG$2,,,COUNTIF($AG$2:$AG$50,"?*"),23),14,FALSE)&lt;&gt;0,VLOOKUP(G3,OFFSET($AG$2,,,COUNTIF($AG$2:$AG$50,"?*"),23),14,FALSE),"?"),"")</f>
        <v>2003</v>
      </c>
      <c r="K6" s="331"/>
      <c r="L6" s="7">
        <f ca="1">IFERROR(IF(VLOOKUP(G3,OFFSET($AG$2,,,COUNTIF($AG$2:$AG$50,"?*"),23),7,FALSE)&lt;&gt;0,VLOOKUP(G3,OFFSET($AG$2,,,COUNTIF($AG$2:$AG$50,"?*"),23),7,FALSE),"?"),"")</f>
        <v>6</v>
      </c>
      <c r="M6" s="322" t="s">
        <v>10</v>
      </c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1" t="s">
        <v>4</v>
      </c>
      <c r="T6" s="103" t="s">
        <v>68</v>
      </c>
      <c r="U6" s="103">
        <v>2</v>
      </c>
      <c r="V6" s="103">
        <v>0</v>
      </c>
      <c r="W6" s="103">
        <v>0</v>
      </c>
      <c r="X6" s="103">
        <v>0</v>
      </c>
      <c r="Y6" s="103">
        <v>1</v>
      </c>
      <c r="Z6" s="103">
        <v>1</v>
      </c>
      <c r="AA6" s="103">
        <v>0</v>
      </c>
      <c r="AB6" s="103">
        <v>-2</v>
      </c>
      <c r="AC6" s="103" t="str">
        <f t="shared" ca="1" si="0"/>
        <v>ANO</v>
      </c>
      <c r="AG6" s="122" t="s">
        <v>11</v>
      </c>
      <c r="AH6" s="123">
        <v>37000</v>
      </c>
      <c r="AI6" s="124">
        <v>58</v>
      </c>
      <c r="AJ6" s="124">
        <v>9</v>
      </c>
      <c r="AK6" s="124">
        <v>7</v>
      </c>
      <c r="AL6" s="125">
        <f t="shared" si="1"/>
        <v>16</v>
      </c>
      <c r="AM6" s="124">
        <v>4</v>
      </c>
      <c r="AN6" s="124">
        <v>11</v>
      </c>
      <c r="AO6" s="126"/>
      <c r="AP6" s="126" t="s">
        <v>163</v>
      </c>
      <c r="AQ6" s="124">
        <v>181</v>
      </c>
      <c r="AR6" s="124">
        <v>80</v>
      </c>
      <c r="AS6" s="127" t="s">
        <v>167</v>
      </c>
      <c r="AT6" s="124">
        <v>2013</v>
      </c>
      <c r="AU6" s="128">
        <f t="shared" ca="1" si="2"/>
        <v>20</v>
      </c>
      <c r="AV6" s="128" t="str">
        <f t="shared" si="3"/>
        <v>181/80</v>
      </c>
      <c r="AW6" s="129" t="str">
        <f t="shared" ca="1" si="4"/>
        <v>Gold</v>
      </c>
      <c r="AX6" s="130" t="str">
        <f t="shared" ca="1" si="5"/>
        <v>2 OZ, 0 (0+0), -4 ±</v>
      </c>
      <c r="AY6" s="130" t="str">
        <f t="shared" ca="1" si="6"/>
        <v>60 OZ, 16 (9+7)</v>
      </c>
      <c r="AZ6" s="131"/>
      <c r="BA6" s="131"/>
      <c r="BB6" s="131"/>
      <c r="BC6" s="131"/>
      <c r="BD6" s="3" t="str">
        <f t="shared" si="7"/>
        <v>Gold</v>
      </c>
      <c r="BE6" s="85">
        <f t="shared" ca="1" si="8"/>
        <v>1</v>
      </c>
      <c r="BF6" s="62" t="str">
        <f t="shared" si="9"/>
        <v>O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3"/>
        <v>0</v>
      </c>
      <c r="BK6" s="3" t="str">
        <f t="shared" ca="1" si="14"/>
        <v/>
      </c>
      <c r="BL6" s="62">
        <f t="shared" ca="1" si="15"/>
        <v>0</v>
      </c>
      <c r="BM6" s="3" t="str">
        <f t="shared" ca="1" si="16"/>
        <v/>
      </c>
      <c r="BN6" s="127" t="s">
        <v>917</v>
      </c>
      <c r="BO6" s="123">
        <v>32155</v>
      </c>
      <c r="BP6" s="132" t="s">
        <v>486</v>
      </c>
      <c r="BQ6" s="133" t="s">
        <v>211</v>
      </c>
      <c r="BR6" s="128">
        <f t="shared" ca="1" si="17"/>
        <v>33</v>
      </c>
      <c r="BS6" s="361"/>
      <c r="BT6" s="105" t="s">
        <v>924</v>
      </c>
      <c r="BU6" s="104">
        <v>1</v>
      </c>
      <c r="BV6" s="105" t="str">
        <f t="shared" si="18"/>
        <v>Ondřej Stuchlík</v>
      </c>
      <c r="BW6" s="103">
        <f t="shared" si="19"/>
        <v>1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25">
        <f ca="1">IFERROR(IF(VLOOKUP(A6,OFFSET($AG$2,,,COUNTIF($AG$2:$AG$50,"?*"),23),2,FALSE)&lt;&gt;0,YEAR(VLOOKUP(A6,OFFSET($AG$2,,,COUNTIF($AG$2:$AG$50,"?*"),23),2,FALSE)),""),"")</f>
        <v>2001</v>
      </c>
      <c r="C7" s="326"/>
      <c r="D7" s="5">
        <f ca="1">IFERROR(VLOOKUP(A6,OFFSET($AG$2,,,COUNTIF($AG$2:$AG$50,"?*"),23),15,FALSE),"")</f>
        <v>20</v>
      </c>
      <c r="E7" s="316" t="str">
        <f ca="1">IFERROR(VLOOKUP(A6,OFFSET($AG$2,,,COUNTIF($AG$2:$AG$50,"?*"),23),16,FALSE),"")</f>
        <v>181/80</v>
      </c>
      <c r="F7" s="317"/>
      <c r="M7" s="4" t="str">
        <f ca="1">IFERROR(IF(VLOOKUP(M6,OFFSET($AG$2,,,COUNTIF($AG$2:$AG$50,"?*"),23),10,FALSE)&lt;&gt;0,VLOOKUP(M6,OFFSET($AG$2,,,COUNTIF($AG$2:$AG$50,"?*"),23),10,FALSE),""),"")</f>
        <v>P</v>
      </c>
      <c r="N7" s="325">
        <f ca="1">IFERROR(IF(VLOOKUP(M6,OFFSET($AG$2,,,COUNTIF($AG$2:$AG$50,"?*"),23),2,FALSE)&lt;&gt;0,YEAR(VLOOKUP(M6,OFFSET($AG$2,,,COUNTIF($AG$2:$AG$50,"?*"),23),2,FALSE)),""),"")</f>
        <v>1993</v>
      </c>
      <c r="O7" s="326"/>
      <c r="P7" s="6">
        <f ca="1">IFERROR(VLOOKUP(M6,OFFSET($AG$2,,,COUNTIF($AG$2:$AG$50,"?*"),23),15,FALSE),"")</f>
        <v>28</v>
      </c>
      <c r="Q7" s="316" t="str">
        <f ca="1">IFERROR(VLOOKUP(M6,OFFSET($AG$2,,,COUNTIF($AG$2:$AG$50,"?*"),23),16,FALSE),"")</f>
        <v>169/65</v>
      </c>
      <c r="R7" s="317"/>
      <c r="S7" s="111" t="s">
        <v>3</v>
      </c>
      <c r="T7" s="103" t="s">
        <v>68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0</v>
      </c>
      <c r="AB7" s="103">
        <v>-2</v>
      </c>
      <c r="AC7" s="103" t="str">
        <f t="shared" ca="1" si="0"/>
        <v>ANO</v>
      </c>
      <c r="AG7" s="122" t="s">
        <v>8</v>
      </c>
      <c r="AH7" s="123">
        <v>34105</v>
      </c>
      <c r="AI7" s="124">
        <v>161</v>
      </c>
      <c r="AJ7" s="124">
        <v>92</v>
      </c>
      <c r="AK7" s="124">
        <v>47</v>
      </c>
      <c r="AL7" s="125">
        <f t="shared" si="1"/>
        <v>139</v>
      </c>
      <c r="AM7" s="124">
        <v>8</v>
      </c>
      <c r="AN7" s="124">
        <v>27</v>
      </c>
      <c r="AO7" s="126"/>
      <c r="AP7" s="126" t="s">
        <v>163</v>
      </c>
      <c r="AQ7" s="124">
        <v>180</v>
      </c>
      <c r="AR7" s="124">
        <v>78</v>
      </c>
      <c r="AS7" s="127" t="s">
        <v>168</v>
      </c>
      <c r="AT7" s="124">
        <v>2007</v>
      </c>
      <c r="AU7" s="128">
        <f t="shared" ca="1" si="2"/>
        <v>28</v>
      </c>
      <c r="AV7" s="128" t="str">
        <f t="shared" si="3"/>
        <v>180/78</v>
      </c>
      <c r="AW7" s="129" t="str">
        <f t="shared" ca="1" si="4"/>
        <v>Gregor</v>
      </c>
      <c r="AX7" s="130" t="str">
        <f t="shared" ca="1" si="5"/>
        <v>0 OZ, 0 (0+0)</v>
      </c>
      <c r="AY7" s="130" t="str">
        <f t="shared" ca="1" si="6"/>
        <v>161 OZ, 139 (92+47)</v>
      </c>
      <c r="AZ7" s="131"/>
      <c r="BA7" s="131"/>
      <c r="BB7" s="131"/>
      <c r="BC7" s="131"/>
      <c r="BD7" s="90" t="str">
        <f t="shared" si="7"/>
        <v>Gregor</v>
      </c>
      <c r="BE7" s="92">
        <f t="shared" ca="1" si="8"/>
        <v>1</v>
      </c>
      <c r="BF7" s="91" t="str">
        <f t="shared" si="9"/>
        <v>L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3"/>
        <v>0</v>
      </c>
      <c r="BK7" s="90" t="str">
        <f t="shared" ca="1" si="14"/>
        <v/>
      </c>
      <c r="BL7" s="91">
        <f t="shared" ca="1" si="15"/>
        <v>0</v>
      </c>
      <c r="BM7" s="90" t="str">
        <f t="shared" ca="1" si="16"/>
        <v/>
      </c>
      <c r="BN7" s="127"/>
      <c r="BO7" s="123"/>
      <c r="BP7" s="132"/>
      <c r="BQ7" s="133"/>
      <c r="BR7" s="128" t="str">
        <f t="shared" ca="1" si="17"/>
        <v/>
      </c>
      <c r="BS7" s="361" t="s">
        <v>40</v>
      </c>
      <c r="BT7" s="105" t="s">
        <v>925</v>
      </c>
      <c r="BU7" s="104" t="s">
        <v>926</v>
      </c>
      <c r="BV7" s="105" t="str">
        <f t="shared" si="18"/>
        <v>Karel Šantora</v>
      </c>
      <c r="BW7" s="113">
        <f t="shared" si="19"/>
        <v>8</v>
      </c>
      <c r="BX7" s="360" t="s">
        <v>234</v>
      </c>
      <c r="BY7" s="104" t="s">
        <v>227</v>
      </c>
      <c r="BZ7" s="104" t="s">
        <v>24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>2 OZ, 0 (0+0), -4 ±</v>
      </c>
      <c r="B8" s="319"/>
      <c r="C8" s="319"/>
      <c r="D8" s="320" t="str">
        <f ca="1">IFERROR(VLOOKUP(A6,OFFSET($AG$2,,,COUNTIF($AG$2:$AG$50,"?*"),23),19,FALSE),"")</f>
        <v>60 OZ, 16 (9+7)</v>
      </c>
      <c r="E8" s="320"/>
      <c r="F8" s="321"/>
      <c r="H8" s="332" t="s">
        <v>5</v>
      </c>
      <c r="I8" s="332"/>
      <c r="J8" s="332"/>
      <c r="K8" s="332"/>
      <c r="M8" s="318" t="str">
        <f ca="1">IFERROR(VLOOKUP(M6,OFFSET($AG$2,,,COUNTIF($AG$2:$AG$50,"?*"),23),18,FALSE),"")</f>
        <v>1 OZ, 1 (0+1), 0 ±</v>
      </c>
      <c r="N8" s="319"/>
      <c r="O8" s="319"/>
      <c r="P8" s="320" t="str">
        <f ca="1">IFERROR(VLOOKUP(M6,OFFSET($AG$2,,,COUNTIF($AG$2:$AG$50,"?*"),23),19,FALSE),"")</f>
        <v>110 OZ, 57 (32+25)</v>
      </c>
      <c r="Q8" s="320"/>
      <c r="R8" s="321"/>
      <c r="S8" s="111" t="s">
        <v>135</v>
      </c>
      <c r="U8" s="103">
        <v>1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-2</v>
      </c>
      <c r="AC8" s="103" t="str">
        <f t="shared" ca="1" si="0"/>
        <v>ANO</v>
      </c>
      <c r="AG8" s="122" t="s">
        <v>169</v>
      </c>
      <c r="AH8" s="123">
        <v>36825</v>
      </c>
      <c r="AI8" s="124">
        <v>54</v>
      </c>
      <c r="AJ8" s="124">
        <v>2</v>
      </c>
      <c r="AK8" s="124">
        <v>14</v>
      </c>
      <c r="AL8" s="125">
        <f t="shared" si="1"/>
        <v>16</v>
      </c>
      <c r="AM8" s="124">
        <v>4</v>
      </c>
      <c r="AN8" s="124">
        <v>32</v>
      </c>
      <c r="AO8" s="126"/>
      <c r="AP8" s="126" t="s">
        <v>163</v>
      </c>
      <c r="AQ8" s="124">
        <v>175</v>
      </c>
      <c r="AR8" s="124">
        <v>70</v>
      </c>
      <c r="AS8" s="127" t="s">
        <v>5</v>
      </c>
      <c r="AT8" s="124">
        <v>2015</v>
      </c>
      <c r="AU8" s="128">
        <f t="shared" ca="1" si="2"/>
        <v>20</v>
      </c>
      <c r="AV8" s="128" t="str">
        <f t="shared" si="3"/>
        <v>175/70</v>
      </c>
      <c r="AW8" s="129" t="str">
        <f t="shared" ca="1" si="4"/>
        <v>Hájek</v>
      </c>
      <c r="AX8" s="130" t="str">
        <f t="shared" ca="1" si="5"/>
        <v>0 OZ, 0 (0+0)</v>
      </c>
      <c r="AY8" s="130" t="str">
        <f t="shared" ca="1" si="6"/>
        <v>54 OZ, 16 (2+14)</v>
      </c>
      <c r="AZ8" s="131"/>
      <c r="BA8" s="131"/>
      <c r="BB8" s="131"/>
      <c r="BC8" s="131"/>
      <c r="BD8" s="3" t="str">
        <f t="shared" si="7"/>
        <v>Hájek</v>
      </c>
      <c r="BE8" s="85">
        <f t="shared" ca="1" si="8"/>
        <v>1</v>
      </c>
      <c r="BF8" s="62" t="str">
        <f t="shared" si="9"/>
        <v>P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3"/>
        <v>0</v>
      </c>
      <c r="BK8" s="3" t="str">
        <f t="shared" ca="1" si="14"/>
        <v/>
      </c>
      <c r="BL8" s="62">
        <f t="shared" ca="1" si="15"/>
        <v>0</v>
      </c>
      <c r="BM8" s="3" t="str">
        <f t="shared" ca="1" si="16"/>
        <v/>
      </c>
      <c r="BN8" s="134"/>
      <c r="BO8" s="123"/>
      <c r="BP8" s="132"/>
      <c r="BQ8" s="133"/>
      <c r="BR8" s="128" t="str">
        <f t="shared" ca="1" si="17"/>
        <v/>
      </c>
      <c r="BS8" s="361"/>
      <c r="BT8" s="105" t="s">
        <v>927</v>
      </c>
      <c r="BU8" s="104" t="s">
        <v>215</v>
      </c>
      <c r="BV8" s="105" t="str">
        <f t="shared" si="18"/>
        <v>Petr Musil</v>
      </c>
      <c r="BW8" s="113">
        <f t="shared" si="19"/>
        <v>11</v>
      </c>
      <c r="BX8" s="360"/>
      <c r="BY8" s="104" t="s">
        <v>228</v>
      </c>
      <c r="BZ8" s="104" t="s">
        <v>101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>Bulldogs Brno</v>
      </c>
      <c r="B9" s="328"/>
      <c r="C9" s="329"/>
      <c r="D9" s="330">
        <f ca="1">IFERROR(IF(VLOOKUP(A6,OFFSET($AG$2,,,COUNTIF($AG$2:$AG$50,"?*"),23),14,FALSE)&lt;&gt;0,VLOOKUP(A6,OFFSET($AG$2,,,COUNTIF($AG$2:$AG$50,"?*"),23),14,FALSE),"?"),"")</f>
        <v>2013</v>
      </c>
      <c r="E9" s="331"/>
      <c r="F9" s="7">
        <f ca="1">IFERROR(IF(VLOOKUP(A6,OFFSET($AG$2,,,COUNTIF($AG$2:$AG$50,"?*"),23),7,FALSE)&lt;&gt;0,VLOOKUP(A6,OFFSET($AG$2,,,COUNTIF($AG$2:$AG$50,"?*"),23),7,FALSE),"?"),"")</f>
        <v>4</v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>Lhokamo</v>
      </c>
      <c r="N9" s="328"/>
      <c r="O9" s="329"/>
      <c r="P9" s="330">
        <f ca="1">IFERROR(IF(VLOOKUP(M6,OFFSET($AG$2,,,COUNTIF($AG$2:$AG$50,"?*"),23),14,FALSE)&lt;&gt;0,VLOOKUP(M6,OFFSET($AG$2,,,COUNTIF($AG$2:$AG$50,"?*"),23),14,FALSE),"?"),"")</f>
        <v>2004</v>
      </c>
      <c r="Q9" s="331"/>
      <c r="R9" s="7">
        <f ca="1">IFERROR(IF(VLOOKUP(M6,OFFSET($AG$2,,,COUNTIF($AG$2:$AG$50,"?*"),23),7,FALSE)&lt;&gt;0,VLOOKUP(M6,OFFSET($AG$2,,,COUNTIF($AG$2:$AG$50,"?*"),23),7,FALSE),"?"),"")</f>
        <v>7</v>
      </c>
      <c r="S9" s="111" t="s">
        <v>174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14</v>
      </c>
      <c r="AH9" s="123">
        <v>33357</v>
      </c>
      <c r="AI9" s="124">
        <v>82</v>
      </c>
      <c r="AJ9" s="124">
        <v>45</v>
      </c>
      <c r="AK9" s="124">
        <v>22</v>
      </c>
      <c r="AL9" s="125">
        <f t="shared" si="1"/>
        <v>67</v>
      </c>
      <c r="AM9" s="124">
        <v>5</v>
      </c>
      <c r="AN9" s="124">
        <v>24</v>
      </c>
      <c r="AO9" s="126"/>
      <c r="AP9" s="126" t="s">
        <v>163</v>
      </c>
      <c r="AQ9" s="124">
        <v>180</v>
      </c>
      <c r="AR9" s="124">
        <v>78</v>
      </c>
      <c r="AS9" s="127" t="s">
        <v>170</v>
      </c>
      <c r="AT9" s="124">
        <v>2008</v>
      </c>
      <c r="AU9" s="128">
        <f t="shared" ca="1" si="2"/>
        <v>30</v>
      </c>
      <c r="AV9" s="128" t="str">
        <f t="shared" si="3"/>
        <v>180/78</v>
      </c>
      <c r="AW9" s="129" t="str">
        <f t="shared" ca="1" si="4"/>
        <v>Hartman</v>
      </c>
      <c r="AX9" s="130" t="str">
        <f t="shared" ca="1" si="5"/>
        <v>2 OZ, 0 (0+0), -3 ±</v>
      </c>
      <c r="AY9" s="130" t="str">
        <f t="shared" ca="1" si="6"/>
        <v>84 OZ, 67 (45+22)</v>
      </c>
      <c r="AZ9" s="131"/>
      <c r="BA9" s="131"/>
      <c r="BB9" s="131"/>
      <c r="BC9" s="131"/>
      <c r="BD9" s="90" t="str">
        <f t="shared" si="7"/>
        <v>Hartman</v>
      </c>
      <c r="BE9" s="92">
        <f t="shared" ca="1" si="8"/>
        <v>1</v>
      </c>
      <c r="BF9" s="91" t="str">
        <f t="shared" si="9"/>
        <v>P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3"/>
        <v>0</v>
      </c>
      <c r="BK9" s="90" t="str">
        <f t="shared" ca="1" si="14"/>
        <v/>
      </c>
      <c r="BL9" s="91">
        <f t="shared" ca="1" si="15"/>
        <v>0</v>
      </c>
      <c r="BM9" s="90" t="str">
        <f t="shared" ca="1" si="16"/>
        <v/>
      </c>
      <c r="BN9" s="134"/>
      <c r="BO9" s="123"/>
      <c r="BP9" s="132"/>
      <c r="BQ9" s="133"/>
      <c r="BR9" s="128" t="str">
        <f t="shared" ca="1" si="17"/>
        <v/>
      </c>
      <c r="BS9" s="361"/>
      <c r="BV9" s="105" t="str">
        <f t="shared" si="18"/>
        <v/>
      </c>
      <c r="BW9" s="113" t="str">
        <f t="shared" si="19"/>
        <v/>
      </c>
      <c r="BX9" s="360"/>
      <c r="BY9" s="104" t="s">
        <v>229</v>
      </c>
      <c r="BZ9" s="104" t="s">
        <v>106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139</v>
      </c>
      <c r="T10" s="103" t="s">
        <v>133</v>
      </c>
      <c r="U10" s="103">
        <v>2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-3</v>
      </c>
      <c r="AC10" s="103" t="str">
        <f t="shared" ca="1" si="0"/>
        <v>ANO</v>
      </c>
      <c r="AG10" s="122" t="s">
        <v>138</v>
      </c>
      <c r="AH10" s="123">
        <v>37260</v>
      </c>
      <c r="AI10" s="124">
        <v>0</v>
      </c>
      <c r="AJ10" s="124">
        <v>0</v>
      </c>
      <c r="AK10" s="124">
        <v>0</v>
      </c>
      <c r="AL10" s="125">
        <f t="shared" si="1"/>
        <v>0</v>
      </c>
      <c r="AM10" s="124">
        <v>1</v>
      </c>
      <c r="AN10" s="124">
        <v>96</v>
      </c>
      <c r="AO10" s="126"/>
      <c r="AP10" s="126"/>
      <c r="AQ10" s="124"/>
      <c r="AR10" s="124"/>
      <c r="AS10" s="127" t="s">
        <v>74</v>
      </c>
      <c r="AT10" s="124"/>
      <c r="AU10" s="128">
        <f t="shared" ca="1" si="2"/>
        <v>19</v>
      </c>
      <c r="AV10" s="128" t="str">
        <f t="shared" si="3"/>
        <v>? / ?</v>
      </c>
      <c r="AW10" s="129" t="str">
        <f t="shared" ca="1" si="4"/>
        <v>Horák</v>
      </c>
      <c r="AX10" s="130" t="str">
        <f t="shared" ca="1" si="5"/>
        <v>2 OZ, 0 (0+0), -1 ±</v>
      </c>
      <c r="AY10" s="130" t="str">
        <f t="shared" ca="1" si="6"/>
        <v>2 OZ, 0 (0+0)</v>
      </c>
      <c r="AZ10" s="131"/>
      <c r="BA10" s="131"/>
      <c r="BB10" s="131"/>
      <c r="BC10" s="131"/>
      <c r="BD10" s="3" t="str">
        <f t="shared" si="7"/>
        <v>Horák</v>
      </c>
      <c r="BE10" s="85">
        <f t="shared" ca="1" si="8"/>
        <v>1</v>
      </c>
      <c r="BF10" s="62" t="str">
        <f t="shared" si="9"/>
        <v>M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3"/>
        <v>0</v>
      </c>
      <c r="BK10" s="3" t="str">
        <f t="shared" ca="1" si="14"/>
        <v/>
      </c>
      <c r="BL10" s="62">
        <f t="shared" ca="1" si="15"/>
        <v>0</v>
      </c>
      <c r="BM10" s="3" t="str">
        <f t="shared" ca="1" si="16"/>
        <v/>
      </c>
      <c r="BN10" s="134"/>
      <c r="BO10" s="123"/>
      <c r="BP10" s="132"/>
      <c r="BQ10" s="133"/>
      <c r="BR10" s="128" t="str">
        <f t="shared" ca="1" si="17"/>
        <v/>
      </c>
      <c r="BS10" s="361"/>
      <c r="BV10" s="105" t="str">
        <f t="shared" si="18"/>
        <v/>
      </c>
      <c r="BW10" s="113" t="str">
        <f t="shared" si="19"/>
        <v/>
      </c>
      <c r="BX10" s="360"/>
      <c r="BY10" s="104" t="s">
        <v>920</v>
      </c>
      <c r="BZ10" s="104" t="s">
        <v>108</v>
      </c>
      <c r="CA10" s="116" t="s">
        <v>226</v>
      </c>
    </row>
    <row r="11" spans="1:79" ht="15" customHeight="1" thickTop="1" thickBot="1" x14ac:dyDescent="0.25">
      <c r="R11" s="13"/>
      <c r="S11" s="111" t="s">
        <v>6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2</v>
      </c>
      <c r="AB11" s="103">
        <v>-3</v>
      </c>
      <c r="AC11" s="103" t="str">
        <f t="shared" ca="1" si="0"/>
        <v>ANO</v>
      </c>
      <c r="AG11" s="122" t="s">
        <v>137</v>
      </c>
      <c r="AH11" s="123">
        <v>34249</v>
      </c>
      <c r="AI11" s="124">
        <v>202</v>
      </c>
      <c r="AJ11" s="124">
        <v>36</v>
      </c>
      <c r="AK11" s="124">
        <v>31</v>
      </c>
      <c r="AL11" s="125">
        <f t="shared" ref="AL11:AL30" si="20">IF(AG11&lt;&gt;"",AJ11+AK11,"")</f>
        <v>67</v>
      </c>
      <c r="AM11" s="124">
        <v>11</v>
      </c>
      <c r="AN11" s="124">
        <v>3</v>
      </c>
      <c r="AO11" s="126"/>
      <c r="AP11" s="126" t="s">
        <v>163</v>
      </c>
      <c r="AQ11" s="124">
        <v>169</v>
      </c>
      <c r="AR11" s="124">
        <v>70</v>
      </c>
      <c r="AS11" s="127" t="s">
        <v>916</v>
      </c>
      <c r="AT11" s="124">
        <v>1998</v>
      </c>
      <c r="AU11" s="128">
        <f t="shared" ca="1" si="2"/>
        <v>27</v>
      </c>
      <c r="AV11" s="128" t="str">
        <f t="shared" si="3"/>
        <v>169/70</v>
      </c>
      <c r="AW11" s="129" t="str">
        <f t="shared" ca="1" si="4"/>
        <v>Ježek</v>
      </c>
      <c r="AX11" s="130" t="str">
        <f t="shared" ca="1" si="5"/>
        <v>2 OZ, 0 (0+0), -2 ±</v>
      </c>
      <c r="AY11" s="130" t="str">
        <f t="shared" ca="1" si="6"/>
        <v>204 OZ, 67 (36+31)</v>
      </c>
      <c r="AZ11" s="131"/>
      <c r="BA11" s="131"/>
      <c r="BB11" s="131"/>
      <c r="BC11" s="131"/>
      <c r="BD11" s="90" t="str">
        <f t="shared" si="7"/>
        <v>Ježek</v>
      </c>
      <c r="BE11" s="92">
        <f t="shared" ca="1" si="8"/>
        <v>1</v>
      </c>
      <c r="BF11" s="91" t="str">
        <f t="shared" si="9"/>
        <v>D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3"/>
        <v>0</v>
      </c>
      <c r="BK11" s="90" t="str">
        <f t="shared" ca="1" si="14"/>
        <v/>
      </c>
      <c r="BL11" s="91">
        <f t="shared" ca="1" si="15"/>
        <v>0</v>
      </c>
      <c r="BM11" s="90" t="str">
        <f t="shared" ca="1" si="16"/>
        <v/>
      </c>
      <c r="BN11" s="134"/>
      <c r="BO11" s="123"/>
      <c r="BP11" s="132"/>
      <c r="BQ11" s="133"/>
      <c r="BR11" s="128" t="str">
        <f t="shared" ca="1" si="17"/>
        <v/>
      </c>
      <c r="BS11" s="361"/>
      <c r="BV11" s="105" t="str">
        <f t="shared" si="18"/>
        <v/>
      </c>
      <c r="BW11" s="113" t="str">
        <f t="shared" si="19"/>
        <v/>
      </c>
      <c r="BX11" s="360"/>
      <c r="BY11" s="104" t="s">
        <v>1114</v>
      </c>
      <c r="BZ11" s="104" t="s">
        <v>102</v>
      </c>
      <c r="CA11" s="116" t="s">
        <v>226</v>
      </c>
    </row>
    <row r="12" spans="1:79" ht="15" customHeight="1" thickTop="1" thickBot="1" x14ac:dyDescent="0.25">
      <c r="A12" s="322" t="s">
        <v>130</v>
      </c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24" t="s">
        <v>7</v>
      </c>
      <c r="I12" s="324"/>
      <c r="J12" s="324"/>
      <c r="K12" s="324"/>
      <c r="M12" s="322" t="s">
        <v>0</v>
      </c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1" t="s">
        <v>15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140</v>
      </c>
      <c r="AH12" s="123">
        <v>38043</v>
      </c>
      <c r="AI12" s="124">
        <v>0</v>
      </c>
      <c r="AJ12" s="124">
        <v>0</v>
      </c>
      <c r="AK12" s="124">
        <v>0</v>
      </c>
      <c r="AL12" s="125">
        <f t="shared" si="20"/>
        <v>0</v>
      </c>
      <c r="AM12" s="124">
        <v>1</v>
      </c>
      <c r="AN12" s="124">
        <v>18</v>
      </c>
      <c r="AO12" s="126"/>
      <c r="AP12" s="126" t="s">
        <v>27</v>
      </c>
      <c r="AQ12" s="124">
        <v>180</v>
      </c>
      <c r="AR12" s="124">
        <v>78</v>
      </c>
      <c r="AS12" s="127" t="s">
        <v>5</v>
      </c>
      <c r="AT12" s="124">
        <v>2012</v>
      </c>
      <c r="AU12" s="128">
        <f t="shared" ca="1" si="2"/>
        <v>17</v>
      </c>
      <c r="AV12" s="128" t="str">
        <f t="shared" si="3"/>
        <v>180/78</v>
      </c>
      <c r="AW12" s="129" t="str">
        <f t="shared" ca="1" si="4"/>
        <v>Kellenberger</v>
      </c>
      <c r="AX12" s="130" t="str">
        <f t="shared" ca="1" si="5"/>
        <v>2 OZ, 0 (0+0), -1 ±</v>
      </c>
      <c r="AY12" s="130" t="str">
        <f t="shared" ca="1" si="6"/>
        <v>2 OZ, 0 (0+0)</v>
      </c>
      <c r="AZ12" s="131"/>
      <c r="BA12" s="131"/>
      <c r="BB12" s="131"/>
      <c r="BC12" s="131"/>
      <c r="BD12" s="3" t="str">
        <f t="shared" si="7"/>
        <v>Kellenberger</v>
      </c>
      <c r="BE12" s="85">
        <f t="shared" ca="1" si="8"/>
        <v>1</v>
      </c>
      <c r="BF12" s="62" t="str">
        <f t="shared" si="9"/>
        <v>R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3"/>
        <v>0</v>
      </c>
      <c r="BK12" s="3" t="str">
        <f t="shared" ca="1" si="14"/>
        <v/>
      </c>
      <c r="BL12" s="62">
        <f t="shared" ca="1" si="15"/>
        <v>0</v>
      </c>
      <c r="BM12" s="3" t="str">
        <f t="shared" ca="1" si="16"/>
        <v/>
      </c>
      <c r="BN12" s="8"/>
      <c r="BS12" s="361" t="s">
        <v>37</v>
      </c>
      <c r="BT12" s="105" t="s">
        <v>212</v>
      </c>
      <c r="BU12" s="104">
        <v>1</v>
      </c>
      <c r="BV12" s="105" t="str">
        <f t="shared" si="18"/>
        <v>Viktor Kopecký</v>
      </c>
      <c r="BW12" s="103">
        <f t="shared" si="19"/>
        <v>1</v>
      </c>
      <c r="BX12" s="117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25">
        <f ca="1">IFERROR(IF(VLOOKUP(A12,OFFSET($AG$2,,,COUNTIF($AG$2:$AG$50,"?*"),23),2,FALSE)&lt;&gt;0,YEAR(VLOOKUP(A12,OFFSET($AG$2,,,COUNTIF($AG$2:$AG$50,"?*"),23),2,FALSE)),""),"")</f>
        <v>1995</v>
      </c>
      <c r="C13" s="326"/>
      <c r="D13" s="5">
        <f ca="1">IFERROR(VLOOKUP(A12,OFFSET($AG$2,,,COUNTIF($AG$2:$AG$50,"?*"),23),15,FALSE),"")</f>
        <v>26</v>
      </c>
      <c r="E13" s="316" t="str">
        <f ca="1">IFERROR(VLOOKUP(A12,OFFSET($AG$2,,,COUNTIF($AG$2:$AG$50,"?*"),23),16,FALSE),"")</f>
        <v>191/78</v>
      </c>
      <c r="F13" s="317"/>
      <c r="M13" s="4" t="str">
        <f ca="1">IFERROR(IF(VLOOKUP(M12,OFFSET($AG$2,,,COUNTIF($AG$2:$AG$50,"?*"),23),10,FALSE)&lt;&gt;0,VLOOKUP(M12,OFFSET($AG$2,,,COUNTIF($AG$2:$AG$50,"?*"),23),10,FALSE),""),"")</f>
        <v>L</v>
      </c>
      <c r="N13" s="325">
        <f ca="1">IFERROR(IF(VLOOKUP(M12,OFFSET($AG$2,,,COUNTIF($AG$2:$AG$50,"?*"),23),2,FALSE)&lt;&gt;0,YEAR(VLOOKUP(M12,OFFSET($AG$2,,,COUNTIF($AG$2:$AG$50,"?*"),23),2,FALSE)),""),"")</f>
        <v>2003</v>
      </c>
      <c r="O13" s="326"/>
      <c r="P13" s="6">
        <f ca="1">IFERROR(VLOOKUP(M12,OFFSET($AG$2,,,COUNTIF($AG$2:$AG$50,"?*"),23),15,FALSE),"")</f>
        <v>18</v>
      </c>
      <c r="Q13" s="316" t="str">
        <f ca="1">IFERROR(VLOOKUP(M12,OFFSET($AG$2,,,COUNTIF($AG$2:$AG$50,"?*"),23),16,FALSE),"")</f>
        <v>185/71</v>
      </c>
      <c r="R13" s="317"/>
      <c r="S13" s="111" t="s">
        <v>132</v>
      </c>
      <c r="T13" s="103" t="s">
        <v>133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ANO</v>
      </c>
      <c r="AG13" s="122" t="s">
        <v>0</v>
      </c>
      <c r="AH13" s="123">
        <v>37777</v>
      </c>
      <c r="AI13" s="124">
        <v>20</v>
      </c>
      <c r="AJ13" s="124">
        <v>4</v>
      </c>
      <c r="AK13" s="124">
        <v>1</v>
      </c>
      <c r="AL13" s="125">
        <f t="shared" si="20"/>
        <v>5</v>
      </c>
      <c r="AM13" s="124">
        <v>2</v>
      </c>
      <c r="AN13" s="124">
        <v>63</v>
      </c>
      <c r="AO13" s="126"/>
      <c r="AP13" s="126" t="s">
        <v>163</v>
      </c>
      <c r="AQ13" s="124">
        <v>185</v>
      </c>
      <c r="AR13" s="124">
        <v>71</v>
      </c>
      <c r="AS13" s="127" t="s">
        <v>171</v>
      </c>
      <c r="AT13" s="124">
        <v>2009</v>
      </c>
      <c r="AU13" s="128">
        <f t="shared" ca="1" si="2"/>
        <v>18</v>
      </c>
      <c r="AV13" s="128" t="str">
        <f t="shared" si="3"/>
        <v>185/71</v>
      </c>
      <c r="AW13" s="129" t="str">
        <f t="shared" ca="1" si="4"/>
        <v>Klápa</v>
      </c>
      <c r="AX13" s="130" t="str">
        <f t="shared" ca="1" si="5"/>
        <v>2 OZ, 1 (1+0), -3 ±</v>
      </c>
      <c r="AY13" s="130" t="str">
        <f t="shared" ca="1" si="6"/>
        <v>22 OZ, 6 (5+1)</v>
      </c>
      <c r="AZ13" s="131"/>
      <c r="BA13" s="131"/>
      <c r="BB13" s="131"/>
      <c r="BC13" s="131"/>
      <c r="BD13" s="90" t="str">
        <f t="shared" si="7"/>
        <v>Klápa</v>
      </c>
      <c r="BE13" s="92">
        <f t="shared" ca="1" si="8"/>
        <v>1</v>
      </c>
      <c r="BF13" s="91" t="str">
        <f t="shared" si="9"/>
        <v>V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3"/>
        <v>0</v>
      </c>
      <c r="BK13" s="90" t="str">
        <f t="shared" ca="1" si="14"/>
        <v/>
      </c>
      <c r="BL13" s="91">
        <f t="shared" ca="1" si="15"/>
        <v>0</v>
      </c>
      <c r="BM13" s="90" t="str">
        <f t="shared" ca="1" si="16"/>
        <v/>
      </c>
      <c r="BN13" s="8"/>
      <c r="BS13" s="361"/>
      <c r="BT13" s="105" t="s">
        <v>213</v>
      </c>
      <c r="BU13" s="104">
        <v>1</v>
      </c>
      <c r="BV13" s="105" t="str">
        <f t="shared" si="18"/>
        <v>Vojtěch Klápa</v>
      </c>
      <c r="BW13" s="103">
        <f t="shared" si="19"/>
        <v>1</v>
      </c>
    </row>
    <row r="14" spans="1:79" ht="15" customHeight="1" thickTop="1" thickBot="1" x14ac:dyDescent="0.25">
      <c r="A14" s="318" t="str">
        <f ca="1">IFERROR(VLOOKUP(A12,OFFSET($AG$2,,,COUNTIF($AG$2:$AG$50,"?*"),23),18,FALSE),"")</f>
        <v>1 OZ, 1 (1+0), -3 ±</v>
      </c>
      <c r="B14" s="319"/>
      <c r="C14" s="319"/>
      <c r="D14" s="320" t="str">
        <f ca="1">IFERROR(VLOOKUP(A12,OFFSET($AG$2,,,COUNTIF($AG$2:$AG$50,"?*"),23),19,FALSE),"")</f>
        <v>104 OZ, 125 (85+40)</v>
      </c>
      <c r="E14" s="320"/>
      <c r="F14" s="321"/>
      <c r="G14" s="322" t="s">
        <v>3</v>
      </c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18" t="str">
        <f ca="1">IFERROR(VLOOKUP(M12,OFFSET($AG$2,,,COUNTIF($AG$2:$AG$50,"?*"),23),18,FALSE),"")</f>
        <v>2 OZ, 1 (1+0), -3 ±</v>
      </c>
      <c r="N14" s="319"/>
      <c r="O14" s="319"/>
      <c r="P14" s="320" t="str">
        <f ca="1">IFERROR(VLOOKUP(M12,OFFSET($AG$2,,,COUNTIF($AG$2:$AG$50,"?*"),23),19,FALSE),"")</f>
        <v>22 OZ, 6 (5+1)</v>
      </c>
      <c r="Q14" s="320"/>
      <c r="R14" s="321"/>
      <c r="S14" s="111" t="s">
        <v>137</v>
      </c>
      <c r="T14" s="103" t="s">
        <v>68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ANO</v>
      </c>
      <c r="AG14" s="122" t="s">
        <v>130</v>
      </c>
      <c r="AH14" s="123">
        <v>34883</v>
      </c>
      <c r="AI14" s="124">
        <v>103</v>
      </c>
      <c r="AJ14" s="124">
        <v>84</v>
      </c>
      <c r="AK14" s="124">
        <v>40</v>
      </c>
      <c r="AL14" s="125">
        <f t="shared" si="20"/>
        <v>124</v>
      </c>
      <c r="AM14" s="124">
        <v>8</v>
      </c>
      <c r="AN14" s="124">
        <v>17</v>
      </c>
      <c r="AO14" s="126"/>
      <c r="AP14" s="126" t="s">
        <v>163</v>
      </c>
      <c r="AQ14" s="124">
        <v>191</v>
      </c>
      <c r="AR14" s="124">
        <v>78</v>
      </c>
      <c r="AS14" s="127" t="s">
        <v>305</v>
      </c>
      <c r="AT14" s="124">
        <v>2008</v>
      </c>
      <c r="AU14" s="128">
        <f t="shared" ca="1" si="2"/>
        <v>26</v>
      </c>
      <c r="AV14" s="128" t="str">
        <f t="shared" si="3"/>
        <v>191/78</v>
      </c>
      <c r="AW14" s="129" t="str">
        <f t="shared" ca="1" si="4"/>
        <v>Kopecký</v>
      </c>
      <c r="AX14" s="130" t="str">
        <f t="shared" ca="1" si="5"/>
        <v>1 OZ, 1 (1+0), -3 ±</v>
      </c>
      <c r="AY14" s="130" t="str">
        <f t="shared" ca="1" si="6"/>
        <v>104 OZ, 125 (85+40)</v>
      </c>
      <c r="AZ14" s="131"/>
      <c r="BA14" s="131"/>
      <c r="BB14" s="131"/>
      <c r="BC14" s="131"/>
      <c r="BD14" s="3" t="str">
        <f t="shared" si="7"/>
        <v>Kopecký</v>
      </c>
      <c r="BE14" s="85">
        <f t="shared" ca="1" si="8"/>
        <v>1</v>
      </c>
      <c r="BF14" s="62" t="str">
        <f t="shared" si="9"/>
        <v>V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3"/>
        <v>0</v>
      </c>
      <c r="BK14" s="3" t="str">
        <f t="shared" ca="1" si="14"/>
        <v/>
      </c>
      <c r="BL14" s="62">
        <f t="shared" ca="1" si="15"/>
        <v>0</v>
      </c>
      <c r="BM14" s="3" t="str">
        <f t="shared" ca="1" si="16"/>
        <v/>
      </c>
      <c r="BN14" s="8"/>
      <c r="BS14" s="361"/>
      <c r="BT14" s="105" t="s">
        <v>922</v>
      </c>
      <c r="BU14" s="104">
        <v>1</v>
      </c>
      <c r="BV14" s="105" t="str">
        <f t="shared" si="18"/>
        <v>Zbyněk Stuchlík</v>
      </c>
      <c r="BW14" s="103">
        <f t="shared" si="19"/>
        <v>1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>Florbal Ústí</v>
      </c>
      <c r="B15" s="328"/>
      <c r="C15" s="329"/>
      <c r="D15" s="330">
        <f ca="1">IFERROR(IF(VLOOKUP(A12,OFFSET($AG$2,,,COUNTIF($AG$2:$AG$50,"?*"),23),14,FALSE)&lt;&gt;0,VLOOKUP(A12,OFFSET($AG$2,,,COUNTIF($AG$2:$AG$50,"?*"),23),14,FALSE),"?"),"")</f>
        <v>2008</v>
      </c>
      <c r="E15" s="331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25">
        <f ca="1">IFERROR(IF(VLOOKUP(G14,OFFSET($AG$2,,,COUNTIF($AG$2:$AG$50,"?*"),23),2,FALSE)&lt;&gt;0,YEAR(VLOOKUP(G14,OFFSET($AG$2,,,COUNTIF($AG$2:$AG$50,"?*"),23),2,FALSE)),""),"")</f>
        <v>1999</v>
      </c>
      <c r="I15" s="326"/>
      <c r="J15" s="5">
        <f ca="1">IFERROR(VLOOKUP(G14,OFFSET($AG$2,,,COUNTIF($AG$2:$AG$50,"?*"),23),15,FALSE),"")</f>
        <v>22</v>
      </c>
      <c r="K15" s="316" t="str">
        <f ca="1">IFERROR(VLOOKUP(G14,OFFSET($AG$2,,,COUNTIF($AG$2:$AG$50,"?*"),23),16,FALSE),"")</f>
        <v>184/81</v>
      </c>
      <c r="L15" s="317"/>
      <c r="M15" s="327" t="str">
        <f ca="1">IFERROR(IF(VLOOKUP(M12,OFFSET($AG$2,,,COUNTIF($AG$2:$AG$50,"?*"),23),13,FALSE)&lt;&gt;0,VLOOKUP(M12,OFFSET($AG$2,,,COUNTIF($AG$2:$AG$50,"?*"),23),13,FALSE),"?"),"")</f>
        <v>SK Florbal Benešov</v>
      </c>
      <c r="N15" s="328"/>
      <c r="O15" s="329"/>
      <c r="P15" s="330">
        <f ca="1">IFERROR(IF(VLOOKUP(M12,OFFSET($AG$2,,,COUNTIF($AG$2:$AG$50,"?*"),23),14,FALSE)&lt;&gt;0,VLOOKUP(M12,OFFSET($AG$2,,,COUNTIF($AG$2:$AG$50,"?*"),23),14,FALSE),"?"),"")</f>
        <v>2009</v>
      </c>
      <c r="Q15" s="331"/>
      <c r="R15" s="7">
        <f ca="1">IFERROR(IF(VLOOKUP(M12,OFFSET($AG$2,,,COUNTIF($AG$2:$AG$50,"?*"),23),7,FALSE)&lt;&gt;0,VLOOKUP(M12,OFFSET($AG$2,,,COUNTIF($AG$2:$AG$50,"?*"),23),7,FALSE),"?"),"")</f>
        <v>2</v>
      </c>
      <c r="S15" s="111" t="s">
        <v>19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-1</v>
      </c>
      <c r="AC15" s="103" t="str">
        <f t="shared" ca="1" si="0"/>
        <v>ANO</v>
      </c>
      <c r="AG15" s="122" t="s">
        <v>172</v>
      </c>
      <c r="AH15" s="123">
        <v>32114</v>
      </c>
      <c r="AI15" s="124">
        <v>38</v>
      </c>
      <c r="AJ15" s="124">
        <v>7</v>
      </c>
      <c r="AK15" s="124">
        <v>4</v>
      </c>
      <c r="AL15" s="125">
        <f t="shared" si="20"/>
        <v>11</v>
      </c>
      <c r="AM15" s="124">
        <v>4</v>
      </c>
      <c r="AN15" s="124">
        <v>94</v>
      </c>
      <c r="AO15" s="126"/>
      <c r="AP15" s="126" t="s">
        <v>163</v>
      </c>
      <c r="AQ15" s="124">
        <v>173</v>
      </c>
      <c r="AR15" s="124">
        <v>70</v>
      </c>
      <c r="AS15" s="127" t="s">
        <v>173</v>
      </c>
      <c r="AT15" s="124">
        <v>1994</v>
      </c>
      <c r="AU15" s="128">
        <f t="shared" ca="1" si="2"/>
        <v>33</v>
      </c>
      <c r="AV15" s="128" t="str">
        <f t="shared" si="3"/>
        <v>173/70</v>
      </c>
      <c r="AW15" s="129" t="str">
        <f t="shared" ca="1" si="4"/>
        <v>Králík</v>
      </c>
      <c r="AX15" s="130" t="str">
        <f t="shared" ca="1" si="5"/>
        <v>0 OZ, 0 (0+0)</v>
      </c>
      <c r="AY15" s="130" t="str">
        <f t="shared" ca="1" si="6"/>
        <v>38 OZ, 11 (7+4)</v>
      </c>
      <c r="AZ15" s="131"/>
      <c r="BA15" s="131"/>
      <c r="BB15" s="131"/>
      <c r="BC15" s="131"/>
      <c r="BD15" s="90" t="str">
        <f t="shared" si="7"/>
        <v>Králík</v>
      </c>
      <c r="BE15" s="92">
        <f t="shared" ca="1" si="8"/>
        <v>1</v>
      </c>
      <c r="BF15" s="91" t="str">
        <f t="shared" si="9"/>
        <v>J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3"/>
        <v>0</v>
      </c>
      <c r="BK15" s="90" t="str">
        <f t="shared" ca="1" si="14"/>
        <v/>
      </c>
      <c r="BL15" s="91">
        <f t="shared" ca="1" si="15"/>
        <v>0</v>
      </c>
      <c r="BM15" s="90" t="str">
        <f t="shared" ca="1" si="16"/>
        <v/>
      </c>
      <c r="BN15" s="8"/>
      <c r="BS15" s="361"/>
      <c r="BT15" s="105" t="s">
        <v>923</v>
      </c>
      <c r="BU15" s="104">
        <v>0</v>
      </c>
      <c r="BV15" s="105" t="str">
        <f t="shared" si="18"/>
        <v>Daniel Cabejšek</v>
      </c>
      <c r="BW15" s="103">
        <f t="shared" si="19"/>
        <v>0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>2 OZ, 1 (0+1), -2 ±</v>
      </c>
      <c r="H16" s="319"/>
      <c r="I16" s="319"/>
      <c r="J16" s="320" t="str">
        <f ca="1">IFERROR(VLOOKUP(G14,OFFSET($AG$2,,,COUNTIF($AG$2:$AG$50,"?*"),23),19,FALSE),"")</f>
        <v>125 OZ, 71 (38+33)</v>
      </c>
      <c r="K16" s="320"/>
      <c r="L16" s="321"/>
      <c r="R16" s="13"/>
      <c r="S16" s="111" t="s">
        <v>17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-3</v>
      </c>
      <c r="AC16" s="103" t="str">
        <f t="shared" ca="1" si="0"/>
        <v>ANO</v>
      </c>
      <c r="AG16" s="122" t="s">
        <v>174</v>
      </c>
      <c r="AH16" s="123">
        <v>32379</v>
      </c>
      <c r="AI16" s="124">
        <v>96</v>
      </c>
      <c r="AJ16" s="124">
        <v>10</v>
      </c>
      <c r="AK16" s="124">
        <v>8</v>
      </c>
      <c r="AL16" s="125">
        <f t="shared" si="20"/>
        <v>18</v>
      </c>
      <c r="AM16" s="124">
        <v>7</v>
      </c>
      <c r="AN16" s="124">
        <v>19</v>
      </c>
      <c r="AO16" s="126" t="s">
        <v>180</v>
      </c>
      <c r="AP16" s="126" t="s">
        <v>27</v>
      </c>
      <c r="AQ16" s="124">
        <v>187</v>
      </c>
      <c r="AR16" s="124">
        <v>92</v>
      </c>
      <c r="AS16" s="127" t="s">
        <v>175</v>
      </c>
      <c r="AT16" s="124">
        <v>2000</v>
      </c>
      <c r="AU16" s="128">
        <f t="shared" ca="1" si="2"/>
        <v>33</v>
      </c>
      <c r="AV16" s="128" t="str">
        <f t="shared" si="3"/>
        <v>187/92</v>
      </c>
      <c r="AW16" s="129" t="str">
        <f t="shared" ca="1" si="4"/>
        <v>Lanc</v>
      </c>
      <c r="AX16" s="130" t="str">
        <f t="shared" ca="1" si="5"/>
        <v>1 OZ, 0 (0+0), 0 ±</v>
      </c>
      <c r="AY16" s="130" t="str">
        <f t="shared" ca="1" si="6"/>
        <v>97 OZ, 18 (10+8)</v>
      </c>
      <c r="AZ16" s="131"/>
      <c r="BA16" s="131"/>
      <c r="BB16" s="131"/>
      <c r="BC16" s="131"/>
      <c r="BD16" s="3" t="str">
        <f t="shared" si="7"/>
        <v>Lanc</v>
      </c>
      <c r="BE16" s="85">
        <f t="shared" ca="1" si="8"/>
        <v>1</v>
      </c>
      <c r="BF16" s="62" t="str">
        <f t="shared" si="9"/>
        <v>L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3"/>
        <v>0</v>
      </c>
      <c r="BK16" s="3" t="str">
        <f t="shared" ca="1" si="14"/>
        <v/>
      </c>
      <c r="BL16" s="62">
        <f t="shared" ca="1" si="15"/>
        <v>0</v>
      </c>
      <c r="BM16" s="3" t="str">
        <f t="shared" ca="1" si="16"/>
        <v/>
      </c>
      <c r="BN16" s="8"/>
      <c r="BS16" s="361"/>
      <c r="BT16" s="105" t="s">
        <v>214</v>
      </c>
      <c r="BU16" s="104">
        <v>0</v>
      </c>
      <c r="BV16" s="105" t="str">
        <f t="shared" si="18"/>
        <v>David Ježek</v>
      </c>
      <c r="BW16" s="103">
        <f t="shared" si="19"/>
        <v>0</v>
      </c>
    </row>
    <row r="17" spans="1:75" ht="15" customHeight="1" thickTop="1" thickBot="1" x14ac:dyDescent="0.25">
      <c r="A17" s="322" t="s">
        <v>4</v>
      </c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27" t="str">
        <f ca="1">IFERROR(IF(VLOOKUP(G14,OFFSET($AG$2,,,COUNTIF($AG$2:$AG$50,"?*"),23),13,FALSE)&lt;&gt;0,VLOOKUP(G14,OFFSET($AG$2,,,COUNTIF($AG$2:$AG$50,"?*"),23),13,FALSE),"?"),"")</f>
        <v>Black Angels</v>
      </c>
      <c r="H17" s="328"/>
      <c r="I17" s="329"/>
      <c r="J17" s="330">
        <f ca="1">IFERROR(IF(VLOOKUP(G14,OFFSET($AG$2,,,COUNTIF($AG$2:$AG$50,"?*"),23),14,FALSE)&lt;&gt;0,VLOOKUP(G14,OFFSET($AG$2,,,COUNTIF($AG$2:$AG$50,"?*"),23),14,FALSE),"?"),"")</f>
        <v>2008</v>
      </c>
      <c r="K17" s="331"/>
      <c r="L17" s="7">
        <f ca="1">IFERROR(IF(VLOOKUP(G14,OFFSET($AG$2,,,COUNTIF($AG$2:$AG$50,"?*"),23),7,FALSE)&lt;&gt;0,VLOOKUP(G14,OFFSET($AG$2,,,COUNTIF($AG$2:$AG$50,"?*"),23),7,FALSE),"?"),"")</f>
        <v>6</v>
      </c>
      <c r="M17" s="322" t="s">
        <v>137</v>
      </c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1" t="s">
        <v>134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-2</v>
      </c>
      <c r="AC17" s="103" t="str">
        <f t="shared" ca="1" si="0"/>
        <v>ANO</v>
      </c>
      <c r="AG17" s="122" t="s">
        <v>176</v>
      </c>
      <c r="AH17" s="123">
        <v>31929</v>
      </c>
      <c r="AI17" s="124">
        <v>67</v>
      </c>
      <c r="AJ17" s="124">
        <v>19</v>
      </c>
      <c r="AK17" s="124">
        <v>20</v>
      </c>
      <c r="AL17" s="125">
        <f t="shared" si="20"/>
        <v>39</v>
      </c>
      <c r="AM17" s="124">
        <v>6</v>
      </c>
      <c r="AN17" s="124">
        <v>10</v>
      </c>
      <c r="AO17" s="126"/>
      <c r="AP17" s="126" t="s">
        <v>27</v>
      </c>
      <c r="AQ17" s="124">
        <v>179</v>
      </c>
      <c r="AR17" s="124">
        <v>82</v>
      </c>
      <c r="AS17" s="127" t="s">
        <v>177</v>
      </c>
      <c r="AT17" s="124">
        <v>1997</v>
      </c>
      <c r="AU17" s="128">
        <f t="shared" ca="1" si="2"/>
        <v>34</v>
      </c>
      <c r="AV17" s="128" t="str">
        <f t="shared" si="3"/>
        <v>179/82</v>
      </c>
      <c r="AW17" s="129" t="str">
        <f t="shared" ca="1" si="4"/>
        <v>Linhart</v>
      </c>
      <c r="AX17" s="130" t="str">
        <f t="shared" ca="1" si="5"/>
        <v>0 OZ, 0 (0+0)</v>
      </c>
      <c r="AY17" s="130" t="str">
        <f t="shared" ca="1" si="6"/>
        <v>67 OZ, 39 (19+20)</v>
      </c>
      <c r="AZ17" s="131"/>
      <c r="BA17" s="131"/>
      <c r="BB17" s="131"/>
      <c r="BC17" s="131"/>
      <c r="BD17" s="90" t="str">
        <f t="shared" si="7"/>
        <v>Linhart</v>
      </c>
      <c r="BE17" s="92">
        <f t="shared" ca="1" si="8"/>
        <v>1</v>
      </c>
      <c r="BF17" s="91" t="str">
        <f t="shared" si="9"/>
        <v>J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3"/>
        <v>0</v>
      </c>
      <c r="BK17" s="90" t="str">
        <f t="shared" ca="1" si="14"/>
        <v/>
      </c>
      <c r="BL17" s="91">
        <f t="shared" ca="1" si="15"/>
        <v>0</v>
      </c>
      <c r="BM17" s="90" t="str">
        <f t="shared" ca="1" si="16"/>
        <v/>
      </c>
      <c r="BN17" s="8"/>
      <c r="BS17" s="361" t="s">
        <v>41</v>
      </c>
      <c r="BT17" s="105" t="s">
        <v>925</v>
      </c>
      <c r="BU17" s="104">
        <v>0</v>
      </c>
      <c r="BV17" s="105" t="str">
        <f t="shared" si="18"/>
        <v>Karel Šantora</v>
      </c>
      <c r="BW17" s="103">
        <f t="shared" si="19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25">
        <f ca="1">IFERROR(IF(VLOOKUP(A17,OFFSET($AG$2,,,COUNTIF($AG$2:$AG$50,"?*"),23),2,FALSE)&lt;&gt;0,YEAR(VLOOKUP(A17,OFFSET($AG$2,,,COUNTIF($AG$2:$AG$50,"?*"),23),2,FALSE)),""),"")</f>
        <v>1999</v>
      </c>
      <c r="C18" s="326"/>
      <c r="D18" s="151">
        <f ca="1">IFERROR(VLOOKUP(A17,OFFSET($AG$2,,,COUNTIF($AG$2:$AG$50,"?*"),23),15,FALSE),"")</f>
        <v>22</v>
      </c>
      <c r="E18" s="316" t="str">
        <f ca="1">IFERROR(VLOOKUP(A17,OFFSET($AG$2,,,COUNTIF($AG$2:$AG$50,"?*"),23),16,FALSE),"")</f>
        <v>181/82</v>
      </c>
      <c r="F18" s="317"/>
      <c r="M18" s="4" t="str">
        <f ca="1">IFERROR(IF(VLOOKUP(M17,OFFSET($AG$2,,,COUNTIF($AG$2:$AG$50,"?*"),23),10,FALSE)&lt;&gt;0,VLOOKUP(M17,OFFSET($AG$2,,,COUNTIF($AG$2:$AG$50,"?*"),23),10,FALSE),""),"")</f>
        <v>L</v>
      </c>
      <c r="N18" s="325">
        <f ca="1">IFERROR(IF(VLOOKUP(M17,OFFSET($AG$2,,,COUNTIF($AG$2:$AG$50,"?*"),23),2,FALSE)&lt;&gt;0,YEAR(VLOOKUP(M17,OFFSET($AG$2,,,COUNTIF($AG$2:$AG$50,"?*"),23),2,FALSE)),""),"")</f>
        <v>1993</v>
      </c>
      <c r="O18" s="326"/>
      <c r="P18" s="6">
        <f ca="1">IFERROR(VLOOKUP(M17,OFFSET($AG$2,,,COUNTIF($AG$2:$AG$50,"?*"),23),15,FALSE),"")</f>
        <v>27</v>
      </c>
      <c r="Q18" s="316" t="str">
        <f ca="1">IFERROR(VLOOKUP(M17,OFFSET($AG$2,,,COUNTIF($AG$2:$AG$50,"?*"),23),16,FALSE),"")</f>
        <v>169/70</v>
      </c>
      <c r="R18" s="317"/>
      <c r="S18" s="111" t="s">
        <v>14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-3</v>
      </c>
      <c r="AC18" s="103" t="str">
        <f t="shared" ca="1" si="0"/>
        <v>ANO</v>
      </c>
      <c r="AG18" s="122" t="s">
        <v>18</v>
      </c>
      <c r="AH18" s="123">
        <v>37561</v>
      </c>
      <c r="AI18" s="124">
        <v>1</v>
      </c>
      <c r="AJ18" s="124">
        <v>0</v>
      </c>
      <c r="AK18" s="124">
        <v>0</v>
      </c>
      <c r="AL18" s="125">
        <f t="shared" si="20"/>
        <v>0</v>
      </c>
      <c r="AM18" s="124">
        <v>2</v>
      </c>
      <c r="AN18" s="124">
        <v>88</v>
      </c>
      <c r="AO18" s="126"/>
      <c r="AP18" s="126"/>
      <c r="AQ18" s="124">
        <v>180</v>
      </c>
      <c r="AR18" s="124">
        <v>83</v>
      </c>
      <c r="AS18" s="127" t="s">
        <v>5</v>
      </c>
      <c r="AT18" s="124">
        <v>2011</v>
      </c>
      <c r="AU18" s="128">
        <f t="shared" ca="1" si="2"/>
        <v>18</v>
      </c>
      <c r="AV18" s="128" t="str">
        <f t="shared" si="3"/>
        <v>180/83</v>
      </c>
      <c r="AW18" s="129" t="str">
        <f t="shared" ca="1" si="4"/>
        <v>Lorenc</v>
      </c>
      <c r="AX18" s="130" t="str">
        <f t="shared" ca="1" si="5"/>
        <v>0 OZ, 0 (0+0)</v>
      </c>
      <c r="AY18" s="130" t="str">
        <f t="shared" ca="1" si="6"/>
        <v>1 OZ, 0 (0+0)</v>
      </c>
      <c r="AZ18" s="131"/>
      <c r="BA18" s="131"/>
      <c r="BB18" s="131"/>
      <c r="BC18" s="131"/>
      <c r="BD18" s="3" t="str">
        <f t="shared" si="7"/>
        <v>Lorenc</v>
      </c>
      <c r="BE18" s="85">
        <f t="shared" ca="1" si="8"/>
        <v>1</v>
      </c>
      <c r="BF18" s="62" t="str">
        <f t="shared" si="9"/>
        <v>M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3"/>
        <v>0</v>
      </c>
      <c r="BK18" s="3" t="str">
        <f t="shared" ca="1" si="14"/>
        <v/>
      </c>
      <c r="BL18" s="62">
        <f t="shared" ca="1" si="15"/>
        <v>0</v>
      </c>
      <c r="BM18" s="3" t="str">
        <f t="shared" ca="1" si="16"/>
        <v/>
      </c>
      <c r="BN18" s="8"/>
      <c r="BS18" s="361"/>
      <c r="BT18" s="105" t="s">
        <v>927</v>
      </c>
      <c r="BU18" s="104">
        <v>0</v>
      </c>
      <c r="BV18" s="105" t="str">
        <f t="shared" si="18"/>
        <v>Petr Musil</v>
      </c>
      <c r="BW18" s="103">
        <f t="shared" si="19"/>
        <v>0</v>
      </c>
    </row>
    <row r="19" spans="1:75" ht="15" customHeight="1" x14ac:dyDescent="0.2">
      <c r="A19" s="318" t="str">
        <f ca="1">IFERROR(VLOOKUP(A17,OFFSET($AG$2,,,COUNTIF($AG$2:$AG$50,"?*"),23),18,FALSE),"")</f>
        <v>2 OZ, 1 (0+1), -2 ±</v>
      </c>
      <c r="B19" s="319"/>
      <c r="C19" s="319"/>
      <c r="D19" s="320" t="str">
        <f ca="1">IFERROR(VLOOKUP(A17,OFFSET($AG$2,,,COUNTIF($AG$2:$AG$50,"?*"),23),19,FALSE),"")</f>
        <v>26 OZ, 2 (0+2)</v>
      </c>
      <c r="E19" s="320"/>
      <c r="F19" s="321"/>
      <c r="H19" s="332" t="str">
        <f>H$8</f>
        <v>SKV</v>
      </c>
      <c r="I19" s="332"/>
      <c r="J19" s="332"/>
      <c r="K19" s="332"/>
      <c r="M19" s="318" t="str">
        <f ca="1">IFERROR(VLOOKUP(M17,OFFSET($AG$2,,,COUNTIF($AG$2:$AG$50,"?*"),23),18,FALSE),"")</f>
        <v>2 OZ, 0 (0+0), -2 ±</v>
      </c>
      <c r="N19" s="319"/>
      <c r="O19" s="319"/>
      <c r="P19" s="320" t="str">
        <f ca="1">IFERROR(VLOOKUP(M17,OFFSET($AG$2,,,COUNTIF($AG$2:$AG$50,"?*"),23),19,FALSE),"")</f>
        <v>204 OZ, 67 (36+31)</v>
      </c>
      <c r="Q19" s="320"/>
      <c r="R19" s="321"/>
      <c r="S19" s="111" t="s">
        <v>138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135</v>
      </c>
      <c r="AH19" s="123">
        <v>36650</v>
      </c>
      <c r="AI19" s="124">
        <v>13</v>
      </c>
      <c r="AJ19" s="124">
        <v>0</v>
      </c>
      <c r="AK19" s="124">
        <v>1</v>
      </c>
      <c r="AL19" s="125">
        <f t="shared" si="20"/>
        <v>1</v>
      </c>
      <c r="AM19" s="124">
        <v>3</v>
      </c>
      <c r="AN19" s="124">
        <v>78</v>
      </c>
      <c r="AO19" s="126"/>
      <c r="AP19" s="126" t="s">
        <v>163</v>
      </c>
      <c r="AQ19" s="124">
        <v>191</v>
      </c>
      <c r="AR19" s="124">
        <v>86</v>
      </c>
      <c r="AS19" s="127" t="s">
        <v>5</v>
      </c>
      <c r="AT19" s="124">
        <v>2014</v>
      </c>
      <c r="AU19" s="128">
        <f t="shared" ca="1" si="2"/>
        <v>21</v>
      </c>
      <c r="AV19" s="128" t="str">
        <f t="shared" si="3"/>
        <v>191/86</v>
      </c>
      <c r="AW19" s="129" t="str">
        <f t="shared" ca="1" si="4"/>
        <v>Máca</v>
      </c>
      <c r="AX19" s="130" t="str">
        <f t="shared" ca="1" si="5"/>
        <v>1 OZ, 0 (0+0), -2 ±</v>
      </c>
      <c r="AY19" s="130" t="str">
        <f t="shared" ca="1" si="6"/>
        <v>14 OZ, 1 (0+1)</v>
      </c>
      <c r="AZ19" s="131"/>
      <c r="BA19" s="131"/>
      <c r="BB19" s="131"/>
      <c r="BC19" s="131"/>
      <c r="BD19" s="90" t="str">
        <f t="shared" si="7"/>
        <v>Máca</v>
      </c>
      <c r="BE19" s="92">
        <f t="shared" ca="1" si="8"/>
        <v>1</v>
      </c>
      <c r="BF19" s="91" t="str">
        <f t="shared" si="9"/>
        <v>V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3"/>
        <v>0</v>
      </c>
      <c r="BK19" s="90" t="str">
        <f t="shared" ca="1" si="14"/>
        <v/>
      </c>
      <c r="BL19" s="91">
        <f t="shared" ca="1" si="15"/>
        <v>0</v>
      </c>
      <c r="BM19" s="90" t="str">
        <f t="shared" ca="1" si="16"/>
        <v/>
      </c>
      <c r="BN19" s="8"/>
      <c r="BS19" s="361"/>
      <c r="BV19" s="105" t="str">
        <f t="shared" si="18"/>
        <v/>
      </c>
      <c r="BW19" s="103" t="str">
        <f t="shared" si="19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>Bohemians</v>
      </c>
      <c r="B20" s="328"/>
      <c r="C20" s="329"/>
      <c r="D20" s="330">
        <f ca="1">IFERROR(IF(VLOOKUP(A17,OFFSET($AG$2,,,COUNTIF($AG$2:$AG$50,"?*"),23),14,FALSE)&lt;&gt;0,VLOOKUP(A17,OFFSET($AG$2,,,COUNTIF($AG$2:$AG$50,"?*"),23),14,FALSE),"?"),"")</f>
        <v>2009</v>
      </c>
      <c r="E20" s="331"/>
      <c r="F20" s="7">
        <f ca="1">IFERROR(IF(VLOOKUP(A17,OFFSET($AG$2,,,COUNTIF($AG$2:$AG$50,"?*"),23),7,FALSE)&lt;&gt;0,VLOOKUP(A17,OFFSET($AG$2,,,COUNTIF($AG$2:$AG$50,"?*"),23),7,FALSE),"?"),"")</f>
        <v>2</v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>SKF Draci 99 Liberec</v>
      </c>
      <c r="N20" s="328"/>
      <c r="O20" s="329"/>
      <c r="P20" s="330">
        <f ca="1">IFERROR(IF(VLOOKUP(M17,OFFSET($AG$2,,,COUNTIF($AG$2:$AG$50,"?*"),23),14,FALSE)&lt;&gt;0,VLOOKUP(M17,OFFSET($AG$2,,,COUNTIF($AG$2:$AG$50,"?*"),23),14,FALSE),"?"),"")</f>
        <v>1998</v>
      </c>
      <c r="Q20" s="331"/>
      <c r="R20" s="7">
        <f ca="1">IFERROR(IF(VLOOKUP(M17,OFFSET($AG$2,,,COUNTIF($AG$2:$AG$50,"?*"),23),7,FALSE)&lt;&gt;0,VLOOKUP(M17,OFFSET($AG$2,,,COUNTIF($AG$2:$AG$50,"?*"),23),7,FALSE),"?"),"")</f>
        <v>11</v>
      </c>
      <c r="S20" s="111" t="s">
        <v>136</v>
      </c>
      <c r="T20" s="103" t="s">
        <v>131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136</v>
      </c>
      <c r="AH20" s="123">
        <v>36001</v>
      </c>
      <c r="AI20" s="124">
        <v>37</v>
      </c>
      <c r="AJ20" s="124">
        <v>0</v>
      </c>
      <c r="AK20" s="124">
        <v>0</v>
      </c>
      <c r="AL20" s="125">
        <f t="shared" si="20"/>
        <v>0</v>
      </c>
      <c r="AM20" s="124">
        <v>6</v>
      </c>
      <c r="AN20" s="124">
        <v>80</v>
      </c>
      <c r="AO20" s="126"/>
      <c r="AP20" s="126"/>
      <c r="AQ20" s="124">
        <v>175</v>
      </c>
      <c r="AR20" s="124">
        <v>69</v>
      </c>
      <c r="AS20" s="127" t="s">
        <v>306</v>
      </c>
      <c r="AT20" s="124">
        <v>2012</v>
      </c>
      <c r="AU20" s="128">
        <f t="shared" ca="1" si="2"/>
        <v>23</v>
      </c>
      <c r="AV20" s="128" t="str">
        <f t="shared" si="3"/>
        <v>175/69</v>
      </c>
      <c r="AW20" s="129" t="str">
        <f t="shared" ca="1" si="4"/>
        <v>Musil</v>
      </c>
      <c r="AX20" s="130" t="str">
        <f t="shared" ca="1" si="5"/>
        <v>0 V, 1 P</v>
      </c>
      <c r="AY20" s="130" t="str">
        <f t="shared" ca="1" si="6"/>
        <v>38 OZ, 0 A</v>
      </c>
      <c r="AZ20" s="131"/>
      <c r="BA20" s="131"/>
      <c r="BB20" s="131"/>
      <c r="BC20" s="131"/>
      <c r="BD20" s="3" t="str">
        <f t="shared" si="7"/>
        <v>Musil</v>
      </c>
      <c r="BE20" s="85">
        <f t="shared" ca="1" si="8"/>
        <v>1</v>
      </c>
      <c r="BF20" s="62" t="str">
        <f t="shared" si="9"/>
        <v>P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3"/>
        <v>0</v>
      </c>
      <c r="BK20" s="3" t="str">
        <f t="shared" ca="1" si="14"/>
        <v/>
      </c>
      <c r="BL20" s="62">
        <f t="shared" ca="1" si="15"/>
        <v>0</v>
      </c>
      <c r="BM20" s="3" t="str">
        <f t="shared" ca="1" si="16"/>
        <v/>
      </c>
      <c r="BN20" s="8"/>
      <c r="BS20" s="361"/>
      <c r="BV20" s="105" t="str">
        <f t="shared" si="18"/>
        <v/>
      </c>
      <c r="BW20" s="103" t="str">
        <f t="shared" si="19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6"/>
      <c r="S21" s="111" t="s">
        <v>11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-4</v>
      </c>
      <c r="AC21" s="103" t="str">
        <f ca="1">IF(S21&lt;&gt;"",IFERROR(IF(VLOOKUP(S21,OFFSET($AG$2,,,COUNTIF($AG$2:$AG$50,"?*")),1,FALSE)&lt;&gt;0,"ANO","NE"),"NE"),"")</f>
        <v>ANO</v>
      </c>
      <c r="AG21" s="122" t="s">
        <v>19</v>
      </c>
      <c r="AH21" s="123">
        <v>37455</v>
      </c>
      <c r="AI21" s="124">
        <v>18</v>
      </c>
      <c r="AJ21" s="124">
        <v>2</v>
      </c>
      <c r="AK21" s="124">
        <v>1</v>
      </c>
      <c r="AL21" s="125">
        <f t="shared" si="20"/>
        <v>3</v>
      </c>
      <c r="AM21" s="124">
        <v>2</v>
      </c>
      <c r="AN21" s="124">
        <v>81</v>
      </c>
      <c r="AO21" s="126"/>
      <c r="AP21" s="126" t="s">
        <v>163</v>
      </c>
      <c r="AQ21" s="124">
        <v>187</v>
      </c>
      <c r="AR21" s="124">
        <v>61</v>
      </c>
      <c r="AS21" s="127" t="s">
        <v>5</v>
      </c>
      <c r="AT21" s="124">
        <v>2013</v>
      </c>
      <c r="AU21" s="128">
        <f t="shared" ca="1" si="2"/>
        <v>19</v>
      </c>
      <c r="AV21" s="128" t="str">
        <f t="shared" si="3"/>
        <v>187/61</v>
      </c>
      <c r="AW21" s="129" t="str">
        <f t="shared" ca="1" si="4"/>
        <v>Paštika</v>
      </c>
      <c r="AX21" s="130" t="str">
        <f t="shared" ca="1" si="5"/>
        <v>2 OZ, 0 (0+0), -1 ±</v>
      </c>
      <c r="AY21" s="130" t="str">
        <f t="shared" ca="1" si="6"/>
        <v>20 OZ, 3 (2+1)</v>
      </c>
      <c r="AZ21" s="131"/>
      <c r="BA21" s="131"/>
      <c r="BB21" s="131"/>
      <c r="BC21" s="131"/>
      <c r="BD21" s="90" t="str">
        <f t="shared" si="7"/>
        <v>Paštika</v>
      </c>
      <c r="BE21" s="92">
        <f t="shared" ca="1" si="8"/>
        <v>1</v>
      </c>
      <c r="BF21" s="91" t="str">
        <f t="shared" si="9"/>
        <v>M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3"/>
        <v>0</v>
      </c>
      <c r="BK21" s="90" t="str">
        <f t="shared" ca="1" si="14"/>
        <v/>
      </c>
      <c r="BL21" s="91">
        <f t="shared" ca="1" si="15"/>
        <v>0</v>
      </c>
      <c r="BM21" s="90" t="str">
        <f t="shared" ca="1" si="16"/>
        <v/>
      </c>
      <c r="BN21" s="8"/>
      <c r="BS21" s="361"/>
      <c r="BV21" s="105" t="str">
        <f t="shared" si="18"/>
        <v/>
      </c>
      <c r="BW21" s="103" t="str">
        <f t="shared" si="19"/>
        <v/>
      </c>
    </row>
    <row r="22" spans="1:75" ht="15" customHeight="1" thickTop="1" thickBot="1" x14ac:dyDescent="0.25">
      <c r="S22" s="111" t="s">
        <v>140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-1</v>
      </c>
      <c r="AC22" s="103" t="str">
        <f t="shared" ref="AC22:AC42" ca="1" si="21">IF(S22&lt;&gt;"",IFERROR(IF(VLOOKUP(S22,OFFSET($AG$2,,,COUNTIF($AG$2:$AG$50,"?*")),1,FALSE)&lt;&gt;0,"ANO","NE"),"NE"),"")</f>
        <v>ANO</v>
      </c>
      <c r="AG22" s="122" t="s">
        <v>134</v>
      </c>
      <c r="AH22" s="123">
        <v>36551</v>
      </c>
      <c r="AI22" s="124">
        <v>12</v>
      </c>
      <c r="AJ22" s="124">
        <v>0</v>
      </c>
      <c r="AK22" s="124">
        <v>1</v>
      </c>
      <c r="AL22" s="125">
        <f t="shared" si="20"/>
        <v>1</v>
      </c>
      <c r="AM22" s="124">
        <v>4</v>
      </c>
      <c r="AN22" s="124">
        <v>84</v>
      </c>
      <c r="AO22" s="126"/>
      <c r="AP22" s="126" t="s">
        <v>27</v>
      </c>
      <c r="AQ22" s="124">
        <v>180</v>
      </c>
      <c r="AR22" s="124">
        <v>72</v>
      </c>
      <c r="AS22" s="127" t="s">
        <v>472</v>
      </c>
      <c r="AT22" s="124">
        <v>2010</v>
      </c>
      <c r="AU22" s="128">
        <f t="shared" ca="1" si="2"/>
        <v>21</v>
      </c>
      <c r="AV22" s="128" t="str">
        <f t="shared" si="3"/>
        <v>180/72</v>
      </c>
      <c r="AW22" s="129" t="str">
        <f t="shared" ca="1" si="4"/>
        <v>Pergler</v>
      </c>
      <c r="AX22" s="130" t="str">
        <f t="shared" ca="1" si="5"/>
        <v>2 OZ, 0 (0+0), -2 ±</v>
      </c>
      <c r="AY22" s="130" t="str">
        <f t="shared" ca="1" si="6"/>
        <v>14 OZ, 1 (0+1)</v>
      </c>
      <c r="AZ22" s="131"/>
      <c r="BA22" s="131"/>
      <c r="BB22" s="131"/>
      <c r="BC22" s="131"/>
      <c r="BD22" s="3" t="str">
        <f t="shared" si="7"/>
        <v>Pergler</v>
      </c>
      <c r="BE22" s="85">
        <f t="shared" ca="1" si="8"/>
        <v>1</v>
      </c>
      <c r="BF22" s="62" t="str">
        <f t="shared" si="9"/>
        <v>I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3"/>
        <v>0</v>
      </c>
      <c r="BK22" s="3" t="str">
        <f t="shared" ca="1" si="14"/>
        <v/>
      </c>
      <c r="BL22" s="62">
        <f t="shared" ca="1" si="15"/>
        <v>0</v>
      </c>
      <c r="BM22" s="3" t="str">
        <f t="shared" ca="1" si="16"/>
        <v/>
      </c>
      <c r="BN22" s="8"/>
      <c r="BS22" s="361" t="s">
        <v>38</v>
      </c>
      <c r="BT22" s="105" t="s">
        <v>219</v>
      </c>
      <c r="BU22" s="104">
        <v>1</v>
      </c>
      <c r="BV22" s="105" t="str">
        <f t="shared" si="18"/>
        <v>Daniel Cabejšek</v>
      </c>
      <c r="BW22" s="103">
        <f t="shared" si="19"/>
        <v>1</v>
      </c>
    </row>
    <row r="23" spans="1:75" ht="15" customHeight="1" thickTop="1" thickBot="1" x14ac:dyDescent="0.25">
      <c r="A23" s="322" t="s">
        <v>132</v>
      </c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24" t="s">
        <v>13</v>
      </c>
      <c r="I23" s="324"/>
      <c r="J23" s="324"/>
      <c r="K23" s="324"/>
      <c r="M23" s="322" t="s">
        <v>17</v>
      </c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2"/>
      <c r="AC23" s="103" t="str">
        <f t="shared" ca="1" si="21"/>
        <v/>
      </c>
      <c r="AG23" s="122" t="s">
        <v>17</v>
      </c>
      <c r="AH23" s="123">
        <v>37402</v>
      </c>
      <c r="AI23" s="124">
        <v>23</v>
      </c>
      <c r="AJ23" s="124">
        <v>0</v>
      </c>
      <c r="AK23" s="124">
        <v>0</v>
      </c>
      <c r="AL23" s="125">
        <f t="shared" si="20"/>
        <v>0</v>
      </c>
      <c r="AM23" s="124">
        <v>2</v>
      </c>
      <c r="AN23" s="124">
        <v>26</v>
      </c>
      <c r="AO23" s="126"/>
      <c r="AP23" s="126" t="s">
        <v>163</v>
      </c>
      <c r="AQ23" s="124">
        <v>181</v>
      </c>
      <c r="AR23" s="124">
        <v>66</v>
      </c>
      <c r="AS23" s="127" t="s">
        <v>5</v>
      </c>
      <c r="AT23" s="124">
        <v>2012</v>
      </c>
      <c r="AU23" s="128">
        <f t="shared" ca="1" si="2"/>
        <v>19</v>
      </c>
      <c r="AV23" s="128" t="str">
        <f t="shared" si="3"/>
        <v>181/66</v>
      </c>
      <c r="AW23" s="129" t="str">
        <f t="shared" ca="1" si="4"/>
        <v>Pinkas</v>
      </c>
      <c r="AX23" s="130" t="str">
        <f t="shared" ca="1" si="5"/>
        <v>2 OZ, 0 (0+0), -3 ±</v>
      </c>
      <c r="AY23" s="130" t="str">
        <f t="shared" ca="1" si="6"/>
        <v>25 OZ, 0 (0+0)</v>
      </c>
      <c r="AZ23" s="131"/>
      <c r="BA23" s="131"/>
      <c r="BB23" s="131"/>
      <c r="BC23" s="131"/>
      <c r="BD23" s="90" t="str">
        <f t="shared" si="7"/>
        <v>Pinkas</v>
      </c>
      <c r="BE23" s="92">
        <f t="shared" ca="1" si="8"/>
        <v>1</v>
      </c>
      <c r="BF23" s="91" t="str">
        <f t="shared" si="9"/>
        <v>J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3"/>
        <v>0</v>
      </c>
      <c r="BK23" s="90" t="str">
        <f t="shared" ca="1" si="14"/>
        <v/>
      </c>
      <c r="BL23" s="91">
        <f t="shared" ca="1" si="15"/>
        <v>0</v>
      </c>
      <c r="BM23" s="90" t="str">
        <f t="shared" ca="1" si="16"/>
        <v/>
      </c>
      <c r="BN23" s="8"/>
      <c r="BS23" s="361"/>
      <c r="BT23" s="105" t="s">
        <v>928</v>
      </c>
      <c r="BU23" s="104">
        <v>1</v>
      </c>
      <c r="BV23" s="105" t="str">
        <f t="shared" si="18"/>
        <v>Ondřej Stuchlík</v>
      </c>
      <c r="BW23" s="103">
        <f t="shared" si="19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25">
        <f ca="1">IFERROR(IF(VLOOKUP(A23,OFFSET($AG$2,,,COUNTIF($AG$2:$AG$50,"?*"),23),2,FALSE)&lt;&gt;0,YEAR(VLOOKUP(A23,OFFSET($AG$2,,,COUNTIF($AG$2:$AG$50,"?*"),23),2,FALSE)),""),"")</f>
        <v>2002</v>
      </c>
      <c r="C24" s="326"/>
      <c r="D24" s="5">
        <f ca="1">IFERROR(VLOOKUP(A23,OFFSET($AG$2,,,COUNTIF($AG$2:$AG$50,"?*"),23),15,FALSE),"")</f>
        <v>19</v>
      </c>
      <c r="E24" s="316" t="str">
        <f ca="1">IFERROR(VLOOKUP(A23,OFFSET($AG$2,,,COUNTIF($AG$2:$AG$50,"?*"),23),16,FALSE),"")</f>
        <v>182/75</v>
      </c>
      <c r="F24" s="317"/>
      <c r="M24" s="4" t="str">
        <f ca="1">IFERROR(IF(VLOOKUP(M23,OFFSET($AG$2,,,COUNTIF($AG$2:$AG$50,"?*"),23),10,FALSE)&lt;&gt;0,VLOOKUP(M23,OFFSET($AG$2,,,COUNTIF($AG$2:$AG$50,"?*"),23),10,FALSE),""),"")</f>
        <v>L</v>
      </c>
      <c r="N24" s="325">
        <f ca="1">IFERROR(IF(VLOOKUP(M23,OFFSET($AG$2,,,COUNTIF($AG$2:$AG$50,"?*"),23),2,FALSE)&lt;&gt;0,YEAR(VLOOKUP(M23,OFFSET($AG$2,,,COUNTIF($AG$2:$AG$50,"?*"),23),2,FALSE)),""),"")</f>
        <v>2002</v>
      </c>
      <c r="O24" s="326"/>
      <c r="P24" s="6">
        <f ca="1">IFERROR(VLOOKUP(M23,OFFSET($AG$2,,,COUNTIF($AG$2:$AG$50,"?*"),23),15,FALSE),"")</f>
        <v>19</v>
      </c>
      <c r="Q24" s="316" t="str">
        <f ca="1">IFERROR(VLOOKUP(M23,OFFSET($AG$2,,,COUNTIF($AG$2:$AG$50,"?*"),23),16,FALSE),"")</f>
        <v>181/66</v>
      </c>
      <c r="R24" s="317"/>
      <c r="S24" s="112"/>
      <c r="AC24" s="103" t="str">
        <f t="shared" ca="1" si="21"/>
        <v/>
      </c>
      <c r="AG24" s="122" t="s">
        <v>139</v>
      </c>
      <c r="AH24" s="123">
        <v>36658</v>
      </c>
      <c r="AI24" s="124">
        <v>21</v>
      </c>
      <c r="AJ24" s="124">
        <v>4</v>
      </c>
      <c r="AK24" s="124">
        <v>9</v>
      </c>
      <c r="AL24" s="125">
        <f t="shared" si="20"/>
        <v>13</v>
      </c>
      <c r="AM24" s="124">
        <v>2</v>
      </c>
      <c r="AN24" s="124">
        <v>99</v>
      </c>
      <c r="AO24" s="126"/>
      <c r="AP24" s="126" t="s">
        <v>163</v>
      </c>
      <c r="AQ24" s="124">
        <v>186</v>
      </c>
      <c r="AR24" s="124">
        <v>80</v>
      </c>
      <c r="AS24" s="127" t="s">
        <v>178</v>
      </c>
      <c r="AT24" s="124">
        <v>2014</v>
      </c>
      <c r="AU24" s="128">
        <f t="shared" ca="1" si="2"/>
        <v>21</v>
      </c>
      <c r="AV24" s="128" t="str">
        <f t="shared" si="3"/>
        <v>186/80</v>
      </c>
      <c r="AW24" s="129" t="str">
        <f t="shared" ca="1" si="4"/>
        <v>Procházka</v>
      </c>
      <c r="AX24" s="130" t="str">
        <f t="shared" ca="1" si="5"/>
        <v>2 OZ, 0 (0+0), -3 ±</v>
      </c>
      <c r="AY24" s="130" t="str">
        <f t="shared" ca="1" si="6"/>
        <v>23 OZ, 13 (4+9)</v>
      </c>
      <c r="AZ24" s="131"/>
      <c r="BA24" s="131"/>
      <c r="BB24" s="131"/>
      <c r="BC24" s="131"/>
      <c r="BD24" s="3" t="str">
        <f t="shared" si="7"/>
        <v>Procházka</v>
      </c>
      <c r="BE24" s="85">
        <f t="shared" ca="1" si="8"/>
        <v>1</v>
      </c>
      <c r="BF24" s="62" t="str">
        <f t="shared" si="9"/>
        <v>J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3"/>
        <v>0</v>
      </c>
      <c r="BK24" s="3" t="str">
        <f t="shared" ca="1" si="14"/>
        <v/>
      </c>
      <c r="BL24" s="62">
        <f t="shared" ca="1" si="15"/>
        <v>0</v>
      </c>
      <c r="BM24" s="3" t="str">
        <f t="shared" ca="1" si="16"/>
        <v/>
      </c>
      <c r="BN24" s="8"/>
      <c r="BS24" s="361"/>
      <c r="BT24" s="105" t="s">
        <v>929</v>
      </c>
      <c r="BU24" s="104">
        <v>1</v>
      </c>
      <c r="BV24" s="105" t="str">
        <f t="shared" si="18"/>
        <v>Štěpán Čuda</v>
      </c>
      <c r="BW24" s="103">
        <f t="shared" si="19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>2 OZ, 0 (0+0), -2 ±</v>
      </c>
      <c r="B25" s="319"/>
      <c r="C25" s="319"/>
      <c r="D25" s="320" t="str">
        <f ca="1">IFERROR(VLOOKUP(A23,OFFSET($AG$2,,,COUNTIF($AG$2:$AG$50,"?*"),23),19,FALSE),"")</f>
        <v>19 OZ, 2 (1+1)</v>
      </c>
      <c r="E25" s="320"/>
      <c r="F25" s="321"/>
      <c r="G25" s="322" t="s">
        <v>134</v>
      </c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18" t="str">
        <f ca="1">IFERROR(VLOOKUP(M23,OFFSET($AG$2,,,COUNTIF($AG$2:$AG$50,"?*"),23),18,FALSE),"")</f>
        <v>2 OZ, 0 (0+0), -3 ±</v>
      </c>
      <c r="N25" s="319"/>
      <c r="O25" s="319"/>
      <c r="P25" s="320" t="str">
        <f ca="1">IFERROR(VLOOKUP(M23,OFFSET($AG$2,,,COUNTIF($AG$2:$AG$50,"?*"),23),19,FALSE),"")</f>
        <v>25 OZ, 0 (0+0)</v>
      </c>
      <c r="Q25" s="320"/>
      <c r="R25" s="321"/>
      <c r="S25" s="112"/>
      <c r="AC25" s="103" t="str">
        <f t="shared" ca="1" si="21"/>
        <v/>
      </c>
      <c r="AG25" s="122" t="s">
        <v>10</v>
      </c>
      <c r="AH25" s="123">
        <v>34200</v>
      </c>
      <c r="AI25" s="124">
        <v>109</v>
      </c>
      <c r="AJ25" s="124">
        <v>32</v>
      </c>
      <c r="AK25" s="124">
        <v>24</v>
      </c>
      <c r="AL25" s="125">
        <f t="shared" si="20"/>
        <v>56</v>
      </c>
      <c r="AM25" s="124">
        <v>7</v>
      </c>
      <c r="AN25" s="124">
        <v>65</v>
      </c>
      <c r="AO25" s="126"/>
      <c r="AP25" s="126" t="s">
        <v>27</v>
      </c>
      <c r="AQ25" s="124">
        <v>169</v>
      </c>
      <c r="AR25" s="124">
        <v>65</v>
      </c>
      <c r="AS25" s="127" t="s">
        <v>181</v>
      </c>
      <c r="AT25" s="124">
        <v>2004</v>
      </c>
      <c r="AU25" s="128">
        <f t="shared" ca="1" si="2"/>
        <v>28</v>
      </c>
      <c r="AV25" s="128" t="str">
        <f t="shared" si="3"/>
        <v>169/65</v>
      </c>
      <c r="AW25" s="129" t="str">
        <f t="shared" ca="1" si="4"/>
        <v>Stuchlík O.</v>
      </c>
      <c r="AX25" s="130" t="str">
        <f t="shared" ca="1" si="5"/>
        <v>1 OZ, 1 (0+1), 0 ±</v>
      </c>
      <c r="AY25" s="130" t="str">
        <f t="shared" ca="1" si="6"/>
        <v>110 OZ, 57 (32+25)</v>
      </c>
      <c r="AZ25" s="131"/>
      <c r="BA25" s="131"/>
      <c r="BB25" s="131"/>
      <c r="BC25" s="131"/>
      <c r="BD25" s="90" t="str">
        <f t="shared" si="7"/>
        <v>Stuchlík</v>
      </c>
      <c r="BE25" s="92">
        <f t="shared" ca="1" si="8"/>
        <v>2</v>
      </c>
      <c r="BF25" s="91" t="str">
        <f t="shared" si="9"/>
        <v>O</v>
      </c>
      <c r="BG25" s="90" t="str">
        <f t="shared" ca="1" si="10"/>
        <v>Stuchlík O.</v>
      </c>
      <c r="BH25" s="91">
        <f t="shared" ca="1" si="11"/>
        <v>1</v>
      </c>
      <c r="BI25" s="90" t="str">
        <f t="shared" ca="1" si="12"/>
        <v/>
      </c>
      <c r="BJ25" s="91">
        <f t="shared" ca="1" si="13"/>
        <v>0</v>
      </c>
      <c r="BK25" s="90" t="str">
        <f t="shared" ca="1" si="14"/>
        <v/>
      </c>
      <c r="BL25" s="91">
        <f t="shared" ca="1" si="15"/>
        <v>0</v>
      </c>
      <c r="BM25" s="90" t="str">
        <f t="shared" ca="1" si="16"/>
        <v/>
      </c>
      <c r="BN25" s="8"/>
      <c r="BS25" s="361"/>
      <c r="BT25" s="105" t="s">
        <v>217</v>
      </c>
      <c r="BU25" s="104">
        <v>0</v>
      </c>
      <c r="BV25" s="105" t="str">
        <f t="shared" si="18"/>
        <v>David Ježek</v>
      </c>
      <c r="BW25" s="103">
        <f t="shared" si="19"/>
        <v>0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>FA Mladá Boleslav</v>
      </c>
      <c r="B26" s="328"/>
      <c r="C26" s="329"/>
      <c r="D26" s="330">
        <f ca="1">IFERROR(IF(VLOOKUP(A23,OFFSET($AG$2,,,COUNTIF($AG$2:$AG$50,"?*"),23),14,FALSE)&lt;&gt;0,VLOOKUP(A23,OFFSET($AG$2,,,COUNTIF($AG$2:$AG$50,"?*"),23),14,FALSE),"?"),"")</f>
        <v>2010</v>
      </c>
      <c r="E26" s="331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25">
        <f ca="1">IFERROR(IF(VLOOKUP(G25,OFFSET($AG$2,,,COUNTIF($AG$2:$AG$50,"?*"),23),2,FALSE)&lt;&gt;0,YEAR(VLOOKUP(G25,OFFSET($AG$2,,,COUNTIF($AG$2:$AG$50,"?*"),23),2,FALSE)),""),"")</f>
        <v>2000</v>
      </c>
      <c r="I26" s="326"/>
      <c r="J26" s="5">
        <f ca="1">IFERROR(VLOOKUP(G25,OFFSET($AG$2,,,COUNTIF($AG$2:$AG$50,"?*"),23),15,FALSE),"")</f>
        <v>21</v>
      </c>
      <c r="K26" s="316" t="str">
        <f ca="1">IFERROR(VLOOKUP(G25,OFFSET($AG$2,,,COUNTIF($AG$2:$AG$50,"?*"),23),16,FALSE),"")</f>
        <v>180/72</v>
      </c>
      <c r="L26" s="317"/>
      <c r="M26" s="327" t="str">
        <f ca="1">IFERROR(IF(VLOOKUP(M23,OFFSET($AG$2,,,COUNTIF($AG$2:$AG$50,"?*"),23),13,FALSE)&lt;&gt;0,VLOOKUP(M23,OFFSET($AG$2,,,COUNTIF($AG$2:$AG$50,"?*"),23),13,FALSE),"?"),"")</f>
        <v>SKV</v>
      </c>
      <c r="N26" s="328"/>
      <c r="O26" s="329"/>
      <c r="P26" s="330">
        <f ca="1">IFERROR(IF(VLOOKUP(M23,OFFSET($AG$2,,,COUNTIF($AG$2:$AG$50,"?*"),23),14,FALSE)&lt;&gt;0,VLOOKUP(M23,OFFSET($AG$2,,,COUNTIF($AG$2:$AG$50,"?*"),23),14,FALSE),"?"),"")</f>
        <v>2012</v>
      </c>
      <c r="Q26" s="331"/>
      <c r="R26" s="7">
        <f ca="1">IFERROR(IF(VLOOKUP(M23,OFFSET($AG$2,,,COUNTIF($AG$2:$AG$50,"?*"),23),7,FALSE)&lt;&gt;0,VLOOKUP(M23,OFFSET($AG$2,,,COUNTIF($AG$2:$AG$50,"?*"),23),7,FALSE),"?"),"")</f>
        <v>2</v>
      </c>
      <c r="S26" s="112"/>
      <c r="AC26" s="103" t="str">
        <f t="shared" ca="1" si="21"/>
        <v/>
      </c>
      <c r="AG26" s="122" t="s">
        <v>9</v>
      </c>
      <c r="AH26" s="123">
        <v>34200</v>
      </c>
      <c r="AI26" s="124">
        <v>97</v>
      </c>
      <c r="AJ26" s="124">
        <v>26</v>
      </c>
      <c r="AK26" s="124">
        <v>60</v>
      </c>
      <c r="AL26" s="125">
        <f t="shared" si="20"/>
        <v>86</v>
      </c>
      <c r="AM26" s="124">
        <v>6</v>
      </c>
      <c r="AN26" s="124">
        <v>64</v>
      </c>
      <c r="AO26" s="126"/>
      <c r="AP26" s="126" t="s">
        <v>163</v>
      </c>
      <c r="AQ26" s="124">
        <v>173</v>
      </c>
      <c r="AR26" s="124">
        <v>68</v>
      </c>
      <c r="AS26" s="127" t="s">
        <v>179</v>
      </c>
      <c r="AT26" s="124">
        <v>2003</v>
      </c>
      <c r="AU26" s="128">
        <f t="shared" ca="1" si="2"/>
        <v>28</v>
      </c>
      <c r="AV26" s="128" t="str">
        <f t="shared" si="3"/>
        <v>173/68</v>
      </c>
      <c r="AW26" s="129" t="str">
        <f t="shared" ca="1" si="4"/>
        <v>Stuchlík Z.</v>
      </c>
      <c r="AX26" s="130" t="str">
        <f t="shared" ca="1" si="5"/>
        <v>2 OZ, 1 (1+0), -3 ±</v>
      </c>
      <c r="AY26" s="130" t="str">
        <f t="shared" ca="1" si="6"/>
        <v>99 OZ, 87 (27+60)</v>
      </c>
      <c r="AZ26" s="131"/>
      <c r="BA26" s="131"/>
      <c r="BB26" s="131"/>
      <c r="BC26" s="131"/>
      <c r="BD26" s="3" t="str">
        <f t="shared" si="7"/>
        <v>Stuchlík</v>
      </c>
      <c r="BE26" s="85">
        <f t="shared" ca="1" si="8"/>
        <v>2</v>
      </c>
      <c r="BF26" s="62" t="str">
        <f t="shared" si="9"/>
        <v>Z</v>
      </c>
      <c r="BG26" s="3" t="str">
        <f t="shared" ca="1" si="10"/>
        <v>Stuchlík Z.</v>
      </c>
      <c r="BH26" s="62">
        <f t="shared" ca="1" si="11"/>
        <v>1</v>
      </c>
      <c r="BI26" s="3" t="str">
        <f t="shared" ca="1" si="12"/>
        <v/>
      </c>
      <c r="BJ26" s="62">
        <f t="shared" ca="1" si="13"/>
        <v>0</v>
      </c>
      <c r="BK26" s="3" t="str">
        <f t="shared" ca="1" si="14"/>
        <v/>
      </c>
      <c r="BL26" s="62">
        <f t="shared" ca="1" si="15"/>
        <v>0</v>
      </c>
      <c r="BM26" s="3" t="str">
        <f t="shared" ca="1" si="16"/>
        <v/>
      </c>
      <c r="BN26" s="8"/>
      <c r="BS26" s="361"/>
      <c r="BT26" s="105" t="s">
        <v>218</v>
      </c>
      <c r="BU26" s="104">
        <v>0</v>
      </c>
      <c r="BV26" s="105" t="str">
        <f t="shared" si="18"/>
        <v>Ivan Pergler</v>
      </c>
      <c r="BW26" s="103">
        <f t="shared" si="19"/>
        <v>0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>2 OZ, 0 (0+0), -2 ±</v>
      </c>
      <c r="H27" s="319"/>
      <c r="I27" s="319"/>
      <c r="J27" s="320" t="str">
        <f ca="1">IFERROR(VLOOKUP(G25,OFFSET($AG$2,,,COUNTIF($AG$2:$AG$50,"?*"),23),19,FALSE),"")</f>
        <v>14 OZ, 1 (0+1)</v>
      </c>
      <c r="K27" s="320"/>
      <c r="L27" s="321"/>
      <c r="S27" s="112"/>
      <c r="AC27" s="103" t="str">
        <f t="shared" ca="1" si="21"/>
        <v/>
      </c>
      <c r="AG27" s="122" t="s">
        <v>15</v>
      </c>
      <c r="AH27" s="123">
        <v>35171</v>
      </c>
      <c r="AI27" s="124">
        <v>40</v>
      </c>
      <c r="AJ27" s="124">
        <v>0</v>
      </c>
      <c r="AK27" s="124">
        <v>2</v>
      </c>
      <c r="AL27" s="125">
        <f t="shared" si="20"/>
        <v>2</v>
      </c>
      <c r="AM27" s="124">
        <v>7</v>
      </c>
      <c r="AN27" s="124">
        <v>42</v>
      </c>
      <c r="AO27" s="126"/>
      <c r="AP27" s="126"/>
      <c r="AQ27" s="124">
        <v>187</v>
      </c>
      <c r="AR27" s="124">
        <v>88</v>
      </c>
      <c r="AS27" s="127" t="s">
        <v>166</v>
      </c>
      <c r="AT27" s="124">
        <v>2008</v>
      </c>
      <c r="AU27" s="128">
        <f t="shared" ca="1" si="2"/>
        <v>25</v>
      </c>
      <c r="AV27" s="128" t="str">
        <f t="shared" si="3"/>
        <v>187/88</v>
      </c>
      <c r="AW27" s="129" t="str">
        <f t="shared" ca="1" si="4"/>
        <v>Šantora</v>
      </c>
      <c r="AX27" s="130" t="str">
        <f t="shared" ca="1" si="5"/>
        <v>0 V, 1 P</v>
      </c>
      <c r="AY27" s="130" t="str">
        <f t="shared" ca="1" si="6"/>
        <v>41 OZ, 2 A</v>
      </c>
      <c r="AZ27" s="131"/>
      <c r="BA27" s="131"/>
      <c r="BB27" s="131"/>
      <c r="BC27" s="131"/>
      <c r="BD27" s="90" t="str">
        <f t="shared" si="7"/>
        <v>Šantora</v>
      </c>
      <c r="BE27" s="92">
        <f t="shared" ca="1" si="8"/>
        <v>1</v>
      </c>
      <c r="BF27" s="91" t="str">
        <f t="shared" si="9"/>
        <v>K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3"/>
        <v>0</v>
      </c>
      <c r="BK27" s="90" t="str">
        <f t="shared" ca="1" si="14"/>
        <v/>
      </c>
      <c r="BL27" s="91">
        <f t="shared" ca="1" si="15"/>
        <v>0</v>
      </c>
      <c r="BM27" s="90" t="str">
        <f t="shared" ca="1" si="16"/>
        <v/>
      </c>
      <c r="BN27" s="8"/>
      <c r="BS27" s="361" t="s">
        <v>39</v>
      </c>
      <c r="BT27" s="105" t="s">
        <v>930</v>
      </c>
      <c r="BU27" s="104">
        <v>2</v>
      </c>
      <c r="BV27" s="105" t="str">
        <f t="shared" si="18"/>
        <v>Jan Fiala</v>
      </c>
      <c r="BW27" s="103">
        <f t="shared" si="19"/>
        <v>2</v>
      </c>
    </row>
    <row r="28" spans="1:75" ht="15" customHeight="1" thickTop="1" thickBot="1" x14ac:dyDescent="0.25">
      <c r="A28" s="322" t="s">
        <v>174</v>
      </c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27" t="str">
        <f ca="1">IFERROR(IF(VLOOKUP(G25,OFFSET($AG$2,,,COUNTIF($AG$2:$AG$50,"?*"),23),13,FALSE)&lt;&gt;0,VLOOKUP(G25,OFFSET($AG$2,,,COUNTIF($AG$2:$AG$50,"?*"),23),13,FALSE),"?"),"")</f>
        <v>Vosy Praha</v>
      </c>
      <c r="H28" s="328"/>
      <c r="I28" s="329"/>
      <c r="J28" s="330">
        <f ca="1">IFERROR(IF(VLOOKUP(G25,OFFSET($AG$2,,,COUNTIF($AG$2:$AG$50,"?*"),23),14,FALSE)&lt;&gt;0,VLOOKUP(G25,OFFSET($AG$2,,,COUNTIF($AG$2:$AG$50,"?*"),23),14,FALSE),"?"),"")</f>
        <v>2010</v>
      </c>
      <c r="K28" s="331"/>
      <c r="L28" s="7">
        <f ca="1">IFERROR(IF(VLOOKUP(G25,OFFSET($AG$2,,,COUNTIF($AG$2:$AG$50,"?*"),23),7,FALSE)&lt;&gt;0,VLOOKUP(G25,OFFSET($AG$2,,,COUNTIF($AG$2:$AG$50,"?*"),23),7,FALSE),"?"),"")</f>
        <v>4</v>
      </c>
      <c r="M28" s="322" t="s">
        <v>14</v>
      </c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2"/>
      <c r="AC28" s="103" t="str">
        <f t="shared" ca="1" si="21"/>
        <v/>
      </c>
      <c r="AG28" s="122" t="s">
        <v>182</v>
      </c>
      <c r="AH28" s="123">
        <v>37453</v>
      </c>
      <c r="AI28" s="124">
        <v>15</v>
      </c>
      <c r="AJ28" s="124">
        <v>1</v>
      </c>
      <c r="AK28" s="124">
        <v>0</v>
      </c>
      <c r="AL28" s="125">
        <f t="shared" si="20"/>
        <v>1</v>
      </c>
      <c r="AM28" s="124">
        <v>3</v>
      </c>
      <c r="AN28" s="124">
        <v>87</v>
      </c>
      <c r="AO28" s="126"/>
      <c r="AP28" s="126" t="s">
        <v>27</v>
      </c>
      <c r="AQ28" s="124">
        <v>181</v>
      </c>
      <c r="AR28" s="124">
        <v>75</v>
      </c>
      <c r="AS28" s="127" t="s">
        <v>5</v>
      </c>
      <c r="AT28" s="124">
        <v>2013</v>
      </c>
      <c r="AU28" s="128">
        <f t="shared" ca="1" si="2"/>
        <v>19</v>
      </c>
      <c r="AV28" s="128" t="str">
        <f t="shared" si="3"/>
        <v>181/75</v>
      </c>
      <c r="AW28" s="129" t="str">
        <f t="shared" ca="1" si="4"/>
        <v>Šaroch</v>
      </c>
      <c r="AX28" s="130" t="str">
        <f t="shared" ca="1" si="5"/>
        <v>0 OZ, 0 (0+0)</v>
      </c>
      <c r="AY28" s="130" t="str">
        <f t="shared" ca="1" si="6"/>
        <v>15 OZ, 1 (1+0)</v>
      </c>
      <c r="AZ28" s="131"/>
      <c r="BA28" s="131"/>
      <c r="BB28" s="131"/>
      <c r="BC28" s="131"/>
      <c r="BD28" s="3" t="str">
        <f t="shared" si="7"/>
        <v>Šaroch</v>
      </c>
      <c r="BE28" s="85">
        <f t="shared" ca="1" si="8"/>
        <v>1</v>
      </c>
      <c r="BF28" s="62" t="str">
        <f t="shared" si="9"/>
        <v>M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3"/>
        <v>0</v>
      </c>
      <c r="BK28" s="3" t="str">
        <f t="shared" ca="1" si="14"/>
        <v/>
      </c>
      <c r="BL28" s="62">
        <f t="shared" ca="1" si="15"/>
        <v>0</v>
      </c>
      <c r="BM28" s="3" t="str">
        <f t="shared" ca="1" si="16"/>
        <v/>
      </c>
      <c r="BN28" s="8"/>
      <c r="BS28" s="361"/>
      <c r="BT28" s="105" t="s">
        <v>928</v>
      </c>
      <c r="BU28" s="104">
        <v>2</v>
      </c>
      <c r="BV28" s="105" t="str">
        <f t="shared" si="18"/>
        <v>Ondřej Stuchlík</v>
      </c>
      <c r="BW28" s="103">
        <f t="shared" si="19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25">
        <f ca="1">IFERROR(IF(VLOOKUP(A28,OFFSET($AG$2,,,COUNTIF($AG$2:$AG$50,"?*"),23),2,FALSE)&lt;&gt;0,YEAR(VLOOKUP(A28,OFFSET($AG$2,,,COUNTIF($AG$2:$AG$50,"?*"),23),2,FALSE)),""),"")</f>
        <v>1988</v>
      </c>
      <c r="C29" s="326"/>
      <c r="D29" s="5">
        <f ca="1">IFERROR(VLOOKUP(A28,OFFSET($AG$2,,,COUNTIF($AG$2:$AG$50,"?*"),23),15,FALSE),"")</f>
        <v>33</v>
      </c>
      <c r="E29" s="316" t="str">
        <f ca="1">IFERROR(VLOOKUP(A28,OFFSET($AG$2,,,COUNTIF($AG$2:$AG$50,"?*"),23),16,FALSE),"")</f>
        <v>187/92</v>
      </c>
      <c r="F29" s="317"/>
      <c r="M29" s="4" t="str">
        <f ca="1">IFERROR(IF(VLOOKUP(M28,OFFSET($AG$2,,,COUNTIF($AG$2:$AG$50,"?*"),23),10,FALSE)&lt;&gt;0,VLOOKUP(M28,OFFSET($AG$2,,,COUNTIF($AG$2:$AG$50,"?*"),23),10,FALSE),""),"")</f>
        <v>L</v>
      </c>
      <c r="N29" s="325">
        <f ca="1">IFERROR(IF(VLOOKUP(M28,OFFSET($AG$2,,,COUNTIF($AG$2:$AG$50,"?*"),23),2,FALSE)&lt;&gt;0,YEAR(VLOOKUP(M28,OFFSET($AG$2,,,COUNTIF($AG$2:$AG$50,"?*"),23),2,FALSE)),""),"")</f>
        <v>1991</v>
      </c>
      <c r="O29" s="326"/>
      <c r="P29" s="6">
        <f ca="1">IFERROR(VLOOKUP(M28,OFFSET($AG$2,,,COUNTIF($AG$2:$AG$50,"?*"),23),15,FALSE),"")</f>
        <v>30</v>
      </c>
      <c r="Q29" s="316" t="str">
        <f ca="1">IFERROR(VLOOKUP(M28,OFFSET($AG$2,,,COUNTIF($AG$2:$AG$50,"?*"),23),16,FALSE),"")</f>
        <v>180/78</v>
      </c>
      <c r="R29" s="317"/>
      <c r="S29" s="112"/>
      <c r="AC29" s="103" t="str">
        <f t="shared" ca="1" si="21"/>
        <v/>
      </c>
      <c r="AG29" s="122" t="s">
        <v>183</v>
      </c>
      <c r="AH29" s="123">
        <v>37781</v>
      </c>
      <c r="AI29" s="124">
        <v>2</v>
      </c>
      <c r="AJ29" s="124">
        <v>0</v>
      </c>
      <c r="AK29" s="124">
        <v>0</v>
      </c>
      <c r="AL29" s="125">
        <f t="shared" si="20"/>
        <v>0</v>
      </c>
      <c r="AM29" s="124">
        <v>2</v>
      </c>
      <c r="AN29" s="124">
        <v>12</v>
      </c>
      <c r="AO29" s="126"/>
      <c r="AP29" s="126" t="s">
        <v>163</v>
      </c>
      <c r="AQ29" s="124">
        <v>180</v>
      </c>
      <c r="AR29" s="124">
        <v>69</v>
      </c>
      <c r="AS29" s="127" t="s">
        <v>5</v>
      </c>
      <c r="AT29" s="124">
        <v>2010</v>
      </c>
      <c r="AU29" s="128">
        <f t="shared" ca="1" si="2"/>
        <v>18</v>
      </c>
      <c r="AV29" s="128" t="str">
        <f t="shared" si="3"/>
        <v>180/69</v>
      </c>
      <c r="AW29" s="129" t="str">
        <f t="shared" ca="1" si="4"/>
        <v>Šolaja</v>
      </c>
      <c r="AX29" s="130" t="str">
        <f t="shared" ca="1" si="5"/>
        <v>0 OZ, 0 (0+0)</v>
      </c>
      <c r="AY29" s="130" t="str">
        <f t="shared" ca="1" si="6"/>
        <v>2 OZ, 0 (0+0)</v>
      </c>
      <c r="AZ29" s="131"/>
      <c r="BA29" s="131"/>
      <c r="BB29" s="131"/>
      <c r="BC29" s="131"/>
      <c r="BD29" s="90" t="str">
        <f t="shared" si="7"/>
        <v>Šolaja</v>
      </c>
      <c r="BE29" s="92">
        <f t="shared" ca="1" si="8"/>
        <v>1</v>
      </c>
      <c r="BF29" s="91" t="str">
        <f t="shared" si="9"/>
        <v>M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3"/>
        <v>0</v>
      </c>
      <c r="BK29" s="90" t="str">
        <f t="shared" ca="1" si="14"/>
        <v/>
      </c>
      <c r="BL29" s="91">
        <f t="shared" ca="1" si="15"/>
        <v>0</v>
      </c>
      <c r="BM29" s="90" t="str">
        <f t="shared" ca="1" si="16"/>
        <v/>
      </c>
      <c r="BN29" s="8"/>
      <c r="BS29" s="361"/>
      <c r="BT29" s="105" t="s">
        <v>931</v>
      </c>
      <c r="BU29" s="104">
        <v>2</v>
      </c>
      <c r="BV29" s="105" t="str">
        <f t="shared" si="18"/>
        <v>Vojtěch Klápa</v>
      </c>
      <c r="BW29" s="103">
        <f t="shared" si="19"/>
        <v>2</v>
      </c>
    </row>
    <row r="30" spans="1:75" ht="15" customHeight="1" x14ac:dyDescent="0.2">
      <c r="A30" s="318" t="str">
        <f ca="1">IFERROR(VLOOKUP(A28,OFFSET($AG$2,,,COUNTIF($AG$2:$AG$50,"?*"),23),18,FALSE),"")</f>
        <v>1 OZ, 0 (0+0), 0 ±</v>
      </c>
      <c r="B30" s="319"/>
      <c r="C30" s="319"/>
      <c r="D30" s="320" t="str">
        <f ca="1">IFERROR(VLOOKUP(A28,OFFSET($AG$2,,,COUNTIF($AG$2:$AG$50,"?*"),23),19,FALSE),"")</f>
        <v>97 OZ, 18 (10+8)</v>
      </c>
      <c r="E30" s="320"/>
      <c r="F30" s="321"/>
      <c r="H30" s="332" t="str">
        <f>H$8</f>
        <v>SKV</v>
      </c>
      <c r="I30" s="332"/>
      <c r="J30" s="332"/>
      <c r="K30" s="332"/>
      <c r="M30" s="318" t="str">
        <f ca="1">IFERROR(VLOOKUP(M28,OFFSET($AG$2,,,COUNTIF($AG$2:$AG$50,"?*"),23),18,FALSE),"")</f>
        <v>2 OZ, 0 (0+0), -3 ±</v>
      </c>
      <c r="N30" s="319"/>
      <c r="O30" s="319"/>
      <c r="P30" s="320" t="str">
        <f ca="1">IFERROR(VLOOKUP(M28,OFFSET($AG$2,,,COUNTIF($AG$2:$AG$50,"?*"),23),19,FALSE),"")</f>
        <v>84 OZ, 67 (45+22)</v>
      </c>
      <c r="Q30" s="320"/>
      <c r="R30" s="321"/>
      <c r="S30" s="112"/>
      <c r="AC30" s="103" t="str">
        <f t="shared" ca="1" si="21"/>
        <v/>
      </c>
      <c r="AG30" s="122" t="s">
        <v>132</v>
      </c>
      <c r="AH30" s="123">
        <v>37297</v>
      </c>
      <c r="AI30" s="124">
        <v>17</v>
      </c>
      <c r="AJ30" s="124">
        <v>1</v>
      </c>
      <c r="AK30" s="124">
        <v>1</v>
      </c>
      <c r="AL30" s="125">
        <f t="shared" si="20"/>
        <v>2</v>
      </c>
      <c r="AM30" s="124">
        <v>2</v>
      </c>
      <c r="AN30" s="124">
        <v>37</v>
      </c>
      <c r="AO30" s="126"/>
      <c r="AP30" s="126" t="s">
        <v>27</v>
      </c>
      <c r="AQ30" s="124">
        <v>182</v>
      </c>
      <c r="AR30" s="124">
        <v>75</v>
      </c>
      <c r="AS30" s="127" t="s">
        <v>263</v>
      </c>
      <c r="AT30" s="124">
        <v>2010</v>
      </c>
      <c r="AU30" s="128">
        <f t="shared" ca="1" si="2"/>
        <v>19</v>
      </c>
      <c r="AV30" s="128" t="str">
        <f t="shared" si="3"/>
        <v>182/75</v>
      </c>
      <c r="AW30" s="129" t="str">
        <f t="shared" ca="1" si="4"/>
        <v>Švejda</v>
      </c>
      <c r="AX30" s="130" t="str">
        <f t="shared" ca="1" si="5"/>
        <v>2 OZ, 0 (0+0), -2 ±</v>
      </c>
      <c r="AY30" s="130" t="str">
        <f t="shared" ca="1" si="6"/>
        <v>19 OZ, 2 (1+1)</v>
      </c>
      <c r="AZ30" s="131"/>
      <c r="BA30" s="131"/>
      <c r="BB30" s="131"/>
      <c r="BC30" s="131"/>
      <c r="BD30" s="3" t="str">
        <f t="shared" si="7"/>
        <v>Švejda</v>
      </c>
      <c r="BE30" s="85">
        <f t="shared" ca="1" si="8"/>
        <v>1</v>
      </c>
      <c r="BF30" s="62" t="str">
        <f t="shared" si="9"/>
        <v>Š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3"/>
        <v>0</v>
      </c>
      <c r="BK30" s="3" t="str">
        <f t="shared" ca="1" si="14"/>
        <v/>
      </c>
      <c r="BL30" s="62">
        <f t="shared" ca="1" si="15"/>
        <v>0</v>
      </c>
      <c r="BM30" s="3" t="str">
        <f t="shared" ca="1" si="16"/>
        <v/>
      </c>
      <c r="BN30" s="8"/>
      <c r="BS30" s="361"/>
      <c r="BT30" s="105" t="s">
        <v>923</v>
      </c>
      <c r="BU30" s="104">
        <v>0</v>
      </c>
      <c r="BV30" s="105" t="str">
        <f t="shared" si="18"/>
        <v>Daniel Cabejšek</v>
      </c>
      <c r="BW30" s="103">
        <f t="shared" si="19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>SC Sportcentrum</v>
      </c>
      <c r="B31" s="328"/>
      <c r="C31" s="329"/>
      <c r="D31" s="330">
        <f ca="1">IFERROR(IF(VLOOKUP(A28,OFFSET($AG$2,,,COUNTIF($AG$2:$AG$50,"?*"),23),14,FALSE)&lt;&gt;0,VLOOKUP(A28,OFFSET($AG$2,,,COUNTIF($AG$2:$AG$50,"?*"),23),14,FALSE),"?"),"")</f>
        <v>2000</v>
      </c>
      <c r="E31" s="331"/>
      <c r="F31" s="7">
        <f ca="1">IFERROR(IF(VLOOKUP(A28,OFFSET($AG$2,,,COUNTIF($AG$2:$AG$50,"?*"),23),7,FALSE)&lt;&gt;0,VLOOKUP(A28,OFFSET($AG$2,,,COUNTIF($AG$2:$AG$50,"?*"),23),7,FALSE),"?"),"")</f>
        <v>7</v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>FBK Kunovští Orli</v>
      </c>
      <c r="N31" s="328"/>
      <c r="O31" s="329"/>
      <c r="P31" s="330">
        <f ca="1">IFERROR(IF(VLOOKUP(M28,OFFSET($AG$2,,,COUNTIF($AG$2:$AG$50,"?*"),23),14,FALSE)&lt;&gt;0,VLOOKUP(M28,OFFSET($AG$2,,,COUNTIF($AG$2:$AG$50,"?*"),23),14,FALSE),"?"),"")</f>
        <v>2008</v>
      </c>
      <c r="Q31" s="331"/>
      <c r="R31" s="7">
        <f ca="1">IFERROR(IF(VLOOKUP(M28,OFFSET($AG$2,,,COUNTIF($AG$2:$AG$50,"?*"),23),7,FALSE)&lt;&gt;0,VLOOKUP(M28,OFFSET($AG$2,,,COUNTIF($AG$2:$AG$50,"?*"),23),7,FALSE),"?"),"")</f>
        <v>5</v>
      </c>
      <c r="S31" s="112"/>
      <c r="AC31" s="103" t="str">
        <f t="shared" ca="1" si="21"/>
        <v/>
      </c>
      <c r="AG31" s="122"/>
      <c r="AH31" s="123"/>
      <c r="AI31" s="124"/>
      <c r="AJ31" s="124"/>
      <c r="AK31" s="124"/>
      <c r="AL31" s="125"/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2"/>
        <v/>
      </c>
      <c r="AV31" s="128" t="str">
        <f t="shared" si="3"/>
        <v/>
      </c>
      <c r="AW31" s="129" t="str">
        <f t="shared" si="4"/>
        <v/>
      </c>
      <c r="AX31" s="130" t="str">
        <f t="shared" ca="1" si="5"/>
        <v/>
      </c>
      <c r="AY31" s="130" t="str">
        <f t="shared" ca="1" si="6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3"/>
        <v/>
      </c>
      <c r="BK31" s="90" t="str">
        <f t="shared" ca="1" si="14"/>
        <v/>
      </c>
      <c r="BL31" s="91" t="str">
        <f t="shared" ca="1" si="15"/>
        <v/>
      </c>
      <c r="BM31" s="90" t="str">
        <f t="shared" ca="1" si="16"/>
        <v/>
      </c>
      <c r="BN31" s="8"/>
      <c r="BS31" s="361"/>
      <c r="BT31" s="105" t="s">
        <v>214</v>
      </c>
      <c r="BU31" s="104">
        <v>0</v>
      </c>
      <c r="BV31" s="105" t="str">
        <f t="shared" si="18"/>
        <v>David Ježek</v>
      </c>
      <c r="BW31" s="103">
        <f t="shared" si="19"/>
        <v>0</v>
      </c>
    </row>
    <row r="32" spans="1:75" ht="15" customHeight="1" thickTop="1" thickBot="1" x14ac:dyDescent="0.25">
      <c r="S32" s="112"/>
      <c r="AC32" s="103" t="str">
        <f t="shared" ca="1" si="21"/>
        <v/>
      </c>
      <c r="AG32" s="122"/>
      <c r="AH32" s="123"/>
      <c r="AI32" s="124"/>
      <c r="AJ32" s="124"/>
      <c r="AK32" s="124"/>
      <c r="AL32" s="125"/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2"/>
        <v/>
      </c>
      <c r="AV32" s="128" t="str">
        <f t="shared" si="3"/>
        <v/>
      </c>
      <c r="AW32" s="129" t="str">
        <f t="shared" si="4"/>
        <v/>
      </c>
      <c r="AX32" s="130" t="str">
        <f t="shared" ca="1" si="5"/>
        <v/>
      </c>
      <c r="AY32" s="130" t="str">
        <f t="shared" ca="1" si="6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3"/>
        <v/>
      </c>
      <c r="BK32" s="3" t="str">
        <f t="shared" ca="1" si="14"/>
        <v/>
      </c>
      <c r="BL32" s="62" t="str">
        <f t="shared" ca="1" si="15"/>
        <v/>
      </c>
      <c r="BM32" s="3" t="str">
        <f t="shared" ca="1" si="16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21"/>
        <v/>
      </c>
      <c r="AG33" s="122"/>
      <c r="AH33" s="123"/>
      <c r="AI33" s="124"/>
      <c r="AJ33" s="124"/>
      <c r="AK33" s="124"/>
      <c r="AL33" s="125"/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2"/>
        <v/>
      </c>
      <c r="AV33" s="128" t="str">
        <f t="shared" si="3"/>
        <v/>
      </c>
      <c r="AW33" s="129" t="str">
        <f t="shared" si="4"/>
        <v/>
      </c>
      <c r="AX33" s="130" t="str">
        <f t="shared" ca="1" si="5"/>
        <v/>
      </c>
      <c r="AY33" s="130" t="str">
        <f t="shared" ca="1" si="6"/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3"/>
        <v/>
      </c>
      <c r="BK33" s="90" t="str">
        <f t="shared" ca="1" si="14"/>
        <v/>
      </c>
      <c r="BL33" s="91" t="str">
        <f t="shared" ca="1" si="15"/>
        <v/>
      </c>
      <c r="BM33" s="90" t="str">
        <f t="shared" ca="1" si="16"/>
        <v/>
      </c>
    </row>
    <row r="34" spans="1:65" ht="15" customHeight="1" thickTop="1" thickBot="1" x14ac:dyDescent="0.25">
      <c r="A34" s="322" t="s">
        <v>136</v>
      </c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33" t="s">
        <v>16</v>
      </c>
      <c r="J34" s="322" t="s">
        <v>19</v>
      </c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2"/>
      <c r="AC34" s="103" t="str">
        <f t="shared" ca="1" si="21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ref="AU34:AU50" ca="1" si="22">IF(AG34&lt;&gt;"",IF(AH34&lt;&gt;"",INT((TODAY()-AH34)/365),"?"),"")</f>
        <v/>
      </c>
      <c r="AV34" s="128" t="str">
        <f t="shared" ref="AV34:AV50" si="23">IF(AG34&lt;&gt;"",CONCATENATE(IF(AQ34&lt;&gt;"",AQ34,"? "),"/",IF(AR34&lt;&gt;"",AR34," ?")),"")</f>
        <v/>
      </c>
      <c r="AW34" s="129" t="str">
        <f t="shared" ref="AW34:AW50" si="24">IF(AG34&lt;&gt;"",IF(BE34=1,BD34,IF(BH34=1,BG34,IF(BJ34=1,BI34,IF(BL34=1,BK34,BM34)))),"")</f>
        <v/>
      </c>
      <c r="AX34" s="130" t="str">
        <f t="shared" ref="AX34:AX50" ca="1" si="25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30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ref="BD34:BD50" si="27">IF(AG34&lt;&gt;"",RIGHT(AG34,LEN(AG34)-SEARCH(" ",AG34)),"")</f>
        <v/>
      </c>
      <c r="BE34" s="85" t="str">
        <f t="shared" ref="BE34:BE50" ca="1" si="28">IF(AG34&lt;&gt;"",COUNTIF(OFFSET($BD$2,,,COUNTIF($AG$2:$AG$50,"?*")),BD34),"")</f>
        <v/>
      </c>
      <c r="BF34" s="62" t="str">
        <f t="shared" ref="BF34:BF50" si="29">IF(AG34&lt;&gt;"",LEFT(AG34,1),"")</f>
        <v/>
      </c>
      <c r="BG34" s="3" t="str">
        <f t="shared" ref="BG34:BG50" ca="1" si="30">IF(AND($AG34&lt;&gt;"",BE34&gt;1),CONCATENATE($BD34," ",LEFT($AG34,MIN(1,SEARCH(" ",$AG34)-1)),IF(SEARCH(" ",$AG34)-1&gt;1,".",""),""),"")</f>
        <v/>
      </c>
      <c r="BH34" s="62" t="str">
        <f t="shared" ref="BH34:BH50" ca="1" si="31">IF(BG34&lt;&gt;"",COUNTIF(OFFSET(BG$2,,,COUNTIF($AG$2:$AG$50,"?*")),BG34),IF($AG34&lt;&gt;"",0,""))</f>
        <v/>
      </c>
      <c r="BI34" s="3" t="str">
        <f t="shared" ref="BI34:BI50" ca="1" si="32">IF(AND($AG34&lt;&gt;"",BH34&gt;1),CONCATENATE($BD34," ",LEFT($AG34,MIN(2,SEARCH(" ",$AG34)-1)),IF(SEARCH(" ",$AG34)-1&gt;2,".",""),""),"")</f>
        <v/>
      </c>
      <c r="BJ34" s="62" t="str">
        <f t="shared" ref="BJ34:BJ50" ca="1" si="33">IF(BI34&lt;&gt;"",COUNTIF(OFFSET(BI$2,,,COUNTIF($AG$2:$AG$50,"?*")),BI34),IF($AG34&lt;&gt;"",0,""))</f>
        <v/>
      </c>
      <c r="BK34" s="3" t="str">
        <f t="shared" ref="BK34:BK50" ca="1" si="34">IF(AND($AG34&lt;&gt;"",BJ34&gt;1),CONCATENATE($BD34," ",LEFT($AG34,MIN(3,SEARCH(" ",$AG34)-1)),IF(SEARCH(" ",$AG34)-1&gt;3,".",""),""),"")</f>
        <v/>
      </c>
      <c r="BL34" s="62" t="str">
        <f t="shared" ref="BL34:BL50" ca="1" si="35">IF(BK34&lt;&gt;"",COUNTIF(OFFSET(BK$2,,,COUNTIF($AG$2:$AG$50,"?*")),BK34),IF($AG34&lt;&gt;"",0,""))</f>
        <v/>
      </c>
      <c r="BM34" s="3" t="str">
        <f t="shared" ref="BM34:BM50" ca="1" si="36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25">
        <f ca="1">IFERROR(IF(VLOOKUP(A34,OFFSET($AG$2,,,COUNTIF($AG$2:$AG$50,"?*"),23),2,FALSE)&lt;&gt;0,YEAR(VLOOKUP(A34,OFFSET($AG$2,,,COUNTIF($AG$2:$AG$50,"?*"),23),2,FALSE)),""),"")</f>
        <v>1998</v>
      </c>
      <c r="C35" s="326"/>
      <c r="D35" s="5">
        <f ca="1">IFERROR(VLOOKUP(A34,OFFSET($AG$2,,,COUNTIF($AG$2:$AG$50,"?*"),23),15,FALSE),"")</f>
        <v>23</v>
      </c>
      <c r="E35" s="316" t="str">
        <f ca="1">IFERROR(VLOOKUP(A34,OFFSET($AG$2,,,COUNTIF($AG$2:$AG$50,"?*"),23),16,FALSE),"")</f>
        <v>175/69</v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>L</v>
      </c>
      <c r="K35" s="326">
        <f ca="1">IFERROR(IF(VLOOKUP(J34,OFFSET($AG$2,,,COUNTIF($AG$2:$AG$50,"?*"),23),2,FALSE)&lt;&gt;0,YEAR(VLOOKUP(J34,OFFSET($AG$2,,,COUNTIF($AG$2:$AG$50,"?*"),23),2,FALSE)),""),"")</f>
        <v>2002</v>
      </c>
      <c r="L35" s="334"/>
      <c r="M35" s="15">
        <f ca="1">IFERROR(VLOOKUP(J34,OFFSET($AG$2,,,COUNTIF($AG$2:$AG$50,"?*"),23),15,FALSE),"")</f>
        <v>19</v>
      </c>
      <c r="N35" s="334" t="str">
        <f ca="1">IFERROR(VLOOKUP(J34,OFFSET($AG$2,,,COUNTIF($AG$2:$AG$50,"?*"),23),16,FALSE),"")</f>
        <v>187/61</v>
      </c>
      <c r="O35" s="334"/>
      <c r="P35" s="334" t="str">
        <f ca="1">IFERROR(VLOOKUP(J34,OFFSET($AG$2,,,COUNTIF($AG$2:$AG$50,"?*"),23),18,FALSE),"")</f>
        <v>2 OZ, 0 (0+0), -1 ±</v>
      </c>
      <c r="Q35" s="334"/>
      <c r="R35" s="341"/>
      <c r="S35" s="112"/>
      <c r="AC35" s="103" t="str">
        <f t="shared" ca="1" si="21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2"/>
        <v/>
      </c>
      <c r="AV35" s="128" t="str">
        <f t="shared" si="23"/>
        <v/>
      </c>
      <c r="AW35" s="129" t="str">
        <f t="shared" si="24"/>
        <v/>
      </c>
      <c r="AX35" s="130" t="str">
        <f t="shared" ca="1" si="25"/>
        <v/>
      </c>
      <c r="AY35" s="130" t="str">
        <f t="shared" ca="1" si="26"/>
        <v/>
      </c>
      <c r="AZ35" s="131"/>
      <c r="BA35" s="131"/>
      <c r="BB35" s="131"/>
      <c r="BC35" s="131"/>
      <c r="BD35" s="90" t="str">
        <f t="shared" si="27"/>
        <v/>
      </c>
      <c r="BE35" s="92" t="str">
        <f t="shared" ca="1" si="28"/>
        <v/>
      </c>
      <c r="BF35" s="91" t="str">
        <f t="shared" si="29"/>
        <v/>
      </c>
      <c r="BG35" s="90" t="str">
        <f t="shared" ca="1" si="30"/>
        <v/>
      </c>
      <c r="BH35" s="91" t="str">
        <f t="shared" ca="1" si="31"/>
        <v/>
      </c>
      <c r="BI35" s="90" t="str">
        <f t="shared" ca="1" si="32"/>
        <v/>
      </c>
      <c r="BJ35" s="91" t="str">
        <f t="shared" ca="1" si="33"/>
        <v/>
      </c>
      <c r="BK35" s="90" t="str">
        <f t="shared" ca="1" si="34"/>
        <v/>
      </c>
      <c r="BL35" s="91" t="str">
        <f t="shared" ca="1" si="35"/>
        <v/>
      </c>
      <c r="BM35" s="90" t="str">
        <f t="shared" ca="1" si="36"/>
        <v/>
      </c>
    </row>
    <row r="36" spans="1:65" ht="15" customHeight="1" thickBot="1" x14ac:dyDescent="0.25">
      <c r="A36" s="16">
        <f ca="1">IFERROR(VLOOKUP(A34,OFFSET($S$45,,,COUNTIF($S$45:$S$50,"?*"),14),2,FALSE),"")</f>
        <v>1</v>
      </c>
      <c r="B36" s="342" t="str">
        <f ca="1">IFERROR(VLOOKUP(A34,OFFSET($AG$2,,,COUNTIF($AG$2:$AG$50,"?*"),23),18,FALSE),"")</f>
        <v>0 V, 1 P</v>
      </c>
      <c r="C36" s="342"/>
      <c r="D36" s="343">
        <f ca="1">IFERROR(VLOOKUP(A34,OFFSET($S$45,,,COUNTIF($S$45:$S$50,"?*"),14),5,FALSE),"")</f>
        <v>11</v>
      </c>
      <c r="E36" s="344"/>
      <c r="F36" s="17">
        <f ca="1">IFERROR(VLOOKUP(A34,OFFSET($S$45,,,COUNTIF($S$45:$S$50,"?*"),14),14,FALSE),"")</f>
        <v>62.068965517241381</v>
      </c>
      <c r="H36" s="333"/>
      <c r="J36" s="18">
        <f ca="1">IFERROR(IF(VLOOKUP(J34,OFFSET($AG$2,,,COUNTIF($AG$2:$AG$50,"?*"),23),7,FALSE)&lt;&gt;0,VLOOKUP(J34,OFFSET($AG$2,,,COUNTIF($AG$2:$AG$50,"?*"),23),7,FALSE),"?"),"")</f>
        <v>2</v>
      </c>
      <c r="K36" s="345" t="str">
        <f ca="1">IFERROR(VLOOKUP(J34,OFFSET($AG$2,,,COUNTIF($AG$2:$AG$50,"?*"),23),19,FALSE),"")</f>
        <v>20 OZ, 3 (2+1)</v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>SKV</v>
      </c>
      <c r="O36" s="346"/>
      <c r="P36" s="346"/>
      <c r="Q36" s="345">
        <f ca="1">IFERROR(IF(VLOOKUP(J34,OFFSET($AG$2,,,COUNTIF($AG$2:$AG$50,"?*"),23),14,FALSE)&lt;&gt;0,VLOOKUP(J34,OFFSET($AG$2,,,COUNTIF($AG$2:$AG$50,"?*"),23),14,FALSE),"?"),"")</f>
        <v>2013</v>
      </c>
      <c r="R36" s="347"/>
      <c r="S36" s="112"/>
      <c r="AC36" s="103" t="str">
        <f t="shared" ca="1" si="21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2"/>
        <v/>
      </c>
      <c r="AV36" s="128" t="str">
        <f t="shared" si="23"/>
        <v/>
      </c>
      <c r="AW36" s="129" t="str">
        <f t="shared" si="24"/>
        <v/>
      </c>
      <c r="AX36" s="130" t="str">
        <f t="shared" ca="1" si="25"/>
        <v/>
      </c>
      <c r="AY36" s="130" t="str">
        <f t="shared" ca="1" si="26"/>
        <v/>
      </c>
      <c r="AZ36" s="131"/>
      <c r="BA36" s="131"/>
      <c r="BB36" s="131"/>
      <c r="BC36" s="131"/>
      <c r="BD36" s="3" t="str">
        <f t="shared" si="27"/>
        <v/>
      </c>
      <c r="BE36" s="85" t="str">
        <f t="shared" ca="1" si="28"/>
        <v/>
      </c>
      <c r="BF36" s="62" t="str">
        <f t="shared" si="29"/>
        <v/>
      </c>
      <c r="BG36" s="3" t="str">
        <f t="shared" ca="1" si="30"/>
        <v/>
      </c>
      <c r="BH36" s="62" t="str">
        <f t="shared" ca="1" si="31"/>
        <v/>
      </c>
      <c r="BI36" s="3" t="str">
        <f t="shared" ca="1" si="32"/>
        <v/>
      </c>
      <c r="BJ36" s="62" t="str">
        <f t="shared" ca="1" si="33"/>
        <v/>
      </c>
      <c r="BK36" s="3" t="str">
        <f t="shared" ca="1" si="34"/>
        <v/>
      </c>
      <c r="BL36" s="62" t="str">
        <f t="shared" ca="1" si="35"/>
        <v/>
      </c>
      <c r="BM36" s="3" t="str">
        <f t="shared" ca="1" si="36"/>
        <v/>
      </c>
    </row>
    <row r="37" spans="1:65" ht="15" customHeight="1" thickTop="1" thickBot="1" x14ac:dyDescent="0.25">
      <c r="A37" s="335">
        <f ca="1">IFERROR(VLOOKUP(A34,OFFSET($S$45,,,COUNTIF($S$45:$S$50,"?*"),14),3,FALSE),"")</f>
        <v>60</v>
      </c>
      <c r="B37" s="336"/>
      <c r="C37" s="337">
        <f ca="1">IFERROR(VLOOKUP(A34,OFFSET($S$45,,,COUNTIF($S$45:$S$50,"?*"),14),13,FALSE),"")</f>
        <v>11</v>
      </c>
      <c r="D37" s="338"/>
      <c r="E37" s="339" t="str">
        <f ca="1">IFERROR(VLOOKUP(A34,OFFSET($AG$2,,,COUNTIF($AG$2:$AG$50,"?*"),23),19,FALSE),"")</f>
        <v>38 OZ, 0 A</v>
      </c>
      <c r="F37" s="340"/>
      <c r="H37" s="333"/>
      <c r="S37" s="112"/>
      <c r="AC37" s="103" t="str">
        <f t="shared" ca="1" si="21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2"/>
        <v/>
      </c>
      <c r="AV37" s="128" t="str">
        <f t="shared" si="23"/>
        <v/>
      </c>
      <c r="AW37" s="129" t="str">
        <f t="shared" si="24"/>
        <v/>
      </c>
      <c r="AX37" s="130" t="str">
        <f t="shared" ca="1" si="25"/>
        <v/>
      </c>
      <c r="AY37" s="130" t="str">
        <f t="shared" ca="1" si="26"/>
        <v/>
      </c>
      <c r="AZ37" s="131"/>
      <c r="BA37" s="131"/>
      <c r="BB37" s="131"/>
      <c r="BC37" s="131"/>
      <c r="BD37" s="90" t="str">
        <f t="shared" si="27"/>
        <v/>
      </c>
      <c r="BE37" s="92" t="str">
        <f t="shared" ca="1" si="28"/>
        <v/>
      </c>
      <c r="BF37" s="91" t="str">
        <f t="shared" si="29"/>
        <v/>
      </c>
      <c r="BG37" s="90" t="str">
        <f t="shared" ca="1" si="30"/>
        <v/>
      </c>
      <c r="BH37" s="91" t="str">
        <f t="shared" ca="1" si="31"/>
        <v/>
      </c>
      <c r="BI37" s="90" t="str">
        <f t="shared" ca="1" si="32"/>
        <v/>
      </c>
      <c r="BJ37" s="91" t="str">
        <f t="shared" ca="1" si="33"/>
        <v/>
      </c>
      <c r="BK37" s="90" t="str">
        <f t="shared" ca="1" si="34"/>
        <v/>
      </c>
      <c r="BL37" s="91" t="str">
        <f t="shared" ca="1" si="35"/>
        <v/>
      </c>
      <c r="BM37" s="90" t="str">
        <f t="shared" ca="1" si="36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>FTC Vysoké Mýto</v>
      </c>
      <c r="B38" s="328"/>
      <c r="C38" s="329"/>
      <c r="D38" s="330">
        <f ca="1">IFERROR(IF(VLOOKUP(A34,OFFSET($AG$2,,,COUNTIF($AG$2:$AG$50,"?*"),23),14,FALSE)&lt;&gt;0,VLOOKUP(A34,OFFSET($AG$2,,,COUNTIF($AG$2:$AG$50,"?*"),23),14,FALSE),"?"),"")</f>
        <v>2012</v>
      </c>
      <c r="E38" s="331"/>
      <c r="F38" s="19">
        <f ca="1">IFERROR(VLOOKUP(A34,OFFSET($S$45,,,COUNTIF($S$45:$S$50,"?*"),14),6,FALSE),"")</f>
        <v>0</v>
      </c>
      <c r="H38" s="333"/>
      <c r="J38" s="322" t="s">
        <v>138</v>
      </c>
      <c r="K38" s="323"/>
      <c r="L38" s="323"/>
      <c r="M38" s="323"/>
      <c r="N38" s="323"/>
      <c r="O38" s="323"/>
      <c r="P38" s="32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2"/>
      <c r="AC38" s="103" t="str">
        <f t="shared" ca="1" si="21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2"/>
        <v/>
      </c>
      <c r="AV38" s="128" t="str">
        <f t="shared" si="23"/>
        <v/>
      </c>
      <c r="AW38" s="129" t="str">
        <f t="shared" si="24"/>
        <v/>
      </c>
      <c r="AX38" s="130" t="str">
        <f t="shared" ca="1" si="25"/>
        <v/>
      </c>
      <c r="AY38" s="130" t="str">
        <f t="shared" ca="1" si="26"/>
        <v/>
      </c>
      <c r="AZ38" s="131"/>
      <c r="BA38" s="131"/>
      <c r="BB38" s="131"/>
      <c r="BC38" s="131"/>
      <c r="BD38" s="3" t="str">
        <f t="shared" si="27"/>
        <v/>
      </c>
      <c r="BE38" s="85" t="str">
        <f t="shared" ca="1" si="28"/>
        <v/>
      </c>
      <c r="BF38" s="62" t="str">
        <f t="shared" si="29"/>
        <v/>
      </c>
      <c r="BG38" s="3" t="str">
        <f t="shared" ca="1" si="30"/>
        <v/>
      </c>
      <c r="BH38" s="62" t="str">
        <f t="shared" ca="1" si="31"/>
        <v/>
      </c>
      <c r="BI38" s="3" t="str">
        <f t="shared" ca="1" si="32"/>
        <v/>
      </c>
      <c r="BJ38" s="62" t="str">
        <f t="shared" ca="1" si="33"/>
        <v/>
      </c>
      <c r="BK38" s="3" t="str">
        <f t="shared" ca="1" si="34"/>
        <v/>
      </c>
      <c r="BL38" s="62" t="str">
        <f t="shared" ca="1" si="35"/>
        <v/>
      </c>
      <c r="BM38" s="3" t="str">
        <f t="shared" ca="1" si="36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>
        <f ca="1">IFERROR(IF(VLOOKUP(J38,OFFSET($AG$2,,,COUNTIF($AG$2:$AG$50,"?*"),23),2,FALSE)&lt;&gt;0,YEAR(VLOOKUP(J38,OFFSET($AG$2,,,COUNTIF($AG$2:$AG$50,"?*"),23),2,FALSE)),""),"")</f>
        <v>2002</v>
      </c>
      <c r="L39" s="334"/>
      <c r="M39" s="152">
        <f ca="1">IFERROR(VLOOKUP(J38,OFFSET($AG$2,,,COUNTIF($AG$2:$AG$50,"?*"),23),15,FALSE),"")</f>
        <v>19</v>
      </c>
      <c r="N39" s="334" t="str">
        <f ca="1">IFERROR(VLOOKUP(J38,OFFSET($AG$2,,,COUNTIF($AG$2:$AG$50,"?*"),23),16,FALSE),"")</f>
        <v>? / ?</v>
      </c>
      <c r="O39" s="334"/>
      <c r="P39" s="334" t="str">
        <f ca="1">IFERROR(VLOOKUP(J38,OFFSET($AG$2,,,COUNTIF($AG$2:$AG$50,"?*"),23),18,FALSE),"")</f>
        <v>2 OZ, 0 (0+0), -1 ±</v>
      </c>
      <c r="Q39" s="334"/>
      <c r="R39" s="341"/>
      <c r="S39" s="112"/>
      <c r="AC39" s="103" t="str">
        <f t="shared" ca="1" si="21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2"/>
        <v/>
      </c>
      <c r="AV39" s="128" t="str">
        <f t="shared" si="23"/>
        <v/>
      </c>
      <c r="AW39" s="129" t="str">
        <f t="shared" si="24"/>
        <v/>
      </c>
      <c r="AX39" s="130" t="str">
        <f t="shared" ca="1" si="25"/>
        <v/>
      </c>
      <c r="AY39" s="130" t="str">
        <f t="shared" ca="1" si="26"/>
        <v/>
      </c>
      <c r="AZ39" s="131"/>
      <c r="BA39" s="131"/>
      <c r="BB39" s="131"/>
      <c r="BC39" s="131"/>
      <c r="BD39" s="90" t="str">
        <f t="shared" si="27"/>
        <v/>
      </c>
      <c r="BE39" s="92" t="str">
        <f t="shared" ca="1" si="28"/>
        <v/>
      </c>
      <c r="BF39" s="91" t="str">
        <f t="shared" si="29"/>
        <v/>
      </c>
      <c r="BG39" s="90" t="str">
        <f t="shared" ca="1" si="30"/>
        <v/>
      </c>
      <c r="BH39" s="91" t="str">
        <f t="shared" ca="1" si="31"/>
        <v/>
      </c>
      <c r="BI39" s="90" t="str">
        <f t="shared" ca="1" si="32"/>
        <v/>
      </c>
      <c r="BJ39" s="91" t="str">
        <f t="shared" ca="1" si="33"/>
        <v/>
      </c>
      <c r="BK39" s="90" t="str">
        <f t="shared" ca="1" si="34"/>
        <v/>
      </c>
      <c r="BL39" s="91" t="str">
        <f t="shared" ca="1" si="35"/>
        <v/>
      </c>
      <c r="BM39" s="90" t="str">
        <f t="shared" ca="1" si="36"/>
        <v/>
      </c>
    </row>
    <row r="40" spans="1:65" ht="15" customHeight="1" thickTop="1" thickBot="1" x14ac:dyDescent="0.25">
      <c r="A40" s="322" t="s">
        <v>15</v>
      </c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33"/>
      <c r="J40" s="18">
        <f ca="1">IFERROR(IF(VLOOKUP(J38,OFFSET($AG$2,,,COUNTIF($AG$2:$AG$50,"?*"),23),7,FALSE)&lt;&gt;0,VLOOKUP(J38,OFFSET($AG$2,,,COUNTIF($AG$2:$AG$50,"?*"),23),7,FALSE),"?"),"")</f>
        <v>1</v>
      </c>
      <c r="K40" s="345" t="str">
        <f ca="1">IFERROR(VLOOKUP(J38,OFFSET($AG$2,,,COUNTIF($AG$2:$AG$50,"?*"),23),19,FALSE),"")</f>
        <v>2 OZ, 0 (0+0)</v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>Tatran Střešovice</v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>?</v>
      </c>
      <c r="R40" s="347"/>
      <c r="S40" s="112"/>
      <c r="AC40" s="103" t="str">
        <f t="shared" ca="1" si="21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2"/>
        <v/>
      </c>
      <c r="AV40" s="128" t="str">
        <f t="shared" si="23"/>
        <v/>
      </c>
      <c r="AW40" s="129" t="str">
        <f t="shared" si="24"/>
        <v/>
      </c>
      <c r="AX40" s="130" t="str">
        <f t="shared" ca="1" si="25"/>
        <v/>
      </c>
      <c r="AY40" s="130" t="str">
        <f t="shared" ca="1" si="26"/>
        <v/>
      </c>
      <c r="AZ40" s="131"/>
      <c r="BA40" s="131"/>
      <c r="BB40" s="131"/>
      <c r="BC40" s="131"/>
      <c r="BD40" s="3" t="str">
        <f t="shared" si="27"/>
        <v/>
      </c>
      <c r="BE40" s="85" t="str">
        <f t="shared" ca="1" si="28"/>
        <v/>
      </c>
      <c r="BF40" s="62" t="str">
        <f t="shared" si="29"/>
        <v/>
      </c>
      <c r="BG40" s="3" t="str">
        <f t="shared" ca="1" si="30"/>
        <v/>
      </c>
      <c r="BH40" s="62" t="str">
        <f t="shared" ca="1" si="31"/>
        <v/>
      </c>
      <c r="BI40" s="3" t="str">
        <f t="shared" ca="1" si="32"/>
        <v/>
      </c>
      <c r="BJ40" s="62" t="str">
        <f t="shared" ca="1" si="33"/>
        <v/>
      </c>
      <c r="BK40" s="3" t="str">
        <f t="shared" ca="1" si="34"/>
        <v/>
      </c>
      <c r="BL40" s="62" t="str">
        <f t="shared" ca="1" si="35"/>
        <v/>
      </c>
      <c r="BM40" s="3" t="str">
        <f t="shared" ca="1" si="36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25">
        <f ca="1">IFERROR(IF(VLOOKUP(A40,OFFSET($AG$2,,,COUNTIF($AG$2:$AG$50,"?*"),23),2,FALSE)&lt;&gt;0,YEAR(VLOOKUP(A40,OFFSET($AG$2,,,COUNTIF($AG$2:$AG$50,"?*"),23),2,FALSE)),""),"")</f>
        <v>1996</v>
      </c>
      <c r="C41" s="326"/>
      <c r="D41" s="5">
        <f ca="1">IFERROR(VLOOKUP(A40,OFFSET($AG$2,,,COUNTIF($AG$2:$AG$50,"?*"),23),15,FALSE),"")</f>
        <v>25</v>
      </c>
      <c r="E41" s="316" t="str">
        <f ca="1">IFERROR(VLOOKUP(A40,OFFSET($AG$2,,,COUNTIF($AG$2:$AG$50,"?*"),23),16,FALSE),"")</f>
        <v>187/88</v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21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2"/>
        <v/>
      </c>
      <c r="AV41" s="128" t="str">
        <f t="shared" si="23"/>
        <v/>
      </c>
      <c r="AW41" s="129" t="str">
        <f t="shared" si="24"/>
        <v/>
      </c>
      <c r="AX41" s="130" t="str">
        <f t="shared" ca="1" si="25"/>
        <v/>
      </c>
      <c r="AY41" s="130" t="str">
        <f t="shared" ca="1" si="26"/>
        <v/>
      </c>
      <c r="AZ41" s="131"/>
      <c r="BA41" s="131"/>
      <c r="BB41" s="131"/>
      <c r="BC41" s="131"/>
      <c r="BD41" s="90" t="str">
        <f t="shared" si="27"/>
        <v/>
      </c>
      <c r="BE41" s="92" t="str">
        <f t="shared" ca="1" si="28"/>
        <v/>
      </c>
      <c r="BF41" s="91" t="str">
        <f t="shared" si="29"/>
        <v/>
      </c>
      <c r="BG41" s="90" t="str">
        <f t="shared" ca="1" si="30"/>
        <v/>
      </c>
      <c r="BH41" s="91" t="str">
        <f t="shared" ca="1" si="31"/>
        <v/>
      </c>
      <c r="BI41" s="90" t="str">
        <f t="shared" ca="1" si="32"/>
        <v/>
      </c>
      <c r="BJ41" s="91" t="str">
        <f t="shared" ca="1" si="33"/>
        <v/>
      </c>
      <c r="BK41" s="90" t="str">
        <f t="shared" ca="1" si="34"/>
        <v/>
      </c>
      <c r="BL41" s="91" t="str">
        <f t="shared" ca="1" si="35"/>
        <v/>
      </c>
      <c r="BM41" s="90" t="str">
        <f t="shared" ca="1" si="36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342" t="str">
        <f ca="1">IFERROR(VLOOKUP(A40,OFFSET($AG$2,,,COUNTIF($AG$2:$AG$50,"?*"),23),18,FALSE),"")</f>
        <v>0 V, 1 P</v>
      </c>
      <c r="C42" s="342"/>
      <c r="D42" s="343">
        <f ca="1">IFERROR(VLOOKUP(A40,OFFSET($S$45,,,COUNTIF($S$45:$S$50,"?*"),14),5,FALSE),"")</f>
        <v>8</v>
      </c>
      <c r="E42" s="344"/>
      <c r="F42" s="17">
        <f ca="1">IFERROR(VLOOKUP(A40,OFFSET($S$45,,,COUNTIF($S$45:$S$50,"?*"),14),14,FALSE),"")</f>
        <v>71.428571428571431</v>
      </c>
      <c r="H42" s="333"/>
      <c r="J42" s="322" t="s">
        <v>2</v>
      </c>
      <c r="K42" s="323"/>
      <c r="L42" s="323"/>
      <c r="M42" s="323"/>
      <c r="N42" s="323"/>
      <c r="O42" s="323"/>
      <c r="P42" s="323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2"/>
      <c r="AC42" s="103" t="str">
        <f t="shared" ca="1" si="21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2"/>
        <v/>
      </c>
      <c r="AV42" s="128" t="str">
        <f t="shared" si="23"/>
        <v/>
      </c>
      <c r="AW42" s="129" t="str">
        <f t="shared" si="24"/>
        <v/>
      </c>
      <c r="AX42" s="130" t="str">
        <f t="shared" ca="1" si="25"/>
        <v/>
      </c>
      <c r="AY42" s="130" t="str">
        <f t="shared" ca="1" si="26"/>
        <v/>
      </c>
      <c r="AZ42" s="131"/>
      <c r="BA42" s="131"/>
      <c r="BB42" s="131"/>
      <c r="BC42" s="131"/>
      <c r="BD42" s="3" t="str">
        <f t="shared" si="27"/>
        <v/>
      </c>
      <c r="BE42" s="85" t="str">
        <f t="shared" ca="1" si="28"/>
        <v/>
      </c>
      <c r="BF42" s="62" t="str">
        <f t="shared" si="29"/>
        <v/>
      </c>
      <c r="BG42" s="3" t="str">
        <f t="shared" ca="1" si="30"/>
        <v/>
      </c>
      <c r="BH42" s="62" t="str">
        <f t="shared" ca="1" si="31"/>
        <v/>
      </c>
      <c r="BI42" s="3" t="str">
        <f t="shared" ca="1" si="32"/>
        <v/>
      </c>
      <c r="BJ42" s="62" t="str">
        <f t="shared" ca="1" si="33"/>
        <v/>
      </c>
      <c r="BK42" s="3" t="str">
        <f t="shared" ca="1" si="34"/>
        <v/>
      </c>
      <c r="BL42" s="62" t="str">
        <f t="shared" ca="1" si="35"/>
        <v/>
      </c>
      <c r="BM42" s="3" t="str">
        <f t="shared" ca="1" si="36"/>
        <v/>
      </c>
    </row>
    <row r="43" spans="1:65" ht="15" customHeight="1" thickBot="1" x14ac:dyDescent="0.25">
      <c r="A43" s="335">
        <f ca="1">IFERROR(VLOOKUP(A40,OFFSET($S$45,,,COUNTIF($S$45:$S$50,"?*"),14),3,FALSE),"")</f>
        <v>60</v>
      </c>
      <c r="B43" s="336"/>
      <c r="C43" s="337">
        <f ca="1">IFERROR(VLOOKUP(A40,OFFSET($S$45,,,COUNTIF($S$45:$S$50,"?*"),14),13,FALSE),"")</f>
        <v>8</v>
      </c>
      <c r="D43" s="338"/>
      <c r="E43" s="339" t="str">
        <f ca="1">IFERROR(VLOOKUP(A40,OFFSET($AG$2,,,COUNTIF($AG$2:$AG$50,"?*"),23),19,FALSE),"")</f>
        <v>41 OZ, 2 A</v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>L</v>
      </c>
      <c r="K43" s="326">
        <f ca="1">IFERROR(IF(VLOOKUP(J42,OFFSET($AG$2,,,COUNTIF($AG$2:$AG$50,"?*"),23),2,FALSE)&lt;&gt;0,YEAR(VLOOKUP(J42,OFFSET($AG$2,,,COUNTIF($AG$2:$AG$50,"?*"),23),2,FALSE)),""),"")</f>
        <v>1992</v>
      </c>
      <c r="L43" s="334"/>
      <c r="M43" s="152">
        <f ca="1">IFERROR(VLOOKUP(J42,OFFSET($AG$2,,,COUNTIF($AG$2:$AG$50,"?*"),23),15,FALSE),"")</f>
        <v>29</v>
      </c>
      <c r="N43" s="334" t="str">
        <f ca="1">IFERROR(VLOOKUP(J42,OFFSET($AG$2,,,COUNTIF($AG$2:$AG$50,"?*"),23),16,FALSE),"")</f>
        <v>181/78</v>
      </c>
      <c r="O43" s="334"/>
      <c r="P43" s="334" t="str">
        <f ca="1">IFERROR(VLOOKUP(J42,OFFSET($AG$2,,,COUNTIF($AG$2:$AG$50,"?*"),23),18,FALSE),"")</f>
        <v>0 OZ, 0 (0+0)</v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2"/>
        <v/>
      </c>
      <c r="AV43" s="128" t="str">
        <f t="shared" si="23"/>
        <v/>
      </c>
      <c r="AW43" s="129" t="str">
        <f t="shared" si="24"/>
        <v/>
      </c>
      <c r="AX43" s="130" t="str">
        <f t="shared" ca="1" si="25"/>
        <v/>
      </c>
      <c r="AY43" s="130" t="str">
        <f t="shared" ca="1" si="26"/>
        <v/>
      </c>
      <c r="AZ43" s="131"/>
      <c r="BA43" s="131"/>
      <c r="BB43" s="131"/>
      <c r="BC43" s="131"/>
      <c r="BD43" s="90" t="str">
        <f t="shared" si="27"/>
        <v/>
      </c>
      <c r="BE43" s="92" t="str">
        <f t="shared" ca="1" si="28"/>
        <v/>
      </c>
      <c r="BF43" s="91" t="str">
        <f t="shared" si="29"/>
        <v/>
      </c>
      <c r="BG43" s="90" t="str">
        <f t="shared" ca="1" si="30"/>
        <v/>
      </c>
      <c r="BH43" s="91" t="str">
        <f t="shared" ca="1" si="31"/>
        <v/>
      </c>
      <c r="BI43" s="90" t="str">
        <f t="shared" ca="1" si="32"/>
        <v/>
      </c>
      <c r="BJ43" s="91" t="str">
        <f t="shared" ca="1" si="33"/>
        <v/>
      </c>
      <c r="BK43" s="90" t="str">
        <f t="shared" ca="1" si="34"/>
        <v/>
      </c>
      <c r="BL43" s="91" t="str">
        <f t="shared" ca="1" si="35"/>
        <v/>
      </c>
      <c r="BM43" s="90" t="str">
        <f t="shared" ca="1" si="36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>Chodov</v>
      </c>
      <c r="B44" s="328"/>
      <c r="C44" s="329"/>
      <c r="D44" s="330">
        <f ca="1">IFERROR(IF(VLOOKUP(A40,OFFSET($AG$2,,,COUNTIF($AG$2:$AG$50,"?*"),23),14,FALSE)&lt;&gt;0,VLOOKUP(A40,OFFSET($AG$2,,,COUNTIF($AG$2:$AG$50,"?*"),23),14,FALSE),"?"),"")</f>
        <v>2008</v>
      </c>
      <c r="E44" s="331"/>
      <c r="F44" s="19">
        <f ca="1">IFERROR(VLOOKUP(A40,OFFSET($S$45,,,COUNTIF($S$45:$S$50,"?*"),14),6,FALSE),"")</f>
        <v>0</v>
      </c>
      <c r="H44" s="333"/>
      <c r="J44" s="18">
        <f ca="1">IFERROR(IF(VLOOKUP(J42,OFFSET($AG$2,,,COUNTIF($AG$2:$AG$50,"?*"),23),7,FALSE)&lt;&gt;0,VLOOKUP(J42,OFFSET($AG$2,,,COUNTIF($AG$2:$AG$50,"?*"),23),7,FALSE),"?"),"")</f>
        <v>10</v>
      </c>
      <c r="K44" s="345" t="str">
        <f ca="1">IFERROR(VLOOKUP(J42,OFFSET($AG$2,,,COUNTIF($AG$2:$AG$50,"?*"),23),19,FALSE),"")</f>
        <v>141 OZ, 149 (90+59)</v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>Pelhřimov</v>
      </c>
      <c r="O44" s="346"/>
      <c r="P44" s="346"/>
      <c r="Q44" s="345">
        <f ca="1">IFERROR(IF(VLOOKUP(J42,OFFSET($AG$2,,,COUNTIF($AG$2:$AG$50,"?*"),23),14,FALSE)&lt;&gt;0,VLOOKUP(J42,OFFSET($AG$2,,,COUNTIF($AG$2:$AG$50,"?*"),23),14,FALSE),"?"),"")</f>
        <v>2003</v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2"/>
        <v/>
      </c>
      <c r="AV44" s="128" t="str">
        <f t="shared" si="23"/>
        <v/>
      </c>
      <c r="AW44" s="129" t="str">
        <f t="shared" si="24"/>
        <v/>
      </c>
      <c r="AX44" s="130" t="str">
        <f t="shared" ca="1" si="25"/>
        <v/>
      </c>
      <c r="AY44" s="130" t="str">
        <f t="shared" ca="1" si="26"/>
        <v/>
      </c>
      <c r="AZ44" s="131"/>
      <c r="BA44" s="131"/>
      <c r="BB44" s="131"/>
      <c r="BC44" s="131"/>
      <c r="BD44" s="3" t="str">
        <f t="shared" si="27"/>
        <v/>
      </c>
      <c r="BE44" s="85" t="str">
        <f t="shared" ca="1" si="28"/>
        <v/>
      </c>
      <c r="BF44" s="62" t="str">
        <f t="shared" si="29"/>
        <v/>
      </c>
      <c r="BG44" s="3" t="str">
        <f t="shared" ca="1" si="30"/>
        <v/>
      </c>
      <c r="BH44" s="62" t="str">
        <f t="shared" ca="1" si="31"/>
        <v/>
      </c>
      <c r="BI44" s="3" t="str">
        <f t="shared" ca="1" si="32"/>
        <v/>
      </c>
      <c r="BJ44" s="62" t="str">
        <f t="shared" ca="1" si="33"/>
        <v/>
      </c>
      <c r="BK44" s="3" t="str">
        <f t="shared" ca="1" si="34"/>
        <v/>
      </c>
      <c r="BL44" s="62" t="str">
        <f t="shared" ca="1" si="35"/>
        <v/>
      </c>
      <c r="BM44" s="3" t="str">
        <f t="shared" ca="1" si="36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15</v>
      </c>
      <c r="T45" s="103">
        <v>1</v>
      </c>
      <c r="U45" s="113">
        <v>60</v>
      </c>
      <c r="V45" s="103">
        <v>0</v>
      </c>
      <c r="W45" s="103">
        <v>8</v>
      </c>
      <c r="X45" s="103">
        <v>0</v>
      </c>
      <c r="Y45" s="103">
        <v>28</v>
      </c>
      <c r="Z45" s="103">
        <v>0</v>
      </c>
      <c r="AA45" s="103">
        <v>1</v>
      </c>
      <c r="AB45" s="103">
        <v>20</v>
      </c>
      <c r="AC45" s="103">
        <v>0</v>
      </c>
      <c r="AD45" s="103">
        <v>0</v>
      </c>
      <c r="AE45" s="113">
        <f>IF(S45&lt;&gt;"",IF(T45&gt;0,W45/(U45/60),0),"")</f>
        <v>8</v>
      </c>
      <c r="AF45" s="113">
        <f>IF(S45&lt;&gt;"",IF(Y45&gt;0,(AB45/Y45)*100,"-"),"")</f>
        <v>71.428571428571431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2"/>
        <v/>
      </c>
      <c r="AV45" s="128" t="str">
        <f t="shared" si="23"/>
        <v/>
      </c>
      <c r="AW45" s="129" t="str">
        <f t="shared" si="24"/>
        <v/>
      </c>
      <c r="AX45" s="130" t="str">
        <f t="shared" ca="1" si="25"/>
        <v/>
      </c>
      <c r="AY45" s="130" t="str">
        <f t="shared" ca="1" si="26"/>
        <v/>
      </c>
      <c r="AZ45" s="131"/>
      <c r="BA45" s="131"/>
      <c r="BB45" s="131"/>
      <c r="BC45" s="131"/>
      <c r="BD45" s="90" t="str">
        <f t="shared" si="27"/>
        <v/>
      </c>
      <c r="BE45" s="92" t="str">
        <f t="shared" ca="1" si="28"/>
        <v/>
      </c>
      <c r="BF45" s="91" t="str">
        <f t="shared" si="29"/>
        <v/>
      </c>
      <c r="BG45" s="90" t="str">
        <f t="shared" ca="1" si="30"/>
        <v/>
      </c>
      <c r="BH45" s="91" t="str">
        <f t="shared" ca="1" si="31"/>
        <v/>
      </c>
      <c r="BI45" s="90" t="str">
        <f t="shared" ca="1" si="32"/>
        <v/>
      </c>
      <c r="BJ45" s="91" t="str">
        <f t="shared" ca="1" si="33"/>
        <v/>
      </c>
      <c r="BK45" s="90" t="str">
        <f t="shared" ca="1" si="34"/>
        <v/>
      </c>
      <c r="BL45" s="91" t="str">
        <f t="shared" ca="1" si="35"/>
        <v/>
      </c>
      <c r="BM45" s="90" t="str">
        <f t="shared" ca="1" si="36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136</v>
      </c>
      <c r="T46" s="103">
        <v>1</v>
      </c>
      <c r="U46" s="113">
        <v>60</v>
      </c>
      <c r="V46" s="103">
        <v>0</v>
      </c>
      <c r="W46" s="103">
        <v>11</v>
      </c>
      <c r="X46" s="103">
        <v>0</v>
      </c>
      <c r="Y46" s="103">
        <v>29</v>
      </c>
      <c r="Z46" s="103">
        <v>0</v>
      </c>
      <c r="AA46" s="103">
        <v>1</v>
      </c>
      <c r="AB46" s="103">
        <v>18</v>
      </c>
      <c r="AC46" s="103">
        <v>0</v>
      </c>
      <c r="AD46" s="103">
        <v>0</v>
      </c>
      <c r="AE46" s="113">
        <f t="shared" ref="AE46:AE50" si="37">IF(S46&lt;&gt;"",IF(T46&gt;0,W46/(U46/60),0),"")</f>
        <v>11</v>
      </c>
      <c r="AF46" s="113">
        <f t="shared" ref="AF46:AF50" si="38">IF(S46&lt;&gt;"",IF(Y46&gt;0,(AB46/Y46)*100,"-"),"")</f>
        <v>62.068965517241381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2"/>
        <v/>
      </c>
      <c r="AV46" s="128" t="str">
        <f t="shared" si="23"/>
        <v/>
      </c>
      <c r="AW46" s="129" t="str">
        <f t="shared" si="24"/>
        <v/>
      </c>
      <c r="AX46" s="130" t="str">
        <f t="shared" ca="1" si="25"/>
        <v/>
      </c>
      <c r="AY46" s="130" t="str">
        <f t="shared" ca="1" si="26"/>
        <v/>
      </c>
      <c r="AZ46" s="131"/>
      <c r="BA46" s="131"/>
      <c r="BB46" s="131"/>
      <c r="BC46" s="131"/>
      <c r="BD46" s="3" t="str">
        <f t="shared" si="27"/>
        <v/>
      </c>
      <c r="BE46" s="85" t="str">
        <f t="shared" ca="1" si="28"/>
        <v/>
      </c>
      <c r="BF46" s="62" t="str">
        <f t="shared" si="29"/>
        <v/>
      </c>
      <c r="BG46" s="3" t="str">
        <f t="shared" ca="1" si="30"/>
        <v/>
      </c>
      <c r="BH46" s="62" t="str">
        <f t="shared" ca="1" si="31"/>
        <v/>
      </c>
      <c r="BI46" s="3" t="str">
        <f t="shared" ca="1" si="32"/>
        <v/>
      </c>
      <c r="BJ46" s="62" t="str">
        <f t="shared" ca="1" si="33"/>
        <v/>
      </c>
      <c r="BK46" s="3" t="str">
        <f t="shared" ca="1" si="34"/>
        <v/>
      </c>
      <c r="BL46" s="62" t="str">
        <f t="shared" ca="1" si="35"/>
        <v/>
      </c>
      <c r="BM46" s="3" t="str">
        <f t="shared" ca="1" si="36"/>
        <v/>
      </c>
    </row>
    <row r="47" spans="1:65" ht="15" customHeight="1" thickTop="1" x14ac:dyDescent="0.2">
      <c r="A47" s="362" t="s">
        <v>20</v>
      </c>
      <c r="B47" s="363"/>
      <c r="C47" s="363"/>
      <c r="D47" s="363"/>
      <c r="E47" s="358" t="str">
        <f ca="1">IFERROR(VLOOKUP(A47,OFFSET($BN$2,,,COUNTIF($BN$2:$BN$11,"?*"),5),3,FALSE),"")</f>
        <v>trenér</v>
      </c>
      <c r="F47" s="358"/>
      <c r="G47" s="358"/>
      <c r="H47" s="358"/>
      <c r="I47" s="359"/>
      <c r="J47" s="362" t="s">
        <v>21</v>
      </c>
      <c r="K47" s="363"/>
      <c r="L47" s="363"/>
      <c r="M47" s="363"/>
      <c r="N47" s="358" t="str">
        <f ca="1">IFERROR(VLOOKUP(J47,OFFSET($BN$2,,,COUNTIF($BN$2:$BN$11,"?*"),5),3,FALSE),"")</f>
        <v>trenér</v>
      </c>
      <c r="O47" s="358"/>
      <c r="P47" s="358"/>
      <c r="Q47" s="358"/>
      <c r="R47" s="359"/>
      <c r="S47" s="112"/>
      <c r="U47" s="113"/>
      <c r="AE47" s="113" t="str">
        <f t="shared" si="37"/>
        <v/>
      </c>
      <c r="AF47" s="113" t="str">
        <f t="shared" si="38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2"/>
        <v/>
      </c>
      <c r="AV47" s="128" t="str">
        <f t="shared" si="23"/>
        <v/>
      </c>
      <c r="AW47" s="129" t="str">
        <f t="shared" si="24"/>
        <v/>
      </c>
      <c r="AX47" s="130" t="str">
        <f t="shared" ca="1" si="25"/>
        <v/>
      </c>
      <c r="AY47" s="130" t="str">
        <f t="shared" ca="1" si="26"/>
        <v/>
      </c>
      <c r="AZ47" s="131"/>
      <c r="BA47" s="131"/>
      <c r="BB47" s="131"/>
      <c r="BC47" s="131"/>
      <c r="BD47" s="90" t="str">
        <f t="shared" si="27"/>
        <v/>
      </c>
      <c r="BE47" s="92" t="str">
        <f t="shared" ca="1" si="28"/>
        <v/>
      </c>
      <c r="BF47" s="91" t="str">
        <f t="shared" si="29"/>
        <v/>
      </c>
      <c r="BG47" s="90" t="str">
        <f t="shared" ca="1" si="30"/>
        <v/>
      </c>
      <c r="BH47" s="91" t="str">
        <f t="shared" ca="1" si="31"/>
        <v/>
      </c>
      <c r="BI47" s="90" t="str">
        <f t="shared" ca="1" si="32"/>
        <v/>
      </c>
      <c r="BJ47" s="91" t="str">
        <f t="shared" ca="1" si="33"/>
        <v/>
      </c>
      <c r="BK47" s="90" t="str">
        <f t="shared" ca="1" si="34"/>
        <v/>
      </c>
      <c r="BL47" s="91" t="str">
        <f t="shared" ca="1" si="35"/>
        <v/>
      </c>
      <c r="BM47" s="90" t="str">
        <f t="shared" ca="1" si="36"/>
        <v/>
      </c>
    </row>
    <row r="48" spans="1:65" ht="15" customHeight="1" thickBot="1" x14ac:dyDescent="0.25">
      <c r="A48" s="348">
        <f ca="1">IFERROR(VLOOKUP(A47,OFFSET($BN$2,,,COUNTIF($BN$2:$BN$11,"?*"),5),5,FALSE),"")</f>
        <v>38</v>
      </c>
      <c r="B48" s="350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50"/>
      <c r="D48" s="350"/>
      <c r="E48" s="350"/>
      <c r="F48" s="350"/>
      <c r="G48" s="350"/>
      <c r="H48" s="350"/>
      <c r="I48" s="351"/>
      <c r="J48" s="24">
        <f ca="1">IFERROR(VLOOKUP(J47,OFFSET($BN$2,,,COUNTIF($BN$2:$BN$11,"?*"),5),5,FALSE),"")</f>
        <v>35</v>
      </c>
      <c r="K48" s="354" t="str">
        <f ca="1">IFERROR(IF(VLOOKUP(J47,OFFSET($BN$2,,,COUNTIF($BN$2:$BN$11,"?*"),5),4,FALSE)&lt;&gt;0,VLOOKUP(J47,OFFSET($BN$2,,,COUNTIF($BN$2:$BN$11,"?*"),5),4,FALSE),"-"),"")</f>
        <v>2x mistr české ligy (Chodov)</v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37"/>
        <v/>
      </c>
      <c r="AF48" s="113" t="str">
        <f t="shared" si="38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2"/>
        <v/>
      </c>
      <c r="AV48" s="128" t="str">
        <f t="shared" si="23"/>
        <v/>
      </c>
      <c r="AW48" s="129" t="str">
        <f t="shared" si="24"/>
        <v/>
      </c>
      <c r="AX48" s="130" t="str">
        <f t="shared" ca="1" si="25"/>
        <v/>
      </c>
      <c r="AY48" s="130" t="str">
        <f t="shared" ca="1" si="26"/>
        <v/>
      </c>
      <c r="AZ48" s="131"/>
      <c r="BA48" s="131"/>
      <c r="BB48" s="131"/>
      <c r="BC48" s="131"/>
      <c r="BD48" s="3" t="str">
        <f t="shared" si="27"/>
        <v/>
      </c>
      <c r="BE48" s="85" t="str">
        <f t="shared" ca="1" si="28"/>
        <v/>
      </c>
      <c r="BF48" s="62" t="str">
        <f t="shared" si="29"/>
        <v/>
      </c>
      <c r="BG48" s="3" t="str">
        <f t="shared" ca="1" si="30"/>
        <v/>
      </c>
      <c r="BH48" s="62" t="str">
        <f t="shared" ca="1" si="31"/>
        <v/>
      </c>
      <c r="BI48" s="3" t="str">
        <f t="shared" ca="1" si="32"/>
        <v/>
      </c>
      <c r="BJ48" s="62" t="str">
        <f t="shared" ca="1" si="33"/>
        <v/>
      </c>
      <c r="BK48" s="3" t="str">
        <f t="shared" ca="1" si="34"/>
        <v/>
      </c>
      <c r="BL48" s="62" t="str">
        <f t="shared" ca="1" si="35"/>
        <v/>
      </c>
      <c r="BM48" s="3" t="str">
        <f t="shared" ca="1" si="36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 t="s">
        <v>22</v>
      </c>
      <c r="K49" s="357"/>
      <c r="L49" s="357"/>
      <c r="M49" s="357"/>
      <c r="N49" s="358" t="str">
        <f ca="1">IFERROR(VLOOKUP(J49,OFFSET($BN$2,,,COUNTIF($BN$2:$BN$11,"?*"),5),3,FALSE),"")</f>
        <v>kondiční trenér</v>
      </c>
      <c r="O49" s="358"/>
      <c r="P49" s="358"/>
      <c r="Q49" s="358"/>
      <c r="R49" s="359"/>
      <c r="S49" s="112"/>
      <c r="U49" s="113"/>
      <c r="AE49" s="113" t="str">
        <f t="shared" si="37"/>
        <v/>
      </c>
      <c r="AF49" s="113" t="str">
        <f t="shared" si="38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2"/>
        <v/>
      </c>
      <c r="AV49" s="128" t="str">
        <f t="shared" si="23"/>
        <v/>
      </c>
      <c r="AW49" s="129" t="str">
        <f t="shared" si="24"/>
        <v/>
      </c>
      <c r="AX49" s="130" t="str">
        <f t="shared" ca="1" si="25"/>
        <v/>
      </c>
      <c r="AY49" s="130" t="str">
        <f t="shared" ca="1" si="26"/>
        <v/>
      </c>
      <c r="AZ49" s="131"/>
      <c r="BA49" s="131"/>
      <c r="BB49" s="131"/>
      <c r="BC49" s="131"/>
      <c r="BD49" s="90" t="str">
        <f t="shared" si="27"/>
        <v/>
      </c>
      <c r="BE49" s="92" t="str">
        <f t="shared" ca="1" si="28"/>
        <v/>
      </c>
      <c r="BF49" s="91" t="str">
        <f t="shared" si="29"/>
        <v/>
      </c>
      <c r="BG49" s="90" t="str">
        <f t="shared" ca="1" si="30"/>
        <v/>
      </c>
      <c r="BH49" s="91" t="str">
        <f t="shared" ca="1" si="31"/>
        <v/>
      </c>
      <c r="BI49" s="90" t="str">
        <f t="shared" ca="1" si="32"/>
        <v/>
      </c>
      <c r="BJ49" s="91" t="str">
        <f t="shared" ca="1" si="33"/>
        <v/>
      </c>
      <c r="BK49" s="90" t="str">
        <f t="shared" ca="1" si="34"/>
        <v/>
      </c>
      <c r="BL49" s="91" t="str">
        <f t="shared" ca="1" si="35"/>
        <v/>
      </c>
      <c r="BM49" s="90" t="str">
        <f t="shared" ca="1" si="36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24">
        <f ca="1">IFERROR(VLOOKUP(J49,OFFSET($BN$2,,,COUNTIF($BN$2:$BN$11,"?*"),5),5,FALSE),"")</f>
        <v>31</v>
      </c>
      <c r="K50" s="354" t="str">
        <f ca="1">IFERROR(IF(VLOOKUP(J49,OFFSET($BN$2,,,COUNTIF($BN$2:$BN$11,"?*"),5),4,FALSE)&lt;&gt;0,VLOOKUP(J49,OFFSET($BN$2,,,COUNTIF($BN$2:$BN$11,"?*"),5),4,FALSE),"-"),"")</f>
        <v>postup do Tipsport superligy (hráč)</v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37"/>
        <v/>
      </c>
      <c r="AF50" s="113" t="str">
        <f t="shared" si="38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2"/>
        <v/>
      </c>
      <c r="AV50" s="128" t="str">
        <f t="shared" si="23"/>
        <v/>
      </c>
      <c r="AW50" s="129" t="str">
        <f t="shared" si="24"/>
        <v/>
      </c>
      <c r="AX50" s="130" t="str">
        <f t="shared" ca="1" si="25"/>
        <v/>
      </c>
      <c r="AY50" s="130" t="str">
        <f t="shared" ca="1" si="26"/>
        <v/>
      </c>
      <c r="AZ50" s="131"/>
      <c r="BA50" s="131"/>
      <c r="BB50" s="131"/>
      <c r="BC50" s="131"/>
      <c r="BD50" s="3" t="str">
        <f t="shared" si="27"/>
        <v/>
      </c>
      <c r="BE50" s="85" t="str">
        <f t="shared" ca="1" si="28"/>
        <v/>
      </c>
      <c r="BF50" s="62" t="str">
        <f t="shared" si="29"/>
        <v/>
      </c>
      <c r="BG50" s="3" t="str">
        <f t="shared" ca="1" si="30"/>
        <v/>
      </c>
      <c r="BH50" s="62" t="str">
        <f t="shared" ca="1" si="31"/>
        <v/>
      </c>
      <c r="BI50" s="3" t="str">
        <f t="shared" ca="1" si="32"/>
        <v/>
      </c>
      <c r="BJ50" s="62" t="str">
        <f t="shared" ca="1" si="33"/>
        <v/>
      </c>
      <c r="BK50" s="3" t="str">
        <f t="shared" ca="1" si="34"/>
        <v/>
      </c>
      <c r="BL50" s="62" t="str">
        <f t="shared" ca="1" si="35"/>
        <v/>
      </c>
      <c r="BM50" s="3" t="str">
        <f t="shared" ca="1" si="36"/>
        <v/>
      </c>
    </row>
    <row r="51" spans="1:65" ht="15" thickTop="1" x14ac:dyDescent="0.2"/>
  </sheetData>
  <sheetProtection selectLockedCells="1"/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814</v>
      </c>
      <c r="U2" s="103">
        <v>2</v>
      </c>
      <c r="V2" s="103">
        <v>2</v>
      </c>
      <c r="W2" s="103">
        <v>1</v>
      </c>
      <c r="X2" s="103">
        <v>0</v>
      </c>
      <c r="Y2" s="103">
        <v>2</v>
      </c>
      <c r="Z2" s="103">
        <v>4</v>
      </c>
      <c r="AA2" s="103">
        <v>2</v>
      </c>
      <c r="AB2" s="103">
        <v>2</v>
      </c>
      <c r="AC2" s="103" t="str">
        <f t="shared" ref="AC2:AC20" ca="1" si="0">IF(S2&lt;&gt;"",IFERROR(IF(VLOOKUP(S2,OFFSET($AG$2,,,COUNTIF($AG$2:$AG$50,"?*")),1,FALSE)&lt;&gt;0,"ANO","NE"),"NE"),"")</f>
        <v>ANO</v>
      </c>
      <c r="AG2" s="122" t="s">
        <v>815</v>
      </c>
      <c r="AH2" s="123"/>
      <c r="AI2" s="124"/>
      <c r="AJ2" s="124"/>
      <c r="AK2" s="124"/>
      <c r="AL2" s="125">
        <f t="shared" ref="AL2:AL21" si="1"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t="shared" ref="AU2:AU33" ca="1" si="2">IF(AG2&lt;&gt;"",IF(AH2&lt;&gt;"",INT((TODAY()-AH2)/365),"?"),"")</f>
        <v>?</v>
      </c>
      <c r="AV2" s="128" t="str">
        <f t="shared" ref="AV2:AV33" si="3">IF(AG2&lt;&gt;"",CONCATENATE(IF(AQ2&lt;&gt;"",AQ2,"? "),"/",IF(AR2&lt;&gt;"",AR2," ?")),"")</f>
        <v>? / ?</v>
      </c>
      <c r="AW2" s="129" t="str">
        <f t="shared" ref="AW2:AW33" ca="1" si="4">IF(AG2&lt;&gt;"",IF(BE2=1,BD2,IF(BH2=1,BG2,IF(BJ2=1,BI2,IF(BL2=1,BK2,BM2)))),"")</f>
        <v>Bauman</v>
      </c>
      <c r="AX2" s="130" t="str">
        <f t="shared" ref="AX2:AX3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2 (2+0), +1 ±</v>
      </c>
      <c r="AY2" s="130" t="str">
        <f t="shared" ref="AY2:AY3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2 (2+0)</v>
      </c>
      <c r="AZ2" s="131"/>
      <c r="BA2" s="131"/>
      <c r="BB2" s="131"/>
      <c r="BC2" s="131"/>
      <c r="BD2" s="3" t="str">
        <f t="shared" ref="BD2:BD50" si="7">IF(AG2&lt;&gt;"",RIGHT(AG2,LEN(AG2)-SEARCH(" ",AG2)),"")</f>
        <v>Bauman</v>
      </c>
      <c r="BE2" s="85">
        <f t="shared" ref="BE2:BE50" ca="1" si="8">IF(AG2&lt;&gt;"",COUNTIF(OFFSET($BD$2,,,COUNTIF($AG$2:$AG$50,"?*")),BD2),"")</f>
        <v>1</v>
      </c>
      <c r="BF2" s="62" t="str">
        <f t="shared" ref="BF2:BF50" si="9">IF(AG2&lt;&gt;"",LEFT(AG2,1),"")</f>
        <v>J</v>
      </c>
      <c r="BG2" s="3" t="str">
        <f t="shared" ref="BG2:BG50" ca="1" si="10">IF(AND($AG2&lt;&gt;"",BE2&gt;1),CONCATENATE($BD2," ",LEFT($AG2,MIN(1,SEARCH(" ",$AG2)-1)),IF(SEARCH(" ",$AG2)-1&gt;1,".",""),""),"")</f>
        <v/>
      </c>
      <c r="BH2" s="62">
        <f t="shared" ref="BH2:BH50" ca="1" si="11">IF(BG2&lt;&gt;"",COUNTIF(OFFSET(BG$2,,,COUNTIF($AG$2:$AG$50,"?*")),BG2),IF($AG2&lt;&gt;"",0,""))</f>
        <v>0</v>
      </c>
      <c r="BI2" s="3" t="str">
        <f t="shared" ref="BI2:BI50" ca="1" si="12">IF(AND($AG2&lt;&gt;"",BH2&gt;1),CONCATENATE($BD2," ",LEFT($AG2,MIN(2,SEARCH(" ",$AG2)-1)),IF(SEARCH(" ",$AG2)-1&gt;2,".",""),""),"")</f>
        <v/>
      </c>
      <c r="BJ2" s="62">
        <f t="shared" ref="BJ2:BJ50" ca="1" si="13">IF(BI2&lt;&gt;"",COUNTIF(OFFSET(BI$2,,,COUNTIF($AG$2:$AG$50,"?*")),BI2),IF($AG2&lt;&gt;"",0,""))</f>
        <v>0</v>
      </c>
      <c r="BK2" s="3" t="str">
        <f t="shared" ref="BK2:BK50" ca="1" si="14">IF(AND($AG2&lt;&gt;"",BJ2&gt;1),CONCATENATE($BD2," ",LEFT($AG2,MIN(3,SEARCH(" ",$AG2)-1)),IF(SEARCH(" ",$AG2)-1&gt;3,".",""),""),"")</f>
        <v/>
      </c>
      <c r="BL2" s="62">
        <f t="shared" ref="BL2:BL50" ca="1" si="15">IF(BK2&lt;&gt;"",COUNTIF(OFFSET(BK$2,,,COUNTIF($AG$2:$AG$50,"?*")),BK2),IF($AG2&lt;&gt;"",0,""))</f>
        <v>0</v>
      </c>
      <c r="BM2" s="3" t="str">
        <f t="shared" ref="BM2:BM50" ca="1" si="16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61" t="s">
        <v>36</v>
      </c>
      <c r="BT2" s="105" t="s">
        <v>834</v>
      </c>
      <c r="BU2" s="104">
        <v>4</v>
      </c>
      <c r="BV2" s="105" t="str">
        <f>IFERROR(RIGHT(BT2,LEN(BT2)-SEARCH(" ",BT2)),"")</f>
        <v>Jakub Hromada</v>
      </c>
      <c r="BW2" s="103">
        <f>IF(BT2&lt;&gt;0,_xlfn.NUMBERVALUE(BU2,","),"")</f>
        <v>4</v>
      </c>
      <c r="BX2" s="360" t="s">
        <v>233</v>
      </c>
      <c r="BY2" s="104" t="s">
        <v>225</v>
      </c>
      <c r="BZ2" s="104" t="s">
        <v>104</v>
      </c>
      <c r="CA2" s="116" t="s">
        <v>932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817</v>
      </c>
      <c r="T3" s="103" t="s">
        <v>133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1</v>
      </c>
      <c r="AC3" s="103" t="str">
        <f t="shared" ca="1" si="0"/>
        <v>ANO</v>
      </c>
      <c r="AG3" s="122" t="s">
        <v>821</v>
      </c>
      <c r="AH3" s="123"/>
      <c r="AI3" s="124"/>
      <c r="AJ3" s="124"/>
      <c r="AK3" s="124"/>
      <c r="AL3" s="125">
        <f t="shared" si="1"/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t="shared" ca="1" si="2"/>
        <v>?</v>
      </c>
      <c r="AV3" s="128" t="str">
        <f t="shared" si="3"/>
        <v>? / ?</v>
      </c>
      <c r="AW3" s="129" t="str">
        <f t="shared" ca="1" si="4"/>
        <v>Boček J.</v>
      </c>
      <c r="AX3" s="130" t="str">
        <f t="shared" ca="1" si="5"/>
        <v>2 OZ, 2 (1+1), +1 ±</v>
      </c>
      <c r="AY3" s="130" t="str">
        <f t="shared" ca="1" si="6"/>
        <v>2 OZ, 2 (1+1)</v>
      </c>
      <c r="AZ3" s="131"/>
      <c r="BA3" s="131"/>
      <c r="BB3" s="131"/>
      <c r="BC3" s="131"/>
      <c r="BD3" s="90" t="str">
        <f t="shared" si="7"/>
        <v>Boček</v>
      </c>
      <c r="BE3" s="92">
        <f t="shared" ca="1" si="8"/>
        <v>2</v>
      </c>
      <c r="BF3" s="91" t="str">
        <f t="shared" si="9"/>
        <v>J</v>
      </c>
      <c r="BG3" s="90" t="str">
        <f t="shared" ca="1" si="10"/>
        <v>Boček J.</v>
      </c>
      <c r="BH3" s="91">
        <f t="shared" ca="1" si="11"/>
        <v>1</v>
      </c>
      <c r="BI3" s="90" t="str">
        <f t="shared" ca="1" si="12"/>
        <v/>
      </c>
      <c r="BJ3" s="91">
        <f t="shared" ca="1" si="13"/>
        <v>0</v>
      </c>
      <c r="BK3" s="90" t="str">
        <f t="shared" ca="1" si="14"/>
        <v/>
      </c>
      <c r="BL3" s="91">
        <f t="shared" ca="1" si="15"/>
        <v>0</v>
      </c>
      <c r="BM3" s="90" t="str">
        <f t="shared" ca="1" si="16"/>
        <v/>
      </c>
      <c r="BN3" s="127"/>
      <c r="BO3" s="123"/>
      <c r="BP3" s="132"/>
      <c r="BQ3" s="133"/>
      <c r="BR3" s="128" t="str">
        <f t="shared" ref="BR3:BR11" ca="1" si="17">IF(BN3&lt;&gt;"",IF(BO3&lt;&gt;"",INT((TODAY()-BO3)/365),"?"),"")</f>
        <v/>
      </c>
      <c r="BS3" s="361"/>
      <c r="BT3" s="105" t="s">
        <v>934</v>
      </c>
      <c r="BU3" s="104">
        <v>3</v>
      </c>
      <c r="BV3" s="105" t="str">
        <f t="shared" ref="BV3:BV31" si="18">IFERROR(RIGHT(BT3,LEN(BT3)-SEARCH(" ",BT3)),"")</f>
        <v>Tomáš Hanák</v>
      </c>
      <c r="BW3" s="103">
        <f t="shared" ref="BW3:BW31" si="19">IF(BT3&lt;&gt;0,_xlfn.NUMBERVALUE(BU3,","),"")</f>
        <v>3</v>
      </c>
      <c r="BX3" s="360"/>
      <c r="BY3" s="104" t="s">
        <v>294</v>
      </c>
      <c r="BZ3" s="104" t="s">
        <v>107</v>
      </c>
      <c r="CA3" s="116" t="s">
        <v>843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820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1</v>
      </c>
      <c r="AC4" s="103" t="str">
        <f t="shared" ca="1" si="0"/>
        <v>ANO</v>
      </c>
      <c r="AG4" s="122" t="s">
        <v>819</v>
      </c>
      <c r="AH4" s="123"/>
      <c r="AI4" s="124"/>
      <c r="AJ4" s="124"/>
      <c r="AK4" s="124"/>
      <c r="AL4" s="125">
        <f t="shared" si="1"/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t="shared" ca="1" si="2"/>
        <v>?</v>
      </c>
      <c r="AV4" s="128" t="str">
        <f t="shared" si="3"/>
        <v>? / ?</v>
      </c>
      <c r="AW4" s="129" t="str">
        <f t="shared" ca="1" si="4"/>
        <v>Boček M.</v>
      </c>
      <c r="AX4" s="130" t="str">
        <f t="shared" ca="1" si="5"/>
        <v>2 OZ, 2 (1+1), +2 ±</v>
      </c>
      <c r="AY4" s="130" t="str">
        <f t="shared" ca="1" si="6"/>
        <v>2 OZ, 2 (1+1)</v>
      </c>
      <c r="AZ4" s="131"/>
      <c r="BA4" s="131"/>
      <c r="BB4" s="131"/>
      <c r="BC4" s="131"/>
      <c r="BD4" s="3" t="str">
        <f t="shared" si="7"/>
        <v>Boček</v>
      </c>
      <c r="BE4" s="85">
        <f t="shared" ca="1" si="8"/>
        <v>2</v>
      </c>
      <c r="BF4" s="62" t="str">
        <f t="shared" si="9"/>
        <v>M</v>
      </c>
      <c r="BG4" s="3" t="str">
        <f t="shared" ca="1" si="10"/>
        <v>Boček M.</v>
      </c>
      <c r="BH4" s="62">
        <f t="shared" ca="1" si="11"/>
        <v>1</v>
      </c>
      <c r="BI4" s="3" t="str">
        <f t="shared" ca="1" si="12"/>
        <v/>
      </c>
      <c r="BJ4" s="62">
        <f t="shared" ca="1" si="13"/>
        <v>0</v>
      </c>
      <c r="BK4" s="3" t="str">
        <f t="shared" ca="1" si="14"/>
        <v/>
      </c>
      <c r="BL4" s="62">
        <f t="shared" ca="1" si="15"/>
        <v>0</v>
      </c>
      <c r="BM4" s="3" t="str">
        <f t="shared" ca="1" si="16"/>
        <v/>
      </c>
      <c r="BN4" s="127"/>
      <c r="BO4" s="123"/>
      <c r="BP4" s="132"/>
      <c r="BQ4" s="133"/>
      <c r="BR4" s="128" t="str">
        <f t="shared" ca="1" si="17"/>
        <v/>
      </c>
      <c r="BS4" s="361"/>
      <c r="BT4" s="105" t="s">
        <v>935</v>
      </c>
      <c r="BU4" s="104">
        <v>3</v>
      </c>
      <c r="BV4" s="105" t="str">
        <f t="shared" si="18"/>
        <v>Radek Hanák</v>
      </c>
      <c r="BW4" s="103">
        <f t="shared" si="19"/>
        <v>3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R5" s="13"/>
      <c r="S5" s="111" t="s">
        <v>815</v>
      </c>
      <c r="T5" s="103" t="s">
        <v>68</v>
      </c>
      <c r="U5" s="103">
        <v>2</v>
      </c>
      <c r="V5" s="103">
        <v>2</v>
      </c>
      <c r="W5" s="103">
        <v>1</v>
      </c>
      <c r="X5" s="103">
        <v>0</v>
      </c>
      <c r="Y5" s="103">
        <v>0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818</v>
      </c>
      <c r="AH5" s="123"/>
      <c r="AI5" s="124"/>
      <c r="AJ5" s="124"/>
      <c r="AK5" s="124"/>
      <c r="AL5" s="125">
        <f t="shared" si="1"/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t="shared" ca="1" si="2"/>
        <v>?</v>
      </c>
      <c r="AV5" s="128" t="str">
        <f t="shared" si="3"/>
        <v>? / ?</v>
      </c>
      <c r="AW5" s="129" t="str">
        <f t="shared" ca="1" si="4"/>
        <v>Bouček</v>
      </c>
      <c r="AX5" s="130" t="str">
        <f t="shared" ca="1" si="5"/>
        <v>2 OZ, 2 (0+2), +1 ±</v>
      </c>
      <c r="AY5" s="130" t="str">
        <f t="shared" ca="1" si="6"/>
        <v>2 OZ, 2 (0+2)</v>
      </c>
      <c r="AZ5" s="131"/>
      <c r="BA5" s="131"/>
      <c r="BB5" s="131"/>
      <c r="BC5" s="131"/>
      <c r="BD5" s="90" t="str">
        <f t="shared" si="7"/>
        <v>Bouček</v>
      </c>
      <c r="BE5" s="92">
        <f t="shared" ca="1" si="8"/>
        <v>1</v>
      </c>
      <c r="BF5" s="91" t="str">
        <f t="shared" si="9"/>
        <v>A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3"/>
        <v>0</v>
      </c>
      <c r="BK5" s="90" t="str">
        <f t="shared" ca="1" si="14"/>
        <v/>
      </c>
      <c r="BL5" s="91">
        <f t="shared" ca="1" si="15"/>
        <v>0</v>
      </c>
      <c r="BM5" s="90" t="str">
        <f t="shared" ca="1" si="16"/>
        <v/>
      </c>
      <c r="BN5" s="127"/>
      <c r="BO5" s="123"/>
      <c r="BP5" s="132"/>
      <c r="BQ5" s="133"/>
      <c r="BR5" s="128" t="str">
        <f t="shared" ca="1" si="17"/>
        <v/>
      </c>
      <c r="BS5" s="361"/>
      <c r="BT5" s="105" t="s">
        <v>936</v>
      </c>
      <c r="BU5" s="104">
        <v>2</v>
      </c>
      <c r="BV5" s="105" t="str">
        <f t="shared" si="18"/>
        <v>Jan Bauman</v>
      </c>
      <c r="BW5" s="103">
        <f t="shared" si="19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816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0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816</v>
      </c>
      <c r="AH6" s="123"/>
      <c r="AI6" s="124"/>
      <c r="AJ6" s="124"/>
      <c r="AK6" s="124"/>
      <c r="AL6" s="125">
        <f t="shared" si="1"/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t="shared" ca="1" si="2"/>
        <v>?</v>
      </c>
      <c r="AV6" s="128" t="str">
        <f t="shared" si="3"/>
        <v>? / ?</v>
      </c>
      <c r="AW6" s="129" t="str">
        <f t="shared" ca="1" si="4"/>
        <v>Burian</v>
      </c>
      <c r="AX6" s="130" t="str">
        <f t="shared" ca="1" si="5"/>
        <v>2 OZ, 2 (2+0), +1 ±</v>
      </c>
      <c r="AY6" s="130" t="str">
        <f t="shared" ca="1" si="6"/>
        <v>2 OZ, 2 (2+0)</v>
      </c>
      <c r="AZ6" s="131"/>
      <c r="BA6" s="131"/>
      <c r="BB6" s="131"/>
      <c r="BC6" s="131"/>
      <c r="BD6" s="3" t="str">
        <f t="shared" si="7"/>
        <v>Burian</v>
      </c>
      <c r="BE6" s="85">
        <f t="shared" ca="1" si="8"/>
        <v>1</v>
      </c>
      <c r="BF6" s="62" t="str">
        <f t="shared" si="9"/>
        <v>M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3"/>
        <v>0</v>
      </c>
      <c r="BK6" s="3" t="str">
        <f t="shared" ca="1" si="14"/>
        <v/>
      </c>
      <c r="BL6" s="62">
        <f t="shared" ca="1" si="15"/>
        <v>0</v>
      </c>
      <c r="BM6" s="3" t="str">
        <f t="shared" ca="1" si="16"/>
        <v/>
      </c>
      <c r="BN6" s="127"/>
      <c r="BO6" s="123"/>
      <c r="BP6" s="132"/>
      <c r="BQ6" s="133"/>
      <c r="BR6" s="128" t="str">
        <f t="shared" ca="1" si="17"/>
        <v/>
      </c>
      <c r="BS6" s="361"/>
      <c r="BT6" s="105" t="s">
        <v>937</v>
      </c>
      <c r="BU6" s="104">
        <v>2</v>
      </c>
      <c r="BV6" s="105" t="str">
        <f t="shared" si="18"/>
        <v>Matouš Burian</v>
      </c>
      <c r="BW6" s="103">
        <f t="shared" si="19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819</v>
      </c>
      <c r="T7" s="103" t="s">
        <v>133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2</v>
      </c>
      <c r="AB7" s="103">
        <v>2</v>
      </c>
      <c r="AC7" s="103" t="str">
        <f t="shared" ca="1" si="0"/>
        <v>ANO</v>
      </c>
      <c r="AG7" s="122" t="s">
        <v>827</v>
      </c>
      <c r="AH7" s="123"/>
      <c r="AI7" s="124"/>
      <c r="AJ7" s="124"/>
      <c r="AK7" s="124"/>
      <c r="AL7" s="125">
        <f t="shared" si="1"/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t="shared" ca="1" si="2"/>
        <v>?</v>
      </c>
      <c r="AV7" s="128" t="str">
        <f t="shared" si="3"/>
        <v>? / ?</v>
      </c>
      <c r="AW7" s="129" t="str">
        <f t="shared" ca="1" si="4"/>
        <v>Fryš</v>
      </c>
      <c r="AX7" s="130" t="str">
        <f t="shared" ca="1" si="5"/>
        <v>2 OZ, 0 (0+0), 0 ±</v>
      </c>
      <c r="AY7" s="130" t="str">
        <f t="shared" ca="1" si="6"/>
        <v>2 OZ, 0 (0+0)</v>
      </c>
      <c r="AZ7" s="131"/>
      <c r="BA7" s="131"/>
      <c r="BB7" s="131"/>
      <c r="BC7" s="131"/>
      <c r="BD7" s="90" t="str">
        <f t="shared" si="7"/>
        <v>Fryš</v>
      </c>
      <c r="BE7" s="92">
        <f t="shared" ca="1" si="8"/>
        <v>1</v>
      </c>
      <c r="BF7" s="91" t="str">
        <f t="shared" si="9"/>
        <v>M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3"/>
        <v>0</v>
      </c>
      <c r="BK7" s="90" t="str">
        <f t="shared" ca="1" si="14"/>
        <v/>
      </c>
      <c r="BL7" s="91">
        <f t="shared" ca="1" si="15"/>
        <v>0</v>
      </c>
      <c r="BM7" s="90" t="str">
        <f t="shared" ca="1" si="16"/>
        <v/>
      </c>
      <c r="BN7" s="127"/>
      <c r="BO7" s="123"/>
      <c r="BP7" s="132"/>
      <c r="BQ7" s="133"/>
      <c r="BR7" s="128" t="str">
        <f t="shared" ca="1" si="17"/>
        <v/>
      </c>
      <c r="BS7" s="361" t="s">
        <v>40</v>
      </c>
      <c r="BT7" s="105" t="s">
        <v>838</v>
      </c>
      <c r="BU7" s="104" t="s">
        <v>839</v>
      </c>
      <c r="BV7" s="105" t="str">
        <f t="shared" si="18"/>
        <v>Ondřej Matiášek</v>
      </c>
      <c r="BW7" s="113">
        <f t="shared" si="19"/>
        <v>1</v>
      </c>
      <c r="BX7" s="360" t="s">
        <v>234</v>
      </c>
      <c r="BY7" s="104" t="s">
        <v>296</v>
      </c>
      <c r="BZ7" s="104" t="s">
        <v>105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101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821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1</v>
      </c>
      <c r="Z8" s="103">
        <v>2</v>
      </c>
      <c r="AA8" s="103">
        <v>4</v>
      </c>
      <c r="AB8" s="103">
        <v>1</v>
      </c>
      <c r="AC8" s="103" t="str">
        <f t="shared" ca="1" si="0"/>
        <v>ANO</v>
      </c>
      <c r="AG8" s="122" t="s">
        <v>820</v>
      </c>
      <c r="AH8" s="123"/>
      <c r="AI8" s="124"/>
      <c r="AJ8" s="124"/>
      <c r="AK8" s="124"/>
      <c r="AL8" s="125">
        <f t="shared" si="1"/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t="shared" ca="1" si="2"/>
        <v>?</v>
      </c>
      <c r="AV8" s="128" t="str">
        <f t="shared" si="3"/>
        <v>? / ?</v>
      </c>
      <c r="AW8" s="129" t="str">
        <f t="shared" ca="1" si="4"/>
        <v>Hanák R.</v>
      </c>
      <c r="AX8" s="130" t="str">
        <f t="shared" ca="1" si="5"/>
        <v>2 OZ, 3 (1+2), +1 ±</v>
      </c>
      <c r="AY8" s="130" t="str">
        <f t="shared" ca="1" si="6"/>
        <v>2 OZ, 3 (1+2)</v>
      </c>
      <c r="AZ8" s="131"/>
      <c r="BA8" s="131"/>
      <c r="BB8" s="131"/>
      <c r="BC8" s="131"/>
      <c r="BD8" s="3" t="str">
        <f t="shared" si="7"/>
        <v>Hanák</v>
      </c>
      <c r="BE8" s="85">
        <f t="shared" ca="1" si="8"/>
        <v>2</v>
      </c>
      <c r="BF8" s="62" t="str">
        <f t="shared" si="9"/>
        <v>R</v>
      </c>
      <c r="BG8" s="3" t="str">
        <f t="shared" ca="1" si="10"/>
        <v>Hanák R.</v>
      </c>
      <c r="BH8" s="62">
        <f t="shared" ca="1" si="11"/>
        <v>1</v>
      </c>
      <c r="BI8" s="3" t="str">
        <f t="shared" ca="1" si="12"/>
        <v/>
      </c>
      <c r="BJ8" s="62">
        <f t="shared" ca="1" si="13"/>
        <v>0</v>
      </c>
      <c r="BK8" s="3" t="str">
        <f t="shared" ca="1" si="14"/>
        <v/>
      </c>
      <c r="BL8" s="62">
        <f t="shared" ca="1" si="15"/>
        <v>0</v>
      </c>
      <c r="BM8" s="3" t="str">
        <f t="shared" ca="1" si="16"/>
        <v/>
      </c>
      <c r="BN8" s="134"/>
      <c r="BO8" s="123"/>
      <c r="BP8" s="132"/>
      <c r="BQ8" s="133"/>
      <c r="BR8" s="128" t="str">
        <f t="shared" ca="1" si="17"/>
        <v/>
      </c>
      <c r="BS8" s="361"/>
      <c r="BT8" s="105" t="s">
        <v>840</v>
      </c>
      <c r="BU8" s="104" t="s">
        <v>434</v>
      </c>
      <c r="BV8" s="105" t="str">
        <f t="shared" si="18"/>
        <v>Daniel Körber</v>
      </c>
      <c r="BW8" s="113">
        <f t="shared" si="19"/>
        <v>4</v>
      </c>
      <c r="BX8" s="360"/>
      <c r="BY8" s="104" t="s">
        <v>228</v>
      </c>
      <c r="BZ8" s="104" t="s">
        <v>5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818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1</v>
      </c>
      <c r="AC9" s="103" t="str">
        <f t="shared" ca="1" si="0"/>
        <v>ANO</v>
      </c>
      <c r="AG9" s="122" t="s">
        <v>817</v>
      </c>
      <c r="AH9" s="123"/>
      <c r="AI9" s="124"/>
      <c r="AJ9" s="124"/>
      <c r="AK9" s="124"/>
      <c r="AL9" s="125">
        <f t="shared" si="1"/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t="shared" ca="1" si="2"/>
        <v>?</v>
      </c>
      <c r="AV9" s="128" t="str">
        <f t="shared" si="3"/>
        <v>? / ?</v>
      </c>
      <c r="AW9" s="129" t="str">
        <f t="shared" ca="1" si="4"/>
        <v>Hanák T.</v>
      </c>
      <c r="AX9" s="130" t="str">
        <f t="shared" ca="1" si="5"/>
        <v>2 OZ, 3 (2+1), +1 ±</v>
      </c>
      <c r="AY9" s="130" t="str">
        <f t="shared" ca="1" si="6"/>
        <v>2 OZ, 3 (2+1)</v>
      </c>
      <c r="AZ9" s="131"/>
      <c r="BA9" s="131"/>
      <c r="BB9" s="131"/>
      <c r="BC9" s="131"/>
      <c r="BD9" s="90" t="str">
        <f t="shared" si="7"/>
        <v>Hanák</v>
      </c>
      <c r="BE9" s="92">
        <f t="shared" ca="1" si="8"/>
        <v>2</v>
      </c>
      <c r="BF9" s="91" t="str">
        <f t="shared" si="9"/>
        <v>T</v>
      </c>
      <c r="BG9" s="90" t="str">
        <f t="shared" ca="1" si="10"/>
        <v>Hanák T.</v>
      </c>
      <c r="BH9" s="91">
        <f t="shared" ca="1" si="11"/>
        <v>1</v>
      </c>
      <c r="BI9" s="90" t="str">
        <f t="shared" ca="1" si="12"/>
        <v/>
      </c>
      <c r="BJ9" s="91">
        <f t="shared" ca="1" si="13"/>
        <v>0</v>
      </c>
      <c r="BK9" s="90" t="str">
        <f t="shared" ca="1" si="14"/>
        <v/>
      </c>
      <c r="BL9" s="91">
        <f t="shared" ca="1" si="15"/>
        <v>0</v>
      </c>
      <c r="BM9" s="90" t="str">
        <f t="shared" ca="1" si="16"/>
        <v/>
      </c>
      <c r="BN9" s="134"/>
      <c r="BO9" s="123"/>
      <c r="BP9" s="132"/>
      <c r="BQ9" s="133"/>
      <c r="BR9" s="128" t="str">
        <f t="shared" ca="1" si="17"/>
        <v/>
      </c>
      <c r="BS9" s="361"/>
      <c r="BV9" s="105" t="str">
        <f t="shared" si="18"/>
        <v/>
      </c>
      <c r="BW9" s="113" t="str">
        <f t="shared" si="19"/>
        <v/>
      </c>
      <c r="BX9" s="360"/>
      <c r="BY9" s="104" t="s">
        <v>229</v>
      </c>
      <c r="BZ9" s="104" t="s">
        <v>100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948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2</v>
      </c>
      <c r="AB10" s="103">
        <v>0</v>
      </c>
      <c r="AC10" s="103" t="str">
        <f t="shared" ca="1" si="0"/>
        <v>NE</v>
      </c>
      <c r="AG10" s="122" t="s">
        <v>814</v>
      </c>
      <c r="AH10" s="123"/>
      <c r="AI10" s="124"/>
      <c r="AJ10" s="124"/>
      <c r="AK10" s="124"/>
      <c r="AL10" s="125">
        <f t="shared" si="1"/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t="shared" ca="1" si="2"/>
        <v>?</v>
      </c>
      <c r="AV10" s="128" t="str">
        <f t="shared" si="3"/>
        <v>? / ?</v>
      </c>
      <c r="AW10" s="129" t="str">
        <f t="shared" ca="1" si="4"/>
        <v>Hromada</v>
      </c>
      <c r="AX10" s="130" t="str">
        <f t="shared" ca="1" si="5"/>
        <v>2 OZ, 4 (2+2), +2 ±</v>
      </c>
      <c r="AY10" s="130" t="str">
        <f t="shared" ca="1" si="6"/>
        <v>2 OZ, 4 (2+2)</v>
      </c>
      <c r="AZ10" s="131"/>
      <c r="BA10" s="131"/>
      <c r="BB10" s="131"/>
      <c r="BC10" s="131"/>
      <c r="BD10" s="3" t="str">
        <f t="shared" si="7"/>
        <v>Hromada</v>
      </c>
      <c r="BE10" s="85">
        <f t="shared" ca="1" si="8"/>
        <v>1</v>
      </c>
      <c r="BF10" s="62" t="str">
        <f t="shared" si="9"/>
        <v>J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3"/>
        <v>0</v>
      </c>
      <c r="BK10" s="3" t="str">
        <f t="shared" ca="1" si="14"/>
        <v/>
      </c>
      <c r="BL10" s="62">
        <f t="shared" ca="1" si="15"/>
        <v>0</v>
      </c>
      <c r="BM10" s="3" t="str">
        <f t="shared" ca="1" si="16"/>
        <v/>
      </c>
      <c r="BN10" s="134"/>
      <c r="BO10" s="123"/>
      <c r="BP10" s="132"/>
      <c r="BQ10" s="133"/>
      <c r="BR10" s="128" t="str">
        <f t="shared" ca="1" si="17"/>
        <v/>
      </c>
      <c r="BS10" s="361"/>
      <c r="BV10" s="105" t="str">
        <f t="shared" si="18"/>
        <v/>
      </c>
      <c r="BW10" s="113" t="str">
        <f t="shared" si="19"/>
        <v/>
      </c>
      <c r="BX10" s="360"/>
      <c r="BY10" s="104" t="s">
        <v>920</v>
      </c>
      <c r="BZ10" s="104" t="s">
        <v>98</v>
      </c>
      <c r="CA10" s="116" t="s">
        <v>226</v>
      </c>
    </row>
    <row r="11" spans="1:79" ht="15" customHeight="1" thickTop="1" thickBot="1" x14ac:dyDescent="0.25">
      <c r="R11" s="13"/>
      <c r="S11" s="111" t="s">
        <v>949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832</v>
      </c>
      <c r="AH11" s="123"/>
      <c r="AI11" s="124"/>
      <c r="AJ11" s="124"/>
      <c r="AK11" s="124"/>
      <c r="AL11" s="125">
        <f t="shared" si="1"/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t="shared" ca="1" si="2"/>
        <v>?</v>
      </c>
      <c r="AV11" s="128" t="str">
        <f t="shared" si="3"/>
        <v>? / ?</v>
      </c>
      <c r="AW11" s="129" t="str">
        <f t="shared" ca="1" si="4"/>
        <v>Kopecký</v>
      </c>
      <c r="AX11" s="130" t="str">
        <f t="shared" ca="1" si="5"/>
        <v>2 OZ, 0 (0+0), 0 ±</v>
      </c>
      <c r="AY11" s="130" t="str">
        <f t="shared" ca="1" si="6"/>
        <v>2 OZ, 0 (0+0)</v>
      </c>
      <c r="AZ11" s="131"/>
      <c r="BA11" s="131"/>
      <c r="BB11" s="131"/>
      <c r="BC11" s="131"/>
      <c r="BD11" s="90" t="str">
        <f t="shared" si="7"/>
        <v>Kopecký</v>
      </c>
      <c r="BE11" s="92">
        <f t="shared" ca="1" si="8"/>
        <v>1</v>
      </c>
      <c r="BF11" s="91" t="str">
        <f t="shared" si="9"/>
        <v>J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3"/>
        <v>0</v>
      </c>
      <c r="BK11" s="90" t="str">
        <f t="shared" ca="1" si="14"/>
        <v/>
      </c>
      <c r="BL11" s="91">
        <f t="shared" ca="1" si="15"/>
        <v>0</v>
      </c>
      <c r="BM11" s="90" t="str">
        <f t="shared" ca="1" si="16"/>
        <v/>
      </c>
      <c r="BN11" s="134"/>
      <c r="BO11" s="123"/>
      <c r="BP11" s="132"/>
      <c r="BQ11" s="133"/>
      <c r="BR11" s="128" t="str">
        <f t="shared" ca="1" si="17"/>
        <v/>
      </c>
      <c r="BS11" s="361"/>
      <c r="BV11" s="105" t="str">
        <f t="shared" si="18"/>
        <v/>
      </c>
      <c r="BW11" s="113" t="str">
        <f t="shared" si="19"/>
        <v/>
      </c>
      <c r="BX11" s="360"/>
      <c r="BY11" s="104" t="s">
        <v>1114</v>
      </c>
      <c r="BZ11" s="104" t="s">
        <v>103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950</v>
      </c>
      <c r="T12" s="103" t="s">
        <v>133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NE</v>
      </c>
      <c r="AG12" s="122" t="s">
        <v>830</v>
      </c>
      <c r="AH12" s="123"/>
      <c r="AI12" s="124"/>
      <c r="AJ12" s="124"/>
      <c r="AK12" s="124"/>
      <c r="AL12" s="125">
        <f t="shared" si="1"/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t="shared" ca="1" si="2"/>
        <v>?</v>
      </c>
      <c r="AV12" s="128" t="str">
        <f t="shared" si="3"/>
        <v>? / ?</v>
      </c>
      <c r="AW12" s="129" t="str">
        <f t="shared" ca="1" si="4"/>
        <v>Körber</v>
      </c>
      <c r="AX12" s="130" t="str">
        <f t="shared" ca="1" si="5"/>
        <v>1 V, 0 P</v>
      </c>
      <c r="AY12" s="130" t="str">
        <f t="shared" ca="1" si="6"/>
        <v>1 OZ, 0 A</v>
      </c>
      <c r="AZ12" s="131"/>
      <c r="BA12" s="131"/>
      <c r="BB12" s="131"/>
      <c r="BC12" s="131"/>
      <c r="BD12" s="3" t="str">
        <f t="shared" si="7"/>
        <v>Körber</v>
      </c>
      <c r="BE12" s="85">
        <f t="shared" ca="1" si="8"/>
        <v>1</v>
      </c>
      <c r="BF12" s="62" t="str">
        <f t="shared" si="9"/>
        <v>D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3"/>
        <v>0</v>
      </c>
      <c r="BK12" s="3" t="str">
        <f t="shared" ca="1" si="14"/>
        <v/>
      </c>
      <c r="BL12" s="62">
        <f t="shared" ca="1" si="15"/>
        <v>0</v>
      </c>
      <c r="BM12" s="3" t="str">
        <f t="shared" ca="1" si="16"/>
        <v/>
      </c>
      <c r="BN12" s="8"/>
      <c r="BS12" s="361" t="s">
        <v>37</v>
      </c>
      <c r="BT12" s="105" t="s">
        <v>834</v>
      </c>
      <c r="BU12" s="104">
        <v>2</v>
      </c>
      <c r="BV12" s="105" t="str">
        <f t="shared" si="18"/>
        <v>Jakub Hromada</v>
      </c>
      <c r="BW12" s="103">
        <f t="shared" si="19"/>
        <v>2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833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831</v>
      </c>
      <c r="AH13" s="123"/>
      <c r="AI13" s="124"/>
      <c r="AJ13" s="124"/>
      <c r="AK13" s="124"/>
      <c r="AL13" s="125">
        <f t="shared" si="1"/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t="shared" ca="1" si="2"/>
        <v>?</v>
      </c>
      <c r="AV13" s="128" t="str">
        <f t="shared" si="3"/>
        <v>? / ?</v>
      </c>
      <c r="AW13" s="129" t="str">
        <f t="shared" ca="1" si="4"/>
        <v>Ludvík</v>
      </c>
      <c r="AX13" s="130" t="str">
        <f t="shared" ca="1" si="5"/>
        <v>2 OZ, 0 (0+0), 0 ±</v>
      </c>
      <c r="AY13" s="130" t="str">
        <f t="shared" ca="1" si="6"/>
        <v>2 OZ, 0 (0+0)</v>
      </c>
      <c r="AZ13" s="131"/>
      <c r="BA13" s="131"/>
      <c r="BB13" s="131"/>
      <c r="BC13" s="131"/>
      <c r="BD13" s="90" t="str">
        <f t="shared" si="7"/>
        <v>Ludvík</v>
      </c>
      <c r="BE13" s="92">
        <f t="shared" ca="1" si="8"/>
        <v>1</v>
      </c>
      <c r="BF13" s="91" t="str">
        <f t="shared" si="9"/>
        <v>D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3"/>
        <v>0</v>
      </c>
      <c r="BK13" s="90" t="str">
        <f t="shared" ca="1" si="14"/>
        <v/>
      </c>
      <c r="BL13" s="91">
        <f t="shared" ca="1" si="15"/>
        <v>0</v>
      </c>
      <c r="BM13" s="90" t="str">
        <f t="shared" ca="1" si="16"/>
        <v/>
      </c>
      <c r="BN13" s="8"/>
      <c r="BS13" s="361"/>
      <c r="BT13" s="105" t="s">
        <v>835</v>
      </c>
      <c r="BU13" s="104">
        <v>2</v>
      </c>
      <c r="BV13" s="105" t="str">
        <f t="shared" si="18"/>
        <v>Jan Bauman</v>
      </c>
      <c r="BW13" s="103">
        <f t="shared" si="19"/>
        <v>2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824</v>
      </c>
      <c r="T14" s="103" t="s">
        <v>68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828</v>
      </c>
      <c r="AH14" s="123"/>
      <c r="AI14" s="124"/>
      <c r="AJ14" s="124"/>
      <c r="AK14" s="124"/>
      <c r="AL14" s="125">
        <f t="shared" si="1"/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t="shared" ca="1" si="2"/>
        <v>?</v>
      </c>
      <c r="AV14" s="128" t="str">
        <f t="shared" si="3"/>
        <v>? / ?</v>
      </c>
      <c r="AW14" s="129" t="str">
        <f t="shared" ca="1" si="4"/>
        <v>Matiášek</v>
      </c>
      <c r="AX14" s="130" t="str">
        <f t="shared" ca="1" si="5"/>
        <v>1 V, 0 P</v>
      </c>
      <c r="AY14" s="130" t="str">
        <f t="shared" ca="1" si="6"/>
        <v>1 OZ, 0 A</v>
      </c>
      <c r="AZ14" s="131"/>
      <c r="BA14" s="131"/>
      <c r="BB14" s="131"/>
      <c r="BC14" s="131"/>
      <c r="BD14" s="3" t="str">
        <f t="shared" si="7"/>
        <v>Matiášek</v>
      </c>
      <c r="BE14" s="85">
        <f t="shared" ca="1" si="8"/>
        <v>1</v>
      </c>
      <c r="BF14" s="62" t="str">
        <f t="shared" si="9"/>
        <v>O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3"/>
        <v>0</v>
      </c>
      <c r="BK14" s="3" t="str">
        <f t="shared" ca="1" si="14"/>
        <v/>
      </c>
      <c r="BL14" s="62">
        <f t="shared" ca="1" si="15"/>
        <v>0</v>
      </c>
      <c r="BM14" s="3" t="str">
        <f t="shared" ca="1" si="16"/>
        <v/>
      </c>
      <c r="BN14" s="8"/>
      <c r="BS14" s="361"/>
      <c r="BT14" s="105" t="s">
        <v>836</v>
      </c>
      <c r="BU14" s="104">
        <v>2</v>
      </c>
      <c r="BV14" s="105" t="str">
        <f t="shared" si="18"/>
        <v>Matouš Burian</v>
      </c>
      <c r="BW14" s="103">
        <f t="shared" si="19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829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829</v>
      </c>
      <c r="AH15" s="123"/>
      <c r="AI15" s="124"/>
      <c r="AJ15" s="124"/>
      <c r="AK15" s="124"/>
      <c r="AL15" s="125">
        <f t="shared" si="1"/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t="shared" ca="1" si="2"/>
        <v>?</v>
      </c>
      <c r="AV15" s="128" t="str">
        <f t="shared" si="3"/>
        <v>? / ?</v>
      </c>
      <c r="AW15" s="129" t="str">
        <f t="shared" ca="1" si="4"/>
        <v>Nachtmann</v>
      </c>
      <c r="AX15" s="130" t="str">
        <f t="shared" ca="1" si="5"/>
        <v>1 OZ, 0 (0+0), 0 ±</v>
      </c>
      <c r="AY15" s="130" t="str">
        <f t="shared" ca="1" si="6"/>
        <v>1 OZ, 0 (0+0)</v>
      </c>
      <c r="AZ15" s="131"/>
      <c r="BA15" s="131"/>
      <c r="BB15" s="131"/>
      <c r="BC15" s="131"/>
      <c r="BD15" s="90" t="str">
        <f t="shared" si="7"/>
        <v>Nachtmann</v>
      </c>
      <c r="BE15" s="92">
        <f t="shared" ca="1" si="8"/>
        <v>1</v>
      </c>
      <c r="BF15" s="91" t="str">
        <f t="shared" si="9"/>
        <v>J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3"/>
        <v>0</v>
      </c>
      <c r="BK15" s="90" t="str">
        <f t="shared" ca="1" si="14"/>
        <v/>
      </c>
      <c r="BL15" s="91">
        <f t="shared" ca="1" si="15"/>
        <v>0</v>
      </c>
      <c r="BM15" s="90" t="str">
        <f t="shared" ca="1" si="16"/>
        <v/>
      </c>
      <c r="BN15" s="8"/>
      <c r="BS15" s="361"/>
      <c r="BT15" s="105" t="s">
        <v>837</v>
      </c>
      <c r="BU15" s="104">
        <v>2</v>
      </c>
      <c r="BV15" s="105" t="str">
        <f t="shared" si="18"/>
        <v>Tomáš Hanák</v>
      </c>
      <c r="BW15" s="103">
        <f t="shared" si="19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R16" s="13"/>
      <c r="S16" s="111" t="s">
        <v>828</v>
      </c>
      <c r="T16" s="103" t="s">
        <v>131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ANO</v>
      </c>
      <c r="AG16" s="122" t="s">
        <v>826</v>
      </c>
      <c r="AH16" s="123"/>
      <c r="AI16" s="124"/>
      <c r="AJ16" s="124"/>
      <c r="AK16" s="124"/>
      <c r="AL16" s="125">
        <f t="shared" si="1"/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t="shared" ca="1" si="2"/>
        <v>?</v>
      </c>
      <c r="AV16" s="128" t="str">
        <f t="shared" si="3"/>
        <v>? / ?</v>
      </c>
      <c r="AW16" s="129" t="str">
        <f t="shared" ca="1" si="4"/>
        <v>Neklan</v>
      </c>
      <c r="AX16" s="130" t="str">
        <f t="shared" ca="1" si="5"/>
        <v>2 OZ, 0 (0+0), +2 ±</v>
      </c>
      <c r="AY16" s="130" t="str">
        <f t="shared" ca="1" si="6"/>
        <v>2 OZ, 0 (0+0)</v>
      </c>
      <c r="AZ16" s="131"/>
      <c r="BA16" s="131"/>
      <c r="BB16" s="131"/>
      <c r="BC16" s="131"/>
      <c r="BD16" s="3" t="str">
        <f t="shared" si="7"/>
        <v>Neklan</v>
      </c>
      <c r="BE16" s="85">
        <f t="shared" ca="1" si="8"/>
        <v>1</v>
      </c>
      <c r="BF16" s="62" t="str">
        <f t="shared" si="9"/>
        <v>F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3"/>
        <v>0</v>
      </c>
      <c r="BK16" s="3" t="str">
        <f t="shared" ca="1" si="14"/>
        <v/>
      </c>
      <c r="BL16" s="62">
        <f t="shared" ca="1" si="15"/>
        <v>0</v>
      </c>
      <c r="BM16" s="3" t="str">
        <f t="shared" ca="1" si="16"/>
        <v/>
      </c>
      <c r="BN16" s="8"/>
      <c r="BS16" s="361"/>
      <c r="BT16" s="105" t="s">
        <v>938</v>
      </c>
      <c r="BU16" s="104">
        <v>1</v>
      </c>
      <c r="BV16" s="105" t="str">
        <f t="shared" si="18"/>
        <v>Jakub Boček</v>
      </c>
      <c r="BW16" s="103">
        <f t="shared" si="19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825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1</v>
      </c>
      <c r="AC17" s="103" t="str">
        <f t="shared" ca="1" si="0"/>
        <v>ANO</v>
      </c>
      <c r="AG17" s="122" t="s">
        <v>822</v>
      </c>
      <c r="AH17" s="123"/>
      <c r="AI17" s="124"/>
      <c r="AJ17" s="124"/>
      <c r="AK17" s="124"/>
      <c r="AL17" s="125">
        <f t="shared" si="1"/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t="shared" ca="1" si="2"/>
        <v>?</v>
      </c>
      <c r="AV17" s="128" t="str">
        <f t="shared" si="3"/>
        <v>? / ?</v>
      </c>
      <c r="AW17" s="129" t="str">
        <f t="shared" ca="1" si="4"/>
        <v>Novotný</v>
      </c>
      <c r="AX17" s="130" t="str">
        <f t="shared" ca="1" si="5"/>
        <v>2 OZ, 0 (0+0), 0 ±</v>
      </c>
      <c r="AY17" s="130" t="str">
        <f t="shared" ca="1" si="6"/>
        <v>2 OZ, 0 (0+0)</v>
      </c>
      <c r="AZ17" s="131"/>
      <c r="BA17" s="131"/>
      <c r="BB17" s="131"/>
      <c r="BC17" s="131"/>
      <c r="BD17" s="90" t="str">
        <f t="shared" si="7"/>
        <v>Novotný</v>
      </c>
      <c r="BE17" s="92">
        <f t="shared" ca="1" si="8"/>
        <v>1</v>
      </c>
      <c r="BF17" s="91" t="str">
        <f t="shared" si="9"/>
        <v>V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3"/>
        <v>0</v>
      </c>
      <c r="BK17" s="90" t="str">
        <f t="shared" ca="1" si="14"/>
        <v/>
      </c>
      <c r="BL17" s="91">
        <f t="shared" ca="1" si="15"/>
        <v>0</v>
      </c>
      <c r="BM17" s="90" t="str">
        <f t="shared" ca="1" si="16"/>
        <v/>
      </c>
      <c r="BN17" s="8"/>
      <c r="BS17" s="361" t="s">
        <v>41</v>
      </c>
      <c r="BT17" s="105" t="s">
        <v>939</v>
      </c>
      <c r="BU17" s="104">
        <v>1</v>
      </c>
      <c r="BV17" s="105" t="str">
        <f t="shared" si="18"/>
        <v>Daniel Körber</v>
      </c>
      <c r="BW17" s="103">
        <f t="shared" si="19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822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4</v>
      </c>
      <c r="AB18" s="103">
        <v>0</v>
      </c>
      <c r="AC18" s="103" t="str">
        <f t="shared" ca="1" si="0"/>
        <v>ANO</v>
      </c>
      <c r="AG18" s="122" t="s">
        <v>823</v>
      </c>
      <c r="AH18" s="123"/>
      <c r="AI18" s="124"/>
      <c r="AJ18" s="124"/>
      <c r="AK18" s="124"/>
      <c r="AL18" s="125">
        <f t="shared" si="1"/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t="shared" ca="1" si="2"/>
        <v>?</v>
      </c>
      <c r="AV18" s="128" t="str">
        <f t="shared" si="3"/>
        <v>? / ?</v>
      </c>
      <c r="AW18" s="129" t="str">
        <f t="shared" ca="1" si="4"/>
        <v>Obuškevič</v>
      </c>
      <c r="AX18" s="130" t="str">
        <f t="shared" ca="1" si="5"/>
        <v>2 OZ, 0 (0+0), +2 ±</v>
      </c>
      <c r="AY18" s="130" t="str">
        <f t="shared" ca="1" si="6"/>
        <v>2 OZ, 0 (0+0)</v>
      </c>
      <c r="AZ18" s="131"/>
      <c r="BA18" s="131"/>
      <c r="BB18" s="131"/>
      <c r="BC18" s="131"/>
      <c r="BD18" s="3" t="str">
        <f t="shared" si="7"/>
        <v>Obuškevič</v>
      </c>
      <c r="BE18" s="85">
        <f t="shared" ca="1" si="8"/>
        <v>1</v>
      </c>
      <c r="BF18" s="62" t="str">
        <f t="shared" si="9"/>
        <v>M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3"/>
        <v>0</v>
      </c>
      <c r="BK18" s="3" t="str">
        <f t="shared" ca="1" si="14"/>
        <v/>
      </c>
      <c r="BL18" s="62">
        <f t="shared" ca="1" si="15"/>
        <v>0</v>
      </c>
      <c r="BM18" s="3" t="str">
        <f t="shared" ca="1" si="16"/>
        <v/>
      </c>
      <c r="BN18" s="8"/>
      <c r="BS18" s="361"/>
      <c r="BT18" s="105" t="s">
        <v>940</v>
      </c>
      <c r="BU18" s="104">
        <v>1</v>
      </c>
      <c r="BV18" s="105" t="str">
        <f t="shared" si="18"/>
        <v>Ondřej Matiášek</v>
      </c>
      <c r="BW18" s="103">
        <f t="shared" si="19"/>
        <v>1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BA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827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825</v>
      </c>
      <c r="AH19" s="123"/>
      <c r="AI19" s="124"/>
      <c r="AJ19" s="124"/>
      <c r="AK19" s="124"/>
      <c r="AL19" s="125">
        <f t="shared" si="1"/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4"/>
        <v>Renčín</v>
      </c>
      <c r="AX19" s="130" t="str">
        <f t="shared" ca="1" si="5"/>
        <v>2 OZ, 0 (0+0), +1 ±</v>
      </c>
      <c r="AY19" s="130" t="str">
        <f t="shared" ca="1" si="6"/>
        <v>2 OZ, 0 (0+0)</v>
      </c>
      <c r="AZ19" s="131"/>
      <c r="BA19" s="131"/>
      <c r="BB19" s="131"/>
      <c r="BC19" s="131"/>
      <c r="BD19" s="90" t="str">
        <f t="shared" si="7"/>
        <v>Renčín</v>
      </c>
      <c r="BE19" s="92">
        <f t="shared" ca="1" si="8"/>
        <v>1</v>
      </c>
      <c r="BF19" s="91" t="str">
        <f t="shared" si="9"/>
        <v>J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3"/>
        <v>0</v>
      </c>
      <c r="BK19" s="90" t="str">
        <f t="shared" ca="1" si="14"/>
        <v/>
      </c>
      <c r="BL19" s="91">
        <f t="shared" ca="1" si="15"/>
        <v>0</v>
      </c>
      <c r="BM19" s="90" t="str">
        <f t="shared" ca="1" si="16"/>
        <v/>
      </c>
      <c r="BN19" s="8"/>
      <c r="BS19" s="361"/>
      <c r="BV19" s="105" t="str">
        <f t="shared" si="18"/>
        <v/>
      </c>
      <c r="BW19" s="103" t="str">
        <f t="shared" si="19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831</v>
      </c>
      <c r="T20" s="103" t="s">
        <v>133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824</v>
      </c>
      <c r="AH20" s="123"/>
      <c r="AI20" s="124"/>
      <c r="AJ20" s="124"/>
      <c r="AK20" s="124"/>
      <c r="AL20" s="125">
        <f t="shared" si="1"/>
        <v>0</v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ca="1" si="2"/>
        <v>?</v>
      </c>
      <c r="AV20" s="128" t="str">
        <f t="shared" si="3"/>
        <v>? / ?</v>
      </c>
      <c r="AW20" s="129" t="str">
        <f t="shared" ca="1" si="4"/>
        <v>Straka</v>
      </c>
      <c r="AX20" s="130" t="str">
        <f t="shared" ca="1" si="5"/>
        <v>1 OZ, 0 (0+0), 0 ±</v>
      </c>
      <c r="AY20" s="130" t="str">
        <f t="shared" ca="1" si="6"/>
        <v>1 OZ, 0 (0+0)</v>
      </c>
      <c r="AZ20" s="131"/>
      <c r="BA20" s="131"/>
      <c r="BB20" s="131"/>
      <c r="BC20" s="131"/>
      <c r="BD20" s="3" t="str">
        <f t="shared" si="7"/>
        <v>Straka</v>
      </c>
      <c r="BE20" s="85">
        <f t="shared" ca="1" si="8"/>
        <v>1</v>
      </c>
      <c r="BF20" s="62" t="str">
        <f t="shared" si="9"/>
        <v>T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3"/>
        <v>0</v>
      </c>
      <c r="BK20" s="3" t="str">
        <f t="shared" ca="1" si="14"/>
        <v/>
      </c>
      <c r="BL20" s="62">
        <f t="shared" ca="1" si="15"/>
        <v>0</v>
      </c>
      <c r="BM20" s="3" t="str">
        <f t="shared" ca="1" si="16"/>
        <v/>
      </c>
      <c r="BN20" s="8"/>
      <c r="BS20" s="361"/>
      <c r="BV20" s="105" t="str">
        <f t="shared" si="18"/>
        <v/>
      </c>
      <c r="BW20" s="103" t="str">
        <f t="shared" si="19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6"/>
      <c r="S21" s="111" t="s">
        <v>826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2</v>
      </c>
      <c r="AB21" s="103">
        <v>2</v>
      </c>
      <c r="AC21" s="103" t="str">
        <f ca="1">IF(S21&lt;&gt;"",IFERROR(IF(VLOOKUP(S21,OFFSET($AG$2,,,COUNTIF($AG$2:$AG$50,"?*")),1,FALSE)&lt;&gt;0,"ANO","NE"),"NE"),"")</f>
        <v>ANO</v>
      </c>
      <c r="AG21" s="122" t="s">
        <v>833</v>
      </c>
      <c r="AH21" s="123"/>
      <c r="AI21" s="124"/>
      <c r="AJ21" s="124"/>
      <c r="AK21" s="124"/>
      <c r="AL21" s="125">
        <f t="shared" si="1"/>
        <v>0</v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2"/>
        <v>?</v>
      </c>
      <c r="AV21" s="128" t="str">
        <f t="shared" si="3"/>
        <v>? / ?</v>
      </c>
      <c r="AW21" s="129" t="str">
        <f t="shared" ca="1" si="4"/>
        <v>Svatoš</v>
      </c>
      <c r="AX21" s="130" t="str">
        <f t="shared" ca="1" si="5"/>
        <v>1 OZ, 0 (0+0), 0 ±</v>
      </c>
      <c r="AY21" s="130" t="str">
        <f t="shared" ca="1" si="6"/>
        <v>1 OZ, 0 (0+0)</v>
      </c>
      <c r="AZ21" s="131"/>
      <c r="BA21" s="131"/>
      <c r="BB21" s="131"/>
      <c r="BC21" s="131"/>
      <c r="BD21" s="90" t="str">
        <f t="shared" si="7"/>
        <v>Svatoš</v>
      </c>
      <c r="BE21" s="92">
        <f t="shared" ca="1" si="8"/>
        <v>1</v>
      </c>
      <c r="BF21" s="91" t="str">
        <f t="shared" si="9"/>
        <v>A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3"/>
        <v>0</v>
      </c>
      <c r="BK21" s="90" t="str">
        <f t="shared" ca="1" si="14"/>
        <v/>
      </c>
      <c r="BL21" s="91">
        <f t="shared" ca="1" si="15"/>
        <v>0</v>
      </c>
      <c r="BM21" s="90" t="str">
        <f t="shared" ca="1" si="16"/>
        <v/>
      </c>
      <c r="BN21" s="8"/>
      <c r="BS21" s="361"/>
      <c r="BV21" s="105" t="str">
        <f t="shared" si="18"/>
        <v/>
      </c>
      <c r="BW21" s="103" t="str">
        <f t="shared" si="19"/>
        <v/>
      </c>
    </row>
    <row r="22" spans="1:75" ht="15" customHeight="1" thickTop="1" thickBot="1" x14ac:dyDescent="0.25">
      <c r="S22" s="111" t="s">
        <v>823</v>
      </c>
      <c r="T22" s="103" t="s">
        <v>68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2</v>
      </c>
      <c r="AC22" s="103" t="str">
        <f t="shared" ref="AC22:AC42" ca="1" si="20">IF(S22&lt;&gt;"",IFERROR(IF(VLOOKUP(S22,OFFSET($AG$2,,,COUNTIF($AG$2:$AG$50,"?*")),1,FALSE)&lt;&gt;0,"ANO","NE"),"NE"),"")</f>
        <v>ANO</v>
      </c>
      <c r="AG22" s="122"/>
      <c r="AH22" s="123"/>
      <c r="AI22" s="124"/>
      <c r="AJ22" s="124"/>
      <c r="AK22" s="124"/>
      <c r="AL22" s="125" t="str">
        <f t="shared" ref="AL22:AL50" si="21">IF(AG22&lt;&gt;"",AJ22+AK22,"")</f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2"/>
        <v/>
      </c>
      <c r="AV22" s="128" t="str">
        <f t="shared" si="3"/>
        <v/>
      </c>
      <c r="AW22" s="129" t="str">
        <f t="shared" si="4"/>
        <v/>
      </c>
      <c r="AX22" s="130" t="str">
        <f t="shared" ca="1" si="5"/>
        <v/>
      </c>
      <c r="AY22" s="130" t="str">
        <f t="shared" ca="1" si="6"/>
        <v/>
      </c>
      <c r="AZ22" s="131"/>
      <c r="BA22" s="131"/>
      <c r="BB22" s="131"/>
      <c r="BC22" s="131"/>
      <c r="BD22" s="3" t="str">
        <f t="shared" si="7"/>
        <v/>
      </c>
      <c r="BE22" s="85" t="str">
        <f t="shared" ca="1" si="8"/>
        <v/>
      </c>
      <c r="BF22" s="62" t="str">
        <f t="shared" si="9"/>
        <v/>
      </c>
      <c r="BG22" s="3" t="str">
        <f t="shared" ca="1" si="10"/>
        <v/>
      </c>
      <c r="BH22" s="62" t="str">
        <f t="shared" ca="1" si="11"/>
        <v/>
      </c>
      <c r="BI22" s="3" t="str">
        <f t="shared" ca="1" si="12"/>
        <v/>
      </c>
      <c r="BJ22" s="62" t="str">
        <f t="shared" ca="1" si="13"/>
        <v/>
      </c>
      <c r="BK22" s="3" t="str">
        <f t="shared" ca="1" si="14"/>
        <v/>
      </c>
      <c r="BL22" s="62" t="str">
        <f t="shared" ca="1" si="15"/>
        <v/>
      </c>
      <c r="BM22" s="3" t="str">
        <f t="shared" ca="1" si="16"/>
        <v/>
      </c>
      <c r="BN22" s="8"/>
      <c r="BS22" s="361" t="s">
        <v>38</v>
      </c>
      <c r="BT22" s="105" t="s">
        <v>841</v>
      </c>
      <c r="BU22" s="104">
        <v>2</v>
      </c>
      <c r="BV22" s="105" t="str">
        <f t="shared" si="18"/>
        <v>Adam Bouček</v>
      </c>
      <c r="BW22" s="103">
        <f t="shared" si="19"/>
        <v>2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830</v>
      </c>
      <c r="T23" s="103" t="s">
        <v>131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 t="str">
        <f t="shared" ca="1" si="20"/>
        <v>ANO</v>
      </c>
      <c r="AG23" s="122"/>
      <c r="AH23" s="123"/>
      <c r="AI23" s="124"/>
      <c r="AJ23" s="124"/>
      <c r="AK23" s="124"/>
      <c r="AL23" s="125" t="str">
        <f t="shared" si="21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2"/>
        <v/>
      </c>
      <c r="AV23" s="128" t="str">
        <f t="shared" si="3"/>
        <v/>
      </c>
      <c r="AW23" s="129" t="str">
        <f t="shared" si="4"/>
        <v/>
      </c>
      <c r="AX23" s="130" t="str">
        <f t="shared" ca="1" si="5"/>
        <v/>
      </c>
      <c r="AY23" s="130" t="str">
        <f t="shared" ca="1" si="6"/>
        <v/>
      </c>
      <c r="AZ23" s="131"/>
      <c r="BA23" s="131"/>
      <c r="BB23" s="131"/>
      <c r="BC23" s="131"/>
      <c r="BD23" s="90" t="str">
        <f t="shared" si="7"/>
        <v/>
      </c>
      <c r="BE23" s="92" t="str">
        <f t="shared" ca="1" si="8"/>
        <v/>
      </c>
      <c r="BF23" s="91" t="str">
        <f t="shared" si="9"/>
        <v/>
      </c>
      <c r="BG23" s="90" t="str">
        <f t="shared" ca="1" si="10"/>
        <v/>
      </c>
      <c r="BH23" s="91" t="str">
        <f t="shared" ca="1" si="11"/>
        <v/>
      </c>
      <c r="BI23" s="90" t="str">
        <f t="shared" ca="1" si="12"/>
        <v/>
      </c>
      <c r="BJ23" s="91" t="str">
        <f t="shared" ca="1" si="13"/>
        <v/>
      </c>
      <c r="BK23" s="90" t="str">
        <f t="shared" ca="1" si="14"/>
        <v/>
      </c>
      <c r="BL23" s="91" t="str">
        <f t="shared" ca="1" si="15"/>
        <v/>
      </c>
      <c r="BM23" s="90" t="str">
        <f t="shared" ca="1" si="16"/>
        <v/>
      </c>
      <c r="BN23" s="8"/>
      <c r="BS23" s="361"/>
      <c r="BT23" s="105" t="s">
        <v>941</v>
      </c>
      <c r="BU23" s="104">
        <v>2</v>
      </c>
      <c r="BV23" s="105" t="str">
        <f t="shared" si="18"/>
        <v>Jakub Hromada</v>
      </c>
      <c r="BW23" s="103">
        <f t="shared" si="19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1" t="s">
        <v>832</v>
      </c>
      <c r="T24" s="103" t="s">
        <v>133</v>
      </c>
      <c r="U24" s="103">
        <v>2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 t="str">
        <f t="shared" ca="1" si="20"/>
        <v>ANO</v>
      </c>
      <c r="AG24" s="122"/>
      <c r="AH24" s="123"/>
      <c r="AI24" s="124"/>
      <c r="AJ24" s="124"/>
      <c r="AK24" s="124"/>
      <c r="AL24" s="125" t="str">
        <f t="shared" si="21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ca="1" si="2"/>
        <v/>
      </c>
      <c r="AV24" s="128" t="str">
        <f t="shared" si="3"/>
        <v/>
      </c>
      <c r="AW24" s="129" t="str">
        <f t="shared" si="4"/>
        <v/>
      </c>
      <c r="AX24" s="130" t="str">
        <f t="shared" ca="1" si="5"/>
        <v/>
      </c>
      <c r="AY24" s="130" t="str">
        <f t="shared" ca="1" si="6"/>
        <v/>
      </c>
      <c r="AZ24" s="131"/>
      <c r="BA24" s="131"/>
      <c r="BB24" s="131"/>
      <c r="BC24" s="131"/>
      <c r="BD24" s="3" t="str">
        <f t="shared" si="7"/>
        <v/>
      </c>
      <c r="BE24" s="85" t="str">
        <f t="shared" ca="1" si="8"/>
        <v/>
      </c>
      <c r="BF24" s="62" t="str">
        <f t="shared" si="9"/>
        <v/>
      </c>
      <c r="BG24" s="3" t="str">
        <f t="shared" ca="1" si="10"/>
        <v/>
      </c>
      <c r="BH24" s="62" t="str">
        <f t="shared" ca="1" si="11"/>
        <v/>
      </c>
      <c r="BI24" s="3" t="str">
        <f t="shared" ca="1" si="12"/>
        <v/>
      </c>
      <c r="BJ24" s="62" t="str">
        <f t="shared" ca="1" si="13"/>
        <v/>
      </c>
      <c r="BK24" s="3" t="str">
        <f t="shared" ca="1" si="14"/>
        <v/>
      </c>
      <c r="BL24" s="62" t="str">
        <f t="shared" ca="1" si="15"/>
        <v/>
      </c>
      <c r="BM24" s="3" t="str">
        <f t="shared" ca="1" si="16"/>
        <v/>
      </c>
      <c r="BN24" s="8"/>
      <c r="BS24" s="361"/>
      <c r="BT24" s="105" t="s">
        <v>935</v>
      </c>
      <c r="BU24" s="104">
        <v>2</v>
      </c>
      <c r="BV24" s="105" t="str">
        <f t="shared" si="18"/>
        <v>Radek Hanák</v>
      </c>
      <c r="BW24" s="103">
        <f t="shared" si="19"/>
        <v>2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20"/>
        <v/>
      </c>
      <c r="AG25" s="122"/>
      <c r="AH25" s="123"/>
      <c r="AI25" s="124"/>
      <c r="AJ25" s="124"/>
      <c r="AK25" s="124"/>
      <c r="AL25" s="125" t="str">
        <f t="shared" si="21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2"/>
        <v/>
      </c>
      <c r="AV25" s="128" t="str">
        <f t="shared" si="3"/>
        <v/>
      </c>
      <c r="AW25" s="129" t="str">
        <f t="shared" si="4"/>
        <v/>
      </c>
      <c r="AX25" s="130" t="str">
        <f t="shared" ca="1" si="5"/>
        <v/>
      </c>
      <c r="AY25" s="130" t="str">
        <f t="shared" ca="1" si="6"/>
        <v/>
      </c>
      <c r="AZ25" s="131"/>
      <c r="BA25" s="131"/>
      <c r="BB25" s="131"/>
      <c r="BC25" s="131"/>
      <c r="BD25" s="90" t="str">
        <f t="shared" si="7"/>
        <v/>
      </c>
      <c r="BE25" s="92" t="str">
        <f t="shared" ca="1" si="8"/>
        <v/>
      </c>
      <c r="BF25" s="91" t="str">
        <f t="shared" si="9"/>
        <v/>
      </c>
      <c r="BG25" s="90" t="str">
        <f t="shared" ca="1" si="10"/>
        <v/>
      </c>
      <c r="BH25" s="91" t="str">
        <f t="shared" ca="1" si="11"/>
        <v/>
      </c>
      <c r="BI25" s="90" t="str">
        <f t="shared" ca="1" si="12"/>
        <v/>
      </c>
      <c r="BJ25" s="91" t="str">
        <f t="shared" ca="1" si="13"/>
        <v/>
      </c>
      <c r="BK25" s="90" t="str">
        <f t="shared" ca="1" si="14"/>
        <v/>
      </c>
      <c r="BL25" s="91" t="str">
        <f t="shared" ca="1" si="15"/>
        <v/>
      </c>
      <c r="BM25" s="90" t="str">
        <f t="shared" ca="1" si="16"/>
        <v/>
      </c>
      <c r="BN25" s="8"/>
      <c r="BS25" s="361"/>
      <c r="BT25" s="105" t="s">
        <v>942</v>
      </c>
      <c r="BU25" s="104">
        <v>1</v>
      </c>
      <c r="BV25" s="105" t="str">
        <f t="shared" si="18"/>
        <v>Jakub Boček</v>
      </c>
      <c r="BW25" s="103">
        <f t="shared" si="19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20"/>
        <v/>
      </c>
      <c r="AG26" s="122"/>
      <c r="AH26" s="123"/>
      <c r="AI26" s="124"/>
      <c r="AJ26" s="124"/>
      <c r="AK26" s="124"/>
      <c r="AL26" s="125" t="str">
        <f t="shared" si="21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2"/>
        <v/>
      </c>
      <c r="AV26" s="128" t="str">
        <f t="shared" si="3"/>
        <v/>
      </c>
      <c r="AW26" s="129" t="str">
        <f t="shared" si="4"/>
        <v/>
      </c>
      <c r="AX26" s="130" t="str">
        <f t="shared" ca="1" si="5"/>
        <v/>
      </c>
      <c r="AY26" s="130" t="str">
        <f t="shared" ca="1" si="6"/>
        <v/>
      </c>
      <c r="AZ26" s="131"/>
      <c r="BA26" s="131"/>
      <c r="BB26" s="131"/>
      <c r="BC26" s="131"/>
      <c r="BD26" s="3" t="str">
        <f t="shared" si="7"/>
        <v/>
      </c>
      <c r="BE26" s="85" t="str">
        <f t="shared" ca="1" si="8"/>
        <v/>
      </c>
      <c r="BF26" s="62" t="str">
        <f t="shared" si="9"/>
        <v/>
      </c>
      <c r="BG26" s="3" t="str">
        <f t="shared" ca="1" si="10"/>
        <v/>
      </c>
      <c r="BH26" s="62" t="str">
        <f t="shared" ca="1" si="11"/>
        <v/>
      </c>
      <c r="BI26" s="3" t="str">
        <f t="shared" ca="1" si="12"/>
        <v/>
      </c>
      <c r="BJ26" s="62" t="str">
        <f t="shared" ca="1" si="13"/>
        <v/>
      </c>
      <c r="BK26" s="3" t="str">
        <f t="shared" ca="1" si="14"/>
        <v/>
      </c>
      <c r="BL26" s="62" t="str">
        <f t="shared" ca="1" si="15"/>
        <v/>
      </c>
      <c r="BM26" s="3" t="str">
        <f t="shared" ca="1" si="16"/>
        <v/>
      </c>
      <c r="BN26" s="8"/>
      <c r="BS26" s="361"/>
      <c r="BT26" s="105" t="s">
        <v>943</v>
      </c>
      <c r="BU26" s="104">
        <v>1</v>
      </c>
      <c r="BV26" s="105" t="str">
        <f t="shared" si="18"/>
        <v>Matěj Boček</v>
      </c>
      <c r="BW26" s="103">
        <f t="shared" si="19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20"/>
        <v/>
      </c>
      <c r="AG27" s="122"/>
      <c r="AH27" s="123"/>
      <c r="AI27" s="124"/>
      <c r="AJ27" s="124"/>
      <c r="AK27" s="124"/>
      <c r="AL27" s="125" t="str">
        <f t="shared" si="21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2"/>
        <v/>
      </c>
      <c r="AV27" s="128" t="str">
        <f t="shared" si="3"/>
        <v/>
      </c>
      <c r="AW27" s="129" t="str">
        <f t="shared" si="4"/>
        <v/>
      </c>
      <c r="AX27" s="130" t="str">
        <f t="shared" ca="1" si="5"/>
        <v/>
      </c>
      <c r="AY27" s="130" t="str">
        <f t="shared" ca="1" si="6"/>
        <v/>
      </c>
      <c r="AZ27" s="131"/>
      <c r="BA27" s="131"/>
      <c r="BB27" s="131"/>
      <c r="BC27" s="131"/>
      <c r="BD27" s="90" t="str">
        <f t="shared" si="7"/>
        <v/>
      </c>
      <c r="BE27" s="92" t="str">
        <f t="shared" ca="1" si="8"/>
        <v/>
      </c>
      <c r="BF27" s="91" t="str">
        <f t="shared" si="9"/>
        <v/>
      </c>
      <c r="BG27" s="90" t="str">
        <f t="shared" ca="1" si="10"/>
        <v/>
      </c>
      <c r="BH27" s="91" t="str">
        <f t="shared" ca="1" si="11"/>
        <v/>
      </c>
      <c r="BI27" s="90" t="str">
        <f t="shared" ca="1" si="12"/>
        <v/>
      </c>
      <c r="BJ27" s="91" t="str">
        <f t="shared" ca="1" si="13"/>
        <v/>
      </c>
      <c r="BK27" s="90" t="str">
        <f t="shared" ca="1" si="14"/>
        <v/>
      </c>
      <c r="BL27" s="91" t="str">
        <f t="shared" ca="1" si="15"/>
        <v/>
      </c>
      <c r="BM27" s="90" t="str">
        <f t="shared" ca="1" si="16"/>
        <v/>
      </c>
      <c r="BN27" s="8"/>
      <c r="BS27" s="361" t="s">
        <v>39</v>
      </c>
      <c r="BT27" s="105" t="s">
        <v>842</v>
      </c>
      <c r="BU27" s="104">
        <v>4</v>
      </c>
      <c r="BV27" s="105" t="str">
        <f t="shared" si="18"/>
        <v>Jakub Boček</v>
      </c>
      <c r="BW27" s="103">
        <f t="shared" si="19"/>
        <v>4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20"/>
        <v/>
      </c>
      <c r="AG28" s="122"/>
      <c r="AH28" s="123"/>
      <c r="AI28" s="124"/>
      <c r="AJ28" s="124"/>
      <c r="AK28" s="124"/>
      <c r="AL28" s="125" t="str">
        <f t="shared" si="21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2"/>
        <v/>
      </c>
      <c r="AV28" s="128" t="str">
        <f t="shared" si="3"/>
        <v/>
      </c>
      <c r="AW28" s="129" t="str">
        <f t="shared" si="4"/>
        <v/>
      </c>
      <c r="AX28" s="130" t="str">
        <f t="shared" ca="1" si="5"/>
        <v/>
      </c>
      <c r="AY28" s="130" t="str">
        <f t="shared" ca="1" si="6"/>
        <v/>
      </c>
      <c r="AZ28" s="131"/>
      <c r="BA28" s="131"/>
      <c r="BB28" s="131"/>
      <c r="BC28" s="131"/>
      <c r="BD28" s="3" t="str">
        <f t="shared" si="7"/>
        <v/>
      </c>
      <c r="BE28" s="85" t="str">
        <f t="shared" ca="1" si="8"/>
        <v/>
      </c>
      <c r="BF28" s="62" t="str">
        <f t="shared" si="9"/>
        <v/>
      </c>
      <c r="BG28" s="3" t="str">
        <f t="shared" ca="1" si="10"/>
        <v/>
      </c>
      <c r="BH28" s="62" t="str">
        <f t="shared" ca="1" si="11"/>
        <v/>
      </c>
      <c r="BI28" s="3" t="str">
        <f t="shared" ca="1" si="12"/>
        <v/>
      </c>
      <c r="BJ28" s="62" t="str">
        <f t="shared" ca="1" si="13"/>
        <v/>
      </c>
      <c r="BK28" s="3" t="str">
        <f t="shared" ca="1" si="14"/>
        <v/>
      </c>
      <c r="BL28" s="62" t="str">
        <f t="shared" ca="1" si="15"/>
        <v/>
      </c>
      <c r="BM28" s="3" t="str">
        <f t="shared" ca="1" si="16"/>
        <v/>
      </c>
      <c r="BN28" s="8"/>
      <c r="BS28" s="361"/>
      <c r="BT28" s="105" t="s">
        <v>944</v>
      </c>
      <c r="BU28" s="104">
        <v>4</v>
      </c>
      <c r="BV28" s="105" t="str">
        <f t="shared" si="18"/>
        <v>Vojtěch Novotný</v>
      </c>
      <c r="BW28" s="103">
        <f t="shared" si="19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20"/>
        <v/>
      </c>
      <c r="AG29" s="122"/>
      <c r="AH29" s="123"/>
      <c r="AI29" s="124"/>
      <c r="AJ29" s="124"/>
      <c r="AK29" s="124"/>
      <c r="AL29" s="125" t="str">
        <f t="shared" si="21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2"/>
        <v/>
      </c>
      <c r="AV29" s="128" t="str">
        <f t="shared" si="3"/>
        <v/>
      </c>
      <c r="AW29" s="129" t="str">
        <f t="shared" si="4"/>
        <v/>
      </c>
      <c r="AX29" s="130" t="str">
        <f t="shared" ca="1" si="5"/>
        <v/>
      </c>
      <c r="AY29" s="130" t="str">
        <f t="shared" ca="1" si="6"/>
        <v/>
      </c>
      <c r="AZ29" s="131"/>
      <c r="BA29" s="131"/>
      <c r="BB29" s="131"/>
      <c r="BC29" s="131"/>
      <c r="BD29" s="90" t="str">
        <f t="shared" si="7"/>
        <v/>
      </c>
      <c r="BE29" s="92" t="str">
        <f t="shared" ca="1" si="8"/>
        <v/>
      </c>
      <c r="BF29" s="91" t="str">
        <f t="shared" si="9"/>
        <v/>
      </c>
      <c r="BG29" s="90" t="str">
        <f t="shared" ca="1" si="10"/>
        <v/>
      </c>
      <c r="BH29" s="91" t="str">
        <f t="shared" ca="1" si="11"/>
        <v/>
      </c>
      <c r="BI29" s="90" t="str">
        <f t="shared" ca="1" si="12"/>
        <v/>
      </c>
      <c r="BJ29" s="91" t="str">
        <f t="shared" ca="1" si="13"/>
        <v/>
      </c>
      <c r="BK29" s="90" t="str">
        <f t="shared" ca="1" si="14"/>
        <v/>
      </c>
      <c r="BL29" s="91" t="str">
        <f t="shared" ca="1" si="15"/>
        <v/>
      </c>
      <c r="BM29" s="90" t="str">
        <f t="shared" ca="1" si="16"/>
        <v/>
      </c>
      <c r="BN29" s="8"/>
      <c r="BS29" s="361"/>
      <c r="BT29" s="105" t="s">
        <v>945</v>
      </c>
      <c r="BU29" s="104">
        <v>2</v>
      </c>
      <c r="BV29" s="105" t="str">
        <f t="shared" si="18"/>
        <v>Filip Neklan</v>
      </c>
      <c r="BW29" s="103">
        <f t="shared" si="19"/>
        <v>2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BA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20"/>
        <v/>
      </c>
      <c r="AG30" s="122"/>
      <c r="AH30" s="123"/>
      <c r="AI30" s="124"/>
      <c r="AJ30" s="124"/>
      <c r="AK30" s="124"/>
      <c r="AL30" s="125" t="str">
        <f t="shared" si="21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2"/>
        <v/>
      </c>
      <c r="AV30" s="128" t="str">
        <f t="shared" si="3"/>
        <v/>
      </c>
      <c r="AW30" s="129" t="str">
        <f t="shared" si="4"/>
        <v/>
      </c>
      <c r="AX30" s="130" t="str">
        <f t="shared" ca="1" si="5"/>
        <v/>
      </c>
      <c r="AY30" s="130" t="str">
        <f t="shared" ca="1" si="6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3"/>
        <v/>
      </c>
      <c r="BK30" s="3" t="str">
        <f t="shared" ca="1" si="14"/>
        <v/>
      </c>
      <c r="BL30" s="62" t="str">
        <f t="shared" ca="1" si="15"/>
        <v/>
      </c>
      <c r="BM30" s="3" t="str">
        <f t="shared" ca="1" si="16"/>
        <v/>
      </c>
      <c r="BN30" s="8"/>
      <c r="BS30" s="361"/>
      <c r="BT30" s="105" t="s">
        <v>946</v>
      </c>
      <c r="BU30" s="104">
        <v>2</v>
      </c>
      <c r="BV30" s="105" t="str">
        <f t="shared" si="18"/>
        <v>Jakub Hromada</v>
      </c>
      <c r="BW30" s="103">
        <f t="shared" si="19"/>
        <v>2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20"/>
        <v/>
      </c>
      <c r="AG31" s="122"/>
      <c r="AH31" s="123"/>
      <c r="AI31" s="124"/>
      <c r="AJ31" s="124"/>
      <c r="AK31" s="124"/>
      <c r="AL31" s="125" t="str">
        <f t="shared" si="21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2"/>
        <v/>
      </c>
      <c r="AV31" s="128" t="str">
        <f t="shared" si="3"/>
        <v/>
      </c>
      <c r="AW31" s="129" t="str">
        <f t="shared" si="4"/>
        <v/>
      </c>
      <c r="AX31" s="130" t="str">
        <f t="shared" ca="1" si="5"/>
        <v/>
      </c>
      <c r="AY31" s="130" t="str">
        <f t="shared" ca="1" si="6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3"/>
        <v/>
      </c>
      <c r="BK31" s="90" t="str">
        <f t="shared" ca="1" si="14"/>
        <v/>
      </c>
      <c r="BL31" s="91" t="str">
        <f t="shared" ca="1" si="15"/>
        <v/>
      </c>
      <c r="BM31" s="90" t="str">
        <f t="shared" ca="1" si="16"/>
        <v/>
      </c>
      <c r="BN31" s="8"/>
      <c r="BS31" s="361"/>
      <c r="BT31" s="105" t="s">
        <v>947</v>
      </c>
      <c r="BU31" s="104">
        <v>2</v>
      </c>
      <c r="BV31" s="105" t="str">
        <f t="shared" si="18"/>
        <v>Jakub Renčín</v>
      </c>
      <c r="BW31" s="103">
        <f t="shared" si="19"/>
        <v>2</v>
      </c>
    </row>
    <row r="32" spans="1:75" ht="15" customHeight="1" thickTop="1" thickBot="1" x14ac:dyDescent="0.25">
      <c r="S32" s="112"/>
      <c r="AC32" s="103" t="str">
        <f t="shared" ca="1" si="20"/>
        <v/>
      </c>
      <c r="AG32" s="122"/>
      <c r="AH32" s="123"/>
      <c r="AI32" s="124"/>
      <c r="AJ32" s="124"/>
      <c r="AK32" s="124"/>
      <c r="AL32" s="125" t="str">
        <f t="shared" si="2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2"/>
        <v/>
      </c>
      <c r="AV32" s="128" t="str">
        <f t="shared" si="3"/>
        <v/>
      </c>
      <c r="AW32" s="129" t="str">
        <f t="shared" si="4"/>
        <v/>
      </c>
      <c r="AX32" s="130" t="str">
        <f t="shared" ca="1" si="5"/>
        <v/>
      </c>
      <c r="AY32" s="130" t="str">
        <f t="shared" ca="1" si="6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3"/>
        <v/>
      </c>
      <c r="BK32" s="3" t="str">
        <f t="shared" ca="1" si="14"/>
        <v/>
      </c>
      <c r="BL32" s="62" t="str">
        <f t="shared" ca="1" si="15"/>
        <v/>
      </c>
      <c r="BM32" s="3" t="str">
        <f t="shared" ca="1" si="16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20"/>
        <v/>
      </c>
      <c r="AG33" s="122"/>
      <c r="AH33" s="123"/>
      <c r="AI33" s="124"/>
      <c r="AJ33" s="124"/>
      <c r="AK33" s="124"/>
      <c r="AL33" s="125" t="str">
        <f t="shared" si="2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2"/>
        <v/>
      </c>
      <c r="AV33" s="128" t="str">
        <f t="shared" si="3"/>
        <v/>
      </c>
      <c r="AW33" s="129" t="str">
        <f t="shared" si="4"/>
        <v/>
      </c>
      <c r="AX33" s="130" t="str">
        <f t="shared" ca="1" si="5"/>
        <v/>
      </c>
      <c r="AY33" s="130" t="str">
        <f t="shared" ca="1" si="6"/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3"/>
        <v/>
      </c>
      <c r="BK33" s="90" t="str">
        <f t="shared" ca="1" si="14"/>
        <v/>
      </c>
      <c r="BL33" s="91" t="str">
        <f t="shared" ca="1" si="15"/>
        <v/>
      </c>
      <c r="BM33" s="90" t="str">
        <f t="shared" ca="1" si="16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20"/>
        <v/>
      </c>
      <c r="AG34" s="122"/>
      <c r="AH34" s="123"/>
      <c r="AI34" s="124"/>
      <c r="AJ34" s="124"/>
      <c r="AK34" s="124"/>
      <c r="AL34" s="125" t="str">
        <f t="shared" si="2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ref="AU34:AU50" ca="1" si="22">IF(AG34&lt;&gt;"",IF(AH34&lt;&gt;"",INT((TODAY()-AH34)/365),"?"),"")</f>
        <v/>
      </c>
      <c r="AV34" s="128" t="str">
        <f t="shared" ref="AV34:AV50" si="23">IF(AG34&lt;&gt;"",CONCATENATE(IF(AQ34&lt;&gt;"",AQ34,"? "),"/",IF(AR34&lt;&gt;"",AR34," ?")),"")</f>
        <v/>
      </c>
      <c r="AW34" s="129" t="str">
        <f t="shared" ref="AW34:AW50" si="24">IF(AG34&lt;&gt;"",IF(BE34=1,BD34,IF(BH34=1,BG34,IF(BJ34=1,BI34,IF(BL34=1,BK34,BM34)))),"")</f>
        <v/>
      </c>
      <c r="AX34" s="130" t="str">
        <f t="shared" ref="AX34:AX50" ca="1" si="25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30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3"/>
        <v/>
      </c>
      <c r="BK34" s="3" t="str">
        <f t="shared" ca="1" si="14"/>
        <v/>
      </c>
      <c r="BL34" s="62" t="str">
        <f t="shared" ca="1" si="15"/>
        <v/>
      </c>
      <c r="BM34" s="3" t="str">
        <f t="shared" ca="1" si="16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20"/>
        <v/>
      </c>
      <c r="AG35" s="122"/>
      <c r="AH35" s="123"/>
      <c r="AI35" s="124"/>
      <c r="AJ35" s="124"/>
      <c r="AK35" s="124"/>
      <c r="AL35" s="125" t="str">
        <f t="shared" si="2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2"/>
        <v/>
      </c>
      <c r="AV35" s="128" t="str">
        <f t="shared" si="23"/>
        <v/>
      </c>
      <c r="AW35" s="129" t="str">
        <f t="shared" si="24"/>
        <v/>
      </c>
      <c r="AX35" s="130" t="str">
        <f t="shared" ca="1" si="25"/>
        <v/>
      </c>
      <c r="AY35" s="130" t="str">
        <f t="shared" ca="1" si="26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3"/>
        <v/>
      </c>
      <c r="BK35" s="90" t="str">
        <f t="shared" ca="1" si="14"/>
        <v/>
      </c>
      <c r="BL35" s="91" t="str">
        <f t="shared" ca="1" si="15"/>
        <v/>
      </c>
      <c r="BM35" s="90" t="str">
        <f t="shared" ca="1" si="16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20"/>
        <v/>
      </c>
      <c r="AG36" s="122"/>
      <c r="AH36" s="123"/>
      <c r="AI36" s="124"/>
      <c r="AJ36" s="124"/>
      <c r="AK36" s="124"/>
      <c r="AL36" s="125" t="str">
        <f t="shared" si="2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2"/>
        <v/>
      </c>
      <c r="AV36" s="128" t="str">
        <f t="shared" si="23"/>
        <v/>
      </c>
      <c r="AW36" s="129" t="str">
        <f t="shared" si="24"/>
        <v/>
      </c>
      <c r="AX36" s="130" t="str">
        <f t="shared" ca="1" si="25"/>
        <v/>
      </c>
      <c r="AY36" s="130" t="str">
        <f t="shared" ca="1" si="26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3"/>
        <v/>
      </c>
      <c r="BK36" s="3" t="str">
        <f t="shared" ca="1" si="14"/>
        <v/>
      </c>
      <c r="BL36" s="62" t="str">
        <f t="shared" ca="1" si="15"/>
        <v/>
      </c>
      <c r="BM36" s="3" t="str">
        <f t="shared" ca="1" si="16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20"/>
        <v/>
      </c>
      <c r="AG37" s="122"/>
      <c r="AH37" s="123"/>
      <c r="AI37" s="124"/>
      <c r="AJ37" s="124"/>
      <c r="AK37" s="124"/>
      <c r="AL37" s="125" t="str">
        <f t="shared" si="2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2"/>
        <v/>
      </c>
      <c r="AV37" s="128" t="str">
        <f t="shared" si="23"/>
        <v/>
      </c>
      <c r="AW37" s="129" t="str">
        <f t="shared" si="24"/>
        <v/>
      </c>
      <c r="AX37" s="130" t="str">
        <f t="shared" ca="1" si="25"/>
        <v/>
      </c>
      <c r="AY37" s="130" t="str">
        <f t="shared" ca="1" si="26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3"/>
        <v/>
      </c>
      <c r="BK37" s="90" t="str">
        <f t="shared" ca="1" si="14"/>
        <v/>
      </c>
      <c r="BL37" s="91" t="str">
        <f t="shared" ca="1" si="15"/>
        <v/>
      </c>
      <c r="BM37" s="90" t="str">
        <f t="shared" ca="1" si="16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20"/>
        <v/>
      </c>
      <c r="AG38" s="122"/>
      <c r="AH38" s="123"/>
      <c r="AI38" s="124"/>
      <c r="AJ38" s="124"/>
      <c r="AK38" s="124"/>
      <c r="AL38" s="125" t="str">
        <f t="shared" si="2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2"/>
        <v/>
      </c>
      <c r="AV38" s="128" t="str">
        <f t="shared" si="23"/>
        <v/>
      </c>
      <c r="AW38" s="129" t="str">
        <f t="shared" si="24"/>
        <v/>
      </c>
      <c r="AX38" s="130" t="str">
        <f t="shared" ca="1" si="25"/>
        <v/>
      </c>
      <c r="AY38" s="130" t="str">
        <f t="shared" ca="1" si="26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3"/>
        <v/>
      </c>
      <c r="BK38" s="3" t="str">
        <f t="shared" ca="1" si="14"/>
        <v/>
      </c>
      <c r="BL38" s="62" t="str">
        <f t="shared" ca="1" si="15"/>
        <v/>
      </c>
      <c r="BM38" s="3" t="str">
        <f t="shared" ca="1" si="16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20"/>
        <v/>
      </c>
      <c r="AG39" s="122"/>
      <c r="AH39" s="123"/>
      <c r="AI39" s="124"/>
      <c r="AJ39" s="124"/>
      <c r="AK39" s="124"/>
      <c r="AL39" s="125" t="str">
        <f t="shared" si="2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2"/>
        <v/>
      </c>
      <c r="AV39" s="128" t="str">
        <f t="shared" si="23"/>
        <v/>
      </c>
      <c r="AW39" s="129" t="str">
        <f t="shared" si="24"/>
        <v/>
      </c>
      <c r="AX39" s="130" t="str">
        <f t="shared" ca="1" si="25"/>
        <v/>
      </c>
      <c r="AY39" s="130" t="str">
        <f t="shared" ca="1" si="26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3"/>
        <v/>
      </c>
      <c r="BK39" s="90" t="str">
        <f t="shared" ca="1" si="14"/>
        <v/>
      </c>
      <c r="BL39" s="91" t="str">
        <f t="shared" ca="1" si="15"/>
        <v/>
      </c>
      <c r="BM39" s="90" t="str">
        <f t="shared" ca="1" si="16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20"/>
        <v/>
      </c>
      <c r="AG40" s="122"/>
      <c r="AH40" s="123"/>
      <c r="AI40" s="124"/>
      <c r="AJ40" s="124"/>
      <c r="AK40" s="124"/>
      <c r="AL40" s="125" t="str">
        <f t="shared" si="2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2"/>
        <v/>
      </c>
      <c r="AV40" s="128" t="str">
        <f t="shared" si="23"/>
        <v/>
      </c>
      <c r="AW40" s="129" t="str">
        <f t="shared" si="24"/>
        <v/>
      </c>
      <c r="AX40" s="130" t="str">
        <f t="shared" ca="1" si="25"/>
        <v/>
      </c>
      <c r="AY40" s="130" t="str">
        <f t="shared" ca="1" si="26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3"/>
        <v/>
      </c>
      <c r="BK40" s="3" t="str">
        <f t="shared" ca="1" si="14"/>
        <v/>
      </c>
      <c r="BL40" s="62" t="str">
        <f t="shared" ca="1" si="15"/>
        <v/>
      </c>
      <c r="BM40" s="3" t="str">
        <f t="shared" ca="1" si="16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20"/>
        <v/>
      </c>
      <c r="AG41" s="122"/>
      <c r="AH41" s="123"/>
      <c r="AI41" s="124"/>
      <c r="AJ41" s="124"/>
      <c r="AK41" s="124"/>
      <c r="AL41" s="125" t="str">
        <f t="shared" si="2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2"/>
        <v/>
      </c>
      <c r="AV41" s="128" t="str">
        <f t="shared" si="23"/>
        <v/>
      </c>
      <c r="AW41" s="129" t="str">
        <f t="shared" si="24"/>
        <v/>
      </c>
      <c r="AX41" s="130" t="str">
        <f t="shared" ca="1" si="25"/>
        <v/>
      </c>
      <c r="AY41" s="130" t="str">
        <f t="shared" ca="1" si="26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3"/>
        <v/>
      </c>
      <c r="BK41" s="90" t="str">
        <f t="shared" ca="1" si="14"/>
        <v/>
      </c>
      <c r="BL41" s="91" t="str">
        <f t="shared" ca="1" si="15"/>
        <v/>
      </c>
      <c r="BM41" s="90" t="str">
        <f t="shared" ca="1" si="16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20"/>
        <v/>
      </c>
      <c r="AG42" s="122"/>
      <c r="AH42" s="123"/>
      <c r="AI42" s="124"/>
      <c r="AJ42" s="124"/>
      <c r="AK42" s="124"/>
      <c r="AL42" s="125" t="str">
        <f t="shared" si="2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2"/>
        <v/>
      </c>
      <c r="AV42" s="128" t="str">
        <f t="shared" si="23"/>
        <v/>
      </c>
      <c r="AW42" s="129" t="str">
        <f t="shared" si="24"/>
        <v/>
      </c>
      <c r="AX42" s="130" t="str">
        <f t="shared" ca="1" si="25"/>
        <v/>
      </c>
      <c r="AY42" s="130" t="str">
        <f t="shared" ca="1" si="26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3"/>
        <v/>
      </c>
      <c r="BK42" s="3" t="str">
        <f t="shared" ca="1" si="14"/>
        <v/>
      </c>
      <c r="BL42" s="62" t="str">
        <f t="shared" ca="1" si="15"/>
        <v/>
      </c>
      <c r="BM42" s="3" t="str">
        <f t="shared" ca="1" si="16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2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2"/>
        <v/>
      </c>
      <c r="AV43" s="128" t="str">
        <f t="shared" si="23"/>
        <v/>
      </c>
      <c r="AW43" s="129" t="str">
        <f t="shared" si="24"/>
        <v/>
      </c>
      <c r="AX43" s="130" t="str">
        <f t="shared" ca="1" si="25"/>
        <v/>
      </c>
      <c r="AY43" s="130" t="str">
        <f t="shared" ca="1" si="26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3"/>
        <v/>
      </c>
      <c r="BK43" s="90" t="str">
        <f t="shared" ca="1" si="14"/>
        <v/>
      </c>
      <c r="BL43" s="91" t="str">
        <f t="shared" ca="1" si="15"/>
        <v/>
      </c>
      <c r="BM43" s="90" t="str">
        <f t="shared" ca="1" si="16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2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2"/>
        <v/>
      </c>
      <c r="AV44" s="128" t="str">
        <f t="shared" si="23"/>
        <v/>
      </c>
      <c r="AW44" s="129" t="str">
        <f t="shared" si="24"/>
        <v/>
      </c>
      <c r="AX44" s="130" t="str">
        <f t="shared" ca="1" si="25"/>
        <v/>
      </c>
      <c r="AY44" s="130" t="str">
        <f t="shared" ca="1" si="26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3"/>
        <v/>
      </c>
      <c r="BK44" s="3" t="str">
        <f t="shared" ca="1" si="14"/>
        <v/>
      </c>
      <c r="BL44" s="62" t="str">
        <f t="shared" ca="1" si="15"/>
        <v/>
      </c>
      <c r="BM44" s="3" t="str">
        <f t="shared" ca="1" si="16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828</v>
      </c>
      <c r="T45" s="103">
        <v>1</v>
      </c>
      <c r="U45" s="113">
        <v>60</v>
      </c>
      <c r="V45" s="103">
        <v>1</v>
      </c>
      <c r="W45" s="103">
        <v>1</v>
      </c>
      <c r="X45" s="103">
        <v>0</v>
      </c>
      <c r="Y45" s="103">
        <v>18</v>
      </c>
      <c r="Z45" s="103">
        <v>0</v>
      </c>
      <c r="AA45" s="103">
        <v>0</v>
      </c>
      <c r="AB45" s="103">
        <v>17</v>
      </c>
      <c r="AC45" s="103">
        <v>0</v>
      </c>
      <c r="AD45" s="103">
        <v>0</v>
      </c>
      <c r="AE45" s="113">
        <f>IF(S45&lt;&gt;"",IF(T45&gt;0,W45/(U45/60),0),"")</f>
        <v>1</v>
      </c>
      <c r="AF45" s="113">
        <f>IF(S45&lt;&gt;"",IF(Y45&gt;0,(AB45/Y45)*100,"-"),"")</f>
        <v>94.444444444444443</v>
      </c>
      <c r="AG45" s="122"/>
      <c r="AH45" s="123"/>
      <c r="AI45" s="124"/>
      <c r="AJ45" s="124"/>
      <c r="AK45" s="124"/>
      <c r="AL45" s="125" t="str">
        <f t="shared" si="2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2"/>
        <v/>
      </c>
      <c r="AV45" s="128" t="str">
        <f t="shared" si="23"/>
        <v/>
      </c>
      <c r="AW45" s="129" t="str">
        <f t="shared" si="24"/>
        <v/>
      </c>
      <c r="AX45" s="130" t="str">
        <f t="shared" ca="1" si="25"/>
        <v/>
      </c>
      <c r="AY45" s="130" t="str">
        <f t="shared" ca="1" si="26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3"/>
        <v/>
      </c>
      <c r="BK45" s="90" t="str">
        <f t="shared" ca="1" si="14"/>
        <v/>
      </c>
      <c r="BL45" s="91" t="str">
        <f t="shared" ca="1" si="15"/>
        <v/>
      </c>
      <c r="BM45" s="90" t="str">
        <f t="shared" ca="1" si="16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830</v>
      </c>
      <c r="T46" s="103">
        <v>1</v>
      </c>
      <c r="U46" s="113">
        <v>60</v>
      </c>
      <c r="V46" s="103">
        <v>1</v>
      </c>
      <c r="W46" s="103">
        <v>4</v>
      </c>
      <c r="X46" s="103">
        <v>0</v>
      </c>
      <c r="Y46" s="103">
        <v>19</v>
      </c>
      <c r="Z46" s="103">
        <v>0</v>
      </c>
      <c r="AA46" s="103">
        <v>0</v>
      </c>
      <c r="AB46" s="103">
        <v>15</v>
      </c>
      <c r="AC46" s="103">
        <v>0</v>
      </c>
      <c r="AD46" s="103">
        <v>0</v>
      </c>
      <c r="AE46" s="113">
        <f t="shared" ref="AE46:AE50" si="27">IF(S46&lt;&gt;"",IF(T46&gt;0,W46/(U46/60),0),"")</f>
        <v>4</v>
      </c>
      <c r="AF46" s="113">
        <f t="shared" ref="AF46:AF50" si="28">IF(S46&lt;&gt;"",IF(Y46&gt;0,(AB46/Y46)*100,"-"),"")</f>
        <v>78.94736842105263</v>
      </c>
      <c r="AG46" s="122"/>
      <c r="AH46" s="123"/>
      <c r="AI46" s="124"/>
      <c r="AJ46" s="124"/>
      <c r="AK46" s="124"/>
      <c r="AL46" s="125" t="str">
        <f t="shared" si="2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2"/>
        <v/>
      </c>
      <c r="AV46" s="128" t="str">
        <f t="shared" si="23"/>
        <v/>
      </c>
      <c r="AW46" s="129" t="str">
        <f t="shared" si="24"/>
        <v/>
      </c>
      <c r="AX46" s="130" t="str">
        <f t="shared" ca="1" si="25"/>
        <v/>
      </c>
      <c r="AY46" s="130" t="str">
        <f t="shared" ca="1" si="26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3"/>
        <v/>
      </c>
      <c r="BK46" s="3" t="str">
        <f t="shared" ca="1" si="14"/>
        <v/>
      </c>
      <c r="BL46" s="62" t="str">
        <f t="shared" ca="1" si="15"/>
        <v/>
      </c>
      <c r="BM46" s="3" t="str">
        <f t="shared" ca="1" si="16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7"/>
        <v/>
      </c>
      <c r="AF47" s="113" t="str">
        <f t="shared" si="28"/>
        <v/>
      </c>
      <c r="AG47" s="122"/>
      <c r="AH47" s="123"/>
      <c r="AI47" s="124"/>
      <c r="AJ47" s="124"/>
      <c r="AK47" s="124"/>
      <c r="AL47" s="125" t="str">
        <f t="shared" si="2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2"/>
        <v/>
      </c>
      <c r="AV47" s="128" t="str">
        <f t="shared" si="23"/>
        <v/>
      </c>
      <c r="AW47" s="129" t="str">
        <f t="shared" si="24"/>
        <v/>
      </c>
      <c r="AX47" s="130" t="str">
        <f t="shared" ca="1" si="25"/>
        <v/>
      </c>
      <c r="AY47" s="130" t="str">
        <f t="shared" ca="1" si="26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3"/>
        <v/>
      </c>
      <c r="BK47" s="90" t="str">
        <f t="shared" ca="1" si="14"/>
        <v/>
      </c>
      <c r="BL47" s="91" t="str">
        <f t="shared" ca="1" si="15"/>
        <v/>
      </c>
      <c r="BM47" s="90" t="str">
        <f t="shared" ca="1" si="16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7"/>
        <v/>
      </c>
      <c r="AF48" s="113" t="str">
        <f t="shared" si="28"/>
        <v/>
      </c>
      <c r="AG48" s="122"/>
      <c r="AH48" s="123"/>
      <c r="AI48" s="124"/>
      <c r="AJ48" s="124"/>
      <c r="AK48" s="124"/>
      <c r="AL48" s="125" t="str">
        <f t="shared" si="2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2"/>
        <v/>
      </c>
      <c r="AV48" s="128" t="str">
        <f t="shared" si="23"/>
        <v/>
      </c>
      <c r="AW48" s="129" t="str">
        <f t="shared" si="24"/>
        <v/>
      </c>
      <c r="AX48" s="130" t="str">
        <f t="shared" ca="1" si="25"/>
        <v/>
      </c>
      <c r="AY48" s="130" t="str">
        <f t="shared" ca="1" si="26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3"/>
        <v/>
      </c>
      <c r="BK48" s="3" t="str">
        <f t="shared" ca="1" si="14"/>
        <v/>
      </c>
      <c r="BL48" s="62" t="str">
        <f t="shared" ca="1" si="15"/>
        <v/>
      </c>
      <c r="BM48" s="3" t="str">
        <f t="shared" ca="1" si="16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7"/>
        <v/>
      </c>
      <c r="AF49" s="113" t="str">
        <f t="shared" si="28"/>
        <v/>
      </c>
      <c r="AG49" s="122"/>
      <c r="AH49" s="123"/>
      <c r="AI49" s="124"/>
      <c r="AJ49" s="124"/>
      <c r="AK49" s="124"/>
      <c r="AL49" s="125" t="str">
        <f t="shared" si="2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2"/>
        <v/>
      </c>
      <c r="AV49" s="128" t="str">
        <f t="shared" si="23"/>
        <v/>
      </c>
      <c r="AW49" s="129" t="str">
        <f t="shared" si="24"/>
        <v/>
      </c>
      <c r="AX49" s="130" t="str">
        <f t="shared" ca="1" si="25"/>
        <v/>
      </c>
      <c r="AY49" s="130" t="str">
        <f t="shared" ca="1" si="26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3"/>
        <v/>
      </c>
      <c r="BK49" s="90" t="str">
        <f t="shared" ca="1" si="14"/>
        <v/>
      </c>
      <c r="BL49" s="91" t="str">
        <f t="shared" ca="1" si="15"/>
        <v/>
      </c>
      <c r="BM49" s="90" t="str">
        <f t="shared" ca="1" si="16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7"/>
        <v/>
      </c>
      <c r="AF50" s="113" t="str">
        <f t="shared" si="28"/>
        <v/>
      </c>
      <c r="AG50" s="122"/>
      <c r="AH50" s="123"/>
      <c r="AI50" s="124"/>
      <c r="AJ50" s="124"/>
      <c r="AK50" s="124"/>
      <c r="AL50" s="125" t="str">
        <f t="shared" si="2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2"/>
        <v/>
      </c>
      <c r="AV50" s="128" t="str">
        <f t="shared" si="23"/>
        <v/>
      </c>
      <c r="AW50" s="129" t="str">
        <f t="shared" si="24"/>
        <v/>
      </c>
      <c r="AX50" s="130" t="str">
        <f t="shared" ca="1" si="25"/>
        <v/>
      </c>
      <c r="AY50" s="130" t="str">
        <f t="shared" ca="1" si="26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3"/>
        <v/>
      </c>
      <c r="BK50" s="3" t="str">
        <f t="shared" ca="1" si="14"/>
        <v/>
      </c>
      <c r="BL50" s="62" t="str">
        <f t="shared" ca="1" si="15"/>
        <v/>
      </c>
      <c r="BM50" s="3" t="str">
        <f t="shared" ca="1" si="16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634</v>
      </c>
      <c r="T2" s="103" t="s">
        <v>133</v>
      </c>
      <c r="U2" s="103">
        <v>2</v>
      </c>
      <c r="V2" s="103">
        <v>7</v>
      </c>
      <c r="W2" s="103">
        <v>1</v>
      </c>
      <c r="X2" s="103">
        <v>0</v>
      </c>
      <c r="Y2" s="103">
        <v>2</v>
      </c>
      <c r="Z2" s="103">
        <v>9</v>
      </c>
      <c r="AA2" s="103">
        <v>0</v>
      </c>
      <c r="AB2" s="103">
        <v>8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635</v>
      </c>
      <c r="AH2" s="123">
        <v>36990</v>
      </c>
      <c r="AI2" s="124">
        <v>72</v>
      </c>
      <c r="AJ2" s="124">
        <v>62</v>
      </c>
      <c r="AK2" s="124">
        <v>33</v>
      </c>
      <c r="AL2" s="125">
        <f t="shared" ref="AL2:AL50" si="1">IF(AG2&lt;&gt;"",AJ2+AK2,"")</f>
        <v>95</v>
      </c>
      <c r="AM2" s="124">
        <v>4</v>
      </c>
      <c r="AN2" s="124">
        <v>21</v>
      </c>
      <c r="AO2" s="126"/>
      <c r="AP2" s="126" t="s">
        <v>163</v>
      </c>
      <c r="AQ2" s="124">
        <v>183</v>
      </c>
      <c r="AR2" s="124">
        <v>67</v>
      </c>
      <c r="AS2" s="127" t="s">
        <v>78</v>
      </c>
      <c r="AT2" s="124">
        <v>2006</v>
      </c>
      <c r="AU2" s="128">
        <f t="shared" ref="AU2:AU23" ca="1" si="2">IF(AG2&lt;&gt;"",IF(AH2&lt;&gt;"",INT((TODAY()-AH2)/365),"?"),"")</f>
        <v>20</v>
      </c>
      <c r="AV2" s="128" t="str">
        <f t="shared" ref="AV2:AV23" si="3">IF(AG2&lt;&gt;"",CONCATENATE(IF(AQ2&lt;&gt;"",AQ2,"? "),"/",IF(AR2&lt;&gt;"",AR2," ?")),"")</f>
        <v>183/67</v>
      </c>
      <c r="AW2" s="129" t="str">
        <f ca="1">IF(AG2&lt;&gt;"",IF(BE2=1,BD2,IF(BH2=1,BG2,IF(BJ2=1,BI2,IF(BL2=1,BK2,BM2)))),"")</f>
        <v>Buršík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6 (4+2), +8 ±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74 OZ, 101 (66+35)</v>
      </c>
      <c r="AZ2" s="131"/>
      <c r="BA2" s="131"/>
      <c r="BB2" s="131"/>
      <c r="BC2" s="131"/>
      <c r="BD2" s="3" t="str">
        <f>IF(AG2&lt;&gt;"",RIGHT(AG2,LEN(AG2)-SEARCH(" ",AG2)),"")</f>
        <v>Buršík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671</v>
      </c>
      <c r="BO2" s="123">
        <v>29350</v>
      </c>
      <c r="BP2" s="132" t="s">
        <v>278</v>
      </c>
      <c r="BQ2" s="133" t="s">
        <v>672</v>
      </c>
      <c r="BR2" s="128">
        <f ca="1">IF(BN2&lt;&gt;"",IF(BO2&lt;&gt;"",INT((TODAY()-BO2)/365),"?"),"")</f>
        <v>41</v>
      </c>
      <c r="BS2" s="361" t="s">
        <v>36</v>
      </c>
      <c r="BT2" s="105" t="s">
        <v>678</v>
      </c>
      <c r="BU2" s="104">
        <v>9</v>
      </c>
      <c r="BV2" s="105" t="str">
        <f>IFERROR(RIGHT(BT2,LEN(BT2)-SEARCH(" ",BT2)),"")</f>
        <v>Karel Petrák</v>
      </c>
      <c r="BW2" s="103">
        <f>IF(BT2&lt;&gt;0,_xlfn.NUMBERVALUE(BU2,","),"")</f>
        <v>9</v>
      </c>
      <c r="BX2" s="360" t="s">
        <v>233</v>
      </c>
      <c r="BY2" s="104" t="s">
        <v>225</v>
      </c>
      <c r="BZ2" s="104" t="s">
        <v>100</v>
      </c>
      <c r="CA2" s="116" t="s">
        <v>953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636</v>
      </c>
      <c r="T3" s="103" t="s">
        <v>133</v>
      </c>
      <c r="U3" s="103">
        <v>2</v>
      </c>
      <c r="V3" s="103">
        <v>2</v>
      </c>
      <c r="W3" s="103">
        <v>1</v>
      </c>
      <c r="X3" s="103">
        <v>0</v>
      </c>
      <c r="Y3" s="103">
        <v>6</v>
      </c>
      <c r="Z3" s="103">
        <v>8</v>
      </c>
      <c r="AA3" s="103">
        <v>0</v>
      </c>
      <c r="AB3" s="103">
        <v>8</v>
      </c>
      <c r="AC3" s="103" t="str">
        <f t="shared" ca="1" si="0"/>
        <v>ANO</v>
      </c>
      <c r="AG3" s="122" t="s">
        <v>3</v>
      </c>
      <c r="AH3" s="123">
        <v>36257</v>
      </c>
      <c r="AI3" s="124">
        <v>97</v>
      </c>
      <c r="AJ3" s="124">
        <v>35</v>
      </c>
      <c r="AK3" s="124">
        <v>26</v>
      </c>
      <c r="AL3" s="125">
        <f t="shared" si="1"/>
        <v>61</v>
      </c>
      <c r="AM3" s="124">
        <v>6</v>
      </c>
      <c r="AN3" s="124">
        <v>77</v>
      </c>
      <c r="AO3" s="126"/>
      <c r="AP3" s="126" t="s">
        <v>163</v>
      </c>
      <c r="AQ3" s="124">
        <v>184</v>
      </c>
      <c r="AR3" s="124">
        <v>81</v>
      </c>
      <c r="AS3" s="127" t="s">
        <v>165</v>
      </c>
      <c r="AT3" s="124">
        <v>2008</v>
      </c>
      <c r="AU3" s="128">
        <f t="shared" ca="1" si="2"/>
        <v>22</v>
      </c>
      <c r="AV3" s="128" t="str">
        <f t="shared" si="3"/>
        <v>184/81</v>
      </c>
      <c r="AW3" s="129" t="str">
        <f t="shared" ref="AW3:AW50" ca="1" si="6">IF(AG3&lt;&gt;"",IF(BE3=1,BD3,IF(BH3=1,BG3,IF(BJ3=1,BI3,IF(BL3=1,BK3,BM3)))),"")</f>
        <v>Cabejšek</v>
      </c>
      <c r="AX3" s="130" t="str">
        <f t="shared" ca="1" si="4"/>
        <v>0 OZ, 0 (0+0)</v>
      </c>
      <c r="AY3" s="130" t="str">
        <f t="shared" ca="1" si="5"/>
        <v>97 OZ, 61 (35+26)</v>
      </c>
      <c r="AZ3" s="131"/>
      <c r="BA3" s="131"/>
      <c r="BB3" s="131"/>
      <c r="BC3" s="131"/>
      <c r="BD3" s="90" t="str">
        <f t="shared" ref="BD3:BD50" si="7">IF(AG3&lt;&gt;"",RIGHT(AG3,LEN(AG3)-SEARCH(" ",AG3)),"")</f>
        <v>Cabejšek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D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673</v>
      </c>
      <c r="BO3" s="123">
        <v>33849</v>
      </c>
      <c r="BP3" s="132" t="s">
        <v>279</v>
      </c>
      <c r="BQ3" s="133" t="s">
        <v>674</v>
      </c>
      <c r="BR3" s="128">
        <f t="shared" ref="BR3:BR11" ca="1" si="16">IF(BN3&lt;&gt;"",IF(BO3&lt;&gt;"",INT((TODAY()-BO3)/365),"?"),"")</f>
        <v>29</v>
      </c>
      <c r="BS3" s="361"/>
      <c r="BT3" s="105" t="s">
        <v>686</v>
      </c>
      <c r="BU3" s="104">
        <v>8</v>
      </c>
      <c r="BV3" s="105" t="str">
        <f t="shared" ref="BV3:BV31" si="17">IFERROR(RIGHT(BT3,LEN(BT3)-SEARCH(" ",BT3)),"")</f>
        <v>Filip Forman</v>
      </c>
      <c r="BW3" s="103">
        <f t="shared" ref="BW3:BW31" si="18">IF(BT3&lt;&gt;0,_xlfn.NUMBERVALUE(BU3,","),"")</f>
        <v>8</v>
      </c>
      <c r="BX3" s="360"/>
      <c r="BY3" s="104" t="s">
        <v>294</v>
      </c>
      <c r="BZ3" s="104" t="s">
        <v>106</v>
      </c>
      <c r="CA3" s="116" t="s">
        <v>688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635</v>
      </c>
      <c r="U4" s="103">
        <v>2</v>
      </c>
      <c r="V4" s="103">
        <v>4</v>
      </c>
      <c r="W4" s="103">
        <v>0</v>
      </c>
      <c r="X4" s="103">
        <v>0</v>
      </c>
      <c r="Y4" s="103">
        <v>2</v>
      </c>
      <c r="Z4" s="103">
        <v>6</v>
      </c>
      <c r="AA4" s="103">
        <v>0</v>
      </c>
      <c r="AB4" s="103">
        <v>8</v>
      </c>
      <c r="AC4" s="103" t="str">
        <f t="shared" ca="1" si="0"/>
        <v>ANO</v>
      </c>
      <c r="AG4" s="122" t="s">
        <v>647</v>
      </c>
      <c r="AH4" s="123">
        <v>33767</v>
      </c>
      <c r="AI4" s="124">
        <v>243</v>
      </c>
      <c r="AJ4" s="124">
        <v>69</v>
      </c>
      <c r="AK4" s="124">
        <v>66</v>
      </c>
      <c r="AL4" s="125">
        <f t="shared" si="1"/>
        <v>135</v>
      </c>
      <c r="AM4" s="124">
        <v>12</v>
      </c>
      <c r="AN4" s="124">
        <v>44</v>
      </c>
      <c r="AO4" s="126"/>
      <c r="AP4" s="126" t="s">
        <v>27</v>
      </c>
      <c r="AQ4" s="124">
        <v>184</v>
      </c>
      <c r="AR4" s="124">
        <v>84</v>
      </c>
      <c r="AS4" s="127" t="s">
        <v>664</v>
      </c>
      <c r="AT4" s="124">
        <v>2002</v>
      </c>
      <c r="AU4" s="128">
        <f t="shared" ca="1" si="2"/>
        <v>29</v>
      </c>
      <c r="AV4" s="128" t="str">
        <f t="shared" si="3"/>
        <v>184/84</v>
      </c>
      <c r="AW4" s="129" t="str">
        <f t="shared" ca="1" si="6"/>
        <v>Čihák</v>
      </c>
      <c r="AX4" s="130" t="str">
        <f t="shared" ca="1" si="4"/>
        <v>2 OZ, 0 (0+0), -2 ±</v>
      </c>
      <c r="AY4" s="130" t="str">
        <f t="shared" ca="1" si="5"/>
        <v>245 OZ, 135 (69+66)</v>
      </c>
      <c r="AZ4" s="131"/>
      <c r="BA4" s="131"/>
      <c r="BB4" s="131"/>
      <c r="BC4" s="131"/>
      <c r="BD4" s="3" t="str">
        <f t="shared" si="7"/>
        <v>Čihák</v>
      </c>
      <c r="BE4" s="85">
        <f t="shared" ca="1" si="8"/>
        <v>1</v>
      </c>
      <c r="BF4" s="62" t="str">
        <f t="shared" si="9"/>
        <v>P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675</v>
      </c>
      <c r="BO4" s="123">
        <v>28301</v>
      </c>
      <c r="BP4" s="132" t="s">
        <v>279</v>
      </c>
      <c r="BQ4" s="133"/>
      <c r="BR4" s="128">
        <f t="shared" ca="1" si="16"/>
        <v>44</v>
      </c>
      <c r="BS4" s="361"/>
      <c r="BT4" s="105" t="s">
        <v>687</v>
      </c>
      <c r="BU4" s="104">
        <v>6</v>
      </c>
      <c r="BV4" s="105" t="str">
        <f t="shared" si="17"/>
        <v>Jakub Buršík</v>
      </c>
      <c r="BW4" s="103">
        <f t="shared" si="18"/>
        <v>6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639</v>
      </c>
      <c r="T5" s="103" t="s">
        <v>133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-1</v>
      </c>
      <c r="AC5" s="103" t="str">
        <f t="shared" ca="1" si="0"/>
        <v>ANO</v>
      </c>
      <c r="AG5" s="122" t="s">
        <v>651</v>
      </c>
      <c r="AH5" s="123">
        <v>36370</v>
      </c>
      <c r="AI5" s="124">
        <v>105</v>
      </c>
      <c r="AJ5" s="124">
        <v>16</v>
      </c>
      <c r="AK5" s="124">
        <v>15</v>
      </c>
      <c r="AL5" s="125">
        <f t="shared" si="1"/>
        <v>31</v>
      </c>
      <c r="AM5" s="124">
        <v>6</v>
      </c>
      <c r="AN5" s="124">
        <v>8</v>
      </c>
      <c r="AO5" s="126"/>
      <c r="AP5" s="126" t="s">
        <v>163</v>
      </c>
      <c r="AQ5" s="124">
        <v>186</v>
      </c>
      <c r="AR5" s="124">
        <v>73</v>
      </c>
      <c r="AS5" s="127" t="s">
        <v>78</v>
      </c>
      <c r="AT5" s="124">
        <v>2009</v>
      </c>
      <c r="AU5" s="128">
        <f t="shared" ca="1" si="2"/>
        <v>22</v>
      </c>
      <c r="AV5" s="128" t="str">
        <f t="shared" si="3"/>
        <v>186/73</v>
      </c>
      <c r="AW5" s="129" t="str">
        <f t="shared" ca="1" si="6"/>
        <v>Dobisík</v>
      </c>
      <c r="AX5" s="130" t="str">
        <f t="shared" ca="1" si="4"/>
        <v>0 OZ, 0 (0+0)</v>
      </c>
      <c r="AY5" s="130" t="str">
        <f t="shared" ca="1" si="5"/>
        <v>105 OZ, 31 (16+15)</v>
      </c>
      <c r="AZ5" s="131"/>
      <c r="BA5" s="131"/>
      <c r="BB5" s="131"/>
      <c r="BC5" s="131"/>
      <c r="BD5" s="90" t="str">
        <f t="shared" si="7"/>
        <v>Dobisík</v>
      </c>
      <c r="BE5" s="92">
        <f t="shared" ca="1" si="8"/>
        <v>1</v>
      </c>
      <c r="BF5" s="91" t="str">
        <f t="shared" si="9"/>
        <v>J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676</v>
      </c>
      <c r="BO5" s="123">
        <v>24059</v>
      </c>
      <c r="BP5" s="132" t="s">
        <v>425</v>
      </c>
      <c r="BQ5" s="133"/>
      <c r="BR5" s="128">
        <f t="shared" ca="1" si="16"/>
        <v>55</v>
      </c>
      <c r="BS5" s="361"/>
      <c r="BT5" s="105" t="s">
        <v>954</v>
      </c>
      <c r="BU5" s="104">
        <v>2</v>
      </c>
      <c r="BV5" s="105" t="str">
        <f t="shared" si="17"/>
        <v>Adam Růžek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637</v>
      </c>
      <c r="U6" s="103">
        <v>2</v>
      </c>
      <c r="V6" s="103">
        <v>1</v>
      </c>
      <c r="W6" s="103">
        <v>1</v>
      </c>
      <c r="X6" s="103">
        <v>0</v>
      </c>
      <c r="Y6" s="103">
        <v>1</v>
      </c>
      <c r="Z6" s="103">
        <v>2</v>
      </c>
      <c r="AA6" s="103">
        <v>0</v>
      </c>
      <c r="AB6" s="103">
        <v>8</v>
      </c>
      <c r="AC6" s="103" t="str">
        <f t="shared" ca="1" si="0"/>
        <v>ANO</v>
      </c>
      <c r="AG6" s="122" t="s">
        <v>646</v>
      </c>
      <c r="AH6" s="123">
        <v>34316</v>
      </c>
      <c r="AI6" s="124">
        <v>189</v>
      </c>
      <c r="AJ6" s="124">
        <v>49</v>
      </c>
      <c r="AK6" s="124">
        <v>81</v>
      </c>
      <c r="AL6" s="125">
        <f t="shared" si="1"/>
        <v>130</v>
      </c>
      <c r="AM6" s="124">
        <v>11</v>
      </c>
      <c r="AN6" s="124">
        <v>84</v>
      </c>
      <c r="AO6" s="126"/>
      <c r="AP6" s="126" t="s">
        <v>27</v>
      </c>
      <c r="AQ6" s="124">
        <v>188</v>
      </c>
      <c r="AR6" s="124">
        <v>86</v>
      </c>
      <c r="AS6" s="127" t="s">
        <v>665</v>
      </c>
      <c r="AT6" s="124"/>
      <c r="AU6" s="128">
        <f t="shared" ca="1" si="2"/>
        <v>27</v>
      </c>
      <c r="AV6" s="128" t="str">
        <f t="shared" si="3"/>
        <v>188/86</v>
      </c>
      <c r="AW6" s="129" t="str">
        <f t="shared" ca="1" si="6"/>
        <v>Ďopan</v>
      </c>
      <c r="AX6" s="130" t="str">
        <f t="shared" ca="1" si="4"/>
        <v>2 OZ, 0 (0+0), -2 ±</v>
      </c>
      <c r="AY6" s="130" t="str">
        <f t="shared" ca="1" si="5"/>
        <v>191 OZ, 130 (49+81)</v>
      </c>
      <c r="AZ6" s="131"/>
      <c r="BA6" s="131"/>
      <c r="BB6" s="131"/>
      <c r="BC6" s="131"/>
      <c r="BD6" s="3" t="str">
        <f t="shared" si="7"/>
        <v>Ďopan</v>
      </c>
      <c r="BE6" s="85">
        <f t="shared" ca="1" si="8"/>
        <v>1</v>
      </c>
      <c r="BF6" s="62" t="str">
        <f t="shared" si="9"/>
        <v>M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677</v>
      </c>
      <c r="BO6" s="123">
        <v>33657</v>
      </c>
      <c r="BP6" s="132" t="s">
        <v>486</v>
      </c>
      <c r="BQ6" s="133"/>
      <c r="BR6" s="128">
        <f t="shared" ca="1" si="16"/>
        <v>29</v>
      </c>
      <c r="BS6" s="361"/>
      <c r="BT6" s="105" t="s">
        <v>684</v>
      </c>
      <c r="BU6" s="104">
        <v>2</v>
      </c>
      <c r="BV6" s="105" t="str">
        <f t="shared" si="17"/>
        <v>Jan Malič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640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0</v>
      </c>
      <c r="AB7" s="103">
        <v>-2</v>
      </c>
      <c r="AC7" s="103" t="str">
        <f t="shared" ca="1" si="0"/>
        <v>NE</v>
      </c>
      <c r="AG7" s="122" t="s">
        <v>652</v>
      </c>
      <c r="AH7" s="123">
        <v>37464</v>
      </c>
      <c r="AI7" s="124">
        <v>14</v>
      </c>
      <c r="AJ7" s="124">
        <v>1</v>
      </c>
      <c r="AK7" s="124">
        <v>0</v>
      </c>
      <c r="AL7" s="125">
        <f t="shared" si="1"/>
        <v>1</v>
      </c>
      <c r="AM7" s="124">
        <v>3</v>
      </c>
      <c r="AN7" s="124">
        <v>23</v>
      </c>
      <c r="AO7" s="126"/>
      <c r="AP7" s="126" t="s">
        <v>27</v>
      </c>
      <c r="AQ7" s="124"/>
      <c r="AR7" s="124"/>
      <c r="AS7" s="127" t="s">
        <v>165</v>
      </c>
      <c r="AT7" s="124">
        <v>2011</v>
      </c>
      <c r="AU7" s="128">
        <f t="shared" ca="1" si="2"/>
        <v>19</v>
      </c>
      <c r="AV7" s="128" t="str">
        <f t="shared" si="3"/>
        <v>? / ?</v>
      </c>
      <c r="AW7" s="129" t="str">
        <f t="shared" ca="1" si="6"/>
        <v>Folauf</v>
      </c>
      <c r="AX7" s="130" t="str">
        <f t="shared" ca="1" si="4"/>
        <v>0 OZ, 0 (0+0)</v>
      </c>
      <c r="AY7" s="130" t="str">
        <f t="shared" ca="1" si="5"/>
        <v>14 OZ, 1 (1+0)</v>
      </c>
      <c r="AZ7" s="131"/>
      <c r="BA7" s="131"/>
      <c r="BB7" s="131"/>
      <c r="BC7" s="131"/>
      <c r="BD7" s="90" t="str">
        <f t="shared" si="7"/>
        <v>Folauf</v>
      </c>
      <c r="BE7" s="92">
        <f t="shared" ca="1" si="8"/>
        <v>1</v>
      </c>
      <c r="BF7" s="91" t="str">
        <f t="shared" si="9"/>
        <v>F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955</v>
      </c>
      <c r="BU7" s="104" t="s">
        <v>434</v>
      </c>
      <c r="BV7" s="105" t="str">
        <f t="shared" si="17"/>
        <v>Tomáš Hyršl</v>
      </c>
      <c r="BW7" s="113">
        <f t="shared" si="18"/>
        <v>4</v>
      </c>
      <c r="BX7" s="360" t="s">
        <v>234</v>
      </c>
      <c r="BY7" s="104" t="s">
        <v>296</v>
      </c>
      <c r="BZ7" s="104" t="s">
        <v>104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102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638</v>
      </c>
      <c r="U8" s="103">
        <v>2</v>
      </c>
      <c r="V8" s="103">
        <v>0</v>
      </c>
      <c r="W8" s="103">
        <v>0</v>
      </c>
      <c r="X8" s="103">
        <v>0</v>
      </c>
      <c r="Y8" s="103">
        <v>2</v>
      </c>
      <c r="Z8" s="103">
        <v>2</v>
      </c>
      <c r="AA8" s="103">
        <v>0</v>
      </c>
      <c r="AB8" s="103">
        <v>8</v>
      </c>
      <c r="AC8" s="103" t="str">
        <f t="shared" ca="1" si="0"/>
        <v>ANO</v>
      </c>
      <c r="AG8" s="122" t="s">
        <v>636</v>
      </c>
      <c r="AH8" s="123">
        <v>34968</v>
      </c>
      <c r="AI8" s="124">
        <v>142</v>
      </c>
      <c r="AJ8" s="124">
        <v>35</v>
      </c>
      <c r="AK8" s="124">
        <v>45</v>
      </c>
      <c r="AL8" s="125">
        <f t="shared" si="1"/>
        <v>80</v>
      </c>
      <c r="AM8" s="124">
        <v>9</v>
      </c>
      <c r="AN8" s="124">
        <v>12</v>
      </c>
      <c r="AO8" s="126"/>
      <c r="AP8" s="126" t="s">
        <v>27</v>
      </c>
      <c r="AQ8" s="124">
        <v>175</v>
      </c>
      <c r="AR8" s="124">
        <v>72</v>
      </c>
      <c r="AS8" s="127" t="s">
        <v>78</v>
      </c>
      <c r="AT8" s="124">
        <v>2010</v>
      </c>
      <c r="AU8" s="128">
        <f t="shared" ca="1" si="2"/>
        <v>26</v>
      </c>
      <c r="AV8" s="128" t="str">
        <f t="shared" si="3"/>
        <v>175/72</v>
      </c>
      <c r="AW8" s="129" t="str">
        <f t="shared" ca="1" si="6"/>
        <v>Forman F.</v>
      </c>
      <c r="AX8" s="130" t="str">
        <f t="shared" ca="1" si="4"/>
        <v>2 OZ, 8 (2+6), +8 ±</v>
      </c>
      <c r="AY8" s="130" t="str">
        <f t="shared" ca="1" si="5"/>
        <v>144 OZ, 88 (37+51)</v>
      </c>
      <c r="AZ8" s="131"/>
      <c r="BA8" s="131"/>
      <c r="BB8" s="131"/>
      <c r="BC8" s="131"/>
      <c r="BD8" s="3" t="str">
        <f t="shared" si="7"/>
        <v>Forman</v>
      </c>
      <c r="BE8" s="85">
        <f t="shared" ca="1" si="8"/>
        <v>2</v>
      </c>
      <c r="BF8" s="62" t="str">
        <f t="shared" si="9"/>
        <v>F</v>
      </c>
      <c r="BG8" s="3" t="str">
        <f t="shared" ca="1" si="10"/>
        <v>Forman F.</v>
      </c>
      <c r="BH8" s="62">
        <f t="shared" ca="1" si="11"/>
        <v>1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956</v>
      </c>
      <c r="BU8" s="104" t="s">
        <v>366</v>
      </c>
      <c r="BV8" s="105" t="str">
        <f t="shared" si="17"/>
        <v>Radovan Michajlovič</v>
      </c>
      <c r="BW8" s="113">
        <f t="shared" si="18"/>
        <v>6</v>
      </c>
      <c r="BX8" s="360"/>
      <c r="BY8" s="104" t="s">
        <v>228</v>
      </c>
      <c r="BZ8" s="104" t="s">
        <v>23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527</v>
      </c>
      <c r="T9" s="103" t="s">
        <v>133</v>
      </c>
      <c r="U9" s="103">
        <v>2</v>
      </c>
      <c r="V9" s="103">
        <v>0</v>
      </c>
      <c r="W9" s="103">
        <v>0</v>
      </c>
      <c r="X9" s="103">
        <v>0</v>
      </c>
      <c r="Y9" s="103">
        <v>1</v>
      </c>
      <c r="Z9" s="103">
        <v>1</v>
      </c>
      <c r="AA9" s="103">
        <v>0</v>
      </c>
      <c r="AB9" s="103">
        <v>-2</v>
      </c>
      <c r="AC9" s="103" t="str">
        <f t="shared" ca="1" si="0"/>
        <v>NE</v>
      </c>
      <c r="AG9" s="122" t="s">
        <v>653</v>
      </c>
      <c r="AH9" s="123">
        <v>34968</v>
      </c>
      <c r="AI9" s="124">
        <v>139</v>
      </c>
      <c r="AJ9" s="124">
        <v>26</v>
      </c>
      <c r="AK9" s="124">
        <v>11</v>
      </c>
      <c r="AL9" s="125">
        <f t="shared" si="1"/>
        <v>37</v>
      </c>
      <c r="AM9" s="124">
        <v>9</v>
      </c>
      <c r="AN9" s="124">
        <v>12</v>
      </c>
      <c r="AO9" s="126"/>
      <c r="AP9" s="126" t="s">
        <v>27</v>
      </c>
      <c r="AQ9" s="124">
        <v>175</v>
      </c>
      <c r="AR9" s="124">
        <v>72</v>
      </c>
      <c r="AS9" s="127" t="s">
        <v>78</v>
      </c>
      <c r="AT9" s="124"/>
      <c r="AU9" s="128">
        <f t="shared" ca="1" si="2"/>
        <v>26</v>
      </c>
      <c r="AV9" s="128" t="str">
        <f t="shared" si="3"/>
        <v>175/72</v>
      </c>
      <c r="AW9" s="129" t="str">
        <f t="shared" ca="1" si="6"/>
        <v>Forman M.</v>
      </c>
      <c r="AX9" s="130" t="str">
        <f t="shared" ca="1" si="4"/>
        <v>0 OZ, 0 (0+0)</v>
      </c>
      <c r="AY9" s="130" t="str">
        <f t="shared" ca="1" si="5"/>
        <v>139 OZ, 37 (26+11)</v>
      </c>
      <c r="AZ9" s="131"/>
      <c r="BA9" s="131"/>
      <c r="BB9" s="131"/>
      <c r="BC9" s="131"/>
      <c r="BD9" s="90" t="str">
        <f t="shared" si="7"/>
        <v>Forman</v>
      </c>
      <c r="BE9" s="92">
        <f t="shared" ca="1" si="8"/>
        <v>2</v>
      </c>
      <c r="BF9" s="91" t="str">
        <f t="shared" si="9"/>
        <v>M</v>
      </c>
      <c r="BG9" s="90" t="str">
        <f t="shared" ca="1" si="10"/>
        <v>Forman M.</v>
      </c>
      <c r="BH9" s="91">
        <f t="shared" ca="1" si="11"/>
        <v>1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229</v>
      </c>
      <c r="BZ9" s="104" t="s">
        <v>108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952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641</v>
      </c>
      <c r="AH10" s="123">
        <v>34531</v>
      </c>
      <c r="AI10" s="124">
        <v>26</v>
      </c>
      <c r="AJ10" s="124">
        <v>0</v>
      </c>
      <c r="AK10" s="124">
        <v>0</v>
      </c>
      <c r="AL10" s="125">
        <f t="shared" si="1"/>
        <v>0</v>
      </c>
      <c r="AM10" s="124">
        <v>7</v>
      </c>
      <c r="AN10" s="124">
        <v>30</v>
      </c>
      <c r="AO10" s="126"/>
      <c r="AP10" s="126"/>
      <c r="AQ10" s="124">
        <v>185</v>
      </c>
      <c r="AR10" s="124">
        <v>75</v>
      </c>
      <c r="AS10" s="127" t="s">
        <v>78</v>
      </c>
      <c r="AT10" s="124"/>
      <c r="AU10" s="128">
        <f t="shared" ca="1" si="2"/>
        <v>27</v>
      </c>
      <c r="AV10" s="128" t="str">
        <f t="shared" si="3"/>
        <v>185/75</v>
      </c>
      <c r="AW10" s="129" t="str">
        <f t="shared" ca="1" si="6"/>
        <v>Hyršl</v>
      </c>
      <c r="AX10" s="130" t="str">
        <f t="shared" ca="1" si="4"/>
        <v>1 V, 0 P</v>
      </c>
      <c r="AY10" s="130" t="str">
        <f t="shared" ca="1" si="5"/>
        <v>27 OZ, 0 A</v>
      </c>
      <c r="AZ10" s="131"/>
      <c r="BA10" s="131"/>
      <c r="BB10" s="131"/>
      <c r="BC10" s="131"/>
      <c r="BD10" s="3" t="str">
        <f t="shared" si="7"/>
        <v>Hyršl</v>
      </c>
      <c r="BE10" s="85">
        <f t="shared" ca="1" si="8"/>
        <v>1</v>
      </c>
      <c r="BF10" s="62" t="str">
        <f t="shared" si="9"/>
        <v>T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105</v>
      </c>
      <c r="CA10" s="116" t="s">
        <v>226</v>
      </c>
    </row>
    <row r="11" spans="1:79" ht="15" customHeight="1" thickTop="1" thickBot="1" x14ac:dyDescent="0.25">
      <c r="R11" s="13"/>
      <c r="S11" s="111" t="s">
        <v>951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654</v>
      </c>
      <c r="AH11" s="123">
        <v>37548</v>
      </c>
      <c r="AI11" s="124">
        <v>14</v>
      </c>
      <c r="AJ11" s="124">
        <v>2</v>
      </c>
      <c r="AK11" s="124">
        <v>2</v>
      </c>
      <c r="AL11" s="125">
        <f t="shared" si="1"/>
        <v>4</v>
      </c>
      <c r="AM11" s="124">
        <v>2</v>
      </c>
      <c r="AN11" s="124">
        <v>50</v>
      </c>
      <c r="AO11" s="126"/>
      <c r="AP11" s="126" t="s">
        <v>27</v>
      </c>
      <c r="AQ11" s="124">
        <v>180</v>
      </c>
      <c r="AR11" s="124">
        <v>65</v>
      </c>
      <c r="AS11" s="127" t="s">
        <v>305</v>
      </c>
      <c r="AT11" s="124">
        <v>2011</v>
      </c>
      <c r="AU11" s="128">
        <f t="shared" ca="1" si="2"/>
        <v>18</v>
      </c>
      <c r="AV11" s="128" t="str">
        <f t="shared" si="3"/>
        <v>180/65</v>
      </c>
      <c r="AW11" s="129" t="str">
        <f t="shared" ca="1" si="6"/>
        <v>Kawulok</v>
      </c>
      <c r="AX11" s="130" t="str">
        <f t="shared" ca="1" si="4"/>
        <v>0 OZ, 0 (0+0)</v>
      </c>
      <c r="AY11" s="130" t="str">
        <f t="shared" ca="1" si="5"/>
        <v>14 OZ, 4 (2+2)</v>
      </c>
      <c r="AZ11" s="131"/>
      <c r="BA11" s="131"/>
      <c r="BB11" s="131"/>
      <c r="BC11" s="131"/>
      <c r="BD11" s="90" t="str">
        <f t="shared" si="7"/>
        <v>Kawulok</v>
      </c>
      <c r="BE11" s="92">
        <f t="shared" ca="1" si="8"/>
        <v>1</v>
      </c>
      <c r="BF11" s="91" t="str">
        <f t="shared" si="9"/>
        <v>O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5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642</v>
      </c>
      <c r="T12" s="103" t="s">
        <v>68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655</v>
      </c>
      <c r="AH12" s="123">
        <v>34592</v>
      </c>
      <c r="AI12" s="124">
        <v>98</v>
      </c>
      <c r="AJ12" s="124">
        <v>40</v>
      </c>
      <c r="AK12" s="124">
        <v>58</v>
      </c>
      <c r="AL12" s="125">
        <f t="shared" si="1"/>
        <v>98</v>
      </c>
      <c r="AM12" s="124">
        <v>7</v>
      </c>
      <c r="AN12" s="124">
        <v>5</v>
      </c>
      <c r="AO12" s="126"/>
      <c r="AP12" s="126" t="s">
        <v>163</v>
      </c>
      <c r="AQ12" s="124">
        <v>184</v>
      </c>
      <c r="AR12" s="124">
        <v>85</v>
      </c>
      <c r="AS12" s="127" t="s">
        <v>78</v>
      </c>
      <c r="AT12" s="124">
        <v>2008</v>
      </c>
      <c r="AU12" s="128">
        <f t="shared" ca="1" si="2"/>
        <v>27</v>
      </c>
      <c r="AV12" s="128" t="str">
        <f t="shared" si="3"/>
        <v>184/85</v>
      </c>
      <c r="AW12" s="129" t="str">
        <f t="shared" ca="1" si="6"/>
        <v>Kisugite</v>
      </c>
      <c r="AX12" s="130" t="str">
        <f t="shared" ca="1" si="4"/>
        <v>0 OZ, 0 (0+0)</v>
      </c>
      <c r="AY12" s="130" t="str">
        <f t="shared" ca="1" si="5"/>
        <v>98 OZ, 98 (40+58)</v>
      </c>
      <c r="AZ12" s="131"/>
      <c r="BA12" s="131"/>
      <c r="BB12" s="131"/>
      <c r="BC12" s="131"/>
      <c r="BD12" s="3" t="str">
        <f t="shared" si="7"/>
        <v>Kisugite</v>
      </c>
      <c r="BE12" s="85">
        <f t="shared" ca="1" si="8"/>
        <v>1</v>
      </c>
      <c r="BF12" s="62" t="str">
        <f t="shared" si="9"/>
        <v>M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678</v>
      </c>
      <c r="BU12" s="104">
        <v>7</v>
      </c>
      <c r="BV12" s="105" t="str">
        <f t="shared" si="17"/>
        <v>Karel Petrák</v>
      </c>
      <c r="BW12" s="103">
        <f t="shared" si="18"/>
        <v>7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778</v>
      </c>
      <c r="T13" s="103" t="s">
        <v>68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130</v>
      </c>
      <c r="AH13" s="123">
        <v>34883</v>
      </c>
      <c r="AI13" s="124">
        <v>92</v>
      </c>
      <c r="AJ13" s="124">
        <v>59</v>
      </c>
      <c r="AK13" s="124">
        <v>31</v>
      </c>
      <c r="AL13" s="125">
        <f t="shared" si="1"/>
        <v>90</v>
      </c>
      <c r="AM13" s="124">
        <v>8</v>
      </c>
      <c r="AN13" s="124">
        <v>61</v>
      </c>
      <c r="AO13" s="126"/>
      <c r="AP13" s="126" t="s">
        <v>163</v>
      </c>
      <c r="AQ13" s="124">
        <v>191</v>
      </c>
      <c r="AR13" s="124">
        <v>78</v>
      </c>
      <c r="AS13" s="127" t="s">
        <v>305</v>
      </c>
      <c r="AT13" s="124"/>
      <c r="AU13" s="128">
        <f t="shared" ca="1" si="2"/>
        <v>26</v>
      </c>
      <c r="AV13" s="128" t="str">
        <f t="shared" si="3"/>
        <v>191/78</v>
      </c>
      <c r="AW13" s="129" t="str">
        <f t="shared" ca="1" si="6"/>
        <v>Kopecký</v>
      </c>
      <c r="AX13" s="130" t="str">
        <f t="shared" ca="1" si="4"/>
        <v>0 OZ, 0 (0+0)</v>
      </c>
      <c r="AY13" s="130" t="str">
        <f t="shared" ca="1" si="5"/>
        <v>92 OZ, 90 (59+31)</v>
      </c>
      <c r="AZ13" s="131"/>
      <c r="BA13" s="131"/>
      <c r="BB13" s="131"/>
      <c r="BC13" s="131"/>
      <c r="BD13" s="90" t="str">
        <f t="shared" si="7"/>
        <v>Kopecký</v>
      </c>
      <c r="BE13" s="92">
        <f t="shared" ca="1" si="8"/>
        <v>1</v>
      </c>
      <c r="BF13" s="91" t="str">
        <f t="shared" si="9"/>
        <v>V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679</v>
      </c>
      <c r="BU13" s="104">
        <v>4</v>
      </c>
      <c r="BV13" s="105" t="str">
        <f t="shared" si="17"/>
        <v>Jakub Buršík</v>
      </c>
      <c r="BW13" s="103">
        <f t="shared" si="18"/>
        <v>4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648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-3</v>
      </c>
      <c r="AC14" s="103" t="str">
        <f t="shared" ca="1" si="0"/>
        <v>NE</v>
      </c>
      <c r="AG14" s="122" t="s">
        <v>644</v>
      </c>
      <c r="AH14" s="123">
        <v>37049</v>
      </c>
      <c r="AI14" s="124">
        <v>20</v>
      </c>
      <c r="AJ14" s="124">
        <v>2</v>
      </c>
      <c r="AK14" s="124">
        <v>0</v>
      </c>
      <c r="AL14" s="125">
        <f t="shared" si="1"/>
        <v>2</v>
      </c>
      <c r="AM14" s="124">
        <v>2</v>
      </c>
      <c r="AN14" s="124">
        <v>74</v>
      </c>
      <c r="AO14" s="126"/>
      <c r="AP14" s="126"/>
      <c r="AQ14" s="124"/>
      <c r="AR14" s="124"/>
      <c r="AS14" s="127" t="s">
        <v>78</v>
      </c>
      <c r="AT14" s="124">
        <v>2009</v>
      </c>
      <c r="AU14" s="128">
        <f t="shared" ca="1" si="2"/>
        <v>20</v>
      </c>
      <c r="AV14" s="128" t="str">
        <f t="shared" si="3"/>
        <v>? / ?</v>
      </c>
      <c r="AW14" s="129" t="str">
        <f t="shared" ca="1" si="6"/>
        <v>Kratina</v>
      </c>
      <c r="AX14" s="130" t="str">
        <f t="shared" ca="1" si="4"/>
        <v>2 OZ, 0 (0+0), -3 ±</v>
      </c>
      <c r="AY14" s="130" t="str">
        <f t="shared" ca="1" si="5"/>
        <v>22 OZ, 2 (2+0)</v>
      </c>
      <c r="AZ14" s="131"/>
      <c r="BA14" s="131"/>
      <c r="BB14" s="131"/>
      <c r="BC14" s="131"/>
      <c r="BD14" s="3" t="str">
        <f t="shared" si="7"/>
        <v>Kratina</v>
      </c>
      <c r="BE14" s="85">
        <f t="shared" ca="1" si="8"/>
        <v>1</v>
      </c>
      <c r="BF14" s="62" t="str">
        <f t="shared" si="9"/>
        <v>J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682</v>
      </c>
      <c r="BU14" s="104">
        <v>2</v>
      </c>
      <c r="BV14" s="105" t="str">
        <f t="shared" si="17"/>
        <v>Adam Růžek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649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NE</v>
      </c>
      <c r="AG15" s="122" t="s">
        <v>656</v>
      </c>
      <c r="AH15" s="123">
        <v>36111</v>
      </c>
      <c r="AI15" s="124">
        <v>141</v>
      </c>
      <c r="AJ15" s="124">
        <v>24</v>
      </c>
      <c r="AK15" s="124">
        <v>29</v>
      </c>
      <c r="AL15" s="125">
        <f t="shared" si="1"/>
        <v>53</v>
      </c>
      <c r="AM15" s="124">
        <v>7</v>
      </c>
      <c r="AN15" s="124">
        <v>98</v>
      </c>
      <c r="AO15" s="126"/>
      <c r="AP15" s="126" t="s">
        <v>163</v>
      </c>
      <c r="AQ15" s="124">
        <v>183</v>
      </c>
      <c r="AR15" s="124">
        <v>73</v>
      </c>
      <c r="AS15" s="127" t="s">
        <v>78</v>
      </c>
      <c r="AT15" s="124">
        <v>2006</v>
      </c>
      <c r="AU15" s="128">
        <f t="shared" ca="1" si="2"/>
        <v>22</v>
      </c>
      <c r="AV15" s="128" t="str">
        <f t="shared" si="3"/>
        <v>183/73</v>
      </c>
      <c r="AW15" s="129" t="str">
        <f t="shared" ca="1" si="6"/>
        <v>Krbec</v>
      </c>
      <c r="AX15" s="130" t="str">
        <f t="shared" ca="1" si="4"/>
        <v>0 OZ, 0 (0+0)</v>
      </c>
      <c r="AY15" s="130" t="str">
        <f t="shared" ca="1" si="5"/>
        <v>141 OZ, 53 (24+29)</v>
      </c>
      <c r="AZ15" s="131"/>
      <c r="BA15" s="131"/>
      <c r="BB15" s="131"/>
      <c r="BC15" s="131"/>
      <c r="BD15" s="90" t="str">
        <f t="shared" si="7"/>
        <v>Krbec</v>
      </c>
      <c r="BE15" s="92">
        <f t="shared" ca="1" si="8"/>
        <v>1</v>
      </c>
      <c r="BF15" s="91" t="str">
        <f t="shared" si="9"/>
        <v>K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683</v>
      </c>
      <c r="BU15" s="104">
        <v>2</v>
      </c>
      <c r="BV15" s="105" t="str">
        <f t="shared" si="17"/>
        <v>Filip Forman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650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-5</v>
      </c>
      <c r="AC16" s="103" t="str">
        <f t="shared" ca="1" si="0"/>
        <v>ANO</v>
      </c>
      <c r="AG16" s="122" t="s">
        <v>657</v>
      </c>
      <c r="AH16" s="123">
        <v>36331</v>
      </c>
      <c r="AI16" s="124">
        <v>117</v>
      </c>
      <c r="AJ16" s="124">
        <v>83</v>
      </c>
      <c r="AK16" s="124">
        <v>84</v>
      </c>
      <c r="AL16" s="125">
        <f t="shared" si="1"/>
        <v>167</v>
      </c>
      <c r="AM16" s="124">
        <v>6</v>
      </c>
      <c r="AN16" s="124">
        <v>9</v>
      </c>
      <c r="AO16" s="126"/>
      <c r="AP16" s="126" t="s">
        <v>163</v>
      </c>
      <c r="AQ16" s="124">
        <v>186</v>
      </c>
      <c r="AR16" s="124">
        <v>95</v>
      </c>
      <c r="AS16" s="127" t="s">
        <v>78</v>
      </c>
      <c r="AT16" s="124">
        <v>2008</v>
      </c>
      <c r="AU16" s="128">
        <f t="shared" ca="1" si="2"/>
        <v>22</v>
      </c>
      <c r="AV16" s="128" t="str">
        <f t="shared" si="3"/>
        <v>186/95</v>
      </c>
      <c r="AW16" s="129" t="str">
        <f t="shared" ca="1" si="6"/>
        <v>Krebner</v>
      </c>
      <c r="AX16" s="130" t="str">
        <f t="shared" ca="1" si="4"/>
        <v>0 OZ, 0 (0+0)</v>
      </c>
      <c r="AY16" s="130" t="str">
        <f t="shared" ca="1" si="5"/>
        <v>117 OZ, 167 (83+84)</v>
      </c>
      <c r="AZ16" s="131"/>
      <c r="BA16" s="131"/>
      <c r="BB16" s="131"/>
      <c r="BC16" s="131"/>
      <c r="BD16" s="3" t="str">
        <f t="shared" si="7"/>
        <v>Krebner</v>
      </c>
      <c r="BE16" s="85">
        <f t="shared" ca="1" si="8"/>
        <v>1</v>
      </c>
      <c r="BF16" s="62" t="str">
        <f t="shared" si="9"/>
        <v>M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684</v>
      </c>
      <c r="BU16" s="104">
        <v>1</v>
      </c>
      <c r="BV16" s="105" t="str">
        <f t="shared" si="17"/>
        <v>Jan Malič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643</v>
      </c>
      <c r="T17" s="103" t="s">
        <v>131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650</v>
      </c>
      <c r="AH17" s="123">
        <v>32940</v>
      </c>
      <c r="AI17" s="124">
        <v>178</v>
      </c>
      <c r="AJ17" s="124">
        <v>32</v>
      </c>
      <c r="AK17" s="124">
        <v>36</v>
      </c>
      <c r="AL17" s="125">
        <f t="shared" si="1"/>
        <v>68</v>
      </c>
      <c r="AM17" s="124">
        <v>11</v>
      </c>
      <c r="AN17" s="124">
        <v>39</v>
      </c>
      <c r="AO17" s="126"/>
      <c r="AP17" s="126" t="s">
        <v>27</v>
      </c>
      <c r="AQ17" s="124">
        <v>184</v>
      </c>
      <c r="AR17" s="124">
        <v>90</v>
      </c>
      <c r="AS17" s="127" t="s">
        <v>78</v>
      </c>
      <c r="AT17" s="124"/>
      <c r="AU17" s="128">
        <f t="shared" ca="1" si="2"/>
        <v>31</v>
      </c>
      <c r="AV17" s="128" t="str">
        <f t="shared" si="3"/>
        <v>184/90</v>
      </c>
      <c r="AW17" s="129" t="str">
        <f t="shared" ca="1" si="6"/>
        <v>Kuncman</v>
      </c>
      <c r="AX17" s="130" t="str">
        <f t="shared" ca="1" si="4"/>
        <v>2 OZ, 0 (0+0), -5 ±</v>
      </c>
      <c r="AY17" s="130" t="str">
        <f t="shared" ca="1" si="5"/>
        <v>180 OZ, 68 (32+36)</v>
      </c>
      <c r="AZ17" s="131"/>
      <c r="BA17" s="131"/>
      <c r="BB17" s="131"/>
      <c r="BC17" s="131"/>
      <c r="BD17" s="90" t="str">
        <f t="shared" si="7"/>
        <v>Kuncman</v>
      </c>
      <c r="BE17" s="92">
        <f t="shared" ca="1" si="8"/>
        <v>1</v>
      </c>
      <c r="BF17" s="91" t="str">
        <f t="shared" si="9"/>
        <v>L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680</v>
      </c>
      <c r="BU17" s="104">
        <v>1</v>
      </c>
      <c r="BV17" s="105" t="str">
        <f t="shared" si="17"/>
        <v>Radovan Michajlovič</v>
      </c>
      <c r="BW17" s="103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645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-3</v>
      </c>
      <c r="AC18" s="103" t="str">
        <f t="shared" ca="1" si="0"/>
        <v>NE</v>
      </c>
      <c r="AG18" s="122" t="s">
        <v>637</v>
      </c>
      <c r="AH18" s="123">
        <v>37650</v>
      </c>
      <c r="AI18" s="124">
        <v>26</v>
      </c>
      <c r="AJ18" s="124">
        <v>13</v>
      </c>
      <c r="AK18" s="124">
        <v>18</v>
      </c>
      <c r="AL18" s="125">
        <f t="shared" si="1"/>
        <v>31</v>
      </c>
      <c r="AM18" s="124">
        <v>2</v>
      </c>
      <c r="AN18" s="124">
        <v>38</v>
      </c>
      <c r="AO18" s="126"/>
      <c r="AP18" s="126" t="s">
        <v>163</v>
      </c>
      <c r="AQ18" s="124">
        <v>175</v>
      </c>
      <c r="AR18" s="124">
        <v>65</v>
      </c>
      <c r="AS18" s="127" t="s">
        <v>165</v>
      </c>
      <c r="AT18" s="124">
        <v>2009</v>
      </c>
      <c r="AU18" s="128">
        <f t="shared" ca="1" si="2"/>
        <v>18</v>
      </c>
      <c r="AV18" s="128" t="str">
        <f t="shared" si="3"/>
        <v>175/65</v>
      </c>
      <c r="AW18" s="129" t="str">
        <f t="shared" ca="1" si="6"/>
        <v>Malič</v>
      </c>
      <c r="AX18" s="130" t="str">
        <f t="shared" ca="1" si="4"/>
        <v>2 OZ, 2 (1+1), +8 ±</v>
      </c>
      <c r="AY18" s="130" t="str">
        <f t="shared" ca="1" si="5"/>
        <v>28 OZ, 33 (14+19)</v>
      </c>
      <c r="AZ18" s="131"/>
      <c r="BA18" s="131"/>
      <c r="BB18" s="131"/>
      <c r="BC18" s="131"/>
      <c r="BD18" s="3" t="str">
        <f t="shared" si="7"/>
        <v>Malič</v>
      </c>
      <c r="BE18" s="85">
        <f t="shared" ca="1" si="8"/>
        <v>1</v>
      </c>
      <c r="BF18" s="62" t="str">
        <f t="shared" si="9"/>
        <v>J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681</v>
      </c>
      <c r="BU18" s="104">
        <v>1</v>
      </c>
      <c r="BV18" s="105" t="str">
        <f t="shared" si="17"/>
        <v>Tomáš Hyršl</v>
      </c>
      <c r="BW18" s="103">
        <f t="shared" si="18"/>
        <v>1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BOH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644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-3</v>
      </c>
      <c r="AC19" s="103" t="str">
        <f t="shared" ca="1" si="0"/>
        <v>ANO</v>
      </c>
      <c r="AG19" s="122" t="s">
        <v>643</v>
      </c>
      <c r="AH19" s="123">
        <v>31624</v>
      </c>
      <c r="AI19" s="124">
        <v>195</v>
      </c>
      <c r="AJ19" s="124">
        <v>0</v>
      </c>
      <c r="AK19" s="124">
        <v>4</v>
      </c>
      <c r="AL19" s="125">
        <f t="shared" si="1"/>
        <v>4</v>
      </c>
      <c r="AM19" s="124">
        <v>11</v>
      </c>
      <c r="AN19" s="124">
        <v>1</v>
      </c>
      <c r="AO19" s="126"/>
      <c r="AP19" s="126"/>
      <c r="AQ19" s="124">
        <v>175</v>
      </c>
      <c r="AR19" s="124">
        <v>75</v>
      </c>
      <c r="AS19" s="127" t="s">
        <v>666</v>
      </c>
      <c r="AT19" s="124">
        <v>2000</v>
      </c>
      <c r="AU19" s="128">
        <f t="shared" ca="1" si="2"/>
        <v>35</v>
      </c>
      <c r="AV19" s="128" t="str">
        <f t="shared" si="3"/>
        <v>175/75</v>
      </c>
      <c r="AW19" s="129" t="str">
        <f t="shared" ca="1" si="6"/>
        <v>Michajlovič</v>
      </c>
      <c r="AX19" s="130" t="str">
        <f t="shared" ca="1" si="4"/>
        <v>1 V, 0 P</v>
      </c>
      <c r="AY19" s="130" t="str">
        <f t="shared" ca="1" si="5"/>
        <v>196 OZ, 4 A</v>
      </c>
      <c r="AZ19" s="131"/>
      <c r="BA19" s="131"/>
      <c r="BB19" s="131"/>
      <c r="BC19" s="131"/>
      <c r="BD19" s="90" t="str">
        <f t="shared" si="7"/>
        <v>Michajlovič</v>
      </c>
      <c r="BE19" s="92">
        <f t="shared" ca="1" si="8"/>
        <v>1</v>
      </c>
      <c r="BF19" s="91" t="str">
        <f t="shared" si="9"/>
        <v>R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646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-2</v>
      </c>
      <c r="AC20" s="103" t="str">
        <f t="shared" ca="1" si="0"/>
        <v>ANO</v>
      </c>
      <c r="AG20" s="122" t="s">
        <v>658</v>
      </c>
      <c r="AH20" s="123">
        <v>37315</v>
      </c>
      <c r="AI20" s="124">
        <v>1</v>
      </c>
      <c r="AJ20" s="124">
        <v>0</v>
      </c>
      <c r="AK20" s="124">
        <v>0</v>
      </c>
      <c r="AL20" s="125">
        <f t="shared" si="1"/>
        <v>0</v>
      </c>
      <c r="AM20" s="124">
        <v>2</v>
      </c>
      <c r="AN20" s="124">
        <v>71</v>
      </c>
      <c r="AO20" s="126"/>
      <c r="AP20" s="126" t="s">
        <v>163</v>
      </c>
      <c r="AQ20" s="124"/>
      <c r="AR20" s="124"/>
      <c r="AS20" s="127" t="s">
        <v>667</v>
      </c>
      <c r="AT20" s="124">
        <v>2010</v>
      </c>
      <c r="AU20" s="128">
        <f t="shared" ca="1" si="2"/>
        <v>19</v>
      </c>
      <c r="AV20" s="128" t="str">
        <f t="shared" si="3"/>
        <v>? / ?</v>
      </c>
      <c r="AW20" s="129" t="str">
        <f t="shared" ca="1" si="6"/>
        <v>Otcovský</v>
      </c>
      <c r="AX20" s="130" t="str">
        <f t="shared" ca="1" si="4"/>
        <v>0 OZ, 0 (0+0)</v>
      </c>
      <c r="AY20" s="130" t="str">
        <f t="shared" ca="1" si="5"/>
        <v>1 OZ, 0 (0+0)</v>
      </c>
      <c r="AZ20" s="131"/>
      <c r="BA20" s="131"/>
      <c r="BB20" s="131"/>
      <c r="BC20" s="131"/>
      <c r="BD20" s="3" t="str">
        <f t="shared" si="7"/>
        <v>Otcovský</v>
      </c>
      <c r="BE20" s="85">
        <f t="shared" ca="1" si="8"/>
        <v>1</v>
      </c>
      <c r="BF20" s="62" t="str">
        <f t="shared" si="9"/>
        <v>T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647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-2</v>
      </c>
      <c r="AC21" s="103" t="str">
        <f t="shared" ca="1" si="0"/>
        <v>ANO</v>
      </c>
      <c r="AG21" s="122" t="s">
        <v>438</v>
      </c>
      <c r="AH21" s="123">
        <v>37358</v>
      </c>
      <c r="AI21" s="124">
        <v>33</v>
      </c>
      <c r="AJ21" s="124">
        <v>31</v>
      </c>
      <c r="AK21" s="124">
        <v>15</v>
      </c>
      <c r="AL21" s="125">
        <f t="shared" si="1"/>
        <v>46</v>
      </c>
      <c r="AM21" s="124">
        <v>3</v>
      </c>
      <c r="AN21" s="124">
        <v>41</v>
      </c>
      <c r="AO21" s="126"/>
      <c r="AP21" s="126" t="s">
        <v>27</v>
      </c>
      <c r="AQ21" s="124">
        <v>168</v>
      </c>
      <c r="AR21" s="124">
        <v>70</v>
      </c>
      <c r="AS21" s="127" t="s">
        <v>349</v>
      </c>
      <c r="AT21" s="124"/>
      <c r="AU21" s="128">
        <f t="shared" ca="1" si="2"/>
        <v>19</v>
      </c>
      <c r="AV21" s="128" t="str">
        <f t="shared" si="3"/>
        <v>168/70</v>
      </c>
      <c r="AW21" s="129" t="str">
        <f t="shared" ca="1" si="6"/>
        <v>Pěnička</v>
      </c>
      <c r="AX21" s="130" t="str">
        <f t="shared" ca="1" si="4"/>
        <v>0 OZ, 0 (0+0)</v>
      </c>
      <c r="AY21" s="130" t="str">
        <f t="shared" ca="1" si="5"/>
        <v>33 OZ, 46 (31+15)</v>
      </c>
      <c r="AZ21" s="131"/>
      <c r="BA21" s="131"/>
      <c r="BB21" s="131"/>
      <c r="BC21" s="131"/>
      <c r="BD21" s="90" t="str">
        <f t="shared" si="7"/>
        <v>Pěnička</v>
      </c>
      <c r="BE21" s="92">
        <f t="shared" ca="1" si="8"/>
        <v>1</v>
      </c>
      <c r="BF21" s="91" t="str">
        <f t="shared" si="9"/>
        <v>M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1" t="s">
        <v>641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 t="str">
        <f t="shared" ca="1" si="0"/>
        <v>ANO</v>
      </c>
      <c r="AG22" s="122" t="s">
        <v>451</v>
      </c>
      <c r="AH22" s="123">
        <v>37578</v>
      </c>
      <c r="AI22" s="124">
        <v>15</v>
      </c>
      <c r="AJ22" s="124">
        <v>4</v>
      </c>
      <c r="AK22" s="124">
        <v>3</v>
      </c>
      <c r="AL22" s="125">
        <f t="shared" si="1"/>
        <v>7</v>
      </c>
      <c r="AM22" s="124">
        <v>2</v>
      </c>
      <c r="AN22" s="124">
        <v>80</v>
      </c>
      <c r="AO22" s="126"/>
      <c r="AP22" s="126" t="s">
        <v>163</v>
      </c>
      <c r="AQ22" s="124">
        <v>187</v>
      </c>
      <c r="AR22" s="124">
        <v>73</v>
      </c>
      <c r="AS22" s="127" t="s">
        <v>167</v>
      </c>
      <c r="AT22" s="124">
        <v>2014</v>
      </c>
      <c r="AU22" s="128">
        <f t="shared" ca="1" si="2"/>
        <v>18</v>
      </c>
      <c r="AV22" s="128" t="str">
        <f t="shared" si="3"/>
        <v>187/73</v>
      </c>
      <c r="AW22" s="129" t="str">
        <f t="shared" ca="1" si="6"/>
        <v>Punčochář</v>
      </c>
      <c r="AX22" s="130" t="str">
        <f t="shared" ca="1" si="4"/>
        <v>0 OZ, 0 (0+0)</v>
      </c>
      <c r="AY22" s="130" t="str">
        <f t="shared" ca="1" si="5"/>
        <v>15 OZ, 7 (4+3)</v>
      </c>
      <c r="AZ22" s="131"/>
      <c r="BA22" s="131"/>
      <c r="BB22" s="131"/>
      <c r="BC22" s="131"/>
      <c r="BD22" s="3" t="str">
        <f t="shared" si="7"/>
        <v>Punčochář</v>
      </c>
      <c r="BE22" s="85">
        <f t="shared" ca="1" si="8"/>
        <v>1</v>
      </c>
      <c r="BF22" s="62" t="str">
        <f t="shared" si="9"/>
        <v>L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685</v>
      </c>
      <c r="BU22" s="104">
        <v>6</v>
      </c>
      <c r="BV22" s="105" t="str">
        <f t="shared" si="17"/>
        <v>Filip Forman</v>
      </c>
      <c r="BW22" s="103">
        <f t="shared" si="18"/>
        <v>6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639</v>
      </c>
      <c r="AH23" s="123">
        <v>33400</v>
      </c>
      <c r="AI23" s="124">
        <v>210</v>
      </c>
      <c r="AJ23" s="124">
        <v>44</v>
      </c>
      <c r="AK23" s="124">
        <v>56</v>
      </c>
      <c r="AL23" s="125">
        <f t="shared" si="1"/>
        <v>100</v>
      </c>
      <c r="AM23" s="124">
        <v>14</v>
      </c>
      <c r="AN23" s="124">
        <v>88</v>
      </c>
      <c r="AO23" s="126"/>
      <c r="AP23" s="126" t="s">
        <v>27</v>
      </c>
      <c r="AQ23" s="124">
        <v>175</v>
      </c>
      <c r="AR23" s="124">
        <v>85</v>
      </c>
      <c r="AS23" s="127" t="s">
        <v>668</v>
      </c>
      <c r="AT23" s="124"/>
      <c r="AU23" s="128">
        <f t="shared" ca="1" si="2"/>
        <v>30</v>
      </c>
      <c r="AV23" s="128" t="str">
        <f t="shared" si="3"/>
        <v>175/85</v>
      </c>
      <c r="AW23" s="129" t="str">
        <f t="shared" ca="1" si="6"/>
        <v>Růžek</v>
      </c>
      <c r="AX23" s="130" t="str">
        <f t="shared" ca="1" si="4"/>
        <v>2 OZ, 2 (2+0), -1 ±</v>
      </c>
      <c r="AY23" s="130" t="str">
        <f t="shared" ca="1" si="5"/>
        <v>212 OZ, 102 (46+56)</v>
      </c>
      <c r="AZ23" s="131"/>
      <c r="BA23" s="131"/>
      <c r="BB23" s="131"/>
      <c r="BC23" s="131"/>
      <c r="BD23" s="90" t="str">
        <f t="shared" si="7"/>
        <v>Růžek</v>
      </c>
      <c r="BE23" s="92">
        <f t="shared" ca="1" si="8"/>
        <v>1</v>
      </c>
      <c r="BF23" s="91" t="str">
        <f t="shared" si="9"/>
        <v>A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679</v>
      </c>
      <c r="BU23" s="104">
        <v>2</v>
      </c>
      <c r="BV23" s="105" t="str">
        <f t="shared" si="17"/>
        <v>Jakub Buršík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659</v>
      </c>
      <c r="AH24" s="123">
        <v>34443</v>
      </c>
      <c r="AI24" s="124">
        <v>186</v>
      </c>
      <c r="AJ24" s="124">
        <v>156</v>
      </c>
      <c r="AK24" s="124">
        <v>90</v>
      </c>
      <c r="AL24" s="125">
        <f t="shared" si="1"/>
        <v>246</v>
      </c>
      <c r="AM24" s="124">
        <v>10</v>
      </c>
      <c r="AN24" s="124">
        <v>91</v>
      </c>
      <c r="AO24" s="126"/>
      <c r="AP24" s="126" t="s">
        <v>27</v>
      </c>
      <c r="AQ24" s="124">
        <v>185</v>
      </c>
      <c r="AR24" s="124">
        <v>82</v>
      </c>
      <c r="AS24" s="127" t="s">
        <v>351</v>
      </c>
      <c r="AT24" s="124">
        <v>2007</v>
      </c>
      <c r="AU24" s="128">
        <f t="shared" ref="AU24:AU50" ca="1" si="19">IF(AG24&lt;&gt;"",IF(AH24&lt;&gt;"",INT((TODAY()-AH24)/365),"?"),"")</f>
        <v>27</v>
      </c>
      <c r="AV24" s="128" t="str">
        <f t="shared" ref="AV24:AV50" si="20">IF(AG24&lt;&gt;"",CONCATENATE(IF(AQ24&lt;&gt;"",AQ24,"? "),"/",IF(AR24&lt;&gt;"",AR24," ?")),"")</f>
        <v>185/82</v>
      </c>
      <c r="AW24" s="129" t="str">
        <f t="shared" ca="1" si="6"/>
        <v>Šárka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1"/>
      <c r="BA24" s="131"/>
      <c r="BB24" s="131"/>
      <c r="BC24" s="131"/>
      <c r="BD24" s="3" t="str">
        <f t="shared" si="7"/>
        <v>Šárka</v>
      </c>
      <c r="BE24" s="85">
        <f t="shared" ca="1" si="8"/>
        <v>1</v>
      </c>
      <c r="BF24" s="62" t="str">
        <f t="shared" si="9"/>
        <v>J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957</v>
      </c>
      <c r="BU24" s="104">
        <v>2</v>
      </c>
      <c r="BV24" s="105" t="str">
        <f t="shared" si="17"/>
        <v>Karel Petrák</v>
      </c>
      <c r="BW24" s="103">
        <f t="shared" si="18"/>
        <v>2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638</v>
      </c>
      <c r="AH25" s="123">
        <v>36777</v>
      </c>
      <c r="AI25" s="124">
        <v>95</v>
      </c>
      <c r="AJ25" s="124">
        <v>47</v>
      </c>
      <c r="AK25" s="124">
        <v>47</v>
      </c>
      <c r="AL25" s="125">
        <f t="shared" si="1"/>
        <v>94</v>
      </c>
      <c r="AM25" s="124">
        <v>5</v>
      </c>
      <c r="AN25" s="124">
        <v>7</v>
      </c>
      <c r="AO25" s="126"/>
      <c r="AP25" s="126" t="s">
        <v>27</v>
      </c>
      <c r="AQ25" s="124">
        <v>190</v>
      </c>
      <c r="AR25" s="124">
        <v>76</v>
      </c>
      <c r="AS25" s="127" t="s">
        <v>78</v>
      </c>
      <c r="AT25" s="124">
        <v>2011</v>
      </c>
      <c r="AU25" s="128">
        <f t="shared" ca="1" si="19"/>
        <v>21</v>
      </c>
      <c r="AV25" s="128" t="str">
        <f t="shared" si="20"/>
        <v>190/76</v>
      </c>
      <c r="AW25" s="129" t="str">
        <f t="shared" ca="1" si="6"/>
        <v>Šebek</v>
      </c>
      <c r="AX25" s="130" t="str">
        <f t="shared" ca="1" si="21"/>
        <v>2 OZ, 2 (0+2), +8 ±</v>
      </c>
      <c r="AY25" s="130" t="str">
        <f t="shared" ca="1" si="22"/>
        <v>97 OZ, 96 (47+49)</v>
      </c>
      <c r="AZ25" s="131"/>
      <c r="BA25" s="131"/>
      <c r="BB25" s="131"/>
      <c r="BC25" s="131"/>
      <c r="BD25" s="90" t="str">
        <f t="shared" si="7"/>
        <v>Šebek</v>
      </c>
      <c r="BE25" s="92">
        <f t="shared" ca="1" si="8"/>
        <v>1</v>
      </c>
      <c r="BF25" s="91" t="str">
        <f t="shared" si="9"/>
        <v>P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958</v>
      </c>
      <c r="BU25" s="104">
        <v>2</v>
      </c>
      <c r="BV25" s="105" t="str">
        <f t="shared" si="17"/>
        <v>Patrik Šebek</v>
      </c>
      <c r="BW25" s="103">
        <f t="shared" si="18"/>
        <v>2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660</v>
      </c>
      <c r="AH26" s="123"/>
      <c r="AI26" s="124"/>
      <c r="AJ26" s="124"/>
      <c r="AK26" s="124"/>
      <c r="AL26" s="125">
        <f t="shared" si="1"/>
        <v>0</v>
      </c>
      <c r="AM26" s="124" t="s">
        <v>337</v>
      </c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>?</v>
      </c>
      <c r="AV26" s="128" t="str">
        <f t="shared" si="20"/>
        <v>? / ?</v>
      </c>
      <c r="AW26" s="129" t="str">
        <f t="shared" ca="1" si="6"/>
        <v>Šimáně</v>
      </c>
      <c r="AX26" s="130" t="str">
        <f t="shared" ca="1" si="21"/>
        <v>0 OZ, 0 (0+0)</v>
      </c>
      <c r="AY26" s="130" t="str">
        <f t="shared" ca="1" si="22"/>
        <v xml:space="preserve"> OZ, 0 (+)</v>
      </c>
      <c r="AZ26" s="131"/>
      <c r="BA26" s="131"/>
      <c r="BB26" s="131"/>
      <c r="BC26" s="131"/>
      <c r="BD26" s="3" t="str">
        <f t="shared" si="7"/>
        <v>Šimáně</v>
      </c>
      <c r="BE26" s="85">
        <f t="shared" ca="1" si="8"/>
        <v>1</v>
      </c>
      <c r="BF26" s="62" t="str">
        <f t="shared" si="9"/>
        <v>D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684</v>
      </c>
      <c r="BU26" s="104">
        <v>1</v>
      </c>
      <c r="BV26" s="105" t="str">
        <f t="shared" si="17"/>
        <v>Jan Malič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661</v>
      </c>
      <c r="AH27" s="123">
        <v>37331</v>
      </c>
      <c r="AI27" s="124">
        <v>37</v>
      </c>
      <c r="AJ27" s="124">
        <v>16</v>
      </c>
      <c r="AK27" s="124">
        <v>9</v>
      </c>
      <c r="AL27" s="125">
        <f t="shared" si="1"/>
        <v>25</v>
      </c>
      <c r="AM27" s="124">
        <v>3</v>
      </c>
      <c r="AN27" s="124">
        <v>99</v>
      </c>
      <c r="AO27" s="126"/>
      <c r="AP27" s="126" t="s">
        <v>163</v>
      </c>
      <c r="AQ27" s="124">
        <v>180</v>
      </c>
      <c r="AR27" s="124">
        <v>71</v>
      </c>
      <c r="AS27" s="127" t="s">
        <v>669</v>
      </c>
      <c r="AT27" s="124"/>
      <c r="AU27" s="128">
        <f t="shared" ca="1" si="19"/>
        <v>19</v>
      </c>
      <c r="AV27" s="128" t="str">
        <f t="shared" si="20"/>
        <v>180/71</v>
      </c>
      <c r="AW27" s="129" t="str">
        <f t="shared" ca="1" si="6"/>
        <v>Tomčo</v>
      </c>
      <c r="AX27" s="130" t="str">
        <f t="shared" ca="1" si="21"/>
        <v>0 OZ, 0 (0+0)</v>
      </c>
      <c r="AY27" s="130" t="str">
        <f t="shared" ca="1" si="22"/>
        <v>37 OZ, 25 (16+9)</v>
      </c>
      <c r="AZ27" s="131"/>
      <c r="BA27" s="131"/>
      <c r="BB27" s="131"/>
      <c r="BC27" s="131"/>
      <c r="BD27" s="90" t="str">
        <f t="shared" si="7"/>
        <v>Tomčo</v>
      </c>
      <c r="BE27" s="92">
        <f t="shared" ca="1" si="8"/>
        <v>1</v>
      </c>
      <c r="BF27" s="91" t="str">
        <f t="shared" si="9"/>
        <v>I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959</v>
      </c>
      <c r="BU27" s="104">
        <v>2</v>
      </c>
      <c r="BV27" s="105" t="str">
        <f t="shared" si="17"/>
        <v>Marek Ďopan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662</v>
      </c>
      <c r="AH28" s="123">
        <v>37356</v>
      </c>
      <c r="AI28" s="124">
        <v>48</v>
      </c>
      <c r="AJ28" s="124">
        <v>14</v>
      </c>
      <c r="AK28" s="124">
        <v>11</v>
      </c>
      <c r="AL28" s="125">
        <f t="shared" si="1"/>
        <v>25</v>
      </c>
      <c r="AM28" s="124">
        <v>3</v>
      </c>
      <c r="AN28" s="124">
        <v>13</v>
      </c>
      <c r="AO28" s="126"/>
      <c r="AP28" s="126" t="s">
        <v>27</v>
      </c>
      <c r="AQ28" s="124">
        <v>179</v>
      </c>
      <c r="AR28" s="124">
        <v>73</v>
      </c>
      <c r="AS28" s="127" t="s">
        <v>171</v>
      </c>
      <c r="AT28" s="124"/>
      <c r="AU28" s="128">
        <f t="shared" ca="1" si="19"/>
        <v>19</v>
      </c>
      <c r="AV28" s="128" t="str">
        <f t="shared" si="20"/>
        <v>179/73</v>
      </c>
      <c r="AW28" s="129" t="str">
        <f t="shared" ca="1" si="6"/>
        <v>Vojtíšek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22"/>
        <v>48 OZ, 25 (14+11)</v>
      </c>
      <c r="AZ28" s="131"/>
      <c r="BA28" s="131"/>
      <c r="BB28" s="131"/>
      <c r="BC28" s="131"/>
      <c r="BD28" s="3" t="str">
        <f t="shared" si="7"/>
        <v>Vojtíšek</v>
      </c>
      <c r="BE28" s="85">
        <f t="shared" ca="1" si="8"/>
        <v>1</v>
      </c>
      <c r="BF28" s="62" t="str">
        <f t="shared" si="9"/>
        <v>M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960</v>
      </c>
      <c r="BU28" s="104">
        <v>0</v>
      </c>
      <c r="BV28" s="105" t="str">
        <f t="shared" si="17"/>
        <v>Adam Růžek</v>
      </c>
      <c r="BW28" s="103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663</v>
      </c>
      <c r="AH29" s="123">
        <v>37384</v>
      </c>
      <c r="AI29" s="124">
        <v>10</v>
      </c>
      <c r="AJ29" s="124">
        <v>0</v>
      </c>
      <c r="AK29" s="124">
        <v>2</v>
      </c>
      <c r="AL29" s="125">
        <f t="shared" si="1"/>
        <v>2</v>
      </c>
      <c r="AM29" s="124">
        <v>3</v>
      </c>
      <c r="AN29" s="124">
        <v>94</v>
      </c>
      <c r="AO29" s="126"/>
      <c r="AP29" s="126"/>
      <c r="AQ29" s="124">
        <v>173</v>
      </c>
      <c r="AR29" s="124">
        <v>70</v>
      </c>
      <c r="AS29" s="127" t="s">
        <v>78</v>
      </c>
      <c r="AT29" s="124"/>
      <c r="AU29" s="128">
        <f t="shared" ca="1" si="19"/>
        <v>19</v>
      </c>
      <c r="AV29" s="128" t="str">
        <f t="shared" si="20"/>
        <v>173/70</v>
      </c>
      <c r="AW29" s="129" t="str">
        <f t="shared" ca="1" si="6"/>
        <v>Zavřel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22"/>
        <v>10 OZ, 2 (0+2)</v>
      </c>
      <c r="AZ29" s="131"/>
      <c r="BA29" s="131"/>
      <c r="BB29" s="131"/>
      <c r="BC29" s="131"/>
      <c r="BD29" s="90" t="str">
        <f t="shared" si="7"/>
        <v>Zavřel</v>
      </c>
      <c r="BE29" s="92">
        <f t="shared" ca="1" si="8"/>
        <v>1</v>
      </c>
      <c r="BF29" s="91" t="str">
        <f t="shared" si="9"/>
        <v>J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961</v>
      </c>
      <c r="BU29" s="104">
        <v>0</v>
      </c>
      <c r="BV29" s="105" t="str">
        <f t="shared" si="17"/>
        <v>Drahoslav Pastor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BOH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 t="s">
        <v>642</v>
      </c>
      <c r="AH30" s="123">
        <v>33195</v>
      </c>
      <c r="AI30" s="124">
        <v>276</v>
      </c>
      <c r="AJ30" s="124">
        <v>29</v>
      </c>
      <c r="AK30" s="124">
        <v>54</v>
      </c>
      <c r="AL30" s="125">
        <f t="shared" si="1"/>
        <v>83</v>
      </c>
      <c r="AM30" s="124">
        <v>14</v>
      </c>
      <c r="AN30" s="124">
        <v>3</v>
      </c>
      <c r="AO30" s="126" t="s">
        <v>180</v>
      </c>
      <c r="AP30" s="126" t="s">
        <v>163</v>
      </c>
      <c r="AQ30" s="124">
        <v>186</v>
      </c>
      <c r="AR30" s="124">
        <v>88</v>
      </c>
      <c r="AS30" s="127" t="s">
        <v>670</v>
      </c>
      <c r="AT30" s="124"/>
      <c r="AU30" s="128">
        <f t="shared" ca="1" si="19"/>
        <v>30</v>
      </c>
      <c r="AV30" s="128" t="str">
        <f t="shared" si="20"/>
        <v>186/88</v>
      </c>
      <c r="AW30" s="129" t="str">
        <f t="shared" ca="1" si="6"/>
        <v>Zezulka</v>
      </c>
      <c r="AX30" s="130" t="str">
        <f t="shared" ca="1" si="23"/>
        <v>1 OZ, 0 (0+0), 0 ±</v>
      </c>
      <c r="AY30" s="130" t="str">
        <f t="shared" ca="1" si="22"/>
        <v>277 OZ, 83 (29+54)</v>
      </c>
      <c r="AZ30" s="131"/>
      <c r="BA30" s="131"/>
      <c r="BB30" s="131"/>
      <c r="BC30" s="131"/>
      <c r="BD30" s="3" t="str">
        <f t="shared" si="7"/>
        <v>Zezulka</v>
      </c>
      <c r="BE30" s="85">
        <f t="shared" ca="1" si="8"/>
        <v>1</v>
      </c>
      <c r="BF30" s="62" t="str">
        <f t="shared" si="9"/>
        <v>V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1"/>
        <v>0</v>
      </c>
      <c r="BK30" s="3" t="str">
        <f t="shared" ca="1" si="13"/>
        <v/>
      </c>
      <c r="BL30" s="62">
        <f t="shared" ca="1" si="14"/>
        <v>0</v>
      </c>
      <c r="BM30" s="3" t="str">
        <f t="shared" ca="1" si="15"/>
        <v/>
      </c>
      <c r="BS30" s="361"/>
      <c r="BT30" s="105" t="s">
        <v>683</v>
      </c>
      <c r="BU30" s="104">
        <v>0</v>
      </c>
      <c r="BV30" s="105" t="str">
        <f t="shared" si="17"/>
        <v>Filip Forman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6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962</v>
      </c>
      <c r="BU31" s="104">
        <v>0</v>
      </c>
      <c r="BV31" s="105" t="str">
        <f t="shared" si="17"/>
        <v>Jakub Buršík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6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6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6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6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6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641</v>
      </c>
      <c r="T45" s="103">
        <v>1</v>
      </c>
      <c r="U45" s="113">
        <v>60</v>
      </c>
      <c r="V45" s="103">
        <v>1</v>
      </c>
      <c r="W45" s="103">
        <v>4</v>
      </c>
      <c r="X45" s="103">
        <v>0</v>
      </c>
      <c r="Y45" s="103">
        <v>22</v>
      </c>
      <c r="Z45" s="103">
        <v>0</v>
      </c>
      <c r="AA45" s="103">
        <v>0</v>
      </c>
      <c r="AB45" s="103">
        <v>18</v>
      </c>
      <c r="AC45" s="103">
        <v>0</v>
      </c>
      <c r="AD45" s="103">
        <v>0</v>
      </c>
      <c r="AE45" s="113">
        <f>IF(S45&lt;&gt;"",IF(T45&gt;0,W45/(U45/60),0),"")</f>
        <v>4</v>
      </c>
      <c r="AF45" s="113">
        <f>IF(S45&lt;&gt;"",IF(Y45&gt;0,(AB45/Y45)*100,"-"),"")</f>
        <v>81.818181818181827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643</v>
      </c>
      <c r="T46" s="103">
        <v>1</v>
      </c>
      <c r="U46" s="113">
        <v>60</v>
      </c>
      <c r="V46" s="103">
        <v>1</v>
      </c>
      <c r="W46" s="103">
        <v>6</v>
      </c>
      <c r="X46" s="103">
        <v>0</v>
      </c>
      <c r="Y46" s="103">
        <v>23</v>
      </c>
      <c r="Z46" s="103">
        <v>0</v>
      </c>
      <c r="AA46" s="103">
        <v>0</v>
      </c>
      <c r="AB46" s="103">
        <v>17</v>
      </c>
      <c r="AC46" s="103">
        <v>0</v>
      </c>
      <c r="AD46" s="103">
        <v>0</v>
      </c>
      <c r="AE46" s="113">
        <f t="shared" ref="AE46:AE50" si="25">IF(S46&lt;&gt;"",IF(T46&gt;0,W46/(U46/60),0),"")</f>
        <v>6</v>
      </c>
      <c r="AF46" s="113">
        <f t="shared" ref="AF46:AF50" si="26">IF(S46&lt;&gt;"",IF(Y46&gt;0,(AB46/Y46)*100,"-"),"")</f>
        <v>73.91304347826086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751</v>
      </c>
      <c r="T2" s="103" t="s">
        <v>133</v>
      </c>
      <c r="U2" s="103">
        <v>2</v>
      </c>
      <c r="V2" s="103">
        <v>3</v>
      </c>
      <c r="W2" s="103">
        <v>0</v>
      </c>
      <c r="X2" s="103">
        <v>1</v>
      </c>
      <c r="Y2" s="103">
        <v>0</v>
      </c>
      <c r="Z2" s="103">
        <v>3</v>
      </c>
      <c r="AA2" s="103">
        <v>6</v>
      </c>
      <c r="AB2" s="103">
        <v>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768</v>
      </c>
      <c r="AH2" s="123"/>
      <c r="AI2" s="124">
        <v>5</v>
      </c>
      <c r="AJ2" s="124">
        <v>1</v>
      </c>
      <c r="AK2" s="124">
        <v>0</v>
      </c>
      <c r="AL2" s="125">
        <f t="shared" ref="AL2:AL50" si="1">IF(AG2&lt;&gt;"",AJ2+AK2,"")</f>
        <v>1</v>
      </c>
      <c r="AM2" s="124">
        <v>2</v>
      </c>
      <c r="AN2" s="124">
        <v>30</v>
      </c>
      <c r="AO2" s="126"/>
      <c r="AP2" s="126" t="s">
        <v>163</v>
      </c>
      <c r="AQ2" s="124">
        <v>192</v>
      </c>
      <c r="AR2" s="124">
        <v>87</v>
      </c>
      <c r="AS2" s="127" t="s">
        <v>722</v>
      </c>
      <c r="AT2" s="124">
        <v>2010</v>
      </c>
      <c r="AU2" s="128" t="str">
        <f t="shared" ref="AU2:AU23" ca="1" si="2">IF(AG2&lt;&gt;"",IF(AH2&lt;&gt;"",INT((TODAY()-AH2)/365),"?"),"")</f>
        <v>?</v>
      </c>
      <c r="AV2" s="128" t="str">
        <f t="shared" ref="AV2:AV23" si="3">IF(AG2&lt;&gt;"",CONCATENATE(IF(AQ2&lt;&gt;"",AQ2,"? "),"/",IF(AR2&lt;&gt;"",AR2," ?")),"")</f>
        <v>192/87</v>
      </c>
      <c r="AW2" s="129" t="str">
        <f ca="1">IF(AG2&lt;&gt;"",IF(BE2=1,BD2,IF(BH2=1,BG2,IF(BJ2=1,BI2,IF(BL2=1,BK2,BM2)))),"")</f>
        <v>Černý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1 (1+0)</v>
      </c>
      <c r="AZ2" s="131"/>
      <c r="BA2" s="131"/>
      <c r="BB2" s="131"/>
      <c r="BC2" s="131"/>
      <c r="BD2" s="3" t="str">
        <f>IF(AG2&lt;&gt;"",RIGHT(AG2,LEN(AG2)-SEARCH(" ",AG2)),"")</f>
        <v>Černý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800</v>
      </c>
      <c r="BO2" s="123">
        <v>31211</v>
      </c>
      <c r="BP2" s="132" t="s">
        <v>205</v>
      </c>
      <c r="BQ2" s="133"/>
      <c r="BR2" s="128">
        <f ca="1">IF(BN2&lt;&gt;"",IF(BO2&lt;&gt;"",INT((TODAY()-BO2)/365),"?"),"")</f>
        <v>36</v>
      </c>
      <c r="BS2" s="361" t="s">
        <v>36</v>
      </c>
      <c r="BT2" s="105" t="s">
        <v>804</v>
      </c>
      <c r="BU2" s="104">
        <v>3</v>
      </c>
      <c r="BV2" s="105" t="str">
        <f>IFERROR(RIGHT(BT2,LEN(BT2)-SEARCH(" ",BT2)),"")</f>
        <v>Radek Krajcigr</v>
      </c>
      <c r="BW2" s="103">
        <f>IF(BT2&lt;&gt;0,_xlfn.NUMBERVALUE(BU2,","),"")</f>
        <v>3</v>
      </c>
      <c r="BX2" s="360" t="s">
        <v>233</v>
      </c>
      <c r="BY2" s="104" t="s">
        <v>225</v>
      </c>
      <c r="BZ2" s="104" t="s">
        <v>98</v>
      </c>
      <c r="CA2" s="116" t="s">
        <v>963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465</v>
      </c>
      <c r="T3" s="103" t="s">
        <v>68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6</v>
      </c>
      <c r="AB3" s="103">
        <v>1</v>
      </c>
      <c r="AC3" s="103" t="str">
        <f t="shared" ca="1" si="0"/>
        <v>ANO</v>
      </c>
      <c r="AG3" s="122" t="s">
        <v>769</v>
      </c>
      <c r="AH3" s="123">
        <v>37267</v>
      </c>
      <c r="AI3" s="124">
        <v>2</v>
      </c>
      <c r="AJ3" s="124">
        <v>0</v>
      </c>
      <c r="AK3" s="124">
        <v>0</v>
      </c>
      <c r="AL3" s="125">
        <f t="shared" si="1"/>
        <v>0</v>
      </c>
      <c r="AM3" s="124">
        <v>2</v>
      </c>
      <c r="AN3" s="124">
        <v>94</v>
      </c>
      <c r="AO3" s="126"/>
      <c r="AP3" s="126" t="s">
        <v>262</v>
      </c>
      <c r="AQ3" s="124">
        <v>186</v>
      </c>
      <c r="AR3" s="124">
        <v>94</v>
      </c>
      <c r="AS3" s="127" t="s">
        <v>788</v>
      </c>
      <c r="AT3" s="124">
        <v>2009</v>
      </c>
      <c r="AU3" s="128">
        <f t="shared" ca="1" si="2"/>
        <v>19</v>
      </c>
      <c r="AV3" s="128" t="str">
        <f t="shared" si="3"/>
        <v>186/94</v>
      </c>
      <c r="AW3" s="129" t="str">
        <f t="shared" ref="AW3:AW50" ca="1" si="6">IF(AG3&lt;&gt;"",IF(BE3=1,BD3,IF(BH3=1,BG3,IF(BJ3=1,BI3,IF(BL3=1,BK3,BM3)))),"")</f>
        <v>Dittrich</v>
      </c>
      <c r="AX3" s="130" t="str">
        <f t="shared" ca="1" si="4"/>
        <v>0 OZ, 0 (0+0)</v>
      </c>
      <c r="AY3" s="130" t="str">
        <f t="shared" ca="1" si="5"/>
        <v>2 OZ, 0 (0+0)</v>
      </c>
      <c r="AZ3" s="131"/>
      <c r="BA3" s="131"/>
      <c r="BB3" s="131"/>
      <c r="BC3" s="131"/>
      <c r="BD3" s="90" t="str">
        <f t="shared" ref="BD3:BD50" si="7">IF(AG3&lt;&gt;"",RIGHT(AG3,LEN(AG3)-SEARCH(" ",AG3)),"")</f>
        <v>Dittrich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T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801</v>
      </c>
      <c r="BO3" s="123">
        <v>30597</v>
      </c>
      <c r="BP3" s="132" t="s">
        <v>279</v>
      </c>
      <c r="BQ3" s="133"/>
      <c r="BR3" s="128">
        <f t="shared" ref="BR3:BR11" ca="1" si="16">IF(BN3&lt;&gt;"",IF(BO3&lt;&gt;"",INT((TODAY()-BO3)/365),"?"),"")</f>
        <v>37</v>
      </c>
      <c r="BS3" s="361"/>
      <c r="BT3" s="105" t="s">
        <v>964</v>
      </c>
      <c r="BU3" s="104">
        <v>3</v>
      </c>
      <c r="BV3" s="105" t="str">
        <f t="shared" ref="BV3:BV31" si="17">IFERROR(RIGHT(BT3,LEN(BT3)-SEARCH(" ",BT3)),"")</f>
        <v>Milan Tichý</v>
      </c>
      <c r="BW3" s="103">
        <f t="shared" ref="BW3:BW31" si="18">IF(BT3&lt;&gt;0,_xlfn.NUMBERVALUE(BU3,","),"")</f>
        <v>3</v>
      </c>
      <c r="BX3" s="360"/>
      <c r="BY3" s="104" t="s">
        <v>294</v>
      </c>
      <c r="BZ3" s="104" t="s">
        <v>102</v>
      </c>
      <c r="CA3" s="116" t="s">
        <v>813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753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-1</v>
      </c>
      <c r="AC4" s="103" t="str">
        <f t="shared" ca="1" si="0"/>
        <v>ANO</v>
      </c>
      <c r="AG4" s="122" t="s">
        <v>770</v>
      </c>
      <c r="AH4" s="123">
        <v>35187</v>
      </c>
      <c r="AI4" s="124">
        <v>62</v>
      </c>
      <c r="AJ4" s="124">
        <v>0</v>
      </c>
      <c r="AK4" s="124">
        <v>2</v>
      </c>
      <c r="AL4" s="125">
        <f t="shared" si="1"/>
        <v>2</v>
      </c>
      <c r="AM4" s="124">
        <v>6</v>
      </c>
      <c r="AN4" s="124">
        <v>1</v>
      </c>
      <c r="AO4" s="126"/>
      <c r="AP4" s="126" t="s">
        <v>262</v>
      </c>
      <c r="AQ4" s="124">
        <v>191</v>
      </c>
      <c r="AR4" s="124">
        <v>84</v>
      </c>
      <c r="AS4" s="127" t="s">
        <v>789</v>
      </c>
      <c r="AT4" s="124">
        <v>2002</v>
      </c>
      <c r="AU4" s="128">
        <f t="shared" ca="1" si="2"/>
        <v>25</v>
      </c>
      <c r="AV4" s="128" t="str">
        <f t="shared" si="3"/>
        <v>191/84</v>
      </c>
      <c r="AW4" s="129" t="str">
        <f t="shared" ca="1" si="6"/>
        <v>Dvořák</v>
      </c>
      <c r="AX4" s="130" t="str">
        <f t="shared" ca="1" si="4"/>
        <v>0 OZ, 0 (0+0)</v>
      </c>
      <c r="AY4" s="130" t="str">
        <f t="shared" ca="1" si="5"/>
        <v>62 OZ, 2 (0+2)</v>
      </c>
      <c r="AZ4" s="131"/>
      <c r="BA4" s="131"/>
      <c r="BB4" s="131"/>
      <c r="BC4" s="131"/>
      <c r="BD4" s="3" t="str">
        <f t="shared" si="7"/>
        <v>Dvořák</v>
      </c>
      <c r="BE4" s="85">
        <f t="shared" ca="1" si="8"/>
        <v>1</v>
      </c>
      <c r="BF4" s="62" t="str">
        <f t="shared" si="9"/>
        <v>J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802</v>
      </c>
      <c r="BO4" s="123">
        <v>31784</v>
      </c>
      <c r="BP4" s="132" t="s">
        <v>206</v>
      </c>
      <c r="BQ4" s="133"/>
      <c r="BR4" s="128">
        <f t="shared" ca="1" si="16"/>
        <v>34</v>
      </c>
      <c r="BS4" s="361"/>
      <c r="BT4" s="105" t="s">
        <v>810</v>
      </c>
      <c r="BU4" s="104">
        <v>3</v>
      </c>
      <c r="BV4" s="105" t="str">
        <f t="shared" si="17"/>
        <v>Jaromír Ekl</v>
      </c>
      <c r="BW4" s="103">
        <f t="shared" si="18"/>
        <v>3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752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754</v>
      </c>
      <c r="AH5" s="123">
        <v>31655</v>
      </c>
      <c r="AI5" s="124">
        <v>103</v>
      </c>
      <c r="AJ5" s="124">
        <v>31</v>
      </c>
      <c r="AK5" s="124">
        <v>19</v>
      </c>
      <c r="AL5" s="125">
        <f t="shared" si="1"/>
        <v>50</v>
      </c>
      <c r="AM5" s="124">
        <v>5</v>
      </c>
      <c r="AN5" s="124">
        <v>9</v>
      </c>
      <c r="AO5" s="126"/>
      <c r="AP5" s="126" t="s">
        <v>163</v>
      </c>
      <c r="AQ5" s="124">
        <v>182</v>
      </c>
      <c r="AR5" s="124">
        <v>79</v>
      </c>
      <c r="AS5" s="127" t="s">
        <v>790</v>
      </c>
      <c r="AT5" s="124">
        <v>2005</v>
      </c>
      <c r="AU5" s="128">
        <f t="shared" ca="1" si="2"/>
        <v>35</v>
      </c>
      <c r="AV5" s="128" t="str">
        <f t="shared" si="3"/>
        <v>182/79</v>
      </c>
      <c r="AW5" s="129" t="str">
        <f t="shared" ca="1" si="6"/>
        <v>Dzierža</v>
      </c>
      <c r="AX5" s="130" t="str">
        <f t="shared" ca="1" si="4"/>
        <v>2 OZ, 1 (1+0), -2 ±</v>
      </c>
      <c r="AY5" s="130" t="str">
        <f t="shared" ca="1" si="5"/>
        <v>105 OZ, 51 (32+19)</v>
      </c>
      <c r="AZ5" s="131"/>
      <c r="BA5" s="131"/>
      <c r="BB5" s="131"/>
      <c r="BC5" s="131"/>
      <c r="BD5" s="90" t="str">
        <f t="shared" si="7"/>
        <v>Dzierža</v>
      </c>
      <c r="BE5" s="92">
        <f t="shared" ca="1" si="8"/>
        <v>1</v>
      </c>
      <c r="BF5" s="91" t="str">
        <f t="shared" si="9"/>
        <v>M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803</v>
      </c>
      <c r="BO5" s="123">
        <v>29101</v>
      </c>
      <c r="BP5" s="132" t="s">
        <v>206</v>
      </c>
      <c r="BQ5" s="133"/>
      <c r="BR5" s="128">
        <f t="shared" ca="1" si="16"/>
        <v>42</v>
      </c>
      <c r="BS5" s="361"/>
      <c r="BT5" s="105" t="s">
        <v>805</v>
      </c>
      <c r="BU5" s="104">
        <v>2</v>
      </c>
      <c r="BV5" s="105" t="str">
        <f t="shared" si="17"/>
        <v>Ondřej Kopič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755</v>
      </c>
      <c r="T6" s="103" t="s">
        <v>68</v>
      </c>
      <c r="U6" s="103">
        <v>2</v>
      </c>
      <c r="V6" s="103">
        <v>0</v>
      </c>
      <c r="W6" s="103">
        <v>0</v>
      </c>
      <c r="X6" s="103">
        <v>0</v>
      </c>
      <c r="Y6" s="103">
        <v>2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753</v>
      </c>
      <c r="AH6" s="123">
        <v>32150</v>
      </c>
      <c r="AI6" s="124">
        <v>307</v>
      </c>
      <c r="AJ6" s="124">
        <v>176</v>
      </c>
      <c r="AK6" s="124">
        <v>117</v>
      </c>
      <c r="AL6" s="125">
        <f t="shared" si="1"/>
        <v>293</v>
      </c>
      <c r="AM6" s="124">
        <v>17</v>
      </c>
      <c r="AN6" s="124">
        <v>88</v>
      </c>
      <c r="AO6" s="126"/>
      <c r="AP6" s="126" t="s">
        <v>27</v>
      </c>
      <c r="AQ6" s="124">
        <v>200</v>
      </c>
      <c r="AR6" s="124">
        <v>99</v>
      </c>
      <c r="AS6" s="127" t="s">
        <v>791</v>
      </c>
      <c r="AT6" s="124">
        <v>2007</v>
      </c>
      <c r="AU6" s="128">
        <f t="shared" ca="1" si="2"/>
        <v>33</v>
      </c>
      <c r="AV6" s="128" t="str">
        <f t="shared" si="3"/>
        <v>200/99</v>
      </c>
      <c r="AW6" s="129" t="str">
        <f t="shared" ca="1" si="6"/>
        <v>Ekl</v>
      </c>
      <c r="AX6" s="130" t="str">
        <f t="shared" ca="1" si="4"/>
        <v>2 OZ, 3 (1+2), -1 ±</v>
      </c>
      <c r="AY6" s="130" t="str">
        <f t="shared" ca="1" si="5"/>
        <v>309 OZ, 296 (177+119)</v>
      </c>
      <c r="AZ6" s="131"/>
      <c r="BA6" s="131"/>
      <c r="BB6" s="131"/>
      <c r="BC6" s="131"/>
      <c r="BD6" s="3" t="str">
        <f t="shared" si="7"/>
        <v>Ekl</v>
      </c>
      <c r="BE6" s="85">
        <f t="shared" ca="1" si="8"/>
        <v>1</v>
      </c>
      <c r="BF6" s="62" t="str">
        <f t="shared" si="9"/>
        <v>J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/>
      <c r="BO6" s="123"/>
      <c r="BP6" s="132"/>
      <c r="BQ6" s="133"/>
      <c r="BR6" s="128" t="str">
        <f t="shared" ca="1" si="16"/>
        <v/>
      </c>
      <c r="BS6" s="361"/>
      <c r="BT6" s="105" t="s">
        <v>965</v>
      </c>
      <c r="BU6" s="104">
        <v>2</v>
      </c>
      <c r="BV6" s="105" t="str">
        <f t="shared" si="17"/>
        <v>Daniel Štěrba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756</v>
      </c>
      <c r="T7" s="103" t="s">
        <v>133</v>
      </c>
      <c r="U7" s="103">
        <v>2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0</v>
      </c>
      <c r="AC7" s="103" t="str">
        <f t="shared" ca="1" si="0"/>
        <v>ANO</v>
      </c>
      <c r="AG7" s="122" t="s">
        <v>771</v>
      </c>
      <c r="AH7" s="123">
        <v>36672</v>
      </c>
      <c r="AI7" s="124">
        <v>2</v>
      </c>
      <c r="AJ7" s="124">
        <v>1</v>
      </c>
      <c r="AK7" s="124">
        <v>0</v>
      </c>
      <c r="AL7" s="125">
        <f t="shared" si="1"/>
        <v>1</v>
      </c>
      <c r="AM7" s="124">
        <v>2</v>
      </c>
      <c r="AN7" s="124"/>
      <c r="AO7" s="126"/>
      <c r="AP7" s="126" t="s">
        <v>163</v>
      </c>
      <c r="AQ7" s="124">
        <v>183</v>
      </c>
      <c r="AR7" s="124">
        <v>73</v>
      </c>
      <c r="AS7" s="127" t="s">
        <v>788</v>
      </c>
      <c r="AT7" s="124">
        <v>2008</v>
      </c>
      <c r="AU7" s="128">
        <f t="shared" ca="1" si="2"/>
        <v>21</v>
      </c>
      <c r="AV7" s="128" t="str">
        <f t="shared" si="3"/>
        <v>183/73</v>
      </c>
      <c r="AW7" s="129" t="str">
        <f t="shared" ca="1" si="6"/>
        <v>Fuchsig</v>
      </c>
      <c r="AX7" s="130" t="str">
        <f t="shared" ca="1" si="4"/>
        <v>0 OZ, 0 (0+0)</v>
      </c>
      <c r="AY7" s="130" t="str">
        <f t="shared" ca="1" si="5"/>
        <v>2 OZ, 1 (1+0)</v>
      </c>
      <c r="AZ7" s="131"/>
      <c r="BA7" s="131"/>
      <c r="BB7" s="131"/>
      <c r="BC7" s="131"/>
      <c r="BD7" s="90" t="str">
        <f t="shared" si="7"/>
        <v>Fuchsig</v>
      </c>
      <c r="BE7" s="92">
        <f t="shared" ca="1" si="8"/>
        <v>1</v>
      </c>
      <c r="BF7" s="91" t="str">
        <f t="shared" si="9"/>
        <v>M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806</v>
      </c>
      <c r="BU7" s="104" t="s">
        <v>966</v>
      </c>
      <c r="BV7" s="105" t="str">
        <f t="shared" si="17"/>
        <v>Ivan Ponomarev</v>
      </c>
      <c r="BW7" s="113">
        <f t="shared" si="18"/>
        <v>7.63</v>
      </c>
      <c r="BX7" s="360" t="s">
        <v>234</v>
      </c>
      <c r="BY7" s="104" t="s">
        <v>227</v>
      </c>
      <c r="BZ7" s="104" t="s">
        <v>103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106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759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0</v>
      </c>
      <c r="Z8" s="103">
        <v>1</v>
      </c>
      <c r="AA8" s="103">
        <v>0</v>
      </c>
      <c r="AB8" s="103">
        <v>-1</v>
      </c>
      <c r="AC8" s="103" t="str">
        <f t="shared" ca="1" si="0"/>
        <v>ANO</v>
      </c>
      <c r="AG8" s="122" t="s">
        <v>772</v>
      </c>
      <c r="AH8" s="123">
        <v>35422</v>
      </c>
      <c r="AI8" s="124">
        <v>69</v>
      </c>
      <c r="AJ8" s="124">
        <v>16</v>
      </c>
      <c r="AK8" s="124">
        <v>20</v>
      </c>
      <c r="AL8" s="125">
        <f t="shared" si="1"/>
        <v>36</v>
      </c>
      <c r="AM8" s="124">
        <v>6</v>
      </c>
      <c r="AN8" s="124">
        <v>26</v>
      </c>
      <c r="AO8" s="126"/>
      <c r="AP8" s="126" t="s">
        <v>163</v>
      </c>
      <c r="AQ8" s="124">
        <v>185</v>
      </c>
      <c r="AR8" s="124">
        <v>76</v>
      </c>
      <c r="AS8" s="127" t="s">
        <v>477</v>
      </c>
      <c r="AT8" s="124">
        <v>2011</v>
      </c>
      <c r="AU8" s="128">
        <f t="shared" ca="1" si="2"/>
        <v>24</v>
      </c>
      <c r="AV8" s="128" t="str">
        <f t="shared" si="3"/>
        <v>185/76</v>
      </c>
      <c r="AW8" s="129" t="str">
        <f t="shared" ca="1" si="6"/>
        <v>Hřebřina</v>
      </c>
      <c r="AX8" s="130" t="str">
        <f t="shared" ca="1" si="4"/>
        <v>0 OZ, 0 (0+0)</v>
      </c>
      <c r="AY8" s="130" t="str">
        <f t="shared" ca="1" si="5"/>
        <v>69 OZ, 36 (16+20)</v>
      </c>
      <c r="AZ8" s="131"/>
      <c r="BA8" s="131"/>
      <c r="BB8" s="131"/>
      <c r="BC8" s="131"/>
      <c r="BD8" s="3" t="str">
        <f t="shared" si="7"/>
        <v>Hřebřina</v>
      </c>
      <c r="BE8" s="85">
        <f t="shared" ca="1" si="8"/>
        <v>1</v>
      </c>
      <c r="BF8" s="62" t="str">
        <f t="shared" si="9"/>
        <v>J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807</v>
      </c>
      <c r="BU8" s="104" t="s">
        <v>216</v>
      </c>
      <c r="BV8" s="105" t="str">
        <f t="shared" si="17"/>
        <v>Lukáš Chyna</v>
      </c>
      <c r="BW8" s="113">
        <f t="shared" si="18"/>
        <v>0</v>
      </c>
      <c r="BX8" s="360"/>
      <c r="BY8" s="104" t="s">
        <v>228</v>
      </c>
      <c r="BZ8" s="104" t="s">
        <v>107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754</v>
      </c>
      <c r="T9" s="103" t="s">
        <v>133</v>
      </c>
      <c r="U9" s="103">
        <v>2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0</v>
      </c>
      <c r="AB9" s="103">
        <v>-2</v>
      </c>
      <c r="AC9" s="103" t="str">
        <f t="shared" ca="1" si="0"/>
        <v>ANO</v>
      </c>
      <c r="AG9" s="122" t="s">
        <v>767</v>
      </c>
      <c r="AH9" s="123">
        <v>35663</v>
      </c>
      <c r="AI9" s="124">
        <v>43</v>
      </c>
      <c r="AJ9" s="124">
        <v>0</v>
      </c>
      <c r="AK9" s="124">
        <v>0</v>
      </c>
      <c r="AL9" s="125">
        <f t="shared" si="1"/>
        <v>0</v>
      </c>
      <c r="AM9" s="124">
        <v>6</v>
      </c>
      <c r="AN9" s="124">
        <v>97</v>
      </c>
      <c r="AO9" s="126"/>
      <c r="AP9" s="126" t="s">
        <v>262</v>
      </c>
      <c r="AQ9" s="124">
        <v>181</v>
      </c>
      <c r="AR9" s="124">
        <v>79</v>
      </c>
      <c r="AS9" s="127" t="s">
        <v>477</v>
      </c>
      <c r="AT9" s="124" t="s">
        <v>262</v>
      </c>
      <c r="AU9" s="128">
        <f t="shared" ca="1" si="2"/>
        <v>24</v>
      </c>
      <c r="AV9" s="128" t="str">
        <f t="shared" si="3"/>
        <v>181/79</v>
      </c>
      <c r="AW9" s="129" t="str">
        <f t="shared" ca="1" si="6"/>
        <v>Chyna</v>
      </c>
      <c r="AX9" s="130" t="str">
        <f t="shared" ca="1" si="4"/>
        <v>0 V, 0 P</v>
      </c>
      <c r="AY9" s="130" t="str">
        <f t="shared" ca="1" si="5"/>
        <v>43 OZ, 0 A</v>
      </c>
      <c r="AZ9" s="131"/>
      <c r="BA9" s="131"/>
      <c r="BB9" s="131"/>
      <c r="BC9" s="131"/>
      <c r="BD9" s="90" t="str">
        <f t="shared" si="7"/>
        <v>Chyna</v>
      </c>
      <c r="BE9" s="92">
        <f t="shared" ca="1" si="8"/>
        <v>1</v>
      </c>
      <c r="BF9" s="91" t="str">
        <f t="shared" si="9"/>
        <v>L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229</v>
      </c>
      <c r="BZ9" s="104" t="s">
        <v>5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761</v>
      </c>
      <c r="T10" s="103" t="s">
        <v>68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0</v>
      </c>
      <c r="AB10" s="103">
        <v>-1</v>
      </c>
      <c r="AC10" s="103" t="str">
        <f t="shared" ca="1" si="0"/>
        <v>ANO</v>
      </c>
      <c r="AG10" s="122" t="s">
        <v>773</v>
      </c>
      <c r="AH10" s="123">
        <v>36686</v>
      </c>
      <c r="AI10" s="124">
        <v>25</v>
      </c>
      <c r="AJ10" s="124">
        <v>8</v>
      </c>
      <c r="AK10" s="124">
        <v>4</v>
      </c>
      <c r="AL10" s="125">
        <f t="shared" si="1"/>
        <v>12</v>
      </c>
      <c r="AM10" s="124">
        <v>3</v>
      </c>
      <c r="AN10" s="124">
        <v>8</v>
      </c>
      <c r="AO10" s="126"/>
      <c r="AP10" s="126" t="s">
        <v>163</v>
      </c>
      <c r="AQ10" s="124">
        <v>186</v>
      </c>
      <c r="AR10" s="124">
        <v>63</v>
      </c>
      <c r="AS10" s="127" t="s">
        <v>788</v>
      </c>
      <c r="AT10" s="124">
        <v>2008</v>
      </c>
      <c r="AU10" s="128">
        <f t="shared" ca="1" si="2"/>
        <v>21</v>
      </c>
      <c r="AV10" s="128" t="str">
        <f t="shared" si="3"/>
        <v>186/63</v>
      </c>
      <c r="AW10" s="129" t="str">
        <f t="shared" ca="1" si="6"/>
        <v>Jireček</v>
      </c>
      <c r="AX10" s="130" t="str">
        <f t="shared" ca="1" si="4"/>
        <v>0 OZ, 0 (0+0)</v>
      </c>
      <c r="AY10" s="130" t="str">
        <f t="shared" ca="1" si="5"/>
        <v>25 OZ, 12 (8+4)</v>
      </c>
      <c r="AZ10" s="131"/>
      <c r="BA10" s="131"/>
      <c r="BB10" s="131"/>
      <c r="BC10" s="131"/>
      <c r="BD10" s="3" t="str">
        <f t="shared" si="7"/>
        <v>Jireček</v>
      </c>
      <c r="BE10" s="85">
        <f t="shared" ca="1" si="8"/>
        <v>1</v>
      </c>
      <c r="BF10" s="62" t="str">
        <f t="shared" si="9"/>
        <v>O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109</v>
      </c>
      <c r="CA10" s="116" t="s">
        <v>226</v>
      </c>
    </row>
    <row r="11" spans="1:79" ht="15" customHeight="1" thickTop="1" thickBot="1" x14ac:dyDescent="0.25">
      <c r="R11" s="13"/>
      <c r="S11" s="111" t="s">
        <v>764</v>
      </c>
      <c r="T11" s="103" t="s">
        <v>133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-1</v>
      </c>
      <c r="AC11" s="103" t="str">
        <f t="shared" ca="1" si="0"/>
        <v>ANO</v>
      </c>
      <c r="AG11" s="122" t="s">
        <v>764</v>
      </c>
      <c r="AH11" s="123">
        <v>33522</v>
      </c>
      <c r="AI11" s="124">
        <v>103</v>
      </c>
      <c r="AJ11" s="124">
        <v>25</v>
      </c>
      <c r="AK11" s="124">
        <v>51</v>
      </c>
      <c r="AL11" s="125">
        <f t="shared" si="1"/>
        <v>76</v>
      </c>
      <c r="AM11" s="124">
        <v>6</v>
      </c>
      <c r="AN11" s="124">
        <v>55</v>
      </c>
      <c r="AO11" s="126"/>
      <c r="AP11" s="126" t="s">
        <v>163</v>
      </c>
      <c r="AQ11" s="124">
        <v>186</v>
      </c>
      <c r="AR11" s="124">
        <v>87</v>
      </c>
      <c r="AS11" s="127" t="s">
        <v>477</v>
      </c>
      <c r="AT11" s="124">
        <v>2006</v>
      </c>
      <c r="AU11" s="128">
        <f t="shared" ca="1" si="2"/>
        <v>29</v>
      </c>
      <c r="AV11" s="128" t="str">
        <f t="shared" si="3"/>
        <v>186/87</v>
      </c>
      <c r="AW11" s="129" t="str">
        <f t="shared" ca="1" si="6"/>
        <v>Jirsa</v>
      </c>
      <c r="AX11" s="130" t="str">
        <f t="shared" ca="1" si="4"/>
        <v>2 OZ, 1 (0+1), -1 ±</v>
      </c>
      <c r="AY11" s="130" t="str">
        <f t="shared" ca="1" si="5"/>
        <v>105 OZ, 77 (25+52)</v>
      </c>
      <c r="AZ11" s="131"/>
      <c r="BA11" s="131"/>
      <c r="BB11" s="131"/>
      <c r="BC11" s="131"/>
      <c r="BD11" s="90" t="str">
        <f t="shared" si="7"/>
        <v>Jirsa</v>
      </c>
      <c r="BE11" s="92">
        <f t="shared" ca="1" si="8"/>
        <v>1</v>
      </c>
      <c r="BF11" s="91" t="str">
        <f t="shared" si="9"/>
        <v>J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104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777</v>
      </c>
      <c r="T12" s="103" t="s">
        <v>68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2</v>
      </c>
      <c r="AB12" s="103">
        <v>0</v>
      </c>
      <c r="AC12" s="103" t="str">
        <f t="shared" ca="1" si="0"/>
        <v>ANO</v>
      </c>
      <c r="AG12" s="122" t="s">
        <v>774</v>
      </c>
      <c r="AH12" s="123">
        <v>33176</v>
      </c>
      <c r="AI12" s="124">
        <v>283</v>
      </c>
      <c r="AJ12" s="124">
        <v>31</v>
      </c>
      <c r="AK12" s="124">
        <v>39</v>
      </c>
      <c r="AL12" s="125">
        <f t="shared" si="1"/>
        <v>70</v>
      </c>
      <c r="AM12" s="124">
        <v>14</v>
      </c>
      <c r="AN12" s="124">
        <v>23</v>
      </c>
      <c r="AO12" s="126" t="s">
        <v>180</v>
      </c>
      <c r="AP12" s="126" t="s">
        <v>163</v>
      </c>
      <c r="AQ12" s="124">
        <v>176</v>
      </c>
      <c r="AR12" s="124">
        <v>80</v>
      </c>
      <c r="AS12" s="127" t="s">
        <v>791</v>
      </c>
      <c r="AT12" s="124">
        <v>2007</v>
      </c>
      <c r="AU12" s="128">
        <f t="shared" ca="1" si="2"/>
        <v>30</v>
      </c>
      <c r="AV12" s="128" t="str">
        <f t="shared" si="3"/>
        <v>176/80</v>
      </c>
      <c r="AW12" s="129" t="str">
        <f t="shared" ca="1" si="6"/>
        <v>Kadlec</v>
      </c>
      <c r="AX12" s="130" t="str">
        <f t="shared" ca="1" si="4"/>
        <v>0 OZ, 0 (0+0)</v>
      </c>
      <c r="AY12" s="130" t="str">
        <f t="shared" ca="1" si="5"/>
        <v>283 OZ, 70 (31+39)</v>
      </c>
      <c r="AZ12" s="131"/>
      <c r="BA12" s="131"/>
      <c r="BB12" s="131"/>
      <c r="BC12" s="131"/>
      <c r="BD12" s="3" t="str">
        <f t="shared" si="7"/>
        <v>Kadlec</v>
      </c>
      <c r="BE12" s="85">
        <f t="shared" ca="1" si="8"/>
        <v>1</v>
      </c>
      <c r="BF12" s="62" t="str">
        <f t="shared" si="9"/>
        <v>T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804</v>
      </c>
      <c r="BU12" s="104">
        <v>3</v>
      </c>
      <c r="BV12" s="105" t="str">
        <f t="shared" si="17"/>
        <v>Radek Krajcigr</v>
      </c>
      <c r="BW12" s="103">
        <f t="shared" si="18"/>
        <v>3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758</v>
      </c>
      <c r="T13" s="103" t="s">
        <v>131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775</v>
      </c>
      <c r="AH13" s="123"/>
      <c r="AI13" s="124">
        <v>12</v>
      </c>
      <c r="AJ13" s="124">
        <v>0</v>
      </c>
      <c r="AK13" s="124">
        <v>1</v>
      </c>
      <c r="AL13" s="125">
        <f t="shared" si="1"/>
        <v>1</v>
      </c>
      <c r="AM13" s="124">
        <v>4</v>
      </c>
      <c r="AN13" s="124"/>
      <c r="AO13" s="126"/>
      <c r="AP13" s="126" t="s">
        <v>262</v>
      </c>
      <c r="AQ13" s="124"/>
      <c r="AR13" s="124"/>
      <c r="AS13" s="127" t="s">
        <v>722</v>
      </c>
      <c r="AT13" s="124">
        <v>2007</v>
      </c>
      <c r="AU13" s="128" t="str">
        <f t="shared" ca="1" si="2"/>
        <v>?</v>
      </c>
      <c r="AV13" s="128" t="str">
        <f t="shared" si="3"/>
        <v>? / ?</v>
      </c>
      <c r="AW13" s="129" t="str">
        <f t="shared" ca="1" si="6"/>
        <v>Kalina</v>
      </c>
      <c r="AX13" s="130" t="str">
        <f t="shared" ca="1" si="4"/>
        <v>0 OZ, 0 (0+0)</v>
      </c>
      <c r="AY13" s="130" t="str">
        <f t="shared" ca="1" si="5"/>
        <v>12 OZ, 1 (0+1)</v>
      </c>
      <c r="AZ13" s="131"/>
      <c r="BA13" s="131"/>
      <c r="BB13" s="131"/>
      <c r="BC13" s="131"/>
      <c r="BD13" s="90" t="str">
        <f t="shared" si="7"/>
        <v>Kalina</v>
      </c>
      <c r="BE13" s="92">
        <f t="shared" ca="1" si="8"/>
        <v>1</v>
      </c>
      <c r="BF13" s="91" t="str">
        <f t="shared" si="9"/>
        <v>M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964</v>
      </c>
      <c r="BU13" s="104">
        <v>2</v>
      </c>
      <c r="BV13" s="105" t="str">
        <f t="shared" si="17"/>
        <v>Milan Tichý</v>
      </c>
      <c r="BW13" s="103">
        <f t="shared" si="18"/>
        <v>2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765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NE</v>
      </c>
      <c r="AG14" s="122" t="s">
        <v>756</v>
      </c>
      <c r="AH14" s="123">
        <v>33030</v>
      </c>
      <c r="AI14" s="124">
        <v>91</v>
      </c>
      <c r="AJ14" s="124">
        <v>8</v>
      </c>
      <c r="AK14" s="124">
        <v>18</v>
      </c>
      <c r="AL14" s="125">
        <f t="shared" si="1"/>
        <v>26</v>
      </c>
      <c r="AM14" s="124">
        <v>6</v>
      </c>
      <c r="AN14" s="124">
        <v>27</v>
      </c>
      <c r="AO14" s="126"/>
      <c r="AP14" s="126" t="s">
        <v>163</v>
      </c>
      <c r="AQ14" s="124">
        <v>186</v>
      </c>
      <c r="AR14" s="124">
        <v>86</v>
      </c>
      <c r="AS14" s="127" t="s">
        <v>477</v>
      </c>
      <c r="AT14" s="124">
        <v>2006</v>
      </c>
      <c r="AU14" s="128">
        <f t="shared" ca="1" si="2"/>
        <v>31</v>
      </c>
      <c r="AV14" s="128" t="str">
        <f t="shared" si="3"/>
        <v>186/86</v>
      </c>
      <c r="AW14" s="129" t="str">
        <f t="shared" ca="1" si="6"/>
        <v>Karel</v>
      </c>
      <c r="AX14" s="130" t="str">
        <f t="shared" ca="1" si="4"/>
        <v>2 OZ, 2 (0+2), 0 ±</v>
      </c>
      <c r="AY14" s="130" t="str">
        <f t="shared" ca="1" si="5"/>
        <v>93 OZ, 28 (8+20)</v>
      </c>
      <c r="AZ14" s="131"/>
      <c r="BA14" s="131"/>
      <c r="BB14" s="131"/>
      <c r="BC14" s="131"/>
      <c r="BD14" s="3" t="str">
        <f t="shared" si="7"/>
        <v>Karel</v>
      </c>
      <c r="BE14" s="85">
        <f t="shared" ca="1" si="8"/>
        <v>1</v>
      </c>
      <c r="BF14" s="62" t="str">
        <f t="shared" si="9"/>
        <v>J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967</v>
      </c>
      <c r="BU14" s="104">
        <v>1</v>
      </c>
      <c r="BV14" s="105" t="str">
        <f t="shared" si="17"/>
        <v>Antonín Stárek</v>
      </c>
      <c r="BW14" s="103">
        <f t="shared" si="18"/>
        <v>1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767</v>
      </c>
      <c r="T15" s="103" t="s">
        <v>131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752</v>
      </c>
      <c r="AH15" s="123">
        <v>37951</v>
      </c>
      <c r="AI15" s="124">
        <v>24</v>
      </c>
      <c r="AJ15" s="124">
        <v>14</v>
      </c>
      <c r="AK15" s="124">
        <v>7</v>
      </c>
      <c r="AL15" s="125">
        <f t="shared" si="1"/>
        <v>21</v>
      </c>
      <c r="AM15" s="124">
        <v>2</v>
      </c>
      <c r="AN15" s="124">
        <v>29</v>
      </c>
      <c r="AO15" s="126"/>
      <c r="AP15" s="126" t="s">
        <v>163</v>
      </c>
      <c r="AQ15" s="124">
        <v>175</v>
      </c>
      <c r="AR15" s="124">
        <v>70</v>
      </c>
      <c r="AS15" s="127" t="s">
        <v>477</v>
      </c>
      <c r="AT15" s="124" t="s">
        <v>262</v>
      </c>
      <c r="AU15" s="128">
        <f t="shared" ca="1" si="2"/>
        <v>17</v>
      </c>
      <c r="AV15" s="128" t="str">
        <f t="shared" si="3"/>
        <v>175/70</v>
      </c>
      <c r="AW15" s="129" t="str">
        <f t="shared" ca="1" si="6"/>
        <v>Kopič</v>
      </c>
      <c r="AX15" s="130" t="str">
        <f t="shared" ca="1" si="4"/>
        <v>2 OZ, 2 (1+1), +1 ±</v>
      </c>
      <c r="AY15" s="130" t="str">
        <f t="shared" ca="1" si="5"/>
        <v>26 OZ, 23 (15+8)</v>
      </c>
      <c r="AZ15" s="131"/>
      <c r="BA15" s="131"/>
      <c r="BB15" s="131"/>
      <c r="BC15" s="131"/>
      <c r="BD15" s="90" t="str">
        <f t="shared" si="7"/>
        <v>Kopič</v>
      </c>
      <c r="BE15" s="92">
        <f t="shared" ca="1" si="8"/>
        <v>1</v>
      </c>
      <c r="BF15" s="91" t="str">
        <f t="shared" si="9"/>
        <v>O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968</v>
      </c>
      <c r="BU15" s="104">
        <v>1</v>
      </c>
      <c r="BV15" s="105" t="str">
        <f t="shared" si="17"/>
        <v>Jaromír Ekl</v>
      </c>
      <c r="BW15" s="103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766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760</v>
      </c>
      <c r="AH16" s="123">
        <v>37944</v>
      </c>
      <c r="AI16" s="124">
        <v>8</v>
      </c>
      <c r="AJ16" s="124">
        <v>0</v>
      </c>
      <c r="AK16" s="124">
        <v>0</v>
      </c>
      <c r="AL16" s="125">
        <f t="shared" si="1"/>
        <v>0</v>
      </c>
      <c r="AM16" s="124">
        <v>2</v>
      </c>
      <c r="AN16" s="124">
        <v>19</v>
      </c>
      <c r="AO16" s="126"/>
      <c r="AP16" s="126" t="s">
        <v>163</v>
      </c>
      <c r="AQ16" s="124">
        <v>170</v>
      </c>
      <c r="AR16" s="124">
        <v>62</v>
      </c>
      <c r="AS16" s="127" t="s">
        <v>477</v>
      </c>
      <c r="AT16" s="124" t="s">
        <v>262</v>
      </c>
      <c r="AU16" s="128">
        <f t="shared" ca="1" si="2"/>
        <v>17</v>
      </c>
      <c r="AV16" s="128" t="str">
        <f t="shared" si="3"/>
        <v>170/62</v>
      </c>
      <c r="AW16" s="129" t="str">
        <f t="shared" ca="1" si="6"/>
        <v>Kouba</v>
      </c>
      <c r="AX16" s="130" t="str">
        <f t="shared" ca="1" si="4"/>
        <v>2 OZ, 0 (0+0), 0 ±</v>
      </c>
      <c r="AY16" s="130" t="str">
        <f t="shared" ca="1" si="5"/>
        <v>10 OZ, 0 (0+0)</v>
      </c>
      <c r="AZ16" s="131"/>
      <c r="BA16" s="131"/>
      <c r="BB16" s="131"/>
      <c r="BC16" s="131"/>
      <c r="BD16" s="3" t="str">
        <f t="shared" si="7"/>
        <v>Kouba</v>
      </c>
      <c r="BE16" s="85">
        <f t="shared" ca="1" si="8"/>
        <v>1</v>
      </c>
      <c r="BF16" s="62" t="str">
        <f t="shared" si="9"/>
        <v>A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969</v>
      </c>
      <c r="BU16" s="104">
        <v>1</v>
      </c>
      <c r="BV16" s="105" t="str">
        <f t="shared" si="17"/>
        <v>Jiří Vlček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757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-2</v>
      </c>
      <c r="AC17" s="103" t="str">
        <f t="shared" ca="1" si="0"/>
        <v>ANO</v>
      </c>
      <c r="AG17" s="122" t="s">
        <v>751</v>
      </c>
      <c r="AH17" s="123">
        <v>33970</v>
      </c>
      <c r="AI17" s="124">
        <v>194</v>
      </c>
      <c r="AJ17" s="124">
        <v>234</v>
      </c>
      <c r="AK17" s="124">
        <v>93</v>
      </c>
      <c r="AL17" s="125">
        <f t="shared" si="1"/>
        <v>327</v>
      </c>
      <c r="AM17" s="124">
        <v>10</v>
      </c>
      <c r="AN17" s="124">
        <v>77</v>
      </c>
      <c r="AO17" s="126"/>
      <c r="AP17" s="126" t="s">
        <v>163</v>
      </c>
      <c r="AQ17" s="124">
        <v>186</v>
      </c>
      <c r="AR17" s="124">
        <v>82</v>
      </c>
      <c r="AS17" s="127" t="s">
        <v>792</v>
      </c>
      <c r="AT17" s="124" t="s">
        <v>262</v>
      </c>
      <c r="AU17" s="128">
        <f t="shared" ca="1" si="2"/>
        <v>28</v>
      </c>
      <c r="AV17" s="128" t="str">
        <f t="shared" si="3"/>
        <v>186/82</v>
      </c>
      <c r="AW17" s="129" t="str">
        <f t="shared" ca="1" si="6"/>
        <v>Krajcigr</v>
      </c>
      <c r="AX17" s="130" t="str">
        <f t="shared" ca="1" si="4"/>
        <v>2 OZ, 3 (3+0), +1 ±</v>
      </c>
      <c r="AY17" s="130" t="str">
        <f t="shared" ca="1" si="5"/>
        <v>196 OZ, 330 (237+93)</v>
      </c>
      <c r="AZ17" s="131"/>
      <c r="BA17" s="131"/>
      <c r="BB17" s="131"/>
      <c r="BC17" s="131"/>
      <c r="BD17" s="90" t="str">
        <f t="shared" si="7"/>
        <v>Krajcigr</v>
      </c>
      <c r="BE17" s="92">
        <f t="shared" ca="1" si="8"/>
        <v>1</v>
      </c>
      <c r="BF17" s="91" t="str">
        <f t="shared" si="9"/>
        <v>R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806</v>
      </c>
      <c r="BU17" s="104">
        <v>0</v>
      </c>
      <c r="BV17" s="105" t="str">
        <f t="shared" si="17"/>
        <v>Ivan Ponomarev</v>
      </c>
      <c r="BW17" s="103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762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762</v>
      </c>
      <c r="AH18" s="123">
        <v>31959</v>
      </c>
      <c r="AI18" s="124">
        <v>83</v>
      </c>
      <c r="AJ18" s="124">
        <v>12</v>
      </c>
      <c r="AK18" s="124">
        <v>8</v>
      </c>
      <c r="AL18" s="125">
        <f t="shared" si="1"/>
        <v>20</v>
      </c>
      <c r="AM18" s="124">
        <v>6</v>
      </c>
      <c r="AN18" s="124">
        <v>12</v>
      </c>
      <c r="AO18" s="126"/>
      <c r="AP18" s="126" t="s">
        <v>163</v>
      </c>
      <c r="AQ18" s="124">
        <v>185</v>
      </c>
      <c r="AR18" s="124">
        <v>85</v>
      </c>
      <c r="AS18" s="127" t="s">
        <v>793</v>
      </c>
      <c r="AT18" s="124">
        <v>1999</v>
      </c>
      <c r="AU18" s="128">
        <f t="shared" ca="1" si="2"/>
        <v>34</v>
      </c>
      <c r="AV18" s="128" t="str">
        <f t="shared" si="3"/>
        <v>185/85</v>
      </c>
      <c r="AW18" s="129" t="str">
        <f t="shared" ca="1" si="6"/>
        <v>Mlejnek</v>
      </c>
      <c r="AX18" s="130" t="str">
        <f t="shared" ca="1" si="4"/>
        <v>2 OZ, 0 (0+0), -1 ±</v>
      </c>
      <c r="AY18" s="130" t="str">
        <f t="shared" ca="1" si="5"/>
        <v>85 OZ, 20 (12+8)</v>
      </c>
      <c r="AZ18" s="131"/>
      <c r="BA18" s="131"/>
      <c r="BB18" s="131"/>
      <c r="BC18" s="131"/>
      <c r="BD18" s="3" t="str">
        <f t="shared" si="7"/>
        <v>Mlejnek</v>
      </c>
      <c r="BE18" s="85">
        <f t="shared" ca="1" si="8"/>
        <v>1</v>
      </c>
      <c r="BF18" s="62" t="str">
        <f t="shared" si="9"/>
        <v>L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807</v>
      </c>
      <c r="BU18" s="104">
        <v>0</v>
      </c>
      <c r="BV18" s="105" t="str">
        <f t="shared" si="17"/>
        <v>Lukáš Chyna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CLP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479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NE</v>
      </c>
      <c r="AG19" s="122" t="s">
        <v>776</v>
      </c>
      <c r="AH19" s="123">
        <v>35293</v>
      </c>
      <c r="AI19" s="124">
        <v>3</v>
      </c>
      <c r="AJ19" s="124">
        <v>1</v>
      </c>
      <c r="AK19" s="124">
        <v>0</v>
      </c>
      <c r="AL19" s="125">
        <f t="shared" si="1"/>
        <v>1</v>
      </c>
      <c r="AM19" s="124">
        <v>2</v>
      </c>
      <c r="AN19" s="124"/>
      <c r="AO19" s="126"/>
      <c r="AP19" s="126" t="s">
        <v>27</v>
      </c>
      <c r="AQ19" s="124">
        <v>186</v>
      </c>
      <c r="AR19" s="124">
        <v>96</v>
      </c>
      <c r="AS19" s="127" t="s">
        <v>794</v>
      </c>
      <c r="AT19" s="124">
        <v>2010</v>
      </c>
      <c r="AU19" s="128">
        <f t="shared" ca="1" si="2"/>
        <v>25</v>
      </c>
      <c r="AV19" s="128" t="str">
        <f t="shared" si="3"/>
        <v>186/96</v>
      </c>
      <c r="AW19" s="129" t="str">
        <f t="shared" ca="1" si="6"/>
        <v>Nicklas</v>
      </c>
      <c r="AX19" s="130" t="str">
        <f t="shared" ca="1" si="4"/>
        <v>0 OZ, 0 (0+0)</v>
      </c>
      <c r="AY19" s="130" t="str">
        <f t="shared" ca="1" si="5"/>
        <v>3 OZ, 1 (1+0)</v>
      </c>
      <c r="AZ19" s="131"/>
      <c r="BA19" s="131"/>
      <c r="BB19" s="131"/>
      <c r="BC19" s="131"/>
      <c r="BD19" s="90" t="str">
        <f t="shared" si="7"/>
        <v>Nicklas</v>
      </c>
      <c r="BE19" s="92">
        <f t="shared" ca="1" si="8"/>
        <v>1</v>
      </c>
      <c r="BF19" s="91" t="str">
        <f t="shared" si="9"/>
        <v>D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760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777</v>
      </c>
      <c r="AH20" s="123">
        <v>34046</v>
      </c>
      <c r="AI20" s="124">
        <v>192</v>
      </c>
      <c r="AJ20" s="124">
        <v>33</v>
      </c>
      <c r="AK20" s="124">
        <v>38</v>
      </c>
      <c r="AL20" s="125">
        <f t="shared" si="1"/>
        <v>71</v>
      </c>
      <c r="AM20" s="124">
        <v>12</v>
      </c>
      <c r="AN20" s="124">
        <v>7</v>
      </c>
      <c r="AO20" s="126"/>
      <c r="AP20" s="126" t="s">
        <v>163</v>
      </c>
      <c r="AQ20" s="124">
        <v>178</v>
      </c>
      <c r="AR20" s="124">
        <v>75</v>
      </c>
      <c r="AS20" s="127" t="s">
        <v>791</v>
      </c>
      <c r="AT20" s="124">
        <v>2005</v>
      </c>
      <c r="AU20" s="128">
        <f t="shared" ca="1" si="2"/>
        <v>28</v>
      </c>
      <c r="AV20" s="128" t="str">
        <f t="shared" si="3"/>
        <v>178/75</v>
      </c>
      <c r="AW20" s="129" t="str">
        <f t="shared" ca="1" si="6"/>
        <v>Novák</v>
      </c>
      <c r="AX20" s="130" t="str">
        <f t="shared" ca="1" si="4"/>
        <v>1 OZ, 0 (0+0), 0 ±</v>
      </c>
      <c r="AY20" s="130" t="str">
        <f t="shared" ca="1" si="5"/>
        <v>193 OZ, 71 (33+38)</v>
      </c>
      <c r="AZ20" s="131"/>
      <c r="BA20" s="131"/>
      <c r="BB20" s="131"/>
      <c r="BC20" s="131"/>
      <c r="BD20" s="3" t="str">
        <f t="shared" si="7"/>
        <v>Novák</v>
      </c>
      <c r="BE20" s="85">
        <f t="shared" ca="1" si="8"/>
        <v>1</v>
      </c>
      <c r="BF20" s="62" t="str">
        <f t="shared" si="9"/>
        <v>T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763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NE</v>
      </c>
      <c r="AG21" s="122" t="s">
        <v>252</v>
      </c>
      <c r="AH21" s="123"/>
      <c r="AI21" s="124">
        <v>8</v>
      </c>
      <c r="AJ21" s="124">
        <v>1</v>
      </c>
      <c r="AK21" s="124">
        <v>0</v>
      </c>
      <c r="AL21" s="125">
        <f t="shared" si="1"/>
        <v>1</v>
      </c>
      <c r="AM21" s="124">
        <v>3</v>
      </c>
      <c r="AN21" s="124"/>
      <c r="AO21" s="126"/>
      <c r="AP21" s="126" t="s">
        <v>262</v>
      </c>
      <c r="AQ21" s="124"/>
      <c r="AR21" s="124"/>
      <c r="AS21" s="127" t="s">
        <v>795</v>
      </c>
      <c r="AT21" s="124">
        <v>2010</v>
      </c>
      <c r="AU21" s="128" t="str">
        <f t="shared" ca="1" si="2"/>
        <v>?</v>
      </c>
      <c r="AV21" s="128" t="str">
        <f t="shared" si="3"/>
        <v>? / ?</v>
      </c>
      <c r="AW21" s="129" t="str">
        <f t="shared" ca="1" si="6"/>
        <v>Pařízek</v>
      </c>
      <c r="AX21" s="130" t="str">
        <f t="shared" ca="1" si="4"/>
        <v>0 OZ, 0 (0+0)</v>
      </c>
      <c r="AY21" s="130" t="str">
        <f t="shared" ca="1" si="5"/>
        <v>8 OZ, 1 (1+0)</v>
      </c>
      <c r="AZ21" s="131"/>
      <c r="BA21" s="131"/>
      <c r="BB21" s="131"/>
      <c r="BC21" s="131"/>
      <c r="BD21" s="90" t="str">
        <f t="shared" si="7"/>
        <v>Pařízek</v>
      </c>
      <c r="BE21" s="92">
        <f t="shared" ca="1" si="8"/>
        <v>1</v>
      </c>
      <c r="BF21" s="91" t="str">
        <f t="shared" si="9"/>
        <v>J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778</v>
      </c>
      <c r="AH22" s="123">
        <v>35331</v>
      </c>
      <c r="AI22" s="124">
        <v>85</v>
      </c>
      <c r="AJ22" s="124">
        <v>0</v>
      </c>
      <c r="AK22" s="124">
        <v>1</v>
      </c>
      <c r="AL22" s="125">
        <f t="shared" si="1"/>
        <v>1</v>
      </c>
      <c r="AM22" s="124">
        <v>6</v>
      </c>
      <c r="AN22" s="124">
        <v>39</v>
      </c>
      <c r="AO22" s="126"/>
      <c r="AP22" s="126" t="s">
        <v>163</v>
      </c>
      <c r="AQ22" s="124">
        <v>185</v>
      </c>
      <c r="AR22" s="124">
        <v>88</v>
      </c>
      <c r="AS22" s="127" t="s">
        <v>477</v>
      </c>
      <c r="AT22" s="124" t="s">
        <v>262</v>
      </c>
      <c r="AU22" s="128">
        <f t="shared" ca="1" si="2"/>
        <v>25</v>
      </c>
      <c r="AV22" s="128" t="str">
        <f t="shared" si="3"/>
        <v>185/88</v>
      </c>
      <c r="AW22" s="129" t="str">
        <f t="shared" ca="1" si="6"/>
        <v>Pastor</v>
      </c>
      <c r="AX22" s="130" t="str">
        <f t="shared" ca="1" si="4"/>
        <v>0 OZ, 0 (0+0)</v>
      </c>
      <c r="AY22" s="130" t="str">
        <f t="shared" ca="1" si="5"/>
        <v>85 OZ, 1 (0+1)</v>
      </c>
      <c r="AZ22" s="131"/>
      <c r="BA22" s="131"/>
      <c r="BB22" s="131"/>
      <c r="BC22" s="131"/>
      <c r="BD22" s="3" t="str">
        <f t="shared" si="7"/>
        <v>Pastor</v>
      </c>
      <c r="BE22" s="85">
        <f t="shared" ca="1" si="8"/>
        <v>1</v>
      </c>
      <c r="BF22" s="62" t="str">
        <f t="shared" si="9"/>
        <v>D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808</v>
      </c>
      <c r="BU22" s="104">
        <v>2</v>
      </c>
      <c r="BV22" s="105" t="str">
        <f t="shared" si="17"/>
        <v>Daniel Štěrba</v>
      </c>
      <c r="BW22" s="103">
        <f t="shared" si="18"/>
        <v>2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779</v>
      </c>
      <c r="AH23" s="123"/>
      <c r="AI23" s="124">
        <v>3</v>
      </c>
      <c r="AJ23" s="124">
        <v>0</v>
      </c>
      <c r="AK23" s="124">
        <v>0</v>
      </c>
      <c r="AL23" s="125">
        <f t="shared" si="1"/>
        <v>0</v>
      </c>
      <c r="AM23" s="124">
        <v>2</v>
      </c>
      <c r="AN23" s="124">
        <v>40</v>
      </c>
      <c r="AO23" s="126"/>
      <c r="AP23" s="126" t="s">
        <v>163</v>
      </c>
      <c r="AQ23" s="124"/>
      <c r="AR23" s="124"/>
      <c r="AS23" s="127" t="s">
        <v>477</v>
      </c>
      <c r="AT23" s="124">
        <v>2008</v>
      </c>
      <c r="AU23" s="128" t="str">
        <f t="shared" ca="1" si="2"/>
        <v>?</v>
      </c>
      <c r="AV23" s="128" t="str">
        <f t="shared" si="3"/>
        <v>? / ?</v>
      </c>
      <c r="AW23" s="129" t="str">
        <f t="shared" ca="1" si="6"/>
        <v>Petříček</v>
      </c>
      <c r="AX23" s="130" t="str">
        <f t="shared" ca="1" si="4"/>
        <v>0 OZ, 0 (0+0)</v>
      </c>
      <c r="AY23" s="130" t="str">
        <f t="shared" ca="1" si="5"/>
        <v>3 OZ, 0 (0+0)</v>
      </c>
      <c r="AZ23" s="131"/>
      <c r="BA23" s="131"/>
      <c r="BB23" s="131"/>
      <c r="BC23" s="131"/>
      <c r="BD23" s="90" t="str">
        <f t="shared" si="7"/>
        <v>Petříček</v>
      </c>
      <c r="BE23" s="92">
        <f t="shared" ca="1" si="8"/>
        <v>1</v>
      </c>
      <c r="BF23" s="91" t="str">
        <f t="shared" si="9"/>
        <v>J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809</v>
      </c>
      <c r="BU23" s="104">
        <v>2</v>
      </c>
      <c r="BV23" s="105" t="str">
        <f t="shared" si="17"/>
        <v>Jakub Karel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780</v>
      </c>
      <c r="AH24" s="123">
        <v>34274</v>
      </c>
      <c r="AI24" s="124">
        <v>274</v>
      </c>
      <c r="AJ24" s="124">
        <v>57</v>
      </c>
      <c r="AK24" s="124">
        <v>75</v>
      </c>
      <c r="AL24" s="125">
        <f t="shared" si="1"/>
        <v>132</v>
      </c>
      <c r="AM24" s="124">
        <v>11</v>
      </c>
      <c r="AN24" s="124"/>
      <c r="AO24" s="126"/>
      <c r="AP24" s="126" t="s">
        <v>163</v>
      </c>
      <c r="AQ24" s="124">
        <v>183</v>
      </c>
      <c r="AR24" s="124">
        <v>77</v>
      </c>
      <c r="AS24" s="127" t="s">
        <v>791</v>
      </c>
      <c r="AT24" s="124">
        <v>2004</v>
      </c>
      <c r="AU24" s="128">
        <f t="shared" ref="AU24:AU50" ca="1" si="19">IF(AG24&lt;&gt;"",IF(AH24&lt;&gt;"",INT((TODAY()-AH24)/365),"?"),"")</f>
        <v>27</v>
      </c>
      <c r="AV24" s="128" t="str">
        <f t="shared" ref="AV24:AV50" si="20">IF(AG24&lt;&gt;"",CONCATENATE(IF(AQ24&lt;&gt;"",AQ24,"? "),"/",IF(AR24&lt;&gt;"",AR24," ?")),"")</f>
        <v>183/77</v>
      </c>
      <c r="AW24" s="129" t="str">
        <f t="shared" ca="1" si="6"/>
        <v>Pluhař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274 OZ, 132 (57+75)</v>
      </c>
      <c r="AZ24" s="131"/>
      <c r="BA24" s="131"/>
      <c r="BB24" s="131"/>
      <c r="BC24" s="131"/>
      <c r="BD24" s="3" t="str">
        <f t="shared" si="7"/>
        <v>Pluhař</v>
      </c>
      <c r="BE24" s="85">
        <f t="shared" ca="1" si="8"/>
        <v>1</v>
      </c>
      <c r="BF24" s="62" t="str">
        <f t="shared" si="9"/>
        <v>J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810</v>
      </c>
      <c r="BU24" s="104">
        <v>2</v>
      </c>
      <c r="BV24" s="105" t="str">
        <f t="shared" si="17"/>
        <v>Jaromír Ekl</v>
      </c>
      <c r="BW24" s="103">
        <f t="shared" si="18"/>
        <v>2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781</v>
      </c>
      <c r="AH25" s="123"/>
      <c r="AI25" s="124">
        <v>3</v>
      </c>
      <c r="AJ25" s="124">
        <v>1</v>
      </c>
      <c r="AK25" s="124">
        <v>0</v>
      </c>
      <c r="AL25" s="125">
        <f t="shared" si="1"/>
        <v>1</v>
      </c>
      <c r="AM25" s="124">
        <v>2</v>
      </c>
      <c r="AN25" s="124"/>
      <c r="AO25" s="126"/>
      <c r="AP25" s="126" t="s">
        <v>262</v>
      </c>
      <c r="AQ25" s="124"/>
      <c r="AR25" s="124"/>
      <c r="AS25" s="127" t="s">
        <v>477</v>
      </c>
      <c r="AT25" s="124">
        <v>2005</v>
      </c>
      <c r="AU25" s="128" t="str">
        <f t="shared" ca="1" si="19"/>
        <v>?</v>
      </c>
      <c r="AV25" s="128" t="str">
        <f t="shared" si="20"/>
        <v>? / ?</v>
      </c>
      <c r="AW25" s="129" t="str">
        <f t="shared" ca="1" si="6"/>
        <v>Procházka</v>
      </c>
      <c r="AX25" s="130" t="str">
        <f t="shared" ca="1" si="21"/>
        <v>0 OZ, 0 (0+0)</v>
      </c>
      <c r="AY25" s="130" t="str">
        <f t="shared" ca="1" si="22"/>
        <v>3 OZ, 1 (1+0)</v>
      </c>
      <c r="AZ25" s="131"/>
      <c r="BA25" s="131"/>
      <c r="BB25" s="131"/>
      <c r="BC25" s="131"/>
      <c r="BD25" s="90" t="str">
        <f t="shared" si="7"/>
        <v>Procházka</v>
      </c>
      <c r="BE25" s="92">
        <f t="shared" ca="1" si="8"/>
        <v>1</v>
      </c>
      <c r="BF25" s="91" t="str">
        <f t="shared" si="9"/>
        <v>P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970</v>
      </c>
      <c r="BU25" s="104">
        <v>1</v>
      </c>
      <c r="BV25" s="105" t="str">
        <f t="shared" si="17"/>
        <v>Jakub Jirsa</v>
      </c>
      <c r="BW25" s="103">
        <f t="shared" si="18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782</v>
      </c>
      <c r="AH26" s="123">
        <v>37043</v>
      </c>
      <c r="AI26" s="124">
        <v>12</v>
      </c>
      <c r="AJ26" s="124">
        <v>3</v>
      </c>
      <c r="AK26" s="124">
        <v>1</v>
      </c>
      <c r="AL26" s="125">
        <f t="shared" si="1"/>
        <v>4</v>
      </c>
      <c r="AM26" s="124">
        <v>2</v>
      </c>
      <c r="AN26" s="124">
        <v>70</v>
      </c>
      <c r="AO26" s="126"/>
      <c r="AP26" s="126" t="s">
        <v>163</v>
      </c>
      <c r="AQ26" s="124">
        <v>180</v>
      </c>
      <c r="AR26" s="124">
        <v>69</v>
      </c>
      <c r="AS26" s="127" t="s">
        <v>796</v>
      </c>
      <c r="AT26" s="124">
        <v>2011</v>
      </c>
      <c r="AU26" s="128">
        <f t="shared" ca="1" si="19"/>
        <v>20</v>
      </c>
      <c r="AV26" s="128" t="str">
        <f t="shared" si="20"/>
        <v>180/69</v>
      </c>
      <c r="AW26" s="129" t="str">
        <f t="shared" ca="1" si="6"/>
        <v>Semerád</v>
      </c>
      <c r="AX26" s="130" t="str">
        <f t="shared" ca="1" si="21"/>
        <v>0 OZ, 0 (0+0)</v>
      </c>
      <c r="AY26" s="130" t="str">
        <f t="shared" ca="1" si="22"/>
        <v>12 OZ, 4 (3+1)</v>
      </c>
      <c r="AZ26" s="131"/>
      <c r="BA26" s="131"/>
      <c r="BB26" s="131"/>
      <c r="BC26" s="131"/>
      <c r="BD26" s="3" t="str">
        <f t="shared" si="7"/>
        <v>Semerád</v>
      </c>
      <c r="BE26" s="85">
        <f t="shared" ca="1" si="8"/>
        <v>1</v>
      </c>
      <c r="BF26" s="62" t="str">
        <f t="shared" si="9"/>
        <v>D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971</v>
      </c>
      <c r="BU26" s="104">
        <v>1</v>
      </c>
      <c r="BV26" s="105" t="str">
        <f t="shared" si="17"/>
        <v>Milan Tichý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757</v>
      </c>
      <c r="AH27" s="123">
        <v>30346</v>
      </c>
      <c r="AI27" s="124">
        <v>309</v>
      </c>
      <c r="AJ27" s="124">
        <v>156</v>
      </c>
      <c r="AK27" s="124">
        <v>164</v>
      </c>
      <c r="AL27" s="125">
        <f t="shared" si="1"/>
        <v>320</v>
      </c>
      <c r="AM27" s="124">
        <v>15</v>
      </c>
      <c r="AN27" s="124">
        <v>50</v>
      </c>
      <c r="AO27" s="126"/>
      <c r="AP27" s="126" t="s">
        <v>163</v>
      </c>
      <c r="AQ27" s="124">
        <v>184</v>
      </c>
      <c r="AR27" s="124">
        <v>91</v>
      </c>
      <c r="AS27" s="127" t="s">
        <v>797</v>
      </c>
      <c r="AT27" s="124">
        <v>1998</v>
      </c>
      <c r="AU27" s="128">
        <f t="shared" ca="1" si="19"/>
        <v>38</v>
      </c>
      <c r="AV27" s="128" t="str">
        <f t="shared" si="20"/>
        <v>184/91</v>
      </c>
      <c r="AW27" s="129" t="str">
        <f t="shared" ca="1" si="6"/>
        <v>Slaný</v>
      </c>
      <c r="AX27" s="130" t="str">
        <f t="shared" ca="1" si="21"/>
        <v>2 OZ, 0 (0+0), -2 ±</v>
      </c>
      <c r="AY27" s="130" t="str">
        <f t="shared" ca="1" si="22"/>
        <v>311 OZ, 320 (156+164)</v>
      </c>
      <c r="AZ27" s="131"/>
      <c r="BA27" s="131"/>
      <c r="BB27" s="131"/>
      <c r="BC27" s="131"/>
      <c r="BD27" s="90" t="str">
        <f t="shared" si="7"/>
        <v>Slaný</v>
      </c>
      <c r="BE27" s="92">
        <f t="shared" ca="1" si="8"/>
        <v>1</v>
      </c>
      <c r="BF27" s="91" t="str">
        <f t="shared" si="9"/>
        <v>Š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811</v>
      </c>
      <c r="BU27" s="104">
        <v>6</v>
      </c>
      <c r="BV27" s="105" t="str">
        <f t="shared" si="17"/>
        <v>Milan Tichý</v>
      </c>
      <c r="BW27" s="103">
        <f t="shared" si="18"/>
        <v>6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783</v>
      </c>
      <c r="AH28" s="123">
        <v>36660</v>
      </c>
      <c r="AI28" s="124">
        <v>69</v>
      </c>
      <c r="AJ28" s="124">
        <v>18</v>
      </c>
      <c r="AK28" s="124">
        <v>7</v>
      </c>
      <c r="AL28" s="125">
        <f t="shared" si="1"/>
        <v>25</v>
      </c>
      <c r="AM28" s="124">
        <v>5</v>
      </c>
      <c r="AN28" s="124">
        <v>18</v>
      </c>
      <c r="AO28" s="126"/>
      <c r="AP28" s="126" t="s">
        <v>163</v>
      </c>
      <c r="AQ28" s="124">
        <v>194</v>
      </c>
      <c r="AR28" s="124">
        <v>89</v>
      </c>
      <c r="AS28" s="127" t="s">
        <v>477</v>
      </c>
      <c r="AT28" s="124">
        <v>2007</v>
      </c>
      <c r="AU28" s="128">
        <f t="shared" ca="1" si="19"/>
        <v>21</v>
      </c>
      <c r="AV28" s="128" t="str">
        <f t="shared" si="20"/>
        <v>194/89</v>
      </c>
      <c r="AW28" s="129" t="str">
        <f t="shared" ca="1" si="6"/>
        <v>Spilka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22"/>
        <v>69 OZ, 25 (18+7)</v>
      </c>
      <c r="AZ28" s="131"/>
      <c r="BA28" s="131"/>
      <c r="BB28" s="131"/>
      <c r="BC28" s="131"/>
      <c r="BD28" s="3" t="str">
        <f t="shared" si="7"/>
        <v>Spilka</v>
      </c>
      <c r="BE28" s="85">
        <f t="shared" ca="1" si="8"/>
        <v>1</v>
      </c>
      <c r="BF28" s="62" t="str">
        <f t="shared" si="9"/>
        <v>J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812</v>
      </c>
      <c r="BU28" s="104">
        <v>6</v>
      </c>
      <c r="BV28" s="105" t="str">
        <f t="shared" si="17"/>
        <v>Radek Krajcigr</v>
      </c>
      <c r="BW28" s="103">
        <f t="shared" si="18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761</v>
      </c>
      <c r="AH29" s="123">
        <v>37722</v>
      </c>
      <c r="AI29" s="124">
        <v>21</v>
      </c>
      <c r="AJ29" s="124">
        <v>2</v>
      </c>
      <c r="AK29" s="124">
        <v>0</v>
      </c>
      <c r="AL29" s="125">
        <f t="shared" si="1"/>
        <v>2</v>
      </c>
      <c r="AM29" s="124">
        <v>2</v>
      </c>
      <c r="AN29" s="124">
        <v>20</v>
      </c>
      <c r="AO29" s="126"/>
      <c r="AP29" s="126" t="s">
        <v>163</v>
      </c>
      <c r="AQ29" s="124">
        <v>192</v>
      </c>
      <c r="AR29" s="124">
        <v>82</v>
      </c>
      <c r="AS29" s="127" t="s">
        <v>477</v>
      </c>
      <c r="AT29" s="124" t="s">
        <v>262</v>
      </c>
      <c r="AU29" s="128">
        <f t="shared" ca="1" si="19"/>
        <v>18</v>
      </c>
      <c r="AV29" s="128" t="str">
        <f t="shared" si="20"/>
        <v>192/82</v>
      </c>
      <c r="AW29" s="129" t="str">
        <f t="shared" ca="1" si="6"/>
        <v>Stárek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1 (1+0), -1 ±</v>
      </c>
      <c r="AY29" s="130" t="str">
        <f t="shared" ca="1" si="22"/>
        <v>23 OZ, 3 (3+0)</v>
      </c>
      <c r="AZ29" s="131"/>
      <c r="BA29" s="131"/>
      <c r="BB29" s="131"/>
      <c r="BC29" s="131"/>
      <c r="BD29" s="90" t="str">
        <f t="shared" si="7"/>
        <v>Stárek</v>
      </c>
      <c r="BE29" s="92">
        <f t="shared" ca="1" si="8"/>
        <v>1</v>
      </c>
      <c r="BF29" s="91" t="str">
        <f t="shared" si="9"/>
        <v>A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972</v>
      </c>
      <c r="BU29" s="104">
        <v>2</v>
      </c>
      <c r="BV29" s="105" t="str">
        <f t="shared" si="17"/>
        <v>Tomáš Novák</v>
      </c>
      <c r="BW29" s="103">
        <f t="shared" si="18"/>
        <v>2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CLP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 t="s">
        <v>784</v>
      </c>
      <c r="AH30" s="123"/>
      <c r="AI30" s="124"/>
      <c r="AJ30" s="124"/>
      <c r="AK30" s="124"/>
      <c r="AL30" s="125">
        <f t="shared" si="1"/>
        <v>0</v>
      </c>
      <c r="AM30" s="124" t="s">
        <v>337</v>
      </c>
      <c r="AN30" s="124">
        <v>96</v>
      </c>
      <c r="AO30" s="126"/>
      <c r="AP30" s="126" t="s">
        <v>163</v>
      </c>
      <c r="AQ30" s="124">
        <v>181</v>
      </c>
      <c r="AR30" s="124">
        <v>87</v>
      </c>
      <c r="AS30" s="127" t="s">
        <v>352</v>
      </c>
      <c r="AT30" s="124">
        <v>2007</v>
      </c>
      <c r="AU30" s="128" t="str">
        <f t="shared" ca="1" si="19"/>
        <v>?</v>
      </c>
      <c r="AV30" s="128" t="str">
        <f t="shared" si="20"/>
        <v>181/87</v>
      </c>
      <c r="AW30" s="129" t="str">
        <f t="shared" ca="1" si="6"/>
        <v>Studený</v>
      </c>
      <c r="AX30" s="130" t="str">
        <f t="shared" ca="1" si="23"/>
        <v>0 OZ, 0 (0+0)</v>
      </c>
      <c r="AY30" s="130" t="str">
        <f t="shared" ca="1" si="22"/>
        <v xml:space="preserve"> OZ, 0 (+)</v>
      </c>
      <c r="AZ30" s="131"/>
      <c r="BA30" s="131"/>
      <c r="BB30" s="131"/>
      <c r="BC30" s="131"/>
      <c r="BD30" s="3" t="str">
        <f t="shared" si="7"/>
        <v>Studený</v>
      </c>
      <c r="BE30" s="85">
        <f t="shared" ca="1" si="8"/>
        <v>1</v>
      </c>
      <c r="BF30" s="62" t="str">
        <f t="shared" si="9"/>
        <v>L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1"/>
        <v>0</v>
      </c>
      <c r="BK30" s="3" t="str">
        <f t="shared" ca="1" si="13"/>
        <v/>
      </c>
      <c r="BL30" s="62">
        <f t="shared" ca="1" si="14"/>
        <v>0</v>
      </c>
      <c r="BM30" s="3" t="str">
        <f t="shared" ca="1" si="15"/>
        <v/>
      </c>
      <c r="BS30" s="361"/>
      <c r="BT30" s="105" t="s">
        <v>973</v>
      </c>
      <c r="BU30" s="104">
        <v>2</v>
      </c>
      <c r="BV30" s="105" t="str">
        <f t="shared" si="17"/>
        <v>Štěpán Slaný</v>
      </c>
      <c r="BW30" s="103">
        <f t="shared" si="18"/>
        <v>2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755</v>
      </c>
      <c r="AH31" s="123">
        <v>35199</v>
      </c>
      <c r="AI31" s="124">
        <v>102</v>
      </c>
      <c r="AJ31" s="124">
        <v>28</v>
      </c>
      <c r="AK31" s="124">
        <v>48</v>
      </c>
      <c r="AL31" s="125">
        <f t="shared" si="1"/>
        <v>76</v>
      </c>
      <c r="AM31" s="124">
        <v>8</v>
      </c>
      <c r="AN31" s="124">
        <v>66</v>
      </c>
      <c r="AO31" s="126"/>
      <c r="AP31" s="126" t="s">
        <v>27</v>
      </c>
      <c r="AQ31" s="124">
        <v>185</v>
      </c>
      <c r="AR31" s="124">
        <v>85</v>
      </c>
      <c r="AS31" s="127" t="s">
        <v>791</v>
      </c>
      <c r="AT31" s="124">
        <v>2007</v>
      </c>
      <c r="AU31" s="128">
        <f t="shared" ca="1" si="19"/>
        <v>25</v>
      </c>
      <c r="AV31" s="128" t="str">
        <f t="shared" si="20"/>
        <v>185/85</v>
      </c>
      <c r="AW31" s="129" t="str">
        <f t="shared" ca="1" si="6"/>
        <v>Štěrba</v>
      </c>
      <c r="AX31" s="130" t="str">
        <f t="shared" ca="1" si="23"/>
        <v>2 OZ, 2 (0+2), +1 ±</v>
      </c>
      <c r="AY31" s="130" t="str">
        <f t="shared" ca="1" si="22"/>
        <v>104 OZ, 78 (28+50)</v>
      </c>
      <c r="AZ31" s="131"/>
      <c r="BA31" s="131"/>
      <c r="BB31" s="131"/>
      <c r="BC31" s="131"/>
      <c r="BD31" s="90" t="str">
        <f t="shared" si="7"/>
        <v>Štěrba</v>
      </c>
      <c r="BE31" s="92">
        <f t="shared" ca="1" si="8"/>
        <v>1</v>
      </c>
      <c r="BF31" s="91" t="str">
        <f t="shared" si="9"/>
        <v>D</v>
      </c>
      <c r="BG31" s="90" t="str">
        <f t="shared" ca="1" si="10"/>
        <v/>
      </c>
      <c r="BH31" s="91">
        <f t="shared" ca="1" si="11"/>
        <v>0</v>
      </c>
      <c r="BI31" s="90" t="str">
        <f t="shared" ca="1" si="12"/>
        <v/>
      </c>
      <c r="BJ31" s="91">
        <f t="shared" ca="1" si="11"/>
        <v>0</v>
      </c>
      <c r="BK31" s="90" t="str">
        <f t="shared" ca="1" si="13"/>
        <v/>
      </c>
      <c r="BL31" s="91">
        <f t="shared" ca="1" si="14"/>
        <v>0</v>
      </c>
      <c r="BM31" s="90" t="str">
        <f t="shared" ca="1" si="15"/>
        <v/>
      </c>
      <c r="BS31" s="361"/>
      <c r="BT31" s="105" t="s">
        <v>974</v>
      </c>
      <c r="BU31" s="104">
        <v>0</v>
      </c>
      <c r="BV31" s="105" t="str">
        <f t="shared" si="17"/>
        <v>Albert Kouba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 t="s">
        <v>465</v>
      </c>
      <c r="AH32" s="123">
        <v>33976</v>
      </c>
      <c r="AI32" s="124">
        <v>74</v>
      </c>
      <c r="AJ32" s="124">
        <v>37</v>
      </c>
      <c r="AK32" s="124">
        <v>24</v>
      </c>
      <c r="AL32" s="125">
        <f t="shared" si="1"/>
        <v>61</v>
      </c>
      <c r="AM32" s="124">
        <v>7</v>
      </c>
      <c r="AN32" s="124">
        <v>4</v>
      </c>
      <c r="AO32" s="126"/>
      <c r="AP32" s="126" t="s">
        <v>163</v>
      </c>
      <c r="AQ32" s="124">
        <v>192</v>
      </c>
      <c r="AR32" s="124">
        <v>90</v>
      </c>
      <c r="AS32" s="127" t="s">
        <v>477</v>
      </c>
      <c r="AT32" s="124">
        <v>2008</v>
      </c>
      <c r="AU32" s="128">
        <f t="shared" ca="1" si="19"/>
        <v>28</v>
      </c>
      <c r="AV32" s="128" t="str">
        <f t="shared" si="20"/>
        <v>192/90</v>
      </c>
      <c r="AW32" s="129" t="str">
        <f t="shared" ca="1" si="6"/>
        <v>Tichý</v>
      </c>
      <c r="AX32" s="130" t="str">
        <f t="shared" ca="1" si="23"/>
        <v>2 OZ, 3 (2+1), +1 ±</v>
      </c>
      <c r="AY32" s="130" t="str">
        <f t="shared" ca="1" si="22"/>
        <v>76 OZ, 64 (39+25)</v>
      </c>
      <c r="AZ32" s="131"/>
      <c r="BA32" s="131"/>
      <c r="BB32" s="131"/>
      <c r="BC32" s="131"/>
      <c r="BD32" s="3" t="str">
        <f t="shared" si="7"/>
        <v>Tichý</v>
      </c>
      <c r="BE32" s="85">
        <f t="shared" ca="1" si="8"/>
        <v>1</v>
      </c>
      <c r="BF32" s="62" t="str">
        <f t="shared" si="9"/>
        <v>M</v>
      </c>
      <c r="BG32" s="3" t="str">
        <f t="shared" ca="1" si="10"/>
        <v/>
      </c>
      <c r="BH32" s="62">
        <f t="shared" ca="1" si="11"/>
        <v>0</v>
      </c>
      <c r="BI32" s="3" t="str">
        <f t="shared" ca="1" si="12"/>
        <v/>
      </c>
      <c r="BJ32" s="62">
        <f t="shared" ca="1" si="11"/>
        <v>0</v>
      </c>
      <c r="BK32" s="3" t="str">
        <f t="shared" ca="1" si="13"/>
        <v/>
      </c>
      <c r="BL32" s="62">
        <f t="shared" ca="1" si="14"/>
        <v>0</v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 t="s">
        <v>785</v>
      </c>
      <c r="AH33" s="123">
        <v>37758</v>
      </c>
      <c r="AI33" s="124">
        <v>2</v>
      </c>
      <c r="AJ33" s="124">
        <v>0</v>
      </c>
      <c r="AK33" s="124">
        <v>0</v>
      </c>
      <c r="AL33" s="125">
        <f t="shared" si="1"/>
        <v>0</v>
      </c>
      <c r="AM33" s="124">
        <v>2</v>
      </c>
      <c r="AN33" s="124"/>
      <c r="AO33" s="126"/>
      <c r="AP33" s="126" t="s">
        <v>163</v>
      </c>
      <c r="AQ33" s="124">
        <v>187</v>
      </c>
      <c r="AR33" s="124">
        <v>76</v>
      </c>
      <c r="AS33" s="127" t="s">
        <v>798</v>
      </c>
      <c r="AT33" s="124">
        <v>2011</v>
      </c>
      <c r="AU33" s="128">
        <f t="shared" ca="1" si="19"/>
        <v>18</v>
      </c>
      <c r="AV33" s="128" t="str">
        <f t="shared" si="20"/>
        <v>187/76</v>
      </c>
      <c r="AW33" s="129" t="str">
        <f t="shared" ca="1" si="6"/>
        <v>Trčka</v>
      </c>
      <c r="AX33" s="130" t="str">
        <f t="shared" ca="1" si="23"/>
        <v>0 OZ, 0 (0+0)</v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AZ33" s="131"/>
      <c r="BA33" s="131"/>
      <c r="BB33" s="131"/>
      <c r="BC33" s="131"/>
      <c r="BD33" s="90" t="str">
        <f t="shared" si="7"/>
        <v>Trčka</v>
      </c>
      <c r="BE33" s="92">
        <f t="shared" ca="1" si="8"/>
        <v>1</v>
      </c>
      <c r="BF33" s="91" t="str">
        <f t="shared" si="9"/>
        <v>V</v>
      </c>
      <c r="BG33" s="90" t="str">
        <f t="shared" ca="1" si="10"/>
        <v/>
      </c>
      <c r="BH33" s="91">
        <f t="shared" ca="1" si="11"/>
        <v>0</v>
      </c>
      <c r="BI33" s="90" t="str">
        <f t="shared" ca="1" si="12"/>
        <v/>
      </c>
      <c r="BJ33" s="91">
        <f t="shared" ca="1" si="11"/>
        <v>0</v>
      </c>
      <c r="BK33" s="90" t="str">
        <f t="shared" ca="1" si="13"/>
        <v/>
      </c>
      <c r="BL33" s="91">
        <f t="shared" ca="1" si="14"/>
        <v>0</v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 t="s">
        <v>786</v>
      </c>
      <c r="AH34" s="123">
        <v>36722</v>
      </c>
      <c r="AI34" s="124">
        <v>7</v>
      </c>
      <c r="AJ34" s="124">
        <v>5</v>
      </c>
      <c r="AK34" s="124">
        <v>2</v>
      </c>
      <c r="AL34" s="125">
        <f t="shared" si="1"/>
        <v>7</v>
      </c>
      <c r="AM34" s="124">
        <v>2</v>
      </c>
      <c r="AN34" s="124"/>
      <c r="AO34" s="126"/>
      <c r="AP34" s="126" t="s">
        <v>163</v>
      </c>
      <c r="AQ34" s="124">
        <v>182</v>
      </c>
      <c r="AR34" s="124">
        <v>83</v>
      </c>
      <c r="AS34" s="127" t="s">
        <v>789</v>
      </c>
      <c r="AT34" s="124">
        <v>2013</v>
      </c>
      <c r="AU34" s="128">
        <f t="shared" ca="1" si="19"/>
        <v>21</v>
      </c>
      <c r="AV34" s="128" t="str">
        <f t="shared" si="20"/>
        <v>182/83</v>
      </c>
      <c r="AW34" s="129" t="str">
        <f t="shared" ca="1" si="6"/>
        <v>Vavruška</v>
      </c>
      <c r="AX34" s="130" t="str">
        <f t="shared" ca="1" si="23"/>
        <v>0 OZ, 0 (0+0)</v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7 OZ, 7 (5+2)</v>
      </c>
      <c r="AZ34" s="131"/>
      <c r="BA34" s="131"/>
      <c r="BB34" s="131"/>
      <c r="BC34" s="131"/>
      <c r="BD34" s="3" t="str">
        <f t="shared" si="7"/>
        <v>Vavruška</v>
      </c>
      <c r="BE34" s="85">
        <f t="shared" ca="1" si="8"/>
        <v>1</v>
      </c>
      <c r="BF34" s="62" t="str">
        <f t="shared" si="9"/>
        <v>V</v>
      </c>
      <c r="BG34" s="3" t="str">
        <f t="shared" ca="1" si="10"/>
        <v/>
      </c>
      <c r="BH34" s="62">
        <f t="shared" ca="1" si="11"/>
        <v>0</v>
      </c>
      <c r="BI34" s="3" t="str">
        <f t="shared" ca="1" si="12"/>
        <v/>
      </c>
      <c r="BJ34" s="62">
        <f t="shared" ca="1" si="11"/>
        <v>0</v>
      </c>
      <c r="BK34" s="3" t="str">
        <f t="shared" ca="1" si="13"/>
        <v/>
      </c>
      <c r="BL34" s="62">
        <f t="shared" ca="1" si="14"/>
        <v>0</v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 t="s">
        <v>759</v>
      </c>
      <c r="AH35" s="123">
        <v>35758</v>
      </c>
      <c r="AI35" s="124">
        <v>65</v>
      </c>
      <c r="AJ35" s="124">
        <v>8</v>
      </c>
      <c r="AK35" s="124">
        <v>9</v>
      </c>
      <c r="AL35" s="125">
        <f t="shared" si="1"/>
        <v>17</v>
      </c>
      <c r="AM35" s="124">
        <v>5</v>
      </c>
      <c r="AN35" s="124">
        <v>2</v>
      </c>
      <c r="AO35" s="126"/>
      <c r="AP35" s="126" t="s">
        <v>163</v>
      </c>
      <c r="AQ35" s="124">
        <v>185</v>
      </c>
      <c r="AR35" s="124">
        <v>75</v>
      </c>
      <c r="AS35" s="127" t="s">
        <v>799</v>
      </c>
      <c r="AT35" s="124" t="s">
        <v>262</v>
      </c>
      <c r="AU35" s="128">
        <f t="shared" ca="1" si="19"/>
        <v>23</v>
      </c>
      <c r="AV35" s="128" t="str">
        <f t="shared" si="20"/>
        <v>185/75</v>
      </c>
      <c r="AW35" s="129" t="str">
        <f t="shared" ca="1" si="6"/>
        <v>Vlček</v>
      </c>
      <c r="AX35" s="130" t="str">
        <f t="shared" ca="1" si="23"/>
        <v>2 OZ, 1 (1+0), -1 ±</v>
      </c>
      <c r="AY35" s="130" t="str">
        <f t="shared" ca="1" si="24"/>
        <v>67 OZ, 18 (9+9)</v>
      </c>
      <c r="AZ35" s="131"/>
      <c r="BA35" s="131"/>
      <c r="BB35" s="131"/>
      <c r="BC35" s="131"/>
      <c r="BD35" s="90" t="str">
        <f t="shared" si="7"/>
        <v>Vlček</v>
      </c>
      <c r="BE35" s="92">
        <f t="shared" ca="1" si="8"/>
        <v>1</v>
      </c>
      <c r="BF35" s="91" t="str">
        <f t="shared" si="9"/>
        <v>J</v>
      </c>
      <c r="BG35" s="90" t="str">
        <f t="shared" ca="1" si="10"/>
        <v/>
      </c>
      <c r="BH35" s="91">
        <f t="shared" ca="1" si="11"/>
        <v>0</v>
      </c>
      <c r="BI35" s="90" t="str">
        <f t="shared" ca="1" si="12"/>
        <v/>
      </c>
      <c r="BJ35" s="91">
        <f t="shared" ca="1" si="11"/>
        <v>0</v>
      </c>
      <c r="BK35" s="90" t="str">
        <f t="shared" ca="1" si="13"/>
        <v/>
      </c>
      <c r="BL35" s="91">
        <f t="shared" ca="1" si="14"/>
        <v>0</v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 t="s">
        <v>787</v>
      </c>
      <c r="AH36" s="123">
        <v>37245</v>
      </c>
      <c r="AI36" s="124">
        <v>4</v>
      </c>
      <c r="AJ36" s="124">
        <v>1</v>
      </c>
      <c r="AK36" s="124">
        <v>1</v>
      </c>
      <c r="AL36" s="125">
        <f t="shared" si="1"/>
        <v>2</v>
      </c>
      <c r="AM36" s="124">
        <v>2</v>
      </c>
      <c r="AN36" s="124">
        <v>80</v>
      </c>
      <c r="AO36" s="126"/>
      <c r="AP36" s="126" t="s">
        <v>163</v>
      </c>
      <c r="AQ36" s="124">
        <v>184</v>
      </c>
      <c r="AR36" s="124">
        <v>76</v>
      </c>
      <c r="AS36" s="127" t="s">
        <v>798</v>
      </c>
      <c r="AT36" s="124">
        <v>2011</v>
      </c>
      <c r="AU36" s="128">
        <f t="shared" ca="1" si="19"/>
        <v>19</v>
      </c>
      <c r="AV36" s="128" t="str">
        <f t="shared" si="20"/>
        <v>184/76</v>
      </c>
      <c r="AW36" s="129" t="str">
        <f t="shared" ca="1" si="6"/>
        <v>Vybíral</v>
      </c>
      <c r="AX36" s="130" t="str">
        <f t="shared" ca="1" si="23"/>
        <v>0 OZ, 0 (0+0)</v>
      </c>
      <c r="AY36" s="130" t="str">
        <f t="shared" ca="1" si="24"/>
        <v>4 OZ, 2 (1+1)</v>
      </c>
      <c r="AZ36" s="131"/>
      <c r="BA36" s="131"/>
      <c r="BB36" s="131"/>
      <c r="BC36" s="131"/>
      <c r="BD36" s="3" t="str">
        <f t="shared" si="7"/>
        <v>Vybíral</v>
      </c>
      <c r="BE36" s="85">
        <f t="shared" ca="1" si="8"/>
        <v>1</v>
      </c>
      <c r="BF36" s="62" t="str">
        <f t="shared" si="9"/>
        <v>F</v>
      </c>
      <c r="BG36" s="3" t="str">
        <f t="shared" ca="1" si="10"/>
        <v/>
      </c>
      <c r="BH36" s="62">
        <f t="shared" ca="1" si="11"/>
        <v>0</v>
      </c>
      <c r="BI36" s="3" t="str">
        <f t="shared" ca="1" si="12"/>
        <v/>
      </c>
      <c r="BJ36" s="62">
        <f t="shared" ca="1" si="11"/>
        <v>0</v>
      </c>
      <c r="BK36" s="3" t="str">
        <f t="shared" ca="1" si="13"/>
        <v/>
      </c>
      <c r="BL36" s="62">
        <f t="shared" ca="1" si="14"/>
        <v>0</v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758</v>
      </c>
      <c r="T45" s="103">
        <v>2</v>
      </c>
      <c r="U45" s="113">
        <v>118</v>
      </c>
      <c r="V45" s="103">
        <v>0</v>
      </c>
      <c r="W45" s="103">
        <v>15</v>
      </c>
      <c r="X45" s="103">
        <v>0</v>
      </c>
      <c r="Y45" s="103">
        <v>78</v>
      </c>
      <c r="Z45" s="103">
        <v>0</v>
      </c>
      <c r="AA45" s="103">
        <v>2</v>
      </c>
      <c r="AB45" s="103">
        <v>63</v>
      </c>
      <c r="AC45" s="103">
        <v>0</v>
      </c>
      <c r="AD45" s="103">
        <v>0</v>
      </c>
      <c r="AE45" s="113">
        <f>IF(S45&lt;&gt;"",IF(T45&gt;0,W45/(U45/60),0),"")</f>
        <v>7.6271186440677967</v>
      </c>
      <c r="AF45" s="113">
        <f>IF(S45&lt;&gt;"",IF(Y45&gt;0,(AB45/Y45)*100,"-"),"")</f>
        <v>80.769230769230774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767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845</v>
      </c>
      <c r="U2" s="103">
        <v>2</v>
      </c>
      <c r="V2" s="103">
        <v>1</v>
      </c>
      <c r="W2" s="103">
        <v>0</v>
      </c>
      <c r="X2" s="103">
        <v>0</v>
      </c>
      <c r="Y2" s="103">
        <v>3</v>
      </c>
      <c r="Z2" s="103">
        <v>4</v>
      </c>
      <c r="AA2" s="103">
        <v>0</v>
      </c>
      <c r="AB2" s="103">
        <v>-1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850</v>
      </c>
      <c r="AH2" s="123"/>
      <c r="AI2" s="124"/>
      <c r="AJ2" s="124"/>
      <c r="AK2" s="124"/>
      <c r="AL2" s="125">
        <f t="shared" ref="AL2:AL20" si="1"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t="shared" ref="AU2:AU23" ca="1" si="2">IF(AG2&lt;&gt;"",IF(AH2&lt;&gt;"",INT((TODAY()-AH2)/365),"?"),"")</f>
        <v>?</v>
      </c>
      <c r="AV2" s="128" t="str">
        <f t="shared" ref="AV2:AV23" si="3">IF(AG2&lt;&gt;"",CONCATENATE(IF(AQ2&lt;&gt;"",AQ2,"? "),"/",IF(AR2&lt;&gt;"",AR2," ?")),"")</f>
        <v>? / ?</v>
      </c>
      <c r="AW2" s="129" t="str">
        <f t="shared" ref="AW2:AW20" ca="1" si="4">IF(AG2&lt;&gt;"",IF(BE2=1,BD2,IF(BH2=1,BG2,IF(BJ2=1,BI2,IF(BL2=1,BK2,BM2)))),"")</f>
        <v>Bednář</v>
      </c>
      <c r="AX2" s="130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30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(0+0)</v>
      </c>
      <c r="AZ2" s="131"/>
      <c r="BA2" s="131"/>
      <c r="BB2" s="131"/>
      <c r="BC2" s="131"/>
      <c r="BD2" s="3" t="str">
        <f>IF(AG2&lt;&gt;"",RIGHT(AG2,LEN(AG2)-SEARCH(" ",AG2)),"")</f>
        <v>Bednář</v>
      </c>
      <c r="BE2" s="85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61" t="s">
        <v>36</v>
      </c>
      <c r="BT2" s="105" t="s">
        <v>867</v>
      </c>
      <c r="BU2" s="104">
        <v>4</v>
      </c>
      <c r="BV2" s="105" t="str">
        <f>IFERROR(RIGHT(BT2,LEN(BT2)-SEARCH(" ",BT2)),"")</f>
        <v>Lukáš Jalový</v>
      </c>
      <c r="BW2" s="103">
        <f>IF(BT2&lt;&gt;0,_xlfn.NUMBERVALUE(BU2,","),"")</f>
        <v>4</v>
      </c>
      <c r="BX2" s="360" t="s">
        <v>233</v>
      </c>
      <c r="BY2" s="104" t="s">
        <v>1087</v>
      </c>
      <c r="BZ2" s="104" t="s">
        <v>108</v>
      </c>
      <c r="CA2" s="116" t="s">
        <v>750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844</v>
      </c>
      <c r="T3" s="103" t="s">
        <v>133</v>
      </c>
      <c r="U3" s="103">
        <v>2</v>
      </c>
      <c r="V3" s="103">
        <v>2</v>
      </c>
      <c r="W3" s="103">
        <v>1</v>
      </c>
      <c r="X3" s="103">
        <v>0</v>
      </c>
      <c r="Y3" s="103">
        <v>0</v>
      </c>
      <c r="Z3" s="103">
        <v>2</v>
      </c>
      <c r="AA3" s="103">
        <v>0</v>
      </c>
      <c r="AB3" s="103">
        <v>-1</v>
      </c>
      <c r="AC3" s="103" t="str">
        <f t="shared" ca="1" si="0"/>
        <v>ANO</v>
      </c>
      <c r="AG3" s="122" t="s">
        <v>849</v>
      </c>
      <c r="AH3" s="123"/>
      <c r="AI3" s="124"/>
      <c r="AJ3" s="124"/>
      <c r="AK3" s="124"/>
      <c r="AL3" s="125">
        <f t="shared" si="1"/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t="shared" ca="1" si="2"/>
        <v>?</v>
      </c>
      <c r="AV3" s="128" t="str">
        <f t="shared" si="3"/>
        <v>? / ?</v>
      </c>
      <c r="AW3" s="129" t="str">
        <f t="shared" ca="1" si="4"/>
        <v>Brom</v>
      </c>
      <c r="AX3" s="130" t="str">
        <f t="shared" ca="1" si="5"/>
        <v>2 OZ, 2 (1+1), -2 ±</v>
      </c>
      <c r="AY3" s="130" t="str">
        <f t="shared" ca="1" si="6"/>
        <v>2 OZ, 2 (1+1)</v>
      </c>
      <c r="AZ3" s="131"/>
      <c r="BA3" s="131"/>
      <c r="BB3" s="131"/>
      <c r="BC3" s="131"/>
      <c r="BD3" s="90" t="str">
        <f t="shared" ref="BD3:BD50" si="7">IF(AG3&lt;&gt;"",RIGHT(AG3,LEN(AG3)-SEARCH(" ",AG3)),"")</f>
        <v>Brom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T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6">IF(BN3&lt;&gt;"",IF(BO3&lt;&gt;"",INT((TODAY()-BO3)/365),"?"),"")</f>
        <v/>
      </c>
      <c r="BS3" s="361"/>
      <c r="BT3" s="105" t="s">
        <v>1088</v>
      </c>
      <c r="BU3" s="104">
        <v>2</v>
      </c>
      <c r="BV3" s="105" t="str">
        <f t="shared" ref="BV3:BV31" si="17">IFERROR(RIGHT(BT3,LEN(BT3)-SEARCH(" ",BT3)),"")</f>
        <v>Marek Fuchs</v>
      </c>
      <c r="BW3" s="103">
        <f t="shared" ref="BW3:BW31" si="18">IF(BT3&lt;&gt;0,_xlfn.NUMBERVALUE(BU3,","),"")</f>
        <v>2</v>
      </c>
      <c r="BX3" s="360"/>
      <c r="BY3" s="104" t="s">
        <v>294</v>
      </c>
      <c r="BZ3" s="104" t="s">
        <v>101</v>
      </c>
      <c r="CA3" s="116" t="s">
        <v>868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849</v>
      </c>
      <c r="T4" s="103" t="s">
        <v>68</v>
      </c>
      <c r="U4" s="103">
        <v>2</v>
      </c>
      <c r="V4" s="103">
        <v>1</v>
      </c>
      <c r="W4" s="103">
        <v>0</v>
      </c>
      <c r="X4" s="103">
        <v>0</v>
      </c>
      <c r="Y4" s="103">
        <v>1</v>
      </c>
      <c r="Z4" s="103">
        <v>2</v>
      </c>
      <c r="AA4" s="103">
        <v>0</v>
      </c>
      <c r="AB4" s="103">
        <v>-2</v>
      </c>
      <c r="AC4" s="103" t="str">
        <f t="shared" ca="1" si="0"/>
        <v>ANO</v>
      </c>
      <c r="AG4" s="122" t="s">
        <v>855</v>
      </c>
      <c r="AH4" s="123"/>
      <c r="AI4" s="124"/>
      <c r="AJ4" s="124"/>
      <c r="AK4" s="124"/>
      <c r="AL4" s="125">
        <f t="shared" si="1"/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t="shared" ca="1" si="2"/>
        <v>?</v>
      </c>
      <c r="AV4" s="128" t="str">
        <f t="shared" si="3"/>
        <v>? / ?</v>
      </c>
      <c r="AW4" s="129" t="str">
        <f t="shared" ca="1" si="4"/>
        <v>Dvořák</v>
      </c>
      <c r="AX4" s="130" t="str">
        <f t="shared" ca="1" si="5"/>
        <v>2 OZ, 0 (0+0), 0 ±</v>
      </c>
      <c r="AY4" s="130" t="str">
        <f t="shared" ca="1" si="6"/>
        <v>2 OZ, 0 (0+0)</v>
      </c>
      <c r="AZ4" s="131"/>
      <c r="BA4" s="131"/>
      <c r="BB4" s="131"/>
      <c r="BC4" s="131"/>
      <c r="BD4" s="3" t="str">
        <f t="shared" si="7"/>
        <v>Dvořák</v>
      </c>
      <c r="BE4" s="85">
        <f t="shared" ca="1" si="8"/>
        <v>1</v>
      </c>
      <c r="BF4" s="62" t="str">
        <f t="shared" si="9"/>
        <v>D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/>
      <c r="BO4" s="123"/>
      <c r="BP4" s="132"/>
      <c r="BQ4" s="133"/>
      <c r="BR4" s="128" t="str">
        <f t="shared" ca="1" si="16"/>
        <v/>
      </c>
      <c r="BS4" s="361"/>
      <c r="BT4" s="105" t="s">
        <v>1089</v>
      </c>
      <c r="BU4" s="104">
        <v>2</v>
      </c>
      <c r="BV4" s="105" t="str">
        <f t="shared" si="17"/>
        <v>Tomáš Brom</v>
      </c>
      <c r="BW4" s="103">
        <f t="shared" si="18"/>
        <v>2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861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-1</v>
      </c>
      <c r="AC5" s="103" t="str">
        <f t="shared" ca="1" si="0"/>
        <v>ANO</v>
      </c>
      <c r="AG5" s="122" t="s">
        <v>844</v>
      </c>
      <c r="AH5" s="123"/>
      <c r="AI5" s="124"/>
      <c r="AJ5" s="124"/>
      <c r="AK5" s="124"/>
      <c r="AL5" s="125">
        <f t="shared" si="1"/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t="shared" ca="1" si="2"/>
        <v>?</v>
      </c>
      <c r="AV5" s="128" t="str">
        <f t="shared" si="3"/>
        <v>? / ?</v>
      </c>
      <c r="AW5" s="129" t="str">
        <f t="shared" ca="1" si="4"/>
        <v>Fuchs</v>
      </c>
      <c r="AX5" s="130" t="str">
        <f t="shared" ca="1" si="5"/>
        <v>2 OZ, 2 (2+0), -1 ±</v>
      </c>
      <c r="AY5" s="130" t="str">
        <f t="shared" ca="1" si="6"/>
        <v>2 OZ, 2 (2+0)</v>
      </c>
      <c r="AZ5" s="131"/>
      <c r="BA5" s="131"/>
      <c r="BB5" s="131"/>
      <c r="BC5" s="131"/>
      <c r="BD5" s="90" t="str">
        <f t="shared" si="7"/>
        <v>Fuchs</v>
      </c>
      <c r="BE5" s="92">
        <f t="shared" ca="1" si="8"/>
        <v>1</v>
      </c>
      <c r="BF5" s="91" t="str">
        <f t="shared" si="9"/>
        <v>M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/>
      <c r="BO5" s="123"/>
      <c r="BP5" s="132"/>
      <c r="BQ5" s="133"/>
      <c r="BR5" s="128" t="str">
        <f t="shared" ca="1" si="16"/>
        <v/>
      </c>
      <c r="BS5" s="361"/>
      <c r="BT5" s="105" t="s">
        <v>1090</v>
      </c>
      <c r="BU5" s="104">
        <v>2</v>
      </c>
      <c r="BV5" s="105" t="str">
        <f t="shared" si="17"/>
        <v>Šimon Hronek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859</v>
      </c>
      <c r="T6" s="103" t="s">
        <v>68</v>
      </c>
      <c r="U6" s="103">
        <v>2</v>
      </c>
      <c r="V6" s="103">
        <v>1</v>
      </c>
      <c r="W6" s="103">
        <v>0</v>
      </c>
      <c r="X6" s="103">
        <v>0</v>
      </c>
      <c r="Y6" s="103">
        <v>0</v>
      </c>
      <c r="Z6" s="103">
        <v>1</v>
      </c>
      <c r="AA6" s="103">
        <v>0</v>
      </c>
      <c r="AB6" s="103">
        <v>-2</v>
      </c>
      <c r="AC6" s="103" t="str">
        <f t="shared" ca="1" si="0"/>
        <v>ANO</v>
      </c>
      <c r="AG6" s="122" t="s">
        <v>583</v>
      </c>
      <c r="AH6" s="123"/>
      <c r="AI6" s="124"/>
      <c r="AJ6" s="124"/>
      <c r="AK6" s="124"/>
      <c r="AL6" s="125">
        <f t="shared" si="1"/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t="shared" ca="1" si="2"/>
        <v>?</v>
      </c>
      <c r="AV6" s="128" t="str">
        <f t="shared" si="3"/>
        <v>? / ?</v>
      </c>
      <c r="AW6" s="129" t="str">
        <f t="shared" ca="1" si="4"/>
        <v>Hronek M.</v>
      </c>
      <c r="AX6" s="130" t="str">
        <f t="shared" ca="1" si="5"/>
        <v>2 OZ, 0 (0+0), 0 ±</v>
      </c>
      <c r="AY6" s="130" t="str">
        <f t="shared" ca="1" si="6"/>
        <v>2 OZ, 0 (0+0)</v>
      </c>
      <c r="AZ6" s="131"/>
      <c r="BA6" s="131"/>
      <c r="BB6" s="131"/>
      <c r="BC6" s="131"/>
      <c r="BD6" s="3" t="str">
        <f t="shared" si="7"/>
        <v>Hronek</v>
      </c>
      <c r="BE6" s="85">
        <f t="shared" ca="1" si="8"/>
        <v>2</v>
      </c>
      <c r="BF6" s="62" t="str">
        <f t="shared" si="9"/>
        <v>M</v>
      </c>
      <c r="BG6" s="3" t="str">
        <f t="shared" ca="1" si="10"/>
        <v>Hronek M.</v>
      </c>
      <c r="BH6" s="62">
        <f t="shared" ca="1" si="11"/>
        <v>1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/>
      <c r="BO6" s="123"/>
      <c r="BP6" s="132"/>
      <c r="BQ6" s="133"/>
      <c r="BR6" s="128" t="str">
        <f t="shared" ca="1" si="16"/>
        <v/>
      </c>
      <c r="BS6" s="361"/>
      <c r="BT6" s="105" t="s">
        <v>1091</v>
      </c>
      <c r="BU6" s="104">
        <v>1</v>
      </c>
      <c r="BV6" s="105" t="str">
        <f t="shared" si="17"/>
        <v>Matěj Kostka</v>
      </c>
      <c r="BW6" s="103">
        <f t="shared" si="18"/>
        <v>1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858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4</v>
      </c>
      <c r="AB7" s="103">
        <v>0</v>
      </c>
      <c r="AC7" s="103" t="str">
        <f t="shared" ca="1" si="0"/>
        <v>ANO</v>
      </c>
      <c r="AG7" s="122" t="s">
        <v>861</v>
      </c>
      <c r="AH7" s="123"/>
      <c r="AI7" s="124"/>
      <c r="AJ7" s="124"/>
      <c r="AK7" s="124"/>
      <c r="AL7" s="125">
        <f t="shared" si="1"/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t="shared" ca="1" si="2"/>
        <v>?</v>
      </c>
      <c r="AV7" s="128" t="str">
        <f t="shared" si="3"/>
        <v>? / ?</v>
      </c>
      <c r="AW7" s="129" t="str">
        <f t="shared" ca="1" si="4"/>
        <v>Hronek Š.</v>
      </c>
      <c r="AX7" s="130" t="str">
        <f t="shared" ca="1" si="5"/>
        <v>2 OZ, 2 (1+1), -1 ±</v>
      </c>
      <c r="AY7" s="130" t="str">
        <f t="shared" ca="1" si="6"/>
        <v>2 OZ, 2 (1+1)</v>
      </c>
      <c r="AZ7" s="131"/>
      <c r="BA7" s="131"/>
      <c r="BB7" s="131"/>
      <c r="BC7" s="131"/>
      <c r="BD7" s="90" t="str">
        <f t="shared" si="7"/>
        <v>Hronek</v>
      </c>
      <c r="BE7" s="92">
        <f t="shared" ca="1" si="8"/>
        <v>2</v>
      </c>
      <c r="BF7" s="91" t="str">
        <f t="shared" si="9"/>
        <v>Š</v>
      </c>
      <c r="BG7" s="90" t="str">
        <f t="shared" ca="1" si="10"/>
        <v>Hronek Š.</v>
      </c>
      <c r="BH7" s="91">
        <f t="shared" ca="1" si="11"/>
        <v>1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864</v>
      </c>
      <c r="BU7" s="104" t="s">
        <v>215</v>
      </c>
      <c r="BV7" s="105" t="str">
        <f t="shared" si="17"/>
        <v>Filip Létal</v>
      </c>
      <c r="BW7" s="113">
        <f t="shared" si="18"/>
        <v>11</v>
      </c>
      <c r="BX7" s="360" t="s">
        <v>234</v>
      </c>
      <c r="BY7" s="104" t="s">
        <v>296</v>
      </c>
      <c r="BZ7" s="104" t="s">
        <v>100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107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1086</v>
      </c>
      <c r="U8" s="103">
        <v>1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 t="str">
        <f t="shared" ca="1" si="0"/>
        <v>NE</v>
      </c>
      <c r="AG8" s="122" t="s">
        <v>845</v>
      </c>
      <c r="AH8" s="123"/>
      <c r="AI8" s="124"/>
      <c r="AJ8" s="124"/>
      <c r="AK8" s="124"/>
      <c r="AL8" s="125">
        <f t="shared" si="1"/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t="shared" ca="1" si="2"/>
        <v>?</v>
      </c>
      <c r="AV8" s="128" t="str">
        <f t="shared" si="3"/>
        <v>? / ?</v>
      </c>
      <c r="AW8" s="129" t="str">
        <f t="shared" ca="1" si="4"/>
        <v>Jalový</v>
      </c>
      <c r="AX8" s="130" t="str">
        <f t="shared" ca="1" si="5"/>
        <v>2 OZ, 4 (1+3), -1 ±</v>
      </c>
      <c r="AY8" s="130" t="str">
        <f t="shared" ca="1" si="6"/>
        <v>2 OZ, 4 (1+3)</v>
      </c>
      <c r="AZ8" s="131"/>
      <c r="BA8" s="131"/>
      <c r="BB8" s="131"/>
      <c r="BC8" s="131"/>
      <c r="BD8" s="3" t="str">
        <f t="shared" si="7"/>
        <v>Jalový</v>
      </c>
      <c r="BE8" s="85">
        <f t="shared" ca="1" si="8"/>
        <v>1</v>
      </c>
      <c r="BF8" s="62" t="str">
        <f t="shared" si="9"/>
        <v>L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865</v>
      </c>
      <c r="BU8" s="104" t="s">
        <v>216</v>
      </c>
      <c r="BV8" s="105" t="str">
        <f t="shared" si="17"/>
        <v>Ondřej Kolajta</v>
      </c>
      <c r="BW8" s="113">
        <f t="shared" si="18"/>
        <v>0</v>
      </c>
      <c r="BX8" s="360"/>
      <c r="BY8" s="104" t="s">
        <v>228</v>
      </c>
      <c r="BZ8" s="104" t="s">
        <v>106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850</v>
      </c>
      <c r="T9" s="103" t="s">
        <v>133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854</v>
      </c>
      <c r="AH9" s="123"/>
      <c r="AI9" s="124"/>
      <c r="AJ9" s="124"/>
      <c r="AK9" s="124"/>
      <c r="AL9" s="125">
        <f t="shared" si="1"/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t="shared" ca="1" si="2"/>
        <v>?</v>
      </c>
      <c r="AV9" s="128" t="str">
        <f t="shared" si="3"/>
        <v>? / ?</v>
      </c>
      <c r="AW9" s="129" t="str">
        <f t="shared" ca="1" si="4"/>
        <v>Juhaňák</v>
      </c>
      <c r="AX9" s="130" t="str">
        <f t="shared" ca="1" si="5"/>
        <v>2 OZ, 0 (0+0), -2 ±</v>
      </c>
      <c r="AY9" s="130" t="str">
        <f t="shared" ca="1" si="6"/>
        <v>2 OZ, 0 (0+0)</v>
      </c>
      <c r="AZ9" s="131"/>
      <c r="BA9" s="131"/>
      <c r="BB9" s="131"/>
      <c r="BC9" s="131"/>
      <c r="BD9" s="90" t="str">
        <f t="shared" si="7"/>
        <v>Juhaňák</v>
      </c>
      <c r="BE9" s="92">
        <f t="shared" ca="1" si="8"/>
        <v>1</v>
      </c>
      <c r="BF9" s="91" t="str">
        <f t="shared" si="9"/>
        <v>J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297</v>
      </c>
      <c r="BZ9" s="104" t="s">
        <v>24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855</v>
      </c>
      <c r="T10" s="103" t="s">
        <v>133</v>
      </c>
      <c r="U10" s="103">
        <v>2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ANO</v>
      </c>
      <c r="AG10" s="122" t="s">
        <v>857</v>
      </c>
      <c r="AH10" s="123"/>
      <c r="AI10" s="124"/>
      <c r="AJ10" s="124"/>
      <c r="AK10" s="124"/>
      <c r="AL10" s="125">
        <f t="shared" si="1"/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t="shared" ca="1" si="2"/>
        <v>?</v>
      </c>
      <c r="AV10" s="128" t="str">
        <f t="shared" si="3"/>
        <v>? / ?</v>
      </c>
      <c r="AW10" s="129" t="str">
        <f t="shared" ca="1" si="4"/>
        <v>Kolajta</v>
      </c>
      <c r="AX10" s="130" t="str">
        <f t="shared" ca="1" si="5"/>
        <v>0 V, 0 P</v>
      </c>
      <c r="AY10" s="130" t="str">
        <f t="shared" ca="1" si="6"/>
        <v>0 OZ, 0 A</v>
      </c>
      <c r="AZ10" s="131"/>
      <c r="BA10" s="131"/>
      <c r="BB10" s="131"/>
      <c r="BC10" s="131"/>
      <c r="BD10" s="3" t="str">
        <f t="shared" si="7"/>
        <v>Kolajta</v>
      </c>
      <c r="BE10" s="85">
        <f t="shared" ca="1" si="8"/>
        <v>1</v>
      </c>
      <c r="BF10" s="62" t="str">
        <f t="shared" si="9"/>
        <v>O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104</v>
      </c>
      <c r="CA10" s="116" t="s">
        <v>226</v>
      </c>
    </row>
    <row r="11" spans="1:79" ht="15" customHeight="1" thickTop="1" thickBot="1" x14ac:dyDescent="0.25">
      <c r="R11" s="13"/>
      <c r="S11" s="111" t="s">
        <v>851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-1</v>
      </c>
      <c r="AC11" s="103" t="str">
        <f t="shared" ca="1" si="0"/>
        <v>ANO</v>
      </c>
      <c r="AG11" s="122" t="s">
        <v>859</v>
      </c>
      <c r="AH11" s="123"/>
      <c r="AI11" s="124"/>
      <c r="AJ11" s="124"/>
      <c r="AK11" s="124"/>
      <c r="AL11" s="125">
        <f t="shared" si="1"/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t="shared" ca="1" si="2"/>
        <v>?</v>
      </c>
      <c r="AV11" s="128" t="str">
        <f t="shared" si="3"/>
        <v>? / ?</v>
      </c>
      <c r="AW11" s="129" t="str">
        <f t="shared" ca="1" si="4"/>
        <v>Kostka</v>
      </c>
      <c r="AX11" s="130" t="str">
        <f t="shared" ca="1" si="5"/>
        <v>2 OZ, 1 (1+0), -2 ±</v>
      </c>
      <c r="AY11" s="130" t="str">
        <f t="shared" ca="1" si="6"/>
        <v>2 OZ, 1 (1+0)</v>
      </c>
      <c r="AZ11" s="131"/>
      <c r="BA11" s="131"/>
      <c r="BB11" s="131"/>
      <c r="BC11" s="131"/>
      <c r="BD11" s="90" t="str">
        <f t="shared" si="7"/>
        <v>Kostka</v>
      </c>
      <c r="BE11" s="92">
        <f t="shared" ca="1" si="8"/>
        <v>1</v>
      </c>
      <c r="BF11" s="91" t="str">
        <f t="shared" si="9"/>
        <v>M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23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846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851</v>
      </c>
      <c r="AH12" s="123"/>
      <c r="AI12" s="124"/>
      <c r="AJ12" s="124"/>
      <c r="AK12" s="124"/>
      <c r="AL12" s="125">
        <f t="shared" si="1"/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t="shared" ca="1" si="2"/>
        <v>?</v>
      </c>
      <c r="AV12" s="128" t="str">
        <f t="shared" si="3"/>
        <v>? / ?</v>
      </c>
      <c r="AW12" s="129" t="str">
        <f t="shared" ca="1" si="4"/>
        <v>Kučera</v>
      </c>
      <c r="AX12" s="130" t="str">
        <f t="shared" ca="1" si="5"/>
        <v>2 OZ, 0 (0+0), -1 ±</v>
      </c>
      <c r="AY12" s="130" t="str">
        <f t="shared" ca="1" si="6"/>
        <v>2 OZ, 0 (0+0)</v>
      </c>
      <c r="AZ12" s="131"/>
      <c r="BA12" s="131"/>
      <c r="BB12" s="131"/>
      <c r="BC12" s="131"/>
      <c r="BD12" s="3" t="str">
        <f t="shared" si="7"/>
        <v>Kučera</v>
      </c>
      <c r="BE12" s="85">
        <f t="shared" ca="1" si="8"/>
        <v>1</v>
      </c>
      <c r="BF12" s="62" t="str">
        <f t="shared" si="9"/>
        <v>L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862</v>
      </c>
      <c r="BU12" s="104">
        <v>2</v>
      </c>
      <c r="BV12" s="105" t="str">
        <f t="shared" si="17"/>
        <v>Marek Fuchs</v>
      </c>
      <c r="BW12" s="103">
        <f t="shared" si="18"/>
        <v>2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860</v>
      </c>
      <c r="T13" s="103" t="s">
        <v>68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2</v>
      </c>
      <c r="AB13" s="103">
        <v>-1</v>
      </c>
      <c r="AC13" s="103" t="str">
        <f t="shared" ca="1" si="0"/>
        <v>ANO</v>
      </c>
      <c r="AG13" s="122" t="s">
        <v>856</v>
      </c>
      <c r="AH13" s="123"/>
      <c r="AI13" s="124"/>
      <c r="AJ13" s="124"/>
      <c r="AK13" s="124"/>
      <c r="AL13" s="125">
        <f t="shared" si="1"/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t="shared" ca="1" si="2"/>
        <v>?</v>
      </c>
      <c r="AV13" s="128" t="str">
        <f t="shared" si="3"/>
        <v>? / ?</v>
      </c>
      <c r="AW13" s="129" t="str">
        <f t="shared" ca="1" si="4"/>
        <v>Kůra</v>
      </c>
      <c r="AX13" s="130" t="str">
        <f t="shared" ca="1" si="5"/>
        <v>2 OZ, 0 (0+0), -1 ±</v>
      </c>
      <c r="AY13" s="130" t="str">
        <f t="shared" ca="1" si="6"/>
        <v>2 OZ, 0 (0+0)</v>
      </c>
      <c r="AZ13" s="131"/>
      <c r="BA13" s="131"/>
      <c r="BB13" s="131"/>
      <c r="BC13" s="131"/>
      <c r="BD13" s="90" t="str">
        <f t="shared" si="7"/>
        <v>Kůra</v>
      </c>
      <c r="BE13" s="92">
        <f t="shared" ca="1" si="8"/>
        <v>1</v>
      </c>
      <c r="BF13" s="91" t="str">
        <f t="shared" si="9"/>
        <v>J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863</v>
      </c>
      <c r="BU13" s="104">
        <v>1</v>
      </c>
      <c r="BV13" s="105" t="str">
        <f t="shared" si="17"/>
        <v>Lukáš Jalový</v>
      </c>
      <c r="BW13" s="103">
        <f t="shared" si="18"/>
        <v>1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857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846</v>
      </c>
      <c r="AH14" s="123"/>
      <c r="AI14" s="124"/>
      <c r="AJ14" s="124"/>
      <c r="AK14" s="124"/>
      <c r="AL14" s="125">
        <f t="shared" si="1"/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t="shared" ca="1" si="2"/>
        <v>?</v>
      </c>
      <c r="AV14" s="128" t="str">
        <f t="shared" si="3"/>
        <v>? / ?</v>
      </c>
      <c r="AW14" s="129" t="str">
        <f t="shared" ca="1" si="4"/>
        <v>Létal</v>
      </c>
      <c r="AX14" s="130" t="str">
        <f t="shared" ca="1" si="5"/>
        <v>0 V, 2 P</v>
      </c>
      <c r="AY14" s="130" t="str">
        <f t="shared" ca="1" si="6"/>
        <v>2 OZ, 0 A</v>
      </c>
      <c r="AZ14" s="131"/>
      <c r="BA14" s="131"/>
      <c r="BB14" s="131"/>
      <c r="BC14" s="131"/>
      <c r="BD14" s="3" t="str">
        <f t="shared" si="7"/>
        <v>Létal</v>
      </c>
      <c r="BE14" s="85">
        <f t="shared" ca="1" si="8"/>
        <v>1</v>
      </c>
      <c r="BF14" s="62" t="str">
        <f t="shared" si="9"/>
        <v>F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1092</v>
      </c>
      <c r="BU14" s="104">
        <v>1</v>
      </c>
      <c r="BV14" s="105" t="str">
        <f t="shared" si="17"/>
        <v>Matěj Kostka</v>
      </c>
      <c r="BW14" s="103">
        <f t="shared" si="18"/>
        <v>1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848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-1</v>
      </c>
      <c r="AC15" s="103" t="str">
        <f t="shared" ca="1" si="0"/>
        <v>ANO</v>
      </c>
      <c r="AG15" s="122" t="s">
        <v>848</v>
      </c>
      <c r="AH15" s="123"/>
      <c r="AI15" s="124"/>
      <c r="AJ15" s="124"/>
      <c r="AK15" s="124"/>
      <c r="AL15" s="125">
        <f t="shared" si="1"/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t="shared" ca="1" si="2"/>
        <v>?</v>
      </c>
      <c r="AV15" s="128" t="str">
        <f t="shared" si="3"/>
        <v>? / ?</v>
      </c>
      <c r="AW15" s="129" t="str">
        <f t="shared" ca="1" si="4"/>
        <v>Lhota</v>
      </c>
      <c r="AX15" s="130" t="str">
        <f t="shared" ca="1" si="5"/>
        <v>2 OZ, 0 (0+0), -1 ±</v>
      </c>
      <c r="AY15" s="130" t="str">
        <f t="shared" ca="1" si="6"/>
        <v>2 OZ, 0 (0+0)</v>
      </c>
      <c r="AZ15" s="131"/>
      <c r="BA15" s="131"/>
      <c r="BB15" s="131"/>
      <c r="BC15" s="131"/>
      <c r="BD15" s="90" t="str">
        <f t="shared" si="7"/>
        <v>Lhota</v>
      </c>
      <c r="BE15" s="92">
        <f t="shared" ca="1" si="8"/>
        <v>1</v>
      </c>
      <c r="BF15" s="91" t="str">
        <f t="shared" si="9"/>
        <v>L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1093</v>
      </c>
      <c r="BU15" s="104">
        <v>1</v>
      </c>
      <c r="BV15" s="105" t="str">
        <f t="shared" si="17"/>
        <v>Tomáš Brom</v>
      </c>
      <c r="BW15" s="103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856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2</v>
      </c>
      <c r="AB16" s="103">
        <v>-1</v>
      </c>
      <c r="AC16" s="103" t="str">
        <f t="shared" ca="1" si="0"/>
        <v>ANO</v>
      </c>
      <c r="AG16" s="122" t="s">
        <v>853</v>
      </c>
      <c r="AH16" s="123"/>
      <c r="AI16" s="124"/>
      <c r="AJ16" s="124"/>
      <c r="AK16" s="124"/>
      <c r="AL16" s="125">
        <f t="shared" si="1"/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t="shared" ca="1" si="2"/>
        <v>?</v>
      </c>
      <c r="AV16" s="128" t="str">
        <f t="shared" si="3"/>
        <v>? / ?</v>
      </c>
      <c r="AW16" s="129" t="str">
        <f t="shared" ca="1" si="4"/>
        <v>Procházka</v>
      </c>
      <c r="AX16" s="130" t="str">
        <f t="shared" ca="1" si="5"/>
        <v>2 OZ, 0 (0+0), -1 ±</v>
      </c>
      <c r="AY16" s="130" t="str">
        <f t="shared" ca="1" si="6"/>
        <v>2 OZ, 0 (0+0)</v>
      </c>
      <c r="AZ16" s="131"/>
      <c r="BA16" s="131"/>
      <c r="BB16" s="131"/>
      <c r="BC16" s="131"/>
      <c r="BD16" s="3" t="str">
        <f t="shared" si="7"/>
        <v>Procházka</v>
      </c>
      <c r="BE16" s="85">
        <f t="shared" ca="1" si="8"/>
        <v>1</v>
      </c>
      <c r="BF16" s="62" t="str">
        <f t="shared" si="9"/>
        <v>J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1094</v>
      </c>
      <c r="BU16" s="104">
        <v>1</v>
      </c>
      <c r="BV16" s="105" t="str">
        <f t="shared" si="17"/>
        <v>Šimon Hronek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852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-1</v>
      </c>
      <c r="AC17" s="103" t="str">
        <f t="shared" ca="1" si="0"/>
        <v>ANO</v>
      </c>
      <c r="AG17" s="122" t="s">
        <v>860</v>
      </c>
      <c r="AH17" s="123"/>
      <c r="AI17" s="124"/>
      <c r="AJ17" s="124"/>
      <c r="AK17" s="124"/>
      <c r="AL17" s="125">
        <f t="shared" si="1"/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t="shared" ca="1" si="2"/>
        <v>?</v>
      </c>
      <c r="AV17" s="128" t="str">
        <f t="shared" si="3"/>
        <v>? / ?</v>
      </c>
      <c r="AW17" s="129" t="str">
        <f t="shared" ca="1" si="4"/>
        <v>Sládeček</v>
      </c>
      <c r="AX17" s="130" t="str">
        <f t="shared" ca="1" si="5"/>
        <v>2 OZ, 0 (0+0), -1 ±</v>
      </c>
      <c r="AY17" s="130" t="str">
        <f t="shared" ca="1" si="6"/>
        <v>2 OZ, 0 (0+0)</v>
      </c>
      <c r="AZ17" s="131"/>
      <c r="BA17" s="131"/>
      <c r="BB17" s="131"/>
      <c r="BC17" s="131"/>
      <c r="BD17" s="90" t="str">
        <f t="shared" si="7"/>
        <v>Sládeček</v>
      </c>
      <c r="BE17" s="92">
        <f t="shared" ca="1" si="8"/>
        <v>1</v>
      </c>
      <c r="BF17" s="91" t="str">
        <f t="shared" si="9"/>
        <v>D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864</v>
      </c>
      <c r="BU17" s="104">
        <v>0</v>
      </c>
      <c r="BV17" s="105" t="str">
        <f t="shared" si="17"/>
        <v>Filip Létal</v>
      </c>
      <c r="BW17" s="103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847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858</v>
      </c>
      <c r="AH18" s="123"/>
      <c r="AI18" s="124"/>
      <c r="AJ18" s="124"/>
      <c r="AK18" s="124"/>
      <c r="AL18" s="125">
        <f t="shared" si="1"/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t="shared" ca="1" si="2"/>
        <v>?</v>
      </c>
      <c r="AV18" s="128" t="str">
        <f t="shared" si="3"/>
        <v>? / ?</v>
      </c>
      <c r="AW18" s="129" t="str">
        <f t="shared" ca="1" si="4"/>
        <v>Slezák</v>
      </c>
      <c r="AX18" s="130" t="str">
        <f t="shared" ca="1" si="5"/>
        <v>2 OZ, 1 (0+1), 0 ±</v>
      </c>
      <c r="AY18" s="130" t="str">
        <f t="shared" ca="1" si="6"/>
        <v>2 OZ, 1 (0+1)</v>
      </c>
      <c r="AZ18" s="131"/>
      <c r="BA18" s="131"/>
      <c r="BB18" s="131"/>
      <c r="BC18" s="131"/>
      <c r="BD18" s="3" t="str">
        <f t="shared" si="7"/>
        <v>Slezák</v>
      </c>
      <c r="BE18" s="85">
        <f t="shared" ca="1" si="8"/>
        <v>1</v>
      </c>
      <c r="BF18" s="62" t="str">
        <f t="shared" si="9"/>
        <v>R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865</v>
      </c>
      <c r="BU18" s="104">
        <v>0</v>
      </c>
      <c r="BV18" s="105" t="str">
        <f t="shared" si="17"/>
        <v>Ondřej Kolajta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HAT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854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-2</v>
      </c>
      <c r="AC19" s="103" t="str">
        <f t="shared" ca="1" si="0"/>
        <v>ANO</v>
      </c>
      <c r="AG19" s="122" t="s">
        <v>852</v>
      </c>
      <c r="AH19" s="123"/>
      <c r="AI19" s="124"/>
      <c r="AJ19" s="124"/>
      <c r="AK19" s="124"/>
      <c r="AL19" s="125">
        <f t="shared" si="1"/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4"/>
        <v>Suk</v>
      </c>
      <c r="AX19" s="130" t="str">
        <f t="shared" ca="1" si="5"/>
        <v>2 OZ, 0 (0+0), -1 ±</v>
      </c>
      <c r="AY19" s="130" t="str">
        <f t="shared" ca="1" si="6"/>
        <v>2 OZ, 0 (0+0)</v>
      </c>
      <c r="AZ19" s="131"/>
      <c r="BA19" s="131"/>
      <c r="BB19" s="131"/>
      <c r="BC19" s="131"/>
      <c r="BD19" s="90" t="str">
        <f t="shared" si="7"/>
        <v>Suk</v>
      </c>
      <c r="BE19" s="92">
        <f t="shared" ca="1" si="8"/>
        <v>1</v>
      </c>
      <c r="BF19" s="91" t="str">
        <f t="shared" si="9"/>
        <v>L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583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0</v>
      </c>
      <c r="AC20" s="103" t="str">
        <f t="shared" ca="1" si="0"/>
        <v>ANO</v>
      </c>
      <c r="AG20" s="122" t="s">
        <v>847</v>
      </c>
      <c r="AH20" s="123"/>
      <c r="AI20" s="124"/>
      <c r="AJ20" s="124"/>
      <c r="AK20" s="124"/>
      <c r="AL20" s="125">
        <f t="shared" si="1"/>
        <v>0</v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ca="1" si="2"/>
        <v>?</v>
      </c>
      <c r="AV20" s="128" t="str">
        <f t="shared" si="3"/>
        <v>? / ?</v>
      </c>
      <c r="AW20" s="129" t="str">
        <f t="shared" ca="1" si="4"/>
        <v>Vlach</v>
      </c>
      <c r="AX20" s="130" t="str">
        <f t="shared" ca="1" si="5"/>
        <v>2 OZ, 0 (0+0), -1 ±</v>
      </c>
      <c r="AY20" s="130" t="str">
        <f t="shared" ca="1" si="6"/>
        <v>2 OZ, 0 (0+0)</v>
      </c>
      <c r="AZ20" s="131"/>
      <c r="BA20" s="131"/>
      <c r="BB20" s="131"/>
      <c r="BC20" s="131"/>
      <c r="BD20" s="3" t="str">
        <f t="shared" si="7"/>
        <v>Vlach</v>
      </c>
      <c r="BE20" s="85">
        <f t="shared" ca="1" si="8"/>
        <v>1</v>
      </c>
      <c r="BF20" s="62" t="str">
        <f t="shared" si="9"/>
        <v>L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853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-1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ref="AL21:AL50" si="19">IF(AG21&lt;&gt;"",AJ21+AK21,"")</f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2"/>
        <v/>
      </c>
      <c r="AV21" s="128" t="str">
        <f t="shared" si="3"/>
        <v/>
      </c>
      <c r="AW21" s="129" t="str">
        <f t="shared" ref="AW21:AW50" si="20">IF(AG21&lt;&gt;"",IF(BE21=1,BD21,IF(BH21=1,BG21,IF(BJ21=1,BI21,IF(BL21=1,BK21,BM21)))),"")</f>
        <v/>
      </c>
      <c r="AX21" s="130" t="str">
        <f t="shared" ca="1" si="5"/>
        <v/>
      </c>
      <c r="AY21" s="130" t="str">
        <f t="shared" ca="1" si="6"/>
        <v/>
      </c>
      <c r="AZ21" s="131"/>
      <c r="BA21" s="131"/>
      <c r="BB21" s="131"/>
      <c r="BC21" s="131"/>
      <c r="BD21" s="90" t="str">
        <f t="shared" si="7"/>
        <v/>
      </c>
      <c r="BE21" s="92" t="str">
        <f t="shared" ca="1" si="8"/>
        <v/>
      </c>
      <c r="BF21" s="91" t="str">
        <f t="shared" si="9"/>
        <v/>
      </c>
      <c r="BG21" s="90" t="str">
        <f t="shared" ca="1" si="10"/>
        <v/>
      </c>
      <c r="BH21" s="91" t="str">
        <f t="shared" ca="1" si="11"/>
        <v/>
      </c>
      <c r="BI21" s="90" t="str">
        <f t="shared" ca="1" si="12"/>
        <v/>
      </c>
      <c r="BJ21" s="91" t="str">
        <f t="shared" ca="1" si="11"/>
        <v/>
      </c>
      <c r="BK21" s="90" t="str">
        <f t="shared" ca="1" si="13"/>
        <v/>
      </c>
      <c r="BL21" s="91" t="str">
        <f t="shared" ca="1" si="14"/>
        <v/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/>
      <c r="AH22" s="123"/>
      <c r="AI22" s="124"/>
      <c r="AJ22" s="124"/>
      <c r="AK22" s="124"/>
      <c r="AL22" s="125" t="str">
        <f t="shared" si="19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2"/>
        <v/>
      </c>
      <c r="AV22" s="128" t="str">
        <f t="shared" si="3"/>
        <v/>
      </c>
      <c r="AW22" s="129" t="str">
        <f t="shared" si="20"/>
        <v/>
      </c>
      <c r="AX22" s="130" t="str">
        <f t="shared" ca="1" si="5"/>
        <v/>
      </c>
      <c r="AY22" s="130" t="str">
        <f t="shared" ca="1" si="6"/>
        <v/>
      </c>
      <c r="AZ22" s="131"/>
      <c r="BA22" s="131"/>
      <c r="BB22" s="131"/>
      <c r="BC22" s="131"/>
      <c r="BD22" s="3" t="str">
        <f t="shared" si="7"/>
        <v/>
      </c>
      <c r="BE22" s="85" t="str">
        <f t="shared" ca="1" si="8"/>
        <v/>
      </c>
      <c r="BF22" s="62" t="str">
        <f t="shared" si="9"/>
        <v/>
      </c>
      <c r="BG22" s="3" t="str">
        <f t="shared" ca="1" si="10"/>
        <v/>
      </c>
      <c r="BH22" s="62" t="str">
        <f t="shared" ca="1" si="11"/>
        <v/>
      </c>
      <c r="BI22" s="3" t="str">
        <f t="shared" ca="1" si="12"/>
        <v/>
      </c>
      <c r="BJ22" s="62" t="str">
        <f t="shared" ca="1" si="11"/>
        <v/>
      </c>
      <c r="BK22" s="3" t="str">
        <f t="shared" ca="1" si="13"/>
        <v/>
      </c>
      <c r="BL22" s="62" t="str">
        <f t="shared" ca="1" si="14"/>
        <v/>
      </c>
      <c r="BM22" s="3" t="str">
        <f t="shared" ca="1" si="15"/>
        <v/>
      </c>
      <c r="BS22" s="361" t="s">
        <v>38</v>
      </c>
      <c r="BT22" s="105" t="s">
        <v>867</v>
      </c>
      <c r="BU22" s="104">
        <v>3</v>
      </c>
      <c r="BV22" s="105" t="str">
        <f t="shared" si="17"/>
        <v>Lukáš Jalový</v>
      </c>
      <c r="BW22" s="103">
        <f t="shared" si="18"/>
        <v>3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/>
      <c r="AH23" s="123"/>
      <c r="AI23" s="124"/>
      <c r="AJ23" s="124"/>
      <c r="AK23" s="124"/>
      <c r="AL23" s="125" t="str">
        <f t="shared" si="19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2"/>
        <v/>
      </c>
      <c r="AV23" s="128" t="str">
        <f t="shared" si="3"/>
        <v/>
      </c>
      <c r="AW23" s="129" t="str">
        <f t="shared" si="20"/>
        <v/>
      </c>
      <c r="AX23" s="130" t="str">
        <f t="shared" ca="1" si="5"/>
        <v/>
      </c>
      <c r="AY23" s="130" t="str">
        <f t="shared" ca="1" si="6"/>
        <v/>
      </c>
      <c r="AZ23" s="131"/>
      <c r="BA23" s="131"/>
      <c r="BB23" s="131"/>
      <c r="BC23" s="131"/>
      <c r="BD23" s="90" t="str">
        <f t="shared" si="7"/>
        <v/>
      </c>
      <c r="BE23" s="92" t="str">
        <f t="shared" ca="1" si="8"/>
        <v/>
      </c>
      <c r="BF23" s="91" t="str">
        <f t="shared" si="9"/>
        <v/>
      </c>
      <c r="BG23" s="90" t="str">
        <f t="shared" ca="1" si="10"/>
        <v/>
      </c>
      <c r="BH23" s="91" t="str">
        <f t="shared" ca="1" si="11"/>
        <v/>
      </c>
      <c r="BI23" s="90" t="str">
        <f t="shared" ca="1" si="12"/>
        <v/>
      </c>
      <c r="BJ23" s="91" t="str">
        <f t="shared" ca="1" si="11"/>
        <v/>
      </c>
      <c r="BK23" s="90" t="str">
        <f t="shared" ca="1" si="13"/>
        <v/>
      </c>
      <c r="BL23" s="91" t="str">
        <f t="shared" ca="1" si="14"/>
        <v/>
      </c>
      <c r="BM23" s="90" t="str">
        <f t="shared" ca="1" si="15"/>
        <v/>
      </c>
      <c r="BS23" s="361"/>
      <c r="BT23" s="105" t="s">
        <v>1095</v>
      </c>
      <c r="BU23" s="104">
        <v>1</v>
      </c>
      <c r="BV23" s="105" t="str">
        <f t="shared" si="17"/>
        <v>René Slezák</v>
      </c>
      <c r="BW23" s="103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9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21">IF(AG24&lt;&gt;"",IF(AH24&lt;&gt;"",INT((TODAY()-AH24)/365),"?"),"")</f>
        <v/>
      </c>
      <c r="AV24" s="128" t="str">
        <f t="shared" ref="AV24:AV50" si="22">IF(AG24&lt;&gt;"",CONCATENATE(IF(AQ24&lt;&gt;"",AQ24,"? "),"/",IF(AR24&lt;&gt;"",AR24," ?")),"")</f>
        <v/>
      </c>
      <c r="AW24" s="129" t="str">
        <f t="shared" si="20"/>
        <v/>
      </c>
      <c r="AX24" s="130" t="str">
        <f t="shared" ref="AX24:AX27" ca="1" si="23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4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7"/>
        <v/>
      </c>
      <c r="BE24" s="85" t="str">
        <f t="shared" ca="1" si="8"/>
        <v/>
      </c>
      <c r="BF24" s="62" t="str">
        <f t="shared" si="9"/>
        <v/>
      </c>
      <c r="BG24" s="3" t="str">
        <f t="shared" ca="1" si="10"/>
        <v/>
      </c>
      <c r="BH24" s="62" t="str">
        <f t="shared" ca="1" si="11"/>
        <v/>
      </c>
      <c r="BI24" s="3" t="str">
        <f t="shared" ca="1" si="12"/>
        <v/>
      </c>
      <c r="BJ24" s="62" t="str">
        <f t="shared" ca="1" si="11"/>
        <v/>
      </c>
      <c r="BK24" s="3" t="str">
        <f t="shared" ca="1" si="13"/>
        <v/>
      </c>
      <c r="BL24" s="62" t="str">
        <f t="shared" ca="1" si="14"/>
        <v/>
      </c>
      <c r="BM24" s="3" t="str">
        <f t="shared" ca="1" si="15"/>
        <v/>
      </c>
      <c r="BS24" s="361"/>
      <c r="BT24" s="105" t="s">
        <v>1089</v>
      </c>
      <c r="BU24" s="104">
        <v>1</v>
      </c>
      <c r="BV24" s="105" t="str">
        <f t="shared" si="17"/>
        <v>Tomáš Brom</v>
      </c>
      <c r="BW24" s="103">
        <f t="shared" si="18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9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21"/>
        <v/>
      </c>
      <c r="AV25" s="128" t="str">
        <f t="shared" si="22"/>
        <v/>
      </c>
      <c r="AW25" s="129" t="str">
        <f t="shared" si="20"/>
        <v/>
      </c>
      <c r="AX25" s="130" t="str">
        <f t="shared" ca="1" si="23"/>
        <v/>
      </c>
      <c r="AY25" s="130" t="str">
        <f t="shared" ca="1" si="24"/>
        <v/>
      </c>
      <c r="AZ25" s="131"/>
      <c r="BA25" s="131"/>
      <c r="BB25" s="131"/>
      <c r="BC25" s="131"/>
      <c r="BD25" s="90" t="str">
        <f t="shared" si="7"/>
        <v/>
      </c>
      <c r="BE25" s="92" t="str">
        <f t="shared" ca="1" si="8"/>
        <v/>
      </c>
      <c r="BF25" s="91" t="str">
        <f t="shared" si="9"/>
        <v/>
      </c>
      <c r="BG25" s="90" t="str">
        <f t="shared" ca="1" si="10"/>
        <v/>
      </c>
      <c r="BH25" s="91" t="str">
        <f t="shared" ca="1" si="11"/>
        <v/>
      </c>
      <c r="BI25" s="90" t="str">
        <f t="shared" ca="1" si="12"/>
        <v/>
      </c>
      <c r="BJ25" s="91" t="str">
        <f t="shared" ca="1" si="11"/>
        <v/>
      </c>
      <c r="BK25" s="90" t="str">
        <f t="shared" ca="1" si="13"/>
        <v/>
      </c>
      <c r="BL25" s="91" t="str">
        <f t="shared" ca="1" si="14"/>
        <v/>
      </c>
      <c r="BM25" s="90" t="str">
        <f t="shared" ca="1" si="15"/>
        <v/>
      </c>
      <c r="BS25" s="361"/>
      <c r="BT25" s="105" t="s">
        <v>1090</v>
      </c>
      <c r="BU25" s="104">
        <v>1</v>
      </c>
      <c r="BV25" s="105" t="str">
        <f t="shared" si="17"/>
        <v>Šimon Hronek</v>
      </c>
      <c r="BW25" s="103">
        <f t="shared" si="18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9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21"/>
        <v/>
      </c>
      <c r="AV26" s="128" t="str">
        <f t="shared" si="22"/>
        <v/>
      </c>
      <c r="AW26" s="129" t="str">
        <f t="shared" si="20"/>
        <v/>
      </c>
      <c r="AX26" s="130" t="str">
        <f t="shared" ca="1" si="23"/>
        <v/>
      </c>
      <c r="AY26" s="130" t="str">
        <f t="shared" ca="1" si="24"/>
        <v/>
      </c>
      <c r="AZ26" s="131"/>
      <c r="BA26" s="131"/>
      <c r="BB26" s="131"/>
      <c r="BC26" s="131"/>
      <c r="BD26" s="3" t="str">
        <f t="shared" si="7"/>
        <v/>
      </c>
      <c r="BE26" s="85" t="str">
        <f t="shared" ca="1" si="8"/>
        <v/>
      </c>
      <c r="BF26" s="62" t="str">
        <f t="shared" si="9"/>
        <v/>
      </c>
      <c r="BG26" s="3" t="str">
        <f t="shared" ca="1" si="10"/>
        <v/>
      </c>
      <c r="BH26" s="62" t="str">
        <f t="shared" ca="1" si="11"/>
        <v/>
      </c>
      <c r="BI26" s="3" t="str">
        <f t="shared" ca="1" si="12"/>
        <v/>
      </c>
      <c r="BJ26" s="62" t="str">
        <f t="shared" ca="1" si="11"/>
        <v/>
      </c>
      <c r="BK26" s="3" t="str">
        <f t="shared" ca="1" si="13"/>
        <v/>
      </c>
      <c r="BL26" s="62" t="str">
        <f t="shared" ca="1" si="14"/>
        <v/>
      </c>
      <c r="BM26" s="3" t="str">
        <f t="shared" ca="1" si="15"/>
        <v/>
      </c>
      <c r="BS26" s="361"/>
      <c r="BT26" s="105" t="s">
        <v>1096</v>
      </c>
      <c r="BU26" s="104">
        <v>0</v>
      </c>
      <c r="BV26" s="105" t="str">
        <f t="shared" si="17"/>
        <v>David Sládeček</v>
      </c>
      <c r="BW26" s="103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9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21"/>
        <v/>
      </c>
      <c r="AV27" s="128" t="str">
        <f t="shared" si="22"/>
        <v/>
      </c>
      <c r="AW27" s="129" t="str">
        <f t="shared" si="20"/>
        <v/>
      </c>
      <c r="AX27" s="130" t="str">
        <f t="shared" ca="1" si="23"/>
        <v/>
      </c>
      <c r="AY27" s="130" t="str">
        <f t="shared" ca="1" si="24"/>
        <v/>
      </c>
      <c r="AZ27" s="131"/>
      <c r="BA27" s="131"/>
      <c r="BB27" s="131"/>
      <c r="BC27" s="131"/>
      <c r="BD27" s="90" t="str">
        <f t="shared" si="7"/>
        <v/>
      </c>
      <c r="BE27" s="92" t="str">
        <f t="shared" ca="1" si="8"/>
        <v/>
      </c>
      <c r="BF27" s="91" t="str">
        <f t="shared" si="9"/>
        <v/>
      </c>
      <c r="BG27" s="90" t="str">
        <f t="shared" ca="1" si="10"/>
        <v/>
      </c>
      <c r="BH27" s="91" t="str">
        <f t="shared" ca="1" si="11"/>
        <v/>
      </c>
      <c r="BI27" s="90" t="str">
        <f t="shared" ca="1" si="12"/>
        <v/>
      </c>
      <c r="BJ27" s="91" t="str">
        <f t="shared" ca="1" si="11"/>
        <v/>
      </c>
      <c r="BK27" s="90" t="str">
        <f t="shared" ca="1" si="13"/>
        <v/>
      </c>
      <c r="BL27" s="91" t="str">
        <f t="shared" ca="1" si="14"/>
        <v/>
      </c>
      <c r="BM27" s="90" t="str">
        <f t="shared" ca="1" si="15"/>
        <v/>
      </c>
      <c r="BS27" s="361" t="s">
        <v>39</v>
      </c>
      <c r="BT27" s="105" t="s">
        <v>1097</v>
      </c>
      <c r="BU27" s="104">
        <v>4</v>
      </c>
      <c r="BV27" s="105" t="str">
        <f t="shared" si="17"/>
        <v>René Slezák</v>
      </c>
      <c r="BW27" s="103">
        <f t="shared" si="18"/>
        <v>4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9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21"/>
        <v/>
      </c>
      <c r="AV28" s="128" t="str">
        <f t="shared" si="22"/>
        <v/>
      </c>
      <c r="AW28" s="129" t="str">
        <f t="shared" si="20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4"/>
        <v/>
      </c>
      <c r="AZ28" s="131"/>
      <c r="BA28" s="131"/>
      <c r="BB28" s="131"/>
      <c r="BC28" s="131"/>
      <c r="BD28" s="3" t="str">
        <f t="shared" si="7"/>
        <v/>
      </c>
      <c r="BE28" s="85" t="str">
        <f t="shared" ca="1" si="8"/>
        <v/>
      </c>
      <c r="BF28" s="62" t="str">
        <f t="shared" si="9"/>
        <v/>
      </c>
      <c r="BG28" s="3" t="str">
        <f t="shared" ca="1" si="10"/>
        <v/>
      </c>
      <c r="BH28" s="62" t="str">
        <f t="shared" ca="1" si="11"/>
        <v/>
      </c>
      <c r="BI28" s="3" t="str">
        <f t="shared" ca="1" si="12"/>
        <v/>
      </c>
      <c r="BJ28" s="62" t="str">
        <f t="shared" ca="1" si="11"/>
        <v/>
      </c>
      <c r="BK28" s="3" t="str">
        <f t="shared" ca="1" si="13"/>
        <v/>
      </c>
      <c r="BL28" s="62" t="str">
        <f t="shared" ca="1" si="14"/>
        <v/>
      </c>
      <c r="BM28" s="3" t="str">
        <f t="shared" ca="1" si="15"/>
        <v/>
      </c>
      <c r="BS28" s="361"/>
      <c r="BT28" s="105" t="s">
        <v>866</v>
      </c>
      <c r="BU28" s="104">
        <v>2</v>
      </c>
      <c r="BV28" s="105" t="str">
        <f t="shared" si="17"/>
        <v>David Sládeček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9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21"/>
        <v/>
      </c>
      <c r="AV29" s="128" t="str">
        <f t="shared" si="22"/>
        <v/>
      </c>
      <c r="AW29" s="129" t="str">
        <f t="shared" si="20"/>
        <v/>
      </c>
      <c r="AX29" s="130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4"/>
        <v/>
      </c>
      <c r="AZ29" s="131"/>
      <c r="BA29" s="131"/>
      <c r="BB29" s="131"/>
      <c r="BC29" s="131"/>
      <c r="BD29" s="90" t="str">
        <f t="shared" si="7"/>
        <v/>
      </c>
      <c r="BE29" s="92" t="str">
        <f t="shared" ca="1" si="8"/>
        <v/>
      </c>
      <c r="BF29" s="91" t="str">
        <f t="shared" si="9"/>
        <v/>
      </c>
      <c r="BG29" s="90" t="str">
        <f t="shared" ca="1" si="10"/>
        <v/>
      </c>
      <c r="BH29" s="91" t="str">
        <f t="shared" ca="1" si="11"/>
        <v/>
      </c>
      <c r="BI29" s="90" t="str">
        <f t="shared" ca="1" si="12"/>
        <v/>
      </c>
      <c r="BJ29" s="91" t="str">
        <f t="shared" ca="1" si="11"/>
        <v/>
      </c>
      <c r="BK29" s="90" t="str">
        <f t="shared" ca="1" si="13"/>
        <v/>
      </c>
      <c r="BL29" s="91" t="str">
        <f t="shared" ca="1" si="14"/>
        <v/>
      </c>
      <c r="BM29" s="90" t="str">
        <f t="shared" ca="1" si="15"/>
        <v/>
      </c>
      <c r="BS29" s="361"/>
      <c r="BT29" s="105" t="s">
        <v>1098</v>
      </c>
      <c r="BU29" s="104">
        <v>2</v>
      </c>
      <c r="BV29" s="105" t="str">
        <f t="shared" si="17"/>
        <v>Jonáš Kůra</v>
      </c>
      <c r="BW29" s="103">
        <f t="shared" si="18"/>
        <v>2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HAT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9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21"/>
        <v/>
      </c>
      <c r="AV30" s="128" t="str">
        <f t="shared" si="22"/>
        <v/>
      </c>
      <c r="AW30" s="129" t="str">
        <f t="shared" si="20"/>
        <v/>
      </c>
      <c r="AX30" s="130" t="str">
        <f t="shared" ca="1" si="25"/>
        <v/>
      </c>
      <c r="AY30" s="130" t="str">
        <f t="shared" ca="1" si="24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1"/>
        <v/>
      </c>
      <c r="BK30" s="3" t="str">
        <f t="shared" ca="1" si="13"/>
        <v/>
      </c>
      <c r="BL30" s="62" t="str">
        <f t="shared" ca="1" si="14"/>
        <v/>
      </c>
      <c r="BM30" s="3" t="str">
        <f t="shared" ca="1" si="15"/>
        <v/>
      </c>
      <c r="BS30" s="361"/>
      <c r="BT30" s="105" t="s">
        <v>1099</v>
      </c>
      <c r="BU30" s="104">
        <v>2</v>
      </c>
      <c r="BV30" s="105" t="str">
        <f t="shared" si="17"/>
        <v>Lukáš Lhota</v>
      </c>
      <c r="BW30" s="103">
        <f t="shared" si="18"/>
        <v>2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9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21"/>
        <v/>
      </c>
      <c r="AV31" s="128" t="str">
        <f t="shared" si="22"/>
        <v/>
      </c>
      <c r="AW31" s="129" t="str">
        <f t="shared" si="20"/>
        <v/>
      </c>
      <c r="AX31" s="130" t="str">
        <f t="shared" ca="1" si="25"/>
        <v/>
      </c>
      <c r="AY31" s="130" t="str">
        <f t="shared" ca="1" si="24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1100</v>
      </c>
      <c r="BU31" s="104">
        <v>2</v>
      </c>
      <c r="BV31" s="105" t="str">
        <f t="shared" si="17"/>
        <v>Matěj Hronek</v>
      </c>
      <c r="BW31" s="103">
        <f t="shared" si="18"/>
        <v>2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9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21"/>
        <v/>
      </c>
      <c r="AV32" s="128" t="str">
        <f t="shared" si="22"/>
        <v/>
      </c>
      <c r="AW32" s="129" t="str">
        <f t="shared" si="20"/>
        <v/>
      </c>
      <c r="AX32" s="130" t="str">
        <f t="shared" ca="1" si="25"/>
        <v/>
      </c>
      <c r="AY32" s="130" t="str">
        <f t="shared" ca="1" si="24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9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21"/>
        <v/>
      </c>
      <c r="AV33" s="128" t="str">
        <f t="shared" si="22"/>
        <v/>
      </c>
      <c r="AW33" s="129" t="str">
        <f t="shared" si="20"/>
        <v/>
      </c>
      <c r="AX33" s="130" t="str">
        <f t="shared" ca="1" si="25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9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21"/>
        <v/>
      </c>
      <c r="AV34" s="128" t="str">
        <f t="shared" si="22"/>
        <v/>
      </c>
      <c r="AW34" s="129" t="str">
        <f t="shared" si="20"/>
        <v/>
      </c>
      <c r="AX34" s="130" t="str">
        <f t="shared" ca="1" si="25"/>
        <v/>
      </c>
      <c r="AY34" s="130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9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0"/>
        <v/>
      </c>
      <c r="AX35" s="130" t="str">
        <f t="shared" ca="1" si="25"/>
        <v/>
      </c>
      <c r="AY35" s="130" t="str">
        <f t="shared" ca="1" si="26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9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0"/>
        <v/>
      </c>
      <c r="AX36" s="130" t="str">
        <f t="shared" ca="1" si="25"/>
        <v/>
      </c>
      <c r="AY36" s="130" t="str">
        <f t="shared" ca="1" si="26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9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0"/>
        <v/>
      </c>
      <c r="AX37" s="130" t="str">
        <f t="shared" ca="1" si="25"/>
        <v/>
      </c>
      <c r="AY37" s="130" t="str">
        <f t="shared" ca="1" si="26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0"/>
        <v/>
      </c>
      <c r="AX38" s="130" t="str">
        <f t="shared" ca="1" si="25"/>
        <v/>
      </c>
      <c r="AY38" s="130" t="str">
        <f t="shared" ca="1" si="26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0"/>
        <v/>
      </c>
      <c r="AX39" s="130" t="str">
        <f t="shared" ca="1" si="25"/>
        <v/>
      </c>
      <c r="AY39" s="130" t="str">
        <f t="shared" ca="1" si="26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0"/>
        <v/>
      </c>
      <c r="AX40" s="130" t="str">
        <f t="shared" ca="1" si="25"/>
        <v/>
      </c>
      <c r="AY40" s="130" t="str">
        <f t="shared" ca="1" si="26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0"/>
        <v/>
      </c>
      <c r="AX41" s="130" t="str">
        <f t="shared" ca="1" si="25"/>
        <v/>
      </c>
      <c r="AY41" s="130" t="str">
        <f t="shared" ca="1" si="26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0"/>
        <v/>
      </c>
      <c r="AX42" s="130" t="str">
        <f t="shared" ca="1" si="25"/>
        <v/>
      </c>
      <c r="AY42" s="130" t="str">
        <f t="shared" ca="1" si="26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0"/>
        <v/>
      </c>
      <c r="AX43" s="130" t="str">
        <f t="shared" ca="1" si="25"/>
        <v/>
      </c>
      <c r="AY43" s="130" t="str">
        <f t="shared" ca="1" si="26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0"/>
        <v/>
      </c>
      <c r="AX44" s="130" t="str">
        <f t="shared" ca="1" si="25"/>
        <v/>
      </c>
      <c r="AY44" s="130" t="str">
        <f t="shared" ca="1" si="26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846</v>
      </c>
      <c r="T45" s="103">
        <v>2</v>
      </c>
      <c r="U45" s="113">
        <v>60</v>
      </c>
      <c r="V45" s="103">
        <v>0</v>
      </c>
      <c r="W45" s="103">
        <v>11</v>
      </c>
      <c r="X45" s="103">
        <v>0</v>
      </c>
      <c r="Y45" s="103">
        <v>23</v>
      </c>
      <c r="Z45" s="103">
        <v>0</v>
      </c>
      <c r="AA45" s="103">
        <v>2</v>
      </c>
      <c r="AB45" s="103">
        <v>12</v>
      </c>
      <c r="AC45" s="103">
        <v>0</v>
      </c>
      <c r="AD45" s="103">
        <v>0</v>
      </c>
      <c r="AE45" s="113">
        <f>IF(S45&lt;&gt;"",IF(T45&gt;0,W45/(U45/60),0),"")</f>
        <v>11</v>
      </c>
      <c r="AF45" s="113">
        <f>IF(S45&lt;&gt;"",IF(Y45&gt;0,(AB45/Y45)*100,"-"),"")</f>
        <v>52.173913043478258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0"/>
        <v/>
      </c>
      <c r="AX45" s="130" t="str">
        <f t="shared" ca="1" si="25"/>
        <v/>
      </c>
      <c r="AY45" s="130" t="str">
        <f t="shared" ca="1" si="26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857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7">IF(S46&lt;&gt;"",IF(T46&gt;0,W46/(U46/60),0),"")</f>
        <v>0</v>
      </c>
      <c r="AF46" s="113" t="str">
        <f t="shared" ref="AF46:AF50" si="28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0"/>
        <v/>
      </c>
      <c r="AX46" s="130" t="str">
        <f t="shared" ca="1" si="25"/>
        <v/>
      </c>
      <c r="AY46" s="130" t="str">
        <f t="shared" ca="1" si="26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7"/>
        <v/>
      </c>
      <c r="AF47" s="113" t="str">
        <f t="shared" si="28"/>
        <v/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0"/>
        <v/>
      </c>
      <c r="AX47" s="130" t="str">
        <f t="shared" ca="1" si="25"/>
        <v/>
      </c>
      <c r="AY47" s="130" t="str">
        <f t="shared" ca="1" si="26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7"/>
        <v/>
      </c>
      <c r="AF48" s="113" t="str">
        <f t="shared" si="28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0"/>
        <v/>
      </c>
      <c r="AX48" s="130" t="str">
        <f t="shared" ca="1" si="25"/>
        <v/>
      </c>
      <c r="AY48" s="130" t="str">
        <f t="shared" ca="1" si="26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7"/>
        <v/>
      </c>
      <c r="AF49" s="113" t="str">
        <f t="shared" si="28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0"/>
        <v/>
      </c>
      <c r="AX49" s="130" t="str">
        <f t="shared" ca="1" si="25"/>
        <v/>
      </c>
      <c r="AY49" s="130" t="str">
        <f t="shared" ca="1" si="26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7"/>
        <v/>
      </c>
      <c r="AF50" s="113" t="str">
        <f t="shared" si="28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0"/>
        <v/>
      </c>
      <c r="AX50" s="130" t="str">
        <f t="shared" ca="1" si="25"/>
        <v/>
      </c>
      <c r="AY50" s="130" t="str">
        <f t="shared" ca="1" si="26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307</v>
      </c>
      <c r="T2" s="103" t="s">
        <v>133</v>
      </c>
      <c r="U2" s="103">
        <v>2</v>
      </c>
      <c r="V2" s="103">
        <v>2</v>
      </c>
      <c r="W2" s="103">
        <v>0</v>
      </c>
      <c r="X2" s="103">
        <v>0</v>
      </c>
      <c r="Y2" s="103">
        <v>1</v>
      </c>
      <c r="Z2" s="103">
        <v>3</v>
      </c>
      <c r="AA2" s="103">
        <v>2</v>
      </c>
      <c r="AB2" s="103">
        <v>0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317</v>
      </c>
      <c r="AH2" s="123">
        <v>33927</v>
      </c>
      <c r="AI2" s="124">
        <v>208</v>
      </c>
      <c r="AJ2" s="124">
        <v>93</v>
      </c>
      <c r="AK2" s="124">
        <v>84</v>
      </c>
      <c r="AL2" s="125">
        <f t="shared" ref="AL2:AL50" si="1">IF(AG2&lt;&gt;"",AJ2+AK2,"")</f>
        <v>177</v>
      </c>
      <c r="AM2" s="124">
        <v>11</v>
      </c>
      <c r="AN2" s="124">
        <v>65</v>
      </c>
      <c r="AO2" s="126"/>
      <c r="AP2" s="126" t="s">
        <v>27</v>
      </c>
      <c r="AQ2" s="124">
        <v>195</v>
      </c>
      <c r="AR2" s="124">
        <v>86</v>
      </c>
      <c r="AS2" s="127" t="s">
        <v>338</v>
      </c>
      <c r="AT2" s="124">
        <v>2002</v>
      </c>
      <c r="AU2" s="128">
        <f t="shared" ref="AU2:AU23" ca="1" si="2">IF(AG2&lt;&gt;"",IF(AH2&lt;&gt;"",INT((TODAY()-AH2)/365),"?"),"")</f>
        <v>28</v>
      </c>
      <c r="AV2" s="128" t="str">
        <f t="shared" ref="AV2:AV23" si="3">IF(AG2&lt;&gt;"",CONCATENATE(IF(AQ2&lt;&gt;"",AQ2,"? "),"/",IF(AR2&lt;&gt;"",AR2," ?")),"")</f>
        <v>195/86</v>
      </c>
      <c r="AW2" s="129" t="str">
        <f ca="1">IF(AG2&lt;&gt;"",IF(BE2=1,BD2,IF(BH2=1,BG2,IF(BJ2=1,BI2,IF(BL2=1,BK2,BM2)))),"")</f>
        <v>Bauer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+1 ±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210 OZ, 177 (93+84)</v>
      </c>
      <c r="AZ2" s="131"/>
      <c r="BA2" s="131"/>
      <c r="BB2" s="131"/>
      <c r="BC2" s="131"/>
      <c r="BD2" s="3" t="str">
        <f>IF(AG2&lt;&gt;"",RIGHT(AG2,LEN(AG2)-SEARCH(" ",AG2)),"")</f>
        <v>Bauer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354</v>
      </c>
      <c r="BO2" s="123">
        <v>31582</v>
      </c>
      <c r="BP2" s="132" t="s">
        <v>278</v>
      </c>
      <c r="BQ2" s="133" t="s">
        <v>355</v>
      </c>
      <c r="BR2" s="128">
        <f ca="1">IF(BN2&lt;&gt;"",IF(BO2&lt;&gt;"",INT((TODAY()-BO2)/365),"?"),"")</f>
        <v>35</v>
      </c>
      <c r="BS2" s="361" t="s">
        <v>36</v>
      </c>
      <c r="BT2" s="105" t="s">
        <v>975</v>
      </c>
      <c r="BU2" s="104">
        <v>3</v>
      </c>
      <c r="BV2" s="105" t="str">
        <f>IFERROR(RIGHT(BT2,LEN(BT2)-SEARCH(" ",BT2)),"")</f>
        <v>Marek Vávra</v>
      </c>
      <c r="BW2" s="103">
        <f>IF(BT2&lt;&gt;0,_xlfn.NUMBERVALUE(BU2,","),"")</f>
        <v>3</v>
      </c>
      <c r="BX2" s="360" t="s">
        <v>233</v>
      </c>
      <c r="BY2" s="104" t="s">
        <v>225</v>
      </c>
      <c r="BZ2" s="104" t="s">
        <v>23</v>
      </c>
      <c r="CA2" s="116" t="s">
        <v>988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308</v>
      </c>
      <c r="T3" s="103" t="s">
        <v>133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0</v>
      </c>
      <c r="AC3" s="103" t="str">
        <f t="shared" ca="1" si="0"/>
        <v>ANO</v>
      </c>
      <c r="AG3" s="122" t="s">
        <v>325</v>
      </c>
      <c r="AH3" s="123">
        <v>36617</v>
      </c>
      <c r="AI3" s="124">
        <v>59</v>
      </c>
      <c r="AJ3" s="124">
        <v>1</v>
      </c>
      <c r="AK3" s="124">
        <v>8</v>
      </c>
      <c r="AL3" s="125">
        <f t="shared" si="1"/>
        <v>9</v>
      </c>
      <c r="AM3" s="124">
        <v>5</v>
      </c>
      <c r="AN3" s="124">
        <v>11</v>
      </c>
      <c r="AO3" s="126"/>
      <c r="AP3" s="126" t="s">
        <v>163</v>
      </c>
      <c r="AQ3" s="124">
        <v>182</v>
      </c>
      <c r="AR3" s="124">
        <v>76</v>
      </c>
      <c r="AS3" s="127" t="s">
        <v>74</v>
      </c>
      <c r="AT3" s="124">
        <v>2008</v>
      </c>
      <c r="AU3" s="128">
        <f t="shared" ca="1" si="2"/>
        <v>21</v>
      </c>
      <c r="AV3" s="128" t="str">
        <f t="shared" si="3"/>
        <v>182/76</v>
      </c>
      <c r="AW3" s="129" t="str">
        <f t="shared" ref="AW3:AW50" ca="1" si="6">IF(AG3&lt;&gt;"",IF(BE3=1,BD3,IF(BH3=1,BG3,IF(BJ3=1,BI3,IF(BL3=1,BK3,BM3)))),"")</f>
        <v>Doubek</v>
      </c>
      <c r="AX3" s="130" t="str">
        <f t="shared" ca="1" si="4"/>
        <v>0 OZ, 0 (0+0)</v>
      </c>
      <c r="AY3" s="130" t="str">
        <f t="shared" ca="1" si="5"/>
        <v>59 OZ, 9 (1+8)</v>
      </c>
      <c r="AZ3" s="131"/>
      <c r="BA3" s="131"/>
      <c r="BB3" s="131"/>
      <c r="BC3" s="131"/>
      <c r="BD3" s="90" t="str">
        <f t="shared" ref="BD3:BD50" si="7">IF(AG3&lt;&gt;"",RIGHT(AG3,LEN(AG3)-SEARCH(" ",AG3)),"")</f>
        <v>Doubek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Š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356</v>
      </c>
      <c r="BO3" s="123">
        <v>26801</v>
      </c>
      <c r="BP3" s="132" t="s">
        <v>279</v>
      </c>
      <c r="BQ3" s="133" t="s">
        <v>357</v>
      </c>
      <c r="BR3" s="128">
        <f t="shared" ref="BR3:BR11" ca="1" si="16">IF(BN3&lt;&gt;"",IF(BO3&lt;&gt;"",INT((TODAY()-BO3)/365),"?"),"")</f>
        <v>48</v>
      </c>
      <c r="BS3" s="361"/>
      <c r="BT3" s="105" t="s">
        <v>370</v>
      </c>
      <c r="BU3" s="104">
        <v>3</v>
      </c>
      <c r="BV3" s="105" t="str">
        <f t="shared" ref="BV3:BV31" si="17">IFERROR(RIGHT(BT3,LEN(BT3)-SEARCH(" ",BT3)),"")</f>
        <v>Mikuláš Komárek</v>
      </c>
      <c r="BW3" s="103">
        <f t="shared" ref="BW3:BW31" si="18">IF(BT3&lt;&gt;0,_xlfn.NUMBERVALUE(BU3,","),"")</f>
        <v>3</v>
      </c>
      <c r="BX3" s="360"/>
      <c r="BY3" s="104" t="s">
        <v>294</v>
      </c>
      <c r="BZ3" s="104" t="s">
        <v>104</v>
      </c>
      <c r="CA3" s="116" t="s">
        <v>374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311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1</v>
      </c>
      <c r="AC4" s="103" t="str">
        <f t="shared" ca="1" si="0"/>
        <v>ANO</v>
      </c>
      <c r="AG4" s="122" t="s">
        <v>326</v>
      </c>
      <c r="AH4" s="123"/>
      <c r="AI4" s="124">
        <v>9</v>
      </c>
      <c r="AJ4" s="124">
        <v>0</v>
      </c>
      <c r="AK4" s="124">
        <v>0</v>
      </c>
      <c r="AL4" s="125">
        <f t="shared" si="1"/>
        <v>0</v>
      </c>
      <c r="AM4" s="124">
        <v>2</v>
      </c>
      <c r="AN4" s="124">
        <v>91</v>
      </c>
      <c r="AO4" s="126"/>
      <c r="AP4" s="126" t="s">
        <v>163</v>
      </c>
      <c r="AQ4" s="124">
        <v>183</v>
      </c>
      <c r="AR4" s="124">
        <v>78</v>
      </c>
      <c r="AS4" s="127"/>
      <c r="AT4" s="124"/>
      <c r="AU4" s="128" t="str">
        <f t="shared" ca="1" si="2"/>
        <v>?</v>
      </c>
      <c r="AV4" s="128" t="str">
        <f t="shared" si="3"/>
        <v>183/78</v>
      </c>
      <c r="AW4" s="129" t="str">
        <f t="shared" ca="1" si="6"/>
        <v>Dufek</v>
      </c>
      <c r="AX4" s="130" t="str">
        <f t="shared" ca="1" si="4"/>
        <v>1 OZ, 0 (0+0), 0 ±</v>
      </c>
      <c r="AY4" s="130" t="str">
        <f t="shared" ca="1" si="5"/>
        <v>10 OZ, 0 (0+0)</v>
      </c>
      <c r="AZ4" s="131"/>
      <c r="BA4" s="131"/>
      <c r="BB4" s="131"/>
      <c r="BC4" s="131"/>
      <c r="BD4" s="3" t="str">
        <f t="shared" si="7"/>
        <v>Dufek</v>
      </c>
      <c r="BE4" s="85">
        <f t="shared" ca="1" si="8"/>
        <v>1</v>
      </c>
      <c r="BF4" s="62" t="str">
        <f t="shared" si="9"/>
        <v>J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336</v>
      </c>
      <c r="BO4" s="123">
        <v>28909</v>
      </c>
      <c r="BP4" s="132" t="s">
        <v>279</v>
      </c>
      <c r="BQ4" s="133" t="s">
        <v>358</v>
      </c>
      <c r="BR4" s="128">
        <f t="shared" ca="1" si="16"/>
        <v>42</v>
      </c>
      <c r="BS4" s="361"/>
      <c r="BT4" s="105" t="s">
        <v>976</v>
      </c>
      <c r="BU4" s="104">
        <v>3</v>
      </c>
      <c r="BV4" s="105" t="str">
        <f t="shared" si="17"/>
        <v>Petr Majer</v>
      </c>
      <c r="BW4" s="103">
        <f t="shared" si="18"/>
        <v>3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310</v>
      </c>
      <c r="T5" s="103" t="s">
        <v>133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315</v>
      </c>
      <c r="AH5" s="123">
        <v>36733</v>
      </c>
      <c r="AI5" s="124">
        <v>46</v>
      </c>
      <c r="AJ5" s="124">
        <v>17</v>
      </c>
      <c r="AK5" s="124">
        <v>8</v>
      </c>
      <c r="AL5" s="125">
        <f t="shared" si="1"/>
        <v>25</v>
      </c>
      <c r="AM5" s="124">
        <v>4</v>
      </c>
      <c r="AN5" s="124">
        <v>77</v>
      </c>
      <c r="AO5" s="126"/>
      <c r="AP5" s="126" t="s">
        <v>163</v>
      </c>
      <c r="AQ5" s="124">
        <v>183</v>
      </c>
      <c r="AR5" s="124">
        <v>92</v>
      </c>
      <c r="AS5" s="127" t="s">
        <v>339</v>
      </c>
      <c r="AT5" s="124">
        <v>2007</v>
      </c>
      <c r="AU5" s="128">
        <f t="shared" ca="1" si="2"/>
        <v>21</v>
      </c>
      <c r="AV5" s="128" t="str">
        <f t="shared" si="3"/>
        <v>183/92</v>
      </c>
      <c r="AW5" s="129" t="str">
        <f t="shared" ca="1" si="6"/>
        <v>Eremiáš</v>
      </c>
      <c r="AX5" s="130" t="str">
        <f t="shared" ca="1" si="4"/>
        <v>2 OZ, 2 (1+1), +1 ±</v>
      </c>
      <c r="AY5" s="130" t="str">
        <f t="shared" ca="1" si="5"/>
        <v>48 OZ, 27 (18+9)</v>
      </c>
      <c r="AZ5" s="131"/>
      <c r="BA5" s="131"/>
      <c r="BB5" s="131"/>
      <c r="BC5" s="131"/>
      <c r="BD5" s="90" t="str">
        <f t="shared" si="7"/>
        <v>Eremiáš</v>
      </c>
      <c r="BE5" s="92">
        <f t="shared" ca="1" si="8"/>
        <v>1</v>
      </c>
      <c r="BF5" s="91" t="str">
        <f t="shared" si="9"/>
        <v>D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359</v>
      </c>
      <c r="BO5" s="123">
        <v>31168</v>
      </c>
      <c r="BP5" s="132" t="s">
        <v>360</v>
      </c>
      <c r="BQ5" s="133" t="s">
        <v>361</v>
      </c>
      <c r="BR5" s="128">
        <f t="shared" ca="1" si="16"/>
        <v>36</v>
      </c>
      <c r="BS5" s="361"/>
      <c r="BT5" s="105" t="s">
        <v>368</v>
      </c>
      <c r="BU5" s="104">
        <v>2</v>
      </c>
      <c r="BV5" s="105" t="str">
        <f t="shared" si="17"/>
        <v>Martin Řezáč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314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0</v>
      </c>
      <c r="AC6" s="103" t="str">
        <f t="shared" ca="1" si="0"/>
        <v>ANO</v>
      </c>
      <c r="AG6" s="122" t="s">
        <v>327</v>
      </c>
      <c r="AH6" s="123">
        <v>37727</v>
      </c>
      <c r="AI6" s="124">
        <v>11</v>
      </c>
      <c r="AJ6" s="124">
        <v>0</v>
      </c>
      <c r="AK6" s="124">
        <v>1</v>
      </c>
      <c r="AL6" s="125">
        <f t="shared" si="1"/>
        <v>1</v>
      </c>
      <c r="AM6" s="124">
        <v>2</v>
      </c>
      <c r="AN6" s="124">
        <v>30</v>
      </c>
      <c r="AO6" s="126"/>
      <c r="AP6" s="126"/>
      <c r="AQ6" s="124">
        <v>198</v>
      </c>
      <c r="AR6" s="124">
        <v>98</v>
      </c>
      <c r="AS6" s="127" t="s">
        <v>340</v>
      </c>
      <c r="AT6" s="124">
        <v>2009</v>
      </c>
      <c r="AU6" s="128">
        <f t="shared" ca="1" si="2"/>
        <v>18</v>
      </c>
      <c r="AV6" s="128" t="str">
        <f t="shared" si="3"/>
        <v>198/98</v>
      </c>
      <c r="AW6" s="129" t="str">
        <f t="shared" ca="1" si="6"/>
        <v>Hodík</v>
      </c>
      <c r="AX6" s="130" t="str">
        <f t="shared" ca="1" si="4"/>
        <v>0 OZ, 0 (0+0)</v>
      </c>
      <c r="AY6" s="130" t="str">
        <f t="shared" ca="1" si="5"/>
        <v>11 OZ, 1 (0+1)</v>
      </c>
      <c r="AZ6" s="131"/>
      <c r="BA6" s="131"/>
      <c r="BB6" s="131"/>
      <c r="BC6" s="131"/>
      <c r="BD6" s="3" t="str">
        <f t="shared" si="7"/>
        <v>Hodík</v>
      </c>
      <c r="BE6" s="85">
        <f t="shared" ca="1" si="8"/>
        <v>1</v>
      </c>
      <c r="BF6" s="62" t="str">
        <f t="shared" si="9"/>
        <v>K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362</v>
      </c>
      <c r="BO6" s="123">
        <v>32514</v>
      </c>
      <c r="BP6" s="132" t="s">
        <v>363</v>
      </c>
      <c r="BQ6" s="133" t="s">
        <v>364</v>
      </c>
      <c r="BR6" s="128">
        <f t="shared" ca="1" si="16"/>
        <v>32</v>
      </c>
      <c r="BS6" s="361"/>
      <c r="BT6" s="105" t="s">
        <v>373</v>
      </c>
      <c r="BU6" s="104">
        <v>2</v>
      </c>
      <c r="BV6" s="105" t="str">
        <f t="shared" si="17"/>
        <v>Daniel Eremiáš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313</v>
      </c>
      <c r="T7" s="103" t="s">
        <v>133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0</v>
      </c>
      <c r="AB7" s="103">
        <v>1</v>
      </c>
      <c r="AC7" s="103" t="str">
        <f t="shared" ca="1" si="0"/>
        <v>NE</v>
      </c>
      <c r="AG7" s="122" t="s">
        <v>328</v>
      </c>
      <c r="AH7" s="123">
        <v>37679</v>
      </c>
      <c r="AI7" s="124">
        <v>23</v>
      </c>
      <c r="AJ7" s="124">
        <v>2</v>
      </c>
      <c r="AK7" s="124">
        <v>5</v>
      </c>
      <c r="AL7" s="125">
        <f t="shared" si="1"/>
        <v>7</v>
      </c>
      <c r="AM7" s="124">
        <v>2</v>
      </c>
      <c r="AN7" s="124">
        <v>93</v>
      </c>
      <c r="AO7" s="126"/>
      <c r="AP7" s="126" t="s">
        <v>163</v>
      </c>
      <c r="AQ7" s="124">
        <v>175</v>
      </c>
      <c r="AR7" s="124">
        <v>67</v>
      </c>
      <c r="AS7" s="127" t="s">
        <v>341</v>
      </c>
      <c r="AT7" s="124">
        <v>2010</v>
      </c>
      <c r="AU7" s="128">
        <f t="shared" ca="1" si="2"/>
        <v>18</v>
      </c>
      <c r="AV7" s="128" t="str">
        <f t="shared" si="3"/>
        <v>175/67</v>
      </c>
      <c r="AW7" s="129" t="str">
        <f t="shared" ca="1" si="6"/>
        <v>Horký</v>
      </c>
      <c r="AX7" s="130" t="str">
        <f t="shared" ca="1" si="4"/>
        <v>1 OZ, 0 (0+0), -1 ±</v>
      </c>
      <c r="AY7" s="130" t="str">
        <f t="shared" ca="1" si="5"/>
        <v>24 OZ, 7 (2+5)</v>
      </c>
      <c r="AZ7" s="131"/>
      <c r="BA7" s="131"/>
      <c r="BB7" s="131"/>
      <c r="BC7" s="131"/>
      <c r="BD7" s="90" t="str">
        <f t="shared" si="7"/>
        <v>Horký</v>
      </c>
      <c r="BE7" s="92">
        <f t="shared" ca="1" si="8"/>
        <v>1</v>
      </c>
      <c r="BF7" s="91" t="str">
        <f t="shared" si="9"/>
        <v>D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365</v>
      </c>
      <c r="BU7" s="104" t="s">
        <v>977</v>
      </c>
      <c r="BV7" s="105" t="str">
        <f t="shared" si="17"/>
        <v>Vojtěch Šimůnek</v>
      </c>
      <c r="BW7" s="113">
        <f t="shared" si="18"/>
        <v>5.45</v>
      </c>
      <c r="BX7" s="360" t="s">
        <v>234</v>
      </c>
      <c r="BY7" s="104" t="s">
        <v>227</v>
      </c>
      <c r="BZ7" s="104" t="s">
        <v>5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24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315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1</v>
      </c>
      <c r="Z8" s="103">
        <v>2</v>
      </c>
      <c r="AA8" s="103">
        <v>0</v>
      </c>
      <c r="AB8" s="103">
        <v>1</v>
      </c>
      <c r="AC8" s="103" t="str">
        <f t="shared" ca="1" si="0"/>
        <v>ANO</v>
      </c>
      <c r="AG8" s="122" t="s">
        <v>329</v>
      </c>
      <c r="AH8" s="123"/>
      <c r="AI8" s="124"/>
      <c r="AJ8" s="124"/>
      <c r="AK8" s="124"/>
      <c r="AL8" s="125">
        <f t="shared" si="1"/>
        <v>0</v>
      </c>
      <c r="AM8" s="124" t="s">
        <v>337</v>
      </c>
      <c r="AN8" s="124"/>
      <c r="AO8" s="126"/>
      <c r="AP8" s="126"/>
      <c r="AQ8" s="124"/>
      <c r="AR8" s="124"/>
      <c r="AS8" s="127"/>
      <c r="AT8" s="124"/>
      <c r="AU8" s="128" t="str">
        <f t="shared" ca="1" si="2"/>
        <v>?</v>
      </c>
      <c r="AV8" s="128" t="str">
        <f t="shared" si="3"/>
        <v>? / ?</v>
      </c>
      <c r="AW8" s="129" t="str">
        <f t="shared" ca="1" si="6"/>
        <v>Josefovič</v>
      </c>
      <c r="AX8" s="130" t="str">
        <f t="shared" ca="1" si="4"/>
        <v>0 OZ, 0 (0+0)</v>
      </c>
      <c r="AY8" s="130" t="str">
        <f t="shared" ca="1" si="5"/>
        <v xml:space="preserve"> OZ, 0 (+)</v>
      </c>
      <c r="AZ8" s="131"/>
      <c r="BA8" s="131"/>
      <c r="BB8" s="131"/>
      <c r="BC8" s="131"/>
      <c r="BD8" s="3" t="str">
        <f t="shared" si="7"/>
        <v>Josefovič</v>
      </c>
      <c r="BE8" s="85">
        <f t="shared" ca="1" si="8"/>
        <v>1</v>
      </c>
      <c r="BF8" s="62" t="str">
        <f t="shared" si="9"/>
        <v>T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367</v>
      </c>
      <c r="BU8" s="104" t="s">
        <v>216</v>
      </c>
      <c r="BV8" s="105" t="str">
        <f t="shared" si="17"/>
        <v>Karel Pergler</v>
      </c>
      <c r="BW8" s="113">
        <f t="shared" si="18"/>
        <v>0</v>
      </c>
      <c r="BX8" s="360"/>
      <c r="BY8" s="104" t="s">
        <v>228</v>
      </c>
      <c r="BZ8" s="104" t="s">
        <v>98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309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3</v>
      </c>
      <c r="AC9" s="103" t="str">
        <f t="shared" ca="1" si="0"/>
        <v>ANO</v>
      </c>
      <c r="AG9" s="122" t="s">
        <v>330</v>
      </c>
      <c r="AH9" s="123">
        <v>35401</v>
      </c>
      <c r="AI9" s="124">
        <v>148</v>
      </c>
      <c r="AJ9" s="124">
        <v>34</v>
      </c>
      <c r="AK9" s="124">
        <v>21</v>
      </c>
      <c r="AL9" s="125">
        <f t="shared" si="1"/>
        <v>55</v>
      </c>
      <c r="AM9" s="124">
        <v>9</v>
      </c>
      <c r="AN9" s="124">
        <v>12</v>
      </c>
      <c r="AO9" s="126"/>
      <c r="AP9" s="126" t="s">
        <v>163</v>
      </c>
      <c r="AQ9" s="124">
        <v>183</v>
      </c>
      <c r="AR9" s="124">
        <v>88</v>
      </c>
      <c r="AS9" s="127" t="s">
        <v>342</v>
      </c>
      <c r="AT9" s="124">
        <v>2007</v>
      </c>
      <c r="AU9" s="128">
        <f t="shared" ca="1" si="2"/>
        <v>24</v>
      </c>
      <c r="AV9" s="128" t="str">
        <f t="shared" si="3"/>
        <v>183/88</v>
      </c>
      <c r="AW9" s="129" t="str">
        <f t="shared" ca="1" si="6"/>
        <v>Kašovský</v>
      </c>
      <c r="AX9" s="130" t="str">
        <f t="shared" ca="1" si="4"/>
        <v>0 OZ, 0 (0+0)</v>
      </c>
      <c r="AY9" s="130" t="str">
        <f t="shared" ca="1" si="5"/>
        <v>148 OZ, 55 (34+21)</v>
      </c>
      <c r="AZ9" s="131"/>
      <c r="BA9" s="131"/>
      <c r="BB9" s="131"/>
      <c r="BC9" s="131"/>
      <c r="BD9" s="90" t="str">
        <f t="shared" si="7"/>
        <v>Kašovský</v>
      </c>
      <c r="BE9" s="92">
        <f t="shared" ca="1" si="8"/>
        <v>1</v>
      </c>
      <c r="BF9" s="91" t="str">
        <f t="shared" si="9"/>
        <v>D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297</v>
      </c>
      <c r="BZ9" s="104" t="s">
        <v>107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312</v>
      </c>
      <c r="T10" s="103" t="s">
        <v>133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2</v>
      </c>
      <c r="AB10" s="103">
        <v>1</v>
      </c>
      <c r="AC10" s="103" t="str">
        <f t="shared" ca="1" si="0"/>
        <v>ANO</v>
      </c>
      <c r="AG10" s="122" t="s">
        <v>331</v>
      </c>
      <c r="AH10" s="123">
        <v>33793</v>
      </c>
      <c r="AI10" s="124">
        <v>210</v>
      </c>
      <c r="AJ10" s="124">
        <v>122</v>
      </c>
      <c r="AK10" s="124">
        <v>89</v>
      </c>
      <c r="AL10" s="125">
        <f t="shared" si="1"/>
        <v>211</v>
      </c>
      <c r="AM10" s="124">
        <v>12</v>
      </c>
      <c r="AN10" s="124">
        <v>87</v>
      </c>
      <c r="AO10" s="126"/>
      <c r="AP10" s="126" t="s">
        <v>163</v>
      </c>
      <c r="AQ10" s="124">
        <v>176</v>
      </c>
      <c r="AR10" s="124">
        <v>73</v>
      </c>
      <c r="AS10" s="127" t="s">
        <v>167</v>
      </c>
      <c r="AT10" s="124">
        <v>2004</v>
      </c>
      <c r="AU10" s="128">
        <f t="shared" ca="1" si="2"/>
        <v>29</v>
      </c>
      <c r="AV10" s="128" t="str">
        <f t="shared" si="3"/>
        <v>176/73</v>
      </c>
      <c r="AW10" s="129" t="str">
        <f t="shared" ca="1" si="6"/>
        <v>Koutný J.</v>
      </c>
      <c r="AX10" s="130" t="str">
        <f t="shared" ca="1" si="4"/>
        <v>0 OZ, 0 (0+0)</v>
      </c>
      <c r="AY10" s="130" t="str">
        <f t="shared" ca="1" si="5"/>
        <v>210 OZ, 211 (122+89)</v>
      </c>
      <c r="AZ10" s="131"/>
      <c r="BA10" s="131"/>
      <c r="BB10" s="131"/>
      <c r="BC10" s="131"/>
      <c r="BD10" s="3" t="str">
        <f t="shared" si="7"/>
        <v>Koutný</v>
      </c>
      <c r="BE10" s="85">
        <f t="shared" ca="1" si="8"/>
        <v>2</v>
      </c>
      <c r="BF10" s="62" t="str">
        <f t="shared" si="9"/>
        <v>J</v>
      </c>
      <c r="BG10" s="3" t="str">
        <f t="shared" ca="1" si="10"/>
        <v>Koutný J.</v>
      </c>
      <c r="BH10" s="62">
        <f t="shared" ca="1" si="11"/>
        <v>1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103</v>
      </c>
      <c r="CA10" s="116" t="s">
        <v>226</v>
      </c>
    </row>
    <row r="11" spans="1:79" ht="15" customHeight="1" thickTop="1" thickBot="1" x14ac:dyDescent="0.25">
      <c r="R11" s="13"/>
      <c r="S11" s="111" t="s">
        <v>987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-1</v>
      </c>
      <c r="AC11" s="103" t="str">
        <f t="shared" ca="1" si="0"/>
        <v>NE</v>
      </c>
      <c r="AG11" s="122" t="s">
        <v>332</v>
      </c>
      <c r="AH11" s="123">
        <v>31507</v>
      </c>
      <c r="AI11" s="124">
        <v>275</v>
      </c>
      <c r="AJ11" s="124">
        <v>180</v>
      </c>
      <c r="AK11" s="124">
        <v>136</v>
      </c>
      <c r="AL11" s="125">
        <f t="shared" si="1"/>
        <v>316</v>
      </c>
      <c r="AM11" s="124">
        <v>16</v>
      </c>
      <c r="AN11" s="124">
        <v>32</v>
      </c>
      <c r="AO11" s="126"/>
      <c r="AP11" s="126" t="s">
        <v>163</v>
      </c>
      <c r="AQ11" s="124">
        <v>186</v>
      </c>
      <c r="AR11" s="124">
        <v>84</v>
      </c>
      <c r="AS11" s="127" t="s">
        <v>343</v>
      </c>
      <c r="AT11" s="124">
        <v>2000</v>
      </c>
      <c r="AU11" s="128">
        <f t="shared" ca="1" si="2"/>
        <v>35</v>
      </c>
      <c r="AV11" s="128" t="str">
        <f t="shared" si="3"/>
        <v>186/84</v>
      </c>
      <c r="AW11" s="129" t="str">
        <f t="shared" ca="1" si="6"/>
        <v>Koutný M.</v>
      </c>
      <c r="AX11" s="130" t="str">
        <f t="shared" ca="1" si="4"/>
        <v>0 OZ, 0 (0+0)</v>
      </c>
      <c r="AY11" s="130" t="str">
        <f t="shared" ca="1" si="5"/>
        <v>275 OZ, 316 (180+136)</v>
      </c>
      <c r="AZ11" s="131"/>
      <c r="BA11" s="131"/>
      <c r="BB11" s="131"/>
      <c r="BC11" s="131"/>
      <c r="BD11" s="90" t="str">
        <f t="shared" si="7"/>
        <v>Koutný</v>
      </c>
      <c r="BE11" s="92">
        <f t="shared" ca="1" si="8"/>
        <v>2</v>
      </c>
      <c r="BF11" s="91" t="str">
        <f t="shared" si="9"/>
        <v>M</v>
      </c>
      <c r="BG11" s="90" t="str">
        <f t="shared" ca="1" si="10"/>
        <v>Koutný M.</v>
      </c>
      <c r="BH11" s="91">
        <f t="shared" ca="1" si="11"/>
        <v>1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109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328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-1</v>
      </c>
      <c r="AC12" s="103" t="str">
        <f t="shared" ca="1" si="0"/>
        <v>ANO</v>
      </c>
      <c r="AG12" s="122" t="s">
        <v>12</v>
      </c>
      <c r="AH12" s="123">
        <v>36770</v>
      </c>
      <c r="AI12" s="124">
        <v>10</v>
      </c>
      <c r="AJ12" s="124">
        <v>0</v>
      </c>
      <c r="AK12" s="124">
        <v>0</v>
      </c>
      <c r="AL12" s="125">
        <f t="shared" si="1"/>
        <v>0</v>
      </c>
      <c r="AM12" s="124">
        <v>4</v>
      </c>
      <c r="AN12" s="124">
        <v>88</v>
      </c>
      <c r="AO12" s="126"/>
      <c r="AP12" s="126" t="s">
        <v>163</v>
      </c>
      <c r="AQ12" s="124">
        <v>177</v>
      </c>
      <c r="AR12" s="124">
        <v>75</v>
      </c>
      <c r="AS12" s="127" t="s">
        <v>344</v>
      </c>
      <c r="AT12" s="124">
        <v>2009</v>
      </c>
      <c r="AU12" s="128">
        <f t="shared" ca="1" si="2"/>
        <v>21</v>
      </c>
      <c r="AV12" s="128" t="str">
        <f t="shared" si="3"/>
        <v>177/75</v>
      </c>
      <c r="AW12" s="129" t="str">
        <f t="shared" ca="1" si="6"/>
        <v>Lebeda</v>
      </c>
      <c r="AX12" s="130" t="str">
        <f t="shared" ca="1" si="4"/>
        <v>0 OZ, 0 (0+0)</v>
      </c>
      <c r="AY12" s="130" t="str">
        <f t="shared" ca="1" si="5"/>
        <v>10 OZ, 0 (0+0)</v>
      </c>
      <c r="AZ12" s="131"/>
      <c r="BA12" s="131"/>
      <c r="BB12" s="131"/>
      <c r="BC12" s="131"/>
      <c r="BD12" s="3" t="str">
        <f t="shared" si="7"/>
        <v>Lebeda</v>
      </c>
      <c r="BE12" s="85">
        <f t="shared" ca="1" si="8"/>
        <v>1</v>
      </c>
      <c r="BF12" s="62" t="str">
        <f t="shared" si="9"/>
        <v>J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975</v>
      </c>
      <c r="BU12" s="104">
        <v>2</v>
      </c>
      <c r="BV12" s="105" t="str">
        <f t="shared" si="17"/>
        <v>Marek Vávra</v>
      </c>
      <c r="BW12" s="103">
        <f t="shared" si="18"/>
        <v>2</v>
      </c>
      <c r="BX12" s="121" t="s">
        <v>232</v>
      </c>
      <c r="BY12" s="101" t="s">
        <v>989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320</v>
      </c>
      <c r="T13" s="103" t="s">
        <v>133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311</v>
      </c>
      <c r="AH13" s="123">
        <v>37610</v>
      </c>
      <c r="AI13" s="124">
        <v>40</v>
      </c>
      <c r="AJ13" s="124">
        <v>40</v>
      </c>
      <c r="AK13" s="124">
        <v>25</v>
      </c>
      <c r="AL13" s="125">
        <f t="shared" si="1"/>
        <v>65</v>
      </c>
      <c r="AM13" s="124">
        <v>3</v>
      </c>
      <c r="AN13" s="124">
        <v>84</v>
      </c>
      <c r="AO13" s="126"/>
      <c r="AP13" s="126" t="s">
        <v>27</v>
      </c>
      <c r="AQ13" s="124">
        <v>183</v>
      </c>
      <c r="AR13" s="124">
        <v>72</v>
      </c>
      <c r="AS13" s="127" t="s">
        <v>345</v>
      </c>
      <c r="AT13" s="124">
        <v>2009</v>
      </c>
      <c r="AU13" s="128">
        <f t="shared" ca="1" si="2"/>
        <v>18</v>
      </c>
      <c r="AV13" s="128" t="str">
        <f t="shared" si="3"/>
        <v>183/72</v>
      </c>
      <c r="AW13" s="129" t="str">
        <f t="shared" ca="1" si="6"/>
        <v>Majer</v>
      </c>
      <c r="AX13" s="130" t="str">
        <f t="shared" ca="1" si="4"/>
        <v>2 OZ, 3 (1+2), +1 ±</v>
      </c>
      <c r="AY13" s="130" t="str">
        <f t="shared" ca="1" si="5"/>
        <v>42 OZ, 68 (41+27)</v>
      </c>
      <c r="AZ13" s="131"/>
      <c r="BA13" s="131"/>
      <c r="BB13" s="131"/>
      <c r="BC13" s="131"/>
      <c r="BD13" s="90" t="str">
        <f t="shared" si="7"/>
        <v>Majer</v>
      </c>
      <c r="BE13" s="92">
        <f t="shared" ca="1" si="8"/>
        <v>1</v>
      </c>
      <c r="BF13" s="91" t="str">
        <f t="shared" si="9"/>
        <v>P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978</v>
      </c>
      <c r="BU13" s="104">
        <v>2</v>
      </c>
      <c r="BV13" s="105" t="str">
        <f t="shared" si="17"/>
        <v>Martin Řezáč</v>
      </c>
      <c r="BW13" s="103">
        <f t="shared" si="18"/>
        <v>2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335</v>
      </c>
      <c r="T14" s="103" t="s">
        <v>68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-1</v>
      </c>
      <c r="AC14" s="103" t="str">
        <f t="shared" ca="1" si="0"/>
        <v>ANO</v>
      </c>
      <c r="AG14" s="122" t="s">
        <v>324</v>
      </c>
      <c r="AH14" s="123">
        <v>36184</v>
      </c>
      <c r="AI14" s="124">
        <v>94</v>
      </c>
      <c r="AJ14" s="124">
        <v>36</v>
      </c>
      <c r="AK14" s="124">
        <v>17</v>
      </c>
      <c r="AL14" s="125">
        <f t="shared" si="1"/>
        <v>53</v>
      </c>
      <c r="AM14" s="124">
        <v>6</v>
      </c>
      <c r="AN14" s="124">
        <v>4</v>
      </c>
      <c r="AO14" s="126"/>
      <c r="AP14" s="126" t="s">
        <v>163</v>
      </c>
      <c r="AQ14" s="124">
        <v>184</v>
      </c>
      <c r="AR14" s="124">
        <v>78</v>
      </c>
      <c r="AS14" s="127" t="s">
        <v>346</v>
      </c>
      <c r="AT14" s="124">
        <v>2008</v>
      </c>
      <c r="AU14" s="128">
        <f t="shared" ca="1" si="2"/>
        <v>22</v>
      </c>
      <c r="AV14" s="128" t="str">
        <f t="shared" si="3"/>
        <v>184/78</v>
      </c>
      <c r="AW14" s="129" t="str">
        <f t="shared" ca="1" si="6"/>
        <v>Maxa</v>
      </c>
      <c r="AX14" s="130" t="str">
        <f t="shared" ca="1" si="4"/>
        <v>2 OZ, 0 (0+0), +2 ±</v>
      </c>
      <c r="AY14" s="130" t="str">
        <f t="shared" ca="1" si="5"/>
        <v>96 OZ, 53 (36+17)</v>
      </c>
      <c r="AZ14" s="131"/>
      <c r="BA14" s="131"/>
      <c r="BB14" s="131"/>
      <c r="BC14" s="131"/>
      <c r="BD14" s="3" t="str">
        <f t="shared" si="7"/>
        <v>Maxa</v>
      </c>
      <c r="BE14" s="85">
        <f t="shared" ca="1" si="8"/>
        <v>1</v>
      </c>
      <c r="BF14" s="62" t="str">
        <f t="shared" si="9"/>
        <v>D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979</v>
      </c>
      <c r="BU14" s="104">
        <v>2</v>
      </c>
      <c r="BV14" s="105" t="str">
        <f t="shared" si="17"/>
        <v>Mikuláš Komárek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326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333</v>
      </c>
      <c r="AH15" s="123">
        <v>32867</v>
      </c>
      <c r="AI15" s="124">
        <v>233</v>
      </c>
      <c r="AJ15" s="124">
        <v>140</v>
      </c>
      <c r="AK15" s="124">
        <v>137</v>
      </c>
      <c r="AL15" s="125">
        <f t="shared" si="1"/>
        <v>277</v>
      </c>
      <c r="AM15" s="124">
        <v>13</v>
      </c>
      <c r="AN15" s="124">
        <v>9</v>
      </c>
      <c r="AO15" s="126"/>
      <c r="AP15" s="126" t="s">
        <v>163</v>
      </c>
      <c r="AQ15" s="124">
        <v>182</v>
      </c>
      <c r="AR15" s="124">
        <v>82</v>
      </c>
      <c r="AS15" s="127" t="s">
        <v>347</v>
      </c>
      <c r="AT15" s="124">
        <v>2004</v>
      </c>
      <c r="AU15" s="128">
        <f t="shared" ca="1" si="2"/>
        <v>31</v>
      </c>
      <c r="AV15" s="128" t="str">
        <f t="shared" si="3"/>
        <v>182/82</v>
      </c>
      <c r="AW15" s="129" t="str">
        <f t="shared" ca="1" si="6"/>
        <v>Mikeš</v>
      </c>
      <c r="AX15" s="130" t="str">
        <f t="shared" ca="1" si="4"/>
        <v>0 OZ, 0 (0+0)</v>
      </c>
      <c r="AY15" s="130" t="str">
        <f t="shared" ca="1" si="5"/>
        <v>233 OZ, 277 (140+137)</v>
      </c>
      <c r="AZ15" s="131"/>
      <c r="BA15" s="131"/>
      <c r="BB15" s="131"/>
      <c r="BC15" s="131"/>
      <c r="BD15" s="90" t="str">
        <f t="shared" si="7"/>
        <v>Mikeš</v>
      </c>
      <c r="BE15" s="92">
        <f t="shared" ca="1" si="8"/>
        <v>1</v>
      </c>
      <c r="BF15" s="91" t="str">
        <f t="shared" si="9"/>
        <v>O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980</v>
      </c>
      <c r="BU15" s="104">
        <v>1</v>
      </c>
      <c r="BV15" s="105" t="str">
        <f t="shared" si="17"/>
        <v>Daniel Eremiáš</v>
      </c>
      <c r="BW15" s="103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323</v>
      </c>
      <c r="T16" s="103" t="s">
        <v>133</v>
      </c>
      <c r="U16" s="103">
        <v>1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3</v>
      </c>
      <c r="AC16" s="103" t="str">
        <f t="shared" ca="1" si="0"/>
        <v>NE</v>
      </c>
      <c r="AG16" s="122" t="s">
        <v>314</v>
      </c>
      <c r="AH16" s="123">
        <v>33775</v>
      </c>
      <c r="AI16" s="124">
        <v>240</v>
      </c>
      <c r="AJ16" s="124">
        <v>322</v>
      </c>
      <c r="AK16" s="124">
        <v>201</v>
      </c>
      <c r="AL16" s="125">
        <f t="shared" si="1"/>
        <v>523</v>
      </c>
      <c r="AM16" s="124">
        <v>13</v>
      </c>
      <c r="AN16" s="124">
        <v>25</v>
      </c>
      <c r="AO16" s="126"/>
      <c r="AP16" s="126" t="s">
        <v>27</v>
      </c>
      <c r="AQ16" s="124">
        <v>186</v>
      </c>
      <c r="AR16" s="124">
        <v>82</v>
      </c>
      <c r="AS16" s="127" t="s">
        <v>348</v>
      </c>
      <c r="AT16" s="124">
        <v>1999</v>
      </c>
      <c r="AU16" s="128">
        <f t="shared" ca="1" si="2"/>
        <v>29</v>
      </c>
      <c r="AV16" s="128" t="str">
        <f t="shared" si="3"/>
        <v>186/82</v>
      </c>
      <c r="AW16" s="129" t="str">
        <f t="shared" ca="1" si="6"/>
        <v>Ondrušek</v>
      </c>
      <c r="AX16" s="130" t="str">
        <f t="shared" ca="1" si="4"/>
        <v>2 OZ, 2 (1+1), 0 ±</v>
      </c>
      <c r="AY16" s="130" t="str">
        <f t="shared" ca="1" si="5"/>
        <v>242 OZ, 525 (323+202)</v>
      </c>
      <c r="AZ16" s="131"/>
      <c r="BA16" s="131"/>
      <c r="BB16" s="131"/>
      <c r="BC16" s="131"/>
      <c r="BD16" s="3" t="str">
        <f t="shared" si="7"/>
        <v>Ondrušek</v>
      </c>
      <c r="BE16" s="85">
        <f t="shared" ca="1" si="8"/>
        <v>1</v>
      </c>
      <c r="BF16" s="62" t="str">
        <f t="shared" si="9"/>
        <v>T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981</v>
      </c>
      <c r="BU16" s="104">
        <v>1</v>
      </c>
      <c r="BV16" s="105" t="str">
        <f t="shared" si="17"/>
        <v>Martin Skřivánek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324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2</v>
      </c>
      <c r="AC17" s="103" t="str">
        <f t="shared" ca="1" si="0"/>
        <v>ANO</v>
      </c>
      <c r="AG17" s="122" t="s">
        <v>134</v>
      </c>
      <c r="AH17" s="123"/>
      <c r="AI17" s="124">
        <v>15</v>
      </c>
      <c r="AJ17" s="124">
        <v>0</v>
      </c>
      <c r="AK17" s="124">
        <v>1</v>
      </c>
      <c r="AL17" s="125">
        <f t="shared" si="1"/>
        <v>1</v>
      </c>
      <c r="AM17" s="124" t="s">
        <v>337</v>
      </c>
      <c r="AN17" s="124">
        <v>98</v>
      </c>
      <c r="AO17" s="126"/>
      <c r="AP17" s="126" t="s">
        <v>27</v>
      </c>
      <c r="AQ17" s="124"/>
      <c r="AR17" s="124"/>
      <c r="AS17" s="127"/>
      <c r="AT17" s="124"/>
      <c r="AU17" s="128" t="str">
        <f t="shared" ca="1" si="2"/>
        <v>?</v>
      </c>
      <c r="AV17" s="128" t="str">
        <f t="shared" si="3"/>
        <v>? / ?</v>
      </c>
      <c r="AW17" s="129" t="str">
        <f t="shared" ca="1" si="6"/>
        <v>Pergler I.</v>
      </c>
      <c r="AX17" s="130" t="str">
        <f t="shared" ca="1" si="4"/>
        <v>0 OZ, 0 (0+0)</v>
      </c>
      <c r="AY17" s="130" t="str">
        <f t="shared" ca="1" si="5"/>
        <v>15 OZ, 1 (0+1)</v>
      </c>
      <c r="AZ17" s="131"/>
      <c r="BA17" s="131"/>
      <c r="BB17" s="131"/>
      <c r="BC17" s="131"/>
      <c r="BD17" s="90" t="str">
        <f t="shared" si="7"/>
        <v>Pergler</v>
      </c>
      <c r="BE17" s="92">
        <f t="shared" ca="1" si="8"/>
        <v>2</v>
      </c>
      <c r="BF17" s="91" t="str">
        <f t="shared" si="9"/>
        <v>I</v>
      </c>
      <c r="BG17" s="90" t="str">
        <f t="shared" ca="1" si="10"/>
        <v>Pergler I.</v>
      </c>
      <c r="BH17" s="91">
        <f t="shared" ca="1" si="11"/>
        <v>1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365</v>
      </c>
      <c r="BU17" s="104">
        <v>1</v>
      </c>
      <c r="BV17" s="105" t="str">
        <f t="shared" si="17"/>
        <v>Vojtěch Šimůnek</v>
      </c>
      <c r="BW17" s="103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322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318</v>
      </c>
      <c r="AH18" s="123"/>
      <c r="AI18" s="124"/>
      <c r="AJ18" s="124"/>
      <c r="AK18" s="124"/>
      <c r="AL18" s="125">
        <f t="shared" si="1"/>
        <v>0</v>
      </c>
      <c r="AM18" s="124" t="s">
        <v>337</v>
      </c>
      <c r="AN18" s="124"/>
      <c r="AO18" s="126"/>
      <c r="AP18" s="126"/>
      <c r="AQ18" s="124"/>
      <c r="AR18" s="124"/>
      <c r="AS18" s="127"/>
      <c r="AT18" s="124"/>
      <c r="AU18" s="128" t="str">
        <f t="shared" ca="1" si="2"/>
        <v>?</v>
      </c>
      <c r="AV18" s="128" t="str">
        <f t="shared" si="3"/>
        <v>? / ?</v>
      </c>
      <c r="AW18" s="129" t="str">
        <f t="shared" ca="1" si="6"/>
        <v>Pergler K.</v>
      </c>
      <c r="AX18" s="130" t="str">
        <f t="shared" ca="1" si="4"/>
        <v>0 V, 0 P</v>
      </c>
      <c r="AY18" s="130" t="str">
        <f t="shared" ca="1" si="5"/>
        <v>0 OZ, 0 A</v>
      </c>
      <c r="AZ18" s="131"/>
      <c r="BA18" s="131"/>
      <c r="BB18" s="131"/>
      <c r="BC18" s="131"/>
      <c r="BD18" s="3" t="str">
        <f t="shared" si="7"/>
        <v>Pergler</v>
      </c>
      <c r="BE18" s="85">
        <f t="shared" ca="1" si="8"/>
        <v>2</v>
      </c>
      <c r="BF18" s="62" t="str">
        <f t="shared" si="9"/>
        <v>K</v>
      </c>
      <c r="BG18" s="3" t="str">
        <f t="shared" ca="1" si="10"/>
        <v>Pergler K.</v>
      </c>
      <c r="BH18" s="62">
        <f t="shared" ca="1" si="11"/>
        <v>1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367</v>
      </c>
      <c r="BU18" s="104">
        <v>0</v>
      </c>
      <c r="BV18" s="105" t="str">
        <f t="shared" si="17"/>
        <v>Karel Pergler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CHO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316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2</v>
      </c>
      <c r="AB19" s="103">
        <v>5</v>
      </c>
      <c r="AC19" s="103" t="str">
        <f t="shared" ca="1" si="0"/>
        <v>ANO</v>
      </c>
      <c r="AG19" s="122" t="s">
        <v>320</v>
      </c>
      <c r="AH19" s="123">
        <v>35462</v>
      </c>
      <c r="AI19" s="124">
        <v>117</v>
      </c>
      <c r="AJ19" s="124">
        <v>30</v>
      </c>
      <c r="AK19" s="124">
        <v>18</v>
      </c>
      <c r="AL19" s="125">
        <f t="shared" si="1"/>
        <v>48</v>
      </c>
      <c r="AM19" s="124">
        <v>8</v>
      </c>
      <c r="AN19" s="124">
        <v>10</v>
      </c>
      <c r="AO19" s="126"/>
      <c r="AP19" s="126" t="s">
        <v>163</v>
      </c>
      <c r="AQ19" s="124">
        <v>172</v>
      </c>
      <c r="AR19" s="124">
        <v>73</v>
      </c>
      <c r="AS19" s="127" t="s">
        <v>349</v>
      </c>
      <c r="AT19" s="124">
        <v>2006</v>
      </c>
      <c r="AU19" s="128">
        <f t="shared" ca="1" si="2"/>
        <v>24</v>
      </c>
      <c r="AV19" s="128" t="str">
        <f t="shared" si="3"/>
        <v>172/73</v>
      </c>
      <c r="AW19" s="129" t="str">
        <f t="shared" ca="1" si="6"/>
        <v>Plíhal</v>
      </c>
      <c r="AX19" s="130" t="str">
        <f t="shared" ca="1" si="4"/>
        <v>1 OZ, 0 (0+0), 0 ±</v>
      </c>
      <c r="AY19" s="130" t="str">
        <f t="shared" ca="1" si="5"/>
        <v>118 OZ, 48 (30+18)</v>
      </c>
      <c r="AZ19" s="131"/>
      <c r="BA19" s="131"/>
      <c r="BB19" s="131"/>
      <c r="BC19" s="131"/>
      <c r="BD19" s="90" t="str">
        <f t="shared" si="7"/>
        <v>Plíhal</v>
      </c>
      <c r="BE19" s="92">
        <f t="shared" ca="1" si="8"/>
        <v>1</v>
      </c>
      <c r="BF19" s="91" t="str">
        <f t="shared" si="9"/>
        <v>O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319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316</v>
      </c>
      <c r="AH20" s="123">
        <v>33065</v>
      </c>
      <c r="AI20" s="124">
        <v>221</v>
      </c>
      <c r="AJ20" s="124">
        <v>44</v>
      </c>
      <c r="AK20" s="124">
        <v>107</v>
      </c>
      <c r="AL20" s="125">
        <f t="shared" si="1"/>
        <v>151</v>
      </c>
      <c r="AM20" s="124">
        <v>12</v>
      </c>
      <c r="AN20" s="124">
        <v>95</v>
      </c>
      <c r="AO20" s="126"/>
      <c r="AP20" s="126" t="s">
        <v>27</v>
      </c>
      <c r="AQ20" s="124">
        <v>173</v>
      </c>
      <c r="AR20" s="124">
        <v>82</v>
      </c>
      <c r="AS20" s="127" t="s">
        <v>350</v>
      </c>
      <c r="AT20" s="124">
        <v>1998</v>
      </c>
      <c r="AU20" s="128">
        <f t="shared" ca="1" si="2"/>
        <v>31</v>
      </c>
      <c r="AV20" s="128" t="str">
        <f t="shared" si="3"/>
        <v>173/82</v>
      </c>
      <c r="AW20" s="129" t="str">
        <f t="shared" ca="1" si="6"/>
        <v>Podhráský</v>
      </c>
      <c r="AX20" s="130" t="str">
        <f t="shared" ca="1" si="4"/>
        <v>2 OZ, 0 (0+0), +5 ±</v>
      </c>
      <c r="AY20" s="130" t="str">
        <f t="shared" ca="1" si="5"/>
        <v>223 OZ, 151 (44+107)</v>
      </c>
      <c r="AZ20" s="131"/>
      <c r="BA20" s="131"/>
      <c r="BB20" s="131"/>
      <c r="BC20" s="131"/>
      <c r="BD20" s="3" t="str">
        <f t="shared" si="7"/>
        <v>Podhráský</v>
      </c>
      <c r="BE20" s="85">
        <f t="shared" ca="1" si="8"/>
        <v>1</v>
      </c>
      <c r="BF20" s="62" t="str">
        <f t="shared" si="9"/>
        <v>M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318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334</v>
      </c>
      <c r="AH21" s="123">
        <v>31821</v>
      </c>
      <c r="AI21" s="124">
        <v>208</v>
      </c>
      <c r="AJ21" s="124">
        <v>0</v>
      </c>
      <c r="AK21" s="124">
        <v>2</v>
      </c>
      <c r="AL21" s="125">
        <f t="shared" si="1"/>
        <v>2</v>
      </c>
      <c r="AM21" s="124">
        <v>16</v>
      </c>
      <c r="AN21" s="124">
        <v>97</v>
      </c>
      <c r="AO21" s="126"/>
      <c r="AP21" s="126"/>
      <c r="AQ21" s="124">
        <v>183</v>
      </c>
      <c r="AR21" s="124">
        <v>97</v>
      </c>
      <c r="AS21" s="127" t="s">
        <v>350</v>
      </c>
      <c r="AT21" s="124">
        <v>1997</v>
      </c>
      <c r="AU21" s="128">
        <f t="shared" ca="1" si="2"/>
        <v>34</v>
      </c>
      <c r="AV21" s="128" t="str">
        <f t="shared" si="3"/>
        <v>183/97</v>
      </c>
      <c r="AW21" s="129" t="str">
        <f t="shared" ca="1" si="6"/>
        <v>Rebro</v>
      </c>
      <c r="AX21" s="130" t="str">
        <f t="shared" ca="1" si="4"/>
        <v>0 OZ, 0 (0+0)</v>
      </c>
      <c r="AY21" s="130" t="str">
        <f t="shared" ca="1" si="5"/>
        <v>208 OZ, 2 (0+2)</v>
      </c>
      <c r="AZ21" s="131"/>
      <c r="BA21" s="131"/>
      <c r="BB21" s="131"/>
      <c r="BC21" s="131"/>
      <c r="BD21" s="90" t="str">
        <f t="shared" si="7"/>
        <v>Rebro</v>
      </c>
      <c r="BE21" s="92">
        <f t="shared" ca="1" si="8"/>
        <v>1</v>
      </c>
      <c r="BF21" s="91" t="str">
        <f t="shared" si="9"/>
        <v>M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1" t="s">
        <v>317</v>
      </c>
      <c r="T22" s="103" t="s">
        <v>68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1</v>
      </c>
      <c r="AC22" s="103" t="str">
        <f t="shared" ca="1" si="0"/>
        <v>ANO</v>
      </c>
      <c r="AG22" s="122" t="s">
        <v>310</v>
      </c>
      <c r="AH22" s="123">
        <v>36539</v>
      </c>
      <c r="AI22" s="124">
        <v>94</v>
      </c>
      <c r="AJ22" s="124">
        <v>26</v>
      </c>
      <c r="AK22" s="124">
        <v>27</v>
      </c>
      <c r="AL22" s="125">
        <f t="shared" si="1"/>
        <v>53</v>
      </c>
      <c r="AM22" s="124">
        <v>5</v>
      </c>
      <c r="AN22" s="124">
        <v>27</v>
      </c>
      <c r="AO22" s="126"/>
      <c r="AP22" s="126" t="s">
        <v>27</v>
      </c>
      <c r="AQ22" s="124">
        <v>186</v>
      </c>
      <c r="AR22" s="124">
        <v>90</v>
      </c>
      <c r="AS22" s="127" t="s">
        <v>351</v>
      </c>
      <c r="AT22" s="124">
        <v>2007</v>
      </c>
      <c r="AU22" s="128">
        <f t="shared" ca="1" si="2"/>
        <v>21</v>
      </c>
      <c r="AV22" s="128" t="str">
        <f t="shared" si="3"/>
        <v>186/90</v>
      </c>
      <c r="AW22" s="129" t="str">
        <f t="shared" ca="1" si="6"/>
        <v>Řezáč</v>
      </c>
      <c r="AX22" s="130" t="str">
        <f t="shared" ca="1" si="4"/>
        <v>2 OZ, 2 (2+0), +1 ±</v>
      </c>
      <c r="AY22" s="130" t="str">
        <f t="shared" ca="1" si="5"/>
        <v>96 OZ, 55 (28+27)</v>
      </c>
      <c r="AZ22" s="131"/>
      <c r="BA22" s="131"/>
      <c r="BB22" s="131"/>
      <c r="BC22" s="131"/>
      <c r="BD22" s="3" t="str">
        <f t="shared" si="7"/>
        <v>Řezáč</v>
      </c>
      <c r="BE22" s="85">
        <f t="shared" ca="1" si="8"/>
        <v>1</v>
      </c>
      <c r="BF22" s="62" t="str">
        <f t="shared" si="9"/>
        <v>M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982</v>
      </c>
      <c r="BU22" s="104">
        <v>2</v>
      </c>
      <c r="BV22" s="105" t="str">
        <f t="shared" si="17"/>
        <v>Petr Majer</v>
      </c>
      <c r="BW22" s="103">
        <f t="shared" si="18"/>
        <v>2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321</v>
      </c>
      <c r="T23" s="103" t="s">
        <v>68</v>
      </c>
      <c r="U23" s="103">
        <v>2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 t="str">
        <f t="shared" ca="1" si="0"/>
        <v>ANO</v>
      </c>
      <c r="AG23" s="122" t="s">
        <v>321</v>
      </c>
      <c r="AH23" s="123"/>
      <c r="AI23" s="124"/>
      <c r="AJ23" s="124"/>
      <c r="AK23" s="124"/>
      <c r="AL23" s="125">
        <f t="shared" si="1"/>
        <v>0</v>
      </c>
      <c r="AM23" s="124" t="s">
        <v>337</v>
      </c>
      <c r="AN23" s="124"/>
      <c r="AO23" s="126"/>
      <c r="AP23" s="126"/>
      <c r="AQ23" s="124"/>
      <c r="AR23" s="124"/>
      <c r="AS23" s="127"/>
      <c r="AT23" s="124"/>
      <c r="AU23" s="128" t="str">
        <f t="shared" ca="1" si="2"/>
        <v>?</v>
      </c>
      <c r="AV23" s="128" t="str">
        <f t="shared" si="3"/>
        <v>? / ?</v>
      </c>
      <c r="AW23" s="129" t="str">
        <f t="shared" ca="1" si="6"/>
        <v>Slunečko</v>
      </c>
      <c r="AX23" s="130" t="str">
        <f t="shared" ca="1" si="4"/>
        <v>2 OZ, 0 (0+0), 0 ±</v>
      </c>
      <c r="AY23" s="130" t="str">
        <f t="shared" ca="1" si="5"/>
        <v>2 OZ, 0 (0+0)</v>
      </c>
      <c r="AZ23" s="131"/>
      <c r="BA23" s="131"/>
      <c r="BB23" s="131"/>
      <c r="BC23" s="131"/>
      <c r="BD23" s="90" t="str">
        <f t="shared" si="7"/>
        <v>Slunečko</v>
      </c>
      <c r="BE23" s="92">
        <f t="shared" ca="1" si="8"/>
        <v>1</v>
      </c>
      <c r="BF23" s="91" t="str">
        <f t="shared" si="9"/>
        <v>R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983</v>
      </c>
      <c r="BU23" s="104">
        <v>2</v>
      </c>
      <c r="BV23" s="105" t="str">
        <f t="shared" si="17"/>
        <v>Tomáš Vávra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335</v>
      </c>
      <c r="AH24" s="123">
        <v>36548</v>
      </c>
      <c r="AI24" s="124">
        <v>92</v>
      </c>
      <c r="AJ24" s="124">
        <v>5</v>
      </c>
      <c r="AK24" s="124">
        <v>2</v>
      </c>
      <c r="AL24" s="125">
        <f t="shared" si="1"/>
        <v>7</v>
      </c>
      <c r="AM24" s="124">
        <v>5</v>
      </c>
      <c r="AN24" s="124">
        <v>99</v>
      </c>
      <c r="AO24" s="126"/>
      <c r="AP24" s="126" t="s">
        <v>163</v>
      </c>
      <c r="AQ24" s="124">
        <v>182</v>
      </c>
      <c r="AR24" s="124">
        <v>75</v>
      </c>
      <c r="AS24" s="127" t="s">
        <v>351</v>
      </c>
      <c r="AT24" s="124">
        <v>2007</v>
      </c>
      <c r="AU24" s="128">
        <f t="shared" ref="AU24:AU50" ca="1" si="19">IF(AG24&lt;&gt;"",IF(AH24&lt;&gt;"",INT((TODAY()-AH24)/365),"?"),"")</f>
        <v>21</v>
      </c>
      <c r="AV24" s="128" t="str">
        <f t="shared" ref="AV24:AV50" si="20">IF(AG24&lt;&gt;"",CONCATENATE(IF(AQ24&lt;&gt;"",AQ24,"? "),"/",IF(AR24&lt;&gt;"",AR24," ?")),"")</f>
        <v>182/75</v>
      </c>
      <c r="AW24" s="129" t="str">
        <f t="shared" ca="1" si="6"/>
        <v>Strnad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-1 ±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93 OZ, 7 (5+2)</v>
      </c>
      <c r="AZ24" s="131"/>
      <c r="BA24" s="131"/>
      <c r="BB24" s="131"/>
      <c r="BC24" s="131"/>
      <c r="BD24" s="3" t="str">
        <f t="shared" si="7"/>
        <v>Strnad</v>
      </c>
      <c r="BE24" s="85">
        <f t="shared" ca="1" si="8"/>
        <v>1</v>
      </c>
      <c r="BF24" s="62" t="str">
        <f t="shared" si="9"/>
        <v>M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984</v>
      </c>
      <c r="BU24" s="104">
        <v>1</v>
      </c>
      <c r="BV24" s="105" t="str">
        <f t="shared" si="17"/>
        <v>Daniel Eremiáš</v>
      </c>
      <c r="BW24" s="103">
        <f t="shared" si="18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322</v>
      </c>
      <c r="AH25" s="123">
        <v>32329</v>
      </c>
      <c r="AI25" s="124">
        <v>228</v>
      </c>
      <c r="AJ25" s="124">
        <v>59</v>
      </c>
      <c r="AK25" s="124">
        <v>158</v>
      </c>
      <c r="AL25" s="125">
        <f t="shared" si="1"/>
        <v>217</v>
      </c>
      <c r="AM25" s="124">
        <v>12</v>
      </c>
      <c r="AN25" s="124">
        <v>26</v>
      </c>
      <c r="AO25" s="126"/>
      <c r="AP25" s="126" t="s">
        <v>27</v>
      </c>
      <c r="AQ25" s="124">
        <v>180</v>
      </c>
      <c r="AR25" s="124">
        <v>74</v>
      </c>
      <c r="AS25" s="127" t="s">
        <v>352</v>
      </c>
      <c r="AT25" s="124">
        <v>2004</v>
      </c>
      <c r="AU25" s="128">
        <f t="shared" ca="1" si="19"/>
        <v>33</v>
      </c>
      <c r="AV25" s="128" t="str">
        <f t="shared" si="20"/>
        <v>180/74</v>
      </c>
      <c r="AW25" s="129" t="str">
        <f t="shared" ca="1" si="6"/>
        <v>Sýkora</v>
      </c>
      <c r="AX25" s="130" t="str">
        <f t="shared" ca="1" si="21"/>
        <v>2 OZ, 0 (0+0), 0 ±</v>
      </c>
      <c r="AY25" s="130" t="str">
        <f t="shared" ca="1" si="22"/>
        <v>230 OZ, 217 (59+158)</v>
      </c>
      <c r="AZ25" s="131"/>
      <c r="BA25" s="131"/>
      <c r="BB25" s="131"/>
      <c r="BC25" s="131"/>
      <c r="BD25" s="90" t="str">
        <f t="shared" si="7"/>
        <v>Sýkora</v>
      </c>
      <c r="BE25" s="92">
        <f t="shared" ca="1" si="8"/>
        <v>1</v>
      </c>
      <c r="BF25" s="91" t="str">
        <f t="shared" si="9"/>
        <v>T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985</v>
      </c>
      <c r="BU25" s="104">
        <v>1</v>
      </c>
      <c r="BV25" s="105" t="str">
        <f t="shared" si="17"/>
        <v>Lukáš Kafka</v>
      </c>
      <c r="BW25" s="103">
        <f t="shared" si="18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319</v>
      </c>
      <c r="AH26" s="123">
        <v>36800</v>
      </c>
      <c r="AI26" s="124">
        <v>14</v>
      </c>
      <c r="AJ26" s="124">
        <v>0</v>
      </c>
      <c r="AK26" s="124">
        <v>1</v>
      </c>
      <c r="AL26" s="125">
        <f t="shared" si="1"/>
        <v>1</v>
      </c>
      <c r="AM26" s="124">
        <v>5</v>
      </c>
      <c r="AN26" s="124">
        <v>31</v>
      </c>
      <c r="AO26" s="126"/>
      <c r="AP26" s="126"/>
      <c r="AQ26" s="124">
        <v>175</v>
      </c>
      <c r="AR26" s="124">
        <v>76</v>
      </c>
      <c r="AS26" s="127" t="s">
        <v>353</v>
      </c>
      <c r="AT26" s="124">
        <v>2010</v>
      </c>
      <c r="AU26" s="128">
        <f t="shared" ca="1" si="19"/>
        <v>20</v>
      </c>
      <c r="AV26" s="128" t="str">
        <f t="shared" si="20"/>
        <v>175/76</v>
      </c>
      <c r="AW26" s="129" t="str">
        <f t="shared" ca="1" si="6"/>
        <v>Šimůnek</v>
      </c>
      <c r="AX26" s="130" t="str">
        <f t="shared" ca="1" si="21"/>
        <v>1 V, 1 P</v>
      </c>
      <c r="AY26" s="130" t="str">
        <f t="shared" ca="1" si="22"/>
        <v>16 OZ, 1 A</v>
      </c>
      <c r="AZ26" s="131"/>
      <c r="BA26" s="131"/>
      <c r="BB26" s="131"/>
      <c r="BC26" s="131"/>
      <c r="BD26" s="3" t="str">
        <f t="shared" si="7"/>
        <v>Šimůnek</v>
      </c>
      <c r="BE26" s="85">
        <f t="shared" ca="1" si="8"/>
        <v>1</v>
      </c>
      <c r="BF26" s="62" t="str">
        <f t="shared" si="9"/>
        <v>V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986</v>
      </c>
      <c r="BU26" s="104">
        <v>1</v>
      </c>
      <c r="BV26" s="105" t="str">
        <f t="shared" si="17"/>
        <v>Marek Vávra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336</v>
      </c>
      <c r="AH27" s="123">
        <v>28909</v>
      </c>
      <c r="AI27" s="124"/>
      <c r="AJ27" s="124"/>
      <c r="AK27" s="124"/>
      <c r="AL27" s="125">
        <f t="shared" si="1"/>
        <v>0</v>
      </c>
      <c r="AM27" s="124" t="s">
        <v>337</v>
      </c>
      <c r="AN27" s="124"/>
      <c r="AO27" s="126"/>
      <c r="AP27" s="126"/>
      <c r="AQ27" s="124"/>
      <c r="AR27" s="124"/>
      <c r="AS27" s="127"/>
      <c r="AT27" s="124"/>
      <c r="AU27" s="128">
        <f t="shared" ca="1" si="19"/>
        <v>42</v>
      </c>
      <c r="AV27" s="128" t="str">
        <f t="shared" si="20"/>
        <v>? / ?</v>
      </c>
      <c r="AW27" s="129" t="str">
        <f t="shared" ca="1" si="6"/>
        <v>Štegl</v>
      </c>
      <c r="AX27" s="130" t="str">
        <f t="shared" ca="1" si="21"/>
        <v>0 OZ, 0 (0+0)</v>
      </c>
      <c r="AY27" s="130" t="str">
        <f t="shared" ca="1" si="22"/>
        <v xml:space="preserve"> OZ, 0 (+)</v>
      </c>
      <c r="AZ27" s="131"/>
      <c r="BA27" s="131"/>
      <c r="BB27" s="131"/>
      <c r="BC27" s="131"/>
      <c r="BD27" s="90" t="str">
        <f t="shared" si="7"/>
        <v>Štegl</v>
      </c>
      <c r="BE27" s="92">
        <f t="shared" ca="1" si="8"/>
        <v>1</v>
      </c>
      <c r="BF27" s="91" t="str">
        <f t="shared" si="9"/>
        <v>A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369</v>
      </c>
      <c r="BU27" s="104">
        <v>2</v>
      </c>
      <c r="BV27" s="105" t="str">
        <f t="shared" si="17"/>
        <v>Michal Podhráský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308</v>
      </c>
      <c r="AH28" s="123">
        <v>34094</v>
      </c>
      <c r="AI28" s="124">
        <v>230</v>
      </c>
      <c r="AJ28" s="124">
        <v>266</v>
      </c>
      <c r="AK28" s="124">
        <v>192</v>
      </c>
      <c r="AL28" s="125">
        <f t="shared" si="1"/>
        <v>458</v>
      </c>
      <c r="AM28" s="124">
        <v>12</v>
      </c>
      <c r="AN28" s="124">
        <v>21</v>
      </c>
      <c r="AO28" s="126" t="s">
        <v>180</v>
      </c>
      <c r="AP28" s="126" t="s">
        <v>163</v>
      </c>
      <c r="AQ28" s="124">
        <v>178</v>
      </c>
      <c r="AR28" s="124">
        <v>72</v>
      </c>
      <c r="AS28" s="127" t="s">
        <v>74</v>
      </c>
      <c r="AT28" s="124">
        <v>2000</v>
      </c>
      <c r="AU28" s="128">
        <f t="shared" ca="1" si="19"/>
        <v>28</v>
      </c>
      <c r="AV28" s="128" t="str">
        <f t="shared" si="20"/>
        <v>178/72</v>
      </c>
      <c r="AW28" s="129" t="str">
        <f t="shared" ca="1" si="6"/>
        <v>Vávra M.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3 (2+1), 0 ±</v>
      </c>
      <c r="AY28" s="130" t="str">
        <f t="shared" ca="1" si="22"/>
        <v>232 OZ, 461 (268+193)</v>
      </c>
      <c r="AZ28" s="131"/>
      <c r="BA28" s="131"/>
      <c r="BB28" s="131"/>
      <c r="BC28" s="131"/>
      <c r="BD28" s="3" t="str">
        <f t="shared" si="7"/>
        <v>Vávra</v>
      </c>
      <c r="BE28" s="85">
        <f t="shared" ca="1" si="8"/>
        <v>2</v>
      </c>
      <c r="BF28" s="62" t="str">
        <f t="shared" si="9"/>
        <v>M</v>
      </c>
      <c r="BG28" s="3" t="str">
        <f t="shared" ca="1" si="10"/>
        <v>Vávra M.</v>
      </c>
      <c r="BH28" s="62">
        <f t="shared" ca="1" si="11"/>
        <v>1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370</v>
      </c>
      <c r="BU28" s="104">
        <v>2</v>
      </c>
      <c r="BV28" s="105" t="str">
        <f t="shared" si="17"/>
        <v>Mikuláš Komárek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309</v>
      </c>
      <c r="AH29" s="123">
        <v>31955</v>
      </c>
      <c r="AI29" s="124">
        <v>317</v>
      </c>
      <c r="AJ29" s="124">
        <v>96</v>
      </c>
      <c r="AK29" s="124">
        <v>95</v>
      </c>
      <c r="AL29" s="125">
        <f t="shared" si="1"/>
        <v>191</v>
      </c>
      <c r="AM29" s="124">
        <v>18</v>
      </c>
      <c r="AN29" s="124">
        <v>15</v>
      </c>
      <c r="AO29" s="126"/>
      <c r="AP29" s="126" t="s">
        <v>163</v>
      </c>
      <c r="AQ29" s="124">
        <v>178</v>
      </c>
      <c r="AR29" s="124">
        <v>80</v>
      </c>
      <c r="AS29" s="127" t="s">
        <v>74</v>
      </c>
      <c r="AT29" s="124">
        <v>2002</v>
      </c>
      <c r="AU29" s="128">
        <f t="shared" ca="1" si="19"/>
        <v>34</v>
      </c>
      <c r="AV29" s="128" t="str">
        <f t="shared" si="20"/>
        <v>178/80</v>
      </c>
      <c r="AW29" s="129" t="str">
        <f t="shared" ca="1" si="6"/>
        <v>Vávra T.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2 (0+2), +3 ±</v>
      </c>
      <c r="AY29" s="130" t="str">
        <f t="shared" ca="1" si="22"/>
        <v>319 OZ, 193 (96+97)</v>
      </c>
      <c r="AZ29" s="131"/>
      <c r="BA29" s="131"/>
      <c r="BB29" s="131"/>
      <c r="BC29" s="131"/>
      <c r="BD29" s="90" t="str">
        <f t="shared" si="7"/>
        <v>Vávra</v>
      </c>
      <c r="BE29" s="92">
        <f t="shared" ca="1" si="8"/>
        <v>2</v>
      </c>
      <c r="BF29" s="91" t="str">
        <f t="shared" si="9"/>
        <v>T</v>
      </c>
      <c r="BG29" s="90" t="str">
        <f t="shared" ca="1" si="10"/>
        <v>Vávra T.</v>
      </c>
      <c r="BH29" s="91">
        <f t="shared" ca="1" si="11"/>
        <v>1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371</v>
      </c>
      <c r="BU29" s="104">
        <v>2</v>
      </c>
      <c r="BV29" s="105" t="str">
        <f t="shared" si="17"/>
        <v>Ondřej Vošta</v>
      </c>
      <c r="BW29" s="103">
        <f t="shared" si="18"/>
        <v>2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CHO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 t="s">
        <v>312</v>
      </c>
      <c r="AH30" s="123">
        <v>35445</v>
      </c>
      <c r="AI30" s="124">
        <v>106</v>
      </c>
      <c r="AJ30" s="124">
        <v>34</v>
      </c>
      <c r="AK30" s="124">
        <v>25</v>
      </c>
      <c r="AL30" s="125">
        <f t="shared" si="1"/>
        <v>59</v>
      </c>
      <c r="AM30" s="124">
        <v>7</v>
      </c>
      <c r="AN30" s="124">
        <v>14</v>
      </c>
      <c r="AO30" s="126"/>
      <c r="AP30" s="126" t="s">
        <v>163</v>
      </c>
      <c r="AQ30" s="124">
        <v>184</v>
      </c>
      <c r="AR30" s="124">
        <v>78</v>
      </c>
      <c r="AS30" s="127" t="s">
        <v>345</v>
      </c>
      <c r="AT30" s="124">
        <v>2009</v>
      </c>
      <c r="AU30" s="128">
        <f t="shared" ca="1" si="19"/>
        <v>24</v>
      </c>
      <c r="AV30" s="128" t="str">
        <f t="shared" si="20"/>
        <v>184/78</v>
      </c>
      <c r="AW30" s="129" t="str">
        <f t="shared" ca="1" si="6"/>
        <v>Vošta</v>
      </c>
      <c r="AX30" s="130" t="str">
        <f t="shared" ca="1" si="23"/>
        <v>2 OZ, 1 (1+0), +1 ±</v>
      </c>
      <c r="AY30" s="130" t="str">
        <f t="shared" ca="1" si="22"/>
        <v>108 OZ, 60 (35+25)</v>
      </c>
      <c r="AZ30" s="131"/>
      <c r="BA30" s="131"/>
      <c r="BB30" s="131"/>
      <c r="BC30" s="131"/>
      <c r="BD30" s="3" t="str">
        <f t="shared" si="7"/>
        <v>Vošta</v>
      </c>
      <c r="BE30" s="85">
        <f t="shared" ca="1" si="8"/>
        <v>1</v>
      </c>
      <c r="BF30" s="62" t="str">
        <f t="shared" si="9"/>
        <v>O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1"/>
        <v>0</v>
      </c>
      <c r="BK30" s="3" t="str">
        <f t="shared" ca="1" si="13"/>
        <v/>
      </c>
      <c r="BL30" s="62">
        <f t="shared" ca="1" si="14"/>
        <v>0</v>
      </c>
      <c r="BM30" s="3" t="str">
        <f t="shared" ca="1" si="15"/>
        <v/>
      </c>
      <c r="BS30" s="361"/>
      <c r="BT30" s="105" t="s">
        <v>372</v>
      </c>
      <c r="BU30" s="104">
        <v>0</v>
      </c>
      <c r="BV30" s="105" t="str">
        <f t="shared" si="17"/>
        <v>Adam Balatka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6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373</v>
      </c>
      <c r="BU31" s="104">
        <v>0</v>
      </c>
      <c r="BV31" s="105" t="str">
        <f t="shared" si="17"/>
        <v>Daniel Eremiáš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6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6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6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6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6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319</v>
      </c>
      <c r="T45" s="103">
        <v>2</v>
      </c>
      <c r="U45" s="113">
        <v>121.02</v>
      </c>
      <c r="V45" s="103">
        <v>1</v>
      </c>
      <c r="W45" s="103">
        <v>11</v>
      </c>
      <c r="X45" s="103">
        <v>0</v>
      </c>
      <c r="Y45" s="103">
        <v>41</v>
      </c>
      <c r="Z45" s="103">
        <v>0</v>
      </c>
      <c r="AA45" s="103">
        <v>1</v>
      </c>
      <c r="AB45" s="103">
        <v>30</v>
      </c>
      <c r="AC45" s="103">
        <v>0</v>
      </c>
      <c r="AD45" s="103">
        <v>0</v>
      </c>
      <c r="AE45" s="113">
        <f>IF(S45&lt;&gt;"",IF(T45&gt;0,W45/(U45/60),0),"")</f>
        <v>5.4536440257808625</v>
      </c>
      <c r="AF45" s="113">
        <f>IF(S45&lt;&gt;"",IF(Y45&gt;0,(AB45/Y45)*100,"-"),"")</f>
        <v>73.170731707317074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318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 t="s">
        <v>237</v>
      </c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24" t="s">
        <v>1</v>
      </c>
      <c r="I1" s="324"/>
      <c r="J1" s="324"/>
      <c r="K1" s="324"/>
      <c r="M1" s="322" t="s">
        <v>243</v>
      </c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25">
        <f ca="1">IFERROR(IF(VLOOKUP(A1,OFFSET($AG$2,,,COUNTIF($AG$2:$AG$50,"?*"),23),2,FALSE)&lt;&gt;0,YEAR(VLOOKUP(A1,OFFSET($AG$2,,,COUNTIF($AG$2:$AG$50,"?*"),23),2,FALSE)),""),"")</f>
        <v>1998</v>
      </c>
      <c r="C2" s="326"/>
      <c r="D2" s="95">
        <f ca="1">IFERROR(VLOOKUP(A1,OFFSET($AG$2,,,COUNTIF($AG$2:$AG$50,"?*"),23),15,FALSE),"")</f>
        <v>22</v>
      </c>
      <c r="E2" s="316" t="str">
        <f ca="1">IFERROR(VLOOKUP(A1,OFFSET($AG$2,,,COUNTIF($AG$2:$AG$50,"?*"),23),16,FALSE),"")</f>
        <v>177/74</v>
      </c>
      <c r="F2" s="317"/>
      <c r="M2" s="4" t="str">
        <f ca="1">IFERROR(IF(VLOOKUP(M1,OFFSET($AG$2,,,COUNTIF($AG$2:$AG$50,"?*"),23),10,FALSE)&lt;&gt;0,VLOOKUP(M1,OFFSET($AG$2,,,COUNTIF($AG$2:$AG$50,"?*"),23),10,FALSE),""),"")</f>
        <v>L</v>
      </c>
      <c r="N2" s="325">
        <f ca="1">IFERROR(IF(VLOOKUP(M1,OFFSET($AG$2,,,COUNTIF($AG$2:$AG$50,"?*"),23),2,FALSE)&lt;&gt;0,YEAR(VLOOKUP(M1,OFFSET($AG$2,,,COUNTIF($AG$2:$AG$50,"?*"),23),2,FALSE)),""),"")</f>
        <v>2003</v>
      </c>
      <c r="O2" s="326"/>
      <c r="P2" s="95">
        <f ca="1">IFERROR(VLOOKUP(M1,OFFSET($AG$2,,,COUNTIF($AG$2:$AG$50,"?*"),23),15,FALSE),"")</f>
        <v>18</v>
      </c>
      <c r="Q2" s="316" t="str">
        <f ca="1">IFERROR(VLOOKUP(M1,OFFSET($AG$2,,,COUNTIF($AG$2:$AG$50,"?*"),23),16,FALSE),"")</f>
        <v>187/83</v>
      </c>
      <c r="R2" s="317"/>
      <c r="S2" s="111" t="s">
        <v>236</v>
      </c>
      <c r="U2" s="103">
        <v>2</v>
      </c>
      <c r="V2" s="103">
        <v>1</v>
      </c>
      <c r="W2" s="103">
        <v>1</v>
      </c>
      <c r="X2" s="103">
        <v>0</v>
      </c>
      <c r="Y2" s="103">
        <v>2</v>
      </c>
      <c r="Z2" s="103">
        <v>3</v>
      </c>
      <c r="AA2" s="103">
        <v>0</v>
      </c>
      <c r="AB2" s="103">
        <v>-1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244</v>
      </c>
      <c r="AH2" s="123">
        <v>34442</v>
      </c>
      <c r="AI2" s="124">
        <v>118</v>
      </c>
      <c r="AJ2" s="124">
        <v>26</v>
      </c>
      <c r="AK2" s="124">
        <v>9</v>
      </c>
      <c r="AL2" s="125">
        <f t="shared" ref="AL2:AL25" si="1">IF(AG2&lt;&gt;"",AJ2+AK2,"")</f>
        <v>35</v>
      </c>
      <c r="AM2" s="124">
        <v>11</v>
      </c>
      <c r="AN2" s="124">
        <v>48</v>
      </c>
      <c r="AO2" s="126"/>
      <c r="AP2" s="126" t="s">
        <v>163</v>
      </c>
      <c r="AQ2" s="124">
        <v>185</v>
      </c>
      <c r="AR2" s="124">
        <v>86</v>
      </c>
      <c r="AS2" s="127" t="s">
        <v>256</v>
      </c>
      <c r="AT2" s="124">
        <v>2001</v>
      </c>
      <c r="AU2" s="128">
        <f t="shared" ref="AU2:AU25" ca="1" si="2">IF(AG2&lt;&gt;"",IF(AH2&lt;&gt;"",INT((TODAY()-AH2)/365),"?"),"")</f>
        <v>27</v>
      </c>
      <c r="AV2" s="128" t="str">
        <f t="shared" ref="AV2:AV25" si="3">IF(AG2&lt;&gt;"",CONCATENATE(IF(AQ2&lt;&gt;"",AQ2,"? "),"/",IF(AR2&lt;&gt;"",AR2," ?")),"")</f>
        <v>185/86</v>
      </c>
      <c r="AW2" s="129" t="str">
        <f t="shared" ref="AW2:AW25" ca="1" si="4">IF(AG2&lt;&gt;"",IF(BE2=1,BD2,IF(BH2=1,BG2,IF(BJ2=1,BI2,IF(BL2=1,BK2,BM2)))),"")</f>
        <v>Baudisch</v>
      </c>
      <c r="AX2" s="130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-5 ±</v>
      </c>
      <c r="AY2" s="130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120 OZ, 35 (26+9)</v>
      </c>
      <c r="AZ2" s="131"/>
      <c r="BA2" s="131"/>
      <c r="BB2" s="131"/>
      <c r="BC2" s="131"/>
      <c r="BD2" s="3" t="str">
        <f>IF(AG2&lt;&gt;"",RIGHT(AG2,LEN(AG2)-SEARCH(" ",AG2)),"")</f>
        <v>Baudisch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273</v>
      </c>
      <c r="BO2" s="123">
        <v>24850</v>
      </c>
      <c r="BP2" s="132" t="s">
        <v>278</v>
      </c>
      <c r="BQ2" s="133" t="s">
        <v>282</v>
      </c>
      <c r="BR2" s="128">
        <f ca="1">IF(BN2&lt;&gt;"",IF(BO2&lt;&gt;"",INT((TODAY()-BO2)/365),"?"),"")</f>
        <v>53</v>
      </c>
      <c r="BS2" s="361" t="s">
        <v>36</v>
      </c>
      <c r="BT2" s="105" t="s">
        <v>283</v>
      </c>
      <c r="BU2" s="104">
        <v>3</v>
      </c>
      <c r="BV2" s="105" t="str">
        <f>IFERROR(RIGHT(BT2,LEN(BT2)-SEARCH(" ",BT2)),"")</f>
        <v>Jakub Kopecký</v>
      </c>
      <c r="BW2" s="103">
        <f>IF(BT2&lt;&gt;0,_xlfn.NUMBERVALUE(BU2,","),"")</f>
        <v>3</v>
      </c>
      <c r="BX2" s="360" t="s">
        <v>233</v>
      </c>
      <c r="BY2" s="104" t="s">
        <v>225</v>
      </c>
      <c r="BZ2" s="104" t="s">
        <v>105</v>
      </c>
      <c r="CA2" s="116" t="s">
        <v>991</v>
      </c>
    </row>
    <row r="3" spans="1:79" ht="15" customHeight="1" thickTop="1" thickBot="1" x14ac:dyDescent="0.25">
      <c r="A3" s="318" t="str">
        <f ca="1">IFERROR(VLOOKUP(A1,OFFSET($AG$2,,,COUNTIF($AG$2:$AG$50,"?*"),23),18,FALSE),"")</f>
        <v>2 OZ, 1 (1+0), -2 ±</v>
      </c>
      <c r="B3" s="319"/>
      <c r="C3" s="319"/>
      <c r="D3" s="320" t="str">
        <f ca="1">IFERROR(VLOOKUP(A1,OFFSET($AG$2,,,COUNTIF($AG$2:$AG$50,"?*"),23),19,FALSE),"")</f>
        <v>96 OZ, 30 (21+9)</v>
      </c>
      <c r="E3" s="320"/>
      <c r="F3" s="321"/>
      <c r="G3" s="322" t="s">
        <v>236</v>
      </c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18" t="str">
        <f ca="1">IFERROR(VLOOKUP(M1,OFFSET($AG$2,,,COUNTIF($AG$2:$AG$50,"?*"),23),18,FALSE),"")</f>
        <v>2 OZ, 0 (0+0), -2 ±</v>
      </c>
      <c r="N3" s="319"/>
      <c r="O3" s="319"/>
      <c r="P3" s="320" t="str">
        <f ca="1">IFERROR(VLOOKUP(M1,OFFSET($AG$2,,,COUNTIF($AG$2:$AG$50,"?*"),23),19,FALSE),"")</f>
        <v>20 OZ, 14 (9+5)</v>
      </c>
      <c r="Q3" s="320"/>
      <c r="R3" s="321"/>
      <c r="S3" s="111" t="s">
        <v>240</v>
      </c>
      <c r="T3" s="103" t="s">
        <v>133</v>
      </c>
      <c r="U3" s="103">
        <v>2</v>
      </c>
      <c r="V3" s="103">
        <v>1</v>
      </c>
      <c r="W3" s="103">
        <v>1</v>
      </c>
      <c r="X3" s="103">
        <v>0</v>
      </c>
      <c r="Y3" s="103">
        <v>1</v>
      </c>
      <c r="Z3" s="103">
        <v>2</v>
      </c>
      <c r="AA3" s="103">
        <v>0</v>
      </c>
      <c r="AB3" s="103">
        <v>-1</v>
      </c>
      <c r="AC3" s="103" t="str">
        <f t="shared" ca="1" si="0"/>
        <v>ANO</v>
      </c>
      <c r="AG3" s="122" t="s">
        <v>257</v>
      </c>
      <c r="AH3" s="123">
        <v>35107</v>
      </c>
      <c r="AI3" s="124">
        <v>121</v>
      </c>
      <c r="AJ3" s="124">
        <v>4</v>
      </c>
      <c r="AK3" s="124">
        <v>12</v>
      </c>
      <c r="AL3" s="125">
        <f t="shared" si="1"/>
        <v>16</v>
      </c>
      <c r="AM3" s="124">
        <v>6</v>
      </c>
      <c r="AN3" s="124">
        <v>8</v>
      </c>
      <c r="AO3" s="126"/>
      <c r="AP3" s="126" t="s">
        <v>163</v>
      </c>
      <c r="AQ3" s="124">
        <v>180</v>
      </c>
      <c r="AR3" s="124">
        <v>73</v>
      </c>
      <c r="AS3" s="127" t="s">
        <v>86</v>
      </c>
      <c r="AT3" s="124">
        <v>2011</v>
      </c>
      <c r="AU3" s="128">
        <f t="shared" ca="1" si="2"/>
        <v>25</v>
      </c>
      <c r="AV3" s="128" t="str">
        <f t="shared" si="3"/>
        <v>180/73</v>
      </c>
      <c r="AW3" s="129" t="str">
        <f t="shared" ca="1" si="4"/>
        <v>Bitman</v>
      </c>
      <c r="AX3" s="130" t="str">
        <f t="shared" ca="1" si="5"/>
        <v>0 OZ, 0 (0+0)</v>
      </c>
      <c r="AY3" s="130" t="str">
        <f t="shared" ca="1" si="6"/>
        <v>121 OZ, 16 (4+12)</v>
      </c>
      <c r="AZ3" s="131"/>
      <c r="BA3" s="131"/>
      <c r="BB3" s="131"/>
      <c r="BC3" s="131"/>
      <c r="BD3" s="90" t="str">
        <f t="shared" ref="BD3:BD50" si="7">IF(AG3&lt;&gt;"",RIGHT(AG3,LEN(AG3)-SEARCH(" ",AG3)),"")</f>
        <v>Bitman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J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274</v>
      </c>
      <c r="BO3" s="123">
        <v>34764</v>
      </c>
      <c r="BP3" s="132" t="s">
        <v>279</v>
      </c>
      <c r="BQ3" s="133"/>
      <c r="BR3" s="128">
        <f t="shared" ref="BR3:BR11" ca="1" si="16">IF(BN3&lt;&gt;"",IF(BO3&lt;&gt;"",INT((TODAY()-BO3)/365),"?"),"")</f>
        <v>26</v>
      </c>
      <c r="BS3" s="361"/>
      <c r="BT3" s="105" t="s">
        <v>992</v>
      </c>
      <c r="BU3" s="104">
        <v>2</v>
      </c>
      <c r="BV3" s="105" t="str">
        <f t="shared" ref="BV3:BV31" si="17">IFERROR(RIGHT(BT3,LEN(BT3)-SEARCH(" ",BT3)),"")</f>
        <v>Prokop Ferdan</v>
      </c>
      <c r="BW3" s="103">
        <f t="shared" ref="BW3:BW31" si="18">IF(BT3&lt;&gt;0,_xlfn.NUMBERVALUE(BU3,","),"")</f>
        <v>2</v>
      </c>
      <c r="BX3" s="360"/>
      <c r="BY3" s="104" t="s">
        <v>294</v>
      </c>
      <c r="BZ3" s="104" t="s">
        <v>23</v>
      </c>
      <c r="CA3" s="116" t="s">
        <v>295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>FBC Liberec</v>
      </c>
      <c r="B4" s="328"/>
      <c r="C4" s="329"/>
      <c r="D4" s="330">
        <f ca="1">IFERROR(IF(VLOOKUP(A1,OFFSET($AG$2,,,COUNTIF($AG$2:$AG$50,"?*"),23),14,FALSE)&lt;&gt;0,VLOOKUP(A1,OFFSET($AG$2,,,COUNTIF($AG$2:$AG$50,"?*"),23),14,FALSE),"?"),"")</f>
        <v>2011</v>
      </c>
      <c r="E4" s="331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25">
        <f ca="1">IFERROR(IF(VLOOKUP(G3,OFFSET($AG$2,,,COUNTIF($AG$2:$AG$50,"?*"),23),2,FALSE)&lt;&gt;0,YEAR(VLOOKUP(G3,OFFSET($AG$2,,,COUNTIF($AG$2:$AG$50,"?*"),23),2,FALSE)),""),"")</f>
        <v>1998</v>
      </c>
      <c r="I4" s="326"/>
      <c r="J4" s="95">
        <f ca="1">IFERROR(VLOOKUP(G3,OFFSET($AG$2,,,COUNTIF($AG$2:$AG$50,"?*"),23),15,FALSE),"")</f>
        <v>23</v>
      </c>
      <c r="K4" s="316" t="str">
        <f ca="1">IFERROR(VLOOKUP(G3,OFFSET($AG$2,,,COUNTIF($AG$2:$AG$50,"?*"),23),16,FALSE),"")</f>
        <v>185/74</v>
      </c>
      <c r="L4" s="317"/>
      <c r="M4" s="327" t="str">
        <f ca="1">IFERROR(IF(VLOOKUP(M1,OFFSET($AG$2,,,COUNTIF($AG$2:$AG$50,"?*"),23),13,FALSE)&lt;&gt;0,VLOOKUP(M1,OFFSET($AG$2,,,COUNTIF($AG$2:$AG$50,"?*"),23),13,FALSE),"?"),"")</f>
        <v>FBC Lomnice</v>
      </c>
      <c r="N4" s="328"/>
      <c r="O4" s="329"/>
      <c r="P4" s="330">
        <f ca="1">IFERROR(IF(VLOOKUP(M1,OFFSET($AG$2,,,COUNTIF($AG$2:$AG$50,"?*"),23),14,FALSE)&lt;&gt;0,VLOOKUP(M1,OFFSET($AG$2,,,COUNTIF($AG$2:$AG$50,"?*"),23),14,FALSE),"?"),"")</f>
        <v>2010</v>
      </c>
      <c r="Q4" s="331"/>
      <c r="R4" s="7">
        <f ca="1">IFERROR(IF(VLOOKUP(M1,OFFSET($AG$2,,,COUNTIF($AG$2:$AG$50,"?*"),23),7,FALSE)&lt;&gt;0,VLOOKUP(M1,OFFSET($AG$2,,,COUNTIF($AG$2:$AG$50,"?*"),23),7,FALSE),"?"),"")</f>
        <v>2</v>
      </c>
      <c r="S4" s="111" t="s">
        <v>251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0</v>
      </c>
      <c r="Z4" s="103">
        <v>1</v>
      </c>
      <c r="AA4" s="103">
        <v>0</v>
      </c>
      <c r="AB4" s="103">
        <v>-2</v>
      </c>
      <c r="AC4" s="103" t="str">
        <f t="shared" ca="1" si="0"/>
        <v>ANO</v>
      </c>
      <c r="AG4" s="122" t="s">
        <v>258</v>
      </c>
      <c r="AH4" s="123">
        <v>37271</v>
      </c>
      <c r="AI4" s="124">
        <v>5</v>
      </c>
      <c r="AJ4" s="124">
        <v>1</v>
      </c>
      <c r="AK4" s="124">
        <v>2</v>
      </c>
      <c r="AL4" s="125">
        <f t="shared" si="1"/>
        <v>3</v>
      </c>
      <c r="AM4" s="124">
        <v>2</v>
      </c>
      <c r="AN4" s="124">
        <v>89</v>
      </c>
      <c r="AO4" s="126"/>
      <c r="AP4" s="126" t="s">
        <v>163</v>
      </c>
      <c r="AQ4" s="124">
        <v>180</v>
      </c>
      <c r="AR4" s="124">
        <v>66</v>
      </c>
      <c r="AS4" s="127" t="s">
        <v>86</v>
      </c>
      <c r="AT4" s="124">
        <v>2009</v>
      </c>
      <c r="AU4" s="128">
        <f t="shared" ca="1" si="2"/>
        <v>19</v>
      </c>
      <c r="AV4" s="128" t="str">
        <f t="shared" si="3"/>
        <v>180/66</v>
      </c>
      <c r="AW4" s="129" t="str">
        <f t="shared" ca="1" si="4"/>
        <v>Blažek</v>
      </c>
      <c r="AX4" s="130" t="str">
        <f t="shared" ca="1" si="5"/>
        <v>0 OZ, 0 (0+0)</v>
      </c>
      <c r="AY4" s="130" t="str">
        <f t="shared" ca="1" si="6"/>
        <v>5 OZ, 3 (1+2)</v>
      </c>
      <c r="AZ4" s="131"/>
      <c r="BA4" s="131"/>
      <c r="BB4" s="131"/>
      <c r="BC4" s="131"/>
      <c r="BD4" s="3" t="str">
        <f t="shared" si="7"/>
        <v>Blažek</v>
      </c>
      <c r="BE4" s="85">
        <f t="shared" ca="1" si="8"/>
        <v>1</v>
      </c>
      <c r="BF4" s="62" t="str">
        <f t="shared" si="9"/>
        <v>V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275</v>
      </c>
      <c r="BO4" s="123">
        <v>29102</v>
      </c>
      <c r="BP4" s="132" t="s">
        <v>206</v>
      </c>
      <c r="BQ4" s="133"/>
      <c r="BR4" s="128">
        <f t="shared" ca="1" si="16"/>
        <v>42</v>
      </c>
      <c r="BS4" s="361"/>
      <c r="BT4" s="105" t="s">
        <v>993</v>
      </c>
      <c r="BU4" s="104">
        <v>1</v>
      </c>
      <c r="BV4" s="105" t="str">
        <f t="shared" si="17"/>
        <v>Jan Šoltys</v>
      </c>
      <c r="BW4" s="103">
        <f t="shared" si="18"/>
        <v>1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>2 OZ, 3 (1+2), -1 ±</v>
      </c>
      <c r="H5" s="319"/>
      <c r="I5" s="319"/>
      <c r="J5" s="320" t="str">
        <f ca="1">IFERROR(VLOOKUP(G3,OFFSET($AG$2,,,COUNTIF($AG$2:$AG$50,"?*"),23),19,FALSE),"")</f>
        <v>102 OZ, 88 (51+37)</v>
      </c>
      <c r="K5" s="320"/>
      <c r="L5" s="321"/>
      <c r="S5" s="111" t="s">
        <v>237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0</v>
      </c>
      <c r="Z5" s="103">
        <v>1</v>
      </c>
      <c r="AA5" s="103">
        <v>0</v>
      </c>
      <c r="AB5" s="103">
        <v>-2</v>
      </c>
      <c r="AC5" s="103" t="str">
        <f t="shared" ca="1" si="0"/>
        <v>ANO</v>
      </c>
      <c r="AG5" s="122" t="s">
        <v>251</v>
      </c>
      <c r="AH5" s="123">
        <v>34407</v>
      </c>
      <c r="AI5" s="124">
        <v>194</v>
      </c>
      <c r="AJ5" s="124">
        <v>50</v>
      </c>
      <c r="AK5" s="124">
        <v>66</v>
      </c>
      <c r="AL5" s="125">
        <f t="shared" si="1"/>
        <v>116</v>
      </c>
      <c r="AM5" s="124">
        <v>11</v>
      </c>
      <c r="AN5" s="124">
        <v>24</v>
      </c>
      <c r="AO5" s="126"/>
      <c r="AP5" s="126" t="s">
        <v>163</v>
      </c>
      <c r="AQ5" s="124">
        <v>180</v>
      </c>
      <c r="AR5" s="124">
        <v>82</v>
      </c>
      <c r="AS5" s="127" t="s">
        <v>259</v>
      </c>
      <c r="AT5" s="124">
        <v>2009</v>
      </c>
      <c r="AU5" s="128">
        <f t="shared" ca="1" si="2"/>
        <v>27</v>
      </c>
      <c r="AV5" s="128" t="str">
        <f t="shared" si="3"/>
        <v>180/82</v>
      </c>
      <c r="AW5" s="129" t="str">
        <f t="shared" ca="1" si="4"/>
        <v>Dlesk</v>
      </c>
      <c r="AX5" s="130" t="str">
        <f t="shared" ca="1" si="5"/>
        <v>2 OZ, 1 (1+0), -2 ±</v>
      </c>
      <c r="AY5" s="130" t="str">
        <f t="shared" ca="1" si="6"/>
        <v>196 OZ, 117 (51+66)</v>
      </c>
      <c r="AZ5" s="131"/>
      <c r="BA5" s="131"/>
      <c r="BB5" s="131"/>
      <c r="BC5" s="131"/>
      <c r="BD5" s="90" t="str">
        <f t="shared" si="7"/>
        <v>Dlesk</v>
      </c>
      <c r="BE5" s="92">
        <f t="shared" ca="1" si="8"/>
        <v>1</v>
      </c>
      <c r="BF5" s="91" t="str">
        <f t="shared" si="9"/>
        <v>T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276</v>
      </c>
      <c r="BO5" s="123">
        <v>30335</v>
      </c>
      <c r="BP5" s="132" t="s">
        <v>280</v>
      </c>
      <c r="BQ5" s="133"/>
      <c r="BR5" s="128">
        <f t="shared" ca="1" si="16"/>
        <v>38</v>
      </c>
      <c r="BS5" s="361"/>
      <c r="BT5" s="105" t="s">
        <v>994</v>
      </c>
      <c r="BU5" s="104">
        <v>1</v>
      </c>
      <c r="BV5" s="105" t="str">
        <f t="shared" si="17"/>
        <v>Tomáš Dlesk</v>
      </c>
      <c r="BW5" s="103">
        <f t="shared" si="18"/>
        <v>1</v>
      </c>
      <c r="BX5" s="360"/>
    </row>
    <row r="6" spans="1:79" ht="15" customHeight="1" thickTop="1" thickBot="1" x14ac:dyDescent="0.25">
      <c r="A6" s="322" t="s">
        <v>252</v>
      </c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27" t="str">
        <f ca="1">IFERROR(IF(VLOOKUP(G3,OFFSET($AG$2,,,COUNTIF($AG$2:$AG$50,"?*"),23),13,FALSE)&lt;&gt;0,VLOOKUP(G3,OFFSET($AG$2,,,COUNTIF($AG$2:$AG$50,"?*"),23),13,FALSE),"?"),"")</f>
        <v>TJ Sokol Jaroměř</v>
      </c>
      <c r="H6" s="328"/>
      <c r="I6" s="329"/>
      <c r="J6" s="330">
        <f ca="1">IFERROR(IF(VLOOKUP(G3,OFFSET($AG$2,,,COUNTIF($AG$2:$AG$50,"?*"),23),14,FALSE)&lt;&gt;0,VLOOKUP(G3,OFFSET($AG$2,,,COUNTIF($AG$2:$AG$50,"?*"),23),14,FALSE),"?"),"")</f>
        <v>2007</v>
      </c>
      <c r="K6" s="331"/>
      <c r="L6" s="7">
        <f ca="1">IFERROR(IF(VLOOKUP(G3,OFFSET($AG$2,,,COUNTIF($AG$2:$AG$50,"?*"),23),7,FALSE)&lt;&gt;0,VLOOKUP(G3,OFFSET($AG$2,,,COUNTIF($AG$2:$AG$50,"?*"),23),7,FALSE),"?"),"")</f>
        <v>5</v>
      </c>
      <c r="M6" s="322" t="s">
        <v>246</v>
      </c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1" t="s">
        <v>238</v>
      </c>
      <c r="T6" s="103" t="s">
        <v>133</v>
      </c>
      <c r="U6" s="103">
        <v>2</v>
      </c>
      <c r="V6" s="103">
        <v>0</v>
      </c>
      <c r="W6" s="103">
        <v>0</v>
      </c>
      <c r="X6" s="103">
        <v>0</v>
      </c>
      <c r="Y6" s="103">
        <v>1</v>
      </c>
      <c r="Z6" s="103">
        <v>1</v>
      </c>
      <c r="AA6" s="103">
        <v>2</v>
      </c>
      <c r="AB6" s="103">
        <v>-1</v>
      </c>
      <c r="AC6" s="103" t="str">
        <f t="shared" ca="1" si="0"/>
        <v>ANO</v>
      </c>
      <c r="AG6" s="122" t="s">
        <v>240</v>
      </c>
      <c r="AH6" s="123">
        <v>33683</v>
      </c>
      <c r="AI6" s="124">
        <v>185</v>
      </c>
      <c r="AJ6" s="124">
        <v>126</v>
      </c>
      <c r="AK6" s="124">
        <v>98</v>
      </c>
      <c r="AL6" s="125">
        <f t="shared" si="1"/>
        <v>224</v>
      </c>
      <c r="AM6" s="124">
        <v>10</v>
      </c>
      <c r="AN6" s="124">
        <v>55</v>
      </c>
      <c r="AO6" s="126"/>
      <c r="AP6" s="126" t="s">
        <v>27</v>
      </c>
      <c r="AQ6" s="124">
        <v>176</v>
      </c>
      <c r="AR6" s="124">
        <v>74</v>
      </c>
      <c r="AS6" s="127" t="s">
        <v>261</v>
      </c>
      <c r="AT6" s="124">
        <v>2006</v>
      </c>
      <c r="AU6" s="128">
        <f t="shared" ca="1" si="2"/>
        <v>29</v>
      </c>
      <c r="AV6" s="128" t="str">
        <f t="shared" si="3"/>
        <v>176/74</v>
      </c>
      <c r="AW6" s="129" t="str">
        <f t="shared" ca="1" si="4"/>
        <v>Ferdan</v>
      </c>
      <c r="AX6" s="130" t="str">
        <f t="shared" ca="1" si="5"/>
        <v>2 OZ, 2 (1+1), -1 ±</v>
      </c>
      <c r="AY6" s="130" t="str">
        <f t="shared" ca="1" si="6"/>
        <v>187 OZ, 226 (127+99)</v>
      </c>
      <c r="AZ6" s="131"/>
      <c r="BA6" s="131"/>
      <c r="BB6" s="131"/>
      <c r="BC6" s="131"/>
      <c r="BD6" s="3" t="str">
        <f t="shared" si="7"/>
        <v>Ferdan</v>
      </c>
      <c r="BE6" s="85">
        <f t="shared" ca="1" si="8"/>
        <v>1</v>
      </c>
      <c r="BF6" s="62" t="str">
        <f t="shared" si="9"/>
        <v>P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277</v>
      </c>
      <c r="BO6" s="123">
        <v>36034</v>
      </c>
      <c r="BP6" s="132" t="s">
        <v>281</v>
      </c>
      <c r="BQ6" s="133"/>
      <c r="BR6" s="128">
        <f t="shared" ca="1" si="16"/>
        <v>23</v>
      </c>
      <c r="BS6" s="361"/>
      <c r="BT6" s="105" t="s">
        <v>995</v>
      </c>
      <c r="BU6" s="104">
        <v>1</v>
      </c>
      <c r="BV6" s="105" t="str">
        <f t="shared" si="17"/>
        <v>Radek Valeš</v>
      </c>
      <c r="BW6" s="103">
        <f t="shared" si="18"/>
        <v>1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25">
        <f ca="1">IFERROR(IF(VLOOKUP(A6,OFFSET($AG$2,,,COUNTIF($AG$2:$AG$50,"?*"),23),2,FALSE)&lt;&gt;0,YEAR(VLOOKUP(A6,OFFSET($AG$2,,,COUNTIF($AG$2:$AG$50,"?*"),23),2,FALSE)),""),"")</f>
        <v>2002</v>
      </c>
      <c r="C7" s="326"/>
      <c r="D7" s="95">
        <f ca="1">IFERROR(VLOOKUP(A6,OFFSET($AG$2,,,COUNTIF($AG$2:$AG$50,"?*"),23),15,FALSE),"")</f>
        <v>19</v>
      </c>
      <c r="E7" s="316" t="str">
        <f ca="1">IFERROR(VLOOKUP(A6,OFFSET($AG$2,,,COUNTIF($AG$2:$AG$50,"?*"),23),16,FALSE),"")</f>
        <v>164/68</v>
      </c>
      <c r="F7" s="317"/>
      <c r="M7" s="4" t="str">
        <f ca="1">IFERROR(IF(VLOOKUP(M6,OFFSET($AG$2,,,COUNTIF($AG$2:$AG$50,"?*"),23),10,FALSE)&lt;&gt;0,VLOOKUP(M6,OFFSET($AG$2,,,COUNTIF($AG$2:$AG$50,"?*"),23),10,FALSE),""),"")</f>
        <v>L</v>
      </c>
      <c r="N7" s="325">
        <f ca="1">IFERROR(IF(VLOOKUP(M6,OFFSET($AG$2,,,COUNTIF($AG$2:$AG$50,"?*"),23),2,FALSE)&lt;&gt;0,YEAR(VLOOKUP(M6,OFFSET($AG$2,,,COUNTIF($AG$2:$AG$50,"?*"),23),2,FALSE)),""),"")</f>
        <v>1986</v>
      </c>
      <c r="O7" s="326"/>
      <c r="P7" s="95">
        <f ca="1">IFERROR(VLOOKUP(M6,OFFSET($AG$2,,,COUNTIF($AG$2:$AG$50,"?*"),23),15,FALSE),"")</f>
        <v>35</v>
      </c>
      <c r="Q7" s="316" t="str">
        <f ca="1">IFERROR(VLOOKUP(M6,OFFSET($AG$2,,,COUNTIF($AG$2:$AG$50,"?*"),23),16,FALSE),"")</f>
        <v>185/69</v>
      </c>
      <c r="R7" s="317"/>
      <c r="S7" s="111" t="s">
        <v>249</v>
      </c>
      <c r="T7" s="103" t="s">
        <v>131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 t="str">
        <f t="shared" ca="1" si="0"/>
        <v>ANO</v>
      </c>
      <c r="AG7" s="122" t="s">
        <v>254</v>
      </c>
      <c r="AH7" s="123">
        <v>37023</v>
      </c>
      <c r="AI7" s="124">
        <v>0</v>
      </c>
      <c r="AJ7" s="124">
        <v>0</v>
      </c>
      <c r="AK7" s="124">
        <v>0</v>
      </c>
      <c r="AL7" s="125">
        <f t="shared" si="1"/>
        <v>0</v>
      </c>
      <c r="AM7" s="124">
        <v>2</v>
      </c>
      <c r="AN7" s="124">
        <v>35</v>
      </c>
      <c r="AO7" s="126"/>
      <c r="AP7" s="126"/>
      <c r="AQ7" s="124">
        <v>195</v>
      </c>
      <c r="AR7" s="124">
        <v>93</v>
      </c>
      <c r="AS7" s="127" t="s">
        <v>86</v>
      </c>
      <c r="AT7" s="124">
        <v>2014</v>
      </c>
      <c r="AU7" s="128">
        <f t="shared" ca="1" si="2"/>
        <v>20</v>
      </c>
      <c r="AV7" s="128" t="str">
        <f t="shared" si="3"/>
        <v>195/93</v>
      </c>
      <c r="AW7" s="129" t="str">
        <f t="shared" ca="1" si="4"/>
        <v>Chlad</v>
      </c>
      <c r="AX7" s="130" t="str">
        <f t="shared" ca="1" si="5"/>
        <v>0 V, 2 P</v>
      </c>
      <c r="AY7" s="130" t="str">
        <f t="shared" ca="1" si="6"/>
        <v>2 OZ, 0 A</v>
      </c>
      <c r="AZ7" s="131"/>
      <c r="BA7" s="131"/>
      <c r="BB7" s="131"/>
      <c r="BC7" s="131"/>
      <c r="BD7" s="90" t="str">
        <f t="shared" si="7"/>
        <v>Chlad</v>
      </c>
      <c r="BE7" s="92">
        <f t="shared" ca="1" si="8"/>
        <v>1</v>
      </c>
      <c r="BF7" s="91" t="str">
        <f t="shared" si="9"/>
        <v>P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288</v>
      </c>
      <c r="BU7" s="104" t="s">
        <v>628</v>
      </c>
      <c r="BV7" s="105" t="str">
        <f t="shared" si="17"/>
        <v>Petr Chlad</v>
      </c>
      <c r="BW7" s="113">
        <f t="shared" si="18"/>
        <v>7</v>
      </c>
      <c r="BX7" s="360" t="s">
        <v>234</v>
      </c>
      <c r="BY7" s="104" t="s">
        <v>296</v>
      </c>
      <c r="BZ7" s="104" t="s">
        <v>98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>2 OZ, 0 (0+0), -2 ±</v>
      </c>
      <c r="B8" s="319"/>
      <c r="C8" s="319"/>
      <c r="D8" s="320" t="str">
        <f ca="1">IFERROR(VLOOKUP(A6,OFFSET($AG$2,,,COUNTIF($AG$2:$AG$50,"?*"),23),19,FALSE),"")</f>
        <v>16 OZ, 1 (1+0)</v>
      </c>
      <c r="E8" s="320"/>
      <c r="F8" s="321"/>
      <c r="H8" s="332" t="s">
        <v>109</v>
      </c>
      <c r="I8" s="332"/>
      <c r="J8" s="332"/>
      <c r="K8" s="332"/>
      <c r="M8" s="318" t="str">
        <f ca="1">IFERROR(VLOOKUP(M6,OFFSET($AG$2,,,COUNTIF($AG$2:$AG$50,"?*"),23),18,FALSE),"")</f>
        <v>1 OZ, 0 (0+0), -2 ±</v>
      </c>
      <c r="N8" s="319"/>
      <c r="O8" s="319"/>
      <c r="P8" s="320" t="str">
        <f ca="1">IFERROR(VLOOKUP(M6,OFFSET($AG$2,,,COUNTIF($AG$2:$AG$50,"?*"),23),19,FALSE),"")</f>
        <v>303 OZ, 231 (95+136)</v>
      </c>
      <c r="Q8" s="320"/>
      <c r="R8" s="321"/>
      <c r="S8" s="111" t="s">
        <v>990</v>
      </c>
      <c r="T8" s="103" t="s">
        <v>131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 t="str">
        <f t="shared" ca="1" si="0"/>
        <v>ANO</v>
      </c>
      <c r="AG8" s="122" t="s">
        <v>245</v>
      </c>
      <c r="AH8" s="123">
        <v>37882</v>
      </c>
      <c r="AI8" s="124">
        <v>22</v>
      </c>
      <c r="AJ8" s="124">
        <v>2</v>
      </c>
      <c r="AK8" s="124">
        <v>2</v>
      </c>
      <c r="AL8" s="125">
        <f t="shared" si="1"/>
        <v>4</v>
      </c>
      <c r="AM8" s="124">
        <v>2</v>
      </c>
      <c r="AN8" s="124">
        <v>93</v>
      </c>
      <c r="AO8" s="126"/>
      <c r="AP8" s="126" t="s">
        <v>163</v>
      </c>
      <c r="AQ8" s="124">
        <v>178</v>
      </c>
      <c r="AR8" s="124">
        <v>74</v>
      </c>
      <c r="AS8" s="127" t="s">
        <v>86</v>
      </c>
      <c r="AT8" s="124">
        <v>2010</v>
      </c>
      <c r="AU8" s="128">
        <f t="shared" ca="1" si="2"/>
        <v>18</v>
      </c>
      <c r="AV8" s="128" t="str">
        <f t="shared" si="3"/>
        <v>178/74</v>
      </c>
      <c r="AW8" s="129" t="str">
        <f t="shared" ca="1" si="4"/>
        <v>Janeček</v>
      </c>
      <c r="AX8" s="130" t="str">
        <f t="shared" ca="1" si="5"/>
        <v>2 OZ, 0 (0+0), -2 ±</v>
      </c>
      <c r="AY8" s="130" t="str">
        <f t="shared" ca="1" si="6"/>
        <v>24 OZ, 4 (2+2)</v>
      </c>
      <c r="AZ8" s="131"/>
      <c r="BA8" s="131"/>
      <c r="BB8" s="131"/>
      <c r="BC8" s="131"/>
      <c r="BD8" s="3" t="str">
        <f t="shared" si="7"/>
        <v>Janeček</v>
      </c>
      <c r="BE8" s="85">
        <f t="shared" ca="1" si="8"/>
        <v>1</v>
      </c>
      <c r="BF8" s="62" t="str">
        <f t="shared" si="9"/>
        <v>V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996</v>
      </c>
      <c r="BU8" s="104" t="s">
        <v>216</v>
      </c>
      <c r="BV8" s="105" t="str">
        <f t="shared" si="17"/>
        <v>Jakub Levínský</v>
      </c>
      <c r="BW8" s="113">
        <f t="shared" si="18"/>
        <v>0</v>
      </c>
      <c r="BX8" s="360"/>
      <c r="BY8" s="104" t="s">
        <v>228</v>
      </c>
      <c r="BZ8" s="104" t="s">
        <v>103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>Florbal Mladá Boleslav</v>
      </c>
      <c r="B9" s="328"/>
      <c r="C9" s="329"/>
      <c r="D9" s="330">
        <f ca="1">IFERROR(IF(VLOOKUP(A6,OFFSET($AG$2,,,COUNTIF($AG$2:$AG$50,"?*"),23),14,FALSE)&lt;&gt;0,VLOOKUP(A6,OFFSET($AG$2,,,COUNTIF($AG$2:$AG$50,"?*"),23),14,FALSE),"?"),"")</f>
        <v>2005</v>
      </c>
      <c r="E9" s="331"/>
      <c r="F9" s="7">
        <f ca="1">IFERROR(IF(VLOOKUP(A6,OFFSET($AG$2,,,COUNTIF($AG$2:$AG$50,"?*"),23),7,FALSE)&lt;&gt;0,VLOOKUP(A6,OFFSET($AG$2,,,COUNTIF($AG$2:$AG$50,"?*"),23),7,FALSE),"?"),"")</f>
        <v>4</v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>FBC Mustang</v>
      </c>
      <c r="N9" s="328"/>
      <c r="O9" s="329"/>
      <c r="P9" s="330">
        <f ca="1">IFERROR(IF(VLOOKUP(M6,OFFSET($AG$2,,,COUNTIF($AG$2:$AG$50,"?*"),23),14,FALSE)&lt;&gt;0,VLOOKUP(M6,OFFSET($AG$2,,,COUNTIF($AG$2:$AG$50,"?*"),23),14,FALSE),"?"),"")</f>
        <v>1996</v>
      </c>
      <c r="Q9" s="331"/>
      <c r="R9" s="7">
        <f ca="1">IFERROR(IF(VLOOKUP(M6,OFFSET($AG$2,,,COUNTIF($AG$2:$AG$50,"?*"),23),7,FALSE)&lt;&gt;0,VLOOKUP(M6,OFFSET($AG$2,,,COUNTIF($AG$2:$AG$50,"?*"),23),7,FALSE),"?"),"")</f>
        <v>18</v>
      </c>
      <c r="S9" s="111" t="s">
        <v>239</v>
      </c>
      <c r="T9" s="103" t="s">
        <v>68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-2</v>
      </c>
      <c r="AC9" s="103" t="str">
        <f t="shared" ca="1" si="0"/>
        <v>ANO</v>
      </c>
      <c r="AG9" s="122" t="s">
        <v>241</v>
      </c>
      <c r="AH9" s="123">
        <v>36611</v>
      </c>
      <c r="AI9" s="124">
        <v>50</v>
      </c>
      <c r="AJ9" s="124">
        <v>5</v>
      </c>
      <c r="AK9" s="124">
        <v>8</v>
      </c>
      <c r="AL9" s="125">
        <f t="shared" si="1"/>
        <v>13</v>
      </c>
      <c r="AM9" s="124">
        <v>3</v>
      </c>
      <c r="AN9" s="124">
        <v>7</v>
      </c>
      <c r="AO9" s="126"/>
      <c r="AP9" s="126" t="s">
        <v>27</v>
      </c>
      <c r="AQ9" s="124">
        <v>180</v>
      </c>
      <c r="AR9" s="124">
        <v>72</v>
      </c>
      <c r="AS9" s="127" t="s">
        <v>263</v>
      </c>
      <c r="AT9" s="124">
        <v>2006</v>
      </c>
      <c r="AU9" s="128">
        <f t="shared" ca="1" si="2"/>
        <v>21</v>
      </c>
      <c r="AV9" s="128" t="str">
        <f t="shared" si="3"/>
        <v>180/72</v>
      </c>
      <c r="AW9" s="129" t="str">
        <f t="shared" ca="1" si="4"/>
        <v>Kárník</v>
      </c>
      <c r="AX9" s="130" t="str">
        <f t="shared" ca="1" si="5"/>
        <v>2 OZ, 0 (0+0), -4 ±</v>
      </c>
      <c r="AY9" s="130" t="str">
        <f t="shared" ca="1" si="6"/>
        <v>52 OZ, 13 (5+8)</v>
      </c>
      <c r="AZ9" s="131"/>
      <c r="BA9" s="131"/>
      <c r="BB9" s="131"/>
      <c r="BC9" s="131"/>
      <c r="BD9" s="90" t="str">
        <f t="shared" si="7"/>
        <v>Kárník</v>
      </c>
      <c r="BE9" s="92">
        <f t="shared" ca="1" si="8"/>
        <v>1</v>
      </c>
      <c r="BF9" s="91" t="str">
        <f t="shared" si="9"/>
        <v>J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T9" s="105" t="s">
        <v>997</v>
      </c>
      <c r="BU9" s="104" t="s">
        <v>216</v>
      </c>
      <c r="BV9" s="105" t="str">
        <f t="shared" si="17"/>
        <v>Jan Král</v>
      </c>
      <c r="BW9" s="113">
        <f t="shared" si="18"/>
        <v>0</v>
      </c>
      <c r="BX9" s="360"/>
      <c r="BY9" s="104" t="s">
        <v>297</v>
      </c>
      <c r="BZ9" s="104" t="s">
        <v>104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246</v>
      </c>
      <c r="T10" s="103" t="s">
        <v>68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-2</v>
      </c>
      <c r="AC10" s="103" t="str">
        <f t="shared" ca="1" si="0"/>
        <v>ANO</v>
      </c>
      <c r="AG10" s="122" t="s">
        <v>239</v>
      </c>
      <c r="AH10" s="123">
        <v>32803</v>
      </c>
      <c r="AI10" s="124">
        <v>242</v>
      </c>
      <c r="AJ10" s="124">
        <v>63</v>
      </c>
      <c r="AK10" s="124">
        <v>55</v>
      </c>
      <c r="AL10" s="125">
        <f t="shared" si="1"/>
        <v>118</v>
      </c>
      <c r="AM10" s="124">
        <v>14</v>
      </c>
      <c r="AN10" s="124">
        <v>6</v>
      </c>
      <c r="AO10" s="126" t="s">
        <v>180</v>
      </c>
      <c r="AP10" s="126" t="s">
        <v>163</v>
      </c>
      <c r="AQ10" s="124">
        <v>194</v>
      </c>
      <c r="AR10" s="124">
        <v>98</v>
      </c>
      <c r="AS10" s="127" t="s">
        <v>86</v>
      </c>
      <c r="AT10" s="124">
        <v>1999</v>
      </c>
      <c r="AU10" s="128">
        <f t="shared" ca="1" si="2"/>
        <v>31</v>
      </c>
      <c r="AV10" s="128" t="str">
        <f t="shared" si="3"/>
        <v>194/98</v>
      </c>
      <c r="AW10" s="129" t="str">
        <f t="shared" ca="1" si="4"/>
        <v>Klucho</v>
      </c>
      <c r="AX10" s="130" t="str">
        <f t="shared" ca="1" si="5"/>
        <v>1 OZ, 0 (0+0), -2 ±</v>
      </c>
      <c r="AY10" s="130" t="str">
        <f t="shared" ca="1" si="6"/>
        <v>243 OZ, 118 (63+55)</v>
      </c>
      <c r="AZ10" s="131"/>
      <c r="BA10" s="131"/>
      <c r="BB10" s="131"/>
      <c r="BC10" s="131"/>
      <c r="BD10" s="3" t="str">
        <f t="shared" si="7"/>
        <v>Klucho</v>
      </c>
      <c r="BE10" s="85">
        <f t="shared" ca="1" si="8"/>
        <v>1</v>
      </c>
      <c r="BF10" s="62" t="str">
        <f t="shared" si="9"/>
        <v>M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106</v>
      </c>
      <c r="CA10" s="116" t="s">
        <v>226</v>
      </c>
    </row>
    <row r="11" spans="1:79" ht="15" customHeight="1" thickTop="1" thickBot="1" x14ac:dyDescent="0.25">
      <c r="R11" s="13"/>
      <c r="S11" s="111" t="s">
        <v>245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-2</v>
      </c>
      <c r="AC11" s="103" t="str">
        <f t="shared" ca="1" si="0"/>
        <v>ANO</v>
      </c>
      <c r="AG11" s="122" t="s">
        <v>246</v>
      </c>
      <c r="AH11" s="123">
        <v>31531</v>
      </c>
      <c r="AI11" s="124">
        <v>302</v>
      </c>
      <c r="AJ11" s="124">
        <v>95</v>
      </c>
      <c r="AK11" s="124">
        <v>136</v>
      </c>
      <c r="AL11" s="125">
        <f t="shared" si="1"/>
        <v>231</v>
      </c>
      <c r="AM11" s="124">
        <v>18</v>
      </c>
      <c r="AN11" s="124">
        <v>11</v>
      </c>
      <c r="AO11" s="126"/>
      <c r="AP11" s="126" t="s">
        <v>163</v>
      </c>
      <c r="AQ11" s="124">
        <v>185</v>
      </c>
      <c r="AR11" s="124">
        <v>69</v>
      </c>
      <c r="AS11" s="127" t="s">
        <v>264</v>
      </c>
      <c r="AT11" s="124">
        <v>1996</v>
      </c>
      <c r="AU11" s="128">
        <f t="shared" ca="1" si="2"/>
        <v>35</v>
      </c>
      <c r="AV11" s="128" t="str">
        <f t="shared" si="3"/>
        <v>185/69</v>
      </c>
      <c r="AW11" s="129" t="str">
        <f t="shared" ca="1" si="4"/>
        <v>Kološ</v>
      </c>
      <c r="AX11" s="130" t="str">
        <f t="shared" ca="1" si="5"/>
        <v>1 OZ, 0 (0+0), -2 ±</v>
      </c>
      <c r="AY11" s="130" t="str">
        <f t="shared" ca="1" si="6"/>
        <v>303 OZ, 231 (95+136)</v>
      </c>
      <c r="AZ11" s="131"/>
      <c r="BA11" s="131"/>
      <c r="BB11" s="131"/>
      <c r="BC11" s="131"/>
      <c r="BD11" s="90" t="str">
        <f t="shared" si="7"/>
        <v>Kološ</v>
      </c>
      <c r="BE11" s="92">
        <f t="shared" ca="1" si="8"/>
        <v>1</v>
      </c>
      <c r="BF11" s="91" t="str">
        <f t="shared" si="9"/>
        <v>P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24</v>
      </c>
      <c r="CA11" s="116" t="s">
        <v>226</v>
      </c>
    </row>
    <row r="12" spans="1:79" ht="15" customHeight="1" thickTop="1" thickBot="1" x14ac:dyDescent="0.25">
      <c r="A12" s="322" t="s">
        <v>240</v>
      </c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24" t="s">
        <v>7</v>
      </c>
      <c r="I12" s="324"/>
      <c r="J12" s="324"/>
      <c r="K12" s="324"/>
      <c r="M12" s="322" t="s">
        <v>248</v>
      </c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1" t="s">
        <v>243</v>
      </c>
      <c r="U12" s="103">
        <v>2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-2</v>
      </c>
      <c r="AC12" s="103" t="str">
        <f t="shared" ca="1" si="0"/>
        <v>ANO</v>
      </c>
      <c r="AG12" s="122" t="s">
        <v>236</v>
      </c>
      <c r="AH12" s="123">
        <v>36014</v>
      </c>
      <c r="AI12" s="124">
        <v>100</v>
      </c>
      <c r="AJ12" s="124">
        <v>50</v>
      </c>
      <c r="AK12" s="124">
        <v>35</v>
      </c>
      <c r="AL12" s="125">
        <f t="shared" si="1"/>
        <v>85</v>
      </c>
      <c r="AM12" s="124">
        <v>5</v>
      </c>
      <c r="AN12" s="124">
        <v>5</v>
      </c>
      <c r="AO12" s="126"/>
      <c r="AP12" s="126" t="s">
        <v>163</v>
      </c>
      <c r="AQ12" s="124">
        <v>185</v>
      </c>
      <c r="AR12" s="124">
        <v>74</v>
      </c>
      <c r="AS12" s="127" t="s">
        <v>260</v>
      </c>
      <c r="AT12" s="124">
        <v>2007</v>
      </c>
      <c r="AU12" s="128">
        <f t="shared" ca="1" si="2"/>
        <v>23</v>
      </c>
      <c r="AV12" s="128" t="str">
        <f t="shared" si="3"/>
        <v>185/74</v>
      </c>
      <c r="AW12" s="129" t="str">
        <f t="shared" ca="1" si="4"/>
        <v>Kopecký</v>
      </c>
      <c r="AX12" s="130" t="str">
        <f t="shared" ca="1" si="5"/>
        <v>2 OZ, 3 (1+2), -1 ±</v>
      </c>
      <c r="AY12" s="130" t="str">
        <f t="shared" ca="1" si="6"/>
        <v>102 OZ, 88 (51+37)</v>
      </c>
      <c r="AZ12" s="131"/>
      <c r="BA12" s="131"/>
      <c r="BB12" s="131"/>
      <c r="BC12" s="131"/>
      <c r="BD12" s="3" t="str">
        <f t="shared" si="7"/>
        <v>Kopecký</v>
      </c>
      <c r="BE12" s="85">
        <f t="shared" ca="1" si="8"/>
        <v>1</v>
      </c>
      <c r="BF12" s="62" t="str">
        <f t="shared" si="9"/>
        <v>J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283</v>
      </c>
      <c r="BU12" s="104">
        <v>1</v>
      </c>
      <c r="BV12" s="105" t="str">
        <f t="shared" si="17"/>
        <v>Jakub Kopecký</v>
      </c>
      <c r="BW12" s="103">
        <f t="shared" si="18"/>
        <v>1</v>
      </c>
      <c r="BX12" s="117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25">
        <f ca="1">IFERROR(IF(VLOOKUP(A12,OFFSET($AG$2,,,COUNTIF($AG$2:$AG$50,"?*"),23),2,FALSE)&lt;&gt;0,YEAR(VLOOKUP(A12,OFFSET($AG$2,,,COUNTIF($AG$2:$AG$50,"?*"),23),2,FALSE)),""),"")</f>
        <v>1992</v>
      </c>
      <c r="C13" s="326"/>
      <c r="D13" s="95">
        <f ca="1">IFERROR(VLOOKUP(A12,OFFSET($AG$2,,,COUNTIF($AG$2:$AG$50,"?*"),23),15,FALSE),"")</f>
        <v>29</v>
      </c>
      <c r="E13" s="316" t="str">
        <f ca="1">IFERROR(VLOOKUP(A12,OFFSET($AG$2,,,COUNTIF($AG$2:$AG$50,"?*"),23),16,FALSE),"")</f>
        <v>176/74</v>
      </c>
      <c r="F13" s="317"/>
      <c r="M13" s="4" t="str">
        <f ca="1">IFERROR(IF(VLOOKUP(M12,OFFSET($AG$2,,,COUNTIF($AG$2:$AG$50,"?*"),23),10,FALSE)&lt;&gt;0,VLOOKUP(M12,OFFSET($AG$2,,,COUNTIF($AG$2:$AG$50,"?*"),23),10,FALSE),""),"")</f>
        <v>L</v>
      </c>
      <c r="N13" s="325">
        <f ca="1">IFERROR(IF(VLOOKUP(M12,OFFSET($AG$2,,,COUNTIF($AG$2:$AG$50,"?*"),23),2,FALSE)&lt;&gt;0,YEAR(VLOOKUP(M12,OFFSET($AG$2,,,COUNTIF($AG$2:$AG$50,"?*"),23),2,FALSE)),""),"")</f>
        <v>2003</v>
      </c>
      <c r="O13" s="326"/>
      <c r="P13" s="95">
        <f ca="1">IFERROR(VLOOKUP(M12,OFFSET($AG$2,,,COUNTIF($AG$2:$AG$50,"?*"),23),15,FALSE),"")</f>
        <v>18</v>
      </c>
      <c r="Q13" s="316" t="str">
        <f ca="1">IFERROR(VLOOKUP(M12,OFFSET($AG$2,,,COUNTIF($AG$2:$AG$50,"?*"),23),16,FALSE),"")</f>
        <v>178/70</v>
      </c>
      <c r="R13" s="317"/>
      <c r="S13" s="111" t="s">
        <v>248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ANO</v>
      </c>
      <c r="AG13" s="122" t="s">
        <v>249</v>
      </c>
      <c r="AH13" s="123">
        <v>36777</v>
      </c>
      <c r="AI13" s="124">
        <v>13</v>
      </c>
      <c r="AJ13" s="124">
        <v>0</v>
      </c>
      <c r="AK13" s="124">
        <v>0</v>
      </c>
      <c r="AL13" s="125">
        <f t="shared" si="1"/>
        <v>0</v>
      </c>
      <c r="AM13" s="124">
        <v>2</v>
      </c>
      <c r="AN13" s="124">
        <v>13</v>
      </c>
      <c r="AO13" s="126"/>
      <c r="AP13" s="126"/>
      <c r="AQ13" s="124">
        <v>183</v>
      </c>
      <c r="AR13" s="124">
        <v>86</v>
      </c>
      <c r="AS13" s="127" t="s">
        <v>263</v>
      </c>
      <c r="AT13" s="124">
        <v>2009</v>
      </c>
      <c r="AU13" s="128">
        <f t="shared" ca="1" si="2"/>
        <v>21</v>
      </c>
      <c r="AV13" s="128" t="str">
        <f t="shared" si="3"/>
        <v>183/86</v>
      </c>
      <c r="AW13" s="129" t="str">
        <f t="shared" ca="1" si="4"/>
        <v>Král</v>
      </c>
      <c r="AX13" s="130" t="str">
        <f t="shared" ca="1" si="5"/>
        <v>0 V, 0 P</v>
      </c>
      <c r="AY13" s="130" t="str">
        <f t="shared" ca="1" si="6"/>
        <v>13 OZ, 0 A</v>
      </c>
      <c r="AZ13" s="131"/>
      <c r="BA13" s="131"/>
      <c r="BB13" s="131"/>
      <c r="BC13" s="131"/>
      <c r="BD13" s="90" t="str">
        <f t="shared" si="7"/>
        <v>Král</v>
      </c>
      <c r="BE13" s="92">
        <f t="shared" ca="1" si="8"/>
        <v>1</v>
      </c>
      <c r="BF13" s="91" t="str">
        <f t="shared" si="9"/>
        <v>J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284</v>
      </c>
      <c r="BU13" s="104">
        <v>1</v>
      </c>
      <c r="BV13" s="105" t="str">
        <f t="shared" si="17"/>
        <v>Jan Šoltys</v>
      </c>
      <c r="BW13" s="103">
        <f t="shared" si="18"/>
        <v>1</v>
      </c>
    </row>
    <row r="14" spans="1:79" ht="15" customHeight="1" thickTop="1" thickBot="1" x14ac:dyDescent="0.25">
      <c r="A14" s="318" t="str">
        <f ca="1">IFERROR(VLOOKUP(A12,OFFSET($AG$2,,,COUNTIF($AG$2:$AG$50,"?*"),23),18,FALSE),"")</f>
        <v>2 OZ, 2 (1+1), -1 ±</v>
      </c>
      <c r="B14" s="319"/>
      <c r="C14" s="319"/>
      <c r="D14" s="320" t="str">
        <f ca="1">IFERROR(VLOOKUP(A12,OFFSET($AG$2,,,COUNTIF($AG$2:$AG$50,"?*"),23),19,FALSE),"")</f>
        <v>187 OZ, 226 (127+99)</v>
      </c>
      <c r="E14" s="320"/>
      <c r="F14" s="321"/>
      <c r="G14" s="322" t="s">
        <v>238</v>
      </c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18" t="str">
        <f ca="1">IFERROR(VLOOKUP(M12,OFFSET($AG$2,,,COUNTIF($AG$2:$AG$50,"?*"),23),18,FALSE),"")</f>
        <v>2 OZ, 0 (0+0), -2 ±</v>
      </c>
      <c r="N14" s="319"/>
      <c r="O14" s="319"/>
      <c r="P14" s="320" t="str">
        <f ca="1">IFERROR(VLOOKUP(M12,OFFSET($AG$2,,,COUNTIF($AG$2:$AG$50,"?*"),23),19,FALSE),"")</f>
        <v>24 OZ, 26 (9+17)</v>
      </c>
      <c r="Q14" s="320"/>
      <c r="R14" s="321"/>
      <c r="S14" s="111" t="s">
        <v>254</v>
      </c>
      <c r="T14" s="103" t="s">
        <v>131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255</v>
      </c>
      <c r="AH14" s="123">
        <v>36962</v>
      </c>
      <c r="AI14" s="124">
        <v>14</v>
      </c>
      <c r="AJ14" s="124">
        <v>0</v>
      </c>
      <c r="AK14" s="124">
        <v>0</v>
      </c>
      <c r="AL14" s="125">
        <f t="shared" si="1"/>
        <v>0</v>
      </c>
      <c r="AM14" s="124">
        <v>4</v>
      </c>
      <c r="AN14" s="124">
        <v>65</v>
      </c>
      <c r="AO14" s="126"/>
      <c r="AP14" s="126" t="s">
        <v>27</v>
      </c>
      <c r="AQ14" s="124">
        <v>170</v>
      </c>
      <c r="AR14" s="124">
        <v>67</v>
      </c>
      <c r="AS14" s="127" t="s">
        <v>265</v>
      </c>
      <c r="AT14" s="124">
        <v>2006</v>
      </c>
      <c r="AU14" s="128">
        <f t="shared" ca="1" si="2"/>
        <v>20</v>
      </c>
      <c r="AV14" s="128" t="str">
        <f t="shared" si="3"/>
        <v>170/67</v>
      </c>
      <c r="AW14" s="129" t="str">
        <f t="shared" ca="1" si="4"/>
        <v>Martínek</v>
      </c>
      <c r="AX14" s="130" t="str">
        <f t="shared" ca="1" si="5"/>
        <v>2 OZ, 0 (0+0), 0 ±</v>
      </c>
      <c r="AY14" s="130" t="str">
        <f t="shared" ca="1" si="6"/>
        <v>16 OZ, 0 (0+0)</v>
      </c>
      <c r="AZ14" s="131"/>
      <c r="BA14" s="131"/>
      <c r="BB14" s="131"/>
      <c r="BC14" s="131"/>
      <c r="BD14" s="3" t="str">
        <f t="shared" si="7"/>
        <v>Martínek</v>
      </c>
      <c r="BE14" s="85">
        <f t="shared" ca="1" si="8"/>
        <v>1</v>
      </c>
      <c r="BF14" s="62" t="str">
        <f t="shared" si="9"/>
        <v>D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998</v>
      </c>
      <c r="BU14" s="104">
        <v>1</v>
      </c>
      <c r="BV14" s="105" t="str">
        <f t="shared" si="17"/>
        <v>Prokop Ferdan</v>
      </c>
      <c r="BW14" s="103">
        <f t="shared" si="18"/>
        <v>1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>TJ Centropen Dačice</v>
      </c>
      <c r="B15" s="328"/>
      <c r="C15" s="329"/>
      <c r="D15" s="330">
        <f ca="1">IFERROR(IF(VLOOKUP(A12,OFFSET($AG$2,,,COUNTIF($AG$2:$AG$50,"?*"),23),14,FALSE)&lt;&gt;0,VLOOKUP(A12,OFFSET($AG$2,,,COUNTIF($AG$2:$AG$50,"?*"),23),14,FALSE),"?"),"")</f>
        <v>2006</v>
      </c>
      <c r="E15" s="331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25">
        <f ca="1">IFERROR(IF(VLOOKUP(G14,OFFSET($AG$2,,,COUNTIF($AG$2:$AG$50,"?*"),23),2,FALSE)&lt;&gt;0,YEAR(VLOOKUP(G14,OFFSET($AG$2,,,COUNTIF($AG$2:$AG$50,"?*"),23),2,FALSE)),""),"")</f>
        <v>1994</v>
      </c>
      <c r="I15" s="326"/>
      <c r="J15" s="95">
        <f ca="1">IFERROR(VLOOKUP(G14,OFFSET($AG$2,,,COUNTIF($AG$2:$AG$50,"?*"),23),15,FALSE),"")</f>
        <v>26</v>
      </c>
      <c r="K15" s="316" t="str">
        <f ca="1">IFERROR(VLOOKUP(G14,OFFSET($AG$2,,,COUNTIF($AG$2:$AG$50,"?*"),23),16,FALSE),"")</f>
        <v>187/76</v>
      </c>
      <c r="L15" s="317"/>
      <c r="M15" s="327" t="str">
        <f ca="1">IFERROR(IF(VLOOKUP(M12,OFFSET($AG$2,,,COUNTIF($AG$2:$AG$50,"?*"),23),13,FALSE)&lt;&gt;0,VLOOKUP(M12,OFFSET($AG$2,,,COUNTIF($AG$2:$AG$50,"?*"),23),13,FALSE),"?"),"")</f>
        <v>FBC Liberec</v>
      </c>
      <c r="N15" s="328"/>
      <c r="O15" s="329"/>
      <c r="P15" s="330">
        <f ca="1">IFERROR(IF(VLOOKUP(M12,OFFSET($AG$2,,,COUNTIF($AG$2:$AG$50,"?*"),23),14,FALSE)&lt;&gt;0,VLOOKUP(M12,OFFSET($AG$2,,,COUNTIF($AG$2:$AG$50,"?*"),23),14,FALSE),"?"),"")</f>
        <v>2010</v>
      </c>
      <c r="Q15" s="331"/>
      <c r="R15" s="7">
        <f ca="1">IFERROR(IF(VLOOKUP(M12,OFFSET($AG$2,,,COUNTIF($AG$2:$AG$50,"?*"),23),7,FALSE)&lt;&gt;0,VLOOKUP(M12,OFFSET($AG$2,,,COUNTIF($AG$2:$AG$50,"?*"),23),7,FALSE),"?"),"")</f>
        <v>2</v>
      </c>
      <c r="S15" s="111" t="s">
        <v>253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-4</v>
      </c>
      <c r="AC15" s="103" t="str">
        <f t="shared" ca="1" si="0"/>
        <v>ANO</v>
      </c>
      <c r="AG15" s="122" t="s">
        <v>266</v>
      </c>
      <c r="AH15" s="123">
        <v>35992</v>
      </c>
      <c r="AI15" s="124">
        <v>48</v>
      </c>
      <c r="AJ15" s="124">
        <v>0</v>
      </c>
      <c r="AK15" s="124">
        <v>0</v>
      </c>
      <c r="AL15" s="125">
        <f t="shared" si="1"/>
        <v>0</v>
      </c>
      <c r="AM15" s="124">
        <v>4</v>
      </c>
      <c r="AN15" s="124">
        <v>30</v>
      </c>
      <c r="AO15" s="126"/>
      <c r="AP15" s="126"/>
      <c r="AQ15" s="124">
        <v>185</v>
      </c>
      <c r="AR15" s="124">
        <v>94</v>
      </c>
      <c r="AS15" s="127" t="s">
        <v>267</v>
      </c>
      <c r="AT15" s="124">
        <v>2007</v>
      </c>
      <c r="AU15" s="128">
        <f t="shared" ca="1" si="2"/>
        <v>23</v>
      </c>
      <c r="AV15" s="128" t="str">
        <f t="shared" si="3"/>
        <v>185/94</v>
      </c>
      <c r="AW15" s="129" t="str">
        <f t="shared" ca="1" si="4"/>
        <v>Mück</v>
      </c>
      <c r="AX15" s="130" t="str">
        <f t="shared" ca="1" si="5"/>
        <v>0 OZ, 0 (0+0)</v>
      </c>
      <c r="AY15" s="130" t="str">
        <f t="shared" ca="1" si="6"/>
        <v>48 OZ, 0 (0+0)</v>
      </c>
      <c r="AZ15" s="131"/>
      <c r="BA15" s="131"/>
      <c r="BB15" s="131"/>
      <c r="BC15" s="131"/>
      <c r="BD15" s="90" t="str">
        <f t="shared" si="7"/>
        <v>Mück</v>
      </c>
      <c r="BE15" s="92">
        <f t="shared" ca="1" si="8"/>
        <v>1</v>
      </c>
      <c r="BF15" s="91" t="str">
        <f t="shared" si="9"/>
        <v>D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994</v>
      </c>
      <c r="BU15" s="104">
        <v>1</v>
      </c>
      <c r="BV15" s="105" t="str">
        <f t="shared" si="17"/>
        <v>Tomáš Dlesk</v>
      </c>
      <c r="BW15" s="103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>2 OZ, 1 (0+1), -1 ±</v>
      </c>
      <c r="H16" s="319"/>
      <c r="I16" s="319"/>
      <c r="J16" s="320" t="str">
        <f ca="1">IFERROR(VLOOKUP(G14,OFFSET($AG$2,,,COUNTIF($AG$2:$AG$50,"?*"),23),19,FALSE),"")</f>
        <v>191 OZ, 306 (166+140)</v>
      </c>
      <c r="K16" s="320"/>
      <c r="L16" s="321"/>
      <c r="S16" s="111" t="s">
        <v>244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-5</v>
      </c>
      <c r="AC16" s="103" t="str">
        <f t="shared" ca="1" si="0"/>
        <v>ANO</v>
      </c>
      <c r="AG16" s="122" t="s">
        <v>252</v>
      </c>
      <c r="AH16" s="123">
        <v>37276</v>
      </c>
      <c r="AI16" s="124">
        <v>14</v>
      </c>
      <c r="AJ16" s="124">
        <v>1</v>
      </c>
      <c r="AK16" s="124">
        <v>0</v>
      </c>
      <c r="AL16" s="125">
        <f t="shared" si="1"/>
        <v>1</v>
      </c>
      <c r="AM16" s="124">
        <v>4</v>
      </c>
      <c r="AN16" s="124">
        <v>88</v>
      </c>
      <c r="AO16" s="126"/>
      <c r="AP16" s="126" t="s">
        <v>27</v>
      </c>
      <c r="AQ16" s="124">
        <v>164</v>
      </c>
      <c r="AR16" s="124">
        <v>68</v>
      </c>
      <c r="AS16" s="127" t="s">
        <v>268</v>
      </c>
      <c r="AT16" s="124">
        <v>2005</v>
      </c>
      <c r="AU16" s="128">
        <f t="shared" ca="1" si="2"/>
        <v>19</v>
      </c>
      <c r="AV16" s="128" t="str">
        <f t="shared" si="3"/>
        <v>164/68</v>
      </c>
      <c r="AW16" s="129" t="str">
        <f t="shared" ca="1" si="4"/>
        <v>Pařízek</v>
      </c>
      <c r="AX16" s="130" t="str">
        <f t="shared" ca="1" si="5"/>
        <v>2 OZ, 0 (0+0), -2 ±</v>
      </c>
      <c r="AY16" s="130" t="str">
        <f t="shared" ca="1" si="6"/>
        <v>16 OZ, 1 (1+0)</v>
      </c>
      <c r="AZ16" s="131"/>
      <c r="BA16" s="131"/>
      <c r="BB16" s="131"/>
      <c r="BC16" s="131"/>
      <c r="BD16" s="3" t="str">
        <f t="shared" si="7"/>
        <v>Pařízek</v>
      </c>
      <c r="BE16" s="85">
        <f t="shared" ca="1" si="8"/>
        <v>1</v>
      </c>
      <c r="BF16" s="62" t="str">
        <f t="shared" si="9"/>
        <v>J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999</v>
      </c>
      <c r="BU16" s="104">
        <v>0</v>
      </c>
      <c r="BV16" s="105" t="str">
        <f t="shared" si="17"/>
        <v>Daniel Martínek</v>
      </c>
      <c r="BW16" s="103">
        <f t="shared" si="18"/>
        <v>0</v>
      </c>
    </row>
    <row r="17" spans="1:75" ht="15" customHeight="1" thickTop="1" thickBot="1" x14ac:dyDescent="0.25">
      <c r="A17" s="322" t="s">
        <v>251</v>
      </c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27" t="str">
        <f ca="1">IFERROR(IF(VLOOKUP(G14,OFFSET($AG$2,,,COUNTIF($AG$2:$AG$50,"?*"),23),13,FALSE)&lt;&gt;0,VLOOKUP(G14,OFFSET($AG$2,,,COUNTIF($AG$2:$AG$50,"?*"),23),13,FALSE),"?"),"")</f>
        <v>FBC Liberec</v>
      </c>
      <c r="H17" s="328"/>
      <c r="I17" s="329"/>
      <c r="J17" s="330">
        <f ca="1">IFERROR(IF(VLOOKUP(G14,OFFSET($AG$2,,,COUNTIF($AG$2:$AG$50,"?*"),23),14,FALSE)&lt;&gt;0,VLOOKUP(G14,OFFSET($AG$2,,,COUNTIF($AG$2:$AG$50,"?*"),23),14,FALSE),"?"),"")</f>
        <v>2002</v>
      </c>
      <c r="K17" s="331"/>
      <c r="L17" s="7">
        <f ca="1">IFERROR(IF(VLOOKUP(G14,OFFSET($AG$2,,,COUNTIF($AG$2:$AG$50,"?*"),23),7,FALSE)&lt;&gt;0,VLOOKUP(G14,OFFSET($AG$2,,,COUNTIF($AG$2:$AG$50,"?*"),23),7,FALSE),"?"),"")</f>
        <v>10</v>
      </c>
      <c r="M17" s="322" t="s">
        <v>245</v>
      </c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1" t="s">
        <v>255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242</v>
      </c>
      <c r="AH17" s="123">
        <v>36449</v>
      </c>
      <c r="AI17" s="124">
        <v>75</v>
      </c>
      <c r="AJ17" s="124">
        <v>23</v>
      </c>
      <c r="AK17" s="124">
        <v>21</v>
      </c>
      <c r="AL17" s="125">
        <f t="shared" si="1"/>
        <v>44</v>
      </c>
      <c r="AM17" s="124">
        <v>4</v>
      </c>
      <c r="AN17" s="124">
        <v>22</v>
      </c>
      <c r="AO17" s="126"/>
      <c r="AP17" s="126" t="s">
        <v>163</v>
      </c>
      <c r="AQ17" s="124">
        <v>164</v>
      </c>
      <c r="AR17" s="124">
        <v>60</v>
      </c>
      <c r="AS17" s="127" t="s">
        <v>268</v>
      </c>
      <c r="AT17" s="124">
        <v>2008</v>
      </c>
      <c r="AU17" s="128">
        <f t="shared" ca="1" si="2"/>
        <v>21</v>
      </c>
      <c r="AV17" s="128" t="str">
        <f t="shared" si="3"/>
        <v>164/60</v>
      </c>
      <c r="AW17" s="129" t="str">
        <f t="shared" ca="1" si="4"/>
        <v>Rozkovec</v>
      </c>
      <c r="AX17" s="130" t="str">
        <f t="shared" ca="1" si="5"/>
        <v>2 OZ, 0 (0+0), -3 ±</v>
      </c>
      <c r="AY17" s="130" t="str">
        <f t="shared" ca="1" si="6"/>
        <v>77 OZ, 44 (23+21)</v>
      </c>
      <c r="AZ17" s="131"/>
      <c r="BA17" s="131"/>
      <c r="BB17" s="131"/>
      <c r="BC17" s="131"/>
      <c r="BD17" s="90" t="str">
        <f t="shared" si="7"/>
        <v>Rozkovec</v>
      </c>
      <c r="BE17" s="92">
        <f t="shared" ca="1" si="8"/>
        <v>1</v>
      </c>
      <c r="BF17" s="91" t="str">
        <f t="shared" si="9"/>
        <v>P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288</v>
      </c>
      <c r="BU17" s="104">
        <v>0</v>
      </c>
      <c r="BV17" s="105" t="str">
        <f t="shared" si="17"/>
        <v>Petr Chlad</v>
      </c>
      <c r="BW17" s="103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25">
        <f ca="1">IFERROR(IF(VLOOKUP(A17,OFFSET($AG$2,,,COUNTIF($AG$2:$AG$50,"?*"),23),2,FALSE)&lt;&gt;0,YEAR(VLOOKUP(A17,OFFSET($AG$2,,,COUNTIF($AG$2:$AG$50,"?*"),23),2,FALSE)),""),"")</f>
        <v>1994</v>
      </c>
      <c r="C18" s="326"/>
      <c r="D18" s="151">
        <f ca="1">IFERROR(VLOOKUP(A17,OFFSET($AG$2,,,COUNTIF($AG$2:$AG$50,"?*"),23),15,FALSE),"")</f>
        <v>27</v>
      </c>
      <c r="E18" s="316" t="str">
        <f ca="1">IFERROR(VLOOKUP(A17,OFFSET($AG$2,,,COUNTIF($AG$2:$AG$50,"?*"),23),16,FALSE),"")</f>
        <v>180/82</v>
      </c>
      <c r="F18" s="317"/>
      <c r="M18" s="4" t="str">
        <f ca="1">IFERROR(IF(VLOOKUP(M17,OFFSET($AG$2,,,COUNTIF($AG$2:$AG$50,"?*"),23),10,FALSE)&lt;&gt;0,VLOOKUP(M17,OFFSET($AG$2,,,COUNTIF($AG$2:$AG$50,"?*"),23),10,FALSE),""),"")</f>
        <v>L</v>
      </c>
      <c r="N18" s="325">
        <f ca="1">IFERROR(IF(VLOOKUP(M17,OFFSET($AG$2,,,COUNTIF($AG$2:$AG$50,"?*"),23),2,FALSE)&lt;&gt;0,YEAR(VLOOKUP(M17,OFFSET($AG$2,,,COUNTIF($AG$2:$AG$50,"?*"),23),2,FALSE)),""),"")</f>
        <v>2003</v>
      </c>
      <c r="O18" s="326"/>
      <c r="P18" s="95">
        <f ca="1">IFERROR(VLOOKUP(M17,OFFSET($AG$2,,,COUNTIF($AG$2:$AG$50,"?*"),23),15,FALSE),"")</f>
        <v>18</v>
      </c>
      <c r="Q18" s="316" t="str">
        <f ca="1">IFERROR(VLOOKUP(M17,OFFSET($AG$2,,,COUNTIF($AG$2:$AG$50,"?*"),23),16,FALSE),"")</f>
        <v>178/74</v>
      </c>
      <c r="R18" s="317"/>
      <c r="S18" s="111" t="s">
        <v>241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-4</v>
      </c>
      <c r="AC18" s="103" t="str">
        <f t="shared" ca="1" si="0"/>
        <v>ANO</v>
      </c>
      <c r="AG18" s="122" t="s">
        <v>269</v>
      </c>
      <c r="AH18" s="123">
        <v>31222</v>
      </c>
      <c r="AI18" s="124">
        <v>332</v>
      </c>
      <c r="AJ18" s="124">
        <v>192</v>
      </c>
      <c r="AK18" s="124">
        <v>261</v>
      </c>
      <c r="AL18" s="125">
        <f t="shared" si="1"/>
        <v>453</v>
      </c>
      <c r="AM18" s="124">
        <v>18</v>
      </c>
      <c r="AN18" s="124">
        <v>10</v>
      </c>
      <c r="AO18" s="126"/>
      <c r="AP18" s="126" t="s">
        <v>163</v>
      </c>
      <c r="AQ18" s="124">
        <v>181</v>
      </c>
      <c r="AR18" s="124">
        <v>79</v>
      </c>
      <c r="AS18" s="127" t="s">
        <v>270</v>
      </c>
      <c r="AT18" s="124">
        <v>2000</v>
      </c>
      <c r="AU18" s="128">
        <f t="shared" ca="1" si="2"/>
        <v>36</v>
      </c>
      <c r="AV18" s="128" t="str">
        <f t="shared" si="3"/>
        <v>181/79</v>
      </c>
      <c r="AW18" s="129" t="str">
        <f t="shared" ca="1" si="4"/>
        <v>Salát</v>
      </c>
      <c r="AX18" s="130" t="str">
        <f t="shared" ca="1" si="5"/>
        <v>0 OZ, 0 (0+0)</v>
      </c>
      <c r="AY18" s="130" t="str">
        <f t="shared" ca="1" si="6"/>
        <v>332 OZ, 453 (192+261)</v>
      </c>
      <c r="AZ18" s="131"/>
      <c r="BA18" s="131"/>
      <c r="BB18" s="131"/>
      <c r="BC18" s="131"/>
      <c r="BD18" s="3" t="str">
        <f t="shared" si="7"/>
        <v>Salát</v>
      </c>
      <c r="BE18" s="85">
        <f t="shared" ca="1" si="8"/>
        <v>1</v>
      </c>
      <c r="BF18" s="62" t="str">
        <f t="shared" si="9"/>
        <v>P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996</v>
      </c>
      <c r="BU18" s="104">
        <v>0</v>
      </c>
      <c r="BV18" s="105" t="str">
        <f t="shared" si="17"/>
        <v>Jakub Levínský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>2 OZ, 1 (1+0), -2 ±</v>
      </c>
      <c r="B19" s="319"/>
      <c r="C19" s="319"/>
      <c r="D19" s="320" t="str">
        <f ca="1">IFERROR(VLOOKUP(A17,OFFSET($AG$2,,,COUNTIF($AG$2:$AG$50,"?*"),23),19,FALSE),"")</f>
        <v>196 OZ, 117 (51+66)</v>
      </c>
      <c r="E19" s="320"/>
      <c r="F19" s="321"/>
      <c r="H19" s="332" t="str">
        <f>H$8</f>
        <v>LIB</v>
      </c>
      <c r="I19" s="332"/>
      <c r="J19" s="332"/>
      <c r="K19" s="332"/>
      <c r="M19" s="318" t="str">
        <f ca="1">IFERROR(VLOOKUP(M17,OFFSET($AG$2,,,COUNTIF($AG$2:$AG$50,"?*"),23),18,FALSE),"")</f>
        <v>2 OZ, 0 (0+0), -2 ±</v>
      </c>
      <c r="N19" s="319"/>
      <c r="O19" s="319"/>
      <c r="P19" s="320" t="str">
        <f ca="1">IFERROR(VLOOKUP(M17,OFFSET($AG$2,,,COUNTIF($AG$2:$AG$50,"?*"),23),19,FALSE),"")</f>
        <v>24 OZ, 4 (2+2)</v>
      </c>
      <c r="Q19" s="320"/>
      <c r="R19" s="321"/>
      <c r="S19" s="111" t="s">
        <v>250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250</v>
      </c>
      <c r="AH19" s="123">
        <v>38252</v>
      </c>
      <c r="AI19" s="124">
        <v>0</v>
      </c>
      <c r="AJ19" s="124">
        <v>0</v>
      </c>
      <c r="AK19" s="124">
        <v>0</v>
      </c>
      <c r="AL19" s="125">
        <f t="shared" si="1"/>
        <v>0</v>
      </c>
      <c r="AM19" s="124">
        <v>1</v>
      </c>
      <c r="AN19" s="124">
        <v>27</v>
      </c>
      <c r="AO19" s="126"/>
      <c r="AP19" s="126" t="s">
        <v>27</v>
      </c>
      <c r="AQ19" s="124">
        <v>183</v>
      </c>
      <c r="AR19" s="124">
        <v>79</v>
      </c>
      <c r="AS19" s="127" t="s">
        <v>918</v>
      </c>
      <c r="AT19" s="124">
        <v>2010</v>
      </c>
      <c r="AU19" s="128">
        <f t="shared" ca="1" si="2"/>
        <v>17</v>
      </c>
      <c r="AV19" s="128" t="str">
        <f t="shared" si="3"/>
        <v>183/79</v>
      </c>
      <c r="AW19" s="129" t="str">
        <f t="shared" ca="1" si="4"/>
        <v>Smutný</v>
      </c>
      <c r="AX19" s="130" t="str">
        <f t="shared" ca="1" si="5"/>
        <v>2 OZ, 0 (0+0), -1 ±</v>
      </c>
      <c r="AY19" s="130" t="str">
        <f t="shared" ca="1" si="6"/>
        <v>2 OZ, 0 (0+0)</v>
      </c>
      <c r="AZ19" s="131"/>
      <c r="BA19" s="131"/>
      <c r="BB19" s="131"/>
      <c r="BC19" s="131"/>
      <c r="BD19" s="90" t="str">
        <f t="shared" si="7"/>
        <v>Smutný</v>
      </c>
      <c r="BE19" s="92">
        <f t="shared" ca="1" si="8"/>
        <v>1</v>
      </c>
      <c r="BF19" s="91" t="str">
        <f t="shared" si="9"/>
        <v>F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T19" s="105" t="s">
        <v>997</v>
      </c>
      <c r="BU19" s="104">
        <v>0</v>
      </c>
      <c r="BV19" s="105" t="str">
        <f t="shared" si="17"/>
        <v>Jan Král</v>
      </c>
      <c r="BW19" s="103">
        <f t="shared" si="18"/>
        <v>0</v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>Sokol Pardubice</v>
      </c>
      <c r="B20" s="328"/>
      <c r="C20" s="329"/>
      <c r="D20" s="330">
        <f ca="1">IFERROR(IF(VLOOKUP(A17,OFFSET($AG$2,,,COUNTIF($AG$2:$AG$50,"?*"),23),14,FALSE)&lt;&gt;0,VLOOKUP(A17,OFFSET($AG$2,,,COUNTIF($AG$2:$AG$50,"?*"),23),14,FALSE),"?"),"")</f>
        <v>2009</v>
      </c>
      <c r="E20" s="331"/>
      <c r="F20" s="7">
        <f ca="1">IFERROR(IF(VLOOKUP(A17,OFFSET($AG$2,,,COUNTIF($AG$2:$AG$50,"?*"),23),7,FALSE)&lt;&gt;0,VLOOKUP(A17,OFFSET($AG$2,,,COUNTIF($AG$2:$AG$50,"?*"),23),7,FALSE),"?"),"")</f>
        <v>11</v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>FBC Liberec</v>
      </c>
      <c r="N20" s="328"/>
      <c r="O20" s="329"/>
      <c r="P20" s="330">
        <f ca="1">IFERROR(IF(VLOOKUP(M17,OFFSET($AG$2,,,COUNTIF($AG$2:$AG$50,"?*"),23),14,FALSE)&lt;&gt;0,VLOOKUP(M17,OFFSET($AG$2,,,COUNTIF($AG$2:$AG$50,"?*"),23),14,FALSE),"?"),"")</f>
        <v>2010</v>
      </c>
      <c r="Q20" s="331"/>
      <c r="R20" s="7">
        <f ca="1">IFERROR(IF(VLOOKUP(M17,OFFSET($AG$2,,,COUNTIF($AG$2:$AG$50,"?*"),23),7,FALSE)&lt;&gt;0,VLOOKUP(M17,OFFSET($AG$2,,,COUNTIF($AG$2:$AG$50,"?*"),23),7,FALSE),"?"),"")</f>
        <v>2</v>
      </c>
      <c r="S20" s="111" t="s">
        <v>252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-2</v>
      </c>
      <c r="AC20" s="103" t="str">
        <f t="shared" ca="1" si="0"/>
        <v>ANO</v>
      </c>
      <c r="AG20" s="122" t="s">
        <v>243</v>
      </c>
      <c r="AH20" s="123">
        <v>37818</v>
      </c>
      <c r="AI20" s="124">
        <v>18</v>
      </c>
      <c r="AJ20" s="124">
        <v>9</v>
      </c>
      <c r="AK20" s="124">
        <v>5</v>
      </c>
      <c r="AL20" s="125">
        <f t="shared" si="1"/>
        <v>14</v>
      </c>
      <c r="AM20" s="124">
        <v>2</v>
      </c>
      <c r="AN20" s="124">
        <v>28</v>
      </c>
      <c r="AO20" s="126"/>
      <c r="AP20" s="126" t="s">
        <v>163</v>
      </c>
      <c r="AQ20" s="124">
        <v>187</v>
      </c>
      <c r="AR20" s="124">
        <v>83</v>
      </c>
      <c r="AS20" s="127" t="s">
        <v>271</v>
      </c>
      <c r="AT20" s="124">
        <v>2010</v>
      </c>
      <c r="AU20" s="128">
        <f t="shared" ca="1" si="2"/>
        <v>18</v>
      </c>
      <c r="AV20" s="128" t="str">
        <f t="shared" si="3"/>
        <v>187/83</v>
      </c>
      <c r="AW20" s="129" t="str">
        <f t="shared" ca="1" si="4"/>
        <v>Stránský</v>
      </c>
      <c r="AX20" s="130" t="str">
        <f t="shared" ca="1" si="5"/>
        <v>2 OZ, 0 (0+0), -2 ±</v>
      </c>
      <c r="AY20" s="130" t="str">
        <f t="shared" ca="1" si="6"/>
        <v>20 OZ, 14 (9+5)</v>
      </c>
      <c r="AZ20" s="131"/>
      <c r="BA20" s="131"/>
      <c r="BB20" s="131"/>
      <c r="BC20" s="131"/>
      <c r="BD20" s="3" t="str">
        <f t="shared" si="7"/>
        <v>Stránský</v>
      </c>
      <c r="BE20" s="85">
        <f t="shared" ca="1" si="8"/>
        <v>1</v>
      </c>
      <c r="BF20" s="62" t="str">
        <f t="shared" si="9"/>
        <v>Š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242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-3</v>
      </c>
      <c r="AC21" s="103" t="str">
        <f t="shared" ca="1" si="0"/>
        <v>ANO</v>
      </c>
      <c r="AG21" s="122" t="s">
        <v>253</v>
      </c>
      <c r="AH21" s="123">
        <v>35909</v>
      </c>
      <c r="AI21" s="124">
        <v>41</v>
      </c>
      <c r="AJ21" s="124">
        <v>15</v>
      </c>
      <c r="AK21" s="124">
        <v>10</v>
      </c>
      <c r="AL21" s="125">
        <f t="shared" si="1"/>
        <v>25</v>
      </c>
      <c r="AM21" s="124">
        <v>3</v>
      </c>
      <c r="AN21" s="124">
        <v>90</v>
      </c>
      <c r="AO21" s="126"/>
      <c r="AP21" s="126" t="s">
        <v>163</v>
      </c>
      <c r="AQ21" s="124">
        <v>187</v>
      </c>
      <c r="AR21" s="124">
        <v>82</v>
      </c>
      <c r="AS21" s="127" t="s">
        <v>272</v>
      </c>
      <c r="AT21" s="124">
        <v>2014</v>
      </c>
      <c r="AU21" s="128">
        <f t="shared" ca="1" si="2"/>
        <v>23</v>
      </c>
      <c r="AV21" s="128" t="str">
        <f t="shared" si="3"/>
        <v>187/82</v>
      </c>
      <c r="AW21" s="129" t="str">
        <f t="shared" ca="1" si="4"/>
        <v>Světlík</v>
      </c>
      <c r="AX21" s="130" t="str">
        <f t="shared" ca="1" si="5"/>
        <v>2 OZ, 0 (0+0), -4 ±</v>
      </c>
      <c r="AY21" s="130" t="str">
        <f t="shared" ca="1" si="6"/>
        <v>43 OZ, 25 (15+10)</v>
      </c>
      <c r="AZ21" s="131"/>
      <c r="BA21" s="131"/>
      <c r="BB21" s="131"/>
      <c r="BC21" s="131"/>
      <c r="BD21" s="90" t="str">
        <f t="shared" si="7"/>
        <v>Světlík</v>
      </c>
      <c r="BE21" s="92">
        <f t="shared" ca="1" si="8"/>
        <v>1</v>
      </c>
      <c r="BF21" s="91" t="str">
        <f t="shared" si="9"/>
        <v>J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1" t="s">
        <v>247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-2</v>
      </c>
      <c r="AC22" s="103" t="str">
        <f t="shared" ca="1" si="0"/>
        <v>ANO</v>
      </c>
      <c r="AG22" s="122" t="s">
        <v>237</v>
      </c>
      <c r="AH22" s="123">
        <v>36067</v>
      </c>
      <c r="AI22" s="124">
        <v>94</v>
      </c>
      <c r="AJ22" s="124">
        <v>20</v>
      </c>
      <c r="AK22" s="124">
        <v>9</v>
      </c>
      <c r="AL22" s="125">
        <f t="shared" si="1"/>
        <v>29</v>
      </c>
      <c r="AM22" s="124">
        <v>6</v>
      </c>
      <c r="AN22" s="124">
        <v>61</v>
      </c>
      <c r="AO22" s="126"/>
      <c r="AP22" s="126" t="s">
        <v>163</v>
      </c>
      <c r="AQ22" s="124">
        <v>177</v>
      </c>
      <c r="AR22" s="124">
        <v>74</v>
      </c>
      <c r="AS22" s="127" t="s">
        <v>86</v>
      </c>
      <c r="AT22" s="124">
        <v>2011</v>
      </c>
      <c r="AU22" s="128">
        <f t="shared" ca="1" si="2"/>
        <v>22</v>
      </c>
      <c r="AV22" s="128" t="str">
        <f t="shared" si="3"/>
        <v>177/74</v>
      </c>
      <c r="AW22" s="129" t="str">
        <f t="shared" ca="1" si="4"/>
        <v>Šoltys</v>
      </c>
      <c r="AX22" s="130" t="str">
        <f t="shared" ca="1" si="5"/>
        <v>2 OZ, 1 (1+0), -2 ±</v>
      </c>
      <c r="AY22" s="130" t="str">
        <f t="shared" ca="1" si="6"/>
        <v>96 OZ, 30 (21+9)</v>
      </c>
      <c r="AZ22" s="131"/>
      <c r="BA22" s="131"/>
      <c r="BB22" s="131"/>
      <c r="BC22" s="131"/>
      <c r="BD22" s="3" t="str">
        <f t="shared" si="7"/>
        <v>Šoltys</v>
      </c>
      <c r="BE22" s="85">
        <f t="shared" ca="1" si="8"/>
        <v>1</v>
      </c>
      <c r="BF22" s="62" t="str">
        <f t="shared" si="9"/>
        <v>J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283</v>
      </c>
      <c r="BU22" s="104">
        <v>2</v>
      </c>
      <c r="BV22" s="105" t="str">
        <f t="shared" si="17"/>
        <v>Jakub Kopecký</v>
      </c>
      <c r="BW22" s="103">
        <f t="shared" si="18"/>
        <v>2</v>
      </c>
    </row>
    <row r="23" spans="1:75" ht="15" customHeight="1" thickTop="1" thickBot="1" x14ac:dyDescent="0.25">
      <c r="A23" s="322" t="s">
        <v>242</v>
      </c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24" t="s">
        <v>13</v>
      </c>
      <c r="I23" s="324"/>
      <c r="J23" s="324"/>
      <c r="K23" s="324"/>
      <c r="M23" s="322" t="s">
        <v>253</v>
      </c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2"/>
      <c r="AC23" s="103" t="str">
        <f t="shared" ca="1" si="0"/>
        <v/>
      </c>
      <c r="AG23" s="122" t="s">
        <v>247</v>
      </c>
      <c r="AH23" s="123">
        <v>38124</v>
      </c>
      <c r="AI23" s="124">
        <v>0</v>
      </c>
      <c r="AJ23" s="124">
        <v>0</v>
      </c>
      <c r="AK23" s="124">
        <v>0</v>
      </c>
      <c r="AL23" s="125">
        <f t="shared" si="1"/>
        <v>0</v>
      </c>
      <c r="AM23" s="124">
        <v>1</v>
      </c>
      <c r="AN23" s="124">
        <v>77</v>
      </c>
      <c r="AO23" s="126"/>
      <c r="AP23" s="126"/>
      <c r="AQ23" s="124"/>
      <c r="AR23" s="124"/>
      <c r="AS23" s="127" t="s">
        <v>86</v>
      </c>
      <c r="AT23" s="124">
        <v>2011</v>
      </c>
      <c r="AU23" s="128">
        <f t="shared" ca="1" si="2"/>
        <v>17</v>
      </c>
      <c r="AV23" s="128" t="str">
        <f t="shared" si="3"/>
        <v>? / ?</v>
      </c>
      <c r="AW23" s="129" t="str">
        <f t="shared" ca="1" si="4"/>
        <v>Václavík</v>
      </c>
      <c r="AX23" s="130" t="str">
        <f t="shared" ca="1" si="5"/>
        <v>2 OZ, 0 (0+0), -2 ±</v>
      </c>
      <c r="AY23" s="130" t="str">
        <f t="shared" ca="1" si="6"/>
        <v>2 OZ, 0 (0+0)</v>
      </c>
      <c r="AZ23" s="131"/>
      <c r="BA23" s="131"/>
      <c r="BB23" s="131"/>
      <c r="BC23" s="131"/>
      <c r="BD23" s="90" t="str">
        <f t="shared" si="7"/>
        <v>Václavík</v>
      </c>
      <c r="BE23" s="92">
        <f t="shared" ca="1" si="8"/>
        <v>1</v>
      </c>
      <c r="BF23" s="91" t="str">
        <f t="shared" si="9"/>
        <v>M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992</v>
      </c>
      <c r="BU23" s="104">
        <v>1</v>
      </c>
      <c r="BV23" s="105" t="str">
        <f t="shared" si="17"/>
        <v>Prokop Ferdan</v>
      </c>
      <c r="BW23" s="103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25">
        <f ca="1">IFERROR(IF(VLOOKUP(A23,OFFSET($AG$2,,,COUNTIF($AG$2:$AG$50,"?*"),23),2,FALSE)&lt;&gt;0,YEAR(VLOOKUP(A23,OFFSET($AG$2,,,COUNTIF($AG$2:$AG$50,"?*"),23),2,FALSE)),""),"")</f>
        <v>1999</v>
      </c>
      <c r="C24" s="326"/>
      <c r="D24" s="95">
        <f ca="1">IFERROR(VLOOKUP(A23,OFFSET($AG$2,,,COUNTIF($AG$2:$AG$50,"?*"),23),15,FALSE),"")</f>
        <v>21</v>
      </c>
      <c r="E24" s="316" t="str">
        <f ca="1">IFERROR(VLOOKUP(A23,OFFSET($AG$2,,,COUNTIF($AG$2:$AG$50,"?*"),23),16,FALSE),"")</f>
        <v>164/60</v>
      </c>
      <c r="F24" s="317"/>
      <c r="M24" s="4" t="str">
        <f ca="1">IFERROR(IF(VLOOKUP(M23,OFFSET($AG$2,,,COUNTIF($AG$2:$AG$50,"?*"),23),10,FALSE)&lt;&gt;0,VLOOKUP(M23,OFFSET($AG$2,,,COUNTIF($AG$2:$AG$50,"?*"),23),10,FALSE),""),"")</f>
        <v>L</v>
      </c>
      <c r="N24" s="325">
        <f ca="1">IFERROR(IF(VLOOKUP(M23,OFFSET($AG$2,,,COUNTIF($AG$2:$AG$50,"?*"),23),2,FALSE)&lt;&gt;0,YEAR(VLOOKUP(M23,OFFSET($AG$2,,,COUNTIF($AG$2:$AG$50,"?*"),23),2,FALSE)),""),"")</f>
        <v>1998</v>
      </c>
      <c r="O24" s="326"/>
      <c r="P24" s="95">
        <f ca="1">IFERROR(VLOOKUP(M23,OFFSET($AG$2,,,COUNTIF($AG$2:$AG$50,"?*"),23),15,FALSE),"")</f>
        <v>23</v>
      </c>
      <c r="Q24" s="316" t="str">
        <f ca="1">IFERROR(VLOOKUP(M23,OFFSET($AG$2,,,COUNTIF($AG$2:$AG$50,"?*"),23),16,FALSE),"")</f>
        <v>187/82</v>
      </c>
      <c r="R24" s="317"/>
      <c r="S24" s="112"/>
      <c r="AC24" s="103" t="str">
        <f t="shared" ca="1" si="0"/>
        <v/>
      </c>
      <c r="AG24" s="122" t="s">
        <v>238</v>
      </c>
      <c r="AH24" s="123">
        <v>34624</v>
      </c>
      <c r="AI24" s="124">
        <v>189</v>
      </c>
      <c r="AJ24" s="124">
        <v>166</v>
      </c>
      <c r="AK24" s="124">
        <v>139</v>
      </c>
      <c r="AL24" s="125">
        <f t="shared" si="1"/>
        <v>305</v>
      </c>
      <c r="AM24" s="124">
        <v>10</v>
      </c>
      <c r="AN24" s="124">
        <v>9</v>
      </c>
      <c r="AO24" s="126"/>
      <c r="AP24" s="126" t="s">
        <v>163</v>
      </c>
      <c r="AQ24" s="124">
        <v>187</v>
      </c>
      <c r="AR24" s="124">
        <v>76</v>
      </c>
      <c r="AS24" s="127" t="s">
        <v>86</v>
      </c>
      <c r="AT24" s="124">
        <v>2002</v>
      </c>
      <c r="AU24" s="128">
        <f t="shared" ca="1" si="2"/>
        <v>26</v>
      </c>
      <c r="AV24" s="128" t="str">
        <f t="shared" si="3"/>
        <v>187/76</v>
      </c>
      <c r="AW24" s="129" t="str">
        <f t="shared" ca="1" si="4"/>
        <v>Valeš</v>
      </c>
      <c r="AX24" s="130" t="str">
        <f t="shared" ref="AX24:AX27" ca="1" si="19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1 (0+1), -1 ±</v>
      </c>
      <c r="AY24" s="130" t="str">
        <f t="shared" ref="AY24:AY32" ca="1" si="20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191 OZ, 306 (166+140)</v>
      </c>
      <c r="AZ24" s="131"/>
      <c r="BA24" s="131"/>
      <c r="BB24" s="131"/>
      <c r="BC24" s="131"/>
      <c r="BD24" s="3" t="str">
        <f t="shared" si="7"/>
        <v>Valeš</v>
      </c>
      <c r="BE24" s="85">
        <f t="shared" ca="1" si="8"/>
        <v>1</v>
      </c>
      <c r="BF24" s="62" t="str">
        <f t="shared" si="9"/>
        <v>R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285</v>
      </c>
      <c r="BU24" s="104">
        <v>1</v>
      </c>
      <c r="BV24" s="105" t="str">
        <f t="shared" si="17"/>
        <v>Radek Valeš</v>
      </c>
      <c r="BW24" s="103">
        <f t="shared" si="18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>2 OZ, 0 (0+0), -3 ±</v>
      </c>
      <c r="B25" s="319"/>
      <c r="C25" s="319"/>
      <c r="D25" s="320" t="str">
        <f ca="1">IFERROR(VLOOKUP(A23,OFFSET($AG$2,,,COUNTIF($AG$2:$AG$50,"?*"),23),19,FALSE),"")</f>
        <v>77 OZ, 44 (23+21)</v>
      </c>
      <c r="E25" s="320"/>
      <c r="F25" s="321"/>
      <c r="G25" s="322" t="s">
        <v>244</v>
      </c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18" t="str">
        <f ca="1">IFERROR(VLOOKUP(M23,OFFSET($AG$2,,,COUNTIF($AG$2:$AG$50,"?*"),23),18,FALSE),"")</f>
        <v>2 OZ, 0 (0+0), -4 ±</v>
      </c>
      <c r="N25" s="319"/>
      <c r="O25" s="319"/>
      <c r="P25" s="320" t="str">
        <f ca="1">IFERROR(VLOOKUP(M23,OFFSET($AG$2,,,COUNTIF($AG$2:$AG$50,"?*"),23),19,FALSE),"")</f>
        <v>43 OZ, 25 (15+10)</v>
      </c>
      <c r="Q25" s="320"/>
      <c r="R25" s="321"/>
      <c r="S25" s="112"/>
      <c r="AC25" s="103" t="str">
        <f t="shared" ca="1" si="0"/>
        <v/>
      </c>
      <c r="AG25" s="122" t="s">
        <v>248</v>
      </c>
      <c r="AH25" s="123">
        <v>37710</v>
      </c>
      <c r="AI25" s="124">
        <v>22</v>
      </c>
      <c r="AJ25" s="124">
        <v>9</v>
      </c>
      <c r="AK25" s="124">
        <v>17</v>
      </c>
      <c r="AL25" s="125">
        <f t="shared" si="1"/>
        <v>26</v>
      </c>
      <c r="AM25" s="124">
        <v>2</v>
      </c>
      <c r="AN25" s="124">
        <v>73</v>
      </c>
      <c r="AO25" s="126"/>
      <c r="AP25" s="126" t="s">
        <v>163</v>
      </c>
      <c r="AQ25" s="124">
        <v>178</v>
      </c>
      <c r="AR25" s="124">
        <v>70</v>
      </c>
      <c r="AS25" s="127" t="s">
        <v>86</v>
      </c>
      <c r="AT25" s="124">
        <v>2010</v>
      </c>
      <c r="AU25" s="128">
        <f t="shared" ca="1" si="2"/>
        <v>18</v>
      </c>
      <c r="AV25" s="128" t="str">
        <f t="shared" si="3"/>
        <v>178/70</v>
      </c>
      <c r="AW25" s="129" t="str">
        <f t="shared" ca="1" si="4"/>
        <v>Wiener</v>
      </c>
      <c r="AX25" s="130" t="str">
        <f t="shared" ca="1" si="19"/>
        <v>2 OZ, 0 (0+0), -2 ±</v>
      </c>
      <c r="AY25" s="130" t="str">
        <f t="shared" ca="1" si="20"/>
        <v>24 OZ, 26 (9+17)</v>
      </c>
      <c r="AZ25" s="131"/>
      <c r="BA25" s="131"/>
      <c r="BB25" s="131"/>
      <c r="BC25" s="131"/>
      <c r="BD25" s="90" t="str">
        <f t="shared" si="7"/>
        <v>Wiener</v>
      </c>
      <c r="BE25" s="92">
        <f t="shared" ca="1" si="8"/>
        <v>1</v>
      </c>
      <c r="BF25" s="91" t="str">
        <f t="shared" si="9"/>
        <v>V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286</v>
      </c>
      <c r="BU25" s="104">
        <v>0</v>
      </c>
      <c r="BV25" s="105" t="str">
        <f t="shared" si="17"/>
        <v>Daniel Martínek</v>
      </c>
      <c r="BW25" s="103">
        <f t="shared" si="18"/>
        <v>0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>Florbal Mladá Boleslav</v>
      </c>
      <c r="B26" s="328"/>
      <c r="C26" s="329"/>
      <c r="D26" s="330">
        <f ca="1">IFERROR(IF(VLOOKUP(A23,OFFSET($AG$2,,,COUNTIF($AG$2:$AG$50,"?*"),23),14,FALSE)&lt;&gt;0,VLOOKUP(A23,OFFSET($AG$2,,,COUNTIF($AG$2:$AG$50,"?*"),23),14,FALSE),"?"),"")</f>
        <v>2008</v>
      </c>
      <c r="E26" s="331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25">
        <f ca="1">IFERROR(IF(VLOOKUP(G25,OFFSET($AG$2,,,COUNTIF($AG$2:$AG$50,"?*"),23),2,FALSE)&lt;&gt;0,YEAR(VLOOKUP(G25,OFFSET($AG$2,,,COUNTIF($AG$2:$AG$50,"?*"),23),2,FALSE)),""),"")</f>
        <v>1994</v>
      </c>
      <c r="I26" s="326"/>
      <c r="J26" s="95">
        <f ca="1">IFERROR(VLOOKUP(G25,OFFSET($AG$2,,,COUNTIF($AG$2:$AG$50,"?*"),23),15,FALSE),"")</f>
        <v>27</v>
      </c>
      <c r="K26" s="316" t="str">
        <f ca="1">IFERROR(VLOOKUP(G25,OFFSET($AG$2,,,COUNTIF($AG$2:$AG$50,"?*"),23),16,FALSE),"")</f>
        <v>185/86</v>
      </c>
      <c r="L26" s="317"/>
      <c r="M26" s="327" t="str">
        <f ca="1">IFERROR(IF(VLOOKUP(M23,OFFSET($AG$2,,,COUNTIF($AG$2:$AG$50,"?*"),23),13,FALSE)&lt;&gt;0,VLOOKUP(M23,OFFSET($AG$2,,,COUNTIF($AG$2:$AG$50,"?*"),23),13,FALSE),"?"),"")</f>
        <v>DTJ Trutnov</v>
      </c>
      <c r="N26" s="328"/>
      <c r="O26" s="329"/>
      <c r="P26" s="330">
        <f ca="1">IFERROR(IF(VLOOKUP(M23,OFFSET($AG$2,,,COUNTIF($AG$2:$AG$50,"?*"),23),14,FALSE)&lt;&gt;0,VLOOKUP(M23,OFFSET($AG$2,,,COUNTIF($AG$2:$AG$50,"?*"),23),14,FALSE),"?"),"")</f>
        <v>2014</v>
      </c>
      <c r="Q26" s="331"/>
      <c r="R26" s="7">
        <f ca="1">IFERROR(IF(VLOOKUP(M23,OFFSET($AG$2,,,COUNTIF($AG$2:$AG$50,"?*"),23),7,FALSE)&lt;&gt;0,VLOOKUP(M23,OFFSET($AG$2,,,COUNTIF($AG$2:$AG$50,"?*"),23),7,FALSE),"?"),"")</f>
        <v>3</v>
      </c>
      <c r="S26" s="112"/>
      <c r="AC26" s="103" t="str">
        <f t="shared" ca="1" si="0"/>
        <v/>
      </c>
      <c r="AG26" s="122" t="s">
        <v>990</v>
      </c>
      <c r="AH26" s="123"/>
      <c r="AI26" s="124"/>
      <c r="AJ26" s="124"/>
      <c r="AK26" s="124"/>
      <c r="AL26" s="125"/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ref="AU26:AU50" ca="1" si="21">IF(AG26&lt;&gt;"",IF(AH26&lt;&gt;"",INT((TODAY()-AH26)/365),"?"),"")</f>
        <v>?</v>
      </c>
      <c r="AV26" s="128" t="str">
        <f t="shared" ref="AV26:AV50" si="22">IF(AG26&lt;&gt;"",CONCATENATE(IF(AQ26&lt;&gt;"",AQ26,"? "),"/",IF(AR26&lt;&gt;"",AR26," ?")),"")</f>
        <v>? / ?</v>
      </c>
      <c r="AW26" s="129" t="str">
        <f t="shared" ref="AW26:AW50" ca="1" si="23">IF(AG26&lt;&gt;"",IF(BE26=1,BD26,IF(BH26=1,BG26,IF(BJ26=1,BI26,IF(BL26=1,BK26,BM26)))),"")</f>
        <v>Levínský</v>
      </c>
      <c r="AX26" s="130" t="str">
        <f t="shared" ca="1" si="19"/>
        <v>0 V, 0 P</v>
      </c>
      <c r="AY26" s="130" t="str">
        <f t="shared" ca="1" si="20"/>
        <v>0 OZ, 0 A</v>
      </c>
      <c r="AZ26" s="131"/>
      <c r="BA26" s="131"/>
      <c r="BB26" s="131"/>
      <c r="BC26" s="131"/>
      <c r="BD26" s="3" t="str">
        <f t="shared" si="7"/>
        <v>Levínský</v>
      </c>
      <c r="BE26" s="85">
        <f t="shared" ca="1" si="8"/>
        <v>1</v>
      </c>
      <c r="BF26" s="62" t="str">
        <f t="shared" si="9"/>
        <v>J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287</v>
      </c>
      <c r="BU26" s="104">
        <v>0</v>
      </c>
      <c r="BV26" s="105" t="str">
        <f t="shared" si="17"/>
        <v>Filip Smutný</v>
      </c>
      <c r="BW26" s="103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>2 OZ, 0 (0+0), -5 ±</v>
      </c>
      <c r="H27" s="319"/>
      <c r="I27" s="319"/>
      <c r="J27" s="320" t="str">
        <f ca="1">IFERROR(VLOOKUP(G25,OFFSET($AG$2,,,COUNTIF($AG$2:$AG$50,"?*"),23),19,FALSE),"")</f>
        <v>120 OZ, 35 (26+9)</v>
      </c>
      <c r="K27" s="320"/>
      <c r="L27" s="32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/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21"/>
        <v/>
      </c>
      <c r="AV27" s="128" t="str">
        <f t="shared" si="22"/>
        <v/>
      </c>
      <c r="AW27" s="129" t="str">
        <f t="shared" si="23"/>
        <v/>
      </c>
      <c r="AX27" s="130" t="str">
        <f t="shared" ca="1" si="19"/>
        <v/>
      </c>
      <c r="AY27" s="130" t="str">
        <f t="shared" ca="1" si="20"/>
        <v/>
      </c>
      <c r="AZ27" s="131"/>
      <c r="BA27" s="131"/>
      <c r="BB27" s="131"/>
      <c r="BC27" s="131"/>
      <c r="BD27" s="90" t="str">
        <f t="shared" si="7"/>
        <v/>
      </c>
      <c r="BE27" s="92" t="str">
        <f t="shared" ca="1" si="8"/>
        <v/>
      </c>
      <c r="BF27" s="91" t="str">
        <f t="shared" si="9"/>
        <v/>
      </c>
      <c r="BG27" s="90" t="str">
        <f t="shared" ca="1" si="10"/>
        <v/>
      </c>
      <c r="BH27" s="91" t="str">
        <f t="shared" ca="1" si="11"/>
        <v/>
      </c>
      <c r="BI27" s="90" t="str">
        <f t="shared" ca="1" si="12"/>
        <v/>
      </c>
      <c r="BJ27" s="91" t="str">
        <f t="shared" ca="1" si="11"/>
        <v/>
      </c>
      <c r="BK27" s="90" t="str">
        <f t="shared" ca="1" si="13"/>
        <v/>
      </c>
      <c r="BL27" s="91" t="str">
        <f t="shared" ca="1" si="14"/>
        <v/>
      </c>
      <c r="BM27" s="90" t="str">
        <f t="shared" ca="1" si="15"/>
        <v/>
      </c>
      <c r="BS27" s="361" t="s">
        <v>39</v>
      </c>
      <c r="BT27" s="105" t="s">
        <v>290</v>
      </c>
      <c r="BU27" s="104">
        <v>2</v>
      </c>
      <c r="BV27" s="105" t="str">
        <f t="shared" si="17"/>
        <v>Radek Valeš</v>
      </c>
      <c r="BW27" s="103">
        <f t="shared" si="18"/>
        <v>2</v>
      </c>
    </row>
    <row r="28" spans="1:75" ht="15" customHeight="1" thickTop="1" thickBot="1" x14ac:dyDescent="0.25">
      <c r="A28" s="322" t="s">
        <v>241</v>
      </c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27" t="str">
        <f ca="1">IFERROR(IF(VLOOKUP(G25,OFFSET($AG$2,,,COUNTIF($AG$2:$AG$50,"?*"),23),13,FALSE)&lt;&gt;0,VLOOKUP(G25,OFFSET($AG$2,,,COUNTIF($AG$2:$AG$50,"?*"),23),13,FALSE),"?"),"")</f>
        <v>Sokol Dvůr Králové</v>
      </c>
      <c r="H28" s="328"/>
      <c r="I28" s="329"/>
      <c r="J28" s="330">
        <f ca="1">IFERROR(IF(VLOOKUP(G25,OFFSET($AG$2,,,COUNTIF($AG$2:$AG$50,"?*"),23),14,FALSE)&lt;&gt;0,VLOOKUP(G25,OFFSET($AG$2,,,COUNTIF($AG$2:$AG$50,"?*"),23),14,FALSE),"?"),"")</f>
        <v>2001</v>
      </c>
      <c r="K28" s="331"/>
      <c r="L28" s="7">
        <f ca="1">IFERROR(IF(VLOOKUP(G25,OFFSET($AG$2,,,COUNTIF($AG$2:$AG$50,"?*"),23),7,FALSE)&lt;&gt;0,VLOOKUP(G25,OFFSET($AG$2,,,COUNTIF($AG$2:$AG$50,"?*"),23),7,FALSE),"?"),"")</f>
        <v>11</v>
      </c>
      <c r="M28" s="322" t="s">
        <v>239</v>
      </c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ref="AL28:AL50" si="24">IF(AG28&lt;&gt;"",AJ28+AK28,"")</f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21"/>
        <v/>
      </c>
      <c r="AV28" s="128" t="str">
        <f t="shared" si="22"/>
        <v/>
      </c>
      <c r="AW28" s="129" t="str">
        <f t="shared" si="23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0"/>
        <v/>
      </c>
      <c r="AZ28" s="131"/>
      <c r="BA28" s="131"/>
      <c r="BB28" s="131"/>
      <c r="BC28" s="131"/>
      <c r="BD28" s="3" t="str">
        <f t="shared" si="7"/>
        <v/>
      </c>
      <c r="BE28" s="85" t="str">
        <f t="shared" ca="1" si="8"/>
        <v/>
      </c>
      <c r="BF28" s="62" t="str">
        <f t="shared" si="9"/>
        <v/>
      </c>
      <c r="BG28" s="3" t="str">
        <f t="shared" ca="1" si="10"/>
        <v/>
      </c>
      <c r="BH28" s="62" t="str">
        <f t="shared" ca="1" si="11"/>
        <v/>
      </c>
      <c r="BI28" s="3" t="str">
        <f t="shared" ca="1" si="12"/>
        <v/>
      </c>
      <c r="BJ28" s="62" t="str">
        <f t="shared" ca="1" si="11"/>
        <v/>
      </c>
      <c r="BK28" s="3" t="str">
        <f t="shared" ca="1" si="13"/>
        <v/>
      </c>
      <c r="BL28" s="62" t="str">
        <f t="shared" ca="1" si="14"/>
        <v/>
      </c>
      <c r="BM28" s="3" t="str">
        <f t="shared" ca="1" si="15"/>
        <v/>
      </c>
      <c r="BS28" s="361"/>
      <c r="BT28" s="105" t="s">
        <v>291</v>
      </c>
      <c r="BU28" s="104">
        <v>0</v>
      </c>
      <c r="BV28" s="105" t="str">
        <f t="shared" si="17"/>
        <v>Daniel Martínek</v>
      </c>
      <c r="BW28" s="103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25">
        <f ca="1">IFERROR(IF(VLOOKUP(A28,OFFSET($AG$2,,,COUNTIF($AG$2:$AG$50,"?*"),23),2,FALSE)&lt;&gt;0,YEAR(VLOOKUP(A28,OFFSET($AG$2,,,COUNTIF($AG$2:$AG$50,"?*"),23),2,FALSE)),""),"")</f>
        <v>2000</v>
      </c>
      <c r="C29" s="326"/>
      <c r="D29" s="95">
        <f ca="1">IFERROR(VLOOKUP(A28,OFFSET($AG$2,,,COUNTIF($AG$2:$AG$50,"?*"),23),15,FALSE),"")</f>
        <v>21</v>
      </c>
      <c r="E29" s="316" t="str">
        <f ca="1">IFERROR(VLOOKUP(A28,OFFSET($AG$2,,,COUNTIF($AG$2:$AG$50,"?*"),23),16,FALSE),"")</f>
        <v>180/72</v>
      </c>
      <c r="F29" s="317"/>
      <c r="M29" s="4" t="str">
        <f ca="1">IFERROR(IF(VLOOKUP(M28,OFFSET($AG$2,,,COUNTIF($AG$2:$AG$50,"?*"),23),10,FALSE)&lt;&gt;0,VLOOKUP(M28,OFFSET($AG$2,,,COUNTIF($AG$2:$AG$50,"?*"),23),10,FALSE),""),"")</f>
        <v>L</v>
      </c>
      <c r="N29" s="325">
        <f ca="1">IFERROR(IF(VLOOKUP(M28,OFFSET($AG$2,,,COUNTIF($AG$2:$AG$50,"?*"),23),2,FALSE)&lt;&gt;0,YEAR(VLOOKUP(M28,OFFSET($AG$2,,,COUNTIF($AG$2:$AG$50,"?*"),23),2,FALSE)),""),"")</f>
        <v>1989</v>
      </c>
      <c r="O29" s="326"/>
      <c r="P29" s="95">
        <f ca="1">IFERROR(VLOOKUP(M28,OFFSET($AG$2,,,COUNTIF($AG$2:$AG$50,"?*"),23),15,FALSE),"")</f>
        <v>31</v>
      </c>
      <c r="Q29" s="316" t="str">
        <f ca="1">IFERROR(VLOOKUP(M28,OFFSET($AG$2,,,COUNTIF($AG$2:$AG$50,"?*"),23),16,FALSE),"")</f>
        <v>194/98</v>
      </c>
      <c r="R29" s="317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24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21"/>
        <v/>
      </c>
      <c r="AV29" s="128" t="str">
        <f t="shared" si="22"/>
        <v/>
      </c>
      <c r="AW29" s="129" t="str">
        <f t="shared" si="23"/>
        <v/>
      </c>
      <c r="AX29" s="130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0"/>
        <v/>
      </c>
      <c r="AZ29" s="131"/>
      <c r="BA29" s="131"/>
      <c r="BB29" s="131"/>
      <c r="BC29" s="131"/>
      <c r="BD29" s="90" t="str">
        <f t="shared" si="7"/>
        <v/>
      </c>
      <c r="BE29" s="92" t="str">
        <f t="shared" ca="1" si="8"/>
        <v/>
      </c>
      <c r="BF29" s="91" t="str">
        <f t="shared" si="9"/>
        <v/>
      </c>
      <c r="BG29" s="90" t="str">
        <f t="shared" ca="1" si="10"/>
        <v/>
      </c>
      <c r="BH29" s="91" t="str">
        <f t="shared" ca="1" si="11"/>
        <v/>
      </c>
      <c r="BI29" s="90" t="str">
        <f t="shared" ca="1" si="12"/>
        <v/>
      </c>
      <c r="BJ29" s="91" t="str">
        <f t="shared" ca="1" si="11"/>
        <v/>
      </c>
      <c r="BK29" s="90" t="str">
        <f t="shared" ca="1" si="13"/>
        <v/>
      </c>
      <c r="BL29" s="91" t="str">
        <f t="shared" ca="1" si="14"/>
        <v/>
      </c>
      <c r="BM29" s="90" t="str">
        <f t="shared" ca="1" si="15"/>
        <v/>
      </c>
      <c r="BS29" s="361"/>
      <c r="BT29" s="105" t="s">
        <v>292</v>
      </c>
      <c r="BU29" s="104">
        <v>0</v>
      </c>
      <c r="BV29" s="105" t="str">
        <f t="shared" si="17"/>
        <v>Filip Smutný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>2 OZ, 0 (0+0), -4 ±</v>
      </c>
      <c r="B30" s="319"/>
      <c r="C30" s="319"/>
      <c r="D30" s="320" t="str">
        <f ca="1">IFERROR(VLOOKUP(A28,OFFSET($AG$2,,,COUNTIF($AG$2:$AG$50,"?*"),23),19,FALSE),"")</f>
        <v>52 OZ, 13 (5+8)</v>
      </c>
      <c r="E30" s="320"/>
      <c r="F30" s="321"/>
      <c r="H30" s="332" t="str">
        <f>H$8</f>
        <v>LIB</v>
      </c>
      <c r="I30" s="332"/>
      <c r="J30" s="332"/>
      <c r="K30" s="332"/>
      <c r="M30" s="318" t="str">
        <f ca="1">IFERROR(VLOOKUP(M28,OFFSET($AG$2,,,COUNTIF($AG$2:$AG$50,"?*"),23),18,FALSE),"")</f>
        <v>1 OZ, 0 (0+0), -2 ±</v>
      </c>
      <c r="N30" s="319"/>
      <c r="O30" s="319"/>
      <c r="P30" s="320" t="str">
        <f ca="1">IFERROR(VLOOKUP(M28,OFFSET($AG$2,,,COUNTIF($AG$2:$AG$50,"?*"),23),19,FALSE),"")</f>
        <v>243 OZ, 118 (63+55)</v>
      </c>
      <c r="Q30" s="320"/>
      <c r="R30" s="32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24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21"/>
        <v/>
      </c>
      <c r="AV30" s="128" t="str">
        <f t="shared" si="22"/>
        <v/>
      </c>
      <c r="AW30" s="129" t="str">
        <f t="shared" si="23"/>
        <v/>
      </c>
      <c r="AX30" s="130" t="str">
        <f t="shared" ca="1" si="25"/>
        <v/>
      </c>
      <c r="AY30" s="130" t="str">
        <f t="shared" ca="1" si="20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1"/>
        <v/>
      </c>
      <c r="BK30" s="3" t="str">
        <f t="shared" ca="1" si="13"/>
        <v/>
      </c>
      <c r="BL30" s="62" t="str">
        <f t="shared" ca="1" si="14"/>
        <v/>
      </c>
      <c r="BM30" s="3" t="str">
        <f t="shared" ca="1" si="15"/>
        <v/>
      </c>
      <c r="BS30" s="361"/>
      <c r="BT30" s="105" t="s">
        <v>293</v>
      </c>
      <c r="BU30" s="104">
        <v>0</v>
      </c>
      <c r="BV30" s="105" t="str">
        <f t="shared" si="17"/>
        <v>Jakub Kopecký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>FA Mladá Boleslav</v>
      </c>
      <c r="B31" s="328"/>
      <c r="C31" s="329"/>
      <c r="D31" s="330">
        <f ca="1">IFERROR(IF(VLOOKUP(A28,OFFSET($AG$2,,,COUNTIF($AG$2:$AG$50,"?*"),23),14,FALSE)&lt;&gt;0,VLOOKUP(A28,OFFSET($AG$2,,,COUNTIF($AG$2:$AG$50,"?*"),23),14,FALSE),"?"),"")</f>
        <v>2006</v>
      </c>
      <c r="E31" s="331"/>
      <c r="F31" s="7">
        <f ca="1">IFERROR(IF(VLOOKUP(A28,OFFSET($AG$2,,,COUNTIF($AG$2:$AG$50,"?*"),23),7,FALSE)&lt;&gt;0,VLOOKUP(A28,OFFSET($AG$2,,,COUNTIF($AG$2:$AG$50,"?*"),23),7,FALSE),"?"),"")</f>
        <v>3</v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>FBC Liberec</v>
      </c>
      <c r="N31" s="328"/>
      <c r="O31" s="329"/>
      <c r="P31" s="330">
        <f ca="1">IFERROR(IF(VLOOKUP(M28,OFFSET($AG$2,,,COUNTIF($AG$2:$AG$50,"?*"),23),14,FALSE)&lt;&gt;0,VLOOKUP(M28,OFFSET($AG$2,,,COUNTIF($AG$2:$AG$50,"?*"),23),14,FALSE),"?"),"")</f>
        <v>1999</v>
      </c>
      <c r="Q31" s="331"/>
      <c r="R31" s="7">
        <f ca="1">IFERROR(IF(VLOOKUP(M28,OFFSET($AG$2,,,COUNTIF($AG$2:$AG$50,"?*"),23),7,FALSE)&lt;&gt;0,VLOOKUP(M28,OFFSET($AG$2,,,COUNTIF($AG$2:$AG$50,"?*"),23),7,FALSE),"?"),"")</f>
        <v>14</v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24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21"/>
        <v/>
      </c>
      <c r="AV31" s="128" t="str">
        <f t="shared" si="22"/>
        <v/>
      </c>
      <c r="AW31" s="129" t="str">
        <f t="shared" si="23"/>
        <v/>
      </c>
      <c r="AX31" s="130" t="str">
        <f t="shared" ca="1" si="25"/>
        <v/>
      </c>
      <c r="AY31" s="130" t="str">
        <f t="shared" ca="1" si="20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289</v>
      </c>
      <c r="BU31" s="104">
        <v>0</v>
      </c>
      <c r="BV31" s="105" t="str">
        <f t="shared" si="17"/>
        <v>Jakub Kárník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24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21"/>
        <v/>
      </c>
      <c r="AV32" s="128" t="str">
        <f t="shared" si="22"/>
        <v/>
      </c>
      <c r="AW32" s="129" t="str">
        <f t="shared" si="23"/>
        <v/>
      </c>
      <c r="AX32" s="130" t="str">
        <f t="shared" ca="1" si="25"/>
        <v/>
      </c>
      <c r="AY32" s="130" t="str">
        <f t="shared" ca="1" si="20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24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21"/>
        <v/>
      </c>
      <c r="AV33" s="128" t="str">
        <f t="shared" si="22"/>
        <v/>
      </c>
      <c r="AW33" s="129" t="str">
        <f t="shared" si="23"/>
        <v/>
      </c>
      <c r="AX33" s="130" t="str">
        <f t="shared" ca="1" si="25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 t="s">
        <v>254</v>
      </c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33" t="s">
        <v>16</v>
      </c>
      <c r="J34" s="322" t="s">
        <v>250</v>
      </c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24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21"/>
        <v/>
      </c>
      <c r="AV34" s="128" t="str">
        <f t="shared" si="22"/>
        <v/>
      </c>
      <c r="AW34" s="129" t="str">
        <f t="shared" si="23"/>
        <v/>
      </c>
      <c r="AX34" s="130" t="str">
        <f t="shared" ca="1" si="25"/>
        <v/>
      </c>
      <c r="AY34" s="130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25">
        <f ca="1">IFERROR(IF(VLOOKUP(A34,OFFSET($AG$2,,,COUNTIF($AG$2:$AG$50,"?*"),23),2,FALSE)&lt;&gt;0,YEAR(VLOOKUP(A34,OFFSET($AG$2,,,COUNTIF($AG$2:$AG$50,"?*"),23),2,FALSE)),""),"")</f>
        <v>2001</v>
      </c>
      <c r="C35" s="326"/>
      <c r="D35" s="95">
        <f ca="1">IFERROR(VLOOKUP(A34,OFFSET($AG$2,,,COUNTIF($AG$2:$AG$50,"?*"),23),15,FALSE),"")</f>
        <v>20</v>
      </c>
      <c r="E35" s="316" t="str">
        <f ca="1">IFERROR(VLOOKUP(A34,OFFSET($AG$2,,,COUNTIF($AG$2:$AG$50,"?*"),23),16,FALSE),"")</f>
        <v>195/93</v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>P</v>
      </c>
      <c r="K35" s="326">
        <f ca="1">IFERROR(IF(VLOOKUP(J34,OFFSET($AG$2,,,COUNTIF($AG$2:$AG$50,"?*"),23),2,FALSE)&lt;&gt;0,YEAR(VLOOKUP(J34,OFFSET($AG$2,,,COUNTIF($AG$2:$AG$50,"?*"),23),2,FALSE)),""),"")</f>
        <v>2004</v>
      </c>
      <c r="L35" s="334"/>
      <c r="M35" s="94">
        <f ca="1">IFERROR(VLOOKUP(J34,OFFSET($AG$2,,,COUNTIF($AG$2:$AG$50,"?*"),23),15,FALSE),"")</f>
        <v>17</v>
      </c>
      <c r="N35" s="334" t="str">
        <f ca="1">IFERROR(VLOOKUP(J34,OFFSET($AG$2,,,COUNTIF($AG$2:$AG$50,"?*"),23),16,FALSE),"")</f>
        <v>183/79</v>
      </c>
      <c r="O35" s="334"/>
      <c r="P35" s="334" t="str">
        <f ca="1">IFERROR(VLOOKUP(J34,OFFSET($AG$2,,,COUNTIF($AG$2:$AG$50,"?*"),23),18,FALSE),"")</f>
        <v>2 OZ, 0 (0+0), -1 ±</v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24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3"/>
        <v/>
      </c>
      <c r="AX35" s="130" t="str">
        <f t="shared" ca="1" si="25"/>
        <v/>
      </c>
      <c r="AY35" s="130" t="str">
        <f t="shared" ca="1" si="26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42" t="str">
        <f ca="1">IFERROR(VLOOKUP(A34,OFFSET($AG$2,,,COUNTIF($AG$2:$AG$50,"?*"),23),18,FALSE),"")</f>
        <v>0 V, 2 P</v>
      </c>
      <c r="C36" s="342"/>
      <c r="D36" s="343">
        <f ca="1">IFERROR(VLOOKUP(A34,OFFSET($S$45,,,COUNTIF($S$45:$S$50,"?*"),14),5,FALSE),"")</f>
        <v>14</v>
      </c>
      <c r="E36" s="344"/>
      <c r="F36" s="17">
        <f ca="1">IFERROR(VLOOKUP(A34,OFFSET($S$45,,,COUNTIF($S$45:$S$50,"?*"),14),14,FALSE),"")</f>
        <v>66.666666666666657</v>
      </c>
      <c r="H36" s="333"/>
      <c r="J36" s="18">
        <f ca="1">IFERROR(IF(VLOOKUP(J34,OFFSET($AG$2,,,COUNTIF($AG$2:$AG$50,"?*"),23),7,FALSE)&lt;&gt;0,VLOOKUP(J34,OFFSET($AG$2,,,COUNTIF($AG$2:$AG$50,"?*"),23),7,FALSE),"?"),"")</f>
        <v>1</v>
      </c>
      <c r="K36" s="345" t="str">
        <f ca="1">IFERROR(VLOOKUP(J34,OFFSET($AG$2,,,COUNTIF($AG$2:$AG$50,"?*"),23),19,FALSE),"")</f>
        <v>2 OZ, 0 (0+0)</v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>FBC Panthers Liberec</v>
      </c>
      <c r="O36" s="346"/>
      <c r="P36" s="346"/>
      <c r="Q36" s="345">
        <f ca="1">IFERROR(IF(VLOOKUP(J34,OFFSET($AG$2,,,COUNTIF($AG$2:$AG$50,"?*"),23),14,FALSE)&lt;&gt;0,VLOOKUP(J34,OFFSET($AG$2,,,COUNTIF($AG$2:$AG$50,"?*"),23),14,FALSE),"?"),"")</f>
        <v>2010</v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24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3"/>
        <v/>
      </c>
      <c r="AX36" s="130" t="str">
        <f t="shared" ca="1" si="25"/>
        <v/>
      </c>
      <c r="AY36" s="130" t="str">
        <f t="shared" ca="1" si="26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>
        <f ca="1">IFERROR(VLOOKUP(A34,OFFSET($S$45,,,COUNTIF($S$45:$S$50,"?*"),14),3,FALSE),"")</f>
        <v>120</v>
      </c>
      <c r="B37" s="336"/>
      <c r="C37" s="337">
        <f ca="1">IFERROR(VLOOKUP(A34,OFFSET($S$45,,,COUNTIF($S$45:$S$50,"?*"),14),13,FALSE),"")</f>
        <v>7</v>
      </c>
      <c r="D37" s="338"/>
      <c r="E37" s="339" t="str">
        <f ca="1">IFERROR(VLOOKUP(A34,OFFSET($AG$2,,,COUNTIF($AG$2:$AG$50,"?*"),23),19,FALSE),"")</f>
        <v>2 OZ, 0 A</v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24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3"/>
        <v/>
      </c>
      <c r="AX37" s="130" t="str">
        <f t="shared" ca="1" si="25"/>
        <v/>
      </c>
      <c r="AY37" s="130" t="str">
        <f t="shared" ca="1" si="26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>FBC Liberec</v>
      </c>
      <c r="B38" s="328"/>
      <c r="C38" s="329"/>
      <c r="D38" s="330">
        <f ca="1">IFERROR(IF(VLOOKUP(A34,OFFSET($AG$2,,,COUNTIF($AG$2:$AG$50,"?*"),23),14,FALSE)&lt;&gt;0,VLOOKUP(A34,OFFSET($AG$2,,,COUNTIF($AG$2:$AG$50,"?*"),23),14,FALSE),"?"),"")</f>
        <v>2014</v>
      </c>
      <c r="E38" s="331"/>
      <c r="F38" s="19">
        <f ca="1">IFERROR(VLOOKUP(A34,OFFSET($S$45,,,COUNTIF($S$45:$S$50,"?*"),14),6,FALSE),"")</f>
        <v>0</v>
      </c>
      <c r="H38" s="333"/>
      <c r="J38" s="322" t="s">
        <v>255</v>
      </c>
      <c r="K38" s="323"/>
      <c r="L38" s="323"/>
      <c r="M38" s="323"/>
      <c r="N38" s="323"/>
      <c r="O38" s="323"/>
      <c r="P38" s="32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24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3"/>
        <v/>
      </c>
      <c r="AX38" s="130" t="str">
        <f t="shared" ca="1" si="25"/>
        <v/>
      </c>
      <c r="AY38" s="130" t="str">
        <f t="shared" ca="1" si="26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>P</v>
      </c>
      <c r="K39" s="326">
        <f ca="1">IFERROR(IF(VLOOKUP(J38,OFFSET($AG$2,,,COUNTIF($AG$2:$AG$50,"?*"),23),2,FALSE)&lt;&gt;0,YEAR(VLOOKUP(J38,OFFSET($AG$2,,,COUNTIF($AG$2:$AG$50,"?*"),23),2,FALSE)),""),"")</f>
        <v>2001</v>
      </c>
      <c r="L39" s="334"/>
      <c r="M39" s="152">
        <f ca="1">IFERROR(VLOOKUP(J38,OFFSET($AG$2,,,COUNTIF($AG$2:$AG$50,"?*"),23),15,FALSE),"")</f>
        <v>20</v>
      </c>
      <c r="N39" s="334" t="str">
        <f ca="1">IFERROR(VLOOKUP(J38,OFFSET($AG$2,,,COUNTIF($AG$2:$AG$50,"?*"),23),16,FALSE),"")</f>
        <v>170/67</v>
      </c>
      <c r="O39" s="334"/>
      <c r="P39" s="334" t="str">
        <f ca="1">IFERROR(VLOOKUP(J38,OFFSET($AG$2,,,COUNTIF($AG$2:$AG$50,"?*"),23),18,FALSE),"")</f>
        <v>2 OZ, 0 (0+0), 0 ±</v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24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3"/>
        <v/>
      </c>
      <c r="AX39" s="130" t="str">
        <f t="shared" ca="1" si="25"/>
        <v/>
      </c>
      <c r="AY39" s="130" t="str">
        <f t="shared" ca="1" si="26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 t="s">
        <v>990</v>
      </c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>
        <f ca="1">IFERROR(IF(VLOOKUP(J38,OFFSET($AG$2,,,COUNTIF($AG$2:$AG$50,"?*"),23),7,FALSE)&lt;&gt;0,VLOOKUP(J38,OFFSET($AG$2,,,COUNTIF($AG$2:$AG$50,"?*"),23),7,FALSE),"?"),"")</f>
        <v>4</v>
      </c>
      <c r="K40" s="345" t="str">
        <f ca="1">IFERROR(VLOOKUP(J38,OFFSET($AG$2,,,COUNTIF($AG$2:$AG$50,"?*"),23),19,FALSE),"")</f>
        <v>16 OZ, 0 (0+0)</v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>Sokol Benátky nad Jizerou</v>
      </c>
      <c r="O40" s="346"/>
      <c r="P40" s="346"/>
      <c r="Q40" s="345">
        <f ca="1">IFERROR(IF(VLOOKUP(J38,OFFSET($AG$2,,,COUNTIF($AG$2:$AG$50,"?*"),23),14,FALSE)&lt;&gt;0,VLOOKUP(J38,OFFSET($AG$2,,,COUNTIF($AG$2:$AG$50,"?*"),23),14,FALSE),"?"),"")</f>
        <v>2006</v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24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3"/>
        <v/>
      </c>
      <c r="AX40" s="130" t="str">
        <f t="shared" ca="1" si="25"/>
        <v/>
      </c>
      <c r="AY40" s="130" t="str">
        <f t="shared" ca="1" si="26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95" t="str">
        <f ca="1">IFERROR(VLOOKUP(A40,OFFSET($AG$2,,,COUNTIF($AG$2:$AG$50,"?*"),23),15,FALSE),"")</f>
        <v>?</v>
      </c>
      <c r="E41" s="316" t="str">
        <f ca="1">IFERROR(VLOOKUP(A40,OFFSET($AG$2,,,COUNTIF($AG$2:$AG$50,"?*"),23),16,FALSE),"")</f>
        <v>? / ?</v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24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3"/>
        <v/>
      </c>
      <c r="AX41" s="130" t="str">
        <f t="shared" ca="1" si="25"/>
        <v/>
      </c>
      <c r="AY41" s="130" t="str">
        <f t="shared" ca="1" si="26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42" t="str">
        <f ca="1">IFERROR(VLOOKUP(A40,OFFSET($AG$2,,,COUNTIF($AG$2:$AG$50,"?*"),23),18,FALSE),"")</f>
        <v>0 V, 0 P</v>
      </c>
      <c r="C42" s="342"/>
      <c r="D42" s="343">
        <f ca="1">IFERROR(VLOOKUP(A40,OFFSET($S$45,,,COUNTIF($S$45:$S$50,"?*"),14),5,FALSE),"")</f>
        <v>0</v>
      </c>
      <c r="E42" s="344"/>
      <c r="F42" s="17" t="str">
        <f ca="1">IFERROR(VLOOKUP(A40,OFFSET($S$45,,,COUNTIF($S$45:$S$50,"?*"),14),14,FALSE),"")</f>
        <v>-</v>
      </c>
      <c r="H42" s="333"/>
      <c r="J42" s="322"/>
      <c r="K42" s="323"/>
      <c r="L42" s="323"/>
      <c r="M42" s="323"/>
      <c r="N42" s="323"/>
      <c r="O42" s="323"/>
      <c r="P42" s="323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24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3"/>
        <v/>
      </c>
      <c r="AX42" s="130" t="str">
        <f t="shared" ca="1" si="25"/>
        <v/>
      </c>
      <c r="AY42" s="130" t="str">
        <f t="shared" ca="1" si="26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>
        <f ca="1">IFERROR(VLOOKUP(A40,OFFSET($S$45,,,COUNTIF($S$45:$S$50,"?*"),14),3,FALSE),"")</f>
        <v>0</v>
      </c>
      <c r="B43" s="336"/>
      <c r="C43" s="337">
        <f ca="1">IFERROR(VLOOKUP(A40,OFFSET($S$45,,,COUNTIF($S$45:$S$50,"?*"),14),13,FALSE),"")</f>
        <v>0</v>
      </c>
      <c r="D43" s="338"/>
      <c r="E43" s="339" t="str">
        <f ca="1">IFERROR(VLOOKUP(A40,OFFSET($AG$2,,,COUNTIF($AG$2:$AG$50,"?*"),23),19,FALSE),"")</f>
        <v>0 OZ, 0 A</v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24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3"/>
        <v/>
      </c>
      <c r="AX43" s="130" t="str">
        <f t="shared" ca="1" si="25"/>
        <v/>
      </c>
      <c r="AY43" s="130" t="str">
        <f t="shared" ca="1" si="26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>?</v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>?</v>
      </c>
      <c r="E44" s="331"/>
      <c r="F44" s="19">
        <f ca="1">IFERROR(VLOOKUP(A40,OFFSET($S$45,,,COUNTIF($S$45:$S$50,"?*"),14),6,FALSE),"")</f>
        <v>0</v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24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3"/>
        <v/>
      </c>
      <c r="AX44" s="130" t="str">
        <f t="shared" ca="1" si="25"/>
        <v/>
      </c>
      <c r="AY44" s="130" t="str">
        <f t="shared" ca="1" si="26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254</v>
      </c>
      <c r="T45" s="103">
        <v>2</v>
      </c>
      <c r="U45" s="113">
        <v>120</v>
      </c>
      <c r="V45" s="103">
        <v>0</v>
      </c>
      <c r="W45" s="103">
        <v>14</v>
      </c>
      <c r="X45" s="103">
        <v>0</v>
      </c>
      <c r="Y45" s="103">
        <v>42</v>
      </c>
      <c r="Z45" s="103">
        <v>0</v>
      </c>
      <c r="AA45" s="103">
        <v>2</v>
      </c>
      <c r="AB45" s="103">
        <v>28</v>
      </c>
      <c r="AC45" s="103">
        <v>0</v>
      </c>
      <c r="AD45" s="103">
        <v>0</v>
      </c>
      <c r="AE45" s="113">
        <f>IF(S45&lt;&gt;"",IF(T45&gt;0,W45/(U45/60),0),"")</f>
        <v>7</v>
      </c>
      <c r="AF45" s="113">
        <f>IF(S45&lt;&gt;"",IF(Y45&gt;0,(AB45/Y45)*100,"-"),"")</f>
        <v>66.666666666666657</v>
      </c>
      <c r="AG45" s="122"/>
      <c r="AH45" s="123"/>
      <c r="AI45" s="124"/>
      <c r="AJ45" s="124"/>
      <c r="AK45" s="124"/>
      <c r="AL45" s="125" t="str">
        <f t="shared" si="24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3"/>
        <v/>
      </c>
      <c r="AX45" s="130" t="str">
        <f t="shared" ca="1" si="25"/>
        <v/>
      </c>
      <c r="AY45" s="130" t="str">
        <f t="shared" ca="1" si="26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249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7">IF(S46&lt;&gt;"",IF(T46&gt;0,W46/(U46/60),0),"")</f>
        <v>0</v>
      </c>
      <c r="AF46" s="113" t="str">
        <f t="shared" ref="AF46:AF50" si="28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24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3"/>
        <v/>
      </c>
      <c r="AX46" s="130" t="str">
        <f t="shared" ca="1" si="25"/>
        <v/>
      </c>
      <c r="AY46" s="130" t="str">
        <f t="shared" ca="1" si="26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 t="s">
        <v>273</v>
      </c>
      <c r="B47" s="363"/>
      <c r="C47" s="363"/>
      <c r="D47" s="363"/>
      <c r="E47" s="358" t="str">
        <f ca="1">IFERROR(VLOOKUP(A47,OFFSET($BN$2,,,COUNTIF($BN$2:$BN$11,"?*"),5),3,FALSE),"")</f>
        <v>hlavní trenér</v>
      </c>
      <c r="F47" s="358"/>
      <c r="G47" s="358"/>
      <c r="H47" s="358"/>
      <c r="I47" s="359"/>
      <c r="J47" s="362" t="s">
        <v>274</v>
      </c>
      <c r="K47" s="363"/>
      <c r="L47" s="363"/>
      <c r="M47" s="363"/>
      <c r="N47" s="358" t="str">
        <f ca="1">IFERROR(VLOOKUP(J47,OFFSET($BN$2,,,COUNTIF($BN$2:$BN$11,"?*"),5),3,FALSE),"")</f>
        <v>asistent trenéra</v>
      </c>
      <c r="O47" s="358"/>
      <c r="P47" s="358"/>
      <c r="Q47" s="358"/>
      <c r="R47" s="359"/>
      <c r="S47" s="112" t="s">
        <v>990</v>
      </c>
      <c r="T47" s="103">
        <v>0</v>
      </c>
      <c r="U47" s="11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13">
        <f t="shared" si="27"/>
        <v>0</v>
      </c>
      <c r="AF47" s="113" t="str">
        <f t="shared" si="28"/>
        <v>-</v>
      </c>
      <c r="AG47" s="122"/>
      <c r="AH47" s="123"/>
      <c r="AI47" s="124"/>
      <c r="AJ47" s="124"/>
      <c r="AK47" s="124"/>
      <c r="AL47" s="125" t="str">
        <f t="shared" si="24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3"/>
        <v/>
      </c>
      <c r="AX47" s="130" t="str">
        <f t="shared" ca="1" si="25"/>
        <v/>
      </c>
      <c r="AY47" s="130" t="str">
        <f t="shared" ca="1" si="26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>
        <f ca="1">IFERROR(VLOOKUP(A47,OFFSET($BN$2,,,COUNTIF($BN$2:$BN$11,"?*"),5),5,FALSE),"")</f>
        <v>53</v>
      </c>
      <c r="B48" s="350" t="str">
        <f ca="1">IFERROR(IF(VLOOKUP(A47,OFFSET($BN$2,,,COUNTIF($BN$2:$BN$11,"?*"),5),4,FALSE)&lt;&gt;0,VLOOKUP(A47,OFFSET($BN$2,,,COUNTIF($BN$2:$BN$11,"?*"),5),4,FALSE),"-"),"")</f>
        <v>stříbro a bronz z MS</v>
      </c>
      <c r="C48" s="350"/>
      <c r="D48" s="350"/>
      <c r="E48" s="350"/>
      <c r="F48" s="350"/>
      <c r="G48" s="350"/>
      <c r="H48" s="350"/>
      <c r="I48" s="351"/>
      <c r="J48" s="93">
        <f ca="1">IFERROR(VLOOKUP(J47,OFFSET($BN$2,,,COUNTIF($BN$2:$BN$11,"?*"),5),5,FALSE),"")</f>
        <v>26</v>
      </c>
      <c r="K48" s="354" t="str">
        <f ca="1">IFERROR(IF(VLOOKUP(J47,OFFSET($BN$2,,,COUNTIF($BN$2:$BN$11,"?*"),5),4,FALSE)&lt;&gt;0,VLOOKUP(J47,OFFSET($BN$2,,,COUNTIF($BN$2:$BN$11,"?*"),5),4,FALSE),"-"),"")</f>
        <v>-</v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7"/>
        <v/>
      </c>
      <c r="AF48" s="113" t="str">
        <f t="shared" si="28"/>
        <v/>
      </c>
      <c r="AG48" s="122"/>
      <c r="AH48" s="123"/>
      <c r="AI48" s="124"/>
      <c r="AJ48" s="124"/>
      <c r="AK48" s="124"/>
      <c r="AL48" s="125" t="str">
        <f t="shared" si="24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3"/>
        <v/>
      </c>
      <c r="AX48" s="130" t="str">
        <f t="shared" ca="1" si="25"/>
        <v/>
      </c>
      <c r="AY48" s="130" t="str">
        <f t="shared" ca="1" si="26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 t="s">
        <v>275</v>
      </c>
      <c r="K49" s="357"/>
      <c r="L49" s="357"/>
      <c r="M49" s="357"/>
      <c r="N49" s="358" t="str">
        <f ca="1">IFERROR(VLOOKUP(J49,OFFSET($BN$2,,,COUNTIF($BN$2:$BN$11,"?*"),5),3,FALSE),"")</f>
        <v>kondiční trenér</v>
      </c>
      <c r="O49" s="358"/>
      <c r="P49" s="358"/>
      <c r="Q49" s="358"/>
      <c r="R49" s="359"/>
      <c r="S49" s="112"/>
      <c r="U49" s="113"/>
      <c r="AE49" s="113" t="str">
        <f t="shared" si="27"/>
        <v/>
      </c>
      <c r="AF49" s="113" t="str">
        <f t="shared" si="28"/>
        <v/>
      </c>
      <c r="AG49" s="122"/>
      <c r="AH49" s="123"/>
      <c r="AI49" s="124"/>
      <c r="AJ49" s="124"/>
      <c r="AK49" s="124"/>
      <c r="AL49" s="125" t="str">
        <f t="shared" si="24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3"/>
        <v/>
      </c>
      <c r="AX49" s="130" t="str">
        <f t="shared" ca="1" si="25"/>
        <v/>
      </c>
      <c r="AY49" s="130" t="str">
        <f t="shared" ca="1" si="26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93">
        <f ca="1">IFERROR(VLOOKUP(J49,OFFSET($BN$2,,,COUNTIF($BN$2:$BN$11,"?*"),5),5,FALSE),"")</f>
        <v>42</v>
      </c>
      <c r="K50" s="354" t="str">
        <f ca="1">IFERROR(IF(VLOOKUP(J49,OFFSET($BN$2,,,COUNTIF($BN$2:$BN$11,"?*"),5),4,FALSE)&lt;&gt;0,VLOOKUP(J49,OFFSET($BN$2,,,COUNTIF($BN$2:$BN$11,"?*"),5),4,FALSE),"-"),"")</f>
        <v>-</v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7"/>
        <v/>
      </c>
      <c r="AF50" s="113" t="str">
        <f t="shared" si="28"/>
        <v/>
      </c>
      <c r="AG50" s="122"/>
      <c r="AH50" s="123"/>
      <c r="AI50" s="124"/>
      <c r="AJ50" s="124"/>
      <c r="AK50" s="124"/>
      <c r="AL50" s="125" t="str">
        <f t="shared" si="24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3"/>
        <v/>
      </c>
      <c r="AX50" s="130" t="str">
        <f t="shared" ca="1" si="25"/>
        <v/>
      </c>
      <c r="AY50" s="130" t="str">
        <f t="shared" ca="1" si="26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439</v>
      </c>
      <c r="U2" s="103">
        <v>2</v>
      </c>
      <c r="V2" s="103">
        <v>3</v>
      </c>
      <c r="W2" s="103">
        <v>0</v>
      </c>
      <c r="X2" s="103">
        <v>0</v>
      </c>
      <c r="Y2" s="103">
        <v>1</v>
      </c>
      <c r="Z2" s="103">
        <v>4</v>
      </c>
      <c r="AA2" s="103">
        <v>2</v>
      </c>
      <c r="AB2" s="103">
        <v>6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450</v>
      </c>
      <c r="AH2" s="123">
        <v>33335</v>
      </c>
      <c r="AI2" s="124">
        <v>160</v>
      </c>
      <c r="AJ2" s="124">
        <v>0</v>
      </c>
      <c r="AK2" s="124">
        <v>9</v>
      </c>
      <c r="AL2" s="125">
        <f t="shared" ref="AL2:AL50" si="1">IF(AG2&lt;&gt;"",AJ2+AK2,"")</f>
        <v>9</v>
      </c>
      <c r="AM2" s="124">
        <v>12</v>
      </c>
      <c r="AN2" s="124">
        <v>74</v>
      </c>
      <c r="AO2" s="126"/>
      <c r="AP2" s="126"/>
      <c r="AQ2" s="124">
        <v>192</v>
      </c>
      <c r="AR2" s="124">
        <v>98</v>
      </c>
      <c r="AS2" s="127" t="s">
        <v>467</v>
      </c>
      <c r="AT2" s="124"/>
      <c r="AU2" s="128">
        <f t="shared" ref="AU2:AU23" ca="1" si="2">IF(AG2&lt;&gt;"",IF(AH2&lt;&gt;"",INT((TODAY()-AH2)/365),"?"),"")</f>
        <v>30</v>
      </c>
      <c r="AV2" s="128" t="str">
        <f t="shared" ref="AV2:AV23" si="3">IF(AG2&lt;&gt;"",CONCATENATE(IF(AQ2&lt;&gt;"",AQ2,"? "),"/",IF(AR2&lt;&gt;"",AR2," ?")),"")</f>
        <v>192/98</v>
      </c>
      <c r="AW2" s="129" t="str">
        <f ca="1">IF(AG2&lt;&gt;"",IF(BE2=1,BD2,IF(BH2=1,BG2,IF(BJ2=1,BI2,IF(BL2=1,BK2,BM2)))),"")</f>
        <v>Bauer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0 P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162 OZ, 9 A</v>
      </c>
      <c r="AZ2" s="131"/>
      <c r="BA2" s="131"/>
      <c r="BB2" s="131"/>
      <c r="BC2" s="131"/>
      <c r="BD2" s="3" t="str">
        <f>IF(AG2&lt;&gt;"",RIGHT(AG2,LEN(AG2)-SEARCH(" ",AG2)),"")</f>
        <v>Bauer</v>
      </c>
      <c r="BE2" s="85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479</v>
      </c>
      <c r="BO2" s="123">
        <v>30091</v>
      </c>
      <c r="BP2" s="132" t="s">
        <v>278</v>
      </c>
      <c r="BQ2" s="133" t="s">
        <v>480</v>
      </c>
      <c r="BR2" s="128">
        <f ca="1">IF(BN2&lt;&gt;"",IF(BO2&lt;&gt;"",INT((TODAY()-BO2)/365),"?"),"")</f>
        <v>39</v>
      </c>
      <c r="BS2" s="361" t="s">
        <v>36</v>
      </c>
      <c r="BT2" s="105" t="s">
        <v>497</v>
      </c>
      <c r="BU2" s="104">
        <v>4</v>
      </c>
      <c r="BV2" s="105" t="str">
        <f>IFERROR(RIGHT(BT2,LEN(BT2)-SEARCH(" ",BT2)),"")</f>
        <v>Martin Tokoš</v>
      </c>
      <c r="BW2" s="103">
        <f>IF(BT2&lt;&gt;0,_xlfn.NUMBERVALUE(BU2,","),"")</f>
        <v>4</v>
      </c>
      <c r="BX2" s="360" t="s">
        <v>233</v>
      </c>
      <c r="BY2" s="104" t="s">
        <v>225</v>
      </c>
      <c r="BZ2" s="104" t="s">
        <v>24</v>
      </c>
      <c r="CA2" s="116" t="s">
        <v>1000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442</v>
      </c>
      <c r="U3" s="103">
        <v>2</v>
      </c>
      <c r="V3" s="103">
        <v>2</v>
      </c>
      <c r="W3" s="103">
        <v>0</v>
      </c>
      <c r="X3" s="103">
        <v>0</v>
      </c>
      <c r="Y3" s="103">
        <v>2</v>
      </c>
      <c r="Z3" s="103">
        <v>4</v>
      </c>
      <c r="AA3" s="103">
        <v>0</v>
      </c>
      <c r="AB3" s="103">
        <v>3</v>
      </c>
      <c r="AC3" s="103" t="str">
        <f t="shared" ca="1" si="0"/>
        <v>NE</v>
      </c>
      <c r="AG3" s="122" t="s">
        <v>445</v>
      </c>
      <c r="AH3" s="123">
        <v>35871</v>
      </c>
      <c r="AI3" s="124">
        <v>138</v>
      </c>
      <c r="AJ3" s="124">
        <v>84</v>
      </c>
      <c r="AK3" s="124">
        <v>30</v>
      </c>
      <c r="AL3" s="125">
        <f t="shared" si="1"/>
        <v>114</v>
      </c>
      <c r="AM3" s="124">
        <v>7</v>
      </c>
      <c r="AN3" s="124">
        <v>17</v>
      </c>
      <c r="AO3" s="126"/>
      <c r="AP3" s="126" t="s">
        <v>163</v>
      </c>
      <c r="AQ3" s="124">
        <v>181</v>
      </c>
      <c r="AR3" s="124">
        <v>62</v>
      </c>
      <c r="AS3" s="127" t="s">
        <v>468</v>
      </c>
      <c r="AT3" s="124">
        <v>2006</v>
      </c>
      <c r="AU3" s="128">
        <f t="shared" ca="1" si="2"/>
        <v>23</v>
      </c>
      <c r="AV3" s="128" t="str">
        <f t="shared" si="3"/>
        <v>181/62</v>
      </c>
      <c r="AW3" s="129" t="str">
        <f t="shared" ref="AW3:AW50" ca="1" si="6">IF(AG3&lt;&gt;"",IF(BE3=1,BD3,IF(BH3=1,BG3,IF(BJ3=1,BI3,IF(BL3=1,BK3,BM3)))),"")</f>
        <v>Bína</v>
      </c>
      <c r="AX3" s="130" t="str">
        <f t="shared" ca="1" si="4"/>
        <v>2 OZ, 2 (2+0), 0 ±</v>
      </c>
      <c r="AY3" s="130" t="str">
        <f t="shared" ca="1" si="5"/>
        <v>140 OZ, 116 (86+30)</v>
      </c>
      <c r="AZ3" s="131"/>
      <c r="BA3" s="131"/>
      <c r="BB3" s="131"/>
      <c r="BC3" s="131"/>
      <c r="BD3" s="90" t="str">
        <f t="shared" ref="BD3:BD50" si="7">IF(AG3&lt;&gt;"",RIGHT(AG3,LEN(AG3)-SEARCH(" ",AG3)),"")</f>
        <v>Bína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J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481</v>
      </c>
      <c r="BO3" s="123">
        <v>33197</v>
      </c>
      <c r="BP3" s="132" t="s">
        <v>206</v>
      </c>
      <c r="BQ3" s="133" t="s">
        <v>482</v>
      </c>
      <c r="BR3" s="128">
        <f t="shared" ref="BR3:BR11" ca="1" si="16">IF(BN3&lt;&gt;"",IF(BO3&lt;&gt;"",INT((TODAY()-BO3)/365),"?"),"")</f>
        <v>30</v>
      </c>
      <c r="BS3" s="361"/>
      <c r="BT3" s="105" t="s">
        <v>1002</v>
      </c>
      <c r="BU3" s="104">
        <v>4</v>
      </c>
      <c r="BV3" s="105" t="str">
        <f t="shared" ref="BV3:BV31" si="17">IFERROR(RIGHT(BT3,LEN(BT3)-SEARCH(" ",BT3)),"")</f>
        <v>Dominik Beneš</v>
      </c>
      <c r="BW3" s="103">
        <f t="shared" ref="BW3:BW31" si="18">IF(BT3&lt;&gt;0,_xlfn.NUMBERVALUE(BU3,","),"")</f>
        <v>4</v>
      </c>
      <c r="BX3" s="360"/>
      <c r="BY3" s="104" t="s">
        <v>294</v>
      </c>
      <c r="BZ3" s="104" t="s">
        <v>109</v>
      </c>
      <c r="CA3" s="116" t="s">
        <v>498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437</v>
      </c>
      <c r="T4" s="103" t="s">
        <v>133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1</v>
      </c>
      <c r="AC4" s="103" t="str">
        <f t="shared" ca="1" si="0"/>
        <v>ANO</v>
      </c>
      <c r="AG4" s="122" t="s">
        <v>437</v>
      </c>
      <c r="AH4" s="123">
        <v>32786</v>
      </c>
      <c r="AI4" s="124">
        <v>335</v>
      </c>
      <c r="AJ4" s="124">
        <v>403</v>
      </c>
      <c r="AK4" s="124">
        <v>332</v>
      </c>
      <c r="AL4" s="125">
        <f t="shared" si="1"/>
        <v>735</v>
      </c>
      <c r="AM4" s="124">
        <v>16</v>
      </c>
      <c r="AN4" s="124">
        <v>40</v>
      </c>
      <c r="AO4" s="126"/>
      <c r="AP4" s="126" t="s">
        <v>163</v>
      </c>
      <c r="AQ4" s="124">
        <v>180</v>
      </c>
      <c r="AR4" s="124">
        <v>77</v>
      </c>
      <c r="AS4" s="127" t="s">
        <v>469</v>
      </c>
      <c r="AT4" s="124">
        <v>2004</v>
      </c>
      <c r="AU4" s="128">
        <f t="shared" ca="1" si="2"/>
        <v>31</v>
      </c>
      <c r="AV4" s="128" t="str">
        <f t="shared" si="3"/>
        <v>180/77</v>
      </c>
      <c r="AW4" s="129" t="str">
        <f t="shared" ca="1" si="6"/>
        <v>Curney</v>
      </c>
      <c r="AX4" s="130" t="str">
        <f t="shared" ca="1" si="4"/>
        <v>2 OZ, 4 (2+2), +1 ±</v>
      </c>
      <c r="AY4" s="130" t="str">
        <f t="shared" ca="1" si="5"/>
        <v>337 OZ, 739 (405+334)</v>
      </c>
      <c r="AZ4" s="131"/>
      <c r="BA4" s="131"/>
      <c r="BB4" s="131"/>
      <c r="BC4" s="131"/>
      <c r="BD4" s="3" t="str">
        <f t="shared" si="7"/>
        <v>Curney</v>
      </c>
      <c r="BE4" s="85">
        <f t="shared" ca="1" si="8"/>
        <v>1</v>
      </c>
      <c r="BF4" s="62" t="str">
        <f t="shared" si="9"/>
        <v>J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483</v>
      </c>
      <c r="BO4" s="123">
        <v>30597</v>
      </c>
      <c r="BP4" s="132" t="s">
        <v>279</v>
      </c>
      <c r="BQ4" s="133" t="s">
        <v>484</v>
      </c>
      <c r="BR4" s="128">
        <f t="shared" ca="1" si="16"/>
        <v>37</v>
      </c>
      <c r="BS4" s="361"/>
      <c r="BT4" s="105" t="s">
        <v>1003</v>
      </c>
      <c r="BU4" s="104">
        <v>4</v>
      </c>
      <c r="BV4" s="105" t="str">
        <f t="shared" si="17"/>
        <v>Jiří Curney</v>
      </c>
      <c r="BW4" s="103">
        <f t="shared" si="18"/>
        <v>4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440</v>
      </c>
      <c r="T5" s="103" t="s">
        <v>133</v>
      </c>
      <c r="U5" s="103">
        <v>2</v>
      </c>
      <c r="V5" s="103">
        <v>1</v>
      </c>
      <c r="W5" s="103">
        <v>1</v>
      </c>
      <c r="X5" s="103">
        <v>0</v>
      </c>
      <c r="Y5" s="103">
        <v>2</v>
      </c>
      <c r="Z5" s="103">
        <v>3</v>
      </c>
      <c r="AA5" s="103">
        <v>0</v>
      </c>
      <c r="AB5" s="103">
        <v>6</v>
      </c>
      <c r="AC5" s="103" t="str">
        <f t="shared" ca="1" si="0"/>
        <v>ANO</v>
      </c>
      <c r="AG5" s="122" t="s">
        <v>456</v>
      </c>
      <c r="AH5" s="123">
        <v>32496</v>
      </c>
      <c r="AI5" s="124">
        <v>204</v>
      </c>
      <c r="AJ5" s="124">
        <v>104</v>
      </c>
      <c r="AK5" s="124">
        <v>79</v>
      </c>
      <c r="AL5" s="125">
        <f t="shared" si="1"/>
        <v>183</v>
      </c>
      <c r="AM5" s="124">
        <v>13</v>
      </c>
      <c r="AN5" s="124">
        <v>6</v>
      </c>
      <c r="AO5" s="126"/>
      <c r="AP5" s="126" t="s">
        <v>27</v>
      </c>
      <c r="AQ5" s="124">
        <v>177</v>
      </c>
      <c r="AR5" s="124">
        <v>73</v>
      </c>
      <c r="AS5" s="127" t="s">
        <v>342</v>
      </c>
      <c r="AT5" s="124">
        <v>2003</v>
      </c>
      <c r="AU5" s="128">
        <f t="shared" ca="1" si="2"/>
        <v>32</v>
      </c>
      <c r="AV5" s="128" t="str">
        <f t="shared" si="3"/>
        <v>177/73</v>
      </c>
      <c r="AW5" s="129" t="str">
        <f t="shared" ca="1" si="6"/>
        <v>Daniš</v>
      </c>
      <c r="AX5" s="130" t="str">
        <f t="shared" ca="1" si="4"/>
        <v>0 OZ, 0 (0+0)</v>
      </c>
      <c r="AY5" s="130" t="str">
        <f t="shared" ca="1" si="5"/>
        <v>204 OZ, 183 (104+79)</v>
      </c>
      <c r="AZ5" s="131"/>
      <c r="BA5" s="131"/>
      <c r="BB5" s="131"/>
      <c r="BC5" s="131"/>
      <c r="BD5" s="90" t="str">
        <f t="shared" si="7"/>
        <v>Daniš</v>
      </c>
      <c r="BE5" s="92">
        <f t="shared" ca="1" si="8"/>
        <v>1</v>
      </c>
      <c r="BF5" s="91" t="str">
        <f t="shared" si="9"/>
        <v>J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485</v>
      </c>
      <c r="BO5" s="123">
        <v>34618</v>
      </c>
      <c r="BP5" s="132" t="s">
        <v>486</v>
      </c>
      <c r="BQ5" s="133" t="s">
        <v>487</v>
      </c>
      <c r="BR5" s="128">
        <f t="shared" ca="1" si="16"/>
        <v>26</v>
      </c>
      <c r="BS5" s="361"/>
      <c r="BT5" s="105" t="s">
        <v>491</v>
      </c>
      <c r="BU5" s="104">
        <v>3</v>
      </c>
      <c r="BV5" s="105" t="str">
        <f t="shared" si="17"/>
        <v>Jan Natov</v>
      </c>
      <c r="BW5" s="103">
        <f t="shared" si="18"/>
        <v>3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443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0</v>
      </c>
      <c r="Z6" s="103">
        <v>2</v>
      </c>
      <c r="AA6" s="103">
        <v>0</v>
      </c>
      <c r="AB6" s="103">
        <v>4</v>
      </c>
      <c r="AC6" s="103" t="str">
        <f t="shared" ca="1" si="0"/>
        <v>ANO</v>
      </c>
      <c r="AG6" s="122" t="s">
        <v>457</v>
      </c>
      <c r="AH6" s="123">
        <v>37081</v>
      </c>
      <c r="AI6" s="124">
        <v>2</v>
      </c>
      <c r="AJ6" s="124">
        <v>0</v>
      </c>
      <c r="AK6" s="124">
        <v>0</v>
      </c>
      <c r="AL6" s="125">
        <f t="shared" si="1"/>
        <v>0</v>
      </c>
      <c r="AM6" s="124">
        <v>3</v>
      </c>
      <c r="AN6" s="124">
        <v>21</v>
      </c>
      <c r="AO6" s="126"/>
      <c r="AP6" s="126" t="s">
        <v>163</v>
      </c>
      <c r="AQ6" s="124">
        <v>178</v>
      </c>
      <c r="AR6" s="124">
        <v>64</v>
      </c>
      <c r="AS6" s="127" t="s">
        <v>470</v>
      </c>
      <c r="AT6" s="124">
        <v>2010</v>
      </c>
      <c r="AU6" s="128">
        <f t="shared" ca="1" si="2"/>
        <v>20</v>
      </c>
      <c r="AV6" s="128" t="str">
        <f t="shared" si="3"/>
        <v>178/64</v>
      </c>
      <c r="AW6" s="129" t="str">
        <f t="shared" ca="1" si="6"/>
        <v>Goll</v>
      </c>
      <c r="AX6" s="130" t="str">
        <f t="shared" ca="1" si="4"/>
        <v>0 OZ, 0 (0+0)</v>
      </c>
      <c r="AY6" s="130" t="str">
        <f t="shared" ca="1" si="5"/>
        <v>2 OZ, 0 (0+0)</v>
      </c>
      <c r="AZ6" s="131"/>
      <c r="BA6" s="131"/>
      <c r="BB6" s="131"/>
      <c r="BC6" s="131"/>
      <c r="BD6" s="3" t="str">
        <f t="shared" si="7"/>
        <v>Goll</v>
      </c>
      <c r="BE6" s="85">
        <f t="shared" ca="1" si="8"/>
        <v>1</v>
      </c>
      <c r="BF6" s="62" t="str">
        <f t="shared" si="9"/>
        <v>D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488</v>
      </c>
      <c r="BO6" s="123">
        <v>33694</v>
      </c>
      <c r="BP6" s="132" t="s">
        <v>489</v>
      </c>
      <c r="BQ6" s="133"/>
      <c r="BR6" s="128">
        <f t="shared" ca="1" si="16"/>
        <v>29</v>
      </c>
      <c r="BS6" s="361"/>
      <c r="BT6" s="105" t="s">
        <v>1004</v>
      </c>
      <c r="BU6" s="104">
        <v>2</v>
      </c>
      <c r="BV6" s="105" t="str">
        <f t="shared" si="17"/>
        <v>Jakub Bína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438</v>
      </c>
      <c r="U7" s="103">
        <v>2</v>
      </c>
      <c r="V7" s="103">
        <v>2</v>
      </c>
      <c r="W7" s="103">
        <v>0</v>
      </c>
      <c r="X7" s="103">
        <v>0</v>
      </c>
      <c r="Y7" s="103">
        <v>0</v>
      </c>
      <c r="Z7" s="103">
        <v>2</v>
      </c>
      <c r="AA7" s="103">
        <v>0</v>
      </c>
      <c r="AB7" s="103">
        <v>0</v>
      </c>
      <c r="AC7" s="103" t="str">
        <f t="shared" ca="1" si="0"/>
        <v>NE</v>
      </c>
      <c r="AG7" s="122" t="s">
        <v>441</v>
      </c>
      <c r="AH7" s="123">
        <v>34602</v>
      </c>
      <c r="AI7" s="124">
        <v>207</v>
      </c>
      <c r="AJ7" s="124">
        <v>78</v>
      </c>
      <c r="AK7" s="124">
        <v>57</v>
      </c>
      <c r="AL7" s="125">
        <f t="shared" si="1"/>
        <v>135</v>
      </c>
      <c r="AM7" s="124">
        <v>11</v>
      </c>
      <c r="AN7" s="124">
        <v>25</v>
      </c>
      <c r="AO7" s="126"/>
      <c r="AP7" s="126" t="s">
        <v>27</v>
      </c>
      <c r="AQ7" s="124">
        <v>185</v>
      </c>
      <c r="AR7" s="124">
        <v>84</v>
      </c>
      <c r="AS7" s="127" t="s">
        <v>467</v>
      </c>
      <c r="AT7" s="124">
        <v>2005</v>
      </c>
      <c r="AU7" s="128">
        <f t="shared" ca="1" si="2"/>
        <v>27</v>
      </c>
      <c r="AV7" s="128" t="str">
        <f t="shared" si="3"/>
        <v>185/84</v>
      </c>
      <c r="AW7" s="129" t="str">
        <f t="shared" ca="1" si="6"/>
        <v>Gruber</v>
      </c>
      <c r="AX7" s="130" t="str">
        <f t="shared" ca="1" si="4"/>
        <v>2 OZ, 2 (0+2), +4 ±</v>
      </c>
      <c r="AY7" s="130" t="str">
        <f t="shared" ca="1" si="5"/>
        <v>209 OZ, 137 (78+59)</v>
      </c>
      <c r="AZ7" s="131"/>
      <c r="BA7" s="131"/>
      <c r="BB7" s="131"/>
      <c r="BC7" s="131"/>
      <c r="BD7" s="90" t="str">
        <f t="shared" si="7"/>
        <v>Gruber</v>
      </c>
      <c r="BE7" s="92">
        <f t="shared" ca="1" si="8"/>
        <v>1</v>
      </c>
      <c r="BF7" s="91" t="str">
        <f t="shared" si="9"/>
        <v>J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493</v>
      </c>
      <c r="BU7" s="104" t="s">
        <v>1005</v>
      </c>
      <c r="BV7" s="105" t="str">
        <f t="shared" si="17"/>
        <v>Lukáš Bauer</v>
      </c>
      <c r="BW7" s="113">
        <f t="shared" si="18"/>
        <v>2.97</v>
      </c>
      <c r="BX7" s="360" t="s">
        <v>234</v>
      </c>
      <c r="BY7" s="104" t="s">
        <v>296</v>
      </c>
      <c r="BZ7" s="104" t="s">
        <v>108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23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445</v>
      </c>
      <c r="U8" s="103">
        <v>2</v>
      </c>
      <c r="V8" s="103">
        <v>2</v>
      </c>
      <c r="W8" s="103">
        <v>0</v>
      </c>
      <c r="X8" s="103">
        <v>0</v>
      </c>
      <c r="Y8" s="103">
        <v>0</v>
      </c>
      <c r="Z8" s="103">
        <v>2</v>
      </c>
      <c r="AA8" s="103">
        <v>0</v>
      </c>
      <c r="AB8" s="103">
        <v>0</v>
      </c>
      <c r="AC8" s="103" t="str">
        <f t="shared" ca="1" si="0"/>
        <v>ANO</v>
      </c>
      <c r="AG8" s="122" t="s">
        <v>458</v>
      </c>
      <c r="AH8" s="123">
        <v>37407</v>
      </c>
      <c r="AI8" s="124">
        <v>13</v>
      </c>
      <c r="AJ8" s="124">
        <v>7</v>
      </c>
      <c r="AK8" s="124">
        <v>4</v>
      </c>
      <c r="AL8" s="125">
        <f t="shared" si="1"/>
        <v>11</v>
      </c>
      <c r="AM8" s="124">
        <v>3</v>
      </c>
      <c r="AN8" s="124">
        <v>82</v>
      </c>
      <c r="AO8" s="126"/>
      <c r="AP8" s="126" t="s">
        <v>163</v>
      </c>
      <c r="AQ8" s="124">
        <v>187</v>
      </c>
      <c r="AR8" s="124">
        <v>80</v>
      </c>
      <c r="AS8" s="127" t="s">
        <v>471</v>
      </c>
      <c r="AT8" s="124">
        <v>2011</v>
      </c>
      <c r="AU8" s="128">
        <f t="shared" ca="1" si="2"/>
        <v>19</v>
      </c>
      <c r="AV8" s="128" t="str">
        <f t="shared" si="3"/>
        <v>187/80</v>
      </c>
      <c r="AW8" s="129" t="str">
        <f t="shared" ca="1" si="6"/>
        <v>Hemerka</v>
      </c>
      <c r="AX8" s="130" t="str">
        <f t="shared" ca="1" si="4"/>
        <v>1 OZ, 0 (0+0), 0 ±</v>
      </c>
      <c r="AY8" s="130" t="str">
        <f t="shared" ca="1" si="5"/>
        <v>14 OZ, 11 (7+4)</v>
      </c>
      <c r="AZ8" s="131"/>
      <c r="BA8" s="131"/>
      <c r="BB8" s="131"/>
      <c r="BC8" s="131"/>
      <c r="BD8" s="3" t="str">
        <f t="shared" si="7"/>
        <v>Hemerka</v>
      </c>
      <c r="BE8" s="85">
        <f t="shared" ca="1" si="8"/>
        <v>1</v>
      </c>
      <c r="BF8" s="62" t="str">
        <f t="shared" si="9"/>
        <v>A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494</v>
      </c>
      <c r="BU8" s="104" t="s">
        <v>216</v>
      </c>
      <c r="BV8" s="105" t="str">
        <f t="shared" si="17"/>
        <v>Ondřej Tomšík</v>
      </c>
      <c r="BW8" s="113">
        <f t="shared" si="18"/>
        <v>0</v>
      </c>
      <c r="BX8" s="360"/>
      <c r="BY8" s="104" t="s">
        <v>228</v>
      </c>
      <c r="BZ8" s="104" t="s">
        <v>102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446</v>
      </c>
      <c r="T9" s="103" t="s">
        <v>133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2</v>
      </c>
      <c r="AC9" s="103" t="str">
        <f t="shared" ca="1" si="0"/>
        <v>ANO</v>
      </c>
      <c r="AG9" s="122" t="s">
        <v>459</v>
      </c>
      <c r="AH9" s="123">
        <v>35213</v>
      </c>
      <c r="AI9" s="124">
        <v>152</v>
      </c>
      <c r="AJ9" s="124">
        <v>37</v>
      </c>
      <c r="AK9" s="124">
        <v>33</v>
      </c>
      <c r="AL9" s="125">
        <f t="shared" si="1"/>
        <v>70</v>
      </c>
      <c r="AM9" s="124">
        <v>9</v>
      </c>
      <c r="AN9" s="124">
        <v>28</v>
      </c>
      <c r="AO9" s="126"/>
      <c r="AP9" s="126" t="s">
        <v>27</v>
      </c>
      <c r="AQ9" s="124">
        <v>183</v>
      </c>
      <c r="AR9" s="124">
        <v>85</v>
      </c>
      <c r="AS9" s="127" t="s">
        <v>78</v>
      </c>
      <c r="AT9" s="124">
        <v>2006</v>
      </c>
      <c r="AU9" s="128">
        <f t="shared" ca="1" si="2"/>
        <v>25</v>
      </c>
      <c r="AV9" s="128" t="str">
        <f t="shared" si="3"/>
        <v>183/85</v>
      </c>
      <c r="AW9" s="129" t="str">
        <f t="shared" ca="1" si="6"/>
        <v>Höffer</v>
      </c>
      <c r="AX9" s="130" t="str">
        <f t="shared" ca="1" si="4"/>
        <v>0 OZ, 0 (0+0)</v>
      </c>
      <c r="AY9" s="130" t="str">
        <f t="shared" ca="1" si="5"/>
        <v>152 OZ, 70 (37+33)</v>
      </c>
      <c r="AZ9" s="131"/>
      <c r="BA9" s="131"/>
      <c r="BB9" s="131"/>
      <c r="BC9" s="131"/>
      <c r="BD9" s="90" t="str">
        <f t="shared" si="7"/>
        <v>Höffer</v>
      </c>
      <c r="BE9" s="92">
        <f t="shared" ca="1" si="8"/>
        <v>1</v>
      </c>
      <c r="BF9" s="91" t="str">
        <f t="shared" si="9"/>
        <v>A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297</v>
      </c>
      <c r="BZ9" s="104" t="s">
        <v>103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441</v>
      </c>
      <c r="T10" s="103" t="s">
        <v>68</v>
      </c>
      <c r="U10" s="103">
        <v>2</v>
      </c>
      <c r="V10" s="103">
        <v>0</v>
      </c>
      <c r="W10" s="103">
        <v>0</v>
      </c>
      <c r="X10" s="103">
        <v>0</v>
      </c>
      <c r="Y10" s="103">
        <v>2</v>
      </c>
      <c r="Z10" s="103">
        <v>2</v>
      </c>
      <c r="AA10" s="103">
        <v>0</v>
      </c>
      <c r="AB10" s="103">
        <v>4</v>
      </c>
      <c r="AC10" s="103" t="str">
        <f t="shared" ca="1" si="0"/>
        <v>ANO</v>
      </c>
      <c r="AG10" s="122" t="s">
        <v>443</v>
      </c>
      <c r="AH10" s="123">
        <v>34634</v>
      </c>
      <c r="AI10" s="124">
        <v>210</v>
      </c>
      <c r="AJ10" s="124">
        <v>111</v>
      </c>
      <c r="AK10" s="124">
        <v>73</v>
      </c>
      <c r="AL10" s="125">
        <f t="shared" si="1"/>
        <v>184</v>
      </c>
      <c r="AM10" s="124">
        <v>11</v>
      </c>
      <c r="AN10" s="124">
        <v>16</v>
      </c>
      <c r="AO10" s="126"/>
      <c r="AP10" s="126" t="s">
        <v>27</v>
      </c>
      <c r="AQ10" s="124">
        <v>177</v>
      </c>
      <c r="AR10" s="124">
        <v>82</v>
      </c>
      <c r="AS10" s="127" t="s">
        <v>472</v>
      </c>
      <c r="AT10" s="124">
        <v>2005</v>
      </c>
      <c r="AU10" s="128">
        <f t="shared" ca="1" si="2"/>
        <v>26</v>
      </c>
      <c r="AV10" s="128" t="str">
        <f t="shared" si="3"/>
        <v>177/82</v>
      </c>
      <c r="AW10" s="129" t="str">
        <f t="shared" ca="1" si="6"/>
        <v>Chroust Ta.</v>
      </c>
      <c r="AX10" s="130" t="str">
        <f t="shared" ca="1" si="4"/>
        <v>2 OZ, 2 (2+0), +4 ±</v>
      </c>
      <c r="AY10" s="130" t="str">
        <f t="shared" ca="1" si="5"/>
        <v>212 OZ, 186 (113+73)</v>
      </c>
      <c r="AZ10" s="131"/>
      <c r="BA10" s="131"/>
      <c r="BB10" s="131"/>
      <c r="BC10" s="131"/>
      <c r="BD10" s="3" t="str">
        <f t="shared" si="7"/>
        <v>Chroust</v>
      </c>
      <c r="BE10" s="85">
        <f t="shared" ca="1" si="8"/>
        <v>2</v>
      </c>
      <c r="BF10" s="62" t="str">
        <f t="shared" si="9"/>
        <v>T</v>
      </c>
      <c r="BG10" s="3" t="str">
        <f t="shared" ca="1" si="10"/>
        <v>Chroust T.</v>
      </c>
      <c r="BH10" s="62">
        <f t="shared" ca="1" si="11"/>
        <v>2</v>
      </c>
      <c r="BI10" s="3" t="str">
        <f t="shared" ca="1" si="12"/>
        <v>Chroust Ta.</v>
      </c>
      <c r="BJ10" s="62">
        <f t="shared" ca="1" si="11"/>
        <v>1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100</v>
      </c>
      <c r="CA10" s="116" t="s">
        <v>226</v>
      </c>
    </row>
    <row r="11" spans="1:79" ht="15" customHeight="1" thickTop="1" thickBot="1" x14ac:dyDescent="0.25">
      <c r="R11" s="13"/>
      <c r="S11" s="111" t="s">
        <v>448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2</v>
      </c>
      <c r="Z11" s="103">
        <v>2</v>
      </c>
      <c r="AA11" s="103">
        <v>0</v>
      </c>
      <c r="AB11" s="103">
        <v>3</v>
      </c>
      <c r="AC11" s="103" t="str">
        <f t="shared" ca="1" si="0"/>
        <v>NE</v>
      </c>
      <c r="AG11" s="122" t="s">
        <v>460</v>
      </c>
      <c r="AH11" s="123">
        <v>33799</v>
      </c>
      <c r="AI11" s="124">
        <v>209</v>
      </c>
      <c r="AJ11" s="124">
        <v>137</v>
      </c>
      <c r="AK11" s="124">
        <v>76</v>
      </c>
      <c r="AL11" s="125">
        <f t="shared" si="1"/>
        <v>213</v>
      </c>
      <c r="AM11" s="124">
        <v>10</v>
      </c>
      <c r="AN11" s="124">
        <v>14</v>
      </c>
      <c r="AO11" s="126"/>
      <c r="AP11" s="126" t="s">
        <v>163</v>
      </c>
      <c r="AQ11" s="124">
        <v>183</v>
      </c>
      <c r="AR11" s="124">
        <v>73</v>
      </c>
      <c r="AS11" s="127" t="s">
        <v>472</v>
      </c>
      <c r="AT11" s="124">
        <v>2005</v>
      </c>
      <c r="AU11" s="128">
        <f t="shared" ca="1" si="2"/>
        <v>29</v>
      </c>
      <c r="AV11" s="128" t="str">
        <f t="shared" si="3"/>
        <v>183/73</v>
      </c>
      <c r="AW11" s="129" t="str">
        <f t="shared" ca="1" si="6"/>
        <v>Chroust To.</v>
      </c>
      <c r="AX11" s="130" t="str">
        <f t="shared" ca="1" si="4"/>
        <v>0 OZ, 0 (0+0)</v>
      </c>
      <c r="AY11" s="130" t="str">
        <f t="shared" ca="1" si="5"/>
        <v>209 OZ, 213 (137+76)</v>
      </c>
      <c r="AZ11" s="131"/>
      <c r="BA11" s="131"/>
      <c r="BB11" s="131"/>
      <c r="BC11" s="131"/>
      <c r="BD11" s="90" t="str">
        <f t="shared" si="7"/>
        <v>Chroust</v>
      </c>
      <c r="BE11" s="92">
        <f t="shared" ca="1" si="8"/>
        <v>2</v>
      </c>
      <c r="BF11" s="91" t="str">
        <f t="shared" si="9"/>
        <v>T</v>
      </c>
      <c r="BG11" s="90" t="str">
        <f t="shared" ca="1" si="10"/>
        <v>Chroust T.</v>
      </c>
      <c r="BH11" s="91">
        <f t="shared" ca="1" si="11"/>
        <v>2</v>
      </c>
      <c r="BI11" s="90" t="str">
        <f t="shared" ca="1" si="12"/>
        <v>Chroust To.</v>
      </c>
      <c r="BJ11" s="91">
        <f t="shared" ca="1" si="11"/>
        <v>1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107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444</v>
      </c>
      <c r="T12" s="103" t="s">
        <v>133</v>
      </c>
      <c r="U12" s="103">
        <v>2</v>
      </c>
      <c r="V12" s="103">
        <v>1</v>
      </c>
      <c r="W12" s="103">
        <v>0</v>
      </c>
      <c r="X12" s="103">
        <v>0</v>
      </c>
      <c r="Y12" s="103">
        <v>0</v>
      </c>
      <c r="Z12" s="103">
        <v>1</v>
      </c>
      <c r="AA12" s="103">
        <v>0</v>
      </c>
      <c r="AB12" s="103">
        <v>1</v>
      </c>
      <c r="AC12" s="103" t="str">
        <f t="shared" ca="1" si="0"/>
        <v>ANO</v>
      </c>
      <c r="AG12" s="122" t="s">
        <v>307</v>
      </c>
      <c r="AH12" s="123">
        <v>35184</v>
      </c>
      <c r="AI12" s="124">
        <v>115</v>
      </c>
      <c r="AJ12" s="124">
        <v>59</v>
      </c>
      <c r="AK12" s="124">
        <v>41</v>
      </c>
      <c r="AL12" s="125">
        <f t="shared" si="1"/>
        <v>100</v>
      </c>
      <c r="AM12" s="124">
        <v>8</v>
      </c>
      <c r="AN12" s="124">
        <v>10</v>
      </c>
      <c r="AO12" s="126"/>
      <c r="AP12" s="126" t="s">
        <v>163</v>
      </c>
      <c r="AQ12" s="124">
        <v>185</v>
      </c>
      <c r="AR12" s="124">
        <v>85</v>
      </c>
      <c r="AS12" s="127" t="s">
        <v>74</v>
      </c>
      <c r="AT12" s="124">
        <v>2006</v>
      </c>
      <c r="AU12" s="128">
        <f t="shared" ca="1" si="2"/>
        <v>25</v>
      </c>
      <c r="AV12" s="128" t="str">
        <f t="shared" si="3"/>
        <v>185/85</v>
      </c>
      <c r="AW12" s="129" t="str">
        <f t="shared" ca="1" si="6"/>
        <v>Komárek</v>
      </c>
      <c r="AX12" s="130" t="str">
        <f t="shared" ca="1" si="4"/>
        <v>0 OZ, 0 (0+0)</v>
      </c>
      <c r="AY12" s="130" t="str">
        <f t="shared" ca="1" si="5"/>
        <v>115 OZ, 100 (59+41)</v>
      </c>
      <c r="AZ12" s="131"/>
      <c r="BA12" s="131"/>
      <c r="BB12" s="131"/>
      <c r="BC12" s="131"/>
      <c r="BD12" s="3" t="str">
        <f t="shared" si="7"/>
        <v>Komárek</v>
      </c>
      <c r="BE12" s="85">
        <f t="shared" ca="1" si="8"/>
        <v>1</v>
      </c>
      <c r="BF12" s="62" t="str">
        <f t="shared" si="9"/>
        <v>M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497</v>
      </c>
      <c r="BU12" s="104">
        <v>3</v>
      </c>
      <c r="BV12" s="105" t="str">
        <f t="shared" si="17"/>
        <v>Martin Tokoš</v>
      </c>
      <c r="BW12" s="103">
        <f t="shared" si="18"/>
        <v>3</v>
      </c>
      <c r="BX12" s="121" t="s">
        <v>232</v>
      </c>
      <c r="BY12" s="101" t="s">
        <v>1001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449</v>
      </c>
      <c r="U13" s="103">
        <v>1</v>
      </c>
      <c r="V13" s="103">
        <v>0</v>
      </c>
      <c r="W13" s="103">
        <v>0</v>
      </c>
      <c r="X13" s="103">
        <v>0</v>
      </c>
      <c r="Y13" s="103">
        <v>1</v>
      </c>
      <c r="Z13" s="103">
        <v>1</v>
      </c>
      <c r="AA13" s="103">
        <v>0</v>
      </c>
      <c r="AB13" s="103">
        <v>2</v>
      </c>
      <c r="AC13" s="103" t="str">
        <f t="shared" ca="1" si="0"/>
        <v>ANO</v>
      </c>
      <c r="AG13" s="122" t="s">
        <v>453</v>
      </c>
      <c r="AH13" s="123">
        <v>37366</v>
      </c>
      <c r="AI13" s="124">
        <v>30</v>
      </c>
      <c r="AJ13" s="124">
        <v>8</v>
      </c>
      <c r="AK13" s="124">
        <v>6</v>
      </c>
      <c r="AL13" s="125">
        <f t="shared" si="1"/>
        <v>14</v>
      </c>
      <c r="AM13" s="124">
        <v>3</v>
      </c>
      <c r="AN13" s="124">
        <v>24</v>
      </c>
      <c r="AO13" s="126"/>
      <c r="AP13" s="126" t="s">
        <v>163</v>
      </c>
      <c r="AQ13" s="124">
        <v>187</v>
      </c>
      <c r="AR13" s="124">
        <v>71</v>
      </c>
      <c r="AS13" s="127" t="s">
        <v>473</v>
      </c>
      <c r="AT13" s="124">
        <v>2010</v>
      </c>
      <c r="AU13" s="128">
        <f t="shared" ca="1" si="2"/>
        <v>19</v>
      </c>
      <c r="AV13" s="128" t="str">
        <f t="shared" si="3"/>
        <v>187/71</v>
      </c>
      <c r="AW13" s="129" t="str">
        <f t="shared" ca="1" si="6"/>
        <v>Korych</v>
      </c>
      <c r="AX13" s="130" t="str">
        <f t="shared" ca="1" si="4"/>
        <v>2 OZ, 0 (0+0), 0 ±</v>
      </c>
      <c r="AY13" s="130" t="str">
        <f t="shared" ca="1" si="5"/>
        <v>32 OZ, 14 (8+6)</v>
      </c>
      <c r="AZ13" s="131"/>
      <c r="BA13" s="131"/>
      <c r="BB13" s="131"/>
      <c r="BC13" s="131"/>
      <c r="BD13" s="90" t="str">
        <f t="shared" si="7"/>
        <v>Korych</v>
      </c>
      <c r="BE13" s="92">
        <f t="shared" ca="1" si="8"/>
        <v>1</v>
      </c>
      <c r="BF13" s="91" t="str">
        <f t="shared" si="9"/>
        <v>M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1002</v>
      </c>
      <c r="BU13" s="104">
        <v>2</v>
      </c>
      <c r="BV13" s="105" t="str">
        <f t="shared" si="17"/>
        <v>Dominik Beneš</v>
      </c>
      <c r="BW13" s="103">
        <f t="shared" si="18"/>
        <v>2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447</v>
      </c>
      <c r="T14" s="103" t="s">
        <v>68</v>
      </c>
      <c r="U14" s="103">
        <v>2</v>
      </c>
      <c r="V14" s="103">
        <v>0</v>
      </c>
      <c r="W14" s="103">
        <v>0</v>
      </c>
      <c r="X14" s="103">
        <v>0</v>
      </c>
      <c r="Y14" s="103">
        <v>1</v>
      </c>
      <c r="Z14" s="103">
        <v>1</v>
      </c>
      <c r="AA14" s="103">
        <v>4</v>
      </c>
      <c r="AB14" s="103">
        <v>0</v>
      </c>
      <c r="AC14" s="103" t="str">
        <f t="shared" ca="1" si="0"/>
        <v>ANO</v>
      </c>
      <c r="AG14" s="122" t="s">
        <v>461</v>
      </c>
      <c r="AH14" s="123">
        <v>32710</v>
      </c>
      <c r="AI14" s="124">
        <v>285</v>
      </c>
      <c r="AJ14" s="124">
        <v>47</v>
      </c>
      <c r="AK14" s="124">
        <v>129</v>
      </c>
      <c r="AL14" s="125">
        <f t="shared" si="1"/>
        <v>176</v>
      </c>
      <c r="AM14" s="124">
        <v>15</v>
      </c>
      <c r="AN14" s="124">
        <v>70</v>
      </c>
      <c r="AO14" s="126"/>
      <c r="AP14" s="126" t="s">
        <v>163</v>
      </c>
      <c r="AQ14" s="124">
        <v>186</v>
      </c>
      <c r="AR14" s="124">
        <v>88</v>
      </c>
      <c r="AS14" s="127" t="s">
        <v>406</v>
      </c>
      <c r="AT14" s="124">
        <v>2001</v>
      </c>
      <c r="AU14" s="128">
        <f t="shared" ca="1" si="2"/>
        <v>32</v>
      </c>
      <c r="AV14" s="128" t="str">
        <f t="shared" si="3"/>
        <v>186/88</v>
      </c>
      <c r="AW14" s="129" t="str">
        <f t="shared" ca="1" si="6"/>
        <v>Krzyžanek</v>
      </c>
      <c r="AX14" s="130" t="str">
        <f t="shared" ca="1" si="4"/>
        <v>0 OZ, 0 (0+0)</v>
      </c>
      <c r="AY14" s="130" t="str">
        <f t="shared" ca="1" si="5"/>
        <v>285 OZ, 176 (47+129)</v>
      </c>
      <c r="AZ14" s="131"/>
      <c r="BA14" s="131"/>
      <c r="BB14" s="131"/>
      <c r="BC14" s="131"/>
      <c r="BD14" s="3" t="str">
        <f t="shared" si="7"/>
        <v>Krzyžanek</v>
      </c>
      <c r="BE14" s="85">
        <f t="shared" ca="1" si="8"/>
        <v>1</v>
      </c>
      <c r="BF14" s="62" t="str">
        <f t="shared" si="9"/>
        <v>P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1006</v>
      </c>
      <c r="BU14" s="104">
        <v>2</v>
      </c>
      <c r="BV14" s="105" t="str">
        <f t="shared" si="17"/>
        <v>Jakub Bína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458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462</v>
      </c>
      <c r="AH15" s="123">
        <v>37152</v>
      </c>
      <c r="AI15" s="124">
        <v>9</v>
      </c>
      <c r="AJ15" s="124">
        <v>0</v>
      </c>
      <c r="AK15" s="124">
        <v>0</v>
      </c>
      <c r="AL15" s="125">
        <f t="shared" si="1"/>
        <v>0</v>
      </c>
      <c r="AM15" s="124">
        <v>3</v>
      </c>
      <c r="AN15" s="124">
        <v>95</v>
      </c>
      <c r="AO15" s="126"/>
      <c r="AP15" s="126" t="s">
        <v>163</v>
      </c>
      <c r="AQ15" s="124">
        <v>174</v>
      </c>
      <c r="AR15" s="124">
        <v>64</v>
      </c>
      <c r="AS15" s="127" t="s">
        <v>86</v>
      </c>
      <c r="AT15" s="124">
        <v>2010</v>
      </c>
      <c r="AU15" s="128">
        <f t="shared" ca="1" si="2"/>
        <v>20</v>
      </c>
      <c r="AV15" s="128" t="str">
        <f t="shared" si="3"/>
        <v>174/64</v>
      </c>
      <c r="AW15" s="129" t="str">
        <f t="shared" ca="1" si="6"/>
        <v>Kučera</v>
      </c>
      <c r="AX15" s="130" t="str">
        <f t="shared" ca="1" si="4"/>
        <v>0 OZ, 0 (0+0)</v>
      </c>
      <c r="AY15" s="130" t="str">
        <f t="shared" ca="1" si="5"/>
        <v>9 OZ, 0 (0+0)</v>
      </c>
      <c r="AZ15" s="131"/>
      <c r="BA15" s="131"/>
      <c r="BB15" s="131"/>
      <c r="BC15" s="131"/>
      <c r="BD15" s="90" t="str">
        <f t="shared" si="7"/>
        <v>Kučera</v>
      </c>
      <c r="BE15" s="92">
        <f t="shared" ca="1" si="8"/>
        <v>1</v>
      </c>
      <c r="BF15" s="91" t="str">
        <f t="shared" si="9"/>
        <v>F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1007</v>
      </c>
      <c r="BU15" s="104">
        <v>2</v>
      </c>
      <c r="BV15" s="105" t="str">
        <f t="shared" si="17"/>
        <v>Jiří Curney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454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1</v>
      </c>
      <c r="AC16" s="103" t="str">
        <f t="shared" ca="1" si="0"/>
        <v>NE</v>
      </c>
      <c r="AG16" s="122" t="s">
        <v>463</v>
      </c>
      <c r="AH16" s="123">
        <v>36924</v>
      </c>
      <c r="AI16" s="124">
        <v>1</v>
      </c>
      <c r="AJ16" s="124">
        <v>0</v>
      </c>
      <c r="AK16" s="124">
        <v>0</v>
      </c>
      <c r="AL16" s="125">
        <f t="shared" si="1"/>
        <v>0</v>
      </c>
      <c r="AM16" s="124">
        <v>3</v>
      </c>
      <c r="AN16" s="124">
        <v>29</v>
      </c>
      <c r="AO16" s="126"/>
      <c r="AP16" s="126"/>
      <c r="AQ16" s="124">
        <v>185</v>
      </c>
      <c r="AR16" s="124">
        <v>72</v>
      </c>
      <c r="AS16" s="127" t="s">
        <v>474</v>
      </c>
      <c r="AT16" s="124">
        <v>2013</v>
      </c>
      <c r="AU16" s="128">
        <f t="shared" ca="1" si="2"/>
        <v>20</v>
      </c>
      <c r="AV16" s="128" t="str">
        <f t="shared" si="3"/>
        <v>185/72</v>
      </c>
      <c r="AW16" s="129" t="str">
        <f t="shared" ca="1" si="6"/>
        <v>Macík</v>
      </c>
      <c r="AX16" s="130" t="str">
        <f t="shared" ca="1" si="4"/>
        <v>0 OZ, 0 (0+0)</v>
      </c>
      <c r="AY16" s="130" t="str">
        <f t="shared" ca="1" si="5"/>
        <v>1 OZ, 0 (0+0)</v>
      </c>
      <c r="AZ16" s="131"/>
      <c r="BA16" s="131"/>
      <c r="BB16" s="131"/>
      <c r="BC16" s="131"/>
      <c r="BD16" s="3" t="str">
        <f t="shared" si="7"/>
        <v>Macík</v>
      </c>
      <c r="BE16" s="85">
        <f t="shared" ca="1" si="8"/>
        <v>1</v>
      </c>
      <c r="BF16" s="62" t="str">
        <f t="shared" si="9"/>
        <v>M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1008</v>
      </c>
      <c r="BU16" s="104">
        <v>2</v>
      </c>
      <c r="BV16" s="105" t="str">
        <f t="shared" si="17"/>
        <v>Matěj Pěnička</v>
      </c>
      <c r="BW16" s="103">
        <f t="shared" si="18"/>
        <v>2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450</v>
      </c>
      <c r="T17" s="103" t="s">
        <v>131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136</v>
      </c>
      <c r="AH17" s="123">
        <v>36001</v>
      </c>
      <c r="AI17" s="124">
        <v>32</v>
      </c>
      <c r="AJ17" s="124">
        <v>0</v>
      </c>
      <c r="AK17" s="124">
        <v>0</v>
      </c>
      <c r="AL17" s="125">
        <f t="shared" si="1"/>
        <v>0</v>
      </c>
      <c r="AM17" s="124">
        <v>7</v>
      </c>
      <c r="AN17" s="124">
        <v>80</v>
      </c>
      <c r="AO17" s="126"/>
      <c r="AP17" s="126"/>
      <c r="AQ17" s="124">
        <v>175</v>
      </c>
      <c r="AR17" s="124">
        <v>69</v>
      </c>
      <c r="AS17" s="127" t="s">
        <v>306</v>
      </c>
      <c r="AT17" s="124">
        <v>2012</v>
      </c>
      <c r="AU17" s="128">
        <f t="shared" ca="1" si="2"/>
        <v>23</v>
      </c>
      <c r="AV17" s="128" t="str">
        <f t="shared" si="3"/>
        <v>175/69</v>
      </c>
      <c r="AW17" s="129" t="str">
        <f t="shared" ca="1" si="6"/>
        <v>Musil</v>
      </c>
      <c r="AX17" s="130" t="str">
        <f t="shared" ca="1" si="4"/>
        <v>0 OZ, 0 (0+0)</v>
      </c>
      <c r="AY17" s="130" t="str">
        <f t="shared" ca="1" si="5"/>
        <v>32 OZ, 0 (0+0)</v>
      </c>
      <c r="AZ17" s="131"/>
      <c r="BA17" s="131"/>
      <c r="BB17" s="131"/>
      <c r="BC17" s="131"/>
      <c r="BD17" s="90" t="str">
        <f t="shared" si="7"/>
        <v>Musil</v>
      </c>
      <c r="BE17" s="92">
        <f t="shared" ca="1" si="8"/>
        <v>1</v>
      </c>
      <c r="BF17" s="91" t="str">
        <f t="shared" si="9"/>
        <v>P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493</v>
      </c>
      <c r="BU17" s="104">
        <v>2</v>
      </c>
      <c r="BV17" s="105" t="str">
        <f t="shared" si="17"/>
        <v>Lukáš Bauer</v>
      </c>
      <c r="BW17" s="103">
        <f t="shared" si="18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451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5</v>
      </c>
      <c r="AC18" s="103" t="str">
        <f t="shared" ca="1" si="0"/>
        <v>NE</v>
      </c>
      <c r="AG18" s="122" t="s">
        <v>440</v>
      </c>
      <c r="AH18" s="123">
        <v>33919</v>
      </c>
      <c r="AI18" s="124">
        <v>273</v>
      </c>
      <c r="AJ18" s="124">
        <v>275</v>
      </c>
      <c r="AK18" s="124">
        <v>181</v>
      </c>
      <c r="AL18" s="125">
        <f t="shared" si="1"/>
        <v>456</v>
      </c>
      <c r="AM18" s="124">
        <v>14</v>
      </c>
      <c r="AN18" s="124">
        <v>88</v>
      </c>
      <c r="AO18" s="126" t="s">
        <v>180</v>
      </c>
      <c r="AP18" s="126" t="s">
        <v>27</v>
      </c>
      <c r="AQ18" s="124">
        <v>181</v>
      </c>
      <c r="AR18" s="124">
        <v>76</v>
      </c>
      <c r="AS18" s="127" t="s">
        <v>475</v>
      </c>
      <c r="AT18" s="124">
        <v>2000</v>
      </c>
      <c r="AU18" s="128">
        <f t="shared" ca="1" si="2"/>
        <v>28</v>
      </c>
      <c r="AV18" s="128" t="str">
        <f t="shared" si="3"/>
        <v>181/76</v>
      </c>
      <c r="AW18" s="129" t="str">
        <f t="shared" ca="1" si="6"/>
        <v>Natov</v>
      </c>
      <c r="AX18" s="130" t="str">
        <f t="shared" ca="1" si="4"/>
        <v>2 OZ, 3 (1+2), +6 ±</v>
      </c>
      <c r="AY18" s="130" t="str">
        <f t="shared" ca="1" si="5"/>
        <v>275 OZ, 459 (276+183)</v>
      </c>
      <c r="AZ18" s="131"/>
      <c r="BA18" s="131"/>
      <c r="BB18" s="131"/>
      <c r="BC18" s="131"/>
      <c r="BD18" s="3" t="str">
        <f t="shared" si="7"/>
        <v>Natov</v>
      </c>
      <c r="BE18" s="85">
        <f t="shared" ca="1" si="8"/>
        <v>1</v>
      </c>
      <c r="BF18" s="62" t="str">
        <f t="shared" si="9"/>
        <v>J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494</v>
      </c>
      <c r="BU18" s="104">
        <v>0</v>
      </c>
      <c r="BV18" s="105" t="str">
        <f t="shared" si="17"/>
        <v>Ondřej Tomšík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MB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452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3</v>
      </c>
      <c r="AC19" s="103" t="str">
        <f t="shared" ca="1" si="0"/>
        <v>ANO</v>
      </c>
      <c r="AG19" s="122" t="s">
        <v>252</v>
      </c>
      <c r="AH19" s="123">
        <v>37001</v>
      </c>
      <c r="AI19" s="124">
        <v>9</v>
      </c>
      <c r="AJ19" s="124">
        <v>0</v>
      </c>
      <c r="AK19" s="124">
        <v>0</v>
      </c>
      <c r="AL19" s="125">
        <f t="shared" si="1"/>
        <v>0</v>
      </c>
      <c r="AM19" s="124">
        <v>3</v>
      </c>
      <c r="AN19" s="124">
        <v>48</v>
      </c>
      <c r="AO19" s="126"/>
      <c r="AP19" s="126" t="s">
        <v>27</v>
      </c>
      <c r="AQ19" s="124">
        <v>179</v>
      </c>
      <c r="AR19" s="124">
        <v>66</v>
      </c>
      <c r="AS19" s="127" t="s">
        <v>473</v>
      </c>
      <c r="AT19" s="124">
        <v>2010</v>
      </c>
      <c r="AU19" s="128">
        <f t="shared" ca="1" si="2"/>
        <v>20</v>
      </c>
      <c r="AV19" s="128" t="str">
        <f t="shared" si="3"/>
        <v>179/66</v>
      </c>
      <c r="AW19" s="129" t="str">
        <f t="shared" ca="1" si="6"/>
        <v>Pařízek</v>
      </c>
      <c r="AX19" s="130" t="str">
        <f t="shared" ca="1" si="4"/>
        <v>0 OZ, 0 (0+0)</v>
      </c>
      <c r="AY19" s="130" t="str">
        <f t="shared" ca="1" si="5"/>
        <v>9 OZ, 0 (0+0)</v>
      </c>
      <c r="AZ19" s="131"/>
      <c r="BA19" s="131"/>
      <c r="BB19" s="131"/>
      <c r="BC19" s="131"/>
      <c r="BD19" s="90" t="str">
        <f t="shared" si="7"/>
        <v>Pařízek</v>
      </c>
      <c r="BE19" s="92">
        <f t="shared" ca="1" si="8"/>
        <v>1</v>
      </c>
      <c r="BF19" s="91" t="str">
        <f t="shared" si="9"/>
        <v>J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453</v>
      </c>
      <c r="T20" s="103" t="s">
        <v>133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464</v>
      </c>
      <c r="AH20" s="123">
        <v>34411</v>
      </c>
      <c r="AI20" s="124">
        <v>184</v>
      </c>
      <c r="AJ20" s="124">
        <v>60</v>
      </c>
      <c r="AK20" s="124">
        <v>60</v>
      </c>
      <c r="AL20" s="125">
        <f t="shared" si="1"/>
        <v>120</v>
      </c>
      <c r="AM20" s="124">
        <v>10</v>
      </c>
      <c r="AN20" s="124">
        <v>18</v>
      </c>
      <c r="AO20" s="126"/>
      <c r="AP20" s="126" t="s">
        <v>163</v>
      </c>
      <c r="AQ20" s="124">
        <v>182</v>
      </c>
      <c r="AR20" s="124">
        <v>71</v>
      </c>
      <c r="AS20" s="127" t="s">
        <v>476</v>
      </c>
      <c r="AT20" s="124">
        <v>2004</v>
      </c>
      <c r="AU20" s="128">
        <f t="shared" ca="1" si="2"/>
        <v>27</v>
      </c>
      <c r="AV20" s="128" t="str">
        <f t="shared" si="3"/>
        <v>182/71</v>
      </c>
      <c r="AW20" s="129" t="str">
        <f t="shared" ca="1" si="6"/>
        <v>Řehoř</v>
      </c>
      <c r="AX20" s="130" t="str">
        <f t="shared" ca="1" si="4"/>
        <v>0 OZ, 0 (0+0)</v>
      </c>
      <c r="AY20" s="130" t="str">
        <f t="shared" ca="1" si="5"/>
        <v>184 OZ, 120 (60+60)</v>
      </c>
      <c r="AZ20" s="131"/>
      <c r="BA20" s="131"/>
      <c r="BB20" s="131"/>
      <c r="BC20" s="131"/>
      <c r="BD20" s="3" t="str">
        <f t="shared" si="7"/>
        <v>Řehoř</v>
      </c>
      <c r="BE20" s="85">
        <f t="shared" ca="1" si="8"/>
        <v>1</v>
      </c>
      <c r="BF20" s="62" t="str">
        <f t="shared" si="9"/>
        <v>J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455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447</v>
      </c>
      <c r="AH21" s="123">
        <v>33193</v>
      </c>
      <c r="AI21" s="124">
        <v>183</v>
      </c>
      <c r="AJ21" s="124">
        <v>87</v>
      </c>
      <c r="AK21" s="124">
        <v>96</v>
      </c>
      <c r="AL21" s="125">
        <f t="shared" si="1"/>
        <v>183</v>
      </c>
      <c r="AM21" s="124">
        <v>10</v>
      </c>
      <c r="AN21" s="124">
        <v>12</v>
      </c>
      <c r="AO21" s="126"/>
      <c r="AP21" s="126" t="s">
        <v>27</v>
      </c>
      <c r="AQ21" s="124">
        <v>170</v>
      </c>
      <c r="AR21" s="124">
        <v>69</v>
      </c>
      <c r="AS21" s="127" t="s">
        <v>406</v>
      </c>
      <c r="AT21" s="124">
        <v>2001</v>
      </c>
      <c r="AU21" s="128">
        <f t="shared" ca="1" si="2"/>
        <v>30</v>
      </c>
      <c r="AV21" s="128" t="str">
        <f t="shared" si="3"/>
        <v>170/69</v>
      </c>
      <c r="AW21" s="129" t="str">
        <f t="shared" ca="1" si="6"/>
        <v>Suchánek</v>
      </c>
      <c r="AX21" s="130" t="str">
        <f t="shared" ca="1" si="4"/>
        <v>2 OZ, 1 (0+1), 0 ±</v>
      </c>
      <c r="AY21" s="130" t="str">
        <f t="shared" ca="1" si="5"/>
        <v>185 OZ, 184 (87+97)</v>
      </c>
      <c r="AZ21" s="131"/>
      <c r="BA21" s="131"/>
      <c r="BB21" s="131"/>
      <c r="BC21" s="131"/>
      <c r="BD21" s="90" t="str">
        <f t="shared" si="7"/>
        <v>Suchánek</v>
      </c>
      <c r="BE21" s="92">
        <f t="shared" ca="1" si="8"/>
        <v>1</v>
      </c>
      <c r="BF21" s="91" t="str">
        <f t="shared" si="9"/>
        <v>P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449</v>
      </c>
      <c r="AH22" s="123">
        <v>32590</v>
      </c>
      <c r="AI22" s="124">
        <v>141</v>
      </c>
      <c r="AJ22" s="124">
        <v>101</v>
      </c>
      <c r="AK22" s="124">
        <v>87</v>
      </c>
      <c r="AL22" s="125">
        <f t="shared" si="1"/>
        <v>188</v>
      </c>
      <c r="AM22" s="124">
        <v>8</v>
      </c>
      <c r="AN22" s="124">
        <v>3</v>
      </c>
      <c r="AO22" s="126"/>
      <c r="AP22" s="126" t="s">
        <v>27</v>
      </c>
      <c r="AQ22" s="124">
        <v>185</v>
      </c>
      <c r="AR22" s="124">
        <v>86</v>
      </c>
      <c r="AS22" s="127" t="s">
        <v>350</v>
      </c>
      <c r="AT22" s="124">
        <v>1999</v>
      </c>
      <c r="AU22" s="128">
        <f t="shared" ca="1" si="2"/>
        <v>32</v>
      </c>
      <c r="AV22" s="128" t="str">
        <f t="shared" si="3"/>
        <v>185/86</v>
      </c>
      <c r="AW22" s="129" t="str">
        <f t="shared" ca="1" si="6"/>
        <v>Šebek</v>
      </c>
      <c r="AX22" s="130" t="str">
        <f t="shared" ca="1" si="4"/>
        <v>1 OZ, 1 (0+1), +2 ±</v>
      </c>
      <c r="AY22" s="130" t="str">
        <f t="shared" ca="1" si="5"/>
        <v>142 OZ, 189 (101+88)</v>
      </c>
      <c r="AZ22" s="131"/>
      <c r="BA22" s="131"/>
      <c r="BB22" s="131"/>
      <c r="BC22" s="131"/>
      <c r="BD22" s="3" t="str">
        <f t="shared" si="7"/>
        <v>Šebek</v>
      </c>
      <c r="BE22" s="85">
        <f t="shared" ca="1" si="8"/>
        <v>1</v>
      </c>
      <c r="BF22" s="62" t="str">
        <f t="shared" si="9"/>
        <v>D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495</v>
      </c>
      <c r="BU22" s="104">
        <v>2</v>
      </c>
      <c r="BV22" s="105" t="str">
        <f t="shared" si="17"/>
        <v>Dominik Beneš</v>
      </c>
      <c r="BW22" s="103">
        <f t="shared" si="18"/>
        <v>2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132</v>
      </c>
      <c r="AH23" s="123">
        <v>37297</v>
      </c>
      <c r="AI23" s="124">
        <v>17</v>
      </c>
      <c r="AJ23" s="124">
        <v>1</v>
      </c>
      <c r="AK23" s="124">
        <v>1</v>
      </c>
      <c r="AL23" s="125">
        <f t="shared" si="1"/>
        <v>2</v>
      </c>
      <c r="AM23" s="124">
        <v>3</v>
      </c>
      <c r="AN23" s="124">
        <v>37</v>
      </c>
      <c r="AO23" s="126"/>
      <c r="AP23" s="126" t="s">
        <v>27</v>
      </c>
      <c r="AQ23" s="124">
        <v>182</v>
      </c>
      <c r="AR23" s="124">
        <v>75</v>
      </c>
      <c r="AS23" s="127" t="s">
        <v>263</v>
      </c>
      <c r="AT23" s="124">
        <v>2010</v>
      </c>
      <c r="AU23" s="128">
        <f t="shared" ca="1" si="2"/>
        <v>19</v>
      </c>
      <c r="AV23" s="128" t="str">
        <f t="shared" si="3"/>
        <v>182/75</v>
      </c>
      <c r="AW23" s="129" t="str">
        <f t="shared" ca="1" si="6"/>
        <v>Švejda</v>
      </c>
      <c r="AX23" s="130" t="str">
        <f t="shared" ca="1" si="4"/>
        <v>0 OZ, 0 (0+0)</v>
      </c>
      <c r="AY23" s="130" t="str">
        <f t="shared" ca="1" si="5"/>
        <v>17 OZ, 2 (1+1)</v>
      </c>
      <c r="AZ23" s="131"/>
      <c r="BA23" s="131"/>
      <c r="BB23" s="131"/>
      <c r="BC23" s="131"/>
      <c r="BD23" s="90" t="str">
        <f t="shared" si="7"/>
        <v>Švejda</v>
      </c>
      <c r="BE23" s="92">
        <f t="shared" ca="1" si="8"/>
        <v>1</v>
      </c>
      <c r="BF23" s="91" t="str">
        <f t="shared" si="9"/>
        <v>Š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496</v>
      </c>
      <c r="BU23" s="104">
        <v>2</v>
      </c>
      <c r="BV23" s="105" t="str">
        <f t="shared" si="17"/>
        <v>Jakub Gruber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465</v>
      </c>
      <c r="AH24" s="123">
        <v>33976</v>
      </c>
      <c r="AI24" s="124">
        <v>72</v>
      </c>
      <c r="AJ24" s="124">
        <v>33</v>
      </c>
      <c r="AK24" s="124">
        <v>24</v>
      </c>
      <c r="AL24" s="125">
        <f t="shared" si="1"/>
        <v>57</v>
      </c>
      <c r="AM24" s="124">
        <v>7</v>
      </c>
      <c r="AN24" s="124">
        <v>4</v>
      </c>
      <c r="AO24" s="126"/>
      <c r="AP24" s="126" t="s">
        <v>163</v>
      </c>
      <c r="AQ24" s="124">
        <v>192</v>
      </c>
      <c r="AR24" s="124">
        <v>90</v>
      </c>
      <c r="AS24" s="127" t="s">
        <v>477</v>
      </c>
      <c r="AT24" s="124">
        <v>2008</v>
      </c>
      <c r="AU24" s="128">
        <f t="shared" ref="AU24:AU50" ca="1" si="19">IF(AG24&lt;&gt;"",IF(AH24&lt;&gt;"",INT((TODAY()-AH24)/365),"?"),"")</f>
        <v>28</v>
      </c>
      <c r="AV24" s="128" t="str">
        <f t="shared" ref="AV24:AV50" si="20">IF(AG24&lt;&gt;"",CONCATENATE(IF(AQ24&lt;&gt;"",AQ24,"? "),"/",IF(AR24&lt;&gt;"",AR24," ?")),"")</f>
        <v>192/90</v>
      </c>
      <c r="AW24" s="129" t="str">
        <f t="shared" ca="1" si="6"/>
        <v>Tichý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1"/>
      <c r="BA24" s="131"/>
      <c r="BB24" s="131"/>
      <c r="BC24" s="131"/>
      <c r="BD24" s="3" t="str">
        <f t="shared" si="7"/>
        <v>Tichý</v>
      </c>
      <c r="BE24" s="85">
        <f t="shared" ca="1" si="8"/>
        <v>1</v>
      </c>
      <c r="BF24" s="62" t="str">
        <f t="shared" si="9"/>
        <v>M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1009</v>
      </c>
      <c r="BU24" s="104">
        <v>2</v>
      </c>
      <c r="BV24" s="105" t="str">
        <f t="shared" si="17"/>
        <v>Jan Natov</v>
      </c>
      <c r="BW24" s="103">
        <f t="shared" si="18"/>
        <v>2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439</v>
      </c>
      <c r="AH25" s="123">
        <v>33157</v>
      </c>
      <c r="AI25" s="124">
        <v>233</v>
      </c>
      <c r="AJ25" s="124">
        <v>183</v>
      </c>
      <c r="AK25" s="124">
        <v>112</v>
      </c>
      <c r="AL25" s="125">
        <f t="shared" si="1"/>
        <v>295</v>
      </c>
      <c r="AM25" s="124">
        <v>12</v>
      </c>
      <c r="AN25" s="124">
        <v>20</v>
      </c>
      <c r="AO25" s="126"/>
      <c r="AP25" s="126" t="s">
        <v>163</v>
      </c>
      <c r="AQ25" s="124">
        <v>183</v>
      </c>
      <c r="AR25" s="124">
        <v>76</v>
      </c>
      <c r="AS25" s="127" t="s">
        <v>478</v>
      </c>
      <c r="AT25" s="124">
        <v>1998</v>
      </c>
      <c r="AU25" s="128">
        <f t="shared" ca="1" si="19"/>
        <v>30</v>
      </c>
      <c r="AV25" s="128" t="str">
        <f t="shared" si="20"/>
        <v>183/76</v>
      </c>
      <c r="AW25" s="129" t="str">
        <f t="shared" ca="1" si="6"/>
        <v>Tokoš</v>
      </c>
      <c r="AX25" s="130" t="str">
        <f t="shared" ca="1" si="21"/>
        <v>2 OZ, 4 (3+1), +6 ±</v>
      </c>
      <c r="AY25" s="130" t="str">
        <f t="shared" ca="1" si="22"/>
        <v>235 OZ, 299 (186+113)</v>
      </c>
      <c r="AZ25" s="131"/>
      <c r="BA25" s="131"/>
      <c r="BB25" s="131"/>
      <c r="BC25" s="131"/>
      <c r="BD25" s="90" t="str">
        <f t="shared" si="7"/>
        <v>Tokoš</v>
      </c>
      <c r="BE25" s="92">
        <f t="shared" ca="1" si="8"/>
        <v>1</v>
      </c>
      <c r="BF25" s="91" t="str">
        <f t="shared" si="9"/>
        <v>M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1007</v>
      </c>
      <c r="BU25" s="104">
        <v>2</v>
      </c>
      <c r="BV25" s="105" t="str">
        <f t="shared" si="17"/>
        <v>Jiří Curney</v>
      </c>
      <c r="BW25" s="103">
        <f t="shared" si="18"/>
        <v>2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446</v>
      </c>
      <c r="AH26" s="123">
        <v>32329</v>
      </c>
      <c r="AI26" s="124">
        <v>218</v>
      </c>
      <c r="AJ26" s="124">
        <v>184</v>
      </c>
      <c r="AK26" s="124">
        <v>174</v>
      </c>
      <c r="AL26" s="125">
        <f t="shared" si="1"/>
        <v>358</v>
      </c>
      <c r="AM26" s="124">
        <v>12</v>
      </c>
      <c r="AN26" s="124">
        <v>7</v>
      </c>
      <c r="AO26" s="126"/>
      <c r="AP26" s="126" t="s">
        <v>163</v>
      </c>
      <c r="AQ26" s="124">
        <v>181</v>
      </c>
      <c r="AR26" s="124">
        <v>85</v>
      </c>
      <c r="AS26" s="127" t="s">
        <v>478</v>
      </c>
      <c r="AT26" s="124">
        <v>1995</v>
      </c>
      <c r="AU26" s="128">
        <f t="shared" ca="1" si="19"/>
        <v>33</v>
      </c>
      <c r="AV26" s="128" t="str">
        <f t="shared" si="20"/>
        <v>181/85</v>
      </c>
      <c r="AW26" s="129" t="str">
        <f t="shared" ca="1" si="6"/>
        <v>Tomašík</v>
      </c>
      <c r="AX26" s="130" t="str">
        <f t="shared" ca="1" si="21"/>
        <v>2 OZ, 2 (0+2), +2 ±</v>
      </c>
      <c r="AY26" s="130" t="str">
        <f t="shared" ca="1" si="22"/>
        <v>220 OZ, 360 (184+176)</v>
      </c>
      <c r="AZ26" s="131"/>
      <c r="BA26" s="131"/>
      <c r="BB26" s="131"/>
      <c r="BC26" s="131"/>
      <c r="BD26" s="3" t="str">
        <f t="shared" si="7"/>
        <v>Tomašík</v>
      </c>
      <c r="BE26" s="85">
        <f t="shared" ca="1" si="8"/>
        <v>1</v>
      </c>
      <c r="BF26" s="62" t="str">
        <f t="shared" si="9"/>
        <v>M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1010</v>
      </c>
      <c r="BU26" s="104">
        <v>2</v>
      </c>
      <c r="BV26" s="105" t="str">
        <f t="shared" si="17"/>
        <v>Milan Tomašík</v>
      </c>
      <c r="BW26" s="103">
        <f t="shared" si="18"/>
        <v>2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455</v>
      </c>
      <c r="AH27" s="123">
        <v>37659</v>
      </c>
      <c r="AI27" s="124">
        <v>1</v>
      </c>
      <c r="AJ27" s="124">
        <v>0</v>
      </c>
      <c r="AK27" s="124">
        <v>0</v>
      </c>
      <c r="AL27" s="125">
        <f t="shared" si="1"/>
        <v>0</v>
      </c>
      <c r="AM27" s="124">
        <v>2</v>
      </c>
      <c r="AN27" s="124">
        <v>31</v>
      </c>
      <c r="AO27" s="126"/>
      <c r="AP27" s="126"/>
      <c r="AQ27" s="124">
        <v>189</v>
      </c>
      <c r="AR27" s="124">
        <v>77</v>
      </c>
      <c r="AS27" s="127" t="s">
        <v>263</v>
      </c>
      <c r="AT27" s="124">
        <v>2009</v>
      </c>
      <c r="AU27" s="128">
        <f t="shared" ca="1" si="19"/>
        <v>18</v>
      </c>
      <c r="AV27" s="128" t="str">
        <f t="shared" si="20"/>
        <v>189/77</v>
      </c>
      <c r="AW27" s="129" t="str">
        <f t="shared" ca="1" si="6"/>
        <v>Tomšík</v>
      </c>
      <c r="AX27" s="130" t="str">
        <f t="shared" ca="1" si="21"/>
        <v>0 V, 0 P</v>
      </c>
      <c r="AY27" s="130" t="str">
        <f t="shared" ca="1" si="22"/>
        <v>1 OZ, 0 A</v>
      </c>
      <c r="AZ27" s="131"/>
      <c r="BA27" s="131"/>
      <c r="BB27" s="131"/>
      <c r="BC27" s="131"/>
      <c r="BD27" s="90" t="str">
        <f t="shared" si="7"/>
        <v>Tomšík</v>
      </c>
      <c r="BE27" s="92">
        <f t="shared" ca="1" si="8"/>
        <v>1</v>
      </c>
      <c r="BF27" s="91" t="str">
        <f t="shared" si="9"/>
        <v>O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1011</v>
      </c>
      <c r="BU27" s="104">
        <v>4</v>
      </c>
      <c r="BV27" s="105" t="str">
        <f t="shared" si="17"/>
        <v>Patrik Suchánek</v>
      </c>
      <c r="BW27" s="103">
        <f t="shared" si="18"/>
        <v>4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466</v>
      </c>
      <c r="AH28" s="123">
        <v>37307</v>
      </c>
      <c r="AI28" s="124">
        <v>3</v>
      </c>
      <c r="AJ28" s="124">
        <v>0</v>
      </c>
      <c r="AK28" s="124">
        <v>0</v>
      </c>
      <c r="AL28" s="125">
        <f t="shared" si="1"/>
        <v>0</v>
      </c>
      <c r="AM28" s="124">
        <v>3</v>
      </c>
      <c r="AN28" s="124">
        <v>2</v>
      </c>
      <c r="AO28" s="126"/>
      <c r="AP28" s="126" t="s">
        <v>163</v>
      </c>
      <c r="AQ28" s="124"/>
      <c r="AR28" s="124"/>
      <c r="AS28" s="127" t="s">
        <v>263</v>
      </c>
      <c r="AT28" s="124">
        <v>2010</v>
      </c>
      <c r="AU28" s="128">
        <f t="shared" ca="1" si="19"/>
        <v>19</v>
      </c>
      <c r="AV28" s="128" t="str">
        <f t="shared" si="20"/>
        <v>? / ?</v>
      </c>
      <c r="AW28" s="129" t="str">
        <f t="shared" ca="1" si="6"/>
        <v>Vyhnánek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22"/>
        <v>3 OZ, 0 (0+0)</v>
      </c>
      <c r="AZ28" s="131"/>
      <c r="BA28" s="131"/>
      <c r="BB28" s="131"/>
      <c r="BC28" s="131"/>
      <c r="BD28" s="3" t="str">
        <f t="shared" si="7"/>
        <v>Vyhnánek</v>
      </c>
      <c r="BE28" s="85">
        <f t="shared" ca="1" si="8"/>
        <v>1</v>
      </c>
      <c r="BF28" s="62" t="str">
        <f t="shared" si="9"/>
        <v>Z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490</v>
      </c>
      <c r="BU28" s="104">
        <v>2</v>
      </c>
      <c r="BV28" s="105" t="str">
        <f t="shared" si="17"/>
        <v>Martin Tokoš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452</v>
      </c>
      <c r="AH29" s="123">
        <v>36377</v>
      </c>
      <c r="AI29" s="124">
        <v>122</v>
      </c>
      <c r="AJ29" s="124">
        <v>18</v>
      </c>
      <c r="AK29" s="124">
        <v>25</v>
      </c>
      <c r="AL29" s="125">
        <f t="shared" si="1"/>
        <v>43</v>
      </c>
      <c r="AM29" s="124">
        <v>6</v>
      </c>
      <c r="AN29" s="124">
        <v>58</v>
      </c>
      <c r="AO29" s="126"/>
      <c r="AP29" s="126" t="s">
        <v>163</v>
      </c>
      <c r="AQ29" s="124">
        <v>186</v>
      </c>
      <c r="AR29" s="124">
        <v>78</v>
      </c>
      <c r="AS29" s="127" t="s">
        <v>473</v>
      </c>
      <c r="AT29" s="124">
        <v>2009</v>
      </c>
      <c r="AU29" s="128">
        <f t="shared" ca="1" si="19"/>
        <v>22</v>
      </c>
      <c r="AV29" s="128" t="str">
        <f t="shared" si="20"/>
        <v>186/78</v>
      </c>
      <c r="AW29" s="129" t="str">
        <f t="shared" ca="1" si="6"/>
        <v>Zakonov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0 (0+0), +3 ±</v>
      </c>
      <c r="AY29" s="130" t="str">
        <f t="shared" ca="1" si="22"/>
        <v>124 OZ, 43 (18+25)</v>
      </c>
      <c r="AZ29" s="131"/>
      <c r="BA29" s="131"/>
      <c r="BB29" s="131"/>
      <c r="BC29" s="131"/>
      <c r="BD29" s="90" t="str">
        <f t="shared" si="7"/>
        <v>Zakonov</v>
      </c>
      <c r="BE29" s="92">
        <f t="shared" ca="1" si="8"/>
        <v>1</v>
      </c>
      <c r="BF29" s="91" t="str">
        <f t="shared" si="9"/>
        <v>F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1012</v>
      </c>
      <c r="BU29" s="104">
        <v>0</v>
      </c>
      <c r="BV29" s="105" t="str">
        <f t="shared" si="17"/>
        <v>Adam Hemerka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MB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 t="s">
        <v>444</v>
      </c>
      <c r="AH30" s="123">
        <v>37744</v>
      </c>
      <c r="AI30" s="124">
        <v>25</v>
      </c>
      <c r="AJ30" s="124">
        <v>6</v>
      </c>
      <c r="AK30" s="124">
        <v>5</v>
      </c>
      <c r="AL30" s="125">
        <f t="shared" si="1"/>
        <v>11</v>
      </c>
      <c r="AM30" s="124">
        <v>2</v>
      </c>
      <c r="AN30" s="124">
        <v>39</v>
      </c>
      <c r="AO30" s="126"/>
      <c r="AP30" s="126" t="s">
        <v>163</v>
      </c>
      <c r="AQ30" s="124">
        <v>185</v>
      </c>
      <c r="AR30" s="124">
        <v>71</v>
      </c>
      <c r="AS30" s="127" t="s">
        <v>473</v>
      </c>
      <c r="AT30" s="124">
        <v>2011</v>
      </c>
      <c r="AU30" s="128">
        <f t="shared" ca="1" si="19"/>
        <v>18</v>
      </c>
      <c r="AV30" s="128" t="str">
        <f t="shared" si="20"/>
        <v>185/71</v>
      </c>
      <c r="AW30" s="129" t="str">
        <f t="shared" ca="1" si="6"/>
        <v>Zoufalý</v>
      </c>
      <c r="AX30" s="130" t="str">
        <f t="shared" ca="1" si="23"/>
        <v>2 OZ, 1 (1+0), +1 ±</v>
      </c>
      <c r="AY30" s="130" t="str">
        <f t="shared" ca="1" si="22"/>
        <v>27 OZ, 12 (7+5)</v>
      </c>
      <c r="AZ30" s="131"/>
      <c r="BA30" s="131"/>
      <c r="BB30" s="131"/>
      <c r="BC30" s="131"/>
      <c r="BD30" s="3" t="str">
        <f t="shared" si="7"/>
        <v>Zoufalý</v>
      </c>
      <c r="BE30" s="85">
        <f t="shared" ca="1" si="8"/>
        <v>1</v>
      </c>
      <c r="BF30" s="62" t="str">
        <f t="shared" si="9"/>
        <v>J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1"/>
        <v>0</v>
      </c>
      <c r="BK30" s="3" t="str">
        <f t="shared" ca="1" si="13"/>
        <v/>
      </c>
      <c r="BL30" s="62">
        <f t="shared" ca="1" si="14"/>
        <v>0</v>
      </c>
      <c r="BM30" s="3" t="str">
        <f t="shared" ca="1" si="15"/>
        <v/>
      </c>
      <c r="BS30" s="361"/>
      <c r="BT30" s="105" t="s">
        <v>1013</v>
      </c>
      <c r="BU30" s="104">
        <v>0</v>
      </c>
      <c r="BV30" s="105" t="str">
        <f t="shared" si="17"/>
        <v>Daniel Šebek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6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492</v>
      </c>
      <c r="BU31" s="104">
        <v>0</v>
      </c>
      <c r="BV31" s="105" t="str">
        <f t="shared" si="17"/>
        <v>Dominik Beneš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6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6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6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6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6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450</v>
      </c>
      <c r="T45" s="103">
        <v>2</v>
      </c>
      <c r="U45" s="113">
        <v>121.02</v>
      </c>
      <c r="V45" s="103">
        <v>2</v>
      </c>
      <c r="W45" s="103">
        <v>6</v>
      </c>
      <c r="X45" s="103">
        <v>0</v>
      </c>
      <c r="Y45" s="103">
        <v>23</v>
      </c>
      <c r="Z45" s="103">
        <v>0</v>
      </c>
      <c r="AA45" s="103">
        <v>0</v>
      </c>
      <c r="AB45" s="103">
        <v>17</v>
      </c>
      <c r="AC45" s="103">
        <v>0</v>
      </c>
      <c r="AD45" s="103">
        <v>0</v>
      </c>
      <c r="AE45" s="113">
        <f>IF(S45&lt;&gt;"",IF(T45&gt;0,W45/(U45/60),0),"")</f>
        <v>2.974714923153198</v>
      </c>
      <c r="AF45" s="113">
        <f>IF(S45&lt;&gt;"",IF(Y45&gt;0,(AB45/Y45)*100,"-"),"")</f>
        <v>73.91304347826086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455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869</v>
      </c>
      <c r="U2" s="103">
        <v>2</v>
      </c>
      <c r="V2" s="103">
        <v>5</v>
      </c>
      <c r="W2" s="103">
        <v>1</v>
      </c>
      <c r="X2" s="103">
        <v>0</v>
      </c>
      <c r="Y2" s="103">
        <v>2</v>
      </c>
      <c r="Z2" s="103">
        <v>7</v>
      </c>
      <c r="AA2" s="103">
        <v>0</v>
      </c>
      <c r="AB2" s="103">
        <v>5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874</v>
      </c>
      <c r="AH2" s="123"/>
      <c r="AI2" s="124"/>
      <c r="AJ2" s="124"/>
      <c r="AK2" s="124"/>
      <c r="AL2" s="125">
        <f t="shared" ref="AL2:AL19" si="1"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t="shared" ref="AU2:AU23" ca="1" si="2">IF(AG2&lt;&gt;"",IF(AH2&lt;&gt;"",INT((TODAY()-AH2)/365),"?"),"")</f>
        <v>?</v>
      </c>
      <c r="AV2" s="128" t="str">
        <f t="shared" ref="AV2:AV23" si="3">IF(AG2&lt;&gt;"",CONCATENATE(IF(AQ2&lt;&gt;"",AQ2,"? "),"/",IF(AR2&lt;&gt;"",AR2," ?")),"")</f>
        <v>? / ?</v>
      </c>
      <c r="AW2" s="129" t="str">
        <f t="shared" ref="AW2:AW19" ca="1" si="4">IF(AG2&lt;&gt;"",IF(BE2=1,BD2,IF(BH2=1,BG2,IF(BJ2=1,BI2,IF(BL2=1,BK2,BM2)))),"")</f>
        <v>Binder</v>
      </c>
      <c r="AX2" s="130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0 P</v>
      </c>
      <c r="AY2" s="130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1"/>
      <c r="BA2" s="131"/>
      <c r="BB2" s="131"/>
      <c r="BC2" s="131"/>
      <c r="BD2" s="3" t="str">
        <f>IF(AG2&lt;&gt;"",RIGHT(AG2,LEN(AG2)-SEARCH(" ",AG2)),"")</f>
        <v>Binder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61" t="s">
        <v>36</v>
      </c>
      <c r="BT2" s="105" t="s">
        <v>883</v>
      </c>
      <c r="BU2" s="104">
        <v>7</v>
      </c>
      <c r="BV2" s="105" t="str">
        <f>IFERROR(RIGHT(BT2,LEN(BT2)-SEARCH(" ",BT2)),"")</f>
        <v>Wojciech Malajka</v>
      </c>
      <c r="BW2" s="103">
        <f>IF(BT2&lt;&gt;0,_xlfn.NUMBERVALUE(BU2,","),"")</f>
        <v>7</v>
      </c>
      <c r="BX2" s="360" t="s">
        <v>233</v>
      </c>
      <c r="BY2" s="104" t="s">
        <v>225</v>
      </c>
      <c r="BZ2" s="104" t="s">
        <v>5</v>
      </c>
      <c r="CA2" s="116" t="s">
        <v>1018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398</v>
      </c>
      <c r="T3" s="103" t="s">
        <v>68</v>
      </c>
      <c r="U3" s="103">
        <v>2</v>
      </c>
      <c r="V3" s="103">
        <v>2</v>
      </c>
      <c r="W3" s="103">
        <v>0</v>
      </c>
      <c r="X3" s="103">
        <v>0</v>
      </c>
      <c r="Y3" s="103">
        <v>3</v>
      </c>
      <c r="Z3" s="103">
        <v>5</v>
      </c>
      <c r="AA3" s="103">
        <v>0</v>
      </c>
      <c r="AB3" s="103">
        <v>5</v>
      </c>
      <c r="AC3" s="103" t="str">
        <f t="shared" ca="1" si="0"/>
        <v>ANO</v>
      </c>
      <c r="AG3" s="122" t="s">
        <v>581</v>
      </c>
      <c r="AH3" s="123"/>
      <c r="AI3" s="124"/>
      <c r="AJ3" s="124"/>
      <c r="AK3" s="124"/>
      <c r="AL3" s="125">
        <f t="shared" si="1"/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t="shared" ca="1" si="2"/>
        <v>?</v>
      </c>
      <c r="AV3" s="128" t="str">
        <f t="shared" si="3"/>
        <v>? / ?</v>
      </c>
      <c r="AW3" s="129" t="str">
        <f t="shared" ca="1" si="4"/>
        <v>Gál</v>
      </c>
      <c r="AX3" s="130" t="str">
        <f t="shared" ca="1" si="5"/>
        <v>2 OZ, 3 (3+0), +5 ±</v>
      </c>
      <c r="AY3" s="130" t="str">
        <f t="shared" ca="1" si="6"/>
        <v>2 OZ, 3 (3+0)</v>
      </c>
      <c r="AZ3" s="131"/>
      <c r="BA3" s="131"/>
      <c r="BB3" s="131"/>
      <c r="BC3" s="131"/>
      <c r="BD3" s="90" t="str">
        <f t="shared" ref="BD3:BD50" si="7">IF(AG3&lt;&gt;"",RIGHT(AG3,LEN(AG3)-SEARCH(" ",AG3)),"")</f>
        <v>Gál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L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6">IF(BN3&lt;&gt;"",IF(BO3&lt;&gt;"",INT((TODAY()-BO3)/365),"?"),"")</f>
        <v/>
      </c>
      <c r="BS3" s="361"/>
      <c r="BT3" s="105" t="s">
        <v>884</v>
      </c>
      <c r="BU3" s="104">
        <v>5</v>
      </c>
      <c r="BV3" s="105" t="str">
        <f t="shared" ref="BV3:BV31" si="17">IFERROR(RIGHT(BT3,LEN(BT3)-SEARCH(" ",BT3)),"")</f>
        <v>Šimon Kuczera</v>
      </c>
      <c r="BW3" s="103">
        <f t="shared" ref="BW3:BW31" si="18">IF(BT3&lt;&gt;0,_xlfn.NUMBERVALUE(BU3,","),"")</f>
        <v>5</v>
      </c>
      <c r="BX3" s="360"/>
      <c r="BY3" s="104" t="s">
        <v>224</v>
      </c>
      <c r="BZ3" s="104" t="s">
        <v>105</v>
      </c>
      <c r="CA3" s="116" t="s">
        <v>892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870</v>
      </c>
      <c r="T4" s="103" t="s">
        <v>133</v>
      </c>
      <c r="U4" s="103">
        <v>2</v>
      </c>
      <c r="V4" s="103">
        <v>1</v>
      </c>
      <c r="W4" s="103">
        <v>1</v>
      </c>
      <c r="X4" s="103">
        <v>0</v>
      </c>
      <c r="Y4" s="103">
        <v>4</v>
      </c>
      <c r="Z4" s="103">
        <v>5</v>
      </c>
      <c r="AA4" s="103">
        <v>0</v>
      </c>
      <c r="AB4" s="103">
        <v>-1</v>
      </c>
      <c r="AC4" s="103" t="str">
        <f t="shared" ca="1" si="0"/>
        <v>ANO</v>
      </c>
      <c r="AG4" s="122" t="s">
        <v>878</v>
      </c>
      <c r="AH4" s="123"/>
      <c r="AI4" s="124"/>
      <c r="AJ4" s="124"/>
      <c r="AK4" s="124"/>
      <c r="AL4" s="125">
        <f t="shared" si="1"/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t="shared" ca="1" si="2"/>
        <v>?</v>
      </c>
      <c r="AV4" s="128" t="str">
        <f t="shared" si="3"/>
        <v>? / ?</v>
      </c>
      <c r="AW4" s="129" t="str">
        <f t="shared" ca="1" si="4"/>
        <v>Herblich</v>
      </c>
      <c r="AX4" s="130" t="str">
        <f t="shared" ca="1" si="5"/>
        <v>2 OZ, 0 (0+0), -1 ±</v>
      </c>
      <c r="AY4" s="130" t="str">
        <f t="shared" ca="1" si="6"/>
        <v>2 OZ, 0 (0+0)</v>
      </c>
      <c r="AZ4" s="131"/>
      <c r="BA4" s="131"/>
      <c r="BB4" s="131"/>
      <c r="BC4" s="131"/>
      <c r="BD4" s="3" t="str">
        <f t="shared" si="7"/>
        <v>Herblich</v>
      </c>
      <c r="BE4" s="85">
        <f t="shared" ca="1" si="8"/>
        <v>1</v>
      </c>
      <c r="BF4" s="62" t="str">
        <f t="shared" si="9"/>
        <v>L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/>
      <c r="BO4" s="123"/>
      <c r="BP4" s="132"/>
      <c r="BQ4" s="133"/>
      <c r="BR4" s="128" t="str">
        <f t="shared" ca="1" si="16"/>
        <v/>
      </c>
      <c r="BS4" s="361"/>
      <c r="BT4" s="105" t="s">
        <v>1019</v>
      </c>
      <c r="BU4" s="104">
        <v>5</v>
      </c>
      <c r="BV4" s="105" t="str">
        <f t="shared" si="17"/>
        <v>Michal Sládek</v>
      </c>
      <c r="BW4" s="103">
        <f t="shared" si="18"/>
        <v>5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872</v>
      </c>
      <c r="U5" s="103">
        <v>2</v>
      </c>
      <c r="V5" s="103">
        <v>3</v>
      </c>
      <c r="W5" s="103">
        <v>1</v>
      </c>
      <c r="X5" s="103">
        <v>0</v>
      </c>
      <c r="Y5" s="103">
        <v>1</v>
      </c>
      <c r="Z5" s="103">
        <v>4</v>
      </c>
      <c r="AA5" s="103">
        <v>2</v>
      </c>
      <c r="AB5" s="103">
        <v>-1</v>
      </c>
      <c r="AC5" s="103" t="str">
        <f t="shared" ca="1" si="0"/>
        <v>ANO</v>
      </c>
      <c r="AG5" s="122" t="s">
        <v>880</v>
      </c>
      <c r="AH5" s="123"/>
      <c r="AI5" s="124"/>
      <c r="AJ5" s="124"/>
      <c r="AK5" s="124"/>
      <c r="AL5" s="125">
        <f t="shared" si="1"/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t="shared" ca="1" si="2"/>
        <v>?</v>
      </c>
      <c r="AV5" s="128" t="str">
        <f t="shared" si="3"/>
        <v>? / ?</v>
      </c>
      <c r="AW5" s="129" t="str">
        <f t="shared" ca="1" si="4"/>
        <v>Hurta</v>
      </c>
      <c r="AX5" s="130" t="str">
        <f t="shared" ca="1" si="5"/>
        <v>2 OZ, 0 (0+0), -1 ±</v>
      </c>
      <c r="AY5" s="130" t="str">
        <f t="shared" ca="1" si="6"/>
        <v>2 OZ, 0 (0+0)</v>
      </c>
      <c r="AZ5" s="131"/>
      <c r="BA5" s="131"/>
      <c r="BB5" s="131"/>
      <c r="BC5" s="131"/>
      <c r="BD5" s="90" t="str">
        <f t="shared" si="7"/>
        <v>Hurta</v>
      </c>
      <c r="BE5" s="92">
        <f t="shared" ca="1" si="8"/>
        <v>1</v>
      </c>
      <c r="BF5" s="91" t="str">
        <f t="shared" si="9"/>
        <v>P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/>
      <c r="BO5" s="123"/>
      <c r="BP5" s="132"/>
      <c r="BQ5" s="133"/>
      <c r="BR5" s="128" t="str">
        <f t="shared" ca="1" si="16"/>
        <v/>
      </c>
      <c r="BS5" s="361"/>
      <c r="BT5" s="105" t="s">
        <v>1020</v>
      </c>
      <c r="BU5" s="104">
        <v>4</v>
      </c>
      <c r="BV5" s="105" t="str">
        <f t="shared" si="17"/>
        <v>Daniel Chatrný</v>
      </c>
      <c r="BW5" s="103">
        <f t="shared" si="18"/>
        <v>4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871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3</v>
      </c>
      <c r="Z6" s="103">
        <v>4</v>
      </c>
      <c r="AA6" s="103">
        <v>0</v>
      </c>
      <c r="AB6" s="103">
        <v>5</v>
      </c>
      <c r="AC6" s="103" t="str">
        <f t="shared" ca="1" si="0"/>
        <v>ANO</v>
      </c>
      <c r="AG6" s="122" t="s">
        <v>872</v>
      </c>
      <c r="AH6" s="123"/>
      <c r="AI6" s="124"/>
      <c r="AJ6" s="124"/>
      <c r="AK6" s="124"/>
      <c r="AL6" s="125">
        <f t="shared" si="1"/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t="shared" ca="1" si="2"/>
        <v>?</v>
      </c>
      <c r="AV6" s="128" t="str">
        <f t="shared" si="3"/>
        <v>? / ?</v>
      </c>
      <c r="AW6" s="129" t="str">
        <f t="shared" ca="1" si="4"/>
        <v>Chatrný</v>
      </c>
      <c r="AX6" s="130" t="str">
        <f t="shared" ca="1" si="5"/>
        <v>2 OZ, 4 (3+1), -1 ±</v>
      </c>
      <c r="AY6" s="130" t="str">
        <f t="shared" ca="1" si="6"/>
        <v>2 OZ, 4 (3+1)</v>
      </c>
      <c r="AZ6" s="131"/>
      <c r="BA6" s="131"/>
      <c r="BB6" s="131"/>
      <c r="BC6" s="131"/>
      <c r="BD6" s="3" t="str">
        <f t="shared" si="7"/>
        <v>Chatrný</v>
      </c>
      <c r="BE6" s="85">
        <f t="shared" ca="1" si="8"/>
        <v>1</v>
      </c>
      <c r="BF6" s="62" t="str">
        <f t="shared" si="9"/>
        <v>D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/>
      <c r="BO6" s="123"/>
      <c r="BP6" s="132"/>
      <c r="BQ6" s="133"/>
      <c r="BR6" s="128" t="str">
        <f t="shared" ca="1" si="16"/>
        <v/>
      </c>
      <c r="BS6" s="361"/>
      <c r="BT6" s="105" t="s">
        <v>1021</v>
      </c>
      <c r="BU6" s="104">
        <v>4</v>
      </c>
      <c r="BV6" s="105" t="str">
        <f t="shared" si="17"/>
        <v>Lukáš Pešat</v>
      </c>
      <c r="BW6" s="103">
        <f t="shared" si="18"/>
        <v>4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581</v>
      </c>
      <c r="T7" s="103" t="s">
        <v>133</v>
      </c>
      <c r="U7" s="103">
        <v>2</v>
      </c>
      <c r="V7" s="103">
        <v>3</v>
      </c>
      <c r="W7" s="103">
        <v>0</v>
      </c>
      <c r="X7" s="103">
        <v>0</v>
      </c>
      <c r="Y7" s="103">
        <v>0</v>
      </c>
      <c r="Z7" s="103">
        <v>3</v>
      </c>
      <c r="AA7" s="103">
        <v>0</v>
      </c>
      <c r="AB7" s="103">
        <v>5</v>
      </c>
      <c r="AC7" s="103" t="str">
        <f t="shared" ca="1" si="0"/>
        <v>ANO</v>
      </c>
      <c r="AG7" s="122" t="s">
        <v>395</v>
      </c>
      <c r="AH7" s="123"/>
      <c r="AI7" s="124"/>
      <c r="AJ7" s="124"/>
      <c r="AK7" s="124"/>
      <c r="AL7" s="125">
        <f t="shared" si="1"/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t="shared" ca="1" si="2"/>
        <v>?</v>
      </c>
      <c r="AV7" s="128" t="str">
        <f t="shared" si="3"/>
        <v>? / ?</v>
      </c>
      <c r="AW7" s="129" t="str">
        <f t="shared" ca="1" si="4"/>
        <v>Choma</v>
      </c>
      <c r="AX7" s="130" t="str">
        <f t="shared" ca="1" si="5"/>
        <v>2 OZ, 0 (0+0), -2 ±</v>
      </c>
      <c r="AY7" s="130" t="str">
        <f t="shared" ca="1" si="6"/>
        <v>2 OZ, 0 (0+0)</v>
      </c>
      <c r="AZ7" s="131"/>
      <c r="BA7" s="131"/>
      <c r="BB7" s="131"/>
      <c r="BC7" s="131"/>
      <c r="BD7" s="90" t="str">
        <f t="shared" si="7"/>
        <v>Choma</v>
      </c>
      <c r="BE7" s="92">
        <f t="shared" ca="1" si="8"/>
        <v>1</v>
      </c>
      <c r="BF7" s="91" t="str">
        <f t="shared" si="9"/>
        <v>A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886</v>
      </c>
      <c r="BU7" s="104" t="s">
        <v>1022</v>
      </c>
      <c r="BV7" s="105" t="str">
        <f t="shared" si="17"/>
        <v>Jan Binder</v>
      </c>
      <c r="BW7" s="113">
        <f t="shared" si="18"/>
        <v>3.26</v>
      </c>
      <c r="BX7" s="360" t="s">
        <v>234</v>
      </c>
      <c r="BY7" s="104" t="s">
        <v>227</v>
      </c>
      <c r="BZ7" s="104" t="s">
        <v>106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103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882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0</v>
      </c>
      <c r="AB8" s="103">
        <v>5</v>
      </c>
      <c r="AC8" s="103" t="str">
        <f t="shared" ca="1" si="0"/>
        <v>ANO</v>
      </c>
      <c r="AG8" s="122" t="s">
        <v>873</v>
      </c>
      <c r="AH8" s="123"/>
      <c r="AI8" s="124"/>
      <c r="AJ8" s="124"/>
      <c r="AK8" s="124"/>
      <c r="AL8" s="125">
        <f t="shared" si="1"/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t="shared" ca="1" si="2"/>
        <v>?</v>
      </c>
      <c r="AV8" s="128" t="str">
        <f t="shared" si="3"/>
        <v>? / ?</v>
      </c>
      <c r="AW8" s="129" t="str">
        <f t="shared" ca="1" si="4"/>
        <v>Jakubec</v>
      </c>
      <c r="AX8" s="130" t="str">
        <f t="shared" ca="1" si="5"/>
        <v>2 OZ, 0 (0+0), -1 ±</v>
      </c>
      <c r="AY8" s="130" t="str">
        <f t="shared" ca="1" si="6"/>
        <v>2 OZ, 0 (0+0)</v>
      </c>
      <c r="AZ8" s="131"/>
      <c r="BA8" s="131"/>
      <c r="BB8" s="131"/>
      <c r="BC8" s="131"/>
      <c r="BD8" s="3" t="str">
        <f t="shared" si="7"/>
        <v>Jakubec</v>
      </c>
      <c r="BE8" s="85">
        <f t="shared" ca="1" si="8"/>
        <v>1</v>
      </c>
      <c r="BF8" s="62" t="str">
        <f t="shared" si="9"/>
        <v>M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887</v>
      </c>
      <c r="BU8" s="104" t="s">
        <v>216</v>
      </c>
      <c r="BV8" s="105" t="str">
        <f t="shared" si="17"/>
        <v>Jan Klinka</v>
      </c>
      <c r="BW8" s="113">
        <f t="shared" si="18"/>
        <v>0</v>
      </c>
      <c r="BX8" s="360"/>
      <c r="BY8" s="104" t="s">
        <v>228</v>
      </c>
      <c r="BZ8" s="104" t="s">
        <v>109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875</v>
      </c>
      <c r="T9" s="103" t="s">
        <v>131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882</v>
      </c>
      <c r="AH9" s="123"/>
      <c r="AI9" s="124"/>
      <c r="AJ9" s="124"/>
      <c r="AK9" s="124"/>
      <c r="AL9" s="125">
        <f t="shared" si="1"/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t="shared" ca="1" si="2"/>
        <v>?</v>
      </c>
      <c r="AV9" s="128" t="str">
        <f t="shared" si="3"/>
        <v>? / ?</v>
      </c>
      <c r="AW9" s="129" t="str">
        <f t="shared" ca="1" si="4"/>
        <v>Klimscha</v>
      </c>
      <c r="AX9" s="130" t="str">
        <f t="shared" ca="1" si="5"/>
        <v>2 OZ, 1 (0+1), +5 ±</v>
      </c>
      <c r="AY9" s="130" t="str">
        <f t="shared" ca="1" si="6"/>
        <v>2 OZ, 1 (0+1)</v>
      </c>
      <c r="AZ9" s="131"/>
      <c r="BA9" s="131"/>
      <c r="BB9" s="131"/>
      <c r="BC9" s="131"/>
      <c r="BD9" s="90" t="str">
        <f t="shared" si="7"/>
        <v>Klimscha</v>
      </c>
      <c r="BE9" s="92">
        <f t="shared" ca="1" si="8"/>
        <v>1</v>
      </c>
      <c r="BF9" s="91" t="str">
        <f t="shared" si="9"/>
        <v>D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T9" s="105" t="s">
        <v>1023</v>
      </c>
      <c r="BU9" s="104" t="s">
        <v>216</v>
      </c>
      <c r="BV9" s="105" t="str">
        <f t="shared" si="17"/>
        <v>Martin Janík</v>
      </c>
      <c r="BW9" s="113">
        <f t="shared" si="18"/>
        <v>0</v>
      </c>
      <c r="BX9" s="360"/>
      <c r="BY9" s="104" t="s">
        <v>297</v>
      </c>
      <c r="BZ9" s="104" t="s">
        <v>23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601</v>
      </c>
      <c r="T10" s="103" t="s">
        <v>68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2</v>
      </c>
      <c r="AB10" s="103">
        <v>-1</v>
      </c>
      <c r="AC10" s="103" t="str">
        <f t="shared" ca="1" si="0"/>
        <v>ANO</v>
      </c>
      <c r="AG10" s="122" t="s">
        <v>875</v>
      </c>
      <c r="AH10" s="123"/>
      <c r="AI10" s="124"/>
      <c r="AJ10" s="124"/>
      <c r="AK10" s="124"/>
      <c r="AL10" s="125">
        <f t="shared" si="1"/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t="shared" ca="1" si="2"/>
        <v>?</v>
      </c>
      <c r="AV10" s="128" t="str">
        <f t="shared" si="3"/>
        <v>? / ?</v>
      </c>
      <c r="AW10" s="129" t="str">
        <f t="shared" ca="1" si="4"/>
        <v>Klinka</v>
      </c>
      <c r="AX10" s="130" t="str">
        <f t="shared" ca="1" si="5"/>
        <v>0 V, 0 P</v>
      </c>
      <c r="AY10" s="130" t="str">
        <f t="shared" ca="1" si="6"/>
        <v>0 OZ, 0 A</v>
      </c>
      <c r="AZ10" s="131"/>
      <c r="BA10" s="131"/>
      <c r="BB10" s="131"/>
      <c r="BC10" s="131"/>
      <c r="BD10" s="3" t="str">
        <f t="shared" si="7"/>
        <v>Klinka</v>
      </c>
      <c r="BE10" s="85">
        <f t="shared" ca="1" si="8"/>
        <v>1</v>
      </c>
      <c r="BF10" s="62" t="str">
        <f t="shared" si="9"/>
        <v>J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24</v>
      </c>
      <c r="CA10" s="116" t="s">
        <v>226</v>
      </c>
    </row>
    <row r="11" spans="1:79" ht="15" customHeight="1" thickTop="1" thickBot="1" x14ac:dyDescent="0.25">
      <c r="R11" s="13"/>
      <c r="S11" s="111" t="s">
        <v>1016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398</v>
      </c>
      <c r="AH11" s="123"/>
      <c r="AI11" s="124"/>
      <c r="AJ11" s="124"/>
      <c r="AK11" s="124"/>
      <c r="AL11" s="125">
        <f t="shared" si="1"/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t="shared" ca="1" si="2"/>
        <v>?</v>
      </c>
      <c r="AV11" s="128" t="str">
        <f t="shared" si="3"/>
        <v>? / ?</v>
      </c>
      <c r="AW11" s="129" t="str">
        <f t="shared" ca="1" si="4"/>
        <v>Kuczera</v>
      </c>
      <c r="AX11" s="130" t="str">
        <f t="shared" ca="1" si="5"/>
        <v>2 OZ, 5 (2+3), +5 ±</v>
      </c>
      <c r="AY11" s="130" t="str">
        <f t="shared" ca="1" si="6"/>
        <v>2 OZ, 5 (2+3)</v>
      </c>
      <c r="AZ11" s="131"/>
      <c r="BA11" s="131"/>
      <c r="BB11" s="131"/>
      <c r="BC11" s="131"/>
      <c r="BD11" s="90" t="str">
        <f t="shared" si="7"/>
        <v>Kuczera</v>
      </c>
      <c r="BE11" s="92">
        <f t="shared" ca="1" si="8"/>
        <v>1</v>
      </c>
      <c r="BF11" s="91" t="str">
        <f t="shared" si="9"/>
        <v>Š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101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1017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NE</v>
      </c>
      <c r="AG12" s="122" t="s">
        <v>877</v>
      </c>
      <c r="AH12" s="123"/>
      <c r="AI12" s="124"/>
      <c r="AJ12" s="124"/>
      <c r="AK12" s="124"/>
      <c r="AL12" s="125">
        <f t="shared" si="1"/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t="shared" ca="1" si="2"/>
        <v>?</v>
      </c>
      <c r="AV12" s="128" t="str">
        <f t="shared" si="3"/>
        <v>? / ?</v>
      </c>
      <c r="AW12" s="129" t="str">
        <f t="shared" ca="1" si="4"/>
        <v>Lípový</v>
      </c>
      <c r="AX12" s="130" t="str">
        <f t="shared" ca="1" si="5"/>
        <v>2 OZ, 0 (0+0), -2 ±</v>
      </c>
      <c r="AY12" s="130" t="str">
        <f t="shared" ca="1" si="6"/>
        <v>2 OZ, 0 (0+0)</v>
      </c>
      <c r="AZ12" s="131"/>
      <c r="BA12" s="131"/>
      <c r="BB12" s="131"/>
      <c r="BC12" s="131"/>
      <c r="BD12" s="3" t="str">
        <f t="shared" si="7"/>
        <v>Lípový</v>
      </c>
      <c r="BE12" s="85">
        <f t="shared" ca="1" si="8"/>
        <v>1</v>
      </c>
      <c r="BF12" s="62" t="str">
        <f t="shared" si="9"/>
        <v>M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883</v>
      </c>
      <c r="BU12" s="104">
        <v>5</v>
      </c>
      <c r="BV12" s="105" t="str">
        <f t="shared" si="17"/>
        <v>Wojciech Malajka</v>
      </c>
      <c r="BW12" s="103">
        <f t="shared" si="18"/>
        <v>5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1014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869</v>
      </c>
      <c r="AH13" s="123"/>
      <c r="AI13" s="124"/>
      <c r="AJ13" s="124"/>
      <c r="AK13" s="124"/>
      <c r="AL13" s="125">
        <f t="shared" si="1"/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t="shared" ca="1" si="2"/>
        <v>?</v>
      </c>
      <c r="AV13" s="128" t="str">
        <f t="shared" si="3"/>
        <v>? / ?</v>
      </c>
      <c r="AW13" s="129" t="str">
        <f t="shared" ca="1" si="4"/>
        <v>Malajka</v>
      </c>
      <c r="AX13" s="130" t="str">
        <f t="shared" ca="1" si="5"/>
        <v>2 OZ, 7 (5+2), +5 ±</v>
      </c>
      <c r="AY13" s="130" t="str">
        <f t="shared" ca="1" si="6"/>
        <v>2 OZ, 7 (5+2)</v>
      </c>
      <c r="AZ13" s="131"/>
      <c r="BA13" s="131"/>
      <c r="BB13" s="131"/>
      <c r="BC13" s="131"/>
      <c r="BD13" s="90" t="str">
        <f t="shared" si="7"/>
        <v>Malajka</v>
      </c>
      <c r="BE13" s="92">
        <f t="shared" ca="1" si="8"/>
        <v>1</v>
      </c>
      <c r="BF13" s="91" t="str">
        <f t="shared" si="9"/>
        <v>W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888</v>
      </c>
      <c r="BU13" s="104">
        <v>3</v>
      </c>
      <c r="BV13" s="105" t="str">
        <f t="shared" si="17"/>
        <v>Daniel Chatrný</v>
      </c>
      <c r="BW13" s="103">
        <f t="shared" si="18"/>
        <v>3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1015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NE</v>
      </c>
      <c r="AG14" s="122" t="s">
        <v>871</v>
      </c>
      <c r="AH14" s="123"/>
      <c r="AI14" s="124"/>
      <c r="AJ14" s="124"/>
      <c r="AK14" s="124"/>
      <c r="AL14" s="125">
        <f t="shared" si="1"/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t="shared" ca="1" si="2"/>
        <v>?</v>
      </c>
      <c r="AV14" s="128" t="str">
        <f t="shared" si="3"/>
        <v>? / ?</v>
      </c>
      <c r="AW14" s="129" t="str">
        <f t="shared" ca="1" si="4"/>
        <v>Pešat</v>
      </c>
      <c r="AX14" s="130" t="str">
        <f t="shared" ca="1" si="5"/>
        <v>2 OZ, 4 (1+3), +5 ±</v>
      </c>
      <c r="AY14" s="130" t="str">
        <f t="shared" ca="1" si="6"/>
        <v>2 OZ, 4 (1+3)</v>
      </c>
      <c r="AZ14" s="131"/>
      <c r="BA14" s="131"/>
      <c r="BB14" s="131"/>
      <c r="BC14" s="131"/>
      <c r="BD14" s="3" t="str">
        <f t="shared" si="7"/>
        <v>Pešat</v>
      </c>
      <c r="BE14" s="85">
        <f t="shared" ca="1" si="8"/>
        <v>1</v>
      </c>
      <c r="BF14" s="62" t="str">
        <f t="shared" si="9"/>
        <v>L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889</v>
      </c>
      <c r="BU14" s="104">
        <v>3</v>
      </c>
      <c r="BV14" s="105" t="str">
        <f t="shared" si="17"/>
        <v>Ladislav Gál</v>
      </c>
      <c r="BW14" s="103">
        <f t="shared" si="18"/>
        <v>3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874</v>
      </c>
      <c r="T15" s="103" t="s">
        <v>131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0</v>
      </c>
      <c r="AC15" s="103" t="str">
        <f t="shared" ca="1" si="0"/>
        <v>ANO</v>
      </c>
      <c r="AG15" s="122" t="s">
        <v>876</v>
      </c>
      <c r="AH15" s="123"/>
      <c r="AI15" s="124"/>
      <c r="AJ15" s="124"/>
      <c r="AK15" s="124"/>
      <c r="AL15" s="125">
        <f t="shared" si="1"/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t="shared" ca="1" si="2"/>
        <v>?</v>
      </c>
      <c r="AV15" s="128" t="str">
        <f t="shared" si="3"/>
        <v>? / ?</v>
      </c>
      <c r="AW15" s="129" t="str">
        <f t="shared" ca="1" si="4"/>
        <v>Repček</v>
      </c>
      <c r="AX15" s="130" t="str">
        <f t="shared" ca="1" si="5"/>
        <v>2 OZ, 0 (0+0), 0 ±</v>
      </c>
      <c r="AY15" s="130" t="str">
        <f t="shared" ca="1" si="6"/>
        <v>2 OZ, 0 (0+0)</v>
      </c>
      <c r="AZ15" s="131"/>
      <c r="BA15" s="131"/>
      <c r="BB15" s="131"/>
      <c r="BC15" s="131"/>
      <c r="BD15" s="90" t="str">
        <f t="shared" si="7"/>
        <v>Repček</v>
      </c>
      <c r="BE15" s="92">
        <f t="shared" ca="1" si="8"/>
        <v>1</v>
      </c>
      <c r="BF15" s="91" t="str">
        <f t="shared" si="9"/>
        <v>V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890</v>
      </c>
      <c r="BU15" s="104">
        <v>2</v>
      </c>
      <c r="BV15" s="105" t="str">
        <f t="shared" si="17"/>
        <v>Šimon Kuczera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395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-2</v>
      </c>
      <c r="AC16" s="103" t="str">
        <f t="shared" ca="1" si="0"/>
        <v>ANO</v>
      </c>
      <c r="AG16" s="122" t="s">
        <v>870</v>
      </c>
      <c r="AH16" s="123"/>
      <c r="AI16" s="124"/>
      <c r="AJ16" s="124"/>
      <c r="AK16" s="124"/>
      <c r="AL16" s="125">
        <f t="shared" si="1"/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t="shared" ca="1" si="2"/>
        <v>?</v>
      </c>
      <c r="AV16" s="128" t="str">
        <f t="shared" si="3"/>
        <v>? / ?</v>
      </c>
      <c r="AW16" s="129" t="str">
        <f t="shared" ca="1" si="4"/>
        <v>Sládek</v>
      </c>
      <c r="AX16" s="130" t="str">
        <f t="shared" ca="1" si="5"/>
        <v>2 OZ, 5 (1+4), -1 ±</v>
      </c>
      <c r="AY16" s="130" t="str">
        <f t="shared" ca="1" si="6"/>
        <v>2 OZ, 5 (1+4)</v>
      </c>
      <c r="AZ16" s="131"/>
      <c r="BA16" s="131"/>
      <c r="BB16" s="131"/>
      <c r="BC16" s="131"/>
      <c r="BD16" s="3" t="str">
        <f t="shared" si="7"/>
        <v>Sládek</v>
      </c>
      <c r="BE16" s="85">
        <f t="shared" ca="1" si="8"/>
        <v>1</v>
      </c>
      <c r="BF16" s="62" t="str">
        <f t="shared" si="9"/>
        <v>M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1021</v>
      </c>
      <c r="BU16" s="104">
        <v>1</v>
      </c>
      <c r="BV16" s="105" t="str">
        <f t="shared" si="17"/>
        <v>Lukáš Pešat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881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-1</v>
      </c>
      <c r="AC17" s="103" t="str">
        <f t="shared" ca="1" si="0"/>
        <v>ANO</v>
      </c>
      <c r="AG17" s="122" t="s">
        <v>881</v>
      </c>
      <c r="AH17" s="123"/>
      <c r="AI17" s="124"/>
      <c r="AJ17" s="124"/>
      <c r="AK17" s="124"/>
      <c r="AL17" s="125">
        <f t="shared" si="1"/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t="shared" ca="1" si="2"/>
        <v>?</v>
      </c>
      <c r="AV17" s="128" t="str">
        <f t="shared" si="3"/>
        <v>? / ?</v>
      </c>
      <c r="AW17" s="129" t="str">
        <f t="shared" ca="1" si="4"/>
        <v>Soukup</v>
      </c>
      <c r="AX17" s="130" t="str">
        <f t="shared" ca="1" si="5"/>
        <v>2 OZ, 0 (0+0), -1 ±</v>
      </c>
      <c r="AY17" s="130" t="str">
        <f t="shared" ca="1" si="6"/>
        <v>2 OZ, 0 (0+0)</v>
      </c>
      <c r="AZ17" s="131"/>
      <c r="BA17" s="131"/>
      <c r="BB17" s="131"/>
      <c r="BC17" s="131"/>
      <c r="BD17" s="90" t="str">
        <f t="shared" si="7"/>
        <v>Soukup</v>
      </c>
      <c r="BE17" s="92">
        <f t="shared" ca="1" si="8"/>
        <v>1</v>
      </c>
      <c r="BF17" s="91" t="str">
        <f t="shared" si="9"/>
        <v>Š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886</v>
      </c>
      <c r="BU17" s="104">
        <v>2</v>
      </c>
      <c r="BV17" s="105" t="str">
        <f t="shared" si="17"/>
        <v>Jan Binder</v>
      </c>
      <c r="BW17" s="103">
        <f t="shared" si="18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878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879</v>
      </c>
      <c r="AH18" s="123"/>
      <c r="AI18" s="124"/>
      <c r="AJ18" s="124"/>
      <c r="AK18" s="124"/>
      <c r="AL18" s="125">
        <f t="shared" si="1"/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t="shared" ca="1" si="2"/>
        <v>?</v>
      </c>
      <c r="AV18" s="128" t="str">
        <f t="shared" si="3"/>
        <v>? / ?</v>
      </c>
      <c r="AW18" s="129" t="str">
        <f t="shared" ca="1" si="4"/>
        <v>Šubert</v>
      </c>
      <c r="AX18" s="130" t="str">
        <f t="shared" ca="1" si="5"/>
        <v>2 OZ, 0 (0+0), -2 ±</v>
      </c>
      <c r="AY18" s="130" t="str">
        <f t="shared" ca="1" si="6"/>
        <v>2 OZ, 0 (0+0)</v>
      </c>
      <c r="AZ18" s="131"/>
      <c r="BA18" s="131"/>
      <c r="BB18" s="131"/>
      <c r="BC18" s="131"/>
      <c r="BD18" s="3" t="str">
        <f t="shared" si="7"/>
        <v>Šubert</v>
      </c>
      <c r="BE18" s="85">
        <f t="shared" ca="1" si="8"/>
        <v>1</v>
      </c>
      <c r="BF18" s="62" t="str">
        <f t="shared" si="9"/>
        <v>F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1024</v>
      </c>
      <c r="BU18" s="104">
        <v>1</v>
      </c>
      <c r="BV18" s="105" t="str">
        <f t="shared" si="17"/>
        <v>Martin Janík</v>
      </c>
      <c r="BW18" s="103">
        <f t="shared" si="18"/>
        <v>1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OST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880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601</v>
      </c>
      <c r="AH19" s="123"/>
      <c r="AI19" s="124"/>
      <c r="AJ19" s="124"/>
      <c r="AK19" s="124"/>
      <c r="AL19" s="125">
        <f t="shared" si="1"/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4"/>
        <v>Zimmer</v>
      </c>
      <c r="AX19" s="130" t="str">
        <f t="shared" ca="1" si="5"/>
        <v>1 OZ, 0 (0+0), -1 ±</v>
      </c>
      <c r="AY19" s="130" t="str">
        <f t="shared" ca="1" si="6"/>
        <v>1 OZ, 0 (0+0)</v>
      </c>
      <c r="AZ19" s="131"/>
      <c r="BA19" s="131"/>
      <c r="BB19" s="131"/>
      <c r="BC19" s="131"/>
      <c r="BD19" s="90" t="str">
        <f t="shared" si="7"/>
        <v>Zimmer</v>
      </c>
      <c r="BE19" s="92">
        <f t="shared" ca="1" si="8"/>
        <v>1</v>
      </c>
      <c r="BF19" s="91" t="str">
        <f t="shared" si="9"/>
        <v>D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T19" s="105" t="s">
        <v>1025</v>
      </c>
      <c r="BU19" s="104">
        <v>0</v>
      </c>
      <c r="BV19" s="105" t="str">
        <f t="shared" si="17"/>
        <v>Jan Klinka</v>
      </c>
      <c r="BW19" s="103">
        <f t="shared" si="18"/>
        <v>0</v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876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/>
      <c r="AH20" s="123"/>
      <c r="AI20" s="124"/>
      <c r="AJ20" s="124"/>
      <c r="AK20" s="124"/>
      <c r="AL20" s="125" t="str">
        <f t="shared" ref="AL20:AL50" si="19">IF(AG20&lt;&gt;"",AJ20+AK20,"")</f>
        <v/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ca="1" si="2"/>
        <v/>
      </c>
      <c r="AV20" s="128" t="str">
        <f t="shared" si="3"/>
        <v/>
      </c>
      <c r="AW20" s="129" t="str">
        <f t="shared" ref="AW20:AW50" si="20">IF(AG20&lt;&gt;"",IF(BE20=1,BD20,IF(BH20=1,BG20,IF(BJ20=1,BI20,IF(BL20=1,BK20,BM20)))),"")</f>
        <v/>
      </c>
      <c r="AX20" s="130" t="str">
        <f t="shared" ca="1" si="5"/>
        <v/>
      </c>
      <c r="AY20" s="130" t="str">
        <f t="shared" ca="1" si="6"/>
        <v/>
      </c>
      <c r="AZ20" s="131"/>
      <c r="BA20" s="131"/>
      <c r="BB20" s="131"/>
      <c r="BC20" s="131"/>
      <c r="BD20" s="3" t="str">
        <f t="shared" si="7"/>
        <v/>
      </c>
      <c r="BE20" s="85" t="str">
        <f t="shared" ca="1" si="8"/>
        <v/>
      </c>
      <c r="BF20" s="62" t="str">
        <f t="shared" si="9"/>
        <v/>
      </c>
      <c r="BG20" s="3" t="str">
        <f t="shared" ca="1" si="10"/>
        <v/>
      </c>
      <c r="BH20" s="62" t="str">
        <f t="shared" ca="1" si="11"/>
        <v/>
      </c>
      <c r="BI20" s="3" t="str">
        <f t="shared" ca="1" si="12"/>
        <v/>
      </c>
      <c r="BJ20" s="62" t="str">
        <f t="shared" ca="1" si="11"/>
        <v/>
      </c>
      <c r="BK20" s="3" t="str">
        <f t="shared" ca="1" si="13"/>
        <v/>
      </c>
      <c r="BL20" s="62" t="str">
        <f t="shared" ca="1" si="14"/>
        <v/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879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-2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si="19"/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2"/>
        <v/>
      </c>
      <c r="AV21" s="128" t="str">
        <f t="shared" si="3"/>
        <v/>
      </c>
      <c r="AW21" s="129" t="str">
        <f t="shared" si="20"/>
        <v/>
      </c>
      <c r="AX21" s="130" t="str">
        <f t="shared" ca="1" si="5"/>
        <v/>
      </c>
      <c r="AY21" s="130" t="str">
        <f t="shared" ca="1" si="6"/>
        <v/>
      </c>
      <c r="AZ21" s="131"/>
      <c r="BA21" s="131"/>
      <c r="BB21" s="131"/>
      <c r="BC21" s="131"/>
      <c r="BD21" s="90" t="str">
        <f t="shared" si="7"/>
        <v/>
      </c>
      <c r="BE21" s="92" t="str">
        <f t="shared" ca="1" si="8"/>
        <v/>
      </c>
      <c r="BF21" s="91" t="str">
        <f t="shared" si="9"/>
        <v/>
      </c>
      <c r="BG21" s="90" t="str">
        <f t="shared" ca="1" si="10"/>
        <v/>
      </c>
      <c r="BH21" s="91" t="str">
        <f t="shared" ca="1" si="11"/>
        <v/>
      </c>
      <c r="BI21" s="90" t="str">
        <f t="shared" ca="1" si="12"/>
        <v/>
      </c>
      <c r="BJ21" s="91" t="str">
        <f t="shared" ca="1" si="11"/>
        <v/>
      </c>
      <c r="BK21" s="90" t="str">
        <f t="shared" ca="1" si="13"/>
        <v/>
      </c>
      <c r="BL21" s="91" t="str">
        <f t="shared" ca="1" si="14"/>
        <v/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1" t="s">
        <v>873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2</v>
      </c>
      <c r="AB22" s="103">
        <v>-1</v>
      </c>
      <c r="AC22" s="103" t="str">
        <f t="shared" ca="1" si="0"/>
        <v>ANO</v>
      </c>
      <c r="AG22" s="122"/>
      <c r="AH22" s="123"/>
      <c r="AI22" s="124"/>
      <c r="AJ22" s="124"/>
      <c r="AK22" s="124"/>
      <c r="AL22" s="125" t="str">
        <f t="shared" si="19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2"/>
        <v/>
      </c>
      <c r="AV22" s="128" t="str">
        <f t="shared" si="3"/>
        <v/>
      </c>
      <c r="AW22" s="129" t="str">
        <f t="shared" si="20"/>
        <v/>
      </c>
      <c r="AX22" s="130" t="str">
        <f t="shared" ca="1" si="5"/>
        <v/>
      </c>
      <c r="AY22" s="130" t="str">
        <f t="shared" ca="1" si="6"/>
        <v/>
      </c>
      <c r="AZ22" s="131"/>
      <c r="BA22" s="131"/>
      <c r="BB22" s="131"/>
      <c r="BC22" s="131"/>
      <c r="BD22" s="3" t="str">
        <f t="shared" si="7"/>
        <v/>
      </c>
      <c r="BE22" s="85" t="str">
        <f t="shared" ca="1" si="8"/>
        <v/>
      </c>
      <c r="BF22" s="62" t="str">
        <f t="shared" si="9"/>
        <v/>
      </c>
      <c r="BG22" s="3" t="str">
        <f t="shared" ca="1" si="10"/>
        <v/>
      </c>
      <c r="BH22" s="62" t="str">
        <f t="shared" ca="1" si="11"/>
        <v/>
      </c>
      <c r="BI22" s="3" t="str">
        <f t="shared" ca="1" si="12"/>
        <v/>
      </c>
      <c r="BJ22" s="62" t="str">
        <f t="shared" ca="1" si="11"/>
        <v/>
      </c>
      <c r="BK22" s="3" t="str">
        <f t="shared" ca="1" si="13"/>
        <v/>
      </c>
      <c r="BL22" s="62" t="str">
        <f t="shared" ca="1" si="14"/>
        <v/>
      </c>
      <c r="BM22" s="3" t="str">
        <f t="shared" ca="1" si="15"/>
        <v/>
      </c>
      <c r="BS22" s="361" t="s">
        <v>38</v>
      </c>
      <c r="BT22" s="105" t="s">
        <v>1026</v>
      </c>
      <c r="BU22" s="104">
        <v>4</v>
      </c>
      <c r="BV22" s="105" t="str">
        <f t="shared" si="17"/>
        <v>Michal Sládek</v>
      </c>
      <c r="BW22" s="103">
        <f t="shared" si="18"/>
        <v>4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877</v>
      </c>
      <c r="T23" s="103" t="s">
        <v>68</v>
      </c>
      <c r="U23" s="103">
        <v>2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-2</v>
      </c>
      <c r="AC23" s="103" t="str">
        <f t="shared" ca="1" si="0"/>
        <v>ANO</v>
      </c>
      <c r="AG23" s="122"/>
      <c r="AH23" s="123"/>
      <c r="AI23" s="124"/>
      <c r="AJ23" s="124"/>
      <c r="AK23" s="124"/>
      <c r="AL23" s="125" t="str">
        <f t="shared" si="19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2"/>
        <v/>
      </c>
      <c r="AV23" s="128" t="str">
        <f t="shared" si="3"/>
        <v/>
      </c>
      <c r="AW23" s="129" t="str">
        <f t="shared" si="20"/>
        <v/>
      </c>
      <c r="AX23" s="130" t="str">
        <f t="shared" ca="1" si="5"/>
        <v/>
      </c>
      <c r="AY23" s="130" t="str">
        <f t="shared" ca="1" si="6"/>
        <v/>
      </c>
      <c r="AZ23" s="131"/>
      <c r="BA23" s="131"/>
      <c r="BB23" s="131"/>
      <c r="BC23" s="131"/>
      <c r="BD23" s="90" t="str">
        <f t="shared" si="7"/>
        <v/>
      </c>
      <c r="BE23" s="92" t="str">
        <f t="shared" ca="1" si="8"/>
        <v/>
      </c>
      <c r="BF23" s="91" t="str">
        <f t="shared" si="9"/>
        <v/>
      </c>
      <c r="BG23" s="90" t="str">
        <f t="shared" ca="1" si="10"/>
        <v/>
      </c>
      <c r="BH23" s="91" t="str">
        <f t="shared" ca="1" si="11"/>
        <v/>
      </c>
      <c r="BI23" s="90" t="str">
        <f t="shared" ca="1" si="12"/>
        <v/>
      </c>
      <c r="BJ23" s="91" t="str">
        <f t="shared" ca="1" si="11"/>
        <v/>
      </c>
      <c r="BK23" s="90" t="str">
        <f t="shared" ca="1" si="13"/>
        <v/>
      </c>
      <c r="BL23" s="91" t="str">
        <f t="shared" ca="1" si="14"/>
        <v/>
      </c>
      <c r="BM23" s="90" t="str">
        <f t="shared" ca="1" si="15"/>
        <v/>
      </c>
      <c r="BS23" s="361"/>
      <c r="BT23" s="105" t="s">
        <v>1027</v>
      </c>
      <c r="BU23" s="104">
        <v>3</v>
      </c>
      <c r="BV23" s="105" t="str">
        <f t="shared" si="17"/>
        <v>Lukáš Pešat</v>
      </c>
      <c r="BW23" s="103">
        <f t="shared" si="18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9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21">IF(AG24&lt;&gt;"",IF(AH24&lt;&gt;"",INT((TODAY()-AH24)/365),"?"),"")</f>
        <v/>
      </c>
      <c r="AV24" s="128" t="str">
        <f t="shared" ref="AV24:AV50" si="22">IF(AG24&lt;&gt;"",CONCATENATE(IF(AQ24&lt;&gt;"",AQ24,"? "),"/",IF(AR24&lt;&gt;"",AR24," ?")),"")</f>
        <v/>
      </c>
      <c r="AW24" s="129" t="str">
        <f t="shared" si="20"/>
        <v/>
      </c>
      <c r="AX24" s="130" t="str">
        <f t="shared" ref="AX24:AX27" ca="1" si="23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4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7"/>
        <v/>
      </c>
      <c r="BE24" s="85" t="str">
        <f t="shared" ca="1" si="8"/>
        <v/>
      </c>
      <c r="BF24" s="62" t="str">
        <f t="shared" si="9"/>
        <v/>
      </c>
      <c r="BG24" s="3" t="str">
        <f t="shared" ca="1" si="10"/>
        <v/>
      </c>
      <c r="BH24" s="62" t="str">
        <f t="shared" ca="1" si="11"/>
        <v/>
      </c>
      <c r="BI24" s="3" t="str">
        <f t="shared" ca="1" si="12"/>
        <v/>
      </c>
      <c r="BJ24" s="62" t="str">
        <f t="shared" ca="1" si="11"/>
        <v/>
      </c>
      <c r="BK24" s="3" t="str">
        <f t="shared" ca="1" si="13"/>
        <v/>
      </c>
      <c r="BL24" s="62" t="str">
        <f t="shared" ca="1" si="14"/>
        <v/>
      </c>
      <c r="BM24" s="3" t="str">
        <f t="shared" ca="1" si="15"/>
        <v/>
      </c>
      <c r="BS24" s="361"/>
      <c r="BT24" s="105" t="s">
        <v>1028</v>
      </c>
      <c r="BU24" s="104">
        <v>3</v>
      </c>
      <c r="BV24" s="105" t="str">
        <f t="shared" si="17"/>
        <v>Šimon Kuczera</v>
      </c>
      <c r="BW24" s="103">
        <f t="shared" si="18"/>
        <v>3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9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21"/>
        <v/>
      </c>
      <c r="AV25" s="128" t="str">
        <f t="shared" si="22"/>
        <v/>
      </c>
      <c r="AW25" s="129" t="str">
        <f t="shared" si="20"/>
        <v/>
      </c>
      <c r="AX25" s="130" t="str">
        <f t="shared" ca="1" si="23"/>
        <v/>
      </c>
      <c r="AY25" s="130" t="str">
        <f t="shared" ca="1" si="24"/>
        <v/>
      </c>
      <c r="AZ25" s="131"/>
      <c r="BA25" s="131"/>
      <c r="BB25" s="131"/>
      <c r="BC25" s="131"/>
      <c r="BD25" s="90" t="str">
        <f t="shared" si="7"/>
        <v/>
      </c>
      <c r="BE25" s="92" t="str">
        <f t="shared" ca="1" si="8"/>
        <v/>
      </c>
      <c r="BF25" s="91" t="str">
        <f t="shared" si="9"/>
        <v/>
      </c>
      <c r="BG25" s="90" t="str">
        <f t="shared" ca="1" si="10"/>
        <v/>
      </c>
      <c r="BH25" s="91" t="str">
        <f t="shared" ca="1" si="11"/>
        <v/>
      </c>
      <c r="BI25" s="90" t="str">
        <f t="shared" ca="1" si="12"/>
        <v/>
      </c>
      <c r="BJ25" s="91" t="str">
        <f t="shared" ca="1" si="11"/>
        <v/>
      </c>
      <c r="BK25" s="90" t="str">
        <f t="shared" ca="1" si="13"/>
        <v/>
      </c>
      <c r="BL25" s="91" t="str">
        <f t="shared" ca="1" si="14"/>
        <v/>
      </c>
      <c r="BM25" s="90" t="str">
        <f t="shared" ca="1" si="15"/>
        <v/>
      </c>
      <c r="BS25" s="361"/>
      <c r="BT25" s="105" t="s">
        <v>1029</v>
      </c>
      <c r="BU25" s="104">
        <v>2</v>
      </c>
      <c r="BV25" s="105" t="str">
        <f t="shared" si="17"/>
        <v>Wojciech Malajka</v>
      </c>
      <c r="BW25" s="103">
        <f t="shared" si="18"/>
        <v>2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9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21"/>
        <v/>
      </c>
      <c r="AV26" s="128" t="str">
        <f t="shared" si="22"/>
        <v/>
      </c>
      <c r="AW26" s="129" t="str">
        <f t="shared" si="20"/>
        <v/>
      </c>
      <c r="AX26" s="130" t="str">
        <f t="shared" ca="1" si="23"/>
        <v/>
      </c>
      <c r="AY26" s="130" t="str">
        <f t="shared" ca="1" si="24"/>
        <v/>
      </c>
      <c r="AZ26" s="131"/>
      <c r="BA26" s="131"/>
      <c r="BB26" s="131"/>
      <c r="BC26" s="131"/>
      <c r="BD26" s="3" t="str">
        <f t="shared" si="7"/>
        <v/>
      </c>
      <c r="BE26" s="85" t="str">
        <f t="shared" ca="1" si="8"/>
        <v/>
      </c>
      <c r="BF26" s="62" t="str">
        <f t="shared" si="9"/>
        <v/>
      </c>
      <c r="BG26" s="3" t="str">
        <f t="shared" ca="1" si="10"/>
        <v/>
      </c>
      <c r="BH26" s="62" t="str">
        <f t="shared" ca="1" si="11"/>
        <v/>
      </c>
      <c r="BI26" s="3" t="str">
        <f t="shared" ca="1" si="12"/>
        <v/>
      </c>
      <c r="BJ26" s="62" t="str">
        <f t="shared" ca="1" si="11"/>
        <v/>
      </c>
      <c r="BK26" s="3" t="str">
        <f t="shared" ca="1" si="13"/>
        <v/>
      </c>
      <c r="BL26" s="62" t="str">
        <f t="shared" ca="1" si="14"/>
        <v/>
      </c>
      <c r="BM26" s="3" t="str">
        <f t="shared" ca="1" si="15"/>
        <v/>
      </c>
      <c r="BS26" s="361"/>
      <c r="BT26" s="105" t="s">
        <v>885</v>
      </c>
      <c r="BU26" s="104">
        <v>1</v>
      </c>
      <c r="BV26" s="105" t="str">
        <f t="shared" si="17"/>
        <v>Daniel Chatrný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9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21"/>
        <v/>
      </c>
      <c r="AV27" s="128" t="str">
        <f t="shared" si="22"/>
        <v/>
      </c>
      <c r="AW27" s="129" t="str">
        <f t="shared" si="20"/>
        <v/>
      </c>
      <c r="AX27" s="130" t="str">
        <f t="shared" ca="1" si="23"/>
        <v/>
      </c>
      <c r="AY27" s="130" t="str">
        <f t="shared" ca="1" si="24"/>
        <v/>
      </c>
      <c r="AZ27" s="131"/>
      <c r="BA27" s="131"/>
      <c r="BB27" s="131"/>
      <c r="BC27" s="131"/>
      <c r="BD27" s="90" t="str">
        <f t="shared" si="7"/>
        <v/>
      </c>
      <c r="BE27" s="92" t="str">
        <f t="shared" ca="1" si="8"/>
        <v/>
      </c>
      <c r="BF27" s="91" t="str">
        <f t="shared" si="9"/>
        <v/>
      </c>
      <c r="BG27" s="90" t="str">
        <f t="shared" ca="1" si="10"/>
        <v/>
      </c>
      <c r="BH27" s="91" t="str">
        <f t="shared" ca="1" si="11"/>
        <v/>
      </c>
      <c r="BI27" s="90" t="str">
        <f t="shared" ca="1" si="12"/>
        <v/>
      </c>
      <c r="BJ27" s="91" t="str">
        <f t="shared" ca="1" si="11"/>
        <v/>
      </c>
      <c r="BK27" s="90" t="str">
        <f t="shared" ca="1" si="13"/>
        <v/>
      </c>
      <c r="BL27" s="91" t="str">
        <f t="shared" ca="1" si="14"/>
        <v/>
      </c>
      <c r="BM27" s="90" t="str">
        <f t="shared" ca="1" si="15"/>
        <v/>
      </c>
      <c r="BS27" s="361" t="s">
        <v>39</v>
      </c>
      <c r="BT27" s="105" t="s">
        <v>1030</v>
      </c>
      <c r="BU27" s="104">
        <v>2</v>
      </c>
      <c r="BV27" s="105" t="str">
        <f t="shared" si="17"/>
        <v>Daniel Chatrný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9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21"/>
        <v/>
      </c>
      <c r="AV28" s="128" t="str">
        <f t="shared" si="22"/>
        <v/>
      </c>
      <c r="AW28" s="129" t="str">
        <f t="shared" si="20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4"/>
        <v/>
      </c>
      <c r="AZ28" s="131"/>
      <c r="BA28" s="131"/>
      <c r="BB28" s="131"/>
      <c r="BC28" s="131"/>
      <c r="BD28" s="3" t="str">
        <f t="shared" si="7"/>
        <v/>
      </c>
      <c r="BE28" s="85" t="str">
        <f t="shared" ca="1" si="8"/>
        <v/>
      </c>
      <c r="BF28" s="62" t="str">
        <f t="shared" si="9"/>
        <v/>
      </c>
      <c r="BG28" s="3" t="str">
        <f t="shared" ca="1" si="10"/>
        <v/>
      </c>
      <c r="BH28" s="62" t="str">
        <f t="shared" ca="1" si="11"/>
        <v/>
      </c>
      <c r="BI28" s="3" t="str">
        <f t="shared" ca="1" si="12"/>
        <v/>
      </c>
      <c r="BJ28" s="62" t="str">
        <f t="shared" ca="1" si="11"/>
        <v/>
      </c>
      <c r="BK28" s="3" t="str">
        <f t="shared" ca="1" si="13"/>
        <v/>
      </c>
      <c r="BL28" s="62" t="str">
        <f t="shared" ca="1" si="14"/>
        <v/>
      </c>
      <c r="BM28" s="3" t="str">
        <f t="shared" ca="1" si="15"/>
        <v/>
      </c>
      <c r="BS28" s="361"/>
      <c r="BT28" s="105" t="s">
        <v>1031</v>
      </c>
      <c r="BU28" s="104">
        <v>2</v>
      </c>
      <c r="BV28" s="105" t="str">
        <f t="shared" si="17"/>
        <v>Denis Zimmer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9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21"/>
        <v/>
      </c>
      <c r="AV29" s="128" t="str">
        <f t="shared" si="22"/>
        <v/>
      </c>
      <c r="AW29" s="129" t="str">
        <f t="shared" si="20"/>
        <v/>
      </c>
      <c r="AX29" s="130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4"/>
        <v/>
      </c>
      <c r="AZ29" s="131"/>
      <c r="BA29" s="131"/>
      <c r="BB29" s="131"/>
      <c r="BC29" s="131"/>
      <c r="BD29" s="90" t="str">
        <f t="shared" si="7"/>
        <v/>
      </c>
      <c r="BE29" s="92" t="str">
        <f t="shared" ca="1" si="8"/>
        <v/>
      </c>
      <c r="BF29" s="91" t="str">
        <f t="shared" si="9"/>
        <v/>
      </c>
      <c r="BG29" s="90" t="str">
        <f t="shared" ca="1" si="10"/>
        <v/>
      </c>
      <c r="BH29" s="91" t="str">
        <f t="shared" ca="1" si="11"/>
        <v/>
      </c>
      <c r="BI29" s="90" t="str">
        <f t="shared" ca="1" si="12"/>
        <v/>
      </c>
      <c r="BJ29" s="91" t="str">
        <f t="shared" ca="1" si="11"/>
        <v/>
      </c>
      <c r="BK29" s="90" t="str">
        <f t="shared" ca="1" si="13"/>
        <v/>
      </c>
      <c r="BL29" s="91" t="str">
        <f t="shared" ca="1" si="14"/>
        <v/>
      </c>
      <c r="BM29" s="90" t="str">
        <f t="shared" ca="1" si="15"/>
        <v/>
      </c>
      <c r="BS29" s="361"/>
      <c r="BT29" s="105" t="s">
        <v>1032</v>
      </c>
      <c r="BU29" s="104">
        <v>2</v>
      </c>
      <c r="BV29" s="105" t="str">
        <f t="shared" si="17"/>
        <v>Jan Binder</v>
      </c>
      <c r="BW29" s="103">
        <f t="shared" si="18"/>
        <v>2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OST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9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21"/>
        <v/>
      </c>
      <c r="AV30" s="128" t="str">
        <f t="shared" si="22"/>
        <v/>
      </c>
      <c r="AW30" s="129" t="str">
        <f t="shared" si="20"/>
        <v/>
      </c>
      <c r="AX30" s="130" t="str">
        <f t="shared" ca="1" si="25"/>
        <v/>
      </c>
      <c r="AY30" s="130" t="str">
        <f t="shared" ca="1" si="24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1"/>
        <v/>
      </c>
      <c r="BK30" s="3" t="str">
        <f t="shared" ca="1" si="13"/>
        <v/>
      </c>
      <c r="BL30" s="62" t="str">
        <f t="shared" ca="1" si="14"/>
        <v/>
      </c>
      <c r="BM30" s="3" t="str">
        <f t="shared" ca="1" si="15"/>
        <v/>
      </c>
      <c r="BS30" s="361"/>
      <c r="BT30" s="105" t="s">
        <v>1033</v>
      </c>
      <c r="BU30" s="104">
        <v>2</v>
      </c>
      <c r="BV30" s="105" t="str">
        <f t="shared" si="17"/>
        <v>Marcel Jakubec</v>
      </c>
      <c r="BW30" s="103">
        <f t="shared" si="18"/>
        <v>2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9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21"/>
        <v/>
      </c>
      <c r="AV31" s="128" t="str">
        <f t="shared" si="22"/>
        <v/>
      </c>
      <c r="AW31" s="129" t="str">
        <f t="shared" si="20"/>
        <v/>
      </c>
      <c r="AX31" s="130" t="str">
        <f t="shared" ca="1" si="25"/>
        <v/>
      </c>
      <c r="AY31" s="130" t="str">
        <f t="shared" ca="1" si="24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891</v>
      </c>
      <c r="BU31" s="104">
        <v>0</v>
      </c>
      <c r="BV31" s="105" t="str">
        <f t="shared" si="17"/>
        <v>Adam Choma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9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21"/>
        <v/>
      </c>
      <c r="AV32" s="128" t="str">
        <f t="shared" si="22"/>
        <v/>
      </c>
      <c r="AW32" s="129" t="str">
        <f t="shared" si="20"/>
        <v/>
      </c>
      <c r="AX32" s="130" t="str">
        <f t="shared" ca="1" si="25"/>
        <v/>
      </c>
      <c r="AY32" s="130" t="str">
        <f t="shared" ca="1" si="24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9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21"/>
        <v/>
      </c>
      <c r="AV33" s="128" t="str">
        <f t="shared" si="22"/>
        <v/>
      </c>
      <c r="AW33" s="129" t="str">
        <f t="shared" si="20"/>
        <v/>
      </c>
      <c r="AX33" s="130" t="str">
        <f t="shared" ca="1" si="25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9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21"/>
        <v/>
      </c>
      <c r="AV34" s="128" t="str">
        <f t="shared" si="22"/>
        <v/>
      </c>
      <c r="AW34" s="129" t="str">
        <f t="shared" si="20"/>
        <v/>
      </c>
      <c r="AX34" s="130" t="str">
        <f t="shared" ca="1" si="25"/>
        <v/>
      </c>
      <c r="AY34" s="130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9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0"/>
        <v/>
      </c>
      <c r="AX35" s="130" t="str">
        <f t="shared" ca="1" si="25"/>
        <v/>
      </c>
      <c r="AY35" s="130" t="str">
        <f t="shared" ca="1" si="26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9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0"/>
        <v/>
      </c>
      <c r="AX36" s="130" t="str">
        <f t="shared" ca="1" si="25"/>
        <v/>
      </c>
      <c r="AY36" s="130" t="str">
        <f t="shared" ca="1" si="26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9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0"/>
        <v/>
      </c>
      <c r="AX37" s="130" t="str">
        <f t="shared" ca="1" si="25"/>
        <v/>
      </c>
      <c r="AY37" s="130" t="str">
        <f t="shared" ca="1" si="26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0"/>
        <v/>
      </c>
      <c r="AX38" s="130" t="str">
        <f t="shared" ca="1" si="25"/>
        <v/>
      </c>
      <c r="AY38" s="130" t="str">
        <f t="shared" ca="1" si="26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0"/>
        <v/>
      </c>
      <c r="AX39" s="130" t="str">
        <f t="shared" ca="1" si="25"/>
        <v/>
      </c>
      <c r="AY39" s="130" t="str">
        <f t="shared" ca="1" si="26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0"/>
        <v/>
      </c>
      <c r="AX40" s="130" t="str">
        <f t="shared" ca="1" si="25"/>
        <v/>
      </c>
      <c r="AY40" s="130" t="str">
        <f t="shared" ca="1" si="26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0"/>
        <v/>
      </c>
      <c r="AX41" s="130" t="str">
        <f t="shared" ca="1" si="25"/>
        <v/>
      </c>
      <c r="AY41" s="130" t="str">
        <f t="shared" ca="1" si="26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0"/>
        <v/>
      </c>
      <c r="AX42" s="130" t="str">
        <f t="shared" ca="1" si="25"/>
        <v/>
      </c>
      <c r="AY42" s="130" t="str">
        <f t="shared" ca="1" si="26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0"/>
        <v/>
      </c>
      <c r="AX43" s="130" t="str">
        <f t="shared" ca="1" si="25"/>
        <v/>
      </c>
      <c r="AY43" s="130" t="str">
        <f t="shared" ca="1" si="26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0"/>
        <v/>
      </c>
      <c r="AX44" s="130" t="str">
        <f t="shared" ca="1" si="25"/>
        <v/>
      </c>
      <c r="AY44" s="130" t="str">
        <f t="shared" ca="1" si="26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874</v>
      </c>
      <c r="T45" s="103">
        <v>2</v>
      </c>
      <c r="U45" s="113">
        <v>110.38</v>
      </c>
      <c r="V45" s="103">
        <v>2</v>
      </c>
      <c r="W45" s="103">
        <v>6</v>
      </c>
      <c r="X45" s="103">
        <v>0</v>
      </c>
      <c r="Y45" s="103">
        <v>45</v>
      </c>
      <c r="Z45" s="103">
        <v>0</v>
      </c>
      <c r="AA45" s="103">
        <v>0</v>
      </c>
      <c r="AB45" s="103">
        <v>39</v>
      </c>
      <c r="AC45" s="103">
        <v>0</v>
      </c>
      <c r="AD45" s="103">
        <v>2</v>
      </c>
      <c r="AE45" s="113">
        <f>IF(S45&lt;&gt;"",IF(T45&gt;0,W45/(U45/60),0),"")</f>
        <v>3.2614604094944739</v>
      </c>
      <c r="AF45" s="113">
        <f>IF(S45&lt;&gt;"",IF(Y45&gt;0,(AB45/Y45)*100,"-"),"")</f>
        <v>86.666666666666671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0"/>
        <v/>
      </c>
      <c r="AX45" s="130" t="str">
        <f t="shared" ca="1" si="25"/>
        <v/>
      </c>
      <c r="AY45" s="130" t="str">
        <f t="shared" ca="1" si="26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1014</v>
      </c>
      <c r="T46" s="103">
        <v>1</v>
      </c>
      <c r="U46" s="113">
        <v>9.6199999999999992</v>
      </c>
      <c r="V46" s="103">
        <v>1</v>
      </c>
      <c r="W46" s="103">
        <v>0</v>
      </c>
      <c r="X46" s="103">
        <v>0</v>
      </c>
      <c r="Y46" s="103">
        <v>4</v>
      </c>
      <c r="Z46" s="103">
        <v>0</v>
      </c>
      <c r="AA46" s="103">
        <v>0</v>
      </c>
      <c r="AB46" s="103">
        <v>4</v>
      </c>
      <c r="AC46" s="103">
        <v>0</v>
      </c>
      <c r="AD46" s="103">
        <v>0</v>
      </c>
      <c r="AE46" s="113">
        <f t="shared" ref="AE46:AE50" si="27">IF(S46&lt;&gt;"",IF(T46&gt;0,W46/(U46/60),0),"")</f>
        <v>0</v>
      </c>
      <c r="AF46" s="113">
        <f t="shared" ref="AF46:AF50" si="28">IF(S46&lt;&gt;"",IF(Y46&gt;0,(AB46/Y46)*100,"-"),"")</f>
        <v>100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0"/>
        <v/>
      </c>
      <c r="AX46" s="130" t="str">
        <f t="shared" ca="1" si="25"/>
        <v/>
      </c>
      <c r="AY46" s="130" t="str">
        <f t="shared" ca="1" si="26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 t="s">
        <v>875</v>
      </c>
      <c r="T47" s="103">
        <v>0</v>
      </c>
      <c r="U47" s="11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13">
        <f t="shared" si="27"/>
        <v>0</v>
      </c>
      <c r="AF47" s="113" t="str">
        <f t="shared" si="28"/>
        <v>-</v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0"/>
        <v/>
      </c>
      <c r="AX47" s="130" t="str">
        <f t="shared" ca="1" si="25"/>
        <v/>
      </c>
      <c r="AY47" s="130" t="str">
        <f t="shared" ca="1" si="26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7"/>
        <v/>
      </c>
      <c r="AF48" s="113" t="str">
        <f t="shared" si="28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0"/>
        <v/>
      </c>
      <c r="AX48" s="130" t="str">
        <f t="shared" ca="1" si="25"/>
        <v/>
      </c>
      <c r="AY48" s="130" t="str">
        <f t="shared" ca="1" si="26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7"/>
        <v/>
      </c>
      <c r="AF49" s="113" t="str">
        <f t="shared" si="28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0"/>
        <v/>
      </c>
      <c r="AX49" s="130" t="str">
        <f t="shared" ca="1" si="25"/>
        <v/>
      </c>
      <c r="AY49" s="130" t="str">
        <f t="shared" ca="1" si="26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7"/>
        <v/>
      </c>
      <c r="AF50" s="113" t="str">
        <f t="shared" si="28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0"/>
        <v/>
      </c>
      <c r="AX50" s="130" t="str">
        <f t="shared" ca="1" si="25"/>
        <v/>
      </c>
      <c r="AY50" s="130" t="str">
        <f t="shared" ca="1" si="26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562</v>
      </c>
      <c r="U2" s="103">
        <v>2</v>
      </c>
      <c r="V2" s="103">
        <v>2</v>
      </c>
      <c r="W2" s="103">
        <v>1</v>
      </c>
      <c r="X2" s="103">
        <v>0</v>
      </c>
      <c r="Y2" s="103">
        <v>4</v>
      </c>
      <c r="Z2" s="103">
        <v>6</v>
      </c>
      <c r="AA2" s="103">
        <v>0</v>
      </c>
      <c r="AB2" s="103">
        <v>0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580</v>
      </c>
      <c r="AH2" s="123">
        <v>36671</v>
      </c>
      <c r="AI2" s="124">
        <v>4</v>
      </c>
      <c r="AJ2" s="124">
        <v>0</v>
      </c>
      <c r="AK2" s="124">
        <v>0</v>
      </c>
      <c r="AL2" s="125">
        <f t="shared" ref="AL2:AL50" si="1">IF(AG2&lt;&gt;"",AJ2+AK2,"")</f>
        <v>0</v>
      </c>
      <c r="AM2" s="124">
        <v>3</v>
      </c>
      <c r="AN2" s="124">
        <v>9</v>
      </c>
      <c r="AO2" s="126"/>
      <c r="AP2" s="126" t="s">
        <v>27</v>
      </c>
      <c r="AQ2" s="124">
        <v>187</v>
      </c>
      <c r="AR2" s="124">
        <v>77</v>
      </c>
      <c r="AS2" s="127" t="s">
        <v>602</v>
      </c>
      <c r="AT2" s="124">
        <v>2010</v>
      </c>
      <c r="AU2" s="128">
        <f t="shared" ref="AU2:AU23" ca="1" si="2">IF(AG2&lt;&gt;"",IF(AH2&lt;&gt;"",INT((TODAY()-AH2)/365),"?"),"")</f>
        <v>21</v>
      </c>
      <c r="AV2" s="128" t="str">
        <f t="shared" ref="AV2:AV23" si="3">IF(AG2&lt;&gt;"",CONCATENATE(IF(AQ2&lt;&gt;"",AQ2,"? "),"/",IF(AR2&lt;&gt;"",AR2," ?")),"")</f>
        <v>187/77</v>
      </c>
      <c r="AW2" s="129" t="str">
        <f ca="1">IF(AG2&lt;&gt;"",IF(BE2=1,BD2,IF(BH2=1,BG2,IF(BJ2=1,BI2,IF(BL2=1,BK2,BM2)))),"")</f>
        <v>Blažek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1"/>
      <c r="BA2" s="131"/>
      <c r="BB2" s="131"/>
      <c r="BC2" s="131"/>
      <c r="BD2" s="3" t="str">
        <f>IF(AG2&lt;&gt;"",RIGHT(AG2,LEN(AG2)-SEARCH(" ",AG2)),"")</f>
        <v>Blažek</v>
      </c>
      <c r="BE2" s="85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621</v>
      </c>
      <c r="BO2" s="123">
        <v>27314</v>
      </c>
      <c r="BP2" s="132" t="s">
        <v>278</v>
      </c>
      <c r="BQ2" s="133"/>
      <c r="BR2" s="128">
        <f ca="1">IF(BN2&lt;&gt;"",IF(BO2&lt;&gt;"",INT((TODAY()-BO2)/365),"?"),"")</f>
        <v>46</v>
      </c>
      <c r="BS2" s="361" t="s">
        <v>36</v>
      </c>
      <c r="BT2" s="105" t="s">
        <v>1034</v>
      </c>
      <c r="BU2" s="104">
        <v>6</v>
      </c>
      <c r="BV2" s="105" t="str">
        <f>IFERROR(RIGHT(BT2,LEN(BT2)-SEARCH(" ",BT2)),"")</f>
        <v>Ronald Gašparík</v>
      </c>
      <c r="BW2" s="103">
        <f>IF(BT2&lt;&gt;0,_xlfn.NUMBERVALUE(BU2,","),"")</f>
        <v>6</v>
      </c>
      <c r="BX2" s="360" t="s">
        <v>233</v>
      </c>
      <c r="BY2" s="104" t="s">
        <v>225</v>
      </c>
      <c r="BZ2" s="104" t="s">
        <v>101</v>
      </c>
      <c r="CA2" s="116" t="s">
        <v>963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561</v>
      </c>
      <c r="T3" s="103" t="s">
        <v>133</v>
      </c>
      <c r="U3" s="103">
        <v>2</v>
      </c>
      <c r="V3" s="103">
        <v>3</v>
      </c>
      <c r="W3" s="103">
        <v>1</v>
      </c>
      <c r="X3" s="103">
        <v>0</v>
      </c>
      <c r="Y3" s="103">
        <v>2</v>
      </c>
      <c r="Z3" s="103">
        <v>5</v>
      </c>
      <c r="AA3" s="103">
        <v>0</v>
      </c>
      <c r="AB3" s="103">
        <v>0</v>
      </c>
      <c r="AC3" s="103" t="str">
        <f t="shared" ca="1" si="0"/>
        <v>ANO</v>
      </c>
      <c r="AG3" s="122" t="s">
        <v>578</v>
      </c>
      <c r="AH3" s="123">
        <v>36468</v>
      </c>
      <c r="AI3" s="124">
        <v>48</v>
      </c>
      <c r="AJ3" s="124">
        <v>9</v>
      </c>
      <c r="AK3" s="124">
        <v>11</v>
      </c>
      <c r="AL3" s="125">
        <f t="shared" si="1"/>
        <v>20</v>
      </c>
      <c r="AM3" s="124">
        <v>3</v>
      </c>
      <c r="AN3" s="124">
        <v>6</v>
      </c>
      <c r="AO3" s="126"/>
      <c r="AP3" s="126" t="s">
        <v>163</v>
      </c>
      <c r="AQ3" s="124">
        <v>177</v>
      </c>
      <c r="AR3" s="124">
        <v>70</v>
      </c>
      <c r="AS3" s="127" t="s">
        <v>603</v>
      </c>
      <c r="AT3" s="124">
        <v>2015</v>
      </c>
      <c r="AU3" s="128">
        <f t="shared" ca="1" si="2"/>
        <v>21</v>
      </c>
      <c r="AV3" s="128" t="str">
        <f t="shared" si="3"/>
        <v>177/70</v>
      </c>
      <c r="AW3" s="129" t="str">
        <f t="shared" ref="AW3:AW50" ca="1" si="6">IF(AG3&lt;&gt;"",IF(BE3=1,BD3,IF(BH3=1,BG3,IF(BJ3=1,BI3,IF(BL3=1,BK3,BM3)))),"")</f>
        <v>Červenka</v>
      </c>
      <c r="AX3" s="130" t="str">
        <f t="shared" ca="1" si="4"/>
        <v>2 OZ, 0 (0+0), -2 ±</v>
      </c>
      <c r="AY3" s="130" t="str">
        <f t="shared" ca="1" si="5"/>
        <v>50 OZ, 20 (9+11)</v>
      </c>
      <c r="AZ3" s="131"/>
      <c r="BA3" s="131"/>
      <c r="BB3" s="131"/>
      <c r="BC3" s="131"/>
      <c r="BD3" s="90" t="str">
        <f t="shared" ref="BD3:BD50" si="7">IF(AG3&lt;&gt;"",RIGHT(AG3,LEN(AG3)-SEARCH(" ",AG3)),"")</f>
        <v>Červenka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V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622</v>
      </c>
      <c r="BO3" s="123">
        <v>33731</v>
      </c>
      <c r="BP3" s="132" t="s">
        <v>279</v>
      </c>
      <c r="BQ3" s="133"/>
      <c r="BR3" s="128">
        <f t="shared" ref="BR3:BR11" ca="1" si="16">IF(BN3&lt;&gt;"",IF(BO3&lt;&gt;"",INT((TODAY()-BO3)/365),"?"),"")</f>
        <v>29</v>
      </c>
      <c r="BS3" s="361"/>
      <c r="BT3" s="105" t="s">
        <v>1035</v>
      </c>
      <c r="BU3" s="104">
        <v>5</v>
      </c>
      <c r="BV3" s="105" t="str">
        <f t="shared" ref="BV3:BV31" si="17">IFERROR(RIGHT(BT3,LEN(BT3)-SEARCH(" ",BT3)),"")</f>
        <v>František Vykopal</v>
      </c>
      <c r="BW3" s="103">
        <f t="shared" ref="BW3:BW31" si="18">IF(BT3&lt;&gt;0,_xlfn.NUMBERVALUE(BU3,","),"")</f>
        <v>5</v>
      </c>
      <c r="BX3" s="360"/>
      <c r="BY3" s="104" t="s">
        <v>294</v>
      </c>
      <c r="BZ3" s="104" t="s">
        <v>24</v>
      </c>
      <c r="CA3" s="116" t="s">
        <v>632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565</v>
      </c>
      <c r="U4" s="103">
        <v>2</v>
      </c>
      <c r="V4" s="103">
        <v>2</v>
      </c>
      <c r="W4" s="103">
        <v>0</v>
      </c>
      <c r="X4" s="103">
        <v>0</v>
      </c>
      <c r="Y4" s="103">
        <v>1</v>
      </c>
      <c r="Z4" s="103">
        <v>3</v>
      </c>
      <c r="AA4" s="103">
        <v>0</v>
      </c>
      <c r="AB4" s="103">
        <v>0</v>
      </c>
      <c r="AC4" s="103" t="str">
        <f t="shared" ca="1" si="0"/>
        <v>ANO</v>
      </c>
      <c r="AG4" s="122" t="s">
        <v>581</v>
      </c>
      <c r="AH4" s="123">
        <v>34115</v>
      </c>
      <c r="AI4" s="124">
        <v>156</v>
      </c>
      <c r="AJ4" s="124">
        <v>57</v>
      </c>
      <c r="AK4" s="124">
        <v>42</v>
      </c>
      <c r="AL4" s="125">
        <f t="shared" si="1"/>
        <v>99</v>
      </c>
      <c r="AM4" s="124">
        <v>9</v>
      </c>
      <c r="AN4" s="124">
        <v>33</v>
      </c>
      <c r="AO4" s="126"/>
      <c r="AP4" s="126" t="s">
        <v>163</v>
      </c>
      <c r="AQ4" s="124">
        <v>177</v>
      </c>
      <c r="AR4" s="124">
        <v>77</v>
      </c>
      <c r="AS4" s="127" t="s">
        <v>604</v>
      </c>
      <c r="AT4" s="124">
        <v>2005</v>
      </c>
      <c r="AU4" s="128">
        <f t="shared" ca="1" si="2"/>
        <v>28</v>
      </c>
      <c r="AV4" s="128" t="str">
        <f t="shared" si="3"/>
        <v>177/77</v>
      </c>
      <c r="AW4" s="129" t="str">
        <f t="shared" ca="1" si="6"/>
        <v>Gál</v>
      </c>
      <c r="AX4" s="130" t="str">
        <f t="shared" ca="1" si="4"/>
        <v>0 OZ, 0 (0+0)</v>
      </c>
      <c r="AY4" s="130" t="str">
        <f t="shared" ca="1" si="5"/>
        <v>156 OZ, 99 (57+42)</v>
      </c>
      <c r="AZ4" s="131"/>
      <c r="BA4" s="131"/>
      <c r="BB4" s="131"/>
      <c r="BC4" s="131"/>
      <c r="BD4" s="3" t="str">
        <f t="shared" si="7"/>
        <v>Gál</v>
      </c>
      <c r="BE4" s="85">
        <f t="shared" ca="1" si="8"/>
        <v>1</v>
      </c>
      <c r="BF4" s="62" t="str">
        <f t="shared" si="9"/>
        <v>L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623</v>
      </c>
      <c r="BO4" s="123">
        <v>25991</v>
      </c>
      <c r="BP4" s="132" t="s">
        <v>206</v>
      </c>
      <c r="BQ4" s="133"/>
      <c r="BR4" s="128">
        <f t="shared" ca="1" si="16"/>
        <v>50</v>
      </c>
      <c r="BS4" s="361"/>
      <c r="BT4" s="105" t="s">
        <v>1036</v>
      </c>
      <c r="BU4" s="104">
        <v>3</v>
      </c>
      <c r="BV4" s="105" t="str">
        <f t="shared" si="17"/>
        <v>Peter Nehila</v>
      </c>
      <c r="BW4" s="103">
        <f t="shared" si="18"/>
        <v>3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563</v>
      </c>
      <c r="T5" s="103" t="s">
        <v>133</v>
      </c>
      <c r="U5" s="103">
        <v>2</v>
      </c>
      <c r="V5" s="103">
        <v>2</v>
      </c>
      <c r="W5" s="103">
        <v>1</v>
      </c>
      <c r="X5" s="103">
        <v>0</v>
      </c>
      <c r="Y5" s="103">
        <v>0</v>
      </c>
      <c r="Z5" s="103">
        <v>2</v>
      </c>
      <c r="AA5" s="103">
        <v>0</v>
      </c>
      <c r="AB5" s="103">
        <v>-1</v>
      </c>
      <c r="AC5" s="103" t="str">
        <f t="shared" ca="1" si="0"/>
        <v>NE</v>
      </c>
      <c r="AG5" s="122" t="s">
        <v>582</v>
      </c>
      <c r="AH5" s="123">
        <v>35326</v>
      </c>
      <c r="AI5" s="124">
        <v>62</v>
      </c>
      <c r="AJ5" s="124">
        <v>14</v>
      </c>
      <c r="AK5" s="124">
        <v>32</v>
      </c>
      <c r="AL5" s="125">
        <f t="shared" si="1"/>
        <v>46</v>
      </c>
      <c r="AM5" s="124">
        <v>5</v>
      </c>
      <c r="AN5" s="124">
        <v>12</v>
      </c>
      <c r="AO5" s="126"/>
      <c r="AP5" s="126" t="s">
        <v>163</v>
      </c>
      <c r="AQ5" s="124">
        <v>193</v>
      </c>
      <c r="AR5" s="124">
        <v>77</v>
      </c>
      <c r="AS5" s="127" t="s">
        <v>605</v>
      </c>
      <c r="AT5" s="124"/>
      <c r="AU5" s="128">
        <f t="shared" ca="1" si="2"/>
        <v>25</v>
      </c>
      <c r="AV5" s="128" t="str">
        <f t="shared" si="3"/>
        <v>193/77</v>
      </c>
      <c r="AW5" s="129" t="str">
        <f t="shared" ca="1" si="6"/>
        <v>Grlický</v>
      </c>
      <c r="AX5" s="130" t="str">
        <f t="shared" ca="1" si="4"/>
        <v>0 OZ, 0 (0+0)</v>
      </c>
      <c r="AY5" s="130" t="str">
        <f t="shared" ca="1" si="5"/>
        <v>62 OZ, 46 (14+32)</v>
      </c>
      <c r="AZ5" s="131"/>
      <c r="BA5" s="131"/>
      <c r="BB5" s="131"/>
      <c r="BC5" s="131"/>
      <c r="BD5" s="90" t="str">
        <f t="shared" si="7"/>
        <v>Grlický</v>
      </c>
      <c r="BE5" s="92">
        <f t="shared" ca="1" si="8"/>
        <v>1</v>
      </c>
      <c r="BF5" s="91" t="str">
        <f t="shared" si="9"/>
        <v>M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/>
      <c r="BO5" s="123"/>
      <c r="BP5" s="132"/>
      <c r="BQ5" s="133"/>
      <c r="BR5" s="128" t="str">
        <f t="shared" ca="1" si="16"/>
        <v/>
      </c>
      <c r="BS5" s="361"/>
      <c r="BT5" s="105" t="s">
        <v>626</v>
      </c>
      <c r="BU5" s="104">
        <v>2</v>
      </c>
      <c r="BV5" s="105" t="str">
        <f t="shared" si="17"/>
        <v>Martin Ležatka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564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-2</v>
      </c>
      <c r="AC6" s="103" t="str">
        <f t="shared" ca="1" si="0"/>
        <v>NE</v>
      </c>
      <c r="AG6" s="122" t="s">
        <v>577</v>
      </c>
      <c r="AH6" s="123">
        <v>37454</v>
      </c>
      <c r="AI6" s="124">
        <v>10</v>
      </c>
      <c r="AJ6" s="124">
        <v>0</v>
      </c>
      <c r="AK6" s="124">
        <v>0</v>
      </c>
      <c r="AL6" s="125">
        <f t="shared" si="1"/>
        <v>0</v>
      </c>
      <c r="AM6" s="124">
        <v>3</v>
      </c>
      <c r="AN6" s="124">
        <v>49</v>
      </c>
      <c r="AO6" s="126"/>
      <c r="AP6" s="126" t="s">
        <v>163</v>
      </c>
      <c r="AQ6" s="124">
        <v>180</v>
      </c>
      <c r="AR6" s="124">
        <v>80</v>
      </c>
      <c r="AS6" s="127" t="s">
        <v>603</v>
      </c>
      <c r="AT6" s="124">
        <v>2015</v>
      </c>
      <c r="AU6" s="128">
        <f t="shared" ca="1" si="2"/>
        <v>19</v>
      </c>
      <c r="AV6" s="128" t="str">
        <f t="shared" si="3"/>
        <v>180/80</v>
      </c>
      <c r="AW6" s="129" t="str">
        <f t="shared" ca="1" si="6"/>
        <v>Hájek</v>
      </c>
      <c r="AX6" s="130" t="str">
        <f t="shared" ca="1" si="4"/>
        <v>1 OZ, 0 (0+0), 0 ±</v>
      </c>
      <c r="AY6" s="130" t="str">
        <f t="shared" ca="1" si="5"/>
        <v>11 OZ, 0 (0+0)</v>
      </c>
      <c r="AZ6" s="131"/>
      <c r="BA6" s="131"/>
      <c r="BB6" s="131"/>
      <c r="BC6" s="131"/>
      <c r="BD6" s="3" t="str">
        <f t="shared" si="7"/>
        <v>Hájek</v>
      </c>
      <c r="BE6" s="85">
        <f t="shared" ca="1" si="8"/>
        <v>1</v>
      </c>
      <c r="BF6" s="62" t="str">
        <f t="shared" si="9"/>
        <v>K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/>
      <c r="BO6" s="123"/>
      <c r="BP6" s="132"/>
      <c r="BQ6" s="133"/>
      <c r="BR6" s="128" t="str">
        <f t="shared" ca="1" si="16"/>
        <v/>
      </c>
      <c r="BS6" s="361"/>
      <c r="BT6" s="105" t="s">
        <v>1037</v>
      </c>
      <c r="BU6" s="104">
        <v>2</v>
      </c>
      <c r="BV6" s="105" t="str">
        <f t="shared" si="17"/>
        <v>David Ležatka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566</v>
      </c>
      <c r="T7" s="103" t="s">
        <v>133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0</v>
      </c>
      <c r="AB7" s="103">
        <v>1</v>
      </c>
      <c r="AC7" s="103" t="str">
        <f t="shared" ca="1" si="0"/>
        <v>ANO</v>
      </c>
      <c r="AG7" s="122" t="s">
        <v>566</v>
      </c>
      <c r="AH7" s="123">
        <v>34470</v>
      </c>
      <c r="AI7" s="124">
        <v>171</v>
      </c>
      <c r="AJ7" s="124">
        <v>99</v>
      </c>
      <c r="AK7" s="124">
        <v>61</v>
      </c>
      <c r="AL7" s="125">
        <f t="shared" si="1"/>
        <v>160</v>
      </c>
      <c r="AM7" s="124">
        <v>11</v>
      </c>
      <c r="AN7" s="124">
        <v>97</v>
      </c>
      <c r="AO7" s="126"/>
      <c r="AP7" s="126" t="s">
        <v>163</v>
      </c>
      <c r="AQ7" s="124">
        <v>174</v>
      </c>
      <c r="AR7" s="124">
        <v>73</v>
      </c>
      <c r="AS7" s="127" t="s">
        <v>606</v>
      </c>
      <c r="AT7" s="124">
        <v>2003</v>
      </c>
      <c r="AU7" s="128">
        <f t="shared" ca="1" si="2"/>
        <v>27</v>
      </c>
      <c r="AV7" s="128" t="str">
        <f t="shared" si="3"/>
        <v>174/73</v>
      </c>
      <c r="AW7" s="129" t="str">
        <f t="shared" ca="1" si="6"/>
        <v>Hrabal</v>
      </c>
      <c r="AX7" s="130" t="str">
        <f t="shared" ca="1" si="4"/>
        <v>2 OZ, 1 (0+1), +1 ±</v>
      </c>
      <c r="AY7" s="130" t="str">
        <f t="shared" ca="1" si="5"/>
        <v>173 OZ, 161 (99+62)</v>
      </c>
      <c r="AZ7" s="131"/>
      <c r="BA7" s="131"/>
      <c r="BB7" s="131"/>
      <c r="BC7" s="131"/>
      <c r="BD7" s="90" t="str">
        <f t="shared" si="7"/>
        <v>Hrabal</v>
      </c>
      <c r="BE7" s="92">
        <f t="shared" ca="1" si="8"/>
        <v>1</v>
      </c>
      <c r="BF7" s="91" t="str">
        <f t="shared" si="9"/>
        <v>F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627</v>
      </c>
      <c r="BU7" s="104" t="s">
        <v>1038</v>
      </c>
      <c r="BV7" s="105" t="str">
        <f t="shared" si="17"/>
        <v>Adam Kohút</v>
      </c>
      <c r="BW7" s="113">
        <f t="shared" si="18"/>
        <v>5.54</v>
      </c>
      <c r="BX7" s="360" t="s">
        <v>234</v>
      </c>
      <c r="BY7" s="104" t="s">
        <v>296</v>
      </c>
      <c r="BZ7" s="104" t="s">
        <v>102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104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568</v>
      </c>
      <c r="T8" s="103" t="s">
        <v>133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0</v>
      </c>
      <c r="AB8" s="103">
        <v>-2</v>
      </c>
      <c r="AC8" s="103" t="str">
        <f t="shared" ca="1" si="0"/>
        <v>ANO</v>
      </c>
      <c r="AG8" s="122" t="s">
        <v>583</v>
      </c>
      <c r="AH8" s="123">
        <v>35893</v>
      </c>
      <c r="AI8" s="124">
        <v>44</v>
      </c>
      <c r="AJ8" s="124">
        <v>12</v>
      </c>
      <c r="AK8" s="124">
        <v>17</v>
      </c>
      <c r="AL8" s="125">
        <f t="shared" si="1"/>
        <v>29</v>
      </c>
      <c r="AM8" s="124">
        <v>6</v>
      </c>
      <c r="AN8" s="124">
        <v>70</v>
      </c>
      <c r="AO8" s="126"/>
      <c r="AP8" s="126" t="s">
        <v>163</v>
      </c>
      <c r="AQ8" s="124">
        <v>185</v>
      </c>
      <c r="AR8" s="124">
        <v>75</v>
      </c>
      <c r="AS8" s="127" t="s">
        <v>607</v>
      </c>
      <c r="AT8" s="124">
        <v>2008</v>
      </c>
      <c r="AU8" s="128">
        <f t="shared" ca="1" si="2"/>
        <v>23</v>
      </c>
      <c r="AV8" s="128" t="str">
        <f t="shared" si="3"/>
        <v>185/75</v>
      </c>
      <c r="AW8" s="129" t="str">
        <f t="shared" ca="1" si="6"/>
        <v>Hronek</v>
      </c>
      <c r="AX8" s="130" t="str">
        <f t="shared" ca="1" si="4"/>
        <v>0 OZ, 0 (0+0)</v>
      </c>
      <c r="AY8" s="130" t="str">
        <f t="shared" ca="1" si="5"/>
        <v>44 OZ, 29 (12+17)</v>
      </c>
      <c r="AZ8" s="131"/>
      <c r="BA8" s="131"/>
      <c r="BB8" s="131"/>
      <c r="BC8" s="131"/>
      <c r="BD8" s="3" t="str">
        <f t="shared" si="7"/>
        <v>Hronek</v>
      </c>
      <c r="BE8" s="85">
        <f t="shared" ca="1" si="8"/>
        <v>1</v>
      </c>
      <c r="BF8" s="62" t="str">
        <f t="shared" si="9"/>
        <v>M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629</v>
      </c>
      <c r="BU8" s="104" t="s">
        <v>216</v>
      </c>
      <c r="BV8" s="105" t="str">
        <f t="shared" si="17"/>
        <v>Kevin Majrich</v>
      </c>
      <c r="BW8" s="113">
        <f t="shared" si="18"/>
        <v>0</v>
      </c>
      <c r="BX8" s="360"/>
      <c r="BY8" s="104" t="s">
        <v>228</v>
      </c>
      <c r="BZ8" s="104" t="s">
        <v>100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577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584</v>
      </c>
      <c r="AH9" s="123">
        <v>37306</v>
      </c>
      <c r="AI9" s="124">
        <v>25</v>
      </c>
      <c r="AJ9" s="124">
        <v>3</v>
      </c>
      <c r="AK9" s="124">
        <v>0</v>
      </c>
      <c r="AL9" s="125">
        <f t="shared" si="1"/>
        <v>3</v>
      </c>
      <c r="AM9" s="124">
        <v>3</v>
      </c>
      <c r="AN9" s="124">
        <v>55</v>
      </c>
      <c r="AO9" s="126"/>
      <c r="AP9" s="126" t="s">
        <v>163</v>
      </c>
      <c r="AQ9" s="124">
        <v>193</v>
      </c>
      <c r="AR9" s="124">
        <v>90</v>
      </c>
      <c r="AS9" s="127" t="s">
        <v>608</v>
      </c>
      <c r="AT9" s="124">
        <v>2016</v>
      </c>
      <c r="AU9" s="128">
        <f t="shared" ca="1" si="2"/>
        <v>19</v>
      </c>
      <c r="AV9" s="128" t="str">
        <f t="shared" si="3"/>
        <v>193/90</v>
      </c>
      <c r="AW9" s="129" t="str">
        <f t="shared" ca="1" si="6"/>
        <v>Hrtús</v>
      </c>
      <c r="AX9" s="130" t="str">
        <f t="shared" ca="1" si="4"/>
        <v>0 OZ, 0 (0+0)</v>
      </c>
      <c r="AY9" s="130" t="str">
        <f t="shared" ca="1" si="5"/>
        <v>25 OZ, 3 (3+0)</v>
      </c>
      <c r="AZ9" s="131"/>
      <c r="BA9" s="131"/>
      <c r="BB9" s="131"/>
      <c r="BC9" s="131"/>
      <c r="BD9" s="90" t="str">
        <f t="shared" si="7"/>
        <v>Hrtús</v>
      </c>
      <c r="BE9" s="92">
        <f t="shared" ca="1" si="8"/>
        <v>1</v>
      </c>
      <c r="BF9" s="91" t="str">
        <f t="shared" si="9"/>
        <v>J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297</v>
      </c>
      <c r="BZ9" s="104" t="s">
        <v>109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569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396</v>
      </c>
      <c r="AH10" s="123"/>
      <c r="AI10" s="124"/>
      <c r="AJ10" s="124"/>
      <c r="AK10" s="124"/>
      <c r="AL10" s="125">
        <f t="shared" si="1"/>
        <v>0</v>
      </c>
      <c r="AM10" s="124" t="s">
        <v>337</v>
      </c>
      <c r="AN10" s="124"/>
      <c r="AO10" s="126"/>
      <c r="AP10" s="126"/>
      <c r="AQ10" s="124"/>
      <c r="AR10" s="124"/>
      <c r="AS10" s="127"/>
      <c r="AT10" s="124"/>
      <c r="AU10" s="128" t="str">
        <f t="shared" ca="1" si="2"/>
        <v>?</v>
      </c>
      <c r="AV10" s="128" t="str">
        <f t="shared" si="3"/>
        <v>? / ?</v>
      </c>
      <c r="AW10" s="129" t="str">
        <f t="shared" ca="1" si="6"/>
        <v>Janis Anis</v>
      </c>
      <c r="AX10" s="130" t="str">
        <f t="shared" ca="1" si="4"/>
        <v>0 OZ, 0 (0+0)</v>
      </c>
      <c r="AY10" s="130" t="str">
        <f t="shared" ca="1" si="5"/>
        <v xml:space="preserve"> OZ, 0 (+)</v>
      </c>
      <c r="AZ10" s="131"/>
      <c r="BA10" s="131"/>
      <c r="BB10" s="131"/>
      <c r="BC10" s="131"/>
      <c r="BD10" s="3" t="str">
        <f t="shared" si="7"/>
        <v>Janis Anis</v>
      </c>
      <c r="BE10" s="85">
        <f t="shared" ca="1" si="8"/>
        <v>1</v>
      </c>
      <c r="BF10" s="62" t="str">
        <f t="shared" si="9"/>
        <v>D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107</v>
      </c>
      <c r="CA10" s="116" t="s">
        <v>226</v>
      </c>
    </row>
    <row r="11" spans="1:79" ht="15" customHeight="1" thickTop="1" thickBot="1" x14ac:dyDescent="0.25">
      <c r="R11" s="13"/>
      <c r="S11" s="111" t="s">
        <v>595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ANO</v>
      </c>
      <c r="AG11" s="122" t="s">
        <v>585</v>
      </c>
      <c r="AH11" s="123">
        <v>37547</v>
      </c>
      <c r="AI11" s="124">
        <v>9</v>
      </c>
      <c r="AJ11" s="124">
        <v>0</v>
      </c>
      <c r="AK11" s="124">
        <v>0</v>
      </c>
      <c r="AL11" s="125">
        <f t="shared" si="1"/>
        <v>0</v>
      </c>
      <c r="AM11" s="124">
        <v>2</v>
      </c>
      <c r="AN11" s="124">
        <v>99</v>
      </c>
      <c r="AO11" s="126"/>
      <c r="AP11" s="126" t="s">
        <v>163</v>
      </c>
      <c r="AQ11" s="124">
        <v>188</v>
      </c>
      <c r="AR11" s="124">
        <v>78</v>
      </c>
      <c r="AS11" s="127" t="s">
        <v>603</v>
      </c>
      <c r="AT11" s="124">
        <v>2014</v>
      </c>
      <c r="AU11" s="128">
        <f t="shared" ca="1" si="2"/>
        <v>18</v>
      </c>
      <c r="AV11" s="128" t="str">
        <f t="shared" si="3"/>
        <v>188/78</v>
      </c>
      <c r="AW11" s="129" t="str">
        <f t="shared" ca="1" si="6"/>
        <v>Javořík</v>
      </c>
      <c r="AX11" s="130" t="str">
        <f t="shared" ca="1" si="4"/>
        <v>0 OZ, 0 (0+0)</v>
      </c>
      <c r="AY11" s="130" t="str">
        <f t="shared" ca="1" si="5"/>
        <v>9 OZ, 0 (0+0)</v>
      </c>
      <c r="AZ11" s="131"/>
      <c r="BA11" s="131"/>
      <c r="BB11" s="131"/>
      <c r="BC11" s="131"/>
      <c r="BD11" s="90" t="str">
        <f t="shared" si="7"/>
        <v>Javořík</v>
      </c>
      <c r="BE11" s="92">
        <f t="shared" ca="1" si="8"/>
        <v>1</v>
      </c>
      <c r="BF11" s="91" t="str">
        <f t="shared" si="9"/>
        <v>A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106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572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571</v>
      </c>
      <c r="AH12" s="123">
        <v>34470</v>
      </c>
      <c r="AI12" s="124">
        <v>141</v>
      </c>
      <c r="AJ12" s="124">
        <v>41</v>
      </c>
      <c r="AK12" s="124">
        <v>20</v>
      </c>
      <c r="AL12" s="125">
        <f t="shared" si="1"/>
        <v>61</v>
      </c>
      <c r="AM12" s="124">
        <v>10</v>
      </c>
      <c r="AN12" s="124">
        <v>21</v>
      </c>
      <c r="AO12" s="126"/>
      <c r="AP12" s="126" t="s">
        <v>27</v>
      </c>
      <c r="AQ12" s="124">
        <v>176</v>
      </c>
      <c r="AR12" s="124">
        <v>80</v>
      </c>
      <c r="AS12" s="127" t="s">
        <v>609</v>
      </c>
      <c r="AT12" s="124">
        <v>2005</v>
      </c>
      <c r="AU12" s="128">
        <f t="shared" ca="1" si="2"/>
        <v>27</v>
      </c>
      <c r="AV12" s="128" t="str">
        <f t="shared" si="3"/>
        <v>176/80</v>
      </c>
      <c r="AW12" s="129" t="str">
        <f t="shared" ca="1" si="6"/>
        <v>Jurčík</v>
      </c>
      <c r="AX12" s="130" t="str">
        <f t="shared" ca="1" si="4"/>
        <v>2 OZ, 0 (0+0), -2 ±</v>
      </c>
      <c r="AY12" s="130" t="str">
        <f t="shared" ca="1" si="5"/>
        <v>143 OZ, 61 (41+20)</v>
      </c>
      <c r="AZ12" s="131"/>
      <c r="BA12" s="131"/>
      <c r="BB12" s="131"/>
      <c r="BC12" s="131"/>
      <c r="BD12" s="3" t="str">
        <f t="shared" si="7"/>
        <v>Jurčík</v>
      </c>
      <c r="BE12" s="85">
        <f t="shared" ca="1" si="8"/>
        <v>1</v>
      </c>
      <c r="BF12" s="62" t="str">
        <f t="shared" si="9"/>
        <v>P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624</v>
      </c>
      <c r="BU12" s="104">
        <v>3</v>
      </c>
      <c r="BV12" s="105" t="str">
        <f t="shared" si="17"/>
        <v>František Vykopal</v>
      </c>
      <c r="BW12" s="103">
        <f t="shared" si="18"/>
        <v>3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579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586</v>
      </c>
      <c r="AH13" s="123">
        <v>37776</v>
      </c>
      <c r="AI13" s="124">
        <v>1</v>
      </c>
      <c r="AJ13" s="124">
        <v>0</v>
      </c>
      <c r="AK13" s="124">
        <v>0</v>
      </c>
      <c r="AL13" s="125">
        <f t="shared" si="1"/>
        <v>0</v>
      </c>
      <c r="AM13" s="124">
        <v>2</v>
      </c>
      <c r="AN13" s="124">
        <v>49</v>
      </c>
      <c r="AO13" s="126"/>
      <c r="AP13" s="126" t="s">
        <v>163</v>
      </c>
      <c r="AQ13" s="124">
        <v>172</v>
      </c>
      <c r="AR13" s="124">
        <v>67</v>
      </c>
      <c r="AS13" s="127" t="s">
        <v>608</v>
      </c>
      <c r="AT13" s="124">
        <v>2014</v>
      </c>
      <c r="AU13" s="128">
        <f t="shared" ca="1" si="2"/>
        <v>18</v>
      </c>
      <c r="AV13" s="128" t="str">
        <f t="shared" si="3"/>
        <v>172/67</v>
      </c>
      <c r="AW13" s="129" t="str">
        <f t="shared" ca="1" si="6"/>
        <v>Kahoun</v>
      </c>
      <c r="AX13" s="130" t="str">
        <f t="shared" ca="1" si="4"/>
        <v>0 OZ, 0 (0+0)</v>
      </c>
      <c r="AY13" s="130" t="str">
        <f t="shared" ca="1" si="5"/>
        <v>1 OZ, 0 (0+0)</v>
      </c>
      <c r="AZ13" s="131"/>
      <c r="BA13" s="131"/>
      <c r="BB13" s="131"/>
      <c r="BC13" s="131"/>
      <c r="BD13" s="90" t="str">
        <f t="shared" si="7"/>
        <v>Kahoun</v>
      </c>
      <c r="BE13" s="92">
        <f t="shared" ca="1" si="8"/>
        <v>1</v>
      </c>
      <c r="BF13" s="91" t="str">
        <f t="shared" si="9"/>
        <v>O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1039</v>
      </c>
      <c r="BU13" s="104">
        <v>2</v>
      </c>
      <c r="BV13" s="105" t="str">
        <f t="shared" si="17"/>
        <v>Martin Ležatka</v>
      </c>
      <c r="BW13" s="103">
        <f t="shared" si="18"/>
        <v>2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578</v>
      </c>
      <c r="T14" s="103" t="s">
        <v>133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ANO</v>
      </c>
      <c r="AG14" s="122" t="s">
        <v>587</v>
      </c>
      <c r="AH14" s="123">
        <v>35541</v>
      </c>
      <c r="AI14" s="124">
        <v>85</v>
      </c>
      <c r="AJ14" s="124">
        <v>10</v>
      </c>
      <c r="AK14" s="124">
        <v>10</v>
      </c>
      <c r="AL14" s="125">
        <f t="shared" si="1"/>
        <v>20</v>
      </c>
      <c r="AM14" s="124">
        <v>7</v>
      </c>
      <c r="AN14" s="124">
        <v>12</v>
      </c>
      <c r="AO14" s="126"/>
      <c r="AP14" s="126" t="s">
        <v>163</v>
      </c>
      <c r="AQ14" s="124">
        <v>181</v>
      </c>
      <c r="AR14" s="124">
        <v>80</v>
      </c>
      <c r="AS14" s="127" t="s">
        <v>610</v>
      </c>
      <c r="AT14" s="124">
        <v>2007</v>
      </c>
      <c r="AU14" s="128">
        <f t="shared" ca="1" si="2"/>
        <v>24</v>
      </c>
      <c r="AV14" s="128" t="str">
        <f t="shared" si="3"/>
        <v>181/80</v>
      </c>
      <c r="AW14" s="129" t="str">
        <f t="shared" ca="1" si="6"/>
        <v>Kladivo</v>
      </c>
      <c r="AX14" s="130" t="str">
        <f t="shared" ca="1" si="4"/>
        <v>0 OZ, 0 (0+0)</v>
      </c>
      <c r="AY14" s="130" t="str">
        <f t="shared" ca="1" si="5"/>
        <v>85 OZ, 20 (10+10)</v>
      </c>
      <c r="AZ14" s="131"/>
      <c r="BA14" s="131"/>
      <c r="BB14" s="131"/>
      <c r="BC14" s="131"/>
      <c r="BD14" s="3" t="str">
        <f t="shared" si="7"/>
        <v>Kladivo</v>
      </c>
      <c r="BE14" s="85">
        <f t="shared" ca="1" si="8"/>
        <v>1</v>
      </c>
      <c r="BF14" s="62" t="str">
        <f t="shared" si="9"/>
        <v>M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1036</v>
      </c>
      <c r="BU14" s="104">
        <v>2</v>
      </c>
      <c r="BV14" s="105" t="str">
        <f t="shared" si="17"/>
        <v>Peter Nehila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573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-2</v>
      </c>
      <c r="AC15" s="103" t="str">
        <f t="shared" ca="1" si="0"/>
        <v>ANO</v>
      </c>
      <c r="AG15" s="122" t="s">
        <v>448</v>
      </c>
      <c r="AH15" s="123">
        <v>36648</v>
      </c>
      <c r="AI15" s="124">
        <v>91</v>
      </c>
      <c r="AJ15" s="124">
        <v>36</v>
      </c>
      <c r="AK15" s="124">
        <v>28</v>
      </c>
      <c r="AL15" s="125">
        <f t="shared" si="1"/>
        <v>64</v>
      </c>
      <c r="AM15" s="124">
        <v>5</v>
      </c>
      <c r="AN15" s="124">
        <v>25</v>
      </c>
      <c r="AO15" s="126"/>
      <c r="AP15" s="126" t="s">
        <v>163</v>
      </c>
      <c r="AQ15" s="124">
        <v>185</v>
      </c>
      <c r="AR15" s="124">
        <v>77</v>
      </c>
      <c r="AS15" s="127" t="s">
        <v>167</v>
      </c>
      <c r="AT15" s="124">
        <v>2008</v>
      </c>
      <c r="AU15" s="128">
        <f t="shared" ca="1" si="2"/>
        <v>21</v>
      </c>
      <c r="AV15" s="128" t="str">
        <f t="shared" si="3"/>
        <v>185/77</v>
      </c>
      <c r="AW15" s="129" t="str">
        <f t="shared" ca="1" si="6"/>
        <v>Koláčný</v>
      </c>
      <c r="AX15" s="130" t="str">
        <f t="shared" ca="1" si="4"/>
        <v>0 OZ, 0 (0+0)</v>
      </c>
      <c r="AY15" s="130" t="str">
        <f t="shared" ca="1" si="5"/>
        <v>91 OZ, 64 (36+28)</v>
      </c>
      <c r="AZ15" s="131"/>
      <c r="BA15" s="131"/>
      <c r="BB15" s="131"/>
      <c r="BC15" s="131"/>
      <c r="BD15" s="90" t="str">
        <f t="shared" si="7"/>
        <v>Koláčný</v>
      </c>
      <c r="BE15" s="92">
        <f t="shared" ca="1" si="8"/>
        <v>1</v>
      </c>
      <c r="BF15" s="91" t="str">
        <f t="shared" si="9"/>
        <v>P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630</v>
      </c>
      <c r="BU15" s="104">
        <v>2</v>
      </c>
      <c r="BV15" s="105" t="str">
        <f t="shared" si="17"/>
        <v>Ronald Gašparík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567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588</v>
      </c>
      <c r="AH16" s="123">
        <v>37962</v>
      </c>
      <c r="AI16" s="124">
        <v>5</v>
      </c>
      <c r="AJ16" s="124">
        <v>0</v>
      </c>
      <c r="AK16" s="124">
        <v>0</v>
      </c>
      <c r="AL16" s="125">
        <f t="shared" si="1"/>
        <v>0</v>
      </c>
      <c r="AM16" s="124">
        <v>2</v>
      </c>
      <c r="AN16" s="124">
        <v>55</v>
      </c>
      <c r="AO16" s="126"/>
      <c r="AP16" s="126" t="s">
        <v>163</v>
      </c>
      <c r="AQ16" s="124">
        <v>196</v>
      </c>
      <c r="AR16" s="124">
        <v>91</v>
      </c>
      <c r="AS16" s="127" t="s">
        <v>608</v>
      </c>
      <c r="AT16" s="124">
        <v>2013</v>
      </c>
      <c r="AU16" s="128">
        <f t="shared" ca="1" si="2"/>
        <v>17</v>
      </c>
      <c r="AV16" s="128" t="str">
        <f t="shared" si="3"/>
        <v>196/91</v>
      </c>
      <c r="AW16" s="129" t="str">
        <f t="shared" ca="1" si="6"/>
        <v>Kopecký</v>
      </c>
      <c r="AX16" s="130" t="str">
        <f t="shared" ca="1" si="4"/>
        <v>0 OZ, 0 (0+0)</v>
      </c>
      <c r="AY16" s="130" t="str">
        <f t="shared" ca="1" si="5"/>
        <v>5 OZ, 0 (0+0)</v>
      </c>
      <c r="AZ16" s="131"/>
      <c r="BA16" s="131"/>
      <c r="BB16" s="131"/>
      <c r="BC16" s="131"/>
      <c r="BD16" s="3" t="str">
        <f t="shared" si="7"/>
        <v>Kopecký</v>
      </c>
      <c r="BE16" s="85">
        <f t="shared" ca="1" si="8"/>
        <v>1</v>
      </c>
      <c r="BF16" s="62" t="str">
        <f t="shared" si="9"/>
        <v>P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1037</v>
      </c>
      <c r="BU16" s="104">
        <v>1</v>
      </c>
      <c r="BV16" s="105" t="str">
        <f t="shared" si="17"/>
        <v>David Ležatka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576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NE</v>
      </c>
      <c r="AG17" s="122" t="s">
        <v>589</v>
      </c>
      <c r="AH17" s="123">
        <v>36933</v>
      </c>
      <c r="AI17" s="124">
        <v>2</v>
      </c>
      <c r="AJ17" s="124">
        <v>0</v>
      </c>
      <c r="AK17" s="124">
        <v>0</v>
      </c>
      <c r="AL17" s="125">
        <f t="shared" si="1"/>
        <v>0</v>
      </c>
      <c r="AM17" s="124">
        <v>2</v>
      </c>
      <c r="AN17" s="124">
        <v>89</v>
      </c>
      <c r="AO17" s="126"/>
      <c r="AP17" s="126"/>
      <c r="AQ17" s="124">
        <v>187</v>
      </c>
      <c r="AR17" s="124">
        <v>83</v>
      </c>
      <c r="AS17" s="127" t="s">
        <v>611</v>
      </c>
      <c r="AT17" s="124">
        <v>2018</v>
      </c>
      <c r="AU17" s="128">
        <f t="shared" ca="1" si="2"/>
        <v>20</v>
      </c>
      <c r="AV17" s="128" t="str">
        <f t="shared" si="3"/>
        <v>187/83</v>
      </c>
      <c r="AW17" s="129" t="str">
        <f t="shared" ca="1" si="6"/>
        <v>Kubíček</v>
      </c>
      <c r="AX17" s="130" t="str">
        <f t="shared" ca="1" si="4"/>
        <v>0 OZ, 0 (0+0)</v>
      </c>
      <c r="AY17" s="130" t="str">
        <f t="shared" ca="1" si="5"/>
        <v>2 OZ, 0 (0+0)</v>
      </c>
      <c r="AZ17" s="131"/>
      <c r="BA17" s="131"/>
      <c r="BB17" s="131"/>
      <c r="BC17" s="131"/>
      <c r="BD17" s="90" t="str">
        <f t="shared" si="7"/>
        <v>Kubíček</v>
      </c>
      <c r="BE17" s="92">
        <f t="shared" ca="1" si="8"/>
        <v>1</v>
      </c>
      <c r="BF17" s="91" t="str">
        <f t="shared" si="9"/>
        <v>M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627</v>
      </c>
      <c r="BU17" s="104">
        <v>0</v>
      </c>
      <c r="BV17" s="105" t="str">
        <f t="shared" si="17"/>
        <v>Adam Kohút</v>
      </c>
      <c r="BW17" s="103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570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4</v>
      </c>
      <c r="AB18" s="103">
        <v>-5</v>
      </c>
      <c r="AC18" s="103" t="str">
        <f t="shared" ca="1" si="0"/>
        <v>NE</v>
      </c>
      <c r="AG18" s="122" t="s">
        <v>575</v>
      </c>
      <c r="AH18" s="123">
        <v>36427</v>
      </c>
      <c r="AI18" s="124">
        <v>88</v>
      </c>
      <c r="AJ18" s="124">
        <v>14</v>
      </c>
      <c r="AK18" s="124">
        <v>11</v>
      </c>
      <c r="AL18" s="125">
        <f t="shared" si="1"/>
        <v>25</v>
      </c>
      <c r="AM18" s="124">
        <v>5</v>
      </c>
      <c r="AN18" s="124">
        <v>74</v>
      </c>
      <c r="AO18" s="126" t="s">
        <v>180</v>
      </c>
      <c r="AP18" s="126" t="s">
        <v>27</v>
      </c>
      <c r="AQ18" s="124">
        <v>181</v>
      </c>
      <c r="AR18" s="124">
        <v>72</v>
      </c>
      <c r="AS18" s="127" t="s">
        <v>474</v>
      </c>
      <c r="AT18" s="124">
        <v>2004</v>
      </c>
      <c r="AU18" s="128">
        <f t="shared" ca="1" si="2"/>
        <v>22</v>
      </c>
      <c r="AV18" s="128" t="str">
        <f t="shared" si="3"/>
        <v>181/72</v>
      </c>
      <c r="AW18" s="129" t="str">
        <f t="shared" ca="1" si="6"/>
        <v>Kvapil</v>
      </c>
      <c r="AX18" s="130" t="str">
        <f t="shared" ca="1" si="4"/>
        <v>2 OZ, 0 (0+0), -5 ±</v>
      </c>
      <c r="AY18" s="130" t="str">
        <f t="shared" ca="1" si="5"/>
        <v>90 OZ, 25 (14+11)</v>
      </c>
      <c r="AZ18" s="131"/>
      <c r="BA18" s="131"/>
      <c r="BB18" s="131"/>
      <c r="BC18" s="131"/>
      <c r="BD18" s="3" t="str">
        <f t="shared" si="7"/>
        <v>Kvapil</v>
      </c>
      <c r="BE18" s="85">
        <f t="shared" ca="1" si="8"/>
        <v>1</v>
      </c>
      <c r="BF18" s="62" t="str">
        <f t="shared" si="9"/>
        <v>L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629</v>
      </c>
      <c r="BU18" s="104">
        <v>0</v>
      </c>
      <c r="BV18" s="105" t="str">
        <f t="shared" si="17"/>
        <v>Kevin Majrich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OTR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571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-2</v>
      </c>
      <c r="AC19" s="103" t="str">
        <f t="shared" ca="1" si="0"/>
        <v>ANO</v>
      </c>
      <c r="AG19" s="122" t="s">
        <v>590</v>
      </c>
      <c r="AH19" s="123"/>
      <c r="AI19" s="124"/>
      <c r="AJ19" s="124"/>
      <c r="AK19" s="124"/>
      <c r="AL19" s="125">
        <f t="shared" si="1"/>
        <v>0</v>
      </c>
      <c r="AM19" s="124" t="s">
        <v>337</v>
      </c>
      <c r="AN19" s="124"/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6"/>
        <v>Lapinš</v>
      </c>
      <c r="AX19" s="130" t="str">
        <f t="shared" ca="1" si="4"/>
        <v>0 OZ, 0 (0+0)</v>
      </c>
      <c r="AY19" s="130" t="str">
        <f t="shared" ca="1" si="5"/>
        <v xml:space="preserve"> OZ, 0 (+)</v>
      </c>
      <c r="AZ19" s="131"/>
      <c r="BA19" s="131"/>
      <c r="BB19" s="131"/>
      <c r="BC19" s="131"/>
      <c r="BD19" s="90" t="str">
        <f t="shared" si="7"/>
        <v>Lapinš</v>
      </c>
      <c r="BE19" s="92">
        <f t="shared" ca="1" si="8"/>
        <v>1</v>
      </c>
      <c r="BF19" s="91" t="str">
        <f t="shared" si="9"/>
        <v>V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574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1</v>
      </c>
      <c r="AC20" s="103" t="str">
        <f t="shared" ca="1" si="0"/>
        <v>ANO</v>
      </c>
      <c r="AG20" s="122" t="s">
        <v>572</v>
      </c>
      <c r="AH20" s="123">
        <v>35838</v>
      </c>
      <c r="AI20" s="124">
        <v>34</v>
      </c>
      <c r="AJ20" s="124">
        <v>0</v>
      </c>
      <c r="AK20" s="124">
        <v>1</v>
      </c>
      <c r="AL20" s="125">
        <f t="shared" si="1"/>
        <v>1</v>
      </c>
      <c r="AM20" s="124">
        <v>6</v>
      </c>
      <c r="AN20" s="124">
        <v>29</v>
      </c>
      <c r="AO20" s="126"/>
      <c r="AP20" s="126"/>
      <c r="AQ20" s="124">
        <v>181</v>
      </c>
      <c r="AR20" s="124">
        <v>76</v>
      </c>
      <c r="AS20" s="127" t="s">
        <v>612</v>
      </c>
      <c r="AT20" s="124">
        <v>2012</v>
      </c>
      <c r="AU20" s="128">
        <f t="shared" ca="1" si="2"/>
        <v>23</v>
      </c>
      <c r="AV20" s="128" t="str">
        <f t="shared" si="3"/>
        <v>181/76</v>
      </c>
      <c r="AW20" s="129" t="str">
        <f t="shared" ca="1" si="6"/>
        <v>Majrich</v>
      </c>
      <c r="AX20" s="130" t="str">
        <f t="shared" ca="1" si="4"/>
        <v>0 V, 0 P</v>
      </c>
      <c r="AY20" s="130" t="str">
        <f t="shared" ca="1" si="5"/>
        <v>34 OZ, 1 A</v>
      </c>
      <c r="AZ20" s="131"/>
      <c r="BA20" s="131"/>
      <c r="BB20" s="131"/>
      <c r="BC20" s="131"/>
      <c r="BD20" s="3" t="str">
        <f t="shared" si="7"/>
        <v>Majrich</v>
      </c>
      <c r="BE20" s="85">
        <f t="shared" ca="1" si="8"/>
        <v>1</v>
      </c>
      <c r="BF20" s="62" t="str">
        <f t="shared" si="9"/>
        <v>K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575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-5</v>
      </c>
      <c r="AC21" s="103" t="str">
        <f t="shared" ca="1" si="0"/>
        <v>ANO</v>
      </c>
      <c r="AG21" s="122" t="s">
        <v>574</v>
      </c>
      <c r="AH21" s="123">
        <v>35695</v>
      </c>
      <c r="AI21" s="124">
        <v>38</v>
      </c>
      <c r="AJ21" s="124">
        <v>2</v>
      </c>
      <c r="AK21" s="124">
        <v>9</v>
      </c>
      <c r="AL21" s="125">
        <f t="shared" si="1"/>
        <v>11</v>
      </c>
      <c r="AM21" s="124">
        <v>5</v>
      </c>
      <c r="AN21" s="124">
        <v>13</v>
      </c>
      <c r="AO21" s="126"/>
      <c r="AP21" s="126" t="s">
        <v>163</v>
      </c>
      <c r="AQ21" s="124">
        <v>182</v>
      </c>
      <c r="AR21" s="124">
        <v>74</v>
      </c>
      <c r="AS21" s="127" t="s">
        <v>613</v>
      </c>
      <c r="AT21" s="124">
        <v>2008</v>
      </c>
      <c r="AU21" s="128">
        <f t="shared" ca="1" si="2"/>
        <v>24</v>
      </c>
      <c r="AV21" s="128" t="str">
        <f t="shared" si="3"/>
        <v>182/74</v>
      </c>
      <c r="AW21" s="129" t="str">
        <f t="shared" ca="1" si="6"/>
        <v>Medek</v>
      </c>
      <c r="AX21" s="130" t="str">
        <f t="shared" ca="1" si="4"/>
        <v>2 OZ, 0 (0+0), +1 ±</v>
      </c>
      <c r="AY21" s="130" t="str">
        <f t="shared" ca="1" si="5"/>
        <v>40 OZ, 11 (2+9)</v>
      </c>
      <c r="AZ21" s="131"/>
      <c r="BA21" s="131"/>
      <c r="BB21" s="131"/>
      <c r="BC21" s="131"/>
      <c r="BD21" s="90" t="str">
        <f t="shared" si="7"/>
        <v>Medek</v>
      </c>
      <c r="BE21" s="92">
        <f t="shared" ca="1" si="8"/>
        <v>1</v>
      </c>
      <c r="BF21" s="91" t="str">
        <f t="shared" si="9"/>
        <v>D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591</v>
      </c>
      <c r="AH22" s="123">
        <v>32521</v>
      </c>
      <c r="AI22" s="124">
        <v>224</v>
      </c>
      <c r="AJ22" s="124">
        <v>47</v>
      </c>
      <c r="AK22" s="124">
        <v>68</v>
      </c>
      <c r="AL22" s="125">
        <f t="shared" si="1"/>
        <v>115</v>
      </c>
      <c r="AM22" s="124">
        <v>12</v>
      </c>
      <c r="AN22" s="124">
        <v>56</v>
      </c>
      <c r="AO22" s="126"/>
      <c r="AP22" s="126" t="s">
        <v>163</v>
      </c>
      <c r="AQ22" s="124">
        <v>182</v>
      </c>
      <c r="AR22" s="124">
        <v>79</v>
      </c>
      <c r="AS22" s="127" t="s">
        <v>608</v>
      </c>
      <c r="AT22" s="124">
        <v>1998</v>
      </c>
      <c r="AU22" s="128">
        <f t="shared" ca="1" si="2"/>
        <v>32</v>
      </c>
      <c r="AV22" s="128" t="str">
        <f t="shared" si="3"/>
        <v>182/79</v>
      </c>
      <c r="AW22" s="129" t="str">
        <f t="shared" ca="1" si="6"/>
        <v>Nagy</v>
      </c>
      <c r="AX22" s="130" t="str">
        <f t="shared" ca="1" si="4"/>
        <v>0 OZ, 0 (0+0)</v>
      </c>
      <c r="AY22" s="130" t="str">
        <f t="shared" ca="1" si="5"/>
        <v>224 OZ, 115 (47+68)</v>
      </c>
      <c r="AZ22" s="131"/>
      <c r="BA22" s="131"/>
      <c r="BB22" s="131"/>
      <c r="BC22" s="131"/>
      <c r="BD22" s="3" t="str">
        <f t="shared" si="7"/>
        <v>Nagy</v>
      </c>
      <c r="BE22" s="85">
        <f t="shared" ca="1" si="8"/>
        <v>1</v>
      </c>
      <c r="BF22" s="62" t="str">
        <f t="shared" si="9"/>
        <v>M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1034</v>
      </c>
      <c r="BU22" s="104">
        <v>4</v>
      </c>
      <c r="BV22" s="105" t="str">
        <f t="shared" si="17"/>
        <v>Ronald Gašparík</v>
      </c>
      <c r="BW22" s="103">
        <f t="shared" si="18"/>
        <v>4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565</v>
      </c>
      <c r="AH23" s="123">
        <v>34858</v>
      </c>
      <c r="AI23" s="124">
        <v>62</v>
      </c>
      <c r="AJ23" s="124">
        <v>19</v>
      </c>
      <c r="AK23" s="124">
        <v>14</v>
      </c>
      <c r="AL23" s="125">
        <f t="shared" si="1"/>
        <v>33</v>
      </c>
      <c r="AM23" s="124">
        <v>5</v>
      </c>
      <c r="AN23" s="124">
        <v>99</v>
      </c>
      <c r="AO23" s="126"/>
      <c r="AP23" s="126" t="s">
        <v>163</v>
      </c>
      <c r="AQ23" s="124">
        <v>179</v>
      </c>
      <c r="AR23" s="124">
        <v>77</v>
      </c>
      <c r="AS23" s="127" t="s">
        <v>614</v>
      </c>
      <c r="AT23" s="124">
        <v>2007</v>
      </c>
      <c r="AU23" s="128">
        <f t="shared" ca="1" si="2"/>
        <v>26</v>
      </c>
      <c r="AV23" s="128" t="str">
        <f t="shared" si="3"/>
        <v>179/77</v>
      </c>
      <c r="AW23" s="129" t="str">
        <f t="shared" ca="1" si="6"/>
        <v>Nehila</v>
      </c>
      <c r="AX23" s="130" t="str">
        <f t="shared" ca="1" si="4"/>
        <v>2 OZ, 3 (2+1), 0 ±</v>
      </c>
      <c r="AY23" s="130" t="str">
        <f t="shared" ca="1" si="5"/>
        <v>64 OZ, 36 (21+15)</v>
      </c>
      <c r="AZ23" s="131"/>
      <c r="BA23" s="131"/>
      <c r="BB23" s="131"/>
      <c r="BC23" s="131"/>
      <c r="BD23" s="90" t="str">
        <f t="shared" si="7"/>
        <v>Nehila</v>
      </c>
      <c r="BE23" s="92">
        <f t="shared" ca="1" si="8"/>
        <v>1</v>
      </c>
      <c r="BF23" s="91" t="str">
        <f t="shared" si="9"/>
        <v>P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1035</v>
      </c>
      <c r="BU23" s="104">
        <v>2</v>
      </c>
      <c r="BV23" s="105" t="str">
        <f t="shared" si="17"/>
        <v>František Vykopal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568</v>
      </c>
      <c r="AH24" s="123">
        <v>30807</v>
      </c>
      <c r="AI24" s="124">
        <v>306</v>
      </c>
      <c r="AJ24" s="124">
        <v>121</v>
      </c>
      <c r="AK24" s="124">
        <v>141</v>
      </c>
      <c r="AL24" s="125">
        <f t="shared" si="1"/>
        <v>262</v>
      </c>
      <c r="AM24" s="124">
        <v>15</v>
      </c>
      <c r="AN24" s="124">
        <v>91</v>
      </c>
      <c r="AO24" s="126"/>
      <c r="AP24" s="126" t="s">
        <v>163</v>
      </c>
      <c r="AQ24" s="124">
        <v>192</v>
      </c>
      <c r="AR24" s="124">
        <v>81</v>
      </c>
      <c r="AS24" s="127" t="s">
        <v>615</v>
      </c>
      <c r="AT24" s="124">
        <v>1999</v>
      </c>
      <c r="AU24" s="128">
        <f t="shared" ref="AU24:AU50" ca="1" si="19">IF(AG24&lt;&gt;"",IF(AH24&lt;&gt;"",INT((TODAY()-AH24)/365),"?"),"")</f>
        <v>37</v>
      </c>
      <c r="AV24" s="128" t="str">
        <f t="shared" ref="AV24:AV50" si="20">IF(AG24&lt;&gt;"",CONCATENATE(IF(AQ24&lt;&gt;"",AQ24,"? "),"/",IF(AR24&lt;&gt;"",AR24," ?")),"")</f>
        <v>192/81</v>
      </c>
      <c r="AW24" s="129" t="str">
        <f t="shared" ca="1" si="6"/>
        <v>Petřík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1 (0+1), -2 ±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308 OZ, 263 (121+142)</v>
      </c>
      <c r="AZ24" s="131"/>
      <c r="BA24" s="131"/>
      <c r="BB24" s="131"/>
      <c r="BC24" s="131"/>
      <c r="BD24" s="3" t="str">
        <f t="shared" si="7"/>
        <v>Petřík</v>
      </c>
      <c r="BE24" s="85">
        <f t="shared" ca="1" si="8"/>
        <v>1</v>
      </c>
      <c r="BF24" s="62" t="str">
        <f t="shared" si="9"/>
        <v>L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625</v>
      </c>
      <c r="BU24" s="104">
        <v>1</v>
      </c>
      <c r="BV24" s="105" t="str">
        <f t="shared" si="17"/>
        <v>David Ležatka</v>
      </c>
      <c r="BW24" s="103">
        <f t="shared" si="18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592</v>
      </c>
      <c r="AH25" s="123">
        <v>37544</v>
      </c>
      <c r="AI25" s="124">
        <v>33</v>
      </c>
      <c r="AJ25" s="124">
        <v>0</v>
      </c>
      <c r="AK25" s="124">
        <v>3</v>
      </c>
      <c r="AL25" s="125">
        <f t="shared" si="1"/>
        <v>3</v>
      </c>
      <c r="AM25" s="124">
        <v>3</v>
      </c>
      <c r="AN25" s="124">
        <v>82</v>
      </c>
      <c r="AO25" s="126"/>
      <c r="AP25" s="126" t="s">
        <v>163</v>
      </c>
      <c r="AQ25" s="124">
        <v>187</v>
      </c>
      <c r="AR25" s="124">
        <v>78</v>
      </c>
      <c r="AS25" s="127" t="s">
        <v>608</v>
      </c>
      <c r="AT25" s="124">
        <v>2012</v>
      </c>
      <c r="AU25" s="128">
        <f t="shared" ca="1" si="19"/>
        <v>18</v>
      </c>
      <c r="AV25" s="128" t="str">
        <f t="shared" si="20"/>
        <v>187/78</v>
      </c>
      <c r="AW25" s="129" t="str">
        <f t="shared" ca="1" si="6"/>
        <v>Pšenčík</v>
      </c>
      <c r="AX25" s="130" t="str">
        <f t="shared" ca="1" si="21"/>
        <v>0 OZ, 0 (0+0)</v>
      </c>
      <c r="AY25" s="130" t="str">
        <f t="shared" ca="1" si="22"/>
        <v>33 OZ, 3 (0+3)</v>
      </c>
      <c r="AZ25" s="131"/>
      <c r="BA25" s="131"/>
      <c r="BB25" s="131"/>
      <c r="BC25" s="131"/>
      <c r="BD25" s="90" t="str">
        <f t="shared" si="7"/>
        <v>Pšenčík</v>
      </c>
      <c r="BE25" s="92">
        <f t="shared" ca="1" si="8"/>
        <v>1</v>
      </c>
      <c r="BF25" s="91" t="str">
        <f t="shared" si="9"/>
        <v>P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1040</v>
      </c>
      <c r="BU25" s="104">
        <v>1</v>
      </c>
      <c r="BV25" s="105" t="str">
        <f t="shared" si="17"/>
        <v>Filip Hrabal</v>
      </c>
      <c r="BW25" s="103">
        <f t="shared" si="18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593</v>
      </c>
      <c r="AH26" s="123">
        <v>36002</v>
      </c>
      <c r="AI26" s="124">
        <v>2</v>
      </c>
      <c r="AJ26" s="124">
        <v>0</v>
      </c>
      <c r="AK26" s="124">
        <v>0</v>
      </c>
      <c r="AL26" s="125">
        <f t="shared" si="1"/>
        <v>0</v>
      </c>
      <c r="AM26" s="124">
        <v>2</v>
      </c>
      <c r="AN26" s="124">
        <v>30</v>
      </c>
      <c r="AO26" s="126"/>
      <c r="AP26" s="126"/>
      <c r="AQ26" s="124">
        <v>183</v>
      </c>
      <c r="AR26" s="124">
        <v>93</v>
      </c>
      <c r="AS26" s="127" t="s">
        <v>616</v>
      </c>
      <c r="AT26" s="124">
        <v>2002</v>
      </c>
      <c r="AU26" s="128">
        <f t="shared" ca="1" si="19"/>
        <v>23</v>
      </c>
      <c r="AV26" s="128" t="str">
        <f t="shared" si="20"/>
        <v>183/93</v>
      </c>
      <c r="AW26" s="129" t="str">
        <f t="shared" ca="1" si="6"/>
        <v>Raška</v>
      </c>
      <c r="AX26" s="130" t="str">
        <f t="shared" ca="1" si="21"/>
        <v>0 OZ, 0 (0+0)</v>
      </c>
      <c r="AY26" s="130" t="str">
        <f t="shared" ca="1" si="22"/>
        <v>2 OZ, 0 (0+0)</v>
      </c>
      <c r="AZ26" s="131"/>
      <c r="BA26" s="131"/>
      <c r="BB26" s="131"/>
      <c r="BC26" s="131"/>
      <c r="BD26" s="3" t="str">
        <f t="shared" si="7"/>
        <v>Raška</v>
      </c>
      <c r="BE26" s="85">
        <f t="shared" ca="1" si="8"/>
        <v>1</v>
      </c>
      <c r="BF26" s="62" t="str">
        <f t="shared" si="9"/>
        <v>Z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1041</v>
      </c>
      <c r="BU26" s="104">
        <v>1</v>
      </c>
      <c r="BV26" s="105" t="str">
        <f t="shared" si="17"/>
        <v>Lukáš Petřík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594</v>
      </c>
      <c r="AH27" s="123"/>
      <c r="AI27" s="124"/>
      <c r="AJ27" s="124"/>
      <c r="AK27" s="124"/>
      <c r="AL27" s="125">
        <f t="shared" si="1"/>
        <v>0</v>
      </c>
      <c r="AM27" s="124" t="s">
        <v>337</v>
      </c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>?</v>
      </c>
      <c r="AV27" s="128" t="str">
        <f t="shared" si="20"/>
        <v>? / ?</v>
      </c>
      <c r="AW27" s="129" t="str">
        <f t="shared" ca="1" si="6"/>
        <v>Rudzītis</v>
      </c>
      <c r="AX27" s="130" t="str">
        <f t="shared" ca="1" si="21"/>
        <v>0 OZ, 0 (0+0)</v>
      </c>
      <c r="AY27" s="130" t="str">
        <f t="shared" ca="1" si="22"/>
        <v xml:space="preserve"> OZ, 0 (+)</v>
      </c>
      <c r="AZ27" s="131"/>
      <c r="BA27" s="131"/>
      <c r="BB27" s="131"/>
      <c r="BC27" s="131"/>
      <c r="BD27" s="90" t="str">
        <f t="shared" si="7"/>
        <v>Rudzītis</v>
      </c>
      <c r="BE27" s="92">
        <f t="shared" ca="1" si="8"/>
        <v>1</v>
      </c>
      <c r="BF27" s="91" t="str">
        <f t="shared" si="9"/>
        <v>R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631</v>
      </c>
      <c r="BU27" s="104">
        <v>4</v>
      </c>
      <c r="BV27" s="105" t="str">
        <f t="shared" si="17"/>
        <v>Jiří Halama</v>
      </c>
      <c r="BW27" s="103">
        <f t="shared" si="18"/>
        <v>4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595</v>
      </c>
      <c r="AH28" s="123">
        <v>33031</v>
      </c>
      <c r="AI28" s="124">
        <v>209</v>
      </c>
      <c r="AJ28" s="124">
        <v>107</v>
      </c>
      <c r="AK28" s="124">
        <v>63</v>
      </c>
      <c r="AL28" s="125">
        <f t="shared" si="1"/>
        <v>170</v>
      </c>
      <c r="AM28" s="124">
        <v>11</v>
      </c>
      <c r="AN28" s="124">
        <v>7</v>
      </c>
      <c r="AO28" s="126"/>
      <c r="AP28" s="126" t="s">
        <v>163</v>
      </c>
      <c r="AQ28" s="124">
        <v>190</v>
      </c>
      <c r="AR28" s="124">
        <v>82</v>
      </c>
      <c r="AS28" s="127" t="s">
        <v>608</v>
      </c>
      <c r="AT28" s="124">
        <v>2004</v>
      </c>
      <c r="AU28" s="128">
        <f t="shared" ca="1" si="19"/>
        <v>31</v>
      </c>
      <c r="AV28" s="128" t="str">
        <f t="shared" si="20"/>
        <v>190/82</v>
      </c>
      <c r="AW28" s="129" t="str">
        <f t="shared" ca="1" si="6"/>
        <v>Sovják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0 (0+0), 0 ±</v>
      </c>
      <c r="AY28" s="130" t="str">
        <f t="shared" ca="1" si="22"/>
        <v>210 OZ, 170 (107+63)</v>
      </c>
      <c r="AZ28" s="131"/>
      <c r="BA28" s="131"/>
      <c r="BB28" s="131"/>
      <c r="BC28" s="131"/>
      <c r="BD28" s="3" t="str">
        <f t="shared" si="7"/>
        <v>Sovják</v>
      </c>
      <c r="BE28" s="85">
        <f t="shared" ca="1" si="8"/>
        <v>1</v>
      </c>
      <c r="BF28" s="62" t="str">
        <f t="shared" si="9"/>
        <v>T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1042</v>
      </c>
      <c r="BU28" s="104">
        <v>2</v>
      </c>
      <c r="BV28" s="105" t="str">
        <f t="shared" si="17"/>
        <v>David Medek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596</v>
      </c>
      <c r="AH29" s="123">
        <v>35449</v>
      </c>
      <c r="AI29" s="124">
        <v>121</v>
      </c>
      <c r="AJ29" s="124">
        <v>25</v>
      </c>
      <c r="AK29" s="124">
        <v>19</v>
      </c>
      <c r="AL29" s="125">
        <f t="shared" si="1"/>
        <v>44</v>
      </c>
      <c r="AM29" s="124">
        <v>6</v>
      </c>
      <c r="AN29" s="124">
        <v>23</v>
      </c>
      <c r="AO29" s="126"/>
      <c r="AP29" s="126" t="s">
        <v>163</v>
      </c>
      <c r="AQ29" s="124">
        <v>185</v>
      </c>
      <c r="AR29" s="124">
        <v>78</v>
      </c>
      <c r="AS29" s="127" t="s">
        <v>617</v>
      </c>
      <c r="AT29" s="124">
        <v>2007</v>
      </c>
      <c r="AU29" s="128">
        <f t="shared" ca="1" si="19"/>
        <v>24</v>
      </c>
      <c r="AV29" s="128" t="str">
        <f t="shared" si="20"/>
        <v>185/78</v>
      </c>
      <c r="AW29" s="129" t="str">
        <f t="shared" ca="1" si="6"/>
        <v>Szweda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22"/>
        <v>121 OZ, 44 (25+19)</v>
      </c>
      <c r="AZ29" s="131"/>
      <c r="BA29" s="131"/>
      <c r="BB29" s="131"/>
      <c r="BC29" s="131"/>
      <c r="BD29" s="90" t="str">
        <f t="shared" si="7"/>
        <v>Szweda</v>
      </c>
      <c r="BE29" s="92">
        <f t="shared" ca="1" si="8"/>
        <v>1</v>
      </c>
      <c r="BF29" s="91" t="str">
        <f t="shared" si="9"/>
        <v>M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1043</v>
      </c>
      <c r="BU29" s="104">
        <v>0</v>
      </c>
      <c r="BV29" s="105" t="str">
        <f t="shared" si="17"/>
        <v>Adam Kohút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OTR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 t="s">
        <v>597</v>
      </c>
      <c r="AH30" s="123"/>
      <c r="AI30" s="124"/>
      <c r="AJ30" s="124"/>
      <c r="AK30" s="124"/>
      <c r="AL30" s="125">
        <f t="shared" si="1"/>
        <v>0</v>
      </c>
      <c r="AM30" s="124" t="s">
        <v>337</v>
      </c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>?</v>
      </c>
      <c r="AV30" s="128" t="str">
        <f t="shared" si="20"/>
        <v>? / ?</v>
      </c>
      <c r="AW30" s="129" t="str">
        <f t="shared" ca="1" si="6"/>
        <v>Šmajda</v>
      </c>
      <c r="AX30" s="130" t="str">
        <f t="shared" ca="1" si="23"/>
        <v>0 OZ, 0 (0+0)</v>
      </c>
      <c r="AY30" s="130" t="str">
        <f t="shared" ca="1" si="22"/>
        <v xml:space="preserve"> OZ, 0 (+)</v>
      </c>
      <c r="AZ30" s="131"/>
      <c r="BA30" s="131"/>
      <c r="BB30" s="131"/>
      <c r="BC30" s="131"/>
      <c r="BD30" s="3" t="str">
        <f t="shared" si="7"/>
        <v>Šmajda</v>
      </c>
      <c r="BE30" s="85">
        <f t="shared" ca="1" si="8"/>
        <v>1</v>
      </c>
      <c r="BF30" s="62" t="str">
        <f t="shared" si="9"/>
        <v>Š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1"/>
        <v>0</v>
      </c>
      <c r="BK30" s="3" t="str">
        <f t="shared" ca="1" si="13"/>
        <v/>
      </c>
      <c r="BL30" s="62">
        <f t="shared" ca="1" si="14"/>
        <v>0</v>
      </c>
      <c r="BM30" s="3" t="str">
        <f t="shared" ca="1" si="15"/>
        <v/>
      </c>
      <c r="BS30" s="361"/>
      <c r="BT30" s="105" t="s">
        <v>1044</v>
      </c>
      <c r="BU30" s="104">
        <v>0</v>
      </c>
      <c r="BV30" s="105" t="str">
        <f t="shared" si="17"/>
        <v>Dalimil Krčma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573</v>
      </c>
      <c r="AH31" s="123">
        <v>37660</v>
      </c>
      <c r="AI31" s="124">
        <v>19</v>
      </c>
      <c r="AJ31" s="124">
        <v>0</v>
      </c>
      <c r="AK31" s="124">
        <v>1</v>
      </c>
      <c r="AL31" s="125">
        <f t="shared" si="1"/>
        <v>1</v>
      </c>
      <c r="AM31" s="124">
        <v>2</v>
      </c>
      <c r="AN31" s="124">
        <v>61</v>
      </c>
      <c r="AO31" s="126"/>
      <c r="AP31" s="126" t="s">
        <v>163</v>
      </c>
      <c r="AQ31" s="124">
        <v>184</v>
      </c>
      <c r="AR31" s="124">
        <v>72</v>
      </c>
      <c r="AS31" s="127" t="s">
        <v>608</v>
      </c>
      <c r="AT31" s="124">
        <v>2013</v>
      </c>
      <c r="AU31" s="128">
        <f t="shared" ca="1" si="19"/>
        <v>18</v>
      </c>
      <c r="AV31" s="128" t="str">
        <f t="shared" si="20"/>
        <v>184/72</v>
      </c>
      <c r="AW31" s="129" t="str">
        <f t="shared" ca="1" si="6"/>
        <v>Štourač</v>
      </c>
      <c r="AX31" s="130" t="str">
        <f t="shared" ca="1" si="23"/>
        <v>2 OZ, 0 (0+0), -2 ±</v>
      </c>
      <c r="AY31" s="130" t="str">
        <f t="shared" ca="1" si="22"/>
        <v>21 OZ, 1 (0+1)</v>
      </c>
      <c r="AZ31" s="131"/>
      <c r="BA31" s="131"/>
      <c r="BB31" s="131"/>
      <c r="BC31" s="131"/>
      <c r="BD31" s="90" t="str">
        <f t="shared" si="7"/>
        <v>Štourač</v>
      </c>
      <c r="BE31" s="92">
        <f t="shared" ca="1" si="8"/>
        <v>1</v>
      </c>
      <c r="BF31" s="91" t="str">
        <f t="shared" si="9"/>
        <v>J</v>
      </c>
      <c r="BG31" s="90" t="str">
        <f t="shared" ca="1" si="10"/>
        <v/>
      </c>
      <c r="BH31" s="91">
        <f t="shared" ca="1" si="11"/>
        <v>0</v>
      </c>
      <c r="BI31" s="90" t="str">
        <f t="shared" ca="1" si="12"/>
        <v/>
      </c>
      <c r="BJ31" s="91">
        <f t="shared" ca="1" si="11"/>
        <v>0</v>
      </c>
      <c r="BK31" s="90" t="str">
        <f t="shared" ca="1" si="13"/>
        <v/>
      </c>
      <c r="BL31" s="91">
        <f t="shared" ca="1" si="14"/>
        <v>0</v>
      </c>
      <c r="BM31" s="90" t="str">
        <f t="shared" ca="1" si="15"/>
        <v/>
      </c>
      <c r="BS31" s="361"/>
      <c r="BT31" s="105" t="s">
        <v>1037</v>
      </c>
      <c r="BU31" s="104">
        <v>0</v>
      </c>
      <c r="BV31" s="105" t="str">
        <f t="shared" si="17"/>
        <v>David Ležatka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 t="s">
        <v>598</v>
      </c>
      <c r="AH32" s="123"/>
      <c r="AI32" s="124"/>
      <c r="AJ32" s="124"/>
      <c r="AK32" s="124"/>
      <c r="AL32" s="125">
        <f t="shared" si="1"/>
        <v>0</v>
      </c>
      <c r="AM32" s="124" t="s">
        <v>337</v>
      </c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>?</v>
      </c>
      <c r="AV32" s="128" t="str">
        <f t="shared" si="20"/>
        <v>? / ?</v>
      </c>
      <c r="AW32" s="129" t="str">
        <f t="shared" ca="1" si="6"/>
        <v>Vilmanis</v>
      </c>
      <c r="AX32" s="130" t="str">
        <f t="shared" ca="1" si="23"/>
        <v>0 OZ, 0 (0+0)</v>
      </c>
      <c r="AY32" s="130" t="str">
        <f t="shared" ca="1" si="22"/>
        <v xml:space="preserve"> OZ, 0 (+)</v>
      </c>
      <c r="AZ32" s="131"/>
      <c r="BA32" s="131"/>
      <c r="BB32" s="131"/>
      <c r="BC32" s="131"/>
      <c r="BD32" s="3" t="str">
        <f t="shared" si="7"/>
        <v>Vilmanis</v>
      </c>
      <c r="BE32" s="85">
        <f t="shared" ca="1" si="8"/>
        <v>1</v>
      </c>
      <c r="BF32" s="62" t="str">
        <f t="shared" si="9"/>
        <v>R</v>
      </c>
      <c r="BG32" s="3" t="str">
        <f t="shared" ca="1" si="10"/>
        <v/>
      </c>
      <c r="BH32" s="62">
        <f t="shared" ca="1" si="11"/>
        <v>0</v>
      </c>
      <c r="BI32" s="3" t="str">
        <f t="shared" ca="1" si="12"/>
        <v/>
      </c>
      <c r="BJ32" s="62">
        <f t="shared" ca="1" si="11"/>
        <v>0</v>
      </c>
      <c r="BK32" s="3" t="str">
        <f t="shared" ca="1" si="13"/>
        <v/>
      </c>
      <c r="BL32" s="62">
        <f t="shared" ca="1" si="14"/>
        <v>0</v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 t="s">
        <v>599</v>
      </c>
      <c r="AH33" s="123"/>
      <c r="AI33" s="124"/>
      <c r="AJ33" s="124"/>
      <c r="AK33" s="124"/>
      <c r="AL33" s="125">
        <f t="shared" si="1"/>
        <v>0</v>
      </c>
      <c r="AM33" s="124" t="s">
        <v>337</v>
      </c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>?</v>
      </c>
      <c r="AV33" s="128" t="str">
        <f t="shared" si="20"/>
        <v>? / ?</v>
      </c>
      <c r="AW33" s="129" t="str">
        <f t="shared" ca="1" si="6"/>
        <v>Vorálek</v>
      </c>
      <c r="AX33" s="130" t="str">
        <f t="shared" ca="1" si="23"/>
        <v>0 OZ, 0 (0+0)</v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1"/>
      <c r="BA33" s="131"/>
      <c r="BB33" s="131"/>
      <c r="BC33" s="131"/>
      <c r="BD33" s="90" t="str">
        <f t="shared" si="7"/>
        <v>Vorálek</v>
      </c>
      <c r="BE33" s="92">
        <f t="shared" ca="1" si="8"/>
        <v>1</v>
      </c>
      <c r="BF33" s="91" t="str">
        <f t="shared" si="9"/>
        <v>J</v>
      </c>
      <c r="BG33" s="90" t="str">
        <f t="shared" ca="1" si="10"/>
        <v/>
      </c>
      <c r="BH33" s="91">
        <f t="shared" ca="1" si="11"/>
        <v>0</v>
      </c>
      <c r="BI33" s="90" t="str">
        <f t="shared" ca="1" si="12"/>
        <v/>
      </c>
      <c r="BJ33" s="91">
        <f t="shared" ca="1" si="11"/>
        <v>0</v>
      </c>
      <c r="BK33" s="90" t="str">
        <f t="shared" ca="1" si="13"/>
        <v/>
      </c>
      <c r="BL33" s="91">
        <f t="shared" ca="1" si="14"/>
        <v>0</v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 t="s">
        <v>561</v>
      </c>
      <c r="AH34" s="123">
        <v>36144</v>
      </c>
      <c r="AI34" s="124">
        <v>99</v>
      </c>
      <c r="AJ34" s="124">
        <v>41</v>
      </c>
      <c r="AK34" s="124">
        <v>29</v>
      </c>
      <c r="AL34" s="125">
        <f t="shared" si="1"/>
        <v>70</v>
      </c>
      <c r="AM34" s="124">
        <v>5</v>
      </c>
      <c r="AN34" s="124">
        <v>88</v>
      </c>
      <c r="AO34" s="126"/>
      <c r="AP34" s="126" t="s">
        <v>27</v>
      </c>
      <c r="AQ34" s="124">
        <v>180</v>
      </c>
      <c r="AR34" s="124">
        <v>73</v>
      </c>
      <c r="AS34" s="127" t="s">
        <v>618</v>
      </c>
      <c r="AT34" s="124">
        <v>2005</v>
      </c>
      <c r="AU34" s="128">
        <f t="shared" ca="1" si="19"/>
        <v>22</v>
      </c>
      <c r="AV34" s="128" t="str">
        <f t="shared" si="20"/>
        <v>180/73</v>
      </c>
      <c r="AW34" s="129" t="str">
        <f t="shared" ca="1" si="6"/>
        <v>Vykopal</v>
      </c>
      <c r="AX34" s="130" t="str">
        <f t="shared" ca="1" si="23"/>
        <v>2 OZ, 5 (3+2), 0 ±</v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101 OZ, 75 (44+31)</v>
      </c>
      <c r="AZ34" s="131"/>
      <c r="BA34" s="131"/>
      <c r="BB34" s="131"/>
      <c r="BC34" s="131"/>
      <c r="BD34" s="3" t="str">
        <f t="shared" si="7"/>
        <v>Vykopal</v>
      </c>
      <c r="BE34" s="85">
        <f t="shared" ca="1" si="8"/>
        <v>1</v>
      </c>
      <c r="BF34" s="62" t="str">
        <f t="shared" si="9"/>
        <v>F</v>
      </c>
      <c r="BG34" s="3" t="str">
        <f t="shared" ca="1" si="10"/>
        <v/>
      </c>
      <c r="BH34" s="62">
        <f t="shared" ca="1" si="11"/>
        <v>0</v>
      </c>
      <c r="BI34" s="3" t="str">
        <f t="shared" ca="1" si="12"/>
        <v/>
      </c>
      <c r="BJ34" s="62">
        <f t="shared" ca="1" si="11"/>
        <v>0</v>
      </c>
      <c r="BK34" s="3" t="str">
        <f t="shared" ca="1" si="13"/>
        <v/>
      </c>
      <c r="BL34" s="62">
        <f t="shared" ca="1" si="14"/>
        <v>0</v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 t="s">
        <v>600</v>
      </c>
      <c r="AH35" s="123">
        <v>30515</v>
      </c>
      <c r="AI35" s="124">
        <v>201</v>
      </c>
      <c r="AJ35" s="124">
        <v>76</v>
      </c>
      <c r="AK35" s="124">
        <v>43</v>
      </c>
      <c r="AL35" s="125">
        <f t="shared" si="1"/>
        <v>119</v>
      </c>
      <c r="AM35" s="124">
        <v>11</v>
      </c>
      <c r="AN35" s="124">
        <v>22</v>
      </c>
      <c r="AO35" s="126"/>
      <c r="AP35" s="126" t="s">
        <v>27</v>
      </c>
      <c r="AQ35" s="124">
        <v>180</v>
      </c>
      <c r="AR35" s="124">
        <v>80</v>
      </c>
      <c r="AS35" s="127" t="s">
        <v>619</v>
      </c>
      <c r="AT35" s="124">
        <v>1998</v>
      </c>
      <c r="AU35" s="128">
        <f t="shared" ca="1" si="19"/>
        <v>38</v>
      </c>
      <c r="AV35" s="128" t="str">
        <f t="shared" si="20"/>
        <v>180/80</v>
      </c>
      <c r="AW35" s="129" t="str">
        <f t="shared" ca="1" si="6"/>
        <v>Zapletal</v>
      </c>
      <c r="AX35" s="130" t="str">
        <f t="shared" ca="1" si="23"/>
        <v>0 OZ, 0 (0+0)</v>
      </c>
      <c r="AY35" s="130" t="str">
        <f t="shared" ca="1" si="24"/>
        <v>201 OZ, 119 (76+43)</v>
      </c>
      <c r="AZ35" s="131"/>
      <c r="BA35" s="131"/>
      <c r="BB35" s="131"/>
      <c r="BC35" s="131"/>
      <c r="BD35" s="90" t="str">
        <f t="shared" si="7"/>
        <v>Zapletal</v>
      </c>
      <c r="BE35" s="92">
        <f t="shared" ca="1" si="8"/>
        <v>1</v>
      </c>
      <c r="BF35" s="91" t="str">
        <f t="shared" si="9"/>
        <v>M</v>
      </c>
      <c r="BG35" s="90" t="str">
        <f t="shared" ca="1" si="10"/>
        <v/>
      </c>
      <c r="BH35" s="91">
        <f t="shared" ca="1" si="11"/>
        <v>0</v>
      </c>
      <c r="BI35" s="90" t="str">
        <f t="shared" ca="1" si="12"/>
        <v/>
      </c>
      <c r="BJ35" s="91">
        <f t="shared" ca="1" si="11"/>
        <v>0</v>
      </c>
      <c r="BK35" s="90" t="str">
        <f t="shared" ca="1" si="13"/>
        <v/>
      </c>
      <c r="BL35" s="91">
        <f t="shared" ca="1" si="14"/>
        <v>0</v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 t="s">
        <v>601</v>
      </c>
      <c r="AH36" s="123">
        <v>35465</v>
      </c>
      <c r="AI36" s="124">
        <v>54</v>
      </c>
      <c r="AJ36" s="124">
        <v>0</v>
      </c>
      <c r="AK36" s="124">
        <v>8</v>
      </c>
      <c r="AL36" s="125">
        <f t="shared" si="1"/>
        <v>8</v>
      </c>
      <c r="AM36" s="124">
        <v>4</v>
      </c>
      <c r="AN36" s="124">
        <v>42</v>
      </c>
      <c r="AO36" s="126"/>
      <c r="AP36" s="126" t="s">
        <v>163</v>
      </c>
      <c r="AQ36" s="124">
        <v>188</v>
      </c>
      <c r="AR36" s="124">
        <v>85</v>
      </c>
      <c r="AS36" s="127" t="s">
        <v>620</v>
      </c>
      <c r="AT36" s="124">
        <v>2004</v>
      </c>
      <c r="AU36" s="128">
        <f t="shared" ca="1" si="19"/>
        <v>24</v>
      </c>
      <c r="AV36" s="128" t="str">
        <f t="shared" si="20"/>
        <v>188/85</v>
      </c>
      <c r="AW36" s="129" t="str">
        <f t="shared" ca="1" si="6"/>
        <v>Zimmer</v>
      </c>
      <c r="AX36" s="130" t="str">
        <f t="shared" ca="1" si="23"/>
        <v>0 OZ, 0 (0+0)</v>
      </c>
      <c r="AY36" s="130" t="str">
        <f t="shared" ca="1" si="24"/>
        <v>54 OZ, 8 (0+8)</v>
      </c>
      <c r="AZ36" s="131"/>
      <c r="BA36" s="131"/>
      <c r="BB36" s="131"/>
      <c r="BC36" s="131"/>
      <c r="BD36" s="3" t="str">
        <f t="shared" si="7"/>
        <v>Zimmer</v>
      </c>
      <c r="BE36" s="85">
        <f t="shared" ca="1" si="8"/>
        <v>1</v>
      </c>
      <c r="BF36" s="62" t="str">
        <f t="shared" si="9"/>
        <v>D</v>
      </c>
      <c r="BG36" s="3" t="str">
        <f t="shared" ca="1" si="10"/>
        <v/>
      </c>
      <c r="BH36" s="62">
        <f t="shared" ca="1" si="11"/>
        <v>0</v>
      </c>
      <c r="BI36" s="3" t="str">
        <f t="shared" ca="1" si="12"/>
        <v/>
      </c>
      <c r="BJ36" s="62">
        <f t="shared" ca="1" si="11"/>
        <v>0</v>
      </c>
      <c r="BK36" s="3" t="str">
        <f t="shared" ca="1" si="13"/>
        <v/>
      </c>
      <c r="BL36" s="62">
        <f t="shared" ca="1" si="14"/>
        <v>0</v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576</v>
      </c>
      <c r="T45" s="103">
        <v>2</v>
      </c>
      <c r="U45" s="113">
        <v>119.18</v>
      </c>
      <c r="V45" s="103">
        <v>0</v>
      </c>
      <c r="W45" s="103">
        <v>11</v>
      </c>
      <c r="X45" s="103">
        <v>0</v>
      </c>
      <c r="Y45" s="103">
        <v>45</v>
      </c>
      <c r="Z45" s="103">
        <v>0</v>
      </c>
      <c r="AA45" s="103">
        <v>2</v>
      </c>
      <c r="AB45" s="103">
        <v>34</v>
      </c>
      <c r="AC45" s="103">
        <v>0</v>
      </c>
      <c r="AD45" s="103">
        <v>0</v>
      </c>
      <c r="AE45" s="113">
        <f>IF(S45&lt;&gt;"",IF(T45&gt;0,W45/(U45/60),0),"")</f>
        <v>5.5378419197851985</v>
      </c>
      <c r="AF45" s="113">
        <f>IF(S45&lt;&gt;"",IF(Y45&gt;0,(AB45/Y45)*100,"-"),"")</f>
        <v>75.555555555555557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572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896</v>
      </c>
      <c r="U2" s="103">
        <v>2</v>
      </c>
      <c r="V2" s="103">
        <v>3</v>
      </c>
      <c r="W2" s="103">
        <v>0</v>
      </c>
      <c r="X2" s="103">
        <v>0</v>
      </c>
      <c r="Y2" s="103">
        <v>1</v>
      </c>
      <c r="Z2" s="103">
        <v>4</v>
      </c>
      <c r="AA2" s="103">
        <v>0</v>
      </c>
      <c r="AB2" s="103">
        <v>-4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907</v>
      </c>
      <c r="AH2" s="123"/>
      <c r="AI2" s="124"/>
      <c r="AJ2" s="124"/>
      <c r="AK2" s="124"/>
      <c r="AL2" s="125">
        <f t="shared" ref="AL2:AL19" si="1"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t="shared" ref="AU2:AU23" ca="1" si="2">IF(AG2&lt;&gt;"",IF(AH2&lt;&gt;"",INT((TODAY()-AH2)/365),"?"),"")</f>
        <v>?</v>
      </c>
      <c r="AV2" s="128" t="str">
        <f t="shared" ref="AV2:AV23" si="3">IF(AG2&lt;&gt;"",CONCATENATE(IF(AQ2&lt;&gt;"",AQ2,"? "),"/",IF(AR2&lt;&gt;"",AR2," ?")),"")</f>
        <v>? / ?</v>
      </c>
      <c r="AW2" s="129" t="str">
        <f t="shared" ref="AW2:AW19" ca="1" si="4">IF(AG2&lt;&gt;"",IF(BE2=1,BD2,IF(BH2=1,BG2,IF(BJ2=1,BI2,IF(BL2=1,BK2,BM2)))),"")</f>
        <v>Aubus</v>
      </c>
      <c r="AX2" s="130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130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AZ2" s="131"/>
      <c r="BA2" s="131"/>
      <c r="BB2" s="131"/>
      <c r="BC2" s="131"/>
      <c r="BD2" s="3" t="str">
        <f>IF(AG2&lt;&gt;"",RIGHT(AG2,LEN(AG2)-SEARCH(" ",AG2)),"")</f>
        <v>Aubus</v>
      </c>
      <c r="BE2" s="85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61" t="s">
        <v>36</v>
      </c>
      <c r="BT2" s="105" t="s">
        <v>912</v>
      </c>
      <c r="BU2" s="104">
        <v>4</v>
      </c>
      <c r="BV2" s="105" t="str">
        <f>IFERROR(RIGHT(BT2,LEN(BT2)-SEARCH(" ",BT2)),"")</f>
        <v>Adam Šmíd</v>
      </c>
      <c r="BW2" s="103">
        <f>IF(BT2&lt;&gt;0,_xlfn.NUMBERVALUE(BU2,","),"")</f>
        <v>4</v>
      </c>
      <c r="BX2" s="360" t="s">
        <v>233</v>
      </c>
      <c r="BY2" s="104" t="s">
        <v>1087</v>
      </c>
      <c r="BZ2" s="104" t="s">
        <v>107</v>
      </c>
      <c r="CA2" s="116" t="s">
        <v>892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717</v>
      </c>
      <c r="U3" s="103">
        <v>2</v>
      </c>
      <c r="V3" s="103">
        <v>1</v>
      </c>
      <c r="W3" s="103">
        <v>0</v>
      </c>
      <c r="X3" s="103">
        <v>0</v>
      </c>
      <c r="Y3" s="103">
        <v>2</v>
      </c>
      <c r="Z3" s="103">
        <v>3</v>
      </c>
      <c r="AA3" s="103">
        <v>0</v>
      </c>
      <c r="AB3" s="103">
        <v>-1</v>
      </c>
      <c r="AC3" s="103" t="str">
        <f t="shared" ca="1" si="0"/>
        <v>ANO</v>
      </c>
      <c r="AG3" s="122" t="s">
        <v>900</v>
      </c>
      <c r="AH3" s="123"/>
      <c r="AI3" s="124"/>
      <c r="AJ3" s="124"/>
      <c r="AK3" s="124"/>
      <c r="AL3" s="125">
        <f t="shared" si="1"/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t="shared" ca="1" si="2"/>
        <v>?</v>
      </c>
      <c r="AV3" s="128" t="str">
        <f t="shared" si="3"/>
        <v>? / ?</v>
      </c>
      <c r="AW3" s="129" t="str">
        <f t="shared" ca="1" si="4"/>
        <v>Černý</v>
      </c>
      <c r="AX3" s="130" t="str">
        <f t="shared" ca="1" si="5"/>
        <v>2 OZ, 2 (1+1), -2 ±</v>
      </c>
      <c r="AY3" s="130" t="str">
        <f t="shared" ca="1" si="6"/>
        <v>2 OZ, 2 (1+1)</v>
      </c>
      <c r="AZ3" s="131"/>
      <c r="BA3" s="131"/>
      <c r="BB3" s="131"/>
      <c r="BC3" s="131"/>
      <c r="BD3" s="90" t="str">
        <f t="shared" ref="BD3:BD50" si="7">IF(AG3&lt;&gt;"",RIGHT(AG3,LEN(AG3)-SEARCH(" ",AG3)),"")</f>
        <v>Černý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P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6">IF(BN3&lt;&gt;"",IF(BO3&lt;&gt;"",INT((TODAY()-BO3)/365),"?"),"")</f>
        <v/>
      </c>
      <c r="BS3" s="361"/>
      <c r="BT3" s="105" t="s">
        <v>913</v>
      </c>
      <c r="BU3" s="104">
        <v>3</v>
      </c>
      <c r="BV3" s="105" t="str">
        <f t="shared" ref="BV3:BV31" si="17">IFERROR(RIGHT(BT3,LEN(BT3)-SEARCH(" ",BT3)),"")</f>
        <v>Matyáš Velc</v>
      </c>
      <c r="BW3" s="103">
        <f t="shared" ref="BW3:BW31" si="18">IF(BT3&lt;&gt;0,_xlfn.NUMBERVALUE(BU3,","),"")</f>
        <v>3</v>
      </c>
      <c r="BX3" s="360"/>
      <c r="BY3" s="104" t="s">
        <v>224</v>
      </c>
      <c r="BZ3" s="104" t="s">
        <v>100</v>
      </c>
      <c r="CA3" s="116" t="s">
        <v>115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851</v>
      </c>
      <c r="U4" s="103">
        <v>2</v>
      </c>
      <c r="V4" s="103">
        <v>1</v>
      </c>
      <c r="W4" s="103">
        <v>0</v>
      </c>
      <c r="X4" s="103">
        <v>0</v>
      </c>
      <c r="Y4" s="103">
        <v>1</v>
      </c>
      <c r="Z4" s="103">
        <v>2</v>
      </c>
      <c r="AA4" s="103">
        <v>0</v>
      </c>
      <c r="AB4" s="103">
        <v>-1</v>
      </c>
      <c r="AC4" s="103" t="str">
        <f t="shared" ca="1" si="0"/>
        <v>ANO</v>
      </c>
      <c r="AG4" s="122" t="s">
        <v>905</v>
      </c>
      <c r="AH4" s="123"/>
      <c r="AI4" s="124"/>
      <c r="AJ4" s="124"/>
      <c r="AK4" s="124"/>
      <c r="AL4" s="125">
        <f t="shared" si="1"/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t="shared" ca="1" si="2"/>
        <v>?</v>
      </c>
      <c r="AV4" s="128" t="str">
        <f t="shared" si="3"/>
        <v>? / ?</v>
      </c>
      <c r="AW4" s="129" t="str">
        <f t="shared" ca="1" si="4"/>
        <v>Haleš</v>
      </c>
      <c r="AX4" s="130" t="str">
        <f t="shared" ca="1" si="5"/>
        <v>1 V, 1 P</v>
      </c>
      <c r="AY4" s="130" t="str">
        <f t="shared" ca="1" si="6"/>
        <v>2 OZ, 0 A</v>
      </c>
      <c r="AZ4" s="131"/>
      <c r="BA4" s="131"/>
      <c r="BB4" s="131"/>
      <c r="BC4" s="131"/>
      <c r="BD4" s="3" t="str">
        <f t="shared" si="7"/>
        <v>Haleš</v>
      </c>
      <c r="BE4" s="85">
        <f t="shared" ca="1" si="8"/>
        <v>1</v>
      </c>
      <c r="BF4" s="62" t="str">
        <f t="shared" si="9"/>
        <v>M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/>
      <c r="BO4" s="123"/>
      <c r="BP4" s="132"/>
      <c r="BQ4" s="133"/>
      <c r="BR4" s="128" t="str">
        <f t="shared" ca="1" si="16"/>
        <v/>
      </c>
      <c r="BS4" s="361"/>
      <c r="BT4" s="105" t="s">
        <v>1103</v>
      </c>
      <c r="BU4" s="104">
        <v>2</v>
      </c>
      <c r="BV4" s="105" t="str">
        <f t="shared" si="17"/>
        <v>Jan Savický</v>
      </c>
      <c r="BW4" s="103">
        <f t="shared" si="18"/>
        <v>2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908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-4</v>
      </c>
      <c r="AC5" s="103" t="str">
        <f t="shared" ca="1" si="0"/>
        <v>ANO</v>
      </c>
      <c r="AG5" s="122" t="s">
        <v>895</v>
      </c>
      <c r="AH5" s="123"/>
      <c r="AI5" s="124"/>
      <c r="AJ5" s="124"/>
      <c r="AK5" s="124"/>
      <c r="AL5" s="125">
        <f t="shared" si="1"/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t="shared" ca="1" si="2"/>
        <v>?</v>
      </c>
      <c r="AV5" s="128" t="str">
        <f t="shared" si="3"/>
        <v>? / ?</v>
      </c>
      <c r="AW5" s="129" t="str">
        <f t="shared" ca="1" si="4"/>
        <v>Klein</v>
      </c>
      <c r="AX5" s="130" t="str">
        <f t="shared" ca="1" si="5"/>
        <v>2 OZ, 1 (1+0), -2 ±</v>
      </c>
      <c r="AY5" s="130" t="str">
        <f t="shared" ca="1" si="6"/>
        <v>2 OZ, 1 (1+0)</v>
      </c>
      <c r="AZ5" s="131"/>
      <c r="BA5" s="131"/>
      <c r="BB5" s="131"/>
      <c r="BC5" s="131"/>
      <c r="BD5" s="90" t="str">
        <f t="shared" si="7"/>
        <v>Klein</v>
      </c>
      <c r="BE5" s="92">
        <f t="shared" ca="1" si="8"/>
        <v>1</v>
      </c>
      <c r="BF5" s="91" t="str">
        <f t="shared" si="9"/>
        <v>V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/>
      <c r="BO5" s="123"/>
      <c r="BP5" s="132"/>
      <c r="BQ5" s="133"/>
      <c r="BR5" s="128" t="str">
        <f t="shared" ca="1" si="16"/>
        <v/>
      </c>
      <c r="BS5" s="361"/>
      <c r="BT5" s="105" t="s">
        <v>1104</v>
      </c>
      <c r="BU5" s="104">
        <v>2</v>
      </c>
      <c r="BV5" s="105" t="str">
        <f t="shared" si="17"/>
        <v>Lukáš Kučera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900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-2</v>
      </c>
      <c r="AC6" s="103" t="str">
        <f t="shared" ca="1" si="0"/>
        <v>ANO</v>
      </c>
      <c r="AG6" s="122" t="s">
        <v>901</v>
      </c>
      <c r="AH6" s="123"/>
      <c r="AI6" s="124"/>
      <c r="AJ6" s="124"/>
      <c r="AK6" s="124"/>
      <c r="AL6" s="125">
        <f t="shared" si="1"/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t="shared" ca="1" si="2"/>
        <v>?</v>
      </c>
      <c r="AV6" s="128" t="str">
        <f t="shared" si="3"/>
        <v>? / ?</v>
      </c>
      <c r="AW6" s="129" t="str">
        <f t="shared" ca="1" si="4"/>
        <v>Kohoutek</v>
      </c>
      <c r="AX6" s="130" t="str">
        <f t="shared" ca="1" si="5"/>
        <v>2 OZ, 0 (0+0), 0 ±</v>
      </c>
      <c r="AY6" s="130" t="str">
        <f t="shared" ca="1" si="6"/>
        <v>2 OZ, 0 (0+0)</v>
      </c>
      <c r="AZ6" s="131"/>
      <c r="BA6" s="131"/>
      <c r="BB6" s="131"/>
      <c r="BC6" s="131"/>
      <c r="BD6" s="3" t="str">
        <f t="shared" si="7"/>
        <v>Kohoutek</v>
      </c>
      <c r="BE6" s="85">
        <f t="shared" ca="1" si="8"/>
        <v>1</v>
      </c>
      <c r="BF6" s="62" t="str">
        <f t="shared" si="9"/>
        <v>J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/>
      <c r="BO6" s="123"/>
      <c r="BP6" s="132"/>
      <c r="BQ6" s="133"/>
      <c r="BR6" s="128" t="str">
        <f t="shared" ca="1" si="16"/>
        <v/>
      </c>
      <c r="BS6" s="361"/>
      <c r="BT6" s="105" t="s">
        <v>1105</v>
      </c>
      <c r="BU6" s="104">
        <v>2</v>
      </c>
      <c r="BV6" s="105" t="str">
        <f t="shared" si="17"/>
        <v>Petr Černý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893</v>
      </c>
      <c r="U7" s="103">
        <v>1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-2</v>
      </c>
      <c r="AC7" s="103" t="str">
        <f t="shared" ca="1" si="0"/>
        <v>ANO</v>
      </c>
      <c r="AG7" s="122" t="s">
        <v>851</v>
      </c>
      <c r="AH7" s="123"/>
      <c r="AI7" s="124"/>
      <c r="AJ7" s="124"/>
      <c r="AK7" s="124"/>
      <c r="AL7" s="125">
        <f t="shared" si="1"/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t="shared" ca="1" si="2"/>
        <v>?</v>
      </c>
      <c r="AV7" s="128" t="str">
        <f t="shared" si="3"/>
        <v>? / ?</v>
      </c>
      <c r="AW7" s="129" t="str">
        <f t="shared" ca="1" si="4"/>
        <v>Kučera</v>
      </c>
      <c r="AX7" s="130" t="str">
        <f t="shared" ca="1" si="5"/>
        <v>2 OZ, 2 (1+1), -1 ±</v>
      </c>
      <c r="AY7" s="130" t="str">
        <f t="shared" ca="1" si="6"/>
        <v>2 OZ, 2 (1+1)</v>
      </c>
      <c r="AZ7" s="131"/>
      <c r="BA7" s="131"/>
      <c r="BB7" s="131"/>
      <c r="BC7" s="131"/>
      <c r="BD7" s="90" t="str">
        <f t="shared" si="7"/>
        <v>Kučera</v>
      </c>
      <c r="BE7" s="92">
        <f t="shared" ca="1" si="8"/>
        <v>1</v>
      </c>
      <c r="BF7" s="91" t="str">
        <f t="shared" si="9"/>
        <v>L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910</v>
      </c>
      <c r="BU7" s="104" t="s">
        <v>1106</v>
      </c>
      <c r="BV7" s="105" t="str">
        <f t="shared" si="17"/>
        <v>Martin Haleš</v>
      </c>
      <c r="BW7" s="113">
        <f t="shared" si="18"/>
        <v>16</v>
      </c>
      <c r="BX7" s="360" t="s">
        <v>234</v>
      </c>
      <c r="BY7" s="104" t="s">
        <v>296</v>
      </c>
      <c r="BZ7" s="104" t="s">
        <v>23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108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899</v>
      </c>
      <c r="U8" s="103">
        <v>2</v>
      </c>
      <c r="V8" s="103">
        <v>1</v>
      </c>
      <c r="W8" s="103">
        <v>0</v>
      </c>
      <c r="X8" s="103">
        <v>0</v>
      </c>
      <c r="Y8" s="103">
        <v>0</v>
      </c>
      <c r="Z8" s="103">
        <v>1</v>
      </c>
      <c r="AA8" s="103">
        <v>0</v>
      </c>
      <c r="AB8" s="103">
        <v>-1</v>
      </c>
      <c r="AC8" s="103" t="str">
        <f t="shared" ca="1" si="0"/>
        <v>ANO</v>
      </c>
      <c r="AG8" s="122" t="s">
        <v>906</v>
      </c>
      <c r="AH8" s="123"/>
      <c r="AI8" s="124"/>
      <c r="AJ8" s="124"/>
      <c r="AK8" s="124"/>
      <c r="AL8" s="125">
        <f t="shared" si="1"/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t="shared" ca="1" si="2"/>
        <v>?</v>
      </c>
      <c r="AV8" s="128" t="str">
        <f t="shared" si="3"/>
        <v>? / ?</v>
      </c>
      <c r="AW8" s="129" t="str">
        <f t="shared" ca="1" si="4"/>
        <v>Nezval</v>
      </c>
      <c r="AX8" s="130" t="str">
        <f t="shared" ca="1" si="5"/>
        <v>2 OZ, 0 (0+0), -1 ±</v>
      </c>
      <c r="AY8" s="130" t="str">
        <f t="shared" ca="1" si="6"/>
        <v>2 OZ, 0 (0+0)</v>
      </c>
      <c r="AZ8" s="131"/>
      <c r="BA8" s="131"/>
      <c r="BB8" s="131"/>
      <c r="BC8" s="131"/>
      <c r="BD8" s="3" t="str">
        <f t="shared" si="7"/>
        <v>Nezval</v>
      </c>
      <c r="BE8" s="85">
        <f t="shared" ca="1" si="8"/>
        <v>1</v>
      </c>
      <c r="BF8" s="62" t="str">
        <f t="shared" si="9"/>
        <v>J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911</v>
      </c>
      <c r="BU8" s="104" t="s">
        <v>216</v>
      </c>
      <c r="BV8" s="105" t="str">
        <f t="shared" si="17"/>
        <v>Karel Aubus</v>
      </c>
      <c r="BW8" s="113">
        <f t="shared" si="18"/>
        <v>0</v>
      </c>
      <c r="BX8" s="360"/>
      <c r="BY8" s="104" t="s">
        <v>228</v>
      </c>
      <c r="BZ8" s="104" t="s">
        <v>105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894</v>
      </c>
      <c r="U9" s="103">
        <v>2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2</v>
      </c>
      <c r="AB9" s="103">
        <v>-2</v>
      </c>
      <c r="AC9" s="103" t="str">
        <f t="shared" ca="1" si="0"/>
        <v>ANO</v>
      </c>
      <c r="AG9" s="122" t="s">
        <v>904</v>
      </c>
      <c r="AH9" s="123"/>
      <c r="AI9" s="124"/>
      <c r="AJ9" s="124"/>
      <c r="AK9" s="124"/>
      <c r="AL9" s="125">
        <f t="shared" si="1"/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t="shared" ca="1" si="2"/>
        <v>?</v>
      </c>
      <c r="AV9" s="128" t="str">
        <f t="shared" si="3"/>
        <v>? / ?</v>
      </c>
      <c r="AW9" s="129" t="str">
        <f t="shared" ca="1" si="4"/>
        <v>Pakosta</v>
      </c>
      <c r="AX9" s="130" t="str">
        <f t="shared" ca="1" si="5"/>
        <v>2 OZ, 1 (1+0), -5 ±</v>
      </c>
      <c r="AY9" s="130" t="str">
        <f t="shared" ca="1" si="6"/>
        <v>2 OZ, 1 (1+0)</v>
      </c>
      <c r="AZ9" s="131"/>
      <c r="BA9" s="131"/>
      <c r="BB9" s="131"/>
      <c r="BC9" s="131"/>
      <c r="BD9" s="90" t="str">
        <f t="shared" si="7"/>
        <v>Pakosta</v>
      </c>
      <c r="BE9" s="92">
        <f t="shared" ca="1" si="8"/>
        <v>1</v>
      </c>
      <c r="BF9" s="91" t="str">
        <f t="shared" si="9"/>
        <v>P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229</v>
      </c>
      <c r="BZ9" s="104" t="s">
        <v>102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904</v>
      </c>
      <c r="T10" s="103" t="s">
        <v>133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0</v>
      </c>
      <c r="AB10" s="103">
        <v>-5</v>
      </c>
      <c r="AC10" s="103" t="str">
        <f t="shared" ca="1" si="0"/>
        <v>ANO</v>
      </c>
      <c r="AG10" s="122" t="s">
        <v>898</v>
      </c>
      <c r="AH10" s="123"/>
      <c r="AI10" s="124"/>
      <c r="AJ10" s="124"/>
      <c r="AK10" s="124"/>
      <c r="AL10" s="125">
        <f t="shared" si="1"/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t="shared" ca="1" si="2"/>
        <v>?</v>
      </c>
      <c r="AV10" s="128" t="str">
        <f t="shared" si="3"/>
        <v>? / ?</v>
      </c>
      <c r="AW10" s="129" t="str">
        <f t="shared" ca="1" si="4"/>
        <v>Petr</v>
      </c>
      <c r="AX10" s="130" t="str">
        <f t="shared" ca="1" si="5"/>
        <v>2 OZ, 0 (0+0), -1 ±</v>
      </c>
      <c r="AY10" s="130" t="str">
        <f t="shared" ca="1" si="6"/>
        <v>2 OZ, 0 (0+0)</v>
      </c>
      <c r="AZ10" s="131"/>
      <c r="BA10" s="131"/>
      <c r="BB10" s="131"/>
      <c r="BC10" s="131"/>
      <c r="BD10" s="3" t="str">
        <f t="shared" si="7"/>
        <v>Petr</v>
      </c>
      <c r="BE10" s="85">
        <f t="shared" ca="1" si="8"/>
        <v>1</v>
      </c>
      <c r="BF10" s="62" t="str">
        <f t="shared" si="9"/>
        <v>P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5</v>
      </c>
      <c r="CA10" s="116" t="s">
        <v>226</v>
      </c>
    </row>
    <row r="11" spans="1:79" ht="15" customHeight="1" thickTop="1" thickBot="1" x14ac:dyDescent="0.25">
      <c r="R11" s="13"/>
      <c r="S11" s="111" t="s">
        <v>895</v>
      </c>
      <c r="T11" s="103" t="s">
        <v>68</v>
      </c>
      <c r="U11" s="103">
        <v>2</v>
      </c>
      <c r="V11" s="103">
        <v>1</v>
      </c>
      <c r="W11" s="103">
        <v>0</v>
      </c>
      <c r="X11" s="103">
        <v>0</v>
      </c>
      <c r="Y11" s="103">
        <v>0</v>
      </c>
      <c r="Z11" s="103">
        <v>1</v>
      </c>
      <c r="AA11" s="103">
        <v>0</v>
      </c>
      <c r="AB11" s="103">
        <v>-2</v>
      </c>
      <c r="AC11" s="103" t="str">
        <f t="shared" ca="1" si="0"/>
        <v>ANO</v>
      </c>
      <c r="AG11" s="122" t="s">
        <v>893</v>
      </c>
      <c r="AH11" s="123"/>
      <c r="AI11" s="124"/>
      <c r="AJ11" s="124"/>
      <c r="AK11" s="124"/>
      <c r="AL11" s="125">
        <f t="shared" si="1"/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t="shared" ca="1" si="2"/>
        <v>?</v>
      </c>
      <c r="AV11" s="128" t="str">
        <f t="shared" si="3"/>
        <v>? / ?</v>
      </c>
      <c r="AW11" s="129" t="str">
        <f t="shared" ca="1" si="4"/>
        <v>Petržela</v>
      </c>
      <c r="AX11" s="130" t="str">
        <f t="shared" ca="1" si="5"/>
        <v>1 OZ, 2 (0+2), -2 ±</v>
      </c>
      <c r="AY11" s="130" t="str">
        <f t="shared" ca="1" si="6"/>
        <v>1 OZ, 2 (0+2)</v>
      </c>
      <c r="AZ11" s="131"/>
      <c r="BA11" s="131"/>
      <c r="BB11" s="131"/>
      <c r="BC11" s="131"/>
      <c r="BD11" s="90" t="str">
        <f t="shared" si="7"/>
        <v>Petržela</v>
      </c>
      <c r="BE11" s="92">
        <f t="shared" ca="1" si="8"/>
        <v>1</v>
      </c>
      <c r="BF11" s="91" t="str">
        <f t="shared" si="9"/>
        <v>D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98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897</v>
      </c>
      <c r="U12" s="103">
        <v>2</v>
      </c>
      <c r="V12" s="103">
        <v>0</v>
      </c>
      <c r="W12" s="103">
        <v>0</v>
      </c>
      <c r="X12" s="103">
        <v>0</v>
      </c>
      <c r="Y12" s="103">
        <v>1</v>
      </c>
      <c r="Z12" s="103">
        <v>1</v>
      </c>
      <c r="AA12" s="103">
        <v>0</v>
      </c>
      <c r="AB12" s="103">
        <v>-4</v>
      </c>
      <c r="AC12" s="103" t="str">
        <f t="shared" ca="1" si="0"/>
        <v>ANO</v>
      </c>
      <c r="AG12" s="122" t="s">
        <v>897</v>
      </c>
      <c r="AH12" s="123"/>
      <c r="AI12" s="124"/>
      <c r="AJ12" s="124"/>
      <c r="AK12" s="124"/>
      <c r="AL12" s="125">
        <f t="shared" si="1"/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t="shared" ca="1" si="2"/>
        <v>?</v>
      </c>
      <c r="AV12" s="128" t="str">
        <f t="shared" si="3"/>
        <v>? / ?</v>
      </c>
      <c r="AW12" s="129" t="str">
        <f t="shared" ca="1" si="4"/>
        <v>Prix</v>
      </c>
      <c r="AX12" s="130" t="str">
        <f t="shared" ca="1" si="5"/>
        <v>2 OZ, 1 (0+1), -4 ±</v>
      </c>
      <c r="AY12" s="130" t="str">
        <f t="shared" ca="1" si="6"/>
        <v>2 OZ, 1 (0+1)</v>
      </c>
      <c r="AZ12" s="131"/>
      <c r="BA12" s="131"/>
      <c r="BB12" s="131"/>
      <c r="BC12" s="131"/>
      <c r="BD12" s="3" t="str">
        <f t="shared" si="7"/>
        <v>Prix</v>
      </c>
      <c r="BE12" s="85">
        <f t="shared" ca="1" si="8"/>
        <v>1</v>
      </c>
      <c r="BF12" s="62" t="str">
        <f t="shared" si="9"/>
        <v>L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912</v>
      </c>
      <c r="BU12" s="104">
        <v>3</v>
      </c>
      <c r="BV12" s="105" t="str">
        <f t="shared" si="17"/>
        <v>Adam Šmíd</v>
      </c>
      <c r="BW12" s="103">
        <f t="shared" si="18"/>
        <v>3</v>
      </c>
      <c r="BX12" s="121" t="s">
        <v>232</v>
      </c>
      <c r="BY12" s="101" t="s">
        <v>1046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1101</v>
      </c>
      <c r="T13" s="103" t="s">
        <v>68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894</v>
      </c>
      <c r="AH13" s="123"/>
      <c r="AI13" s="124"/>
      <c r="AJ13" s="124"/>
      <c r="AK13" s="124"/>
      <c r="AL13" s="125">
        <f t="shared" si="1"/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t="shared" ca="1" si="2"/>
        <v>?</v>
      </c>
      <c r="AV13" s="128" t="str">
        <f t="shared" si="3"/>
        <v>? / ?</v>
      </c>
      <c r="AW13" s="129" t="str">
        <f t="shared" ca="1" si="4"/>
        <v>Rusin</v>
      </c>
      <c r="AX13" s="130" t="str">
        <f t="shared" ca="1" si="5"/>
        <v>2 OZ, 1 (1+0), -2 ±</v>
      </c>
      <c r="AY13" s="130" t="str">
        <f t="shared" ca="1" si="6"/>
        <v>2 OZ, 1 (1+0)</v>
      </c>
      <c r="AZ13" s="131"/>
      <c r="BA13" s="131"/>
      <c r="BB13" s="131"/>
      <c r="BC13" s="131"/>
      <c r="BD13" s="90" t="str">
        <f t="shared" si="7"/>
        <v>Rusin</v>
      </c>
      <c r="BE13" s="92">
        <f t="shared" ca="1" si="8"/>
        <v>1</v>
      </c>
      <c r="BF13" s="91" t="str">
        <f t="shared" si="9"/>
        <v>V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1107</v>
      </c>
      <c r="BU13" s="104">
        <v>1</v>
      </c>
      <c r="BV13" s="105" t="str">
        <f t="shared" si="17"/>
        <v>David Žáček</v>
      </c>
      <c r="BW13" s="103">
        <f t="shared" si="18"/>
        <v>1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1102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NE</v>
      </c>
      <c r="AG14" s="122" t="s">
        <v>908</v>
      </c>
      <c r="AH14" s="123"/>
      <c r="AI14" s="124"/>
      <c r="AJ14" s="124"/>
      <c r="AK14" s="124"/>
      <c r="AL14" s="125">
        <f t="shared" si="1"/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t="shared" ca="1" si="2"/>
        <v>?</v>
      </c>
      <c r="AV14" s="128" t="str">
        <f t="shared" si="3"/>
        <v>? / ?</v>
      </c>
      <c r="AW14" s="129" t="str">
        <f t="shared" ca="1" si="4"/>
        <v>Savický</v>
      </c>
      <c r="AX14" s="130" t="str">
        <f t="shared" ca="1" si="5"/>
        <v>2 OZ, 2 (1+1), -4 ±</v>
      </c>
      <c r="AY14" s="130" t="str">
        <f t="shared" ca="1" si="6"/>
        <v>2 OZ, 2 (1+1)</v>
      </c>
      <c r="AZ14" s="131"/>
      <c r="BA14" s="131"/>
      <c r="BB14" s="131"/>
      <c r="BC14" s="131"/>
      <c r="BD14" s="3" t="str">
        <f t="shared" si="7"/>
        <v>Savický</v>
      </c>
      <c r="BE14" s="85">
        <f t="shared" ca="1" si="8"/>
        <v>1</v>
      </c>
      <c r="BF14" s="62" t="str">
        <f t="shared" si="9"/>
        <v>J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1103</v>
      </c>
      <c r="BU14" s="104">
        <v>1</v>
      </c>
      <c r="BV14" s="105" t="str">
        <f t="shared" si="17"/>
        <v>Jan Savický</v>
      </c>
      <c r="BW14" s="103">
        <f t="shared" si="18"/>
        <v>1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903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-4</v>
      </c>
      <c r="AC15" s="103" t="str">
        <f t="shared" ca="1" si="0"/>
        <v>ANO</v>
      </c>
      <c r="AG15" s="122" t="s">
        <v>903</v>
      </c>
      <c r="AH15" s="123"/>
      <c r="AI15" s="124"/>
      <c r="AJ15" s="124"/>
      <c r="AK15" s="124"/>
      <c r="AL15" s="125">
        <f t="shared" si="1"/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t="shared" ca="1" si="2"/>
        <v>?</v>
      </c>
      <c r="AV15" s="128" t="str">
        <f t="shared" si="3"/>
        <v>? / ?</v>
      </c>
      <c r="AW15" s="129" t="str">
        <f t="shared" ca="1" si="4"/>
        <v>Smola</v>
      </c>
      <c r="AX15" s="130" t="str">
        <f t="shared" ca="1" si="5"/>
        <v>2 OZ, 0 (0+0), -4 ±</v>
      </c>
      <c r="AY15" s="130" t="str">
        <f t="shared" ca="1" si="6"/>
        <v>2 OZ, 0 (0+0)</v>
      </c>
      <c r="AZ15" s="131"/>
      <c r="BA15" s="131"/>
      <c r="BB15" s="131"/>
      <c r="BC15" s="131"/>
      <c r="BD15" s="90" t="str">
        <f t="shared" si="7"/>
        <v>Smola</v>
      </c>
      <c r="BE15" s="92">
        <f t="shared" ca="1" si="8"/>
        <v>1</v>
      </c>
      <c r="BF15" s="91" t="str">
        <f t="shared" si="9"/>
        <v>M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1104</v>
      </c>
      <c r="BU15" s="104">
        <v>1</v>
      </c>
      <c r="BV15" s="105" t="str">
        <f t="shared" si="17"/>
        <v>Lukáš Kučera</v>
      </c>
      <c r="BW15" s="103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905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ANO</v>
      </c>
      <c r="AG16" s="122" t="s">
        <v>896</v>
      </c>
      <c r="AH16" s="123"/>
      <c r="AI16" s="124"/>
      <c r="AJ16" s="124"/>
      <c r="AK16" s="124"/>
      <c r="AL16" s="125">
        <f t="shared" si="1"/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t="shared" ca="1" si="2"/>
        <v>?</v>
      </c>
      <c r="AV16" s="128" t="str">
        <f t="shared" si="3"/>
        <v>? / ?</v>
      </c>
      <c r="AW16" s="129" t="str">
        <f t="shared" ca="1" si="4"/>
        <v>Šmíd</v>
      </c>
      <c r="AX16" s="130" t="str">
        <f t="shared" ca="1" si="5"/>
        <v>2 OZ, 4 (3+1), -4 ±</v>
      </c>
      <c r="AY16" s="130" t="str">
        <f t="shared" ca="1" si="6"/>
        <v>2 OZ, 4 (3+1)</v>
      </c>
      <c r="AZ16" s="131"/>
      <c r="BA16" s="131"/>
      <c r="BB16" s="131"/>
      <c r="BC16" s="131"/>
      <c r="BD16" s="3" t="str">
        <f t="shared" si="7"/>
        <v>Šmíd</v>
      </c>
      <c r="BE16" s="85">
        <f t="shared" ca="1" si="8"/>
        <v>1</v>
      </c>
      <c r="BF16" s="62" t="str">
        <f t="shared" si="9"/>
        <v>A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1108</v>
      </c>
      <c r="BU16" s="104">
        <v>1</v>
      </c>
      <c r="BV16" s="105" t="str">
        <f t="shared" si="17"/>
        <v>Matyáš Velc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902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-1</v>
      </c>
      <c r="AC17" s="103" t="str">
        <f t="shared" ca="1" si="0"/>
        <v>ANO</v>
      </c>
      <c r="AG17" s="122" t="s">
        <v>902</v>
      </c>
      <c r="AH17" s="123"/>
      <c r="AI17" s="124"/>
      <c r="AJ17" s="124"/>
      <c r="AK17" s="124"/>
      <c r="AL17" s="125">
        <f t="shared" si="1"/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t="shared" ca="1" si="2"/>
        <v>?</v>
      </c>
      <c r="AV17" s="128" t="str">
        <f t="shared" si="3"/>
        <v>? / ?</v>
      </c>
      <c r="AW17" s="129" t="str">
        <f t="shared" ca="1" si="4"/>
        <v>Teichman</v>
      </c>
      <c r="AX17" s="130" t="str">
        <f t="shared" ca="1" si="5"/>
        <v>2 OZ, 0 (0+0), -1 ±</v>
      </c>
      <c r="AY17" s="130" t="str">
        <f t="shared" ca="1" si="6"/>
        <v>2 OZ, 0 (0+0)</v>
      </c>
      <c r="AZ17" s="131"/>
      <c r="BA17" s="131"/>
      <c r="BB17" s="131"/>
      <c r="BC17" s="131"/>
      <c r="BD17" s="90" t="str">
        <f t="shared" si="7"/>
        <v>Teichman</v>
      </c>
      <c r="BE17" s="92">
        <f t="shared" ca="1" si="8"/>
        <v>1</v>
      </c>
      <c r="BF17" s="91" t="str">
        <f t="shared" si="9"/>
        <v>I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910</v>
      </c>
      <c r="BU17" s="104">
        <v>1</v>
      </c>
      <c r="BV17" s="105" t="str">
        <f t="shared" si="17"/>
        <v>Martin Haleš</v>
      </c>
      <c r="BW17" s="103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898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717</v>
      </c>
      <c r="AH18" s="123"/>
      <c r="AI18" s="124"/>
      <c r="AJ18" s="124"/>
      <c r="AK18" s="124"/>
      <c r="AL18" s="125">
        <f t="shared" si="1"/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t="shared" ca="1" si="2"/>
        <v>?</v>
      </c>
      <c r="AV18" s="128" t="str">
        <f t="shared" si="3"/>
        <v>? / ?</v>
      </c>
      <c r="AW18" s="129" t="str">
        <f t="shared" ca="1" si="4"/>
        <v>Velc</v>
      </c>
      <c r="AX18" s="130" t="str">
        <f t="shared" ca="1" si="5"/>
        <v>2 OZ, 3 (1+2), -1 ±</v>
      </c>
      <c r="AY18" s="130" t="str">
        <f t="shared" ca="1" si="6"/>
        <v>2 OZ, 3 (1+2)</v>
      </c>
      <c r="AZ18" s="131"/>
      <c r="BA18" s="131"/>
      <c r="BB18" s="131"/>
      <c r="BC18" s="131"/>
      <c r="BD18" s="3" t="str">
        <f t="shared" si="7"/>
        <v>Velc</v>
      </c>
      <c r="BE18" s="85">
        <f t="shared" ca="1" si="8"/>
        <v>1</v>
      </c>
      <c r="BF18" s="62" t="str">
        <f t="shared" si="9"/>
        <v>M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911</v>
      </c>
      <c r="BU18" s="104">
        <v>0</v>
      </c>
      <c r="BV18" s="105" t="str">
        <f t="shared" si="17"/>
        <v>Karel Aubus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PAR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901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899</v>
      </c>
      <c r="AH19" s="123"/>
      <c r="AI19" s="124"/>
      <c r="AJ19" s="124"/>
      <c r="AK19" s="124"/>
      <c r="AL19" s="125">
        <f t="shared" si="1"/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4"/>
        <v>Žáček</v>
      </c>
      <c r="AX19" s="130" t="str">
        <f t="shared" ca="1" si="5"/>
        <v>2 OZ, 1 (1+0), -1 ±</v>
      </c>
      <c r="AY19" s="130" t="str">
        <f t="shared" ca="1" si="6"/>
        <v>2 OZ, 1 (1+0)</v>
      </c>
      <c r="AZ19" s="131"/>
      <c r="BA19" s="131"/>
      <c r="BB19" s="131"/>
      <c r="BC19" s="131"/>
      <c r="BD19" s="90" t="str">
        <f t="shared" si="7"/>
        <v>Žáček</v>
      </c>
      <c r="BE19" s="92">
        <f t="shared" ca="1" si="8"/>
        <v>1</v>
      </c>
      <c r="BF19" s="91" t="str">
        <f t="shared" si="9"/>
        <v>D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907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/>
      <c r="AH20" s="123"/>
      <c r="AI20" s="124"/>
      <c r="AJ20" s="124"/>
      <c r="AK20" s="124"/>
      <c r="AL20" s="125" t="str">
        <f t="shared" ref="AL20:AL50" si="19">IF(AG20&lt;&gt;"",AJ20+AK20,"")</f>
        <v/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ca="1" si="2"/>
        <v/>
      </c>
      <c r="AV20" s="128" t="str">
        <f t="shared" si="3"/>
        <v/>
      </c>
      <c r="AW20" s="129" t="str">
        <f t="shared" ref="AW20:AW50" si="20">IF(AG20&lt;&gt;"",IF(BE20=1,BD20,IF(BH20=1,BG20,IF(BJ20=1,BI20,IF(BL20=1,BK20,BM20)))),"")</f>
        <v/>
      </c>
      <c r="AX20" s="130" t="str">
        <f t="shared" ca="1" si="5"/>
        <v/>
      </c>
      <c r="AY20" s="130" t="str">
        <f t="shared" ca="1" si="6"/>
        <v/>
      </c>
      <c r="AZ20" s="131"/>
      <c r="BA20" s="131"/>
      <c r="BB20" s="131"/>
      <c r="BC20" s="131"/>
      <c r="BD20" s="3" t="str">
        <f t="shared" si="7"/>
        <v/>
      </c>
      <c r="BE20" s="85" t="str">
        <f t="shared" ca="1" si="8"/>
        <v/>
      </c>
      <c r="BF20" s="62" t="str">
        <f t="shared" si="9"/>
        <v/>
      </c>
      <c r="BG20" s="3" t="str">
        <f t="shared" ca="1" si="10"/>
        <v/>
      </c>
      <c r="BH20" s="62" t="str">
        <f t="shared" ca="1" si="11"/>
        <v/>
      </c>
      <c r="BI20" s="3" t="str">
        <f t="shared" ca="1" si="12"/>
        <v/>
      </c>
      <c r="BJ20" s="62" t="str">
        <f t="shared" ca="1" si="11"/>
        <v/>
      </c>
      <c r="BK20" s="3" t="str">
        <f t="shared" ca="1" si="13"/>
        <v/>
      </c>
      <c r="BL20" s="62" t="str">
        <f t="shared" ca="1" si="14"/>
        <v/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906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-1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si="19"/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2"/>
        <v/>
      </c>
      <c r="AV21" s="128" t="str">
        <f t="shared" si="3"/>
        <v/>
      </c>
      <c r="AW21" s="129" t="str">
        <f t="shared" si="20"/>
        <v/>
      </c>
      <c r="AX21" s="130" t="str">
        <f t="shared" ca="1" si="5"/>
        <v/>
      </c>
      <c r="AY21" s="130" t="str">
        <f t="shared" ca="1" si="6"/>
        <v/>
      </c>
      <c r="AZ21" s="131"/>
      <c r="BA21" s="131"/>
      <c r="BB21" s="131"/>
      <c r="BC21" s="131"/>
      <c r="BD21" s="90" t="str">
        <f t="shared" si="7"/>
        <v/>
      </c>
      <c r="BE21" s="92" t="str">
        <f t="shared" ca="1" si="8"/>
        <v/>
      </c>
      <c r="BF21" s="91" t="str">
        <f t="shared" si="9"/>
        <v/>
      </c>
      <c r="BG21" s="90" t="str">
        <f t="shared" ca="1" si="10"/>
        <v/>
      </c>
      <c r="BH21" s="91" t="str">
        <f t="shared" ca="1" si="11"/>
        <v/>
      </c>
      <c r="BI21" s="90" t="str">
        <f t="shared" ca="1" si="12"/>
        <v/>
      </c>
      <c r="BJ21" s="91" t="str">
        <f t="shared" ca="1" si="11"/>
        <v/>
      </c>
      <c r="BK21" s="90" t="str">
        <f t="shared" ca="1" si="13"/>
        <v/>
      </c>
      <c r="BL21" s="91" t="str">
        <f t="shared" ca="1" si="14"/>
        <v/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/>
      <c r="AH22" s="123"/>
      <c r="AI22" s="124"/>
      <c r="AJ22" s="124"/>
      <c r="AK22" s="124"/>
      <c r="AL22" s="125" t="str">
        <f t="shared" si="19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2"/>
        <v/>
      </c>
      <c r="AV22" s="128" t="str">
        <f t="shared" si="3"/>
        <v/>
      </c>
      <c r="AW22" s="129" t="str">
        <f t="shared" si="20"/>
        <v/>
      </c>
      <c r="AX22" s="130" t="str">
        <f t="shared" ca="1" si="5"/>
        <v/>
      </c>
      <c r="AY22" s="130" t="str">
        <f t="shared" ca="1" si="6"/>
        <v/>
      </c>
      <c r="AZ22" s="131"/>
      <c r="BA22" s="131"/>
      <c r="BB22" s="131"/>
      <c r="BC22" s="131"/>
      <c r="BD22" s="3" t="str">
        <f t="shared" si="7"/>
        <v/>
      </c>
      <c r="BE22" s="85" t="str">
        <f t="shared" ca="1" si="8"/>
        <v/>
      </c>
      <c r="BF22" s="62" t="str">
        <f t="shared" si="9"/>
        <v/>
      </c>
      <c r="BG22" s="3" t="str">
        <f t="shared" ca="1" si="10"/>
        <v/>
      </c>
      <c r="BH22" s="62" t="str">
        <f t="shared" ca="1" si="11"/>
        <v/>
      </c>
      <c r="BI22" s="3" t="str">
        <f t="shared" ca="1" si="12"/>
        <v/>
      </c>
      <c r="BJ22" s="62" t="str">
        <f t="shared" ca="1" si="11"/>
        <v/>
      </c>
      <c r="BK22" s="3" t="str">
        <f t="shared" ca="1" si="13"/>
        <v/>
      </c>
      <c r="BL22" s="62" t="str">
        <f t="shared" ca="1" si="14"/>
        <v/>
      </c>
      <c r="BM22" s="3" t="str">
        <f t="shared" ca="1" si="15"/>
        <v/>
      </c>
      <c r="BS22" s="361" t="s">
        <v>38</v>
      </c>
      <c r="BT22" s="105" t="s">
        <v>909</v>
      </c>
      <c r="BU22" s="104">
        <v>2</v>
      </c>
      <c r="BV22" s="105" t="str">
        <f t="shared" si="17"/>
        <v>David Petržela</v>
      </c>
      <c r="BW22" s="103">
        <f t="shared" si="18"/>
        <v>2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/>
      <c r="AH23" s="123"/>
      <c r="AI23" s="124"/>
      <c r="AJ23" s="124"/>
      <c r="AK23" s="124"/>
      <c r="AL23" s="125" t="str">
        <f t="shared" si="19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2"/>
        <v/>
      </c>
      <c r="AV23" s="128" t="str">
        <f t="shared" si="3"/>
        <v/>
      </c>
      <c r="AW23" s="129" t="str">
        <f t="shared" si="20"/>
        <v/>
      </c>
      <c r="AX23" s="130" t="str">
        <f t="shared" ca="1" si="5"/>
        <v/>
      </c>
      <c r="AY23" s="130" t="str">
        <f t="shared" ca="1" si="6"/>
        <v/>
      </c>
      <c r="AZ23" s="131"/>
      <c r="BA23" s="131"/>
      <c r="BB23" s="131"/>
      <c r="BC23" s="131"/>
      <c r="BD23" s="90" t="str">
        <f t="shared" si="7"/>
        <v/>
      </c>
      <c r="BE23" s="92" t="str">
        <f t="shared" ca="1" si="8"/>
        <v/>
      </c>
      <c r="BF23" s="91" t="str">
        <f t="shared" si="9"/>
        <v/>
      </c>
      <c r="BG23" s="90" t="str">
        <f t="shared" ca="1" si="10"/>
        <v/>
      </c>
      <c r="BH23" s="91" t="str">
        <f t="shared" ca="1" si="11"/>
        <v/>
      </c>
      <c r="BI23" s="90" t="str">
        <f t="shared" ca="1" si="12"/>
        <v/>
      </c>
      <c r="BJ23" s="91" t="str">
        <f t="shared" ca="1" si="11"/>
        <v/>
      </c>
      <c r="BK23" s="90" t="str">
        <f t="shared" ca="1" si="13"/>
        <v/>
      </c>
      <c r="BL23" s="91" t="str">
        <f t="shared" ca="1" si="14"/>
        <v/>
      </c>
      <c r="BM23" s="90" t="str">
        <f t="shared" ca="1" si="15"/>
        <v/>
      </c>
      <c r="BS23" s="361"/>
      <c r="BT23" s="105" t="s">
        <v>913</v>
      </c>
      <c r="BU23" s="104">
        <v>2</v>
      </c>
      <c r="BV23" s="105" t="str">
        <f t="shared" si="17"/>
        <v>Matyáš Velc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9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21">IF(AG24&lt;&gt;"",IF(AH24&lt;&gt;"",INT((TODAY()-AH24)/365),"?"),"")</f>
        <v/>
      </c>
      <c r="AV24" s="128" t="str">
        <f t="shared" ref="AV24:AV50" si="22">IF(AG24&lt;&gt;"",CONCATENATE(IF(AQ24&lt;&gt;"",AQ24,"? "),"/",IF(AR24&lt;&gt;"",AR24," ?")),"")</f>
        <v/>
      </c>
      <c r="AW24" s="129" t="str">
        <f t="shared" si="20"/>
        <v/>
      </c>
      <c r="AX24" s="130" t="str">
        <f t="shared" ref="AX24:AX27" ca="1" si="23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4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7"/>
        <v/>
      </c>
      <c r="BE24" s="85" t="str">
        <f t="shared" ca="1" si="8"/>
        <v/>
      </c>
      <c r="BF24" s="62" t="str">
        <f t="shared" si="9"/>
        <v/>
      </c>
      <c r="BG24" s="3" t="str">
        <f t="shared" ca="1" si="10"/>
        <v/>
      </c>
      <c r="BH24" s="62" t="str">
        <f t="shared" ca="1" si="11"/>
        <v/>
      </c>
      <c r="BI24" s="3" t="str">
        <f t="shared" ca="1" si="12"/>
        <v/>
      </c>
      <c r="BJ24" s="62" t="str">
        <f t="shared" ca="1" si="11"/>
        <v/>
      </c>
      <c r="BK24" s="3" t="str">
        <f t="shared" ca="1" si="13"/>
        <v/>
      </c>
      <c r="BL24" s="62" t="str">
        <f t="shared" ca="1" si="14"/>
        <v/>
      </c>
      <c r="BM24" s="3" t="str">
        <f t="shared" ca="1" si="15"/>
        <v/>
      </c>
      <c r="BS24" s="361"/>
      <c r="BT24" s="105" t="s">
        <v>914</v>
      </c>
      <c r="BU24" s="104">
        <v>1</v>
      </c>
      <c r="BV24" s="105" t="str">
        <f t="shared" si="17"/>
        <v>Adam Šmíd</v>
      </c>
      <c r="BW24" s="103">
        <f t="shared" si="18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9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21"/>
        <v/>
      </c>
      <c r="AV25" s="128" t="str">
        <f t="shared" si="22"/>
        <v/>
      </c>
      <c r="AW25" s="129" t="str">
        <f t="shared" si="20"/>
        <v/>
      </c>
      <c r="AX25" s="130" t="str">
        <f t="shared" ca="1" si="23"/>
        <v/>
      </c>
      <c r="AY25" s="130" t="str">
        <f t="shared" ca="1" si="24"/>
        <v/>
      </c>
      <c r="AZ25" s="131"/>
      <c r="BA25" s="131"/>
      <c r="BB25" s="131"/>
      <c r="BC25" s="131"/>
      <c r="BD25" s="90" t="str">
        <f t="shared" si="7"/>
        <v/>
      </c>
      <c r="BE25" s="92" t="str">
        <f t="shared" ca="1" si="8"/>
        <v/>
      </c>
      <c r="BF25" s="91" t="str">
        <f t="shared" si="9"/>
        <v/>
      </c>
      <c r="BG25" s="90" t="str">
        <f t="shared" ca="1" si="10"/>
        <v/>
      </c>
      <c r="BH25" s="91" t="str">
        <f t="shared" ca="1" si="11"/>
        <v/>
      </c>
      <c r="BI25" s="90" t="str">
        <f t="shared" ca="1" si="12"/>
        <v/>
      </c>
      <c r="BJ25" s="91" t="str">
        <f t="shared" ca="1" si="11"/>
        <v/>
      </c>
      <c r="BK25" s="90" t="str">
        <f t="shared" ca="1" si="13"/>
        <v/>
      </c>
      <c r="BL25" s="91" t="str">
        <f t="shared" ca="1" si="14"/>
        <v/>
      </c>
      <c r="BM25" s="90" t="str">
        <f t="shared" ca="1" si="15"/>
        <v/>
      </c>
      <c r="BS25" s="361"/>
      <c r="BT25" s="105" t="s">
        <v>1109</v>
      </c>
      <c r="BU25" s="104">
        <v>1</v>
      </c>
      <c r="BV25" s="105" t="str">
        <f t="shared" si="17"/>
        <v>Jan Savický</v>
      </c>
      <c r="BW25" s="103">
        <f t="shared" si="18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9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21"/>
        <v/>
      </c>
      <c r="AV26" s="128" t="str">
        <f t="shared" si="22"/>
        <v/>
      </c>
      <c r="AW26" s="129" t="str">
        <f t="shared" si="20"/>
        <v/>
      </c>
      <c r="AX26" s="130" t="str">
        <f t="shared" ca="1" si="23"/>
        <v/>
      </c>
      <c r="AY26" s="130" t="str">
        <f t="shared" ca="1" si="24"/>
        <v/>
      </c>
      <c r="AZ26" s="131"/>
      <c r="BA26" s="131"/>
      <c r="BB26" s="131"/>
      <c r="BC26" s="131"/>
      <c r="BD26" s="3" t="str">
        <f t="shared" si="7"/>
        <v/>
      </c>
      <c r="BE26" s="85" t="str">
        <f t="shared" ca="1" si="8"/>
        <v/>
      </c>
      <c r="BF26" s="62" t="str">
        <f t="shared" si="9"/>
        <v/>
      </c>
      <c r="BG26" s="3" t="str">
        <f t="shared" ca="1" si="10"/>
        <v/>
      </c>
      <c r="BH26" s="62" t="str">
        <f t="shared" ca="1" si="11"/>
        <v/>
      </c>
      <c r="BI26" s="3" t="str">
        <f t="shared" ca="1" si="12"/>
        <v/>
      </c>
      <c r="BJ26" s="62" t="str">
        <f t="shared" ca="1" si="11"/>
        <v/>
      </c>
      <c r="BK26" s="3" t="str">
        <f t="shared" ca="1" si="13"/>
        <v/>
      </c>
      <c r="BL26" s="62" t="str">
        <f t="shared" ca="1" si="14"/>
        <v/>
      </c>
      <c r="BM26" s="3" t="str">
        <f t="shared" ca="1" si="15"/>
        <v/>
      </c>
      <c r="BS26" s="361"/>
      <c r="BT26" s="105" t="s">
        <v>1110</v>
      </c>
      <c r="BU26" s="104">
        <v>1</v>
      </c>
      <c r="BV26" s="105" t="str">
        <f t="shared" si="17"/>
        <v>Lukáš Kučera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9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21"/>
        <v/>
      </c>
      <c r="AV27" s="128" t="str">
        <f t="shared" si="22"/>
        <v/>
      </c>
      <c r="AW27" s="129" t="str">
        <f t="shared" si="20"/>
        <v/>
      </c>
      <c r="AX27" s="130" t="str">
        <f t="shared" ca="1" si="23"/>
        <v/>
      </c>
      <c r="AY27" s="130" t="str">
        <f t="shared" ca="1" si="24"/>
        <v/>
      </c>
      <c r="AZ27" s="131"/>
      <c r="BA27" s="131"/>
      <c r="BB27" s="131"/>
      <c r="BC27" s="131"/>
      <c r="BD27" s="90" t="str">
        <f t="shared" si="7"/>
        <v/>
      </c>
      <c r="BE27" s="92" t="str">
        <f t="shared" ca="1" si="8"/>
        <v/>
      </c>
      <c r="BF27" s="91" t="str">
        <f t="shared" si="9"/>
        <v/>
      </c>
      <c r="BG27" s="90" t="str">
        <f t="shared" ca="1" si="10"/>
        <v/>
      </c>
      <c r="BH27" s="91" t="str">
        <f t="shared" ca="1" si="11"/>
        <v/>
      </c>
      <c r="BI27" s="90" t="str">
        <f t="shared" ca="1" si="12"/>
        <v/>
      </c>
      <c r="BJ27" s="91" t="str">
        <f t="shared" ca="1" si="11"/>
        <v/>
      </c>
      <c r="BK27" s="90" t="str">
        <f t="shared" ca="1" si="13"/>
        <v/>
      </c>
      <c r="BL27" s="91" t="str">
        <f t="shared" ca="1" si="14"/>
        <v/>
      </c>
      <c r="BM27" s="90" t="str">
        <f t="shared" ca="1" si="15"/>
        <v/>
      </c>
      <c r="BS27" s="361" t="s">
        <v>39</v>
      </c>
      <c r="BT27" s="105" t="s">
        <v>915</v>
      </c>
      <c r="BU27" s="104">
        <v>2</v>
      </c>
      <c r="BV27" s="105" t="str">
        <f t="shared" si="17"/>
        <v>Ivo Teichman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9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21"/>
        <v/>
      </c>
      <c r="AV28" s="128" t="str">
        <f t="shared" si="22"/>
        <v/>
      </c>
      <c r="AW28" s="129" t="str">
        <f t="shared" si="20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4"/>
        <v/>
      </c>
      <c r="AZ28" s="131"/>
      <c r="BA28" s="131"/>
      <c r="BB28" s="131"/>
      <c r="BC28" s="131"/>
      <c r="BD28" s="3" t="str">
        <f t="shared" si="7"/>
        <v/>
      </c>
      <c r="BE28" s="85" t="str">
        <f t="shared" ca="1" si="8"/>
        <v/>
      </c>
      <c r="BF28" s="62" t="str">
        <f t="shared" si="9"/>
        <v/>
      </c>
      <c r="BG28" s="3" t="str">
        <f t="shared" ca="1" si="10"/>
        <v/>
      </c>
      <c r="BH28" s="62" t="str">
        <f t="shared" ca="1" si="11"/>
        <v/>
      </c>
      <c r="BI28" s="3" t="str">
        <f t="shared" ca="1" si="12"/>
        <v/>
      </c>
      <c r="BJ28" s="62" t="str">
        <f t="shared" ca="1" si="11"/>
        <v/>
      </c>
      <c r="BK28" s="3" t="str">
        <f t="shared" ca="1" si="13"/>
        <v/>
      </c>
      <c r="BL28" s="62" t="str">
        <f t="shared" ca="1" si="14"/>
        <v/>
      </c>
      <c r="BM28" s="3" t="str">
        <f t="shared" ca="1" si="15"/>
        <v/>
      </c>
      <c r="BS28" s="361"/>
      <c r="BT28" s="105" t="s">
        <v>1111</v>
      </c>
      <c r="BU28" s="104">
        <v>2</v>
      </c>
      <c r="BV28" s="105" t="str">
        <f t="shared" si="17"/>
        <v>Vojtěch Rusin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9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21"/>
        <v/>
      </c>
      <c r="AV29" s="128" t="str">
        <f t="shared" si="22"/>
        <v/>
      </c>
      <c r="AW29" s="129" t="str">
        <f t="shared" si="20"/>
        <v/>
      </c>
      <c r="AX29" s="130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4"/>
        <v/>
      </c>
      <c r="AZ29" s="131"/>
      <c r="BA29" s="131"/>
      <c r="BB29" s="131"/>
      <c r="BC29" s="131"/>
      <c r="BD29" s="90" t="str">
        <f t="shared" si="7"/>
        <v/>
      </c>
      <c r="BE29" s="92" t="str">
        <f t="shared" ca="1" si="8"/>
        <v/>
      </c>
      <c r="BF29" s="91" t="str">
        <f t="shared" si="9"/>
        <v/>
      </c>
      <c r="BG29" s="90" t="str">
        <f t="shared" ca="1" si="10"/>
        <v/>
      </c>
      <c r="BH29" s="91" t="str">
        <f t="shared" ca="1" si="11"/>
        <v/>
      </c>
      <c r="BI29" s="90" t="str">
        <f t="shared" ca="1" si="12"/>
        <v/>
      </c>
      <c r="BJ29" s="91" t="str">
        <f t="shared" ca="1" si="11"/>
        <v/>
      </c>
      <c r="BK29" s="90" t="str">
        <f t="shared" ca="1" si="13"/>
        <v/>
      </c>
      <c r="BL29" s="91" t="str">
        <f t="shared" ca="1" si="14"/>
        <v/>
      </c>
      <c r="BM29" s="90" t="str">
        <f t="shared" ca="1" si="15"/>
        <v/>
      </c>
      <c r="BS29" s="361"/>
      <c r="BT29" s="105" t="s">
        <v>914</v>
      </c>
      <c r="BU29" s="104">
        <v>0</v>
      </c>
      <c r="BV29" s="105" t="str">
        <f t="shared" si="17"/>
        <v>Adam Šmíd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PAR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9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21"/>
        <v/>
      </c>
      <c r="AV30" s="128" t="str">
        <f t="shared" si="22"/>
        <v/>
      </c>
      <c r="AW30" s="129" t="str">
        <f t="shared" si="20"/>
        <v/>
      </c>
      <c r="AX30" s="130" t="str">
        <f t="shared" ca="1" si="25"/>
        <v/>
      </c>
      <c r="AY30" s="130" t="str">
        <f t="shared" ca="1" si="24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1"/>
        <v/>
      </c>
      <c r="BK30" s="3" t="str">
        <f t="shared" ca="1" si="13"/>
        <v/>
      </c>
      <c r="BL30" s="62" t="str">
        <f t="shared" ca="1" si="14"/>
        <v/>
      </c>
      <c r="BM30" s="3" t="str">
        <f t="shared" ca="1" si="15"/>
        <v/>
      </c>
      <c r="BS30" s="361"/>
      <c r="BT30" s="105" t="s">
        <v>1112</v>
      </c>
      <c r="BU30" s="104">
        <v>0</v>
      </c>
      <c r="BV30" s="105" t="str">
        <f t="shared" si="17"/>
        <v>David Petržela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9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21"/>
        <v/>
      </c>
      <c r="AV31" s="128" t="str">
        <f t="shared" si="22"/>
        <v/>
      </c>
      <c r="AW31" s="129" t="str">
        <f t="shared" si="20"/>
        <v/>
      </c>
      <c r="AX31" s="130" t="str">
        <f t="shared" ca="1" si="25"/>
        <v/>
      </c>
      <c r="AY31" s="130" t="str">
        <f t="shared" ca="1" si="24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1113</v>
      </c>
      <c r="BU31" s="104">
        <v>0</v>
      </c>
      <c r="BV31" s="105" t="str">
        <f t="shared" si="17"/>
        <v>David Žáček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9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21"/>
        <v/>
      </c>
      <c r="AV32" s="128" t="str">
        <f t="shared" si="22"/>
        <v/>
      </c>
      <c r="AW32" s="129" t="str">
        <f t="shared" si="20"/>
        <v/>
      </c>
      <c r="AX32" s="130" t="str">
        <f t="shared" ca="1" si="25"/>
        <v/>
      </c>
      <c r="AY32" s="130" t="str">
        <f t="shared" ca="1" si="24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9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21"/>
        <v/>
      </c>
      <c r="AV33" s="128" t="str">
        <f t="shared" si="22"/>
        <v/>
      </c>
      <c r="AW33" s="129" t="str">
        <f t="shared" si="20"/>
        <v/>
      </c>
      <c r="AX33" s="130" t="str">
        <f t="shared" ca="1" si="25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9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21"/>
        <v/>
      </c>
      <c r="AV34" s="128" t="str">
        <f t="shared" si="22"/>
        <v/>
      </c>
      <c r="AW34" s="129" t="str">
        <f t="shared" si="20"/>
        <v/>
      </c>
      <c r="AX34" s="130" t="str">
        <f t="shared" ca="1" si="25"/>
        <v/>
      </c>
      <c r="AY34" s="130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9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0"/>
        <v/>
      </c>
      <c r="AX35" s="130" t="str">
        <f t="shared" ca="1" si="25"/>
        <v/>
      </c>
      <c r="AY35" s="130" t="str">
        <f t="shared" ca="1" si="26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9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0"/>
        <v/>
      </c>
      <c r="AX36" s="130" t="str">
        <f t="shared" ca="1" si="25"/>
        <v/>
      </c>
      <c r="AY36" s="130" t="str">
        <f t="shared" ca="1" si="26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9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0"/>
        <v/>
      </c>
      <c r="AX37" s="130" t="str">
        <f t="shared" ca="1" si="25"/>
        <v/>
      </c>
      <c r="AY37" s="130" t="str">
        <f t="shared" ca="1" si="26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0"/>
        <v/>
      </c>
      <c r="AX38" s="130" t="str">
        <f t="shared" ca="1" si="25"/>
        <v/>
      </c>
      <c r="AY38" s="130" t="str">
        <f t="shared" ca="1" si="26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0"/>
        <v/>
      </c>
      <c r="AX39" s="130" t="str">
        <f t="shared" ca="1" si="25"/>
        <v/>
      </c>
      <c r="AY39" s="130" t="str">
        <f t="shared" ca="1" si="26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0"/>
        <v/>
      </c>
      <c r="AX40" s="130" t="str">
        <f t="shared" ca="1" si="25"/>
        <v/>
      </c>
      <c r="AY40" s="130" t="str">
        <f t="shared" ca="1" si="26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0"/>
        <v/>
      </c>
      <c r="AX41" s="130" t="str">
        <f t="shared" ca="1" si="25"/>
        <v/>
      </c>
      <c r="AY41" s="130" t="str">
        <f t="shared" ca="1" si="26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0"/>
        <v/>
      </c>
      <c r="AX42" s="130" t="str">
        <f t="shared" ca="1" si="25"/>
        <v/>
      </c>
      <c r="AY42" s="130" t="str">
        <f t="shared" ca="1" si="26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0"/>
        <v/>
      </c>
      <c r="AX43" s="130" t="str">
        <f t="shared" ca="1" si="25"/>
        <v/>
      </c>
      <c r="AY43" s="130" t="str">
        <f t="shared" ca="1" si="26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0"/>
        <v/>
      </c>
      <c r="AX44" s="130" t="str">
        <f t="shared" ca="1" si="25"/>
        <v/>
      </c>
      <c r="AY44" s="130" t="str">
        <f t="shared" ca="1" si="26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905</v>
      </c>
      <c r="T45" s="103">
        <v>2</v>
      </c>
      <c r="U45" s="113">
        <v>60</v>
      </c>
      <c r="V45" s="103">
        <v>1</v>
      </c>
      <c r="W45" s="103">
        <v>16</v>
      </c>
      <c r="X45" s="103">
        <v>0</v>
      </c>
      <c r="Y45" s="103">
        <v>35</v>
      </c>
      <c r="Z45" s="103">
        <v>0</v>
      </c>
      <c r="AA45" s="103">
        <v>1</v>
      </c>
      <c r="AB45" s="103">
        <v>19</v>
      </c>
      <c r="AC45" s="103">
        <v>0</v>
      </c>
      <c r="AD45" s="103">
        <v>0</v>
      </c>
      <c r="AE45" s="113">
        <f>IF(S45&lt;&gt;"",IF(T45&gt;0,W45/(U45/60),0),"")</f>
        <v>16</v>
      </c>
      <c r="AF45" s="113">
        <f>IF(S45&lt;&gt;"",IF(Y45&gt;0,(AB45/Y45)*100,"-"),"")</f>
        <v>54.285714285714285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0"/>
        <v/>
      </c>
      <c r="AX45" s="130" t="str">
        <f t="shared" ca="1" si="25"/>
        <v/>
      </c>
      <c r="AY45" s="130" t="str">
        <f t="shared" ca="1" si="26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907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7">IF(S46&lt;&gt;"",IF(T46&gt;0,W46/(U46/60),0),"")</f>
        <v>0</v>
      </c>
      <c r="AF46" s="113" t="str">
        <f t="shared" ref="AF46:AF50" si="28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0"/>
        <v/>
      </c>
      <c r="AX46" s="130" t="str">
        <f t="shared" ca="1" si="25"/>
        <v/>
      </c>
      <c r="AY46" s="130" t="str">
        <f t="shared" ca="1" si="26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7"/>
        <v/>
      </c>
      <c r="AF47" s="113" t="str">
        <f t="shared" si="28"/>
        <v/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0"/>
        <v/>
      </c>
      <c r="AX47" s="130" t="str">
        <f t="shared" ca="1" si="25"/>
        <v/>
      </c>
      <c r="AY47" s="130" t="str">
        <f t="shared" ca="1" si="26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7"/>
        <v/>
      </c>
      <c r="AF48" s="113" t="str">
        <f t="shared" si="28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0"/>
        <v/>
      </c>
      <c r="AX48" s="130" t="str">
        <f t="shared" ca="1" si="25"/>
        <v/>
      </c>
      <c r="AY48" s="130" t="str">
        <f t="shared" ca="1" si="26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7"/>
        <v/>
      </c>
      <c r="AF49" s="113" t="str">
        <f t="shared" si="28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0"/>
        <v/>
      </c>
      <c r="AX49" s="130" t="str">
        <f t="shared" ca="1" si="25"/>
        <v/>
      </c>
      <c r="AY49" s="130" t="str">
        <f t="shared" ca="1" si="26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7"/>
        <v/>
      </c>
      <c r="AF50" s="113" t="str">
        <f t="shared" si="28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0"/>
        <v/>
      </c>
      <c r="AX50" s="130" t="str">
        <f t="shared" ca="1" si="25"/>
        <v/>
      </c>
      <c r="AY50" s="130" t="str">
        <f t="shared" ca="1" si="26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689</v>
      </c>
      <c r="T2" s="103" t="s">
        <v>133</v>
      </c>
      <c r="U2" s="103">
        <v>2</v>
      </c>
      <c r="V2" s="103">
        <v>2</v>
      </c>
      <c r="W2" s="103">
        <v>0</v>
      </c>
      <c r="X2" s="103">
        <v>0</v>
      </c>
      <c r="Y2" s="103">
        <v>2</v>
      </c>
      <c r="Z2" s="103">
        <v>4</v>
      </c>
      <c r="AA2" s="103">
        <v>0</v>
      </c>
      <c r="AB2" s="103">
        <v>1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708</v>
      </c>
      <c r="AH2" s="123">
        <v>37866</v>
      </c>
      <c r="AI2" s="124">
        <v>15</v>
      </c>
      <c r="AJ2" s="124">
        <v>6</v>
      </c>
      <c r="AK2" s="124">
        <v>3</v>
      </c>
      <c r="AL2" s="125">
        <f t="shared" ref="AL2:AL50" si="1">IF(AG2&lt;&gt;"",AJ2+AK2,"")</f>
        <v>9</v>
      </c>
      <c r="AM2" s="124">
        <v>2</v>
      </c>
      <c r="AN2" s="124"/>
      <c r="AO2" s="126"/>
      <c r="AP2" s="126" t="s">
        <v>163</v>
      </c>
      <c r="AQ2" s="124">
        <v>173</v>
      </c>
      <c r="AR2" s="124">
        <v>62</v>
      </c>
      <c r="AS2" s="127" t="s">
        <v>720</v>
      </c>
      <c r="AT2" s="124">
        <v>2012</v>
      </c>
      <c r="AU2" s="128">
        <f t="shared" ref="AU2:AU23" ca="1" si="2">IF(AG2&lt;&gt;"",IF(AH2&lt;&gt;"",INT((TODAY()-AH2)/365),"?"),"")</f>
        <v>18</v>
      </c>
      <c r="AV2" s="128" t="str">
        <f t="shared" ref="AV2:AV23" si="3">IF(AG2&lt;&gt;"",CONCATENATE(IF(AQ2&lt;&gt;"",AQ2,"? "),"/",IF(AR2&lt;&gt;"",AR2," ?")),"")</f>
        <v>173/62</v>
      </c>
      <c r="AW2" s="129" t="str">
        <f ca="1">IF(AG2&lt;&gt;"",IF(BE2=1,BD2,IF(BH2=1,BG2,IF(BJ2=1,BI2,IF(BL2=1,BK2,BM2)))),"")</f>
        <v>Bachmaier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1"/>
      <c r="BA2" s="131"/>
      <c r="BB2" s="131"/>
      <c r="BC2" s="131"/>
      <c r="BD2" s="3" t="str">
        <f>IF(AG2&lt;&gt;"",RIGHT(AG2,LEN(AG2)-SEARCH(" ",AG2)),"")</f>
        <v>Bachmaier</v>
      </c>
      <c r="BE2" s="85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734</v>
      </c>
      <c r="BO2" s="123">
        <v>29384</v>
      </c>
      <c r="BP2" s="132" t="s">
        <v>278</v>
      </c>
      <c r="BQ2" s="133" t="s">
        <v>735</v>
      </c>
      <c r="BR2" s="128">
        <f ca="1">IF(BN2&lt;&gt;"",IF(BO2&lt;&gt;"",INT((TODAY()-BO2)/365),"?"),"")</f>
        <v>41</v>
      </c>
      <c r="BS2" s="361" t="s">
        <v>36</v>
      </c>
      <c r="BT2" s="105" t="s">
        <v>742</v>
      </c>
      <c r="BU2" s="104">
        <v>4</v>
      </c>
      <c r="BV2" s="105" t="str">
        <f>IFERROR(RIGHT(BT2,LEN(BT2)-SEARCH(" ",BT2)),"")</f>
        <v>Lukáš Ujhélyi</v>
      </c>
      <c r="BW2" s="103">
        <f>IF(BT2&lt;&gt;0,_xlfn.NUMBERVALUE(BU2,","),"")</f>
        <v>4</v>
      </c>
      <c r="BX2" s="360" t="s">
        <v>233</v>
      </c>
      <c r="BY2" s="104" t="s">
        <v>225</v>
      </c>
      <c r="BZ2" s="104" t="s">
        <v>109</v>
      </c>
      <c r="CA2" s="116" t="s">
        <v>1045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690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0</v>
      </c>
      <c r="AC3" s="103" t="str">
        <f t="shared" ca="1" si="0"/>
        <v>ANO</v>
      </c>
      <c r="AG3" s="122" t="s">
        <v>694</v>
      </c>
      <c r="AH3" s="123">
        <v>35899</v>
      </c>
      <c r="AI3" s="124">
        <v>127</v>
      </c>
      <c r="AJ3" s="124">
        <v>9</v>
      </c>
      <c r="AK3" s="124">
        <v>17</v>
      </c>
      <c r="AL3" s="125">
        <f t="shared" si="1"/>
        <v>26</v>
      </c>
      <c r="AM3" s="124">
        <v>7</v>
      </c>
      <c r="AN3" s="124">
        <v>6</v>
      </c>
      <c r="AO3" s="126"/>
      <c r="AP3" s="126" t="s">
        <v>27</v>
      </c>
      <c r="AQ3" s="124">
        <v>174</v>
      </c>
      <c r="AR3" s="124">
        <v>74</v>
      </c>
      <c r="AS3" s="127" t="s">
        <v>721</v>
      </c>
      <c r="AT3" s="124">
        <v>2009</v>
      </c>
      <c r="AU3" s="128">
        <f t="shared" ca="1" si="2"/>
        <v>23</v>
      </c>
      <c r="AV3" s="128" t="str">
        <f t="shared" si="3"/>
        <v>174/74</v>
      </c>
      <c r="AW3" s="129" t="str">
        <f t="shared" ref="AW3:AW50" ca="1" si="6">IF(AG3&lt;&gt;"",IF(BE3=1,BD3,IF(BH3=1,BG3,IF(BJ3=1,BI3,IF(BL3=1,BK3,BM3)))),"")</f>
        <v>Bartoš</v>
      </c>
      <c r="AX3" s="130" t="str">
        <f t="shared" ca="1" si="4"/>
        <v>2 OZ, 1 (0+1), +1 ±</v>
      </c>
      <c r="AY3" s="130" t="str">
        <f t="shared" ca="1" si="5"/>
        <v>129 OZ, 27 (9+18)</v>
      </c>
      <c r="AZ3" s="131"/>
      <c r="BA3" s="131"/>
      <c r="BB3" s="131"/>
      <c r="BC3" s="131"/>
      <c r="BD3" s="90" t="str">
        <f t="shared" ref="BD3:BD50" si="7">IF(AG3&lt;&gt;"",RIGHT(AG3,LEN(AG3)-SEARCH(" ",AG3)),"")</f>
        <v>Bartoš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D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736</v>
      </c>
      <c r="BO3" s="123">
        <v>31166</v>
      </c>
      <c r="BP3" s="132" t="s">
        <v>279</v>
      </c>
      <c r="BQ3" s="133" t="s">
        <v>737</v>
      </c>
      <c r="BR3" s="128">
        <f t="shared" ref="BR3:BR11" ca="1" si="16">IF(BN3&lt;&gt;"",IF(BO3&lt;&gt;"",INT((TODAY()-BO3)/365),"?"),"")</f>
        <v>36</v>
      </c>
      <c r="BS3" s="361"/>
      <c r="BT3" s="105" t="s">
        <v>747</v>
      </c>
      <c r="BU3" s="104">
        <v>3</v>
      </c>
      <c r="BV3" s="105" t="str">
        <f t="shared" ref="BV3:BV31" si="17">IFERROR(RIGHT(BT3,LEN(BT3)-SEARCH(" ",BT3)),"")</f>
        <v>Jakub Kolstrunk</v>
      </c>
      <c r="BW3" s="103">
        <f t="shared" ref="BW3:BW31" si="18">IF(BT3&lt;&gt;0,_xlfn.NUMBERVALUE(BU3,","),"")</f>
        <v>3</v>
      </c>
      <c r="BX3" s="360"/>
      <c r="BY3" s="104" t="s">
        <v>224</v>
      </c>
      <c r="BZ3" s="104" t="s">
        <v>103</v>
      </c>
      <c r="CA3" s="116" t="s">
        <v>750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693</v>
      </c>
      <c r="U4" s="103">
        <v>2</v>
      </c>
      <c r="V4" s="103">
        <v>2</v>
      </c>
      <c r="W4" s="103">
        <v>0</v>
      </c>
      <c r="X4" s="103">
        <v>0</v>
      </c>
      <c r="Y4" s="103">
        <v>1</v>
      </c>
      <c r="Z4" s="103">
        <v>3</v>
      </c>
      <c r="AA4" s="103">
        <v>0</v>
      </c>
      <c r="AB4" s="103">
        <v>-1</v>
      </c>
      <c r="AC4" s="103" t="str">
        <f t="shared" ca="1" si="0"/>
        <v>ANO</v>
      </c>
      <c r="AG4" s="122" t="s">
        <v>442</v>
      </c>
      <c r="AH4" s="123">
        <v>37103</v>
      </c>
      <c r="AI4" s="124">
        <v>21</v>
      </c>
      <c r="AJ4" s="124">
        <v>16</v>
      </c>
      <c r="AK4" s="124">
        <v>6</v>
      </c>
      <c r="AL4" s="125">
        <f t="shared" si="1"/>
        <v>22</v>
      </c>
      <c r="AM4" s="124">
        <v>2</v>
      </c>
      <c r="AN4" s="124">
        <v>16</v>
      </c>
      <c r="AO4" s="126"/>
      <c r="AP4" s="126" t="s">
        <v>163</v>
      </c>
      <c r="AQ4" s="124">
        <v>185</v>
      </c>
      <c r="AR4" s="124">
        <v>75</v>
      </c>
      <c r="AS4" s="127" t="s">
        <v>305</v>
      </c>
      <c r="AT4" s="124">
        <v>2010</v>
      </c>
      <c r="AU4" s="128">
        <f t="shared" ca="1" si="2"/>
        <v>20</v>
      </c>
      <c r="AV4" s="128" t="str">
        <f t="shared" si="3"/>
        <v>185/75</v>
      </c>
      <c r="AW4" s="129" t="str">
        <f t="shared" ca="1" si="6"/>
        <v>Beneš D.</v>
      </c>
      <c r="AX4" s="130" t="str">
        <f t="shared" ca="1" si="4"/>
        <v>0 OZ, 0 (0+0)</v>
      </c>
      <c r="AY4" s="130" t="str">
        <f t="shared" ca="1" si="5"/>
        <v>21 OZ, 22 (16+6)</v>
      </c>
      <c r="AZ4" s="131"/>
      <c r="BA4" s="131"/>
      <c r="BB4" s="131"/>
      <c r="BC4" s="131"/>
      <c r="BD4" s="3" t="str">
        <f t="shared" si="7"/>
        <v>Beneš</v>
      </c>
      <c r="BE4" s="85">
        <f t="shared" ca="1" si="8"/>
        <v>2</v>
      </c>
      <c r="BF4" s="62" t="str">
        <f t="shared" si="9"/>
        <v>D</v>
      </c>
      <c r="BG4" s="3" t="str">
        <f t="shared" ca="1" si="10"/>
        <v>Beneš D.</v>
      </c>
      <c r="BH4" s="62">
        <f t="shared" ca="1" si="11"/>
        <v>1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738</v>
      </c>
      <c r="BO4" s="123">
        <v>32564</v>
      </c>
      <c r="BP4" s="132" t="s">
        <v>279</v>
      </c>
      <c r="BQ4" s="133" t="s">
        <v>739</v>
      </c>
      <c r="BR4" s="128">
        <f t="shared" ca="1" si="16"/>
        <v>32</v>
      </c>
      <c r="BS4" s="361"/>
      <c r="BT4" s="105" t="s">
        <v>748</v>
      </c>
      <c r="BU4" s="104">
        <v>3</v>
      </c>
      <c r="BV4" s="105" t="str">
        <f t="shared" si="17"/>
        <v>Josef Juha</v>
      </c>
      <c r="BW4" s="103">
        <f t="shared" si="18"/>
        <v>3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696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-2</v>
      </c>
      <c r="AC5" s="103" t="str">
        <f t="shared" ca="1" si="0"/>
        <v>ANO</v>
      </c>
      <c r="AG5" s="122" t="s">
        <v>704</v>
      </c>
      <c r="AH5" s="123">
        <v>31703</v>
      </c>
      <c r="AI5" s="124">
        <v>207</v>
      </c>
      <c r="AJ5" s="124">
        <v>0</v>
      </c>
      <c r="AK5" s="124">
        <v>17</v>
      </c>
      <c r="AL5" s="125">
        <f t="shared" si="1"/>
        <v>17</v>
      </c>
      <c r="AM5" s="124">
        <v>14</v>
      </c>
      <c r="AN5" s="124">
        <v>30</v>
      </c>
      <c r="AO5" s="126"/>
      <c r="AP5" s="126"/>
      <c r="AQ5" s="124">
        <v>185</v>
      </c>
      <c r="AR5" s="124">
        <v>92</v>
      </c>
      <c r="AS5" s="127" t="s">
        <v>722</v>
      </c>
      <c r="AT5" s="124">
        <v>2005</v>
      </c>
      <c r="AU5" s="128">
        <f t="shared" ca="1" si="2"/>
        <v>34</v>
      </c>
      <c r="AV5" s="128" t="str">
        <f t="shared" si="3"/>
        <v>185/92</v>
      </c>
      <c r="AW5" s="129" t="str">
        <f t="shared" ca="1" si="6"/>
        <v>Beneš M.</v>
      </c>
      <c r="AX5" s="130" t="str">
        <f t="shared" ca="1" si="4"/>
        <v>1 V, 1 P</v>
      </c>
      <c r="AY5" s="130" t="str">
        <f t="shared" ca="1" si="5"/>
        <v>209 OZ, 17 A</v>
      </c>
      <c r="AZ5" s="131"/>
      <c r="BA5" s="131"/>
      <c r="BB5" s="131"/>
      <c r="BC5" s="131"/>
      <c r="BD5" s="90" t="str">
        <f t="shared" si="7"/>
        <v>Beneš</v>
      </c>
      <c r="BE5" s="92">
        <f t="shared" ca="1" si="8"/>
        <v>2</v>
      </c>
      <c r="BF5" s="91" t="str">
        <f t="shared" si="9"/>
        <v>M</v>
      </c>
      <c r="BG5" s="90" t="str">
        <f t="shared" ca="1" si="10"/>
        <v>Beneš M.</v>
      </c>
      <c r="BH5" s="91">
        <f t="shared" ca="1" si="11"/>
        <v>1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740</v>
      </c>
      <c r="BO5" s="123">
        <v>33689</v>
      </c>
      <c r="BP5" s="132" t="s">
        <v>489</v>
      </c>
      <c r="BQ5" s="133"/>
      <c r="BR5" s="128">
        <f t="shared" ca="1" si="16"/>
        <v>29</v>
      </c>
      <c r="BS5" s="361"/>
      <c r="BT5" s="105" t="s">
        <v>1047</v>
      </c>
      <c r="BU5" s="104">
        <v>2</v>
      </c>
      <c r="BV5" s="105" t="str">
        <f t="shared" si="17"/>
        <v>Matěj Čermák</v>
      </c>
      <c r="BW5" s="103">
        <f t="shared" si="18"/>
        <v>2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692</v>
      </c>
      <c r="T6" s="103" t="s">
        <v>133</v>
      </c>
      <c r="U6" s="103">
        <v>2</v>
      </c>
      <c r="V6" s="103">
        <v>1</v>
      </c>
      <c r="W6" s="103">
        <v>1</v>
      </c>
      <c r="X6" s="103">
        <v>0</v>
      </c>
      <c r="Y6" s="103">
        <v>1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696</v>
      </c>
      <c r="AH6" s="123">
        <v>37547</v>
      </c>
      <c r="AI6" s="124">
        <v>52</v>
      </c>
      <c r="AJ6" s="124">
        <v>25</v>
      </c>
      <c r="AK6" s="124">
        <v>21</v>
      </c>
      <c r="AL6" s="125">
        <f t="shared" si="1"/>
        <v>46</v>
      </c>
      <c r="AM6" s="124">
        <v>3</v>
      </c>
      <c r="AN6" s="124">
        <v>81</v>
      </c>
      <c r="AO6" s="126"/>
      <c r="AP6" s="126" t="s">
        <v>163</v>
      </c>
      <c r="AQ6" s="124">
        <v>185</v>
      </c>
      <c r="AR6" s="124">
        <v>79</v>
      </c>
      <c r="AS6" s="127" t="s">
        <v>723</v>
      </c>
      <c r="AT6" s="124"/>
      <c r="AU6" s="128">
        <f t="shared" ca="1" si="2"/>
        <v>18</v>
      </c>
      <c r="AV6" s="128" t="str">
        <f t="shared" si="3"/>
        <v>185/79</v>
      </c>
      <c r="AW6" s="129" t="str">
        <f t="shared" ca="1" si="6"/>
        <v>Čermák</v>
      </c>
      <c r="AX6" s="130" t="str">
        <f t="shared" ca="1" si="4"/>
        <v>2 OZ, 2 (2+0), -2 ±</v>
      </c>
      <c r="AY6" s="130" t="str">
        <f t="shared" ca="1" si="5"/>
        <v>54 OZ, 48 (27+21)</v>
      </c>
      <c r="AZ6" s="131"/>
      <c r="BA6" s="131"/>
      <c r="BB6" s="131"/>
      <c r="BC6" s="131"/>
      <c r="BD6" s="3" t="str">
        <f t="shared" si="7"/>
        <v>Čermák</v>
      </c>
      <c r="BE6" s="85">
        <f t="shared" ca="1" si="8"/>
        <v>1</v>
      </c>
      <c r="BF6" s="62" t="str">
        <f t="shared" si="9"/>
        <v>M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741</v>
      </c>
      <c r="BO6" s="123">
        <v>35048</v>
      </c>
      <c r="BP6" s="132" t="s">
        <v>206</v>
      </c>
      <c r="BQ6" s="133" t="s">
        <v>735</v>
      </c>
      <c r="BR6" s="128">
        <f t="shared" ca="1" si="16"/>
        <v>25</v>
      </c>
      <c r="BS6" s="361"/>
      <c r="BT6" s="105" t="s">
        <v>745</v>
      </c>
      <c r="BU6" s="104">
        <v>2</v>
      </c>
      <c r="BV6" s="105" t="str">
        <f t="shared" si="17"/>
        <v>Marek Zouzal</v>
      </c>
      <c r="BW6" s="103">
        <f t="shared" si="18"/>
        <v>2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691</v>
      </c>
      <c r="U7" s="103">
        <v>2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-2</v>
      </c>
      <c r="AC7" s="103" t="str">
        <f t="shared" ca="1" si="0"/>
        <v>ANO</v>
      </c>
      <c r="AG7" s="122" t="s">
        <v>709</v>
      </c>
      <c r="AH7" s="123"/>
      <c r="AI7" s="124">
        <v>7</v>
      </c>
      <c r="AJ7" s="124">
        <v>2</v>
      </c>
      <c r="AK7" s="124">
        <v>1</v>
      </c>
      <c r="AL7" s="125">
        <f t="shared" si="1"/>
        <v>3</v>
      </c>
      <c r="AM7" s="124">
        <v>2</v>
      </c>
      <c r="AN7" s="124"/>
      <c r="AO7" s="126"/>
      <c r="AP7" s="126" t="s">
        <v>27</v>
      </c>
      <c r="AQ7" s="124">
        <v>174</v>
      </c>
      <c r="AR7" s="124">
        <v>54</v>
      </c>
      <c r="AS7" s="127"/>
      <c r="AT7" s="124"/>
      <c r="AU7" s="128" t="str">
        <f t="shared" ca="1" si="2"/>
        <v>?</v>
      </c>
      <c r="AV7" s="128" t="str">
        <f t="shared" si="3"/>
        <v>174/54</v>
      </c>
      <c r="AW7" s="129" t="str">
        <f t="shared" ca="1" si="6"/>
        <v>Dibelka</v>
      </c>
      <c r="AX7" s="130" t="str">
        <f t="shared" ca="1" si="4"/>
        <v>0 OZ, 0 (0+0)</v>
      </c>
      <c r="AY7" s="130" t="str">
        <f t="shared" ca="1" si="5"/>
        <v>7 OZ, 3 (2+1)</v>
      </c>
      <c r="AZ7" s="131"/>
      <c r="BA7" s="131"/>
      <c r="BB7" s="131"/>
      <c r="BC7" s="131"/>
      <c r="BD7" s="90" t="str">
        <f t="shared" si="7"/>
        <v>Dibelka</v>
      </c>
      <c r="BE7" s="92">
        <f t="shared" ca="1" si="8"/>
        <v>1</v>
      </c>
      <c r="BF7" s="91" t="str">
        <f t="shared" si="9"/>
        <v>T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746</v>
      </c>
      <c r="BU7" s="104" t="s">
        <v>434</v>
      </c>
      <c r="BV7" s="105" t="str">
        <f t="shared" si="17"/>
        <v>Martin Beneš</v>
      </c>
      <c r="BW7" s="113">
        <f t="shared" si="18"/>
        <v>4</v>
      </c>
      <c r="BX7" s="360" t="s">
        <v>234</v>
      </c>
      <c r="BY7" s="104" t="s">
        <v>296</v>
      </c>
      <c r="BZ7" s="104" t="s">
        <v>101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105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697</v>
      </c>
      <c r="T8" s="103" t="s">
        <v>68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2</v>
      </c>
      <c r="AB8" s="103">
        <v>0</v>
      </c>
      <c r="AC8" s="103" t="str">
        <f t="shared" ca="1" si="0"/>
        <v>ANO</v>
      </c>
      <c r="AG8" s="122" t="s">
        <v>710</v>
      </c>
      <c r="AH8" s="123">
        <v>37579</v>
      </c>
      <c r="AI8" s="124">
        <v>21</v>
      </c>
      <c r="AJ8" s="124">
        <v>2</v>
      </c>
      <c r="AK8" s="124">
        <v>1</v>
      </c>
      <c r="AL8" s="125">
        <f t="shared" si="1"/>
        <v>3</v>
      </c>
      <c r="AM8" s="124">
        <v>2</v>
      </c>
      <c r="AN8" s="124">
        <v>72</v>
      </c>
      <c r="AO8" s="126"/>
      <c r="AP8" s="126"/>
      <c r="AQ8" s="124"/>
      <c r="AR8" s="124"/>
      <c r="AS8" s="127" t="s">
        <v>724</v>
      </c>
      <c r="AT8" s="124">
        <v>2012</v>
      </c>
      <c r="AU8" s="128">
        <f t="shared" ca="1" si="2"/>
        <v>18</v>
      </c>
      <c r="AV8" s="128" t="str">
        <f t="shared" si="3"/>
        <v>? / ?</v>
      </c>
      <c r="AW8" s="129" t="str">
        <f t="shared" ca="1" si="6"/>
        <v>Dolejš</v>
      </c>
      <c r="AX8" s="130" t="str">
        <f t="shared" ca="1" si="4"/>
        <v>0 OZ, 0 (0+0)</v>
      </c>
      <c r="AY8" s="130" t="str">
        <f t="shared" ca="1" si="5"/>
        <v>21 OZ, 3 (2+1)</v>
      </c>
      <c r="AZ8" s="131"/>
      <c r="BA8" s="131"/>
      <c r="BB8" s="131"/>
      <c r="BC8" s="131"/>
      <c r="BD8" s="3" t="str">
        <f t="shared" si="7"/>
        <v>Dolejš</v>
      </c>
      <c r="BE8" s="85">
        <f t="shared" ca="1" si="8"/>
        <v>1</v>
      </c>
      <c r="BF8" s="62" t="str">
        <f t="shared" si="9"/>
        <v>M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V8" s="105" t="str">
        <f t="shared" si="17"/>
        <v/>
      </c>
      <c r="BW8" s="113" t="str">
        <f t="shared" si="18"/>
        <v/>
      </c>
      <c r="BX8" s="360"/>
      <c r="BY8" s="104" t="s">
        <v>228</v>
      </c>
      <c r="BZ8" s="104" t="s">
        <v>108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694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1</v>
      </c>
      <c r="Z9" s="103">
        <v>1</v>
      </c>
      <c r="AA9" s="103">
        <v>0</v>
      </c>
      <c r="AB9" s="103">
        <v>1</v>
      </c>
      <c r="AC9" s="103" t="str">
        <f t="shared" ca="1" si="0"/>
        <v>ANO</v>
      </c>
      <c r="AG9" s="122" t="s">
        <v>697</v>
      </c>
      <c r="AH9" s="123">
        <v>30408</v>
      </c>
      <c r="AI9" s="124">
        <v>288</v>
      </c>
      <c r="AJ9" s="124">
        <v>155</v>
      </c>
      <c r="AK9" s="124">
        <v>132</v>
      </c>
      <c r="AL9" s="125">
        <f t="shared" si="1"/>
        <v>287</v>
      </c>
      <c r="AM9" s="124">
        <v>17</v>
      </c>
      <c r="AN9" s="124">
        <v>17</v>
      </c>
      <c r="AO9" s="126" t="s">
        <v>180</v>
      </c>
      <c r="AP9" s="126" t="s">
        <v>163</v>
      </c>
      <c r="AQ9" s="124">
        <v>180</v>
      </c>
      <c r="AR9" s="124">
        <v>81</v>
      </c>
      <c r="AS9" s="127" t="s">
        <v>86</v>
      </c>
      <c r="AT9" s="124">
        <v>1998</v>
      </c>
      <c r="AU9" s="128">
        <f t="shared" ca="1" si="2"/>
        <v>38</v>
      </c>
      <c r="AV9" s="128" t="str">
        <f t="shared" si="3"/>
        <v>180/81</v>
      </c>
      <c r="AW9" s="129" t="str">
        <f t="shared" ca="1" si="6"/>
        <v>Garčar</v>
      </c>
      <c r="AX9" s="130" t="str">
        <f t="shared" ca="1" si="4"/>
        <v>2 OZ, 1 (0+1), 0 ±</v>
      </c>
      <c r="AY9" s="130" t="str">
        <f t="shared" ca="1" si="5"/>
        <v>290 OZ, 288 (155+133)</v>
      </c>
      <c r="AZ9" s="131"/>
      <c r="BA9" s="131"/>
      <c r="BB9" s="131"/>
      <c r="BC9" s="131"/>
      <c r="BD9" s="90" t="str">
        <f t="shared" si="7"/>
        <v>Garčar</v>
      </c>
      <c r="BE9" s="92">
        <f t="shared" ca="1" si="8"/>
        <v>1</v>
      </c>
      <c r="BF9" s="91" t="str">
        <f t="shared" si="9"/>
        <v>M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297</v>
      </c>
      <c r="BZ9" s="104" t="s">
        <v>98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695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706</v>
      </c>
      <c r="AH10" s="123">
        <v>36906</v>
      </c>
      <c r="AI10" s="124">
        <v>26</v>
      </c>
      <c r="AJ10" s="124">
        <v>3</v>
      </c>
      <c r="AK10" s="124">
        <v>2</v>
      </c>
      <c r="AL10" s="125">
        <f t="shared" si="1"/>
        <v>5</v>
      </c>
      <c r="AM10" s="124">
        <v>3</v>
      </c>
      <c r="AN10" s="124">
        <v>93</v>
      </c>
      <c r="AO10" s="126"/>
      <c r="AP10" s="126" t="s">
        <v>27</v>
      </c>
      <c r="AQ10" s="124">
        <v>189</v>
      </c>
      <c r="AR10" s="124">
        <v>89</v>
      </c>
      <c r="AS10" s="127" t="s">
        <v>267</v>
      </c>
      <c r="AT10" s="124"/>
      <c r="AU10" s="128">
        <f t="shared" ca="1" si="2"/>
        <v>20</v>
      </c>
      <c r="AV10" s="128" t="str">
        <f t="shared" si="3"/>
        <v>189/89</v>
      </c>
      <c r="AW10" s="129" t="str">
        <f t="shared" ca="1" si="6"/>
        <v>Hurt</v>
      </c>
      <c r="AX10" s="130" t="str">
        <f t="shared" ca="1" si="4"/>
        <v>2 OZ, 0 (0+0), -1 ±</v>
      </c>
      <c r="AY10" s="130" t="str">
        <f t="shared" ca="1" si="5"/>
        <v>28 OZ, 5 (3+2)</v>
      </c>
      <c r="AZ10" s="131"/>
      <c r="BA10" s="131"/>
      <c r="BB10" s="131"/>
      <c r="BC10" s="131"/>
      <c r="BD10" s="3" t="str">
        <f t="shared" si="7"/>
        <v>Hurt</v>
      </c>
      <c r="BE10" s="85">
        <f t="shared" ca="1" si="8"/>
        <v>1</v>
      </c>
      <c r="BF10" s="62" t="str">
        <f t="shared" si="9"/>
        <v>O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102</v>
      </c>
      <c r="CA10" s="116" t="s">
        <v>226</v>
      </c>
    </row>
    <row r="11" spans="1:79" ht="15" customHeight="1" thickTop="1" thickBot="1" x14ac:dyDescent="0.25">
      <c r="R11" s="13"/>
      <c r="S11" s="111" t="s">
        <v>712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ANO</v>
      </c>
      <c r="AG11" s="122" t="s">
        <v>690</v>
      </c>
      <c r="AH11" s="123">
        <v>36641</v>
      </c>
      <c r="AI11" s="124">
        <v>69</v>
      </c>
      <c r="AJ11" s="124">
        <v>33</v>
      </c>
      <c r="AK11" s="124">
        <v>28</v>
      </c>
      <c r="AL11" s="125">
        <f t="shared" si="1"/>
        <v>61</v>
      </c>
      <c r="AM11" s="124">
        <v>4</v>
      </c>
      <c r="AN11" s="124">
        <v>10</v>
      </c>
      <c r="AO11" s="126"/>
      <c r="AP11" s="126" t="s">
        <v>163</v>
      </c>
      <c r="AQ11" s="124">
        <v>179</v>
      </c>
      <c r="AR11" s="124">
        <v>82</v>
      </c>
      <c r="AS11" s="127" t="s">
        <v>78</v>
      </c>
      <c r="AT11" s="124"/>
      <c r="AU11" s="128">
        <f t="shared" ca="1" si="2"/>
        <v>21</v>
      </c>
      <c r="AV11" s="128" t="str">
        <f t="shared" si="3"/>
        <v>179/82</v>
      </c>
      <c r="AW11" s="129" t="str">
        <f t="shared" ca="1" si="6"/>
        <v>Juha</v>
      </c>
      <c r="AX11" s="130" t="str">
        <f t="shared" ca="1" si="4"/>
        <v>2 OZ, 3 (2+1), 0 ±</v>
      </c>
      <c r="AY11" s="130" t="str">
        <f t="shared" ca="1" si="5"/>
        <v>71 OZ, 64 (35+29)</v>
      </c>
      <c r="AZ11" s="131"/>
      <c r="BA11" s="131"/>
      <c r="BB11" s="131"/>
      <c r="BC11" s="131"/>
      <c r="BD11" s="90" t="str">
        <f t="shared" si="7"/>
        <v>Juha</v>
      </c>
      <c r="BE11" s="92">
        <f t="shared" ca="1" si="8"/>
        <v>1</v>
      </c>
      <c r="BF11" s="91" t="str">
        <f t="shared" si="9"/>
        <v>J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100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706</v>
      </c>
      <c r="U12" s="103">
        <v>2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-1</v>
      </c>
      <c r="AC12" s="103" t="str">
        <f t="shared" ca="1" si="0"/>
        <v>ANO</v>
      </c>
      <c r="AG12" s="122" t="s">
        <v>701</v>
      </c>
      <c r="AH12" s="123">
        <v>35203</v>
      </c>
      <c r="AI12" s="124">
        <v>109</v>
      </c>
      <c r="AJ12" s="124">
        <v>34</v>
      </c>
      <c r="AK12" s="124">
        <v>25</v>
      </c>
      <c r="AL12" s="125">
        <f t="shared" si="1"/>
        <v>59</v>
      </c>
      <c r="AM12" s="124">
        <v>7</v>
      </c>
      <c r="AN12" s="124">
        <v>87</v>
      </c>
      <c r="AO12" s="126"/>
      <c r="AP12" s="126" t="s">
        <v>163</v>
      </c>
      <c r="AQ12" s="124">
        <v>186</v>
      </c>
      <c r="AR12" s="124">
        <v>89</v>
      </c>
      <c r="AS12" s="127" t="s">
        <v>725</v>
      </c>
      <c r="AT12" s="124">
        <v>2011</v>
      </c>
      <c r="AU12" s="128">
        <f t="shared" ca="1" si="2"/>
        <v>25</v>
      </c>
      <c r="AV12" s="128" t="str">
        <f t="shared" si="3"/>
        <v>186/89</v>
      </c>
      <c r="AW12" s="129" t="str">
        <f t="shared" ca="1" si="6"/>
        <v>Kareš</v>
      </c>
      <c r="AX12" s="130" t="str">
        <f t="shared" ca="1" si="4"/>
        <v>2 OZ, 0 (0+0), 0 ±</v>
      </c>
      <c r="AY12" s="130" t="str">
        <f t="shared" ca="1" si="5"/>
        <v>111 OZ, 59 (34+25)</v>
      </c>
      <c r="AZ12" s="131"/>
      <c r="BA12" s="131"/>
      <c r="BB12" s="131"/>
      <c r="BC12" s="131"/>
      <c r="BD12" s="3" t="str">
        <f t="shared" si="7"/>
        <v>Kareš</v>
      </c>
      <c r="BE12" s="85">
        <f t="shared" ca="1" si="8"/>
        <v>1</v>
      </c>
      <c r="BF12" s="62" t="str">
        <f t="shared" si="9"/>
        <v>M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1048</v>
      </c>
      <c r="BU12" s="104">
        <v>2</v>
      </c>
      <c r="BV12" s="105" t="str">
        <f t="shared" si="17"/>
        <v>Jakub Kolstrunk</v>
      </c>
      <c r="BW12" s="103">
        <f t="shared" si="18"/>
        <v>2</v>
      </c>
      <c r="BX12" s="121" t="s">
        <v>232</v>
      </c>
      <c r="BY12" s="101" t="s">
        <v>1046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707</v>
      </c>
      <c r="T13" s="103" t="s">
        <v>68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693</v>
      </c>
      <c r="AH13" s="123">
        <v>35529</v>
      </c>
      <c r="AI13" s="124">
        <v>88</v>
      </c>
      <c r="AJ13" s="124">
        <v>60</v>
      </c>
      <c r="AK13" s="124">
        <v>23</v>
      </c>
      <c r="AL13" s="125">
        <f t="shared" si="1"/>
        <v>83</v>
      </c>
      <c r="AM13" s="124">
        <v>5</v>
      </c>
      <c r="AN13" s="124">
        <v>8</v>
      </c>
      <c r="AO13" s="126"/>
      <c r="AP13" s="126" t="s">
        <v>163</v>
      </c>
      <c r="AQ13" s="124">
        <v>189</v>
      </c>
      <c r="AR13" s="124">
        <v>86</v>
      </c>
      <c r="AS13" s="127" t="s">
        <v>305</v>
      </c>
      <c r="AT13" s="124"/>
      <c r="AU13" s="128">
        <f t="shared" ca="1" si="2"/>
        <v>24</v>
      </c>
      <c r="AV13" s="128" t="str">
        <f t="shared" si="3"/>
        <v>189/86</v>
      </c>
      <c r="AW13" s="129" t="str">
        <f t="shared" ca="1" si="6"/>
        <v>Kolstrunk</v>
      </c>
      <c r="AX13" s="130" t="str">
        <f t="shared" ca="1" si="4"/>
        <v>2 OZ, 3 (2+1), -1 ±</v>
      </c>
      <c r="AY13" s="130" t="str">
        <f t="shared" ca="1" si="5"/>
        <v>90 OZ, 86 (62+24)</v>
      </c>
      <c r="AZ13" s="131"/>
      <c r="BA13" s="131"/>
      <c r="BB13" s="131"/>
      <c r="BC13" s="131"/>
      <c r="BD13" s="90" t="str">
        <f t="shared" si="7"/>
        <v>Kolstrunk</v>
      </c>
      <c r="BE13" s="92">
        <f t="shared" ca="1" si="8"/>
        <v>1</v>
      </c>
      <c r="BF13" s="91" t="str">
        <f t="shared" si="9"/>
        <v>J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743</v>
      </c>
      <c r="BU13" s="104">
        <v>2</v>
      </c>
      <c r="BV13" s="105" t="str">
        <f t="shared" si="17"/>
        <v>Josef Juha</v>
      </c>
      <c r="BW13" s="103">
        <f t="shared" si="18"/>
        <v>2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703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NE</v>
      </c>
      <c r="AG14" s="122" t="s">
        <v>711</v>
      </c>
      <c r="AH14" s="123">
        <v>35237</v>
      </c>
      <c r="AI14" s="124"/>
      <c r="AJ14" s="124"/>
      <c r="AK14" s="124"/>
      <c r="AL14" s="125">
        <f t="shared" si="1"/>
        <v>0</v>
      </c>
      <c r="AM14" s="124" t="s">
        <v>337</v>
      </c>
      <c r="AN14" s="124"/>
      <c r="AO14" s="126"/>
      <c r="AP14" s="126"/>
      <c r="AQ14" s="124"/>
      <c r="AR14" s="124"/>
      <c r="AS14" s="127"/>
      <c r="AT14" s="124"/>
      <c r="AU14" s="128">
        <f t="shared" ca="1" si="2"/>
        <v>25</v>
      </c>
      <c r="AV14" s="128" t="str">
        <f t="shared" si="3"/>
        <v>? / ?</v>
      </c>
      <c r="AW14" s="129" t="str">
        <f t="shared" ca="1" si="6"/>
        <v>Koščo</v>
      </c>
      <c r="AX14" s="130" t="str">
        <f t="shared" ca="1" si="4"/>
        <v>0 OZ, 0 (0+0)</v>
      </c>
      <c r="AY14" s="130" t="str">
        <f t="shared" ca="1" si="5"/>
        <v xml:space="preserve"> OZ, 0 (+)</v>
      </c>
      <c r="AZ14" s="131"/>
      <c r="BA14" s="131"/>
      <c r="BB14" s="131"/>
      <c r="BC14" s="131"/>
      <c r="BD14" s="3" t="str">
        <f t="shared" si="7"/>
        <v>Koščo</v>
      </c>
      <c r="BE14" s="85">
        <f t="shared" ca="1" si="8"/>
        <v>1</v>
      </c>
      <c r="BF14" s="62" t="str">
        <f t="shared" si="9"/>
        <v>M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1049</v>
      </c>
      <c r="BU14" s="104">
        <v>2</v>
      </c>
      <c r="BV14" s="105" t="str">
        <f t="shared" si="17"/>
        <v>Lukáš Ujhélyi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700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0</v>
      </c>
      <c r="AC15" s="103" t="str">
        <f t="shared" ca="1" si="0"/>
        <v>ANO</v>
      </c>
      <c r="AG15" s="122" t="s">
        <v>712</v>
      </c>
      <c r="AH15" s="123">
        <v>35936</v>
      </c>
      <c r="AI15" s="124">
        <v>48</v>
      </c>
      <c r="AJ15" s="124">
        <v>8</v>
      </c>
      <c r="AK15" s="124">
        <v>2</v>
      </c>
      <c r="AL15" s="125">
        <f t="shared" si="1"/>
        <v>10</v>
      </c>
      <c r="AM15" s="124">
        <v>3</v>
      </c>
      <c r="AN15" s="124">
        <v>21</v>
      </c>
      <c r="AO15" s="126"/>
      <c r="AP15" s="126" t="s">
        <v>27</v>
      </c>
      <c r="AQ15" s="124">
        <v>185</v>
      </c>
      <c r="AR15" s="124">
        <v>83</v>
      </c>
      <c r="AS15" s="127" t="s">
        <v>726</v>
      </c>
      <c r="AT15" s="124"/>
      <c r="AU15" s="128">
        <f t="shared" ca="1" si="2"/>
        <v>23</v>
      </c>
      <c r="AV15" s="128" t="str">
        <f t="shared" si="3"/>
        <v>185/83</v>
      </c>
      <c r="AW15" s="129" t="str">
        <f t="shared" ca="1" si="6"/>
        <v>Kozák</v>
      </c>
      <c r="AX15" s="130" t="str">
        <f t="shared" ca="1" si="4"/>
        <v>1 OZ, 0 (0+0), 0 ±</v>
      </c>
      <c r="AY15" s="130" t="str">
        <f t="shared" ca="1" si="5"/>
        <v>49 OZ, 10 (8+2)</v>
      </c>
      <c r="AZ15" s="131"/>
      <c r="BA15" s="131"/>
      <c r="BB15" s="131"/>
      <c r="BC15" s="131"/>
      <c r="BD15" s="90" t="str">
        <f t="shared" si="7"/>
        <v>Kozák</v>
      </c>
      <c r="BE15" s="92">
        <f t="shared" ca="1" si="8"/>
        <v>1</v>
      </c>
      <c r="BF15" s="91" t="str">
        <f t="shared" si="9"/>
        <v>K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1047</v>
      </c>
      <c r="BU15" s="104">
        <v>2</v>
      </c>
      <c r="BV15" s="105" t="str">
        <f t="shared" si="17"/>
        <v>Matěj Čermák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698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-4</v>
      </c>
      <c r="AC16" s="103" t="str">
        <f t="shared" ca="1" si="0"/>
        <v>ANO</v>
      </c>
      <c r="AG16" s="122" t="s">
        <v>691</v>
      </c>
      <c r="AH16" s="123">
        <v>36215</v>
      </c>
      <c r="AI16" s="124">
        <v>99</v>
      </c>
      <c r="AJ16" s="124">
        <v>55</v>
      </c>
      <c r="AK16" s="124">
        <v>87</v>
      </c>
      <c r="AL16" s="125">
        <f t="shared" si="1"/>
        <v>142</v>
      </c>
      <c r="AM16" s="124">
        <v>5</v>
      </c>
      <c r="AN16" s="124">
        <v>89</v>
      </c>
      <c r="AO16" s="126"/>
      <c r="AP16" s="126" t="s">
        <v>163</v>
      </c>
      <c r="AQ16" s="124">
        <v>189</v>
      </c>
      <c r="AR16" s="124">
        <v>87</v>
      </c>
      <c r="AS16" s="127" t="s">
        <v>727</v>
      </c>
      <c r="AT16" s="124">
        <v>2007</v>
      </c>
      <c r="AU16" s="128">
        <f t="shared" ca="1" si="2"/>
        <v>22</v>
      </c>
      <c r="AV16" s="128" t="str">
        <f t="shared" si="3"/>
        <v>189/87</v>
      </c>
      <c r="AW16" s="129" t="str">
        <f t="shared" ca="1" si="6"/>
        <v>Krbec</v>
      </c>
      <c r="AX16" s="130" t="str">
        <f t="shared" ca="1" si="4"/>
        <v>2 OZ, 2 (0+2), -2 ±</v>
      </c>
      <c r="AY16" s="130" t="str">
        <f t="shared" ca="1" si="5"/>
        <v>101 OZ, 144 (55+89)</v>
      </c>
      <c r="AZ16" s="131"/>
      <c r="BA16" s="131"/>
      <c r="BB16" s="131"/>
      <c r="BC16" s="131"/>
      <c r="BD16" s="3" t="str">
        <f t="shared" si="7"/>
        <v>Krbec</v>
      </c>
      <c r="BE16" s="85">
        <f t="shared" ca="1" si="8"/>
        <v>1</v>
      </c>
      <c r="BF16" s="62" t="str">
        <f t="shared" si="9"/>
        <v>M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745</v>
      </c>
      <c r="BU16" s="104">
        <v>1</v>
      </c>
      <c r="BV16" s="105" t="str">
        <f t="shared" si="17"/>
        <v>Marek Zouzal</v>
      </c>
      <c r="BW16" s="103">
        <f t="shared" si="18"/>
        <v>1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702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705</v>
      </c>
      <c r="AH17" s="123">
        <v>32004</v>
      </c>
      <c r="AI17" s="124">
        <v>341</v>
      </c>
      <c r="AJ17" s="124">
        <v>141</v>
      </c>
      <c r="AK17" s="124">
        <v>175</v>
      </c>
      <c r="AL17" s="125">
        <f t="shared" si="1"/>
        <v>316</v>
      </c>
      <c r="AM17" s="124">
        <v>18</v>
      </c>
      <c r="AN17" s="124">
        <v>29</v>
      </c>
      <c r="AO17" s="126"/>
      <c r="AP17" s="126" t="s">
        <v>163</v>
      </c>
      <c r="AQ17" s="124">
        <v>184</v>
      </c>
      <c r="AR17" s="124">
        <v>74</v>
      </c>
      <c r="AS17" s="127" t="s">
        <v>349</v>
      </c>
      <c r="AT17" s="124">
        <v>2003</v>
      </c>
      <c r="AU17" s="128">
        <f t="shared" ca="1" si="2"/>
        <v>34</v>
      </c>
      <c r="AV17" s="128" t="str">
        <f t="shared" si="3"/>
        <v>184/74</v>
      </c>
      <c r="AW17" s="129" t="str">
        <f t="shared" ca="1" si="6"/>
        <v>Křenek</v>
      </c>
      <c r="AX17" s="130" t="str">
        <f t="shared" ca="1" si="4"/>
        <v>2 OZ, 0 (0+0), -1 ±</v>
      </c>
      <c r="AY17" s="130" t="str">
        <f t="shared" ca="1" si="5"/>
        <v>343 OZ, 316 (141+175)</v>
      </c>
      <c r="AZ17" s="131"/>
      <c r="BA17" s="131"/>
      <c r="BB17" s="131"/>
      <c r="BC17" s="131"/>
      <c r="BD17" s="90" t="str">
        <f t="shared" si="7"/>
        <v>Křenek</v>
      </c>
      <c r="BE17" s="92">
        <f t="shared" ca="1" si="8"/>
        <v>1</v>
      </c>
      <c r="BF17" s="91" t="str">
        <f t="shared" si="9"/>
        <v>R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746</v>
      </c>
      <c r="BU17" s="104">
        <v>1</v>
      </c>
      <c r="BV17" s="105" t="str">
        <f t="shared" si="17"/>
        <v>Martin Beneš</v>
      </c>
      <c r="BW17" s="103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701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702</v>
      </c>
      <c r="AH18" s="123">
        <v>34202</v>
      </c>
      <c r="AI18" s="124">
        <v>215</v>
      </c>
      <c r="AJ18" s="124">
        <v>86</v>
      </c>
      <c r="AK18" s="124">
        <v>79</v>
      </c>
      <c r="AL18" s="125">
        <f t="shared" si="1"/>
        <v>165</v>
      </c>
      <c r="AM18" s="124">
        <v>10</v>
      </c>
      <c r="AN18" s="124">
        <v>24</v>
      </c>
      <c r="AO18" s="126"/>
      <c r="AP18" s="126" t="s">
        <v>163</v>
      </c>
      <c r="AQ18" s="124">
        <v>179</v>
      </c>
      <c r="AR18" s="124">
        <v>78</v>
      </c>
      <c r="AS18" s="127" t="s">
        <v>267</v>
      </c>
      <c r="AT18" s="124">
        <v>2002</v>
      </c>
      <c r="AU18" s="128">
        <f t="shared" ca="1" si="2"/>
        <v>28</v>
      </c>
      <c r="AV18" s="128" t="str">
        <f t="shared" si="3"/>
        <v>179/78</v>
      </c>
      <c r="AW18" s="129" t="str">
        <f t="shared" ca="1" si="6"/>
        <v>Marvánek</v>
      </c>
      <c r="AX18" s="130" t="str">
        <f t="shared" ca="1" si="4"/>
        <v>2 OZ, 0 (0+0), 0 ±</v>
      </c>
      <c r="AY18" s="130" t="str">
        <f t="shared" ca="1" si="5"/>
        <v>217 OZ, 165 (86+79)</v>
      </c>
      <c r="AZ18" s="131"/>
      <c r="BA18" s="131"/>
      <c r="BB18" s="131"/>
      <c r="BC18" s="131"/>
      <c r="BD18" s="3" t="str">
        <f t="shared" si="7"/>
        <v>Marvánek</v>
      </c>
      <c r="BE18" s="85">
        <f t="shared" ca="1" si="8"/>
        <v>1</v>
      </c>
      <c r="BF18" s="62" t="str">
        <f t="shared" si="9"/>
        <v>J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V18" s="105" t="str">
        <f t="shared" si="17"/>
        <v/>
      </c>
      <c r="BW18" s="103" t="str">
        <f t="shared" si="18"/>
        <v/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SPA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705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713</v>
      </c>
      <c r="AH19" s="123"/>
      <c r="AI19" s="124"/>
      <c r="AJ19" s="124"/>
      <c r="AK19" s="124"/>
      <c r="AL19" s="125">
        <f t="shared" si="1"/>
        <v>0</v>
      </c>
      <c r="AM19" s="124" t="s">
        <v>337</v>
      </c>
      <c r="AN19" s="124"/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6"/>
        <v>Masár</v>
      </c>
      <c r="AX19" s="130" t="str">
        <f t="shared" ca="1" si="4"/>
        <v>0 OZ, 0 (0+0)</v>
      </c>
      <c r="AY19" s="130" t="str">
        <f t="shared" ca="1" si="5"/>
        <v xml:space="preserve"> OZ, 0 (+)</v>
      </c>
      <c r="AZ19" s="131"/>
      <c r="BA19" s="131"/>
      <c r="BB19" s="131"/>
      <c r="BC19" s="131"/>
      <c r="BD19" s="90" t="str">
        <f t="shared" si="7"/>
        <v>Masár</v>
      </c>
      <c r="BE19" s="92">
        <f t="shared" ca="1" si="8"/>
        <v>1</v>
      </c>
      <c r="BF19" s="91" t="str">
        <f t="shared" si="9"/>
        <v>Š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699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NE</v>
      </c>
      <c r="AG20" s="122" t="s">
        <v>700</v>
      </c>
      <c r="AH20" s="123">
        <v>35730</v>
      </c>
      <c r="AI20" s="124">
        <v>66</v>
      </c>
      <c r="AJ20" s="124">
        <v>18</v>
      </c>
      <c r="AK20" s="124">
        <v>19</v>
      </c>
      <c r="AL20" s="125">
        <f t="shared" si="1"/>
        <v>37</v>
      </c>
      <c r="AM20" s="124">
        <v>4</v>
      </c>
      <c r="AN20" s="124">
        <v>27</v>
      </c>
      <c r="AO20" s="126"/>
      <c r="AP20" s="126" t="s">
        <v>27</v>
      </c>
      <c r="AQ20" s="124">
        <v>186</v>
      </c>
      <c r="AR20" s="124">
        <v>80</v>
      </c>
      <c r="AS20" s="127" t="s">
        <v>726</v>
      </c>
      <c r="AT20" s="124"/>
      <c r="AU20" s="128">
        <f t="shared" ca="1" si="2"/>
        <v>23</v>
      </c>
      <c r="AV20" s="128" t="str">
        <f t="shared" si="3"/>
        <v>186/80</v>
      </c>
      <c r="AW20" s="129" t="str">
        <f t="shared" ca="1" si="6"/>
        <v>Pažák</v>
      </c>
      <c r="AX20" s="130" t="str">
        <f t="shared" ca="1" si="4"/>
        <v>2 OZ, 0 (0+0), 0 ±</v>
      </c>
      <c r="AY20" s="130" t="str">
        <f t="shared" ca="1" si="5"/>
        <v>68 OZ, 37 (18+19)</v>
      </c>
      <c r="AZ20" s="131"/>
      <c r="BA20" s="131"/>
      <c r="BB20" s="131"/>
      <c r="BC20" s="131"/>
      <c r="BD20" s="3" t="str">
        <f t="shared" si="7"/>
        <v>Pažák</v>
      </c>
      <c r="BE20" s="85">
        <f t="shared" ca="1" si="8"/>
        <v>1</v>
      </c>
      <c r="BF20" s="62" t="str">
        <f t="shared" si="9"/>
        <v>M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704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714</v>
      </c>
      <c r="AH21" s="123">
        <v>37763</v>
      </c>
      <c r="AI21" s="124">
        <v>0</v>
      </c>
      <c r="AJ21" s="124">
        <v>0</v>
      </c>
      <c r="AK21" s="124">
        <v>0</v>
      </c>
      <c r="AL21" s="125">
        <f t="shared" si="1"/>
        <v>0</v>
      </c>
      <c r="AM21" s="124">
        <v>2</v>
      </c>
      <c r="AN21" s="124">
        <v>25</v>
      </c>
      <c r="AO21" s="126"/>
      <c r="AP21" s="126"/>
      <c r="AQ21" s="124">
        <v>184</v>
      </c>
      <c r="AR21" s="124">
        <v>74</v>
      </c>
      <c r="AS21" s="127" t="s">
        <v>728</v>
      </c>
      <c r="AT21" s="124"/>
      <c r="AU21" s="128">
        <f t="shared" ca="1" si="2"/>
        <v>18</v>
      </c>
      <c r="AV21" s="128" t="str">
        <f t="shared" si="3"/>
        <v>184/74</v>
      </c>
      <c r="AW21" s="129" t="str">
        <f t="shared" ca="1" si="6"/>
        <v>Pelech</v>
      </c>
      <c r="AX21" s="130" t="str">
        <f t="shared" ca="1" si="4"/>
        <v>0 OZ, 0 (0+0)</v>
      </c>
      <c r="AY21" s="130" t="str">
        <f t="shared" ca="1" si="5"/>
        <v>0 OZ, 0 (0+0)</v>
      </c>
      <c r="AZ21" s="131"/>
      <c r="BA21" s="131"/>
      <c r="BB21" s="131"/>
      <c r="BC21" s="131"/>
      <c r="BD21" s="90" t="str">
        <f t="shared" si="7"/>
        <v>Pelech</v>
      </c>
      <c r="BE21" s="92">
        <f t="shared" ca="1" si="8"/>
        <v>1</v>
      </c>
      <c r="BF21" s="91" t="str">
        <f t="shared" si="9"/>
        <v>O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698</v>
      </c>
      <c r="AH22" s="123">
        <v>35773</v>
      </c>
      <c r="AI22" s="124">
        <v>144</v>
      </c>
      <c r="AJ22" s="124">
        <v>43</v>
      </c>
      <c r="AK22" s="124">
        <v>52</v>
      </c>
      <c r="AL22" s="125">
        <f t="shared" si="1"/>
        <v>95</v>
      </c>
      <c r="AM22" s="124">
        <v>8</v>
      </c>
      <c r="AN22" s="124">
        <v>95</v>
      </c>
      <c r="AO22" s="126"/>
      <c r="AP22" s="126" t="s">
        <v>163</v>
      </c>
      <c r="AQ22" s="124">
        <v>191</v>
      </c>
      <c r="AR22" s="124">
        <v>87</v>
      </c>
      <c r="AS22" s="127" t="s">
        <v>729</v>
      </c>
      <c r="AT22" s="124">
        <v>2002</v>
      </c>
      <c r="AU22" s="128">
        <f t="shared" ca="1" si="2"/>
        <v>23</v>
      </c>
      <c r="AV22" s="128" t="str">
        <f t="shared" si="3"/>
        <v>191/87</v>
      </c>
      <c r="AW22" s="129" t="str">
        <f t="shared" ca="1" si="6"/>
        <v>Pruner</v>
      </c>
      <c r="AX22" s="130" t="str">
        <f t="shared" ca="1" si="4"/>
        <v>2 OZ, 0 (0+0), -4 ±</v>
      </c>
      <c r="AY22" s="130" t="str">
        <f t="shared" ca="1" si="5"/>
        <v>146 OZ, 95 (43+52)</v>
      </c>
      <c r="AZ22" s="131"/>
      <c r="BA22" s="131"/>
      <c r="BB22" s="131"/>
      <c r="BC22" s="131"/>
      <c r="BD22" s="3" t="str">
        <f t="shared" si="7"/>
        <v>Pruner</v>
      </c>
      <c r="BE22" s="85">
        <f t="shared" ca="1" si="8"/>
        <v>1</v>
      </c>
      <c r="BF22" s="62" t="str">
        <f t="shared" si="9"/>
        <v>M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742</v>
      </c>
      <c r="BU22" s="104">
        <v>2</v>
      </c>
      <c r="BV22" s="105" t="str">
        <f t="shared" si="17"/>
        <v>Lukáš Ujhélyi</v>
      </c>
      <c r="BW22" s="103">
        <f t="shared" si="18"/>
        <v>2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715</v>
      </c>
      <c r="AH23" s="123"/>
      <c r="AI23" s="124"/>
      <c r="AJ23" s="124"/>
      <c r="AK23" s="124"/>
      <c r="AL23" s="125">
        <f t="shared" si="1"/>
        <v>0</v>
      </c>
      <c r="AM23" s="124" t="s">
        <v>337</v>
      </c>
      <c r="AN23" s="124"/>
      <c r="AO23" s="126"/>
      <c r="AP23" s="126" t="s">
        <v>27</v>
      </c>
      <c r="AQ23" s="124"/>
      <c r="AR23" s="124"/>
      <c r="AS23" s="127"/>
      <c r="AT23" s="124"/>
      <c r="AU23" s="128" t="str">
        <f t="shared" ca="1" si="2"/>
        <v>?</v>
      </c>
      <c r="AV23" s="128" t="str">
        <f t="shared" si="3"/>
        <v>? / ?</v>
      </c>
      <c r="AW23" s="129" t="str">
        <f t="shared" ca="1" si="6"/>
        <v>Riebauer</v>
      </c>
      <c r="AX23" s="130" t="str">
        <f t="shared" ca="1" si="4"/>
        <v>0 OZ, 0 (0+0)</v>
      </c>
      <c r="AY23" s="130" t="str">
        <f t="shared" ca="1" si="5"/>
        <v xml:space="preserve"> OZ, 0 (+)</v>
      </c>
      <c r="AZ23" s="131"/>
      <c r="BA23" s="131"/>
      <c r="BB23" s="131"/>
      <c r="BC23" s="131"/>
      <c r="BD23" s="90" t="str">
        <f t="shared" si="7"/>
        <v>Riebauer</v>
      </c>
      <c r="BE23" s="92">
        <f t="shared" ca="1" si="8"/>
        <v>1</v>
      </c>
      <c r="BF23" s="91" t="str">
        <f t="shared" si="9"/>
        <v>O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1050</v>
      </c>
      <c r="BU23" s="104">
        <v>2</v>
      </c>
      <c r="BV23" s="105" t="str">
        <f t="shared" si="17"/>
        <v>Mikuláš Krbec</v>
      </c>
      <c r="BW23" s="103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716</v>
      </c>
      <c r="AH24" s="123">
        <v>35320</v>
      </c>
      <c r="AI24" s="124">
        <v>140</v>
      </c>
      <c r="AJ24" s="124">
        <v>90</v>
      </c>
      <c r="AK24" s="124">
        <v>65</v>
      </c>
      <c r="AL24" s="125">
        <f t="shared" si="1"/>
        <v>155</v>
      </c>
      <c r="AM24" s="124">
        <v>7</v>
      </c>
      <c r="AN24" s="124">
        <v>12</v>
      </c>
      <c r="AO24" s="126"/>
      <c r="AP24" s="126" t="s">
        <v>27</v>
      </c>
      <c r="AQ24" s="124">
        <v>187</v>
      </c>
      <c r="AR24" s="124">
        <v>70</v>
      </c>
      <c r="AS24" s="127" t="s">
        <v>730</v>
      </c>
      <c r="AT24" s="124">
        <v>2006</v>
      </c>
      <c r="AU24" s="128">
        <f t="shared" ref="AU24:AU50" ca="1" si="19">IF(AG24&lt;&gt;"",IF(AH24&lt;&gt;"",INT((TODAY()-AH24)/365),"?"),"")</f>
        <v>25</v>
      </c>
      <c r="AV24" s="128" t="str">
        <f t="shared" ref="AV24:AV50" si="20">IF(AG24&lt;&gt;"",CONCATENATE(IF(AQ24&lt;&gt;"",AQ24,"? "),"/",IF(AR24&lt;&gt;"",AR24," ?")),"")</f>
        <v>187/70</v>
      </c>
      <c r="AW24" s="129" t="str">
        <f t="shared" ca="1" si="6"/>
        <v>Ujhelyi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1"/>
      <c r="BA24" s="131"/>
      <c r="BB24" s="131"/>
      <c r="BC24" s="131"/>
      <c r="BD24" s="3" t="str">
        <f t="shared" si="7"/>
        <v>Ujhelyi</v>
      </c>
      <c r="BE24" s="85">
        <f t="shared" ca="1" si="8"/>
        <v>1</v>
      </c>
      <c r="BF24" s="62" t="str">
        <f t="shared" si="9"/>
        <v>L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749</v>
      </c>
      <c r="BU24" s="104">
        <v>1</v>
      </c>
      <c r="BV24" s="105" t="str">
        <f t="shared" si="17"/>
        <v>Dominik Bartoš</v>
      </c>
      <c r="BW24" s="103">
        <f t="shared" si="18"/>
        <v>1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717</v>
      </c>
      <c r="AH25" s="123">
        <v>37033</v>
      </c>
      <c r="AI25" s="124">
        <v>24</v>
      </c>
      <c r="AJ25" s="124">
        <v>7</v>
      </c>
      <c r="AK25" s="124">
        <v>4</v>
      </c>
      <c r="AL25" s="125">
        <f t="shared" si="1"/>
        <v>11</v>
      </c>
      <c r="AM25" s="124">
        <v>4</v>
      </c>
      <c r="AN25" s="124">
        <v>15</v>
      </c>
      <c r="AO25" s="126"/>
      <c r="AP25" s="126" t="s">
        <v>163</v>
      </c>
      <c r="AQ25" s="124">
        <v>181</v>
      </c>
      <c r="AR25" s="124">
        <v>76</v>
      </c>
      <c r="AS25" s="127" t="s">
        <v>731</v>
      </c>
      <c r="AT25" s="124"/>
      <c r="AU25" s="128">
        <f t="shared" ca="1" si="19"/>
        <v>20</v>
      </c>
      <c r="AV25" s="128" t="str">
        <f t="shared" si="20"/>
        <v>181/76</v>
      </c>
      <c r="AW25" s="129" t="str">
        <f t="shared" ca="1" si="6"/>
        <v>Velc</v>
      </c>
      <c r="AX25" s="130" t="str">
        <f t="shared" ca="1" si="21"/>
        <v>0 OZ, 0 (0+0)</v>
      </c>
      <c r="AY25" s="130" t="str">
        <f t="shared" ca="1" si="22"/>
        <v>24 OZ, 11 (7+4)</v>
      </c>
      <c r="AZ25" s="131"/>
      <c r="BA25" s="131"/>
      <c r="BB25" s="131"/>
      <c r="BC25" s="131"/>
      <c r="BD25" s="90" t="str">
        <f t="shared" si="7"/>
        <v>Velc</v>
      </c>
      <c r="BE25" s="92">
        <f t="shared" ca="1" si="8"/>
        <v>1</v>
      </c>
      <c r="BF25" s="91" t="str">
        <f t="shared" si="9"/>
        <v>M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744</v>
      </c>
      <c r="BU25" s="104">
        <v>1</v>
      </c>
      <c r="BV25" s="105" t="str">
        <f t="shared" si="17"/>
        <v>Jakub Kolstrunk</v>
      </c>
      <c r="BW25" s="103">
        <f t="shared" si="18"/>
        <v>1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718</v>
      </c>
      <c r="AH26" s="123">
        <v>36323</v>
      </c>
      <c r="AI26" s="124">
        <v>49</v>
      </c>
      <c r="AJ26" s="124">
        <v>5</v>
      </c>
      <c r="AK26" s="124">
        <v>1</v>
      </c>
      <c r="AL26" s="125">
        <f t="shared" si="1"/>
        <v>6</v>
      </c>
      <c r="AM26" s="124">
        <v>6</v>
      </c>
      <c r="AN26" s="124">
        <v>99</v>
      </c>
      <c r="AO26" s="126"/>
      <c r="AP26" s="126" t="s">
        <v>163</v>
      </c>
      <c r="AQ26" s="124">
        <v>190</v>
      </c>
      <c r="AR26" s="124">
        <v>77</v>
      </c>
      <c r="AS26" s="127" t="s">
        <v>732</v>
      </c>
      <c r="AT26" s="124"/>
      <c r="AU26" s="128">
        <f t="shared" ca="1" si="19"/>
        <v>22</v>
      </c>
      <c r="AV26" s="128" t="str">
        <f t="shared" si="20"/>
        <v>190/77</v>
      </c>
      <c r="AW26" s="129" t="str">
        <f t="shared" ca="1" si="6"/>
        <v>Veselý</v>
      </c>
      <c r="AX26" s="130" t="str">
        <f t="shared" ca="1" si="21"/>
        <v>0 OZ, 0 (0+0)</v>
      </c>
      <c r="AY26" s="130" t="str">
        <f t="shared" ca="1" si="22"/>
        <v>49 OZ, 6 (5+1)</v>
      </c>
      <c r="AZ26" s="131"/>
      <c r="BA26" s="131"/>
      <c r="BB26" s="131"/>
      <c r="BC26" s="131"/>
      <c r="BD26" s="3" t="str">
        <f t="shared" si="7"/>
        <v>Veselý</v>
      </c>
      <c r="BE26" s="85">
        <f t="shared" ca="1" si="8"/>
        <v>1</v>
      </c>
      <c r="BF26" s="62" t="str">
        <f t="shared" si="9"/>
        <v>M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1051</v>
      </c>
      <c r="BU26" s="104">
        <v>1</v>
      </c>
      <c r="BV26" s="105" t="str">
        <f t="shared" si="17"/>
        <v>Josef Juha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707</v>
      </c>
      <c r="AH27" s="123">
        <v>35561</v>
      </c>
      <c r="AI27" s="124">
        <v>126</v>
      </c>
      <c r="AJ27" s="124">
        <v>17</v>
      </c>
      <c r="AK27" s="124">
        <v>20</v>
      </c>
      <c r="AL27" s="125">
        <f t="shared" si="1"/>
        <v>37</v>
      </c>
      <c r="AM27" s="124">
        <v>7</v>
      </c>
      <c r="AN27" s="124">
        <v>28</v>
      </c>
      <c r="AO27" s="126"/>
      <c r="AP27" s="126" t="s">
        <v>163</v>
      </c>
      <c r="AQ27" s="124">
        <v>192</v>
      </c>
      <c r="AR27" s="124">
        <v>86</v>
      </c>
      <c r="AS27" s="127" t="s">
        <v>476</v>
      </c>
      <c r="AT27" s="124">
        <v>2002</v>
      </c>
      <c r="AU27" s="128">
        <f t="shared" ca="1" si="19"/>
        <v>24</v>
      </c>
      <c r="AV27" s="128" t="str">
        <f t="shared" si="20"/>
        <v>192/86</v>
      </c>
      <c r="AW27" s="129" t="str">
        <f t="shared" ca="1" si="6"/>
        <v>Zeman</v>
      </c>
      <c r="AX27" s="130" t="str">
        <f t="shared" ca="1" si="21"/>
        <v>2 OZ, 0 (0+0), 0 ±</v>
      </c>
      <c r="AY27" s="130" t="str">
        <f t="shared" ca="1" si="22"/>
        <v>128 OZ, 37 (17+20)</v>
      </c>
      <c r="AZ27" s="131"/>
      <c r="BA27" s="131"/>
      <c r="BB27" s="131"/>
      <c r="BC27" s="131"/>
      <c r="BD27" s="90" t="str">
        <f t="shared" si="7"/>
        <v>Zeman</v>
      </c>
      <c r="BE27" s="92">
        <f t="shared" ca="1" si="8"/>
        <v>1</v>
      </c>
      <c r="BF27" s="91" t="str">
        <f t="shared" si="9"/>
        <v>M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1052</v>
      </c>
      <c r="BU27" s="104">
        <v>2</v>
      </c>
      <c r="BV27" s="105" t="str">
        <f t="shared" si="17"/>
        <v>Michal Pažák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719</v>
      </c>
      <c r="AH28" s="123">
        <v>36306</v>
      </c>
      <c r="AI28" s="124">
        <v>3</v>
      </c>
      <c r="AJ28" s="124">
        <v>0</v>
      </c>
      <c r="AK28" s="124">
        <v>0</v>
      </c>
      <c r="AL28" s="125">
        <f t="shared" si="1"/>
        <v>0</v>
      </c>
      <c r="AM28" s="124">
        <v>4</v>
      </c>
      <c r="AN28" s="124">
        <v>33</v>
      </c>
      <c r="AO28" s="126"/>
      <c r="AP28" s="126"/>
      <c r="AQ28" s="124">
        <v>182</v>
      </c>
      <c r="AR28" s="124">
        <v>70</v>
      </c>
      <c r="AS28" s="127" t="s">
        <v>733</v>
      </c>
      <c r="AT28" s="124">
        <v>2012</v>
      </c>
      <c r="AU28" s="128">
        <f t="shared" ca="1" si="19"/>
        <v>22</v>
      </c>
      <c r="AV28" s="128" t="str">
        <f t="shared" si="20"/>
        <v>182/70</v>
      </c>
      <c r="AW28" s="129" t="str">
        <f t="shared" ca="1" si="6"/>
        <v>Zítka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22"/>
        <v>3 OZ, 0 (0+0)</v>
      </c>
      <c r="AZ28" s="131"/>
      <c r="BA28" s="131"/>
      <c r="BB28" s="131"/>
      <c r="BC28" s="131"/>
      <c r="BD28" s="3" t="str">
        <f t="shared" si="7"/>
        <v>Zítka</v>
      </c>
      <c r="BE28" s="85">
        <f t="shared" ca="1" si="8"/>
        <v>1</v>
      </c>
      <c r="BF28" s="62" t="str">
        <f t="shared" si="9"/>
        <v>P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1053</v>
      </c>
      <c r="BU28" s="104">
        <v>2</v>
      </c>
      <c r="BV28" s="105" t="str">
        <f t="shared" si="17"/>
        <v>Milan Garčar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692</v>
      </c>
      <c r="AH29" s="123">
        <v>36055</v>
      </c>
      <c r="AI29" s="124">
        <v>139</v>
      </c>
      <c r="AJ29" s="124">
        <v>63</v>
      </c>
      <c r="AK29" s="124">
        <v>73</v>
      </c>
      <c r="AL29" s="125">
        <f t="shared" si="1"/>
        <v>136</v>
      </c>
      <c r="AM29" s="124">
        <v>7</v>
      </c>
      <c r="AN29" s="124">
        <v>14</v>
      </c>
      <c r="AO29" s="126"/>
      <c r="AP29" s="126" t="s">
        <v>163</v>
      </c>
      <c r="AQ29" s="124">
        <v>173</v>
      </c>
      <c r="AR29" s="124">
        <v>64</v>
      </c>
      <c r="AS29" s="127" t="s">
        <v>267</v>
      </c>
      <c r="AT29" s="124">
        <v>2006</v>
      </c>
      <c r="AU29" s="128">
        <f t="shared" ca="1" si="19"/>
        <v>23</v>
      </c>
      <c r="AV29" s="128" t="str">
        <f t="shared" si="20"/>
        <v>173/64</v>
      </c>
      <c r="AW29" s="129" t="str">
        <f t="shared" ca="1" si="6"/>
        <v>Zouzal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2 (1+1), +1 ±</v>
      </c>
      <c r="AY29" s="130" t="str">
        <f t="shared" ca="1" si="22"/>
        <v>141 OZ, 138 (64+74)</v>
      </c>
      <c r="AZ29" s="131"/>
      <c r="BA29" s="131"/>
      <c r="BB29" s="131"/>
      <c r="BC29" s="131"/>
      <c r="BD29" s="90" t="str">
        <f t="shared" si="7"/>
        <v>Zouzal</v>
      </c>
      <c r="BE29" s="92">
        <f t="shared" ca="1" si="8"/>
        <v>1</v>
      </c>
      <c r="BF29" s="91" t="str">
        <f t="shared" si="9"/>
        <v>M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1054</v>
      </c>
      <c r="BU29" s="104">
        <v>0</v>
      </c>
      <c r="BV29" s="105" t="str">
        <f t="shared" si="17"/>
        <v>Daniel Fišer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SPA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6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1"/>
        <v/>
      </c>
      <c r="BK30" s="3" t="str">
        <f t="shared" ca="1" si="13"/>
        <v/>
      </c>
      <c r="BL30" s="62" t="str">
        <f t="shared" ca="1" si="14"/>
        <v/>
      </c>
      <c r="BM30" s="3" t="str">
        <f t="shared" ca="1" si="15"/>
        <v/>
      </c>
      <c r="BS30" s="361"/>
      <c r="BT30" s="105" t="s">
        <v>1055</v>
      </c>
      <c r="BU30" s="104">
        <v>0</v>
      </c>
      <c r="BV30" s="105" t="str">
        <f t="shared" si="17"/>
        <v>Dominik Bartoš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6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1056</v>
      </c>
      <c r="BU31" s="104">
        <v>0</v>
      </c>
      <c r="BV31" s="105" t="str">
        <f t="shared" si="17"/>
        <v>Jakub Kolstrunk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6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6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6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6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6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704</v>
      </c>
      <c r="T45" s="103">
        <v>2</v>
      </c>
      <c r="U45" s="113">
        <v>120</v>
      </c>
      <c r="V45" s="103">
        <v>1</v>
      </c>
      <c r="W45" s="103">
        <v>8</v>
      </c>
      <c r="X45" s="103">
        <v>0</v>
      </c>
      <c r="Y45" s="103">
        <v>34</v>
      </c>
      <c r="Z45" s="103">
        <v>0</v>
      </c>
      <c r="AA45" s="103">
        <v>1</v>
      </c>
      <c r="AB45" s="103">
        <v>26</v>
      </c>
      <c r="AC45" s="103">
        <v>0</v>
      </c>
      <c r="AD45" s="103">
        <v>0</v>
      </c>
      <c r="AE45" s="113">
        <f>IF(S45&lt;&gt;"",IF(T45&gt;0,W45/(U45/60),0),"")</f>
        <v>4</v>
      </c>
      <c r="AF45" s="113">
        <f>IF(S45&lt;&gt;"",IF(Y45&gt;0,(AB45/Y45)*100,"-"),"")</f>
        <v>76.470588235294116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/>
      <c r="U46" s="113"/>
      <c r="AE46" s="113" t="str">
        <f t="shared" ref="AE46:AE50" si="25">IF(S46&lt;&gt;"",IF(T46&gt;0,W46/(U46/60),0),"")</f>
        <v/>
      </c>
      <c r="AF46" s="113" t="str">
        <f t="shared" ref="AF46:AF50" si="26">IF(S46&lt;&gt;"",IF(Y46&gt;0,(AB46/Y46)*100,"-"),"")</f>
        <v/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499</v>
      </c>
      <c r="U2" s="103">
        <v>2</v>
      </c>
      <c r="V2" s="103">
        <v>3</v>
      </c>
      <c r="W2" s="103">
        <v>1</v>
      </c>
      <c r="X2" s="103">
        <v>0</v>
      </c>
      <c r="Y2" s="103">
        <v>6</v>
      </c>
      <c r="Z2" s="103">
        <v>9</v>
      </c>
      <c r="AA2" s="103">
        <v>0</v>
      </c>
      <c r="AB2" s="103">
        <v>5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508</v>
      </c>
      <c r="AH2" s="123">
        <v>35892</v>
      </c>
      <c r="AI2" s="124">
        <v>99</v>
      </c>
      <c r="AJ2" s="124">
        <v>59</v>
      </c>
      <c r="AK2" s="124">
        <v>25</v>
      </c>
      <c r="AL2" s="125">
        <f t="shared" ref="AL2:AL50" si="1">IF(AG2&lt;&gt;"",AJ2+AK2,"")</f>
        <v>84</v>
      </c>
      <c r="AM2" s="124">
        <v>6</v>
      </c>
      <c r="AN2" s="124">
        <v>99</v>
      </c>
      <c r="AO2" s="126"/>
      <c r="AP2" s="126" t="s">
        <v>163</v>
      </c>
      <c r="AQ2" s="124">
        <v>183</v>
      </c>
      <c r="AR2" s="124">
        <v>79</v>
      </c>
      <c r="AS2" s="127" t="s">
        <v>78</v>
      </c>
      <c r="AT2" s="124">
        <v>2006</v>
      </c>
      <c r="AU2" s="128">
        <f t="shared" ref="AU2:AU23" ca="1" si="2">IF(AG2&lt;&gt;"",IF(AH2&lt;&gt;"",INT((TODAY()-AH2)/365),"?"),"")</f>
        <v>23</v>
      </c>
      <c r="AV2" s="128" t="str">
        <f t="shared" ref="AV2:AV23" si="3">IF(AG2&lt;&gt;"",CONCATENATE(IF(AQ2&lt;&gt;"",AQ2,"? "),"/",IF(AR2&lt;&gt;"",AR2," ?")),"")</f>
        <v>183/79</v>
      </c>
      <c r="AW2" s="129" t="str">
        <f ca="1">IF(AG2&lt;&gt;"",IF(BE2=1,BD2,IF(BH2=1,BG2,IF(BJ2=1,BI2,IF(BL2=1,BK2,BM2)))),"")</f>
        <v>Brautferger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+1 ±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101 OZ, 84 (59+25)</v>
      </c>
      <c r="AZ2" s="131"/>
      <c r="BA2" s="131"/>
      <c r="BB2" s="131"/>
      <c r="BC2" s="131"/>
      <c r="BD2" s="3" t="str">
        <f>IF(AG2&lt;&gt;"",RIGHT(AG2,LEN(AG2)-SEARCH(" ",AG2)),"")</f>
        <v>Brautferger</v>
      </c>
      <c r="BE2" s="85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540</v>
      </c>
      <c r="BO2" s="123">
        <v>29164</v>
      </c>
      <c r="BP2" s="132" t="s">
        <v>205</v>
      </c>
      <c r="BQ2" s="133" t="s">
        <v>541</v>
      </c>
      <c r="BR2" s="128">
        <f ca="1">IF(BN2&lt;&gt;"",IF(BO2&lt;&gt;"",INT((TODAY()-BO2)/365),"?"),"")</f>
        <v>41</v>
      </c>
      <c r="BS2" s="361" t="s">
        <v>36</v>
      </c>
      <c r="BT2" s="105" t="s">
        <v>546</v>
      </c>
      <c r="BU2" s="104">
        <v>9</v>
      </c>
      <c r="BV2" s="105" t="str">
        <f>IFERROR(RIGHT(BT2,LEN(BT2)-SEARCH(" ",BT2)),"")</f>
        <v>Marek Beneš</v>
      </c>
      <c r="BW2" s="103">
        <f>IF(BT2&lt;&gt;0,_xlfn.NUMBERVALUE(BU2,","),"")</f>
        <v>9</v>
      </c>
      <c r="BX2" s="360" t="s">
        <v>233</v>
      </c>
      <c r="BY2" s="104" t="s">
        <v>225</v>
      </c>
      <c r="BZ2" s="104" t="s">
        <v>106</v>
      </c>
      <c r="CA2" s="116" t="s">
        <v>932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503</v>
      </c>
      <c r="U3" s="103">
        <v>2</v>
      </c>
      <c r="V3" s="103">
        <v>4</v>
      </c>
      <c r="W3" s="103">
        <v>0</v>
      </c>
      <c r="X3" s="103">
        <v>0</v>
      </c>
      <c r="Y3" s="103">
        <v>1</v>
      </c>
      <c r="Z3" s="103">
        <v>5</v>
      </c>
      <c r="AA3" s="103">
        <v>0</v>
      </c>
      <c r="AB3" s="103">
        <v>4</v>
      </c>
      <c r="AC3" s="103" t="str">
        <f t="shared" ca="1" si="0"/>
        <v>NE</v>
      </c>
      <c r="AG3" s="122" t="s">
        <v>519</v>
      </c>
      <c r="AH3" s="123">
        <v>35874</v>
      </c>
      <c r="AI3" s="124">
        <v>27</v>
      </c>
      <c r="AJ3" s="124">
        <v>0</v>
      </c>
      <c r="AK3" s="124">
        <v>0</v>
      </c>
      <c r="AL3" s="125">
        <f t="shared" si="1"/>
        <v>0</v>
      </c>
      <c r="AM3" s="124">
        <v>7</v>
      </c>
      <c r="AN3" s="124">
        <v>33</v>
      </c>
      <c r="AO3" s="126"/>
      <c r="AP3" s="126"/>
      <c r="AQ3" s="124">
        <v>190</v>
      </c>
      <c r="AR3" s="124">
        <v>88</v>
      </c>
      <c r="AS3" s="127" t="s">
        <v>531</v>
      </c>
      <c r="AT3" s="124">
        <v>2009</v>
      </c>
      <c r="AU3" s="128">
        <f t="shared" ca="1" si="2"/>
        <v>23</v>
      </c>
      <c r="AV3" s="128" t="str">
        <f t="shared" si="3"/>
        <v>190/88</v>
      </c>
      <c r="AW3" s="129" t="str">
        <f t="shared" ref="AW3:AW50" ca="1" si="6">IF(AG3&lt;&gt;"",IF(BE3=1,BD3,IF(BH3=1,BG3,IF(BJ3=1,BI3,IF(BL3=1,BK3,BM3)))),"")</f>
        <v>Frühbauer</v>
      </c>
      <c r="AX3" s="130" t="str">
        <f t="shared" ca="1" si="4"/>
        <v>0 OZ, 0 (0+0)</v>
      </c>
      <c r="AY3" s="130" t="str">
        <f t="shared" ca="1" si="5"/>
        <v>27 OZ, 0 (0+0)</v>
      </c>
      <c r="AZ3" s="131"/>
      <c r="BA3" s="131"/>
      <c r="BB3" s="131"/>
      <c r="BC3" s="131"/>
      <c r="BD3" s="90" t="str">
        <f t="shared" ref="BD3:BD50" si="7">IF(AG3&lt;&gt;"",RIGHT(AG3,LEN(AG3)-SEARCH(" ",AG3)),"")</f>
        <v>Frühbauer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M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542</v>
      </c>
      <c r="BO3" s="123">
        <v>27190</v>
      </c>
      <c r="BP3" s="132" t="s">
        <v>360</v>
      </c>
      <c r="BQ3" s="133"/>
      <c r="BR3" s="128">
        <f t="shared" ref="BR3:BR11" ca="1" si="16">IF(BN3&lt;&gt;"",IF(BO3&lt;&gt;"",INT((TODAY()-BO3)/365),"?"),"")</f>
        <v>47</v>
      </c>
      <c r="BS3" s="361"/>
      <c r="BT3" s="105" t="s">
        <v>1058</v>
      </c>
      <c r="BU3" s="104">
        <v>5</v>
      </c>
      <c r="BV3" s="105" t="str">
        <f t="shared" ref="BV3:BV31" si="17">IFERROR(RIGHT(BT3,LEN(BT3)-SEARCH(" ",BT3)),"")</f>
        <v>David Šimek</v>
      </c>
      <c r="BW3" s="103">
        <f t="shared" ref="BW3:BW31" si="18">IF(BT3&lt;&gt;0,_xlfn.NUMBERVALUE(BU3,","),"")</f>
        <v>5</v>
      </c>
      <c r="BX3" s="360"/>
      <c r="BY3" s="104" t="s">
        <v>224</v>
      </c>
      <c r="BZ3" s="104" t="s">
        <v>5</v>
      </c>
      <c r="CA3" s="116" t="s">
        <v>560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502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2</v>
      </c>
      <c r="AC4" s="103" t="str">
        <f t="shared" ca="1" si="0"/>
        <v>ANO</v>
      </c>
      <c r="AG4" s="122" t="s">
        <v>514</v>
      </c>
      <c r="AH4" s="123">
        <v>37383</v>
      </c>
      <c r="AI4" s="124">
        <v>24</v>
      </c>
      <c r="AJ4" s="124">
        <v>22</v>
      </c>
      <c r="AK4" s="124">
        <v>23</v>
      </c>
      <c r="AL4" s="125">
        <f t="shared" si="1"/>
        <v>45</v>
      </c>
      <c r="AM4" s="124">
        <v>2</v>
      </c>
      <c r="AN4" s="124">
        <v>18</v>
      </c>
      <c r="AO4" s="126"/>
      <c r="AP4" s="126" t="s">
        <v>163</v>
      </c>
      <c r="AQ4" s="124">
        <v>181</v>
      </c>
      <c r="AR4" s="124">
        <v>66</v>
      </c>
      <c r="AS4" s="127" t="s">
        <v>74</v>
      </c>
      <c r="AT4" s="124">
        <v>2008</v>
      </c>
      <c r="AU4" s="128">
        <f t="shared" ca="1" si="2"/>
        <v>19</v>
      </c>
      <c r="AV4" s="128" t="str">
        <f t="shared" si="3"/>
        <v>181/66</v>
      </c>
      <c r="AW4" s="129" t="str">
        <f t="shared" ca="1" si="6"/>
        <v>Havlas</v>
      </c>
      <c r="AX4" s="130" t="str">
        <f t="shared" ca="1" si="4"/>
        <v>2 OZ, 1 (0+1), 0 ±</v>
      </c>
      <c r="AY4" s="130" t="str">
        <f t="shared" ca="1" si="5"/>
        <v>26 OZ, 46 (22+24)</v>
      </c>
      <c r="AZ4" s="131"/>
      <c r="BA4" s="131"/>
      <c r="BB4" s="131"/>
      <c r="BC4" s="131"/>
      <c r="BD4" s="3" t="str">
        <f t="shared" si="7"/>
        <v>Havlas</v>
      </c>
      <c r="BE4" s="85">
        <f t="shared" ca="1" si="8"/>
        <v>1</v>
      </c>
      <c r="BF4" s="62" t="str">
        <f t="shared" si="9"/>
        <v>M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543</v>
      </c>
      <c r="BO4" s="123"/>
      <c r="BP4" s="132" t="s">
        <v>206</v>
      </c>
      <c r="BQ4" s="133"/>
      <c r="BR4" s="128" t="str">
        <f t="shared" ca="1" si="16"/>
        <v>?</v>
      </c>
      <c r="BS4" s="361"/>
      <c r="BT4" s="105" t="s">
        <v>552</v>
      </c>
      <c r="BU4" s="104">
        <v>4</v>
      </c>
      <c r="BV4" s="105" t="str">
        <f t="shared" si="17"/>
        <v>Jonáš Kreysa</v>
      </c>
      <c r="BW4" s="103">
        <f t="shared" si="18"/>
        <v>4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500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3</v>
      </c>
      <c r="Z5" s="103">
        <v>4</v>
      </c>
      <c r="AA5" s="103">
        <v>0</v>
      </c>
      <c r="AB5" s="103">
        <v>2</v>
      </c>
      <c r="AC5" s="103" t="str">
        <f t="shared" ca="1" si="0"/>
        <v>ANO</v>
      </c>
      <c r="AG5" s="122" t="s">
        <v>520</v>
      </c>
      <c r="AH5" s="123">
        <v>37977</v>
      </c>
      <c r="AI5" s="124">
        <v>4</v>
      </c>
      <c r="AJ5" s="124">
        <v>0</v>
      </c>
      <c r="AK5" s="124">
        <v>0</v>
      </c>
      <c r="AL5" s="125">
        <f t="shared" si="1"/>
        <v>0</v>
      </c>
      <c r="AM5" s="124">
        <v>2</v>
      </c>
      <c r="AN5" s="124">
        <v>22</v>
      </c>
      <c r="AO5" s="126"/>
      <c r="AP5" s="126"/>
      <c r="AQ5" s="124">
        <v>182</v>
      </c>
      <c r="AR5" s="124">
        <v>75</v>
      </c>
      <c r="AS5" s="127" t="s">
        <v>532</v>
      </c>
      <c r="AT5" s="124">
        <v>2012</v>
      </c>
      <c r="AU5" s="128">
        <f t="shared" ca="1" si="2"/>
        <v>17</v>
      </c>
      <c r="AV5" s="128" t="str">
        <f t="shared" si="3"/>
        <v>182/75</v>
      </c>
      <c r="AW5" s="129" t="str">
        <f t="shared" ca="1" si="6"/>
        <v>Jurco</v>
      </c>
      <c r="AX5" s="130" t="str">
        <f t="shared" ca="1" si="4"/>
        <v>0 OZ, 0 (0+0)</v>
      </c>
      <c r="AY5" s="130" t="str">
        <f t="shared" ca="1" si="5"/>
        <v>4 OZ, 0 (0+0)</v>
      </c>
      <c r="AZ5" s="131"/>
      <c r="BA5" s="131"/>
      <c r="BB5" s="131"/>
      <c r="BC5" s="131"/>
      <c r="BD5" s="90" t="str">
        <f t="shared" si="7"/>
        <v>Jurco</v>
      </c>
      <c r="BE5" s="92">
        <f t="shared" ca="1" si="8"/>
        <v>1</v>
      </c>
      <c r="BF5" s="91" t="str">
        <f t="shared" si="9"/>
        <v>T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544</v>
      </c>
      <c r="BO5" s="123"/>
      <c r="BP5" s="132" t="s">
        <v>281</v>
      </c>
      <c r="BQ5" s="133"/>
      <c r="BR5" s="128" t="str">
        <f t="shared" ca="1" si="16"/>
        <v>?</v>
      </c>
      <c r="BS5" s="361"/>
      <c r="BT5" s="105" t="s">
        <v>1059</v>
      </c>
      <c r="BU5" s="104">
        <v>4</v>
      </c>
      <c r="BV5" s="105" t="str">
        <f t="shared" si="17"/>
        <v>Martin Šindelář</v>
      </c>
      <c r="BW5" s="103">
        <f t="shared" si="18"/>
        <v>4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501</v>
      </c>
      <c r="U6" s="103">
        <v>2</v>
      </c>
      <c r="V6" s="103">
        <v>2</v>
      </c>
      <c r="W6" s="103">
        <v>1</v>
      </c>
      <c r="X6" s="103">
        <v>0</v>
      </c>
      <c r="Y6" s="103">
        <v>1</v>
      </c>
      <c r="Z6" s="103">
        <v>3</v>
      </c>
      <c r="AA6" s="103">
        <v>0</v>
      </c>
      <c r="AB6" s="103">
        <v>5</v>
      </c>
      <c r="AC6" s="103" t="str">
        <f t="shared" ca="1" si="0"/>
        <v>ANO</v>
      </c>
      <c r="AG6" s="122" t="s">
        <v>521</v>
      </c>
      <c r="AH6" s="123"/>
      <c r="AI6" s="124"/>
      <c r="AJ6" s="124"/>
      <c r="AK6" s="124"/>
      <c r="AL6" s="125">
        <f t="shared" si="1"/>
        <v>0</v>
      </c>
      <c r="AM6" s="124" t="s">
        <v>337</v>
      </c>
      <c r="AN6" s="124"/>
      <c r="AO6" s="126"/>
      <c r="AP6" s="126"/>
      <c r="AQ6" s="124"/>
      <c r="AR6" s="124"/>
      <c r="AS6" s="127"/>
      <c r="AT6" s="124"/>
      <c r="AU6" s="128" t="str">
        <f t="shared" ca="1" si="2"/>
        <v>?</v>
      </c>
      <c r="AV6" s="128" t="str">
        <f t="shared" si="3"/>
        <v>? / ?</v>
      </c>
      <c r="AW6" s="129" t="str">
        <f t="shared" ca="1" si="6"/>
        <v>Kerzel</v>
      </c>
      <c r="AX6" s="130" t="str">
        <f t="shared" ca="1" si="4"/>
        <v>0 OZ, 0 (0+0)</v>
      </c>
      <c r="AY6" s="130" t="str">
        <f t="shared" ca="1" si="5"/>
        <v xml:space="preserve"> OZ, 0 (+)</v>
      </c>
      <c r="AZ6" s="131"/>
      <c r="BA6" s="131"/>
      <c r="BB6" s="131"/>
      <c r="BC6" s="131"/>
      <c r="BD6" s="3" t="str">
        <f t="shared" si="7"/>
        <v>Kerzel</v>
      </c>
      <c r="BE6" s="85">
        <f t="shared" ca="1" si="8"/>
        <v>1</v>
      </c>
      <c r="BF6" s="62" t="str">
        <f t="shared" si="9"/>
        <v>J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545</v>
      </c>
      <c r="BO6" s="123"/>
      <c r="BP6" s="132" t="s">
        <v>205</v>
      </c>
      <c r="BQ6" s="133"/>
      <c r="BR6" s="128" t="str">
        <f t="shared" ca="1" si="16"/>
        <v>?</v>
      </c>
      <c r="BS6" s="361"/>
      <c r="BT6" s="105" t="s">
        <v>554</v>
      </c>
      <c r="BU6" s="104">
        <v>3</v>
      </c>
      <c r="BV6" s="105" t="str">
        <f t="shared" si="17"/>
        <v>Ondřej Němeček</v>
      </c>
      <c r="BW6" s="103">
        <f t="shared" si="18"/>
        <v>3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505</v>
      </c>
      <c r="T7" s="103" t="s">
        <v>68</v>
      </c>
      <c r="U7" s="103">
        <v>2</v>
      </c>
      <c r="V7" s="103">
        <v>1</v>
      </c>
      <c r="W7" s="103">
        <v>0</v>
      </c>
      <c r="X7" s="103">
        <v>1</v>
      </c>
      <c r="Y7" s="103">
        <v>2</v>
      </c>
      <c r="Z7" s="103">
        <v>3</v>
      </c>
      <c r="AA7" s="103">
        <v>0</v>
      </c>
      <c r="AB7" s="103">
        <v>5</v>
      </c>
      <c r="AC7" s="103" t="str">
        <f t="shared" ca="1" si="0"/>
        <v>ANO</v>
      </c>
      <c r="AG7" s="122" t="s">
        <v>0</v>
      </c>
      <c r="AH7" s="123">
        <v>37777</v>
      </c>
      <c r="AI7" s="124">
        <v>8</v>
      </c>
      <c r="AJ7" s="124">
        <v>0</v>
      </c>
      <c r="AK7" s="124">
        <v>1</v>
      </c>
      <c r="AL7" s="125">
        <f t="shared" si="1"/>
        <v>1</v>
      </c>
      <c r="AM7" s="124">
        <v>2</v>
      </c>
      <c r="AN7" s="124">
        <v>89</v>
      </c>
      <c r="AO7" s="126"/>
      <c r="AP7" s="126" t="s">
        <v>27</v>
      </c>
      <c r="AQ7" s="124">
        <v>185</v>
      </c>
      <c r="AR7" s="124">
        <v>71</v>
      </c>
      <c r="AS7" s="127" t="s">
        <v>171</v>
      </c>
      <c r="AT7" s="124">
        <v>2009</v>
      </c>
      <c r="AU7" s="128">
        <f t="shared" ca="1" si="2"/>
        <v>18</v>
      </c>
      <c r="AV7" s="128" t="str">
        <f t="shared" si="3"/>
        <v>185/71</v>
      </c>
      <c r="AW7" s="129" t="str">
        <f t="shared" ca="1" si="6"/>
        <v>Klápa</v>
      </c>
      <c r="AX7" s="130" t="str">
        <f t="shared" ca="1" si="4"/>
        <v>0 OZ, 0 (0+0)</v>
      </c>
      <c r="AY7" s="130" t="str">
        <f t="shared" ca="1" si="5"/>
        <v>8 OZ, 1 (0+1)</v>
      </c>
      <c r="AZ7" s="131"/>
      <c r="BA7" s="131"/>
      <c r="BB7" s="131"/>
      <c r="BC7" s="131"/>
      <c r="BD7" s="90" t="str">
        <f t="shared" si="7"/>
        <v>Klápa</v>
      </c>
      <c r="BE7" s="92">
        <f t="shared" ca="1" si="8"/>
        <v>1</v>
      </c>
      <c r="BF7" s="91" t="str">
        <f t="shared" si="9"/>
        <v>V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549</v>
      </c>
      <c r="BU7" s="104" t="s">
        <v>1060</v>
      </c>
      <c r="BV7" s="105" t="str">
        <f t="shared" si="17"/>
        <v>Lukáš Kříž</v>
      </c>
      <c r="BW7" s="113">
        <f t="shared" si="18"/>
        <v>3</v>
      </c>
      <c r="BX7" s="360" t="s">
        <v>234</v>
      </c>
      <c r="BY7" s="104" t="s">
        <v>296</v>
      </c>
      <c r="BZ7" s="104" t="s">
        <v>109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98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506</v>
      </c>
      <c r="T8" s="103" t="s">
        <v>133</v>
      </c>
      <c r="U8" s="103">
        <v>2</v>
      </c>
      <c r="V8" s="103">
        <v>2</v>
      </c>
      <c r="W8" s="103">
        <v>0</v>
      </c>
      <c r="X8" s="103">
        <v>0</v>
      </c>
      <c r="Y8" s="103">
        <v>0</v>
      </c>
      <c r="Z8" s="103">
        <v>2</v>
      </c>
      <c r="AA8" s="103">
        <v>0</v>
      </c>
      <c r="AB8" s="103">
        <v>5</v>
      </c>
      <c r="AC8" s="103" t="str">
        <f t="shared" ca="1" si="0"/>
        <v>ANO</v>
      </c>
      <c r="AG8" s="122" t="s">
        <v>506</v>
      </c>
      <c r="AH8" s="123">
        <v>36374</v>
      </c>
      <c r="AI8" s="124">
        <v>120</v>
      </c>
      <c r="AJ8" s="124">
        <v>56</v>
      </c>
      <c r="AK8" s="124">
        <v>36</v>
      </c>
      <c r="AL8" s="125">
        <f t="shared" si="1"/>
        <v>92</v>
      </c>
      <c r="AM8" s="124">
        <v>6</v>
      </c>
      <c r="AN8" s="124">
        <v>28</v>
      </c>
      <c r="AO8" s="126"/>
      <c r="AP8" s="126" t="s">
        <v>27</v>
      </c>
      <c r="AQ8" s="124">
        <v>185</v>
      </c>
      <c r="AR8" s="124">
        <v>75</v>
      </c>
      <c r="AS8" s="127" t="s">
        <v>74</v>
      </c>
      <c r="AT8" s="124">
        <v>2005</v>
      </c>
      <c r="AU8" s="128">
        <f t="shared" ca="1" si="2"/>
        <v>22</v>
      </c>
      <c r="AV8" s="128" t="str">
        <f t="shared" si="3"/>
        <v>185/75</v>
      </c>
      <c r="AW8" s="129" t="str">
        <f t="shared" ca="1" si="6"/>
        <v>Kolísko Jak.</v>
      </c>
      <c r="AX8" s="130" t="str">
        <f t="shared" ca="1" si="4"/>
        <v>2 OZ, 2 (2+0), +5 ±</v>
      </c>
      <c r="AY8" s="130" t="str">
        <f t="shared" ca="1" si="5"/>
        <v>122 OZ, 94 (58+36)</v>
      </c>
      <c r="AZ8" s="131"/>
      <c r="BA8" s="131"/>
      <c r="BB8" s="131"/>
      <c r="BC8" s="131"/>
      <c r="BD8" s="3" t="str">
        <f t="shared" si="7"/>
        <v>Kolísko</v>
      </c>
      <c r="BE8" s="85">
        <f t="shared" ca="1" si="8"/>
        <v>2</v>
      </c>
      <c r="BF8" s="62" t="str">
        <f t="shared" si="9"/>
        <v>J</v>
      </c>
      <c r="BG8" s="3" t="str">
        <f t="shared" ca="1" si="10"/>
        <v>Kolísko J.</v>
      </c>
      <c r="BH8" s="62">
        <f t="shared" ca="1" si="11"/>
        <v>2</v>
      </c>
      <c r="BI8" s="3" t="str">
        <f t="shared" ca="1" si="12"/>
        <v>Kolísko Ja.</v>
      </c>
      <c r="BJ8" s="62">
        <f t="shared" ca="1" si="11"/>
        <v>2</v>
      </c>
      <c r="BK8" s="3" t="str">
        <f t="shared" ca="1" si="13"/>
        <v>Kolísko Jak.</v>
      </c>
      <c r="BL8" s="62">
        <f t="shared" ca="1" si="14"/>
        <v>1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550</v>
      </c>
      <c r="BU8" s="104" t="s">
        <v>216</v>
      </c>
      <c r="BV8" s="105" t="str">
        <f t="shared" si="17"/>
        <v>Jan Buzík</v>
      </c>
      <c r="BW8" s="113">
        <f t="shared" si="18"/>
        <v>0</v>
      </c>
      <c r="BX8" s="360"/>
      <c r="BY8" s="104" t="s">
        <v>228</v>
      </c>
      <c r="BZ8" s="104" t="s">
        <v>24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504</v>
      </c>
      <c r="T9" s="103" t="s">
        <v>133</v>
      </c>
      <c r="U9" s="103">
        <v>2</v>
      </c>
      <c r="V9" s="103">
        <v>2</v>
      </c>
      <c r="W9" s="103">
        <v>0</v>
      </c>
      <c r="X9" s="103">
        <v>0</v>
      </c>
      <c r="Y9" s="103">
        <v>0</v>
      </c>
      <c r="Z9" s="103">
        <v>2</v>
      </c>
      <c r="AA9" s="103">
        <v>2</v>
      </c>
      <c r="AB9" s="103">
        <v>2</v>
      </c>
      <c r="AC9" s="103" t="str">
        <f t="shared" ca="1" si="0"/>
        <v>ANO</v>
      </c>
      <c r="AG9" s="122" t="s">
        <v>522</v>
      </c>
      <c r="AH9" s="123">
        <v>34750</v>
      </c>
      <c r="AI9" s="124">
        <v>153</v>
      </c>
      <c r="AJ9" s="124">
        <v>35</v>
      </c>
      <c r="AK9" s="124">
        <v>27</v>
      </c>
      <c r="AL9" s="125">
        <f t="shared" si="1"/>
        <v>62</v>
      </c>
      <c r="AM9" s="124">
        <v>9</v>
      </c>
      <c r="AN9" s="124">
        <v>20</v>
      </c>
      <c r="AO9" s="126" t="s">
        <v>180</v>
      </c>
      <c r="AP9" s="126" t="s">
        <v>27</v>
      </c>
      <c r="AQ9" s="124">
        <v>189</v>
      </c>
      <c r="AR9" s="124">
        <v>82</v>
      </c>
      <c r="AS9" s="127" t="s">
        <v>74</v>
      </c>
      <c r="AT9" s="124">
        <v>2004</v>
      </c>
      <c r="AU9" s="128">
        <f t="shared" ca="1" si="2"/>
        <v>26</v>
      </c>
      <c r="AV9" s="128" t="str">
        <f t="shared" si="3"/>
        <v>189/82</v>
      </c>
      <c r="AW9" s="129" t="str">
        <f t="shared" ca="1" si="6"/>
        <v>Kolísko Jan</v>
      </c>
      <c r="AX9" s="130" t="str">
        <f t="shared" ca="1" si="4"/>
        <v>0 OZ, 0 (0+0)</v>
      </c>
      <c r="AY9" s="130" t="str">
        <f t="shared" ca="1" si="5"/>
        <v>153 OZ, 62 (35+27)</v>
      </c>
      <c r="AZ9" s="131"/>
      <c r="BA9" s="131"/>
      <c r="BB9" s="131"/>
      <c r="BC9" s="131"/>
      <c r="BD9" s="90" t="str">
        <f t="shared" si="7"/>
        <v>Kolísko</v>
      </c>
      <c r="BE9" s="92">
        <f t="shared" ca="1" si="8"/>
        <v>2</v>
      </c>
      <c r="BF9" s="91" t="str">
        <f t="shared" si="9"/>
        <v>J</v>
      </c>
      <c r="BG9" s="90" t="str">
        <f t="shared" ca="1" si="10"/>
        <v>Kolísko J.</v>
      </c>
      <c r="BH9" s="91">
        <f t="shared" ca="1" si="11"/>
        <v>2</v>
      </c>
      <c r="BI9" s="90" t="str">
        <f t="shared" ca="1" si="12"/>
        <v>Kolísko Ja.</v>
      </c>
      <c r="BJ9" s="91">
        <f t="shared" ca="1" si="11"/>
        <v>2</v>
      </c>
      <c r="BK9" s="90" t="str">
        <f t="shared" ca="1" si="13"/>
        <v>Kolísko Jan</v>
      </c>
      <c r="BL9" s="91">
        <f t="shared" ca="1" si="14"/>
        <v>1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297</v>
      </c>
      <c r="BZ9" s="104" t="s">
        <v>105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509</v>
      </c>
      <c r="U10" s="103">
        <v>2</v>
      </c>
      <c r="V10" s="103">
        <v>0</v>
      </c>
      <c r="W10" s="103">
        <v>0</v>
      </c>
      <c r="X10" s="103">
        <v>0</v>
      </c>
      <c r="Y10" s="103">
        <v>1</v>
      </c>
      <c r="Z10" s="103">
        <v>1</v>
      </c>
      <c r="AA10" s="103">
        <v>0</v>
      </c>
      <c r="AB10" s="103">
        <v>0</v>
      </c>
      <c r="AC10" s="103" t="str">
        <f t="shared" ca="1" si="0"/>
        <v>ANO</v>
      </c>
      <c r="AG10" s="122" t="s">
        <v>502</v>
      </c>
      <c r="AH10" s="123">
        <v>36679</v>
      </c>
      <c r="AI10" s="124">
        <v>68</v>
      </c>
      <c r="AJ10" s="124">
        <v>36</v>
      </c>
      <c r="AK10" s="124">
        <v>17</v>
      </c>
      <c r="AL10" s="125">
        <f t="shared" si="1"/>
        <v>53</v>
      </c>
      <c r="AM10" s="124">
        <v>5</v>
      </c>
      <c r="AN10" s="124">
        <v>8</v>
      </c>
      <c r="AO10" s="126"/>
      <c r="AP10" s="126" t="s">
        <v>163</v>
      </c>
      <c r="AQ10" s="124">
        <v>196</v>
      </c>
      <c r="AR10" s="124">
        <v>92</v>
      </c>
      <c r="AS10" s="127" t="s">
        <v>533</v>
      </c>
      <c r="AT10" s="124">
        <v>2008</v>
      </c>
      <c r="AU10" s="128">
        <f t="shared" ca="1" si="2"/>
        <v>21</v>
      </c>
      <c r="AV10" s="128" t="str">
        <f t="shared" si="3"/>
        <v>196/92</v>
      </c>
      <c r="AW10" s="129" t="str">
        <f t="shared" ca="1" si="6"/>
        <v>Kreysa</v>
      </c>
      <c r="AX10" s="130" t="str">
        <f t="shared" ca="1" si="4"/>
        <v>2 OZ, 4 (2+2), +2 ±</v>
      </c>
      <c r="AY10" s="130" t="str">
        <f t="shared" ca="1" si="5"/>
        <v>70 OZ, 57 (38+19)</v>
      </c>
      <c r="AZ10" s="131"/>
      <c r="BA10" s="131"/>
      <c r="BB10" s="131"/>
      <c r="BC10" s="131"/>
      <c r="BD10" s="3" t="str">
        <f t="shared" si="7"/>
        <v>Kreysa</v>
      </c>
      <c r="BE10" s="85">
        <f t="shared" ca="1" si="8"/>
        <v>1</v>
      </c>
      <c r="BF10" s="62" t="str">
        <f t="shared" si="9"/>
        <v>J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101</v>
      </c>
      <c r="CA10" s="116" t="s">
        <v>226</v>
      </c>
    </row>
    <row r="11" spans="1:79" ht="15" customHeight="1" thickTop="1" thickBot="1" x14ac:dyDescent="0.25">
      <c r="R11" s="13"/>
      <c r="S11" s="111" t="s">
        <v>514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0</v>
      </c>
      <c r="AC11" s="103" t="str">
        <f t="shared" ca="1" si="0"/>
        <v>ANO</v>
      </c>
      <c r="AG11" s="122" t="s">
        <v>507</v>
      </c>
      <c r="AH11" s="123">
        <v>37015</v>
      </c>
      <c r="AI11" s="124">
        <v>36</v>
      </c>
      <c r="AJ11" s="124">
        <v>0</v>
      </c>
      <c r="AK11" s="124">
        <v>1</v>
      </c>
      <c r="AL11" s="125">
        <f t="shared" si="1"/>
        <v>1</v>
      </c>
      <c r="AM11" s="124">
        <v>3</v>
      </c>
      <c r="AN11" s="124">
        <v>45</v>
      </c>
      <c r="AO11" s="126"/>
      <c r="AP11" s="126"/>
      <c r="AQ11" s="124">
        <v>187</v>
      </c>
      <c r="AR11" s="124">
        <v>84</v>
      </c>
      <c r="AS11" s="127" t="s">
        <v>534</v>
      </c>
      <c r="AT11" s="124">
        <v>2010</v>
      </c>
      <c r="AU11" s="128">
        <f t="shared" ca="1" si="2"/>
        <v>20</v>
      </c>
      <c r="AV11" s="128" t="str">
        <f t="shared" si="3"/>
        <v>187/84</v>
      </c>
      <c r="AW11" s="129" t="str">
        <f t="shared" ca="1" si="6"/>
        <v>Kříž</v>
      </c>
      <c r="AX11" s="130" t="str">
        <f t="shared" ca="1" si="4"/>
        <v>2 V, 0 P</v>
      </c>
      <c r="AY11" s="130" t="str">
        <f t="shared" ca="1" si="5"/>
        <v>38 OZ, 1 A</v>
      </c>
      <c r="AZ11" s="131"/>
      <c r="BA11" s="131"/>
      <c r="BB11" s="131"/>
      <c r="BC11" s="131"/>
      <c r="BD11" s="90" t="str">
        <f t="shared" si="7"/>
        <v>Kříž</v>
      </c>
      <c r="BE11" s="92">
        <f t="shared" ca="1" si="8"/>
        <v>1</v>
      </c>
      <c r="BF11" s="91" t="str">
        <f t="shared" si="9"/>
        <v>L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108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512</v>
      </c>
      <c r="T12" s="103" t="s">
        <v>133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1</v>
      </c>
      <c r="AC12" s="103" t="str">
        <f t="shared" ca="1" si="0"/>
        <v>NE</v>
      </c>
      <c r="AG12" s="122" t="s">
        <v>523</v>
      </c>
      <c r="AH12" s="123">
        <v>37254</v>
      </c>
      <c r="AI12" s="124">
        <v>79</v>
      </c>
      <c r="AJ12" s="124">
        <v>69</v>
      </c>
      <c r="AK12" s="124">
        <v>78</v>
      </c>
      <c r="AL12" s="125">
        <f t="shared" si="1"/>
        <v>147</v>
      </c>
      <c r="AM12" s="124">
        <v>5</v>
      </c>
      <c r="AN12" s="124">
        <v>29</v>
      </c>
      <c r="AO12" s="126"/>
      <c r="AP12" s="126" t="s">
        <v>163</v>
      </c>
      <c r="AQ12" s="124">
        <v>184</v>
      </c>
      <c r="AR12" s="124">
        <v>78</v>
      </c>
      <c r="AS12" s="127" t="s">
        <v>74</v>
      </c>
      <c r="AT12" s="124">
        <v>2008</v>
      </c>
      <c r="AU12" s="128">
        <f t="shared" ca="1" si="2"/>
        <v>19</v>
      </c>
      <c r="AV12" s="128" t="str">
        <f t="shared" si="3"/>
        <v>184/78</v>
      </c>
      <c r="AW12" s="129" t="str">
        <f t="shared" ca="1" si="6"/>
        <v>Langer</v>
      </c>
      <c r="AX12" s="130" t="str">
        <f t="shared" ca="1" si="4"/>
        <v>0 OZ, 0 (0+0)</v>
      </c>
      <c r="AY12" s="130" t="str">
        <f t="shared" ca="1" si="5"/>
        <v>79 OZ, 147 (69+78)</v>
      </c>
      <c r="AZ12" s="131"/>
      <c r="BA12" s="131"/>
      <c r="BB12" s="131"/>
      <c r="BC12" s="131"/>
      <c r="BD12" s="3" t="str">
        <f t="shared" si="7"/>
        <v>Langer</v>
      </c>
      <c r="BE12" s="85">
        <f t="shared" ca="1" si="8"/>
        <v>1</v>
      </c>
      <c r="BF12" s="62" t="str">
        <f t="shared" si="9"/>
        <v>F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551</v>
      </c>
      <c r="BU12" s="104">
        <v>4</v>
      </c>
      <c r="BV12" s="105" t="str">
        <f t="shared" si="17"/>
        <v>David Šimek</v>
      </c>
      <c r="BW12" s="103">
        <f t="shared" si="18"/>
        <v>4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1057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504</v>
      </c>
      <c r="AH13" s="123">
        <v>36115</v>
      </c>
      <c r="AI13" s="124">
        <v>138</v>
      </c>
      <c r="AJ13" s="124">
        <v>88</v>
      </c>
      <c r="AK13" s="124">
        <v>79</v>
      </c>
      <c r="AL13" s="125">
        <f t="shared" si="1"/>
        <v>167</v>
      </c>
      <c r="AM13" s="124">
        <v>7</v>
      </c>
      <c r="AN13" s="124">
        <v>70</v>
      </c>
      <c r="AO13" s="126"/>
      <c r="AP13" s="126" t="s">
        <v>27</v>
      </c>
      <c r="AQ13" s="124">
        <v>178</v>
      </c>
      <c r="AR13" s="124">
        <v>76</v>
      </c>
      <c r="AS13" s="127" t="s">
        <v>78</v>
      </c>
      <c r="AT13" s="124">
        <v>2009</v>
      </c>
      <c r="AU13" s="128">
        <f t="shared" ca="1" si="2"/>
        <v>22</v>
      </c>
      <c r="AV13" s="128" t="str">
        <f t="shared" si="3"/>
        <v>178/76</v>
      </c>
      <c r="AW13" s="129" t="str">
        <f t="shared" ca="1" si="6"/>
        <v>Meliš</v>
      </c>
      <c r="AX13" s="130" t="str">
        <f t="shared" ca="1" si="4"/>
        <v>2 OZ, 2 (2+0), +2 ±</v>
      </c>
      <c r="AY13" s="130" t="str">
        <f t="shared" ca="1" si="5"/>
        <v>140 OZ, 169 (90+79)</v>
      </c>
      <c r="AZ13" s="131"/>
      <c r="BA13" s="131"/>
      <c r="BB13" s="131"/>
      <c r="BC13" s="131"/>
      <c r="BD13" s="90" t="str">
        <f t="shared" si="7"/>
        <v>Meliš</v>
      </c>
      <c r="BE13" s="92">
        <f t="shared" ca="1" si="8"/>
        <v>1</v>
      </c>
      <c r="BF13" s="91" t="str">
        <f t="shared" si="9"/>
        <v>M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1061</v>
      </c>
      <c r="BU13" s="104">
        <v>3</v>
      </c>
      <c r="BV13" s="105" t="str">
        <f t="shared" si="17"/>
        <v>Marek Beneš</v>
      </c>
      <c r="BW13" s="103">
        <f t="shared" si="18"/>
        <v>3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513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1</v>
      </c>
      <c r="AC14" s="103" t="str">
        <f t="shared" ca="1" si="0"/>
        <v>ANO</v>
      </c>
      <c r="AG14" s="122" t="s">
        <v>510</v>
      </c>
      <c r="AH14" s="123">
        <v>36067</v>
      </c>
      <c r="AI14" s="124">
        <v>127</v>
      </c>
      <c r="AJ14" s="124">
        <v>12</v>
      </c>
      <c r="AK14" s="124">
        <v>16</v>
      </c>
      <c r="AL14" s="125">
        <f t="shared" si="1"/>
        <v>28</v>
      </c>
      <c r="AM14" s="124">
        <v>7</v>
      </c>
      <c r="AN14" s="124">
        <v>16</v>
      </c>
      <c r="AO14" s="126"/>
      <c r="AP14" s="126" t="s">
        <v>163</v>
      </c>
      <c r="AQ14" s="124">
        <v>172</v>
      </c>
      <c r="AR14" s="124">
        <v>72</v>
      </c>
      <c r="AS14" s="127" t="s">
        <v>531</v>
      </c>
      <c r="AT14" s="124">
        <v>2005</v>
      </c>
      <c r="AU14" s="128">
        <f t="shared" ca="1" si="2"/>
        <v>22</v>
      </c>
      <c r="AV14" s="128" t="str">
        <f t="shared" si="3"/>
        <v>172/72</v>
      </c>
      <c r="AW14" s="129" t="str">
        <f t="shared" ca="1" si="6"/>
        <v>Mühlfait</v>
      </c>
      <c r="AX14" s="130" t="str">
        <f t="shared" ca="1" si="4"/>
        <v>2 OZ, 0 (0+0), +2 ±</v>
      </c>
      <c r="AY14" s="130" t="str">
        <f t="shared" ca="1" si="5"/>
        <v>129 OZ, 28 (12+16)</v>
      </c>
      <c r="AZ14" s="131"/>
      <c r="BA14" s="131"/>
      <c r="BB14" s="131"/>
      <c r="BC14" s="131"/>
      <c r="BD14" s="3" t="str">
        <f t="shared" si="7"/>
        <v>Mühlfait</v>
      </c>
      <c r="BE14" s="85">
        <f t="shared" ca="1" si="8"/>
        <v>1</v>
      </c>
      <c r="BF14" s="62" t="str">
        <f t="shared" si="9"/>
        <v>M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1062</v>
      </c>
      <c r="BU14" s="104">
        <v>2</v>
      </c>
      <c r="BV14" s="105" t="str">
        <f t="shared" si="17"/>
        <v>Jakub Kolísko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515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1</v>
      </c>
      <c r="AC15" s="103" t="str">
        <f t="shared" ca="1" si="0"/>
        <v>ANO</v>
      </c>
      <c r="AG15" s="122" t="s">
        <v>524</v>
      </c>
      <c r="AH15" s="123">
        <v>37099</v>
      </c>
      <c r="AI15" s="124">
        <v>21</v>
      </c>
      <c r="AJ15" s="124">
        <v>1</v>
      </c>
      <c r="AK15" s="124">
        <v>1</v>
      </c>
      <c r="AL15" s="125">
        <f t="shared" si="1"/>
        <v>2</v>
      </c>
      <c r="AM15" s="124">
        <v>3</v>
      </c>
      <c r="AN15" s="124">
        <v>27</v>
      </c>
      <c r="AO15" s="126"/>
      <c r="AP15" s="126" t="s">
        <v>163</v>
      </c>
      <c r="AQ15" s="124">
        <v>18</v>
      </c>
      <c r="AR15" s="124">
        <v>68</v>
      </c>
      <c r="AS15" s="127" t="s">
        <v>74</v>
      </c>
      <c r="AT15" s="124">
        <v>2010</v>
      </c>
      <c r="AU15" s="128">
        <f t="shared" ca="1" si="2"/>
        <v>20</v>
      </c>
      <c r="AV15" s="128" t="str">
        <f t="shared" si="3"/>
        <v>18/68</v>
      </c>
      <c r="AW15" s="129" t="str">
        <f t="shared" ca="1" si="6"/>
        <v>Navrátil</v>
      </c>
      <c r="AX15" s="130" t="str">
        <f t="shared" ca="1" si="4"/>
        <v>0 OZ, 0 (0+0)</v>
      </c>
      <c r="AY15" s="130" t="str">
        <f t="shared" ca="1" si="5"/>
        <v>21 OZ, 2 (1+1)</v>
      </c>
      <c r="AZ15" s="131"/>
      <c r="BA15" s="131"/>
      <c r="BB15" s="131"/>
      <c r="BC15" s="131"/>
      <c r="BD15" s="90" t="str">
        <f t="shared" si="7"/>
        <v>Navrátil</v>
      </c>
      <c r="BE15" s="92">
        <f t="shared" ca="1" si="8"/>
        <v>1</v>
      </c>
      <c r="BF15" s="91" t="str">
        <f t="shared" si="9"/>
        <v>T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548</v>
      </c>
      <c r="BU15" s="104">
        <v>2</v>
      </c>
      <c r="BV15" s="105" t="str">
        <f t="shared" si="17"/>
        <v>Jonáš Kreysa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511</v>
      </c>
      <c r="T16" s="103" t="s">
        <v>131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501</v>
      </c>
      <c r="AH16" s="123">
        <v>35956</v>
      </c>
      <c r="AI16" s="124">
        <v>73</v>
      </c>
      <c r="AJ16" s="124">
        <v>34</v>
      </c>
      <c r="AK16" s="124">
        <v>49</v>
      </c>
      <c r="AL16" s="125">
        <f t="shared" si="1"/>
        <v>83</v>
      </c>
      <c r="AM16" s="124">
        <v>5</v>
      </c>
      <c r="AN16" s="124">
        <v>71</v>
      </c>
      <c r="AO16" s="126"/>
      <c r="AP16" s="126" t="s">
        <v>27</v>
      </c>
      <c r="AQ16" s="124">
        <v>191</v>
      </c>
      <c r="AR16" s="124">
        <v>82</v>
      </c>
      <c r="AS16" s="127" t="s">
        <v>74</v>
      </c>
      <c r="AT16" s="124">
        <v>2005</v>
      </c>
      <c r="AU16" s="128">
        <f t="shared" ca="1" si="2"/>
        <v>23</v>
      </c>
      <c r="AV16" s="128" t="str">
        <f t="shared" si="3"/>
        <v>191/82</v>
      </c>
      <c r="AW16" s="129" t="str">
        <f t="shared" ca="1" si="6"/>
        <v>Němeček</v>
      </c>
      <c r="AX16" s="130" t="str">
        <f t="shared" ca="1" si="4"/>
        <v>2 OZ, 3 (2+1), +5 ±</v>
      </c>
      <c r="AY16" s="130" t="str">
        <f t="shared" ca="1" si="5"/>
        <v>75 OZ, 86 (36+50)</v>
      </c>
      <c r="AZ16" s="131"/>
      <c r="BA16" s="131"/>
      <c r="BB16" s="131"/>
      <c r="BC16" s="131"/>
      <c r="BD16" s="3" t="str">
        <f t="shared" si="7"/>
        <v>Němeček</v>
      </c>
      <c r="BE16" s="85">
        <f t="shared" ca="1" si="8"/>
        <v>1</v>
      </c>
      <c r="BF16" s="62" t="str">
        <f t="shared" si="9"/>
        <v>O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1063</v>
      </c>
      <c r="BU16" s="104">
        <v>2</v>
      </c>
      <c r="BV16" s="105" t="str">
        <f t="shared" si="17"/>
        <v>Milan Meliš</v>
      </c>
      <c r="BW16" s="103">
        <f t="shared" si="18"/>
        <v>2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518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1</v>
      </c>
      <c r="AC17" s="103" t="str">
        <f t="shared" ca="1" si="0"/>
        <v>ANO</v>
      </c>
      <c r="AG17" s="122" t="s">
        <v>479</v>
      </c>
      <c r="AH17" s="123">
        <v>34592</v>
      </c>
      <c r="AI17" s="124">
        <v>68</v>
      </c>
      <c r="AJ17" s="124">
        <v>21</v>
      </c>
      <c r="AK17" s="124">
        <v>23</v>
      </c>
      <c r="AL17" s="125">
        <f t="shared" si="1"/>
        <v>44</v>
      </c>
      <c r="AM17" s="124">
        <v>4</v>
      </c>
      <c r="AN17" s="124">
        <v>44</v>
      </c>
      <c r="AO17" s="126"/>
      <c r="AP17" s="126" t="s">
        <v>163</v>
      </c>
      <c r="AQ17" s="124">
        <v>175</v>
      </c>
      <c r="AR17" s="124">
        <v>74</v>
      </c>
      <c r="AS17" s="127" t="s">
        <v>535</v>
      </c>
      <c r="AT17" s="124">
        <v>2008</v>
      </c>
      <c r="AU17" s="128">
        <f t="shared" ca="1" si="2"/>
        <v>27</v>
      </c>
      <c r="AV17" s="128" t="str">
        <f t="shared" si="3"/>
        <v>175/74</v>
      </c>
      <c r="AW17" s="129" t="str">
        <f t="shared" ca="1" si="6"/>
        <v>Novotný</v>
      </c>
      <c r="AX17" s="130" t="str">
        <f t="shared" ca="1" si="4"/>
        <v>0 OZ, 0 (0+0)</v>
      </c>
      <c r="AY17" s="130" t="str">
        <f t="shared" ca="1" si="5"/>
        <v>68 OZ, 44 (21+23)</v>
      </c>
      <c r="AZ17" s="131"/>
      <c r="BA17" s="131"/>
      <c r="BB17" s="131"/>
      <c r="BC17" s="131"/>
      <c r="BD17" s="90" t="str">
        <f t="shared" si="7"/>
        <v>Novotný</v>
      </c>
      <c r="BE17" s="92">
        <f t="shared" ca="1" si="8"/>
        <v>1</v>
      </c>
      <c r="BF17" s="91" t="str">
        <f t="shared" si="9"/>
        <v>P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549</v>
      </c>
      <c r="BU17" s="104">
        <v>2</v>
      </c>
      <c r="BV17" s="105" t="str">
        <f t="shared" si="17"/>
        <v>Lukáš Kříž</v>
      </c>
      <c r="BW17" s="103">
        <f t="shared" si="18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516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2</v>
      </c>
      <c r="AC18" s="103" t="str">
        <f t="shared" ca="1" si="0"/>
        <v>ANO</v>
      </c>
      <c r="AG18" s="122" t="s">
        <v>505</v>
      </c>
      <c r="AH18" s="123">
        <v>34841</v>
      </c>
      <c r="AI18" s="124">
        <v>88</v>
      </c>
      <c r="AJ18" s="124">
        <v>29</v>
      </c>
      <c r="AK18" s="124">
        <v>49</v>
      </c>
      <c r="AL18" s="125">
        <f t="shared" si="1"/>
        <v>78</v>
      </c>
      <c r="AM18" s="124">
        <v>5</v>
      </c>
      <c r="AN18" s="124">
        <v>79</v>
      </c>
      <c r="AO18" s="126"/>
      <c r="AP18" s="126" t="s">
        <v>163</v>
      </c>
      <c r="AQ18" s="124">
        <v>178</v>
      </c>
      <c r="AR18" s="124">
        <v>65</v>
      </c>
      <c r="AS18" s="127" t="s">
        <v>347</v>
      </c>
      <c r="AT18" s="124">
        <v>2006</v>
      </c>
      <c r="AU18" s="128">
        <f t="shared" ca="1" si="2"/>
        <v>26</v>
      </c>
      <c r="AV18" s="128" t="str">
        <f t="shared" si="3"/>
        <v>178/65</v>
      </c>
      <c r="AW18" s="129" t="str">
        <f t="shared" ca="1" si="6"/>
        <v>Pánek</v>
      </c>
      <c r="AX18" s="130" t="str">
        <f t="shared" ca="1" si="4"/>
        <v>2 OZ, 3 (1+2), +5 ±</v>
      </c>
      <c r="AY18" s="130" t="str">
        <f t="shared" ca="1" si="5"/>
        <v>90 OZ, 81 (30+51)</v>
      </c>
      <c r="AZ18" s="131"/>
      <c r="BA18" s="131"/>
      <c r="BB18" s="131"/>
      <c r="BC18" s="131"/>
      <c r="BD18" s="3" t="str">
        <f t="shared" si="7"/>
        <v>Pánek</v>
      </c>
      <c r="BE18" s="85">
        <f t="shared" ca="1" si="8"/>
        <v>1</v>
      </c>
      <c r="BF18" s="62" t="str">
        <f t="shared" si="9"/>
        <v>M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550</v>
      </c>
      <c r="BU18" s="104">
        <v>0</v>
      </c>
      <c r="BV18" s="105" t="str">
        <f t="shared" si="17"/>
        <v>Jan Buzík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TAT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507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525</v>
      </c>
      <c r="AH19" s="123">
        <v>37432</v>
      </c>
      <c r="AI19" s="124">
        <v>22</v>
      </c>
      <c r="AJ19" s="124">
        <v>2</v>
      </c>
      <c r="AK19" s="124">
        <v>0</v>
      </c>
      <c r="AL19" s="125">
        <f t="shared" si="1"/>
        <v>2</v>
      </c>
      <c r="AM19" s="124">
        <v>3</v>
      </c>
      <c r="AN19" s="124">
        <v>23</v>
      </c>
      <c r="AO19" s="126"/>
      <c r="AP19" s="126" t="s">
        <v>163</v>
      </c>
      <c r="AQ19" s="124">
        <v>187</v>
      </c>
      <c r="AR19" s="124">
        <v>77</v>
      </c>
      <c r="AS19" s="127" t="s">
        <v>74</v>
      </c>
      <c r="AT19" s="124">
        <v>2010</v>
      </c>
      <c r="AU19" s="128">
        <f t="shared" ca="1" si="2"/>
        <v>19</v>
      </c>
      <c r="AV19" s="128" t="str">
        <f t="shared" si="3"/>
        <v>187/77</v>
      </c>
      <c r="AW19" s="129" t="str">
        <f t="shared" ca="1" si="6"/>
        <v>Papoušek</v>
      </c>
      <c r="AX19" s="130" t="str">
        <f t="shared" ca="1" si="4"/>
        <v>0 OZ, 0 (0+0)</v>
      </c>
      <c r="AY19" s="130" t="str">
        <f t="shared" ca="1" si="5"/>
        <v>22 OZ, 2 (2+0)</v>
      </c>
      <c r="AZ19" s="131"/>
      <c r="BA19" s="131"/>
      <c r="BB19" s="131"/>
      <c r="BC19" s="131"/>
      <c r="BD19" s="90" t="str">
        <f t="shared" si="7"/>
        <v>Papoušek</v>
      </c>
      <c r="BE19" s="92">
        <f t="shared" ca="1" si="8"/>
        <v>1</v>
      </c>
      <c r="BF19" s="91" t="str">
        <f t="shared" si="9"/>
        <v>O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510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2</v>
      </c>
      <c r="AC20" s="103" t="str">
        <f t="shared" ca="1" si="0"/>
        <v>ANO</v>
      </c>
      <c r="AG20" s="122" t="s">
        <v>509</v>
      </c>
      <c r="AH20" s="123">
        <v>37636</v>
      </c>
      <c r="AI20" s="124">
        <v>16</v>
      </c>
      <c r="AJ20" s="124">
        <v>6</v>
      </c>
      <c r="AK20" s="124">
        <v>0</v>
      </c>
      <c r="AL20" s="125">
        <f t="shared" si="1"/>
        <v>6</v>
      </c>
      <c r="AM20" s="124">
        <v>2</v>
      </c>
      <c r="AN20" s="124">
        <v>18</v>
      </c>
      <c r="AO20" s="126"/>
      <c r="AP20" s="126" t="s">
        <v>163</v>
      </c>
      <c r="AQ20" s="124">
        <v>181</v>
      </c>
      <c r="AR20" s="124">
        <v>66</v>
      </c>
      <c r="AS20" s="127" t="s">
        <v>74</v>
      </c>
      <c r="AT20" s="124">
        <v>2008</v>
      </c>
      <c r="AU20" s="128">
        <f t="shared" ca="1" si="2"/>
        <v>18</v>
      </c>
      <c r="AV20" s="128" t="str">
        <f t="shared" si="3"/>
        <v>181/66</v>
      </c>
      <c r="AW20" s="129" t="str">
        <f t="shared" ca="1" si="6"/>
        <v>Piskáček</v>
      </c>
      <c r="AX20" s="130" t="str">
        <f t="shared" ca="1" si="4"/>
        <v>2 OZ, 1 (0+1), 0 ±</v>
      </c>
      <c r="AY20" s="130" t="str">
        <f t="shared" ca="1" si="5"/>
        <v>18 OZ, 7 (6+1)</v>
      </c>
      <c r="AZ20" s="131"/>
      <c r="BA20" s="131"/>
      <c r="BB20" s="131"/>
      <c r="BC20" s="131"/>
      <c r="BD20" s="3" t="str">
        <f t="shared" si="7"/>
        <v>Piskáček</v>
      </c>
      <c r="BE20" s="85">
        <f t="shared" ca="1" si="8"/>
        <v>1</v>
      </c>
      <c r="BF20" s="62" t="str">
        <f t="shared" si="9"/>
        <v>B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508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2</v>
      </c>
      <c r="AB21" s="103">
        <v>1</v>
      </c>
      <c r="AC21" s="103" t="str">
        <f t="shared" ca="1" si="0"/>
        <v>ANO</v>
      </c>
      <c r="AG21" s="122" t="s">
        <v>526</v>
      </c>
      <c r="AH21" s="123"/>
      <c r="AI21" s="124"/>
      <c r="AJ21" s="124"/>
      <c r="AK21" s="124"/>
      <c r="AL21" s="125">
        <f t="shared" si="1"/>
        <v>0</v>
      </c>
      <c r="AM21" s="124" t="s">
        <v>337</v>
      </c>
      <c r="AN21" s="124"/>
      <c r="AO21" s="126"/>
      <c r="AP21" s="126"/>
      <c r="AQ21" s="124"/>
      <c r="AR21" s="124"/>
      <c r="AS21" s="127"/>
      <c r="AT21" s="124"/>
      <c r="AU21" s="128" t="str">
        <f t="shared" ca="1" si="2"/>
        <v>?</v>
      </c>
      <c r="AV21" s="128" t="str">
        <f t="shared" si="3"/>
        <v>? / ?</v>
      </c>
      <c r="AW21" s="129" t="str">
        <f t="shared" ca="1" si="6"/>
        <v>Pretl</v>
      </c>
      <c r="AX21" s="130" t="str">
        <f t="shared" ca="1" si="4"/>
        <v>0 OZ, 0 (0+0)</v>
      </c>
      <c r="AY21" s="130" t="str">
        <f t="shared" ca="1" si="5"/>
        <v xml:space="preserve"> OZ, 0 (+)</v>
      </c>
      <c r="AZ21" s="131"/>
      <c r="BA21" s="131"/>
      <c r="BB21" s="131"/>
      <c r="BC21" s="131"/>
      <c r="BD21" s="90" t="str">
        <f t="shared" si="7"/>
        <v>Pretl</v>
      </c>
      <c r="BE21" s="92">
        <f t="shared" ca="1" si="8"/>
        <v>1</v>
      </c>
      <c r="BF21" s="91" t="str">
        <f t="shared" si="9"/>
        <v>M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1" t="s">
        <v>517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 t="str">
        <f t="shared" ca="1" si="0"/>
        <v>NE</v>
      </c>
      <c r="AG22" s="122" t="s">
        <v>527</v>
      </c>
      <c r="AH22" s="123">
        <v>37330</v>
      </c>
      <c r="AI22" s="124">
        <v>18</v>
      </c>
      <c r="AJ22" s="124">
        <v>1</v>
      </c>
      <c r="AK22" s="124">
        <v>0</v>
      </c>
      <c r="AL22" s="125">
        <f t="shared" si="1"/>
        <v>1</v>
      </c>
      <c r="AM22" s="124">
        <v>2</v>
      </c>
      <c r="AN22" s="124">
        <v>12</v>
      </c>
      <c r="AO22" s="126"/>
      <c r="AP22" s="126" t="s">
        <v>163</v>
      </c>
      <c r="AQ22" s="124">
        <v>185</v>
      </c>
      <c r="AR22" s="124">
        <v>75</v>
      </c>
      <c r="AS22" s="127" t="s">
        <v>74</v>
      </c>
      <c r="AT22" s="124">
        <v>2010</v>
      </c>
      <c r="AU22" s="128">
        <f t="shared" ca="1" si="2"/>
        <v>19</v>
      </c>
      <c r="AV22" s="128" t="str">
        <f t="shared" si="3"/>
        <v>185/75</v>
      </c>
      <c r="AW22" s="129" t="str">
        <f t="shared" ca="1" si="6"/>
        <v>Rod</v>
      </c>
      <c r="AX22" s="130" t="str">
        <f t="shared" ca="1" si="4"/>
        <v>0 OZ, 0 (0+0)</v>
      </c>
      <c r="AY22" s="130" t="str">
        <f t="shared" ca="1" si="5"/>
        <v>18 OZ, 1 (1+0)</v>
      </c>
      <c r="AZ22" s="131"/>
      <c r="BA22" s="131"/>
      <c r="BB22" s="131"/>
      <c r="BC22" s="131"/>
      <c r="BD22" s="3" t="str">
        <f t="shared" si="7"/>
        <v>Rod</v>
      </c>
      <c r="BE22" s="85">
        <f t="shared" ca="1" si="8"/>
        <v>1</v>
      </c>
      <c r="BF22" s="62" t="str">
        <f t="shared" si="9"/>
        <v>S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546</v>
      </c>
      <c r="BU22" s="104">
        <v>6</v>
      </c>
      <c r="BV22" s="105" t="str">
        <f t="shared" si="17"/>
        <v>Marek Beneš</v>
      </c>
      <c r="BW22" s="103">
        <f t="shared" si="18"/>
        <v>6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513</v>
      </c>
      <c r="AH23" s="123">
        <v>36532</v>
      </c>
      <c r="AI23" s="124">
        <v>58</v>
      </c>
      <c r="AJ23" s="124">
        <v>4</v>
      </c>
      <c r="AK23" s="124">
        <v>5</v>
      </c>
      <c r="AL23" s="125">
        <f t="shared" si="1"/>
        <v>9</v>
      </c>
      <c r="AM23" s="124">
        <v>4</v>
      </c>
      <c r="AN23" s="124">
        <v>21</v>
      </c>
      <c r="AO23" s="126"/>
      <c r="AP23" s="126" t="s">
        <v>163</v>
      </c>
      <c r="AQ23" s="124">
        <v>183</v>
      </c>
      <c r="AR23" s="124">
        <v>82</v>
      </c>
      <c r="AS23" s="127" t="s">
        <v>74</v>
      </c>
      <c r="AT23" s="124">
        <v>2009</v>
      </c>
      <c r="AU23" s="128">
        <f t="shared" ca="1" si="2"/>
        <v>21</v>
      </c>
      <c r="AV23" s="128" t="str">
        <f t="shared" si="3"/>
        <v>183/82</v>
      </c>
      <c r="AW23" s="129" t="str">
        <f t="shared" ca="1" si="6"/>
        <v>Sádlo</v>
      </c>
      <c r="AX23" s="130" t="str">
        <f t="shared" ca="1" si="4"/>
        <v>2 OZ, 0 (0+0), +1 ±</v>
      </c>
      <c r="AY23" s="130" t="str">
        <f t="shared" ca="1" si="5"/>
        <v>60 OZ, 9 (4+5)</v>
      </c>
      <c r="AZ23" s="131"/>
      <c r="BA23" s="131"/>
      <c r="BB23" s="131"/>
      <c r="BC23" s="131"/>
      <c r="BD23" s="90" t="str">
        <f t="shared" si="7"/>
        <v>Sádlo</v>
      </c>
      <c r="BE23" s="92">
        <f t="shared" ca="1" si="8"/>
        <v>1</v>
      </c>
      <c r="BF23" s="91" t="str">
        <f t="shared" si="9"/>
        <v>O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547</v>
      </c>
      <c r="BU23" s="104">
        <v>3</v>
      </c>
      <c r="BV23" s="105" t="str">
        <f t="shared" si="17"/>
        <v>Martin Šindelář</v>
      </c>
      <c r="BW23" s="103">
        <f t="shared" si="18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516</v>
      </c>
      <c r="AH24" s="123">
        <v>36584</v>
      </c>
      <c r="AI24" s="124">
        <v>92</v>
      </c>
      <c r="AJ24" s="124">
        <v>26</v>
      </c>
      <c r="AK24" s="124">
        <v>27</v>
      </c>
      <c r="AL24" s="125">
        <f t="shared" si="1"/>
        <v>53</v>
      </c>
      <c r="AM24" s="124">
        <v>5</v>
      </c>
      <c r="AN24" s="124">
        <v>25</v>
      </c>
      <c r="AO24" s="126"/>
      <c r="AP24" s="126" t="s">
        <v>163</v>
      </c>
      <c r="AQ24" s="124">
        <v>179</v>
      </c>
      <c r="AR24" s="124">
        <v>80</v>
      </c>
      <c r="AS24" s="127" t="s">
        <v>536</v>
      </c>
      <c r="AT24" s="124">
        <v>2008</v>
      </c>
      <c r="AU24" s="128">
        <f t="shared" ref="AU24:AU50" ca="1" si="19">IF(AG24&lt;&gt;"",IF(AH24&lt;&gt;"",INT((TODAY()-AH24)/365),"?"),"")</f>
        <v>21</v>
      </c>
      <c r="AV24" s="128" t="str">
        <f t="shared" ref="AV24:AV50" si="20">IF(AG24&lt;&gt;"",CONCATENATE(IF(AQ24&lt;&gt;"",AQ24,"? "),"/",IF(AR24&lt;&gt;"",AR24," ?")),"")</f>
        <v>179/80</v>
      </c>
      <c r="AW24" s="129" t="str">
        <f t="shared" ca="1" si="6"/>
        <v>Sládeček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+2 ±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94 OZ, 53 (26+27)</v>
      </c>
      <c r="AZ24" s="131"/>
      <c r="BA24" s="131"/>
      <c r="BB24" s="131"/>
      <c r="BC24" s="131"/>
      <c r="BD24" s="3" t="str">
        <f t="shared" si="7"/>
        <v>Sládeček</v>
      </c>
      <c r="BE24" s="85">
        <f t="shared" ca="1" si="8"/>
        <v>1</v>
      </c>
      <c r="BF24" s="62" t="str">
        <f t="shared" si="9"/>
        <v>P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552</v>
      </c>
      <c r="BU24" s="104">
        <v>2</v>
      </c>
      <c r="BV24" s="105" t="str">
        <f t="shared" si="17"/>
        <v>Jonáš Kreysa</v>
      </c>
      <c r="BW24" s="103">
        <f t="shared" si="18"/>
        <v>2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500</v>
      </c>
      <c r="AH25" s="123">
        <v>35703</v>
      </c>
      <c r="AI25" s="124">
        <v>100</v>
      </c>
      <c r="AJ25" s="124">
        <v>70</v>
      </c>
      <c r="AK25" s="124">
        <v>63</v>
      </c>
      <c r="AL25" s="125">
        <f t="shared" si="1"/>
        <v>133</v>
      </c>
      <c r="AM25" s="124">
        <v>5</v>
      </c>
      <c r="AN25" s="124">
        <v>88</v>
      </c>
      <c r="AO25" s="126"/>
      <c r="AP25" s="126" t="s">
        <v>163</v>
      </c>
      <c r="AQ25" s="124">
        <v>185</v>
      </c>
      <c r="AR25" s="124">
        <v>83</v>
      </c>
      <c r="AS25" s="127" t="s">
        <v>347</v>
      </c>
      <c r="AT25" s="124">
        <v>2009</v>
      </c>
      <c r="AU25" s="128">
        <f t="shared" ca="1" si="19"/>
        <v>23</v>
      </c>
      <c r="AV25" s="128" t="str">
        <f t="shared" si="20"/>
        <v>185/83</v>
      </c>
      <c r="AW25" s="129" t="str">
        <f t="shared" ca="1" si="6"/>
        <v>Šindelář</v>
      </c>
      <c r="AX25" s="130" t="str">
        <f t="shared" ca="1" si="21"/>
        <v>2 OZ, 4 (1+3), +2 ±</v>
      </c>
      <c r="AY25" s="130" t="str">
        <f t="shared" ca="1" si="22"/>
        <v>102 OZ, 137 (71+66)</v>
      </c>
      <c r="AZ25" s="131"/>
      <c r="BA25" s="131"/>
      <c r="BB25" s="131"/>
      <c r="BC25" s="131"/>
      <c r="BD25" s="90" t="str">
        <f t="shared" si="7"/>
        <v>Šindelář</v>
      </c>
      <c r="BE25" s="92">
        <f t="shared" ca="1" si="8"/>
        <v>1</v>
      </c>
      <c r="BF25" s="91" t="str">
        <f t="shared" si="9"/>
        <v>M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553</v>
      </c>
      <c r="BU25" s="104">
        <v>2</v>
      </c>
      <c r="BV25" s="105" t="str">
        <f t="shared" si="17"/>
        <v>Martin Pánek</v>
      </c>
      <c r="BW25" s="103">
        <f t="shared" si="18"/>
        <v>2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528</v>
      </c>
      <c r="AH26" s="123"/>
      <c r="AI26" s="124"/>
      <c r="AJ26" s="124"/>
      <c r="AK26" s="124"/>
      <c r="AL26" s="125">
        <f t="shared" si="1"/>
        <v>0</v>
      </c>
      <c r="AM26" s="124" t="s">
        <v>337</v>
      </c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>?</v>
      </c>
      <c r="AV26" s="128" t="str">
        <f t="shared" si="20"/>
        <v>? / ?</v>
      </c>
      <c r="AW26" s="129" t="str">
        <f t="shared" ca="1" si="6"/>
        <v>Švarc</v>
      </c>
      <c r="AX26" s="130" t="str">
        <f t="shared" ca="1" si="21"/>
        <v>0 OZ, 0 (0+0)</v>
      </c>
      <c r="AY26" s="130" t="str">
        <f t="shared" ca="1" si="22"/>
        <v xml:space="preserve"> OZ, 0 (+)</v>
      </c>
      <c r="AZ26" s="131"/>
      <c r="BA26" s="131"/>
      <c r="BB26" s="131"/>
      <c r="BC26" s="131"/>
      <c r="BD26" s="3" t="str">
        <f t="shared" si="7"/>
        <v>Švarc</v>
      </c>
      <c r="BE26" s="85">
        <f t="shared" ca="1" si="8"/>
        <v>1</v>
      </c>
      <c r="BF26" s="62" t="str">
        <f t="shared" si="9"/>
        <v>M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1064</v>
      </c>
      <c r="BU26" s="104">
        <v>1</v>
      </c>
      <c r="BV26" s="105" t="str">
        <f t="shared" si="17"/>
        <v>Bohumil Piskáček</v>
      </c>
      <c r="BW26" s="103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515</v>
      </c>
      <c r="AH27" s="123">
        <v>36775</v>
      </c>
      <c r="AI27" s="124">
        <v>54</v>
      </c>
      <c r="AJ27" s="124">
        <v>6</v>
      </c>
      <c r="AK27" s="124">
        <v>4</v>
      </c>
      <c r="AL27" s="125">
        <f t="shared" si="1"/>
        <v>10</v>
      </c>
      <c r="AM27" s="124">
        <v>4</v>
      </c>
      <c r="AN27" s="124">
        <v>87</v>
      </c>
      <c r="AO27" s="126"/>
      <c r="AP27" s="126" t="s">
        <v>163</v>
      </c>
      <c r="AQ27" s="124">
        <v>185</v>
      </c>
      <c r="AR27" s="124">
        <v>90</v>
      </c>
      <c r="AS27" s="127" t="s">
        <v>537</v>
      </c>
      <c r="AT27" s="124">
        <v>1998</v>
      </c>
      <c r="AU27" s="128">
        <f t="shared" ca="1" si="19"/>
        <v>21</v>
      </c>
      <c r="AV27" s="128" t="str">
        <f t="shared" si="20"/>
        <v>185/90</v>
      </c>
      <c r="AW27" s="129" t="str">
        <f t="shared" ca="1" si="6"/>
        <v>Švéda</v>
      </c>
      <c r="AX27" s="130" t="str">
        <f t="shared" ca="1" si="21"/>
        <v>2 OZ, 0 (0+0), +1 ±</v>
      </c>
      <c r="AY27" s="130" t="str">
        <f t="shared" ca="1" si="22"/>
        <v>56 OZ, 10 (6+4)</v>
      </c>
      <c r="AZ27" s="131"/>
      <c r="BA27" s="131"/>
      <c r="BB27" s="131"/>
      <c r="BC27" s="131"/>
      <c r="BD27" s="90" t="str">
        <f t="shared" si="7"/>
        <v>Švéda</v>
      </c>
      <c r="BE27" s="92">
        <f t="shared" ca="1" si="8"/>
        <v>1</v>
      </c>
      <c r="BF27" s="91" t="str">
        <f t="shared" si="9"/>
        <v>D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555</v>
      </c>
      <c r="BU27" s="104">
        <v>2</v>
      </c>
      <c r="BV27" s="105" t="str">
        <f t="shared" si="17"/>
        <v>Milan Meliš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518</v>
      </c>
      <c r="AH28" s="123">
        <v>35842</v>
      </c>
      <c r="AI28" s="124">
        <v>119</v>
      </c>
      <c r="AJ28" s="124">
        <v>25</v>
      </c>
      <c r="AK28" s="124">
        <v>32</v>
      </c>
      <c r="AL28" s="125">
        <f t="shared" si="1"/>
        <v>57</v>
      </c>
      <c r="AM28" s="124">
        <v>7</v>
      </c>
      <c r="AN28" s="124">
        <v>5</v>
      </c>
      <c r="AO28" s="126"/>
      <c r="AP28" s="126" t="s">
        <v>163</v>
      </c>
      <c r="AQ28" s="124">
        <v>180</v>
      </c>
      <c r="AR28" s="124">
        <v>70</v>
      </c>
      <c r="AS28" s="127" t="s">
        <v>538</v>
      </c>
      <c r="AT28" s="124">
        <v>2005</v>
      </c>
      <c r="AU28" s="128">
        <f t="shared" ca="1" si="19"/>
        <v>23</v>
      </c>
      <c r="AV28" s="128" t="str">
        <f t="shared" si="20"/>
        <v>180/70</v>
      </c>
      <c r="AW28" s="129" t="str">
        <f t="shared" ca="1" si="6"/>
        <v>Tlapák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0 (0+0), +1 ±</v>
      </c>
      <c r="AY28" s="130" t="str">
        <f t="shared" ca="1" si="22"/>
        <v>121 OZ, 57 (25+32)</v>
      </c>
      <c r="AZ28" s="131"/>
      <c r="BA28" s="131"/>
      <c r="BB28" s="131"/>
      <c r="BC28" s="131"/>
      <c r="BD28" s="3" t="str">
        <f t="shared" si="7"/>
        <v>Tlapák</v>
      </c>
      <c r="BE28" s="85">
        <f t="shared" ca="1" si="8"/>
        <v>1</v>
      </c>
      <c r="BF28" s="62" t="str">
        <f t="shared" si="9"/>
        <v>A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556</v>
      </c>
      <c r="BU28" s="104">
        <v>2</v>
      </c>
      <c r="BV28" s="105" t="str">
        <f t="shared" si="17"/>
        <v>Petr Brautferger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 t="s">
        <v>529</v>
      </c>
      <c r="AH29" s="123">
        <v>33287</v>
      </c>
      <c r="AI29" s="124"/>
      <c r="AJ29" s="124"/>
      <c r="AK29" s="124"/>
      <c r="AL29" s="125">
        <f t="shared" si="1"/>
        <v>0</v>
      </c>
      <c r="AM29" s="124" t="s">
        <v>337</v>
      </c>
      <c r="AN29" s="124">
        <v>50</v>
      </c>
      <c r="AO29" s="126"/>
      <c r="AP29" s="126" t="s">
        <v>163</v>
      </c>
      <c r="AQ29" s="124">
        <v>191</v>
      </c>
      <c r="AR29" s="124">
        <v>83</v>
      </c>
      <c r="AS29" s="127"/>
      <c r="AT29" s="124"/>
      <c r="AU29" s="128">
        <f t="shared" ca="1" si="19"/>
        <v>30</v>
      </c>
      <c r="AV29" s="128" t="str">
        <f t="shared" si="20"/>
        <v>191/83</v>
      </c>
      <c r="AW29" s="129" t="str">
        <f t="shared" ca="1" si="6"/>
        <v>Ullmann</v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22"/>
        <v xml:space="preserve"> OZ, 0 (+)</v>
      </c>
      <c r="AZ29" s="131"/>
      <c r="BA29" s="131"/>
      <c r="BB29" s="131"/>
      <c r="BC29" s="131"/>
      <c r="BD29" s="90" t="str">
        <f t="shared" si="7"/>
        <v>Ullmann</v>
      </c>
      <c r="BE29" s="92">
        <f t="shared" ca="1" si="8"/>
        <v>1</v>
      </c>
      <c r="BF29" s="91" t="str">
        <f t="shared" si="9"/>
        <v>F</v>
      </c>
      <c r="BG29" s="90" t="str">
        <f t="shared" ca="1" si="10"/>
        <v/>
      </c>
      <c r="BH29" s="91">
        <f t="shared" ca="1" si="11"/>
        <v>0</v>
      </c>
      <c r="BI29" s="90" t="str">
        <f t="shared" ca="1" si="12"/>
        <v/>
      </c>
      <c r="BJ29" s="91">
        <f t="shared" ca="1" si="11"/>
        <v>0</v>
      </c>
      <c r="BK29" s="90" t="str">
        <f t="shared" ca="1" si="13"/>
        <v/>
      </c>
      <c r="BL29" s="91">
        <f t="shared" ca="1" si="14"/>
        <v>0</v>
      </c>
      <c r="BM29" s="90" t="str">
        <f t="shared" ca="1" si="15"/>
        <v/>
      </c>
      <c r="BS29" s="361"/>
      <c r="BT29" s="105" t="s">
        <v>557</v>
      </c>
      <c r="BU29" s="104">
        <v>0</v>
      </c>
      <c r="BV29" s="105" t="str">
        <f t="shared" si="17"/>
        <v>Adam Tlapák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TAT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 t="s">
        <v>530</v>
      </c>
      <c r="AH30" s="123"/>
      <c r="AI30" s="124"/>
      <c r="AJ30" s="124"/>
      <c r="AK30" s="124"/>
      <c r="AL30" s="125">
        <f t="shared" si="1"/>
        <v>0</v>
      </c>
      <c r="AM30" s="124" t="s">
        <v>337</v>
      </c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>?</v>
      </c>
      <c r="AV30" s="128" t="str">
        <f t="shared" si="20"/>
        <v>? / ?</v>
      </c>
      <c r="AW30" s="129" t="str">
        <f t="shared" ca="1" si="6"/>
        <v>Vavroušek</v>
      </c>
      <c r="AX30" s="130" t="str">
        <f t="shared" ca="1" si="23"/>
        <v>0 OZ, 0 (0+0)</v>
      </c>
      <c r="AY30" s="130" t="str">
        <f t="shared" ca="1" si="22"/>
        <v xml:space="preserve"> OZ, 0 (+)</v>
      </c>
      <c r="AZ30" s="131"/>
      <c r="BA30" s="131"/>
      <c r="BB30" s="131"/>
      <c r="BC30" s="131"/>
      <c r="BD30" s="3" t="str">
        <f t="shared" si="7"/>
        <v>Vavroušek</v>
      </c>
      <c r="BE30" s="85">
        <f t="shared" ca="1" si="8"/>
        <v>1</v>
      </c>
      <c r="BF30" s="62" t="str">
        <f t="shared" si="9"/>
        <v>M</v>
      </c>
      <c r="BG30" s="3" t="str">
        <f t="shared" ca="1" si="10"/>
        <v/>
      </c>
      <c r="BH30" s="62">
        <f t="shared" ca="1" si="11"/>
        <v>0</v>
      </c>
      <c r="BI30" s="3" t="str">
        <f t="shared" ca="1" si="12"/>
        <v/>
      </c>
      <c r="BJ30" s="62">
        <f t="shared" ca="1" si="11"/>
        <v>0</v>
      </c>
      <c r="BK30" s="3" t="str">
        <f t="shared" ca="1" si="13"/>
        <v/>
      </c>
      <c r="BL30" s="62">
        <f t="shared" ca="1" si="14"/>
        <v>0</v>
      </c>
      <c r="BM30" s="3" t="str">
        <f t="shared" ca="1" si="15"/>
        <v/>
      </c>
      <c r="BS30" s="361"/>
      <c r="BT30" s="105" t="s">
        <v>558</v>
      </c>
      <c r="BU30" s="104">
        <v>0</v>
      </c>
      <c r="BV30" s="105" t="str">
        <f t="shared" si="17"/>
        <v>Bohumil Piskáček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386</v>
      </c>
      <c r="AH31" s="123">
        <v>35130</v>
      </c>
      <c r="AI31" s="124">
        <v>131</v>
      </c>
      <c r="AJ31" s="124">
        <v>19</v>
      </c>
      <c r="AK31" s="124">
        <v>50</v>
      </c>
      <c r="AL31" s="125">
        <f t="shared" si="1"/>
        <v>69</v>
      </c>
      <c r="AM31" s="124">
        <v>8</v>
      </c>
      <c r="AN31" s="124">
        <v>77</v>
      </c>
      <c r="AO31" s="126"/>
      <c r="AP31" s="126" t="s">
        <v>163</v>
      </c>
      <c r="AQ31" s="124">
        <v>183</v>
      </c>
      <c r="AR31" s="124">
        <v>81</v>
      </c>
      <c r="AS31" s="127" t="s">
        <v>539</v>
      </c>
      <c r="AT31" s="124">
        <v>2004</v>
      </c>
      <c r="AU31" s="128">
        <f t="shared" ca="1" si="19"/>
        <v>25</v>
      </c>
      <c r="AV31" s="128" t="str">
        <f t="shared" si="20"/>
        <v>183/81</v>
      </c>
      <c r="AW31" s="129" t="str">
        <f t="shared" ca="1" si="6"/>
        <v>Vítovec</v>
      </c>
      <c r="AX31" s="130" t="str">
        <f t="shared" ca="1" si="23"/>
        <v>0 OZ, 0 (0+0)</v>
      </c>
      <c r="AY31" s="130" t="str">
        <f t="shared" ca="1" si="22"/>
        <v>131 OZ, 69 (19+50)</v>
      </c>
      <c r="AZ31" s="131"/>
      <c r="BA31" s="131"/>
      <c r="BB31" s="131"/>
      <c r="BC31" s="131"/>
      <c r="BD31" s="90" t="str">
        <f t="shared" si="7"/>
        <v>Vítovec</v>
      </c>
      <c r="BE31" s="92">
        <f t="shared" ca="1" si="8"/>
        <v>1</v>
      </c>
      <c r="BF31" s="91" t="str">
        <f t="shared" si="9"/>
        <v>O</v>
      </c>
      <c r="BG31" s="90" t="str">
        <f t="shared" ca="1" si="10"/>
        <v/>
      </c>
      <c r="BH31" s="91">
        <f t="shared" ca="1" si="11"/>
        <v>0</v>
      </c>
      <c r="BI31" s="90" t="str">
        <f t="shared" ca="1" si="12"/>
        <v/>
      </c>
      <c r="BJ31" s="91">
        <f t="shared" ca="1" si="11"/>
        <v>0</v>
      </c>
      <c r="BK31" s="90" t="str">
        <f t="shared" ca="1" si="13"/>
        <v/>
      </c>
      <c r="BL31" s="91">
        <f t="shared" ca="1" si="14"/>
        <v>0</v>
      </c>
      <c r="BM31" s="90" t="str">
        <f t="shared" ca="1" si="15"/>
        <v/>
      </c>
      <c r="BS31" s="361"/>
      <c r="BT31" s="105" t="s">
        <v>559</v>
      </c>
      <c r="BU31" s="104">
        <v>0</v>
      </c>
      <c r="BV31" s="105" t="str">
        <f t="shared" si="17"/>
        <v>Dalibor Švéda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6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6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6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6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6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507</v>
      </c>
      <c r="T45" s="103">
        <v>2</v>
      </c>
      <c r="U45" s="113">
        <v>120</v>
      </c>
      <c r="V45" s="103">
        <v>2</v>
      </c>
      <c r="W45" s="103">
        <v>6</v>
      </c>
      <c r="X45" s="103">
        <v>0</v>
      </c>
      <c r="Y45" s="103">
        <v>33</v>
      </c>
      <c r="Z45" s="103">
        <v>0</v>
      </c>
      <c r="AA45" s="103">
        <v>0</v>
      </c>
      <c r="AB45" s="103">
        <v>27</v>
      </c>
      <c r="AC45" s="103">
        <v>0</v>
      </c>
      <c r="AD45" s="103">
        <v>0</v>
      </c>
      <c r="AE45" s="113">
        <f>IF(S45&lt;&gt;"",IF(T45&gt;0,W45/(U45/60),0),"")</f>
        <v>3</v>
      </c>
      <c r="AF45" s="113">
        <f>IF(S45&lt;&gt;"",IF(Y45&gt;0,(AB45/Y45)*100,"-"),"")</f>
        <v>81.818181818181827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511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3" zoomScaleNormal="100" zoomScaleSheetLayoutView="100" workbookViewId="0">
      <selection activeCell="J43" sqref="J43:R44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2"/>
      <c r="B1" s="323"/>
      <c r="C1" s="323"/>
      <c r="D1" s="32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4" t="s">
        <v>1</v>
      </c>
      <c r="I1" s="324"/>
      <c r="J1" s="324"/>
      <c r="K1" s="324"/>
      <c r="M1" s="322"/>
      <c r="N1" s="323"/>
      <c r="O1" s="323"/>
      <c r="P1" s="32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5" t="str">
        <f ca="1">IFERROR(IF(VLOOKUP(A1,OFFSET($AG$2,,,COUNTIF($AG$2:$AG$50,"?*"),23),2,FALSE)&lt;&gt;0,YEAR(VLOOKUP(A1,OFFSET($AG$2,,,COUNTIF($AG$2:$AG$50,"?*"),23),2,FALSE)),""),"")</f>
        <v/>
      </c>
      <c r="C2" s="326"/>
      <c r="D2" s="118" t="str">
        <f ca="1">IFERROR(VLOOKUP(A1,OFFSET($AG$2,,,COUNTIF($AG$2:$AG$50,"?*"),23),15,FALSE),"")</f>
        <v/>
      </c>
      <c r="E2" s="316" t="str">
        <f ca="1">IFERROR(VLOOKUP(A1,OFFSET($AG$2,,,COUNTIF($AG$2:$AG$50,"?*"),23),16,FALSE),"")</f>
        <v/>
      </c>
      <c r="F2" s="317"/>
      <c r="M2" s="4" t="str">
        <f ca="1">IFERROR(IF(VLOOKUP(M1,OFFSET($AG$2,,,COUNTIF($AG$2:$AG$50,"?*"),23),10,FALSE)&lt;&gt;0,VLOOKUP(M1,OFFSET($AG$2,,,COUNTIF($AG$2:$AG$50,"?*"),23),10,FALSE),""),"")</f>
        <v/>
      </c>
      <c r="N2" s="325" t="str">
        <f ca="1">IFERROR(IF(VLOOKUP(M1,OFFSET($AG$2,,,COUNTIF($AG$2:$AG$50,"?*"),23),2,FALSE)&lt;&gt;0,YEAR(VLOOKUP(M1,OFFSET($AG$2,,,COUNTIF($AG$2:$AG$50,"?*"),23),2,FALSE)),""),"")</f>
        <v/>
      </c>
      <c r="O2" s="326"/>
      <c r="P2" s="118" t="str">
        <f ca="1">IFERROR(VLOOKUP(M1,OFFSET($AG$2,,,COUNTIF($AG$2:$AG$50,"?*"),23),15,FALSE),"")</f>
        <v/>
      </c>
      <c r="Q2" s="316" t="str">
        <f ca="1">IFERROR(VLOOKUP(M1,OFFSET($AG$2,,,COUNTIF($AG$2:$AG$50,"?*"),23),16,FALSE),"")</f>
        <v/>
      </c>
      <c r="R2" s="317"/>
      <c r="S2" s="111" t="s">
        <v>375</v>
      </c>
      <c r="T2" s="103" t="s">
        <v>133</v>
      </c>
      <c r="U2" s="103">
        <v>2</v>
      </c>
      <c r="V2" s="103">
        <v>3</v>
      </c>
      <c r="W2" s="103">
        <v>0</v>
      </c>
      <c r="X2" s="103">
        <v>0</v>
      </c>
      <c r="Y2" s="103">
        <v>3</v>
      </c>
      <c r="Z2" s="103">
        <v>6</v>
      </c>
      <c r="AA2" s="103">
        <v>0</v>
      </c>
      <c r="AB2" s="103">
        <v>2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392</v>
      </c>
      <c r="AH2" s="123">
        <v>36269</v>
      </c>
      <c r="AI2" s="124">
        <v>127</v>
      </c>
      <c r="AJ2" s="124">
        <v>38</v>
      </c>
      <c r="AK2" s="124">
        <v>53</v>
      </c>
      <c r="AL2" s="125">
        <f t="shared" ref="AL2:AL50" si="1">IF(AG2&lt;&gt;"",AJ2+AK2,"")</f>
        <v>91</v>
      </c>
      <c r="AM2" s="124">
        <v>6</v>
      </c>
      <c r="AN2" s="124">
        <v>88</v>
      </c>
      <c r="AO2" s="126"/>
      <c r="AP2" s="126" t="s">
        <v>163</v>
      </c>
      <c r="AQ2" s="124">
        <v>179</v>
      </c>
      <c r="AR2" s="124">
        <v>76</v>
      </c>
      <c r="AS2" s="127" t="s">
        <v>405</v>
      </c>
      <c r="AT2" s="124">
        <v>2003</v>
      </c>
      <c r="AU2" s="128">
        <f t="shared" ref="AU2:AU23" ca="1" si="2">IF(AG2&lt;&gt;"",IF(AH2&lt;&gt;"",INT((TODAY()-AH2)/365),"?"),"")</f>
        <v>22</v>
      </c>
      <c r="AV2" s="128" t="str">
        <f t="shared" ref="AV2:AV23" si="3">IF(AG2&lt;&gt;"",CONCATENATE(IF(AQ2&lt;&gt;"",AQ2,"? "),"/",IF(AR2&lt;&gt;"",AR2," ?")),"")</f>
        <v>179/76</v>
      </c>
      <c r="AW2" s="129" t="str">
        <f ca="1">IF(AG2&lt;&gt;"",IF(BE2=1,BD2,IF(BH2=1,BG2,IF(BJ2=1,BI2,IF(BL2=1,BK2,BM2)))),"")</f>
        <v>Besta</v>
      </c>
      <c r="AX2" s="130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+2 ±</v>
      </c>
      <c r="AY2" s="130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129 OZ, 91 (38+53)</v>
      </c>
      <c r="AZ2" s="131"/>
      <c r="BA2" s="131"/>
      <c r="BB2" s="131"/>
      <c r="BC2" s="131"/>
      <c r="BD2" s="3" t="str">
        <f>IF(AG2&lt;&gt;"",RIGHT(AG2,LEN(AG2)-SEARCH(" ",AG2)),"")</f>
        <v>Besta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421</v>
      </c>
      <c r="BO2" s="123">
        <v>31830</v>
      </c>
      <c r="BP2" s="132" t="s">
        <v>278</v>
      </c>
      <c r="BQ2" s="133" t="s">
        <v>422</v>
      </c>
      <c r="BR2" s="128">
        <f ca="1">IF(BN2&lt;&gt;"",IF(BO2&lt;&gt;"",INT((TODAY()-BO2)/365),"?"),"")</f>
        <v>34</v>
      </c>
      <c r="BS2" s="361" t="s">
        <v>36</v>
      </c>
      <c r="BT2" s="105" t="s">
        <v>428</v>
      </c>
      <c r="BU2" s="104">
        <v>6</v>
      </c>
      <c r="BV2" s="105" t="str">
        <f>IFERROR(RIGHT(BT2,LEN(BT2)-SEARCH(" ",BT2)),"")</f>
        <v>Adam Delong</v>
      </c>
      <c r="BW2" s="103">
        <f>IF(BT2&lt;&gt;0,_xlfn.NUMBERVALUE(BU2,","),"")</f>
        <v>6</v>
      </c>
      <c r="BX2" s="360" t="s">
        <v>233</v>
      </c>
      <c r="BY2" s="104" t="s">
        <v>225</v>
      </c>
      <c r="BZ2" s="104" t="s">
        <v>102</v>
      </c>
      <c r="CA2" s="116" t="s">
        <v>1066</v>
      </c>
    </row>
    <row r="3" spans="1:79" ht="15" customHeight="1" thickTop="1" thickBot="1" x14ac:dyDescent="0.25">
      <c r="A3" s="318" t="str">
        <f ca="1">IFERROR(VLOOKUP(A1,OFFSET($AG$2,,,COUNTIF($AG$2:$AG$50,"?*"),23),18,FALSE),"")</f>
        <v/>
      </c>
      <c r="B3" s="319"/>
      <c r="C3" s="319"/>
      <c r="D3" s="320" t="str">
        <f ca="1">IFERROR(VLOOKUP(A1,OFFSET($AG$2,,,COUNTIF($AG$2:$AG$50,"?*"),23),19,FALSE),"")</f>
        <v/>
      </c>
      <c r="E3" s="320"/>
      <c r="F3" s="321"/>
      <c r="G3" s="322"/>
      <c r="H3" s="323"/>
      <c r="I3" s="323"/>
      <c r="J3" s="32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8" t="str">
        <f ca="1">IFERROR(VLOOKUP(M1,OFFSET($AG$2,,,COUNTIF($AG$2:$AG$50,"?*"),23),18,FALSE),"")</f>
        <v/>
      </c>
      <c r="N3" s="319"/>
      <c r="O3" s="319"/>
      <c r="P3" s="320" t="str">
        <f ca="1">IFERROR(VLOOKUP(M1,OFFSET($AG$2,,,COUNTIF($AG$2:$AG$50,"?*"),23),19,FALSE),"")</f>
        <v/>
      </c>
      <c r="Q3" s="320"/>
      <c r="R3" s="321"/>
      <c r="S3" s="111" t="s">
        <v>376</v>
      </c>
      <c r="T3" s="103" t="s">
        <v>133</v>
      </c>
      <c r="U3" s="103">
        <v>2</v>
      </c>
      <c r="V3" s="103">
        <v>3</v>
      </c>
      <c r="W3" s="103">
        <v>0</v>
      </c>
      <c r="X3" s="103">
        <v>0</v>
      </c>
      <c r="Y3" s="103">
        <v>2</v>
      </c>
      <c r="Z3" s="103">
        <v>5</v>
      </c>
      <c r="AA3" s="103">
        <v>0</v>
      </c>
      <c r="AB3" s="103">
        <v>2</v>
      </c>
      <c r="AC3" s="103" t="str">
        <f t="shared" ca="1" si="0"/>
        <v>ANO</v>
      </c>
      <c r="AG3" s="122" t="s">
        <v>382</v>
      </c>
      <c r="AH3" s="123">
        <v>35036</v>
      </c>
      <c r="AI3" s="124">
        <v>170</v>
      </c>
      <c r="AJ3" s="124">
        <v>122</v>
      </c>
      <c r="AK3" s="124">
        <v>33</v>
      </c>
      <c r="AL3" s="125">
        <f t="shared" si="1"/>
        <v>155</v>
      </c>
      <c r="AM3" s="124">
        <v>9</v>
      </c>
      <c r="AN3" s="124">
        <v>53</v>
      </c>
      <c r="AO3" s="126"/>
      <c r="AP3" s="126" t="s">
        <v>163</v>
      </c>
      <c r="AQ3" s="124">
        <v>183</v>
      </c>
      <c r="AR3" s="124">
        <v>72</v>
      </c>
      <c r="AS3" s="127" t="s">
        <v>406</v>
      </c>
      <c r="AT3" s="124">
        <v>2001</v>
      </c>
      <c r="AU3" s="128">
        <f t="shared" ca="1" si="2"/>
        <v>25</v>
      </c>
      <c r="AV3" s="128" t="str">
        <f t="shared" si="3"/>
        <v>183/72</v>
      </c>
      <c r="AW3" s="129" t="str">
        <f t="shared" ref="AW3:AW50" ca="1" si="6">IF(AG3&lt;&gt;"",IF(BE3=1,BD3,IF(BH3=1,BG3,IF(BJ3=1,BI3,IF(BL3=1,BK3,BM3)))),"")</f>
        <v>Bräuer</v>
      </c>
      <c r="AX3" s="130" t="str">
        <f t="shared" ca="1" si="4"/>
        <v>2 OZ, 3 (2+1), +4 ±</v>
      </c>
      <c r="AY3" s="130" t="str">
        <f t="shared" ca="1" si="5"/>
        <v>172 OZ, 158 (124+34)</v>
      </c>
      <c r="AZ3" s="131"/>
      <c r="BA3" s="131"/>
      <c r="BB3" s="131"/>
      <c r="BC3" s="131"/>
      <c r="BD3" s="90" t="str">
        <f t="shared" ref="BD3:BD50" si="7">IF(AG3&lt;&gt;"",RIGHT(AG3,LEN(AG3)-SEARCH(" ",AG3)),"")</f>
        <v>Bräuer</v>
      </c>
      <c r="BE3" s="92">
        <f t="shared" ref="BE3:BE50" ca="1" si="8">IF(AG3&lt;&gt;"",COUNTIF(OFFSET($BD$2,,,COUNTIF($AG$2:$AG$50,"?*")),BD3),"")</f>
        <v>1</v>
      </c>
      <c r="BF3" s="91" t="str">
        <f t="shared" ref="BF3:BF50" si="9">IF(AG3&lt;&gt;"",LEFT(AG3,1),"")</f>
        <v>M</v>
      </c>
      <c r="BG3" s="90" t="str">
        <f t="shared" ref="BG3:BG50" ca="1" si="10">IF(AND($AG3&lt;&gt;"",BE3&gt;1),CONCATENATE($BD3," ",LEFT($AG3,MIN(1,SEARCH(" ",$AG3)-1)),IF(SEARCH(" ",$AG3)-1&gt;1,".",""),""),"")</f>
        <v/>
      </c>
      <c r="BH3" s="91">
        <f t="shared" ref="BH3:BJ50" ca="1" si="11">IF(BG3&lt;&gt;"",COUNTIF(OFFSET(BG$2,,,COUNTIF($AG$2:$AG$50,"?*")),BG3),IF($AG3&lt;&gt;"",0,""))</f>
        <v>0</v>
      </c>
      <c r="BI3" s="90" t="str">
        <f t="shared" ref="BI3:BI50" ca="1" si="12">IF(AND($AG3&lt;&gt;"",BH3&gt;1),CONCATENATE($BD3," ",LEFT($AG3,MIN(2,SEARCH(" ",$AG3)-1)),IF(SEARCH(" ",$AG3)-1&gt;2,".",""),""),"")</f>
        <v/>
      </c>
      <c r="BJ3" s="91">
        <f t="shared" ca="1" si="11"/>
        <v>0</v>
      </c>
      <c r="BK3" s="90" t="str">
        <f t="shared" ref="BK3:BK50" ca="1" si="13">IF(AND($AG3&lt;&gt;"",BJ3&gt;1),CONCATENATE($BD3," ",LEFT($AG3,MIN(3,SEARCH(" ",$AG3)-1)),IF(SEARCH(" ",$AG3)-1&gt;3,".",""),""),"")</f>
        <v/>
      </c>
      <c r="BL3" s="91">
        <f t="shared" ref="BL3:BL50" ca="1" si="14">IF(BK3&lt;&gt;"",COUNTIF(OFFSET(BK$2,,,COUNTIF($AG$2:$AG$50,"?*")),BK3),IF($AG3&lt;&gt;"",0,""))</f>
        <v>0</v>
      </c>
      <c r="BM3" s="90" t="str">
        <f t="shared" ref="BM3:BM50" ca="1" si="15">IF(AND($AG3&lt;&gt;"",BL3&gt;1),CONCATENATE($BD3," ",LEFT($AG3,MIN(4,SEARCH(" ",$AG3)-1)),IF(SEARCH(" ",$AG3)-1&gt;4,".",""),""),"")</f>
        <v/>
      </c>
      <c r="BN3" s="127" t="s">
        <v>423</v>
      </c>
      <c r="BO3" s="123">
        <v>33988</v>
      </c>
      <c r="BP3" s="132" t="s">
        <v>279</v>
      </c>
      <c r="BQ3" s="133"/>
      <c r="BR3" s="128">
        <f t="shared" ref="BR3:BR11" ca="1" si="16">IF(BN3&lt;&gt;"",IF(BO3&lt;&gt;"",INT((TODAY()-BO3)/365),"?"),"")</f>
        <v>28</v>
      </c>
      <c r="BS3" s="361"/>
      <c r="BT3" s="105" t="s">
        <v>429</v>
      </c>
      <c r="BU3" s="104">
        <v>5</v>
      </c>
      <c r="BV3" s="105" t="str">
        <f t="shared" ref="BV3:BV31" si="17">IFERROR(RIGHT(BT3,LEN(BT3)-SEARCH(" ",BT3)),"")</f>
        <v>Rostislav Gattnar</v>
      </c>
      <c r="BW3" s="103">
        <f t="shared" ref="BW3:BW31" si="18">IF(BT3&lt;&gt;0,_xlfn.NUMBERVALUE(BU3,","),"")</f>
        <v>5</v>
      </c>
      <c r="BX3" s="360"/>
      <c r="BY3" s="104" t="s">
        <v>224</v>
      </c>
      <c r="BZ3" s="104" t="s">
        <v>108</v>
      </c>
      <c r="CA3" s="116" t="s">
        <v>126</v>
      </c>
    </row>
    <row r="4" spans="1:79" ht="15" customHeight="1" thickBot="1" x14ac:dyDescent="0.25">
      <c r="A4" s="327" t="str">
        <f ca="1">IFERROR(IF(VLOOKUP(A1,OFFSET($AG$2,,,COUNTIF($AG$2:$AG$50,"?*"),23),13,FALSE)&lt;&gt;0,VLOOKUP(A1,OFFSET($AG$2,,,COUNTIF($AG$2:$AG$50,"?*"),23),13,FALSE),"?"),"")</f>
        <v/>
      </c>
      <c r="B4" s="328"/>
      <c r="C4" s="329"/>
      <c r="D4" s="330" t="str">
        <f ca="1">IFERROR(IF(VLOOKUP(A1,OFFSET($AG$2,,,COUNTIF($AG$2:$AG$50,"?*"),23),14,FALSE)&lt;&gt;0,VLOOKUP(A1,OFFSET($AG$2,,,COUNTIF($AG$2:$AG$50,"?*"),23),14,FALSE),"?"),"")</f>
        <v/>
      </c>
      <c r="E4" s="33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5" t="str">
        <f ca="1">IFERROR(IF(VLOOKUP(G3,OFFSET($AG$2,,,COUNTIF($AG$2:$AG$50,"?*"),23),2,FALSE)&lt;&gt;0,YEAR(VLOOKUP(G3,OFFSET($AG$2,,,COUNTIF($AG$2:$AG$50,"?*"),23),2,FALSE)),""),"")</f>
        <v/>
      </c>
      <c r="I4" s="326"/>
      <c r="J4" s="118" t="str">
        <f ca="1">IFERROR(VLOOKUP(G3,OFFSET($AG$2,,,COUNTIF($AG$2:$AG$50,"?*"),23),15,FALSE),"")</f>
        <v/>
      </c>
      <c r="K4" s="316" t="str">
        <f ca="1">IFERROR(VLOOKUP(G3,OFFSET($AG$2,,,COUNTIF($AG$2:$AG$50,"?*"),23),16,FALSE),"")</f>
        <v/>
      </c>
      <c r="L4" s="317"/>
      <c r="M4" s="327" t="str">
        <f ca="1">IFERROR(IF(VLOOKUP(M1,OFFSET($AG$2,,,COUNTIF($AG$2:$AG$50,"?*"),23),13,FALSE)&lt;&gt;0,VLOOKUP(M1,OFFSET($AG$2,,,COUNTIF($AG$2:$AG$50,"?*"),23),13,FALSE),"?"),"")</f>
        <v/>
      </c>
      <c r="N4" s="328"/>
      <c r="O4" s="329"/>
      <c r="P4" s="330" t="str">
        <f ca="1">IFERROR(IF(VLOOKUP(M1,OFFSET($AG$2,,,COUNTIF($AG$2:$AG$50,"?*"),23),14,FALSE)&lt;&gt;0,VLOOKUP(M1,OFFSET($AG$2,,,COUNTIF($AG$2:$AG$50,"?*"),23),14,FALSE),"?"),"")</f>
        <v/>
      </c>
      <c r="Q4" s="331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378</v>
      </c>
      <c r="T4" s="103" t="s">
        <v>133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2</v>
      </c>
      <c r="AC4" s="103" t="str">
        <f t="shared" ca="1" si="0"/>
        <v>ANO</v>
      </c>
      <c r="AG4" s="122" t="s">
        <v>377</v>
      </c>
      <c r="AH4" s="123">
        <v>35650</v>
      </c>
      <c r="AI4" s="124">
        <v>64</v>
      </c>
      <c r="AJ4" s="124">
        <v>18</v>
      </c>
      <c r="AK4" s="124">
        <v>22</v>
      </c>
      <c r="AL4" s="125">
        <f t="shared" si="1"/>
        <v>40</v>
      </c>
      <c r="AM4" s="124">
        <v>5</v>
      </c>
      <c r="AN4" s="124">
        <v>8</v>
      </c>
      <c r="AO4" s="126"/>
      <c r="AP4" s="126" t="s">
        <v>163</v>
      </c>
      <c r="AQ4" s="124">
        <v>179</v>
      </c>
      <c r="AR4" s="124">
        <v>76</v>
      </c>
      <c r="AS4" s="127"/>
      <c r="AT4" s="124"/>
      <c r="AU4" s="128">
        <f t="shared" ca="1" si="2"/>
        <v>24</v>
      </c>
      <c r="AV4" s="128" t="str">
        <f t="shared" si="3"/>
        <v>179/76</v>
      </c>
      <c r="AW4" s="129" t="str">
        <f t="shared" ca="1" si="6"/>
        <v>Čonka-Skyba</v>
      </c>
      <c r="AX4" s="130" t="str">
        <f t="shared" ca="1" si="4"/>
        <v>2 OZ, 2 (2+0), +4 ±</v>
      </c>
      <c r="AY4" s="130" t="str">
        <f t="shared" ca="1" si="5"/>
        <v>66 OZ, 42 (20+22)</v>
      </c>
      <c r="AZ4" s="131"/>
      <c r="BA4" s="131"/>
      <c r="BB4" s="131"/>
      <c r="BC4" s="131"/>
      <c r="BD4" s="3" t="str">
        <f t="shared" si="7"/>
        <v>Čonka-Skyba</v>
      </c>
      <c r="BE4" s="85">
        <f t="shared" ca="1" si="8"/>
        <v>1</v>
      </c>
      <c r="BF4" s="62" t="str">
        <f t="shared" si="9"/>
        <v>F</v>
      </c>
      <c r="BG4" s="3" t="str">
        <f t="shared" ca="1" si="10"/>
        <v/>
      </c>
      <c r="BH4" s="62">
        <f t="shared" ca="1" si="11"/>
        <v>0</v>
      </c>
      <c r="BI4" s="3" t="str">
        <f t="shared" ca="1" si="12"/>
        <v/>
      </c>
      <c r="BJ4" s="62">
        <f t="shared" ca="1" si="11"/>
        <v>0</v>
      </c>
      <c r="BK4" s="3" t="str">
        <f t="shared" ca="1" si="13"/>
        <v/>
      </c>
      <c r="BL4" s="62">
        <f t="shared" ca="1" si="14"/>
        <v>0</v>
      </c>
      <c r="BM4" s="3" t="str">
        <f t="shared" ca="1" si="15"/>
        <v/>
      </c>
      <c r="BN4" s="127" t="s">
        <v>424</v>
      </c>
      <c r="BO4" s="123">
        <v>35289</v>
      </c>
      <c r="BP4" s="132" t="s">
        <v>425</v>
      </c>
      <c r="BQ4" s="133"/>
      <c r="BR4" s="128">
        <f t="shared" ca="1" si="16"/>
        <v>25</v>
      </c>
      <c r="BS4" s="361"/>
      <c r="BT4" s="105" t="s">
        <v>1068</v>
      </c>
      <c r="BU4" s="104">
        <v>4</v>
      </c>
      <c r="BV4" s="105" t="str">
        <f t="shared" si="17"/>
        <v>Matyáš Šindler</v>
      </c>
      <c r="BW4" s="103">
        <f t="shared" si="18"/>
        <v>4</v>
      </c>
      <c r="BX4" s="360"/>
    </row>
    <row r="5" spans="1:79" ht="15" customHeight="1" thickTop="1" thickBot="1" x14ac:dyDescent="0.25">
      <c r="A5" s="8"/>
      <c r="B5" s="8"/>
      <c r="C5" s="8"/>
      <c r="D5" s="8"/>
      <c r="G5" s="318" t="str">
        <f ca="1">IFERROR(VLOOKUP(G3,OFFSET($AG$2,,,COUNTIF($AG$2:$AG$50,"?*"),23),18,FALSE),"")</f>
        <v/>
      </c>
      <c r="H5" s="319"/>
      <c r="I5" s="319"/>
      <c r="J5" s="320" t="str">
        <f ca="1">IFERROR(VLOOKUP(G3,OFFSET($AG$2,,,COUNTIF($AG$2:$AG$50,"?*"),23),19,FALSE),"")</f>
        <v/>
      </c>
      <c r="K5" s="320"/>
      <c r="L5" s="321"/>
      <c r="S5" s="111" t="s">
        <v>379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3</v>
      </c>
      <c r="Z5" s="103">
        <v>4</v>
      </c>
      <c r="AA5" s="103">
        <v>0</v>
      </c>
      <c r="AB5" s="103">
        <v>3</v>
      </c>
      <c r="AC5" s="103" t="str">
        <f t="shared" ca="1" si="0"/>
        <v>ANO</v>
      </c>
      <c r="AG5" s="122" t="s">
        <v>375</v>
      </c>
      <c r="AH5" s="123">
        <v>35243</v>
      </c>
      <c r="AI5" s="124">
        <v>141</v>
      </c>
      <c r="AJ5" s="124">
        <v>122</v>
      </c>
      <c r="AK5" s="124">
        <v>97</v>
      </c>
      <c r="AL5" s="125">
        <f t="shared" si="1"/>
        <v>219</v>
      </c>
      <c r="AM5" s="124">
        <v>8</v>
      </c>
      <c r="AN5" s="124">
        <v>72</v>
      </c>
      <c r="AO5" s="126"/>
      <c r="AP5" s="126" t="s">
        <v>163</v>
      </c>
      <c r="AQ5" s="124">
        <v>183</v>
      </c>
      <c r="AR5" s="124">
        <v>75</v>
      </c>
      <c r="AS5" s="127" t="s">
        <v>407</v>
      </c>
      <c r="AT5" s="124">
        <v>2005</v>
      </c>
      <c r="AU5" s="128">
        <f t="shared" ca="1" si="2"/>
        <v>25</v>
      </c>
      <c r="AV5" s="128" t="str">
        <f t="shared" si="3"/>
        <v>183/75</v>
      </c>
      <c r="AW5" s="129" t="str">
        <f t="shared" ca="1" si="6"/>
        <v>Delong</v>
      </c>
      <c r="AX5" s="130" t="str">
        <f t="shared" ca="1" si="4"/>
        <v>2 OZ, 6 (3+3), +2 ±</v>
      </c>
      <c r="AY5" s="130" t="str">
        <f t="shared" ca="1" si="5"/>
        <v>143 OZ, 225 (125+100)</v>
      </c>
      <c r="AZ5" s="131"/>
      <c r="BA5" s="131"/>
      <c r="BB5" s="131"/>
      <c r="BC5" s="131"/>
      <c r="BD5" s="90" t="str">
        <f t="shared" si="7"/>
        <v>Delong</v>
      </c>
      <c r="BE5" s="92">
        <f t="shared" ca="1" si="8"/>
        <v>1</v>
      </c>
      <c r="BF5" s="91" t="str">
        <f t="shared" si="9"/>
        <v>A</v>
      </c>
      <c r="BG5" s="90" t="str">
        <f t="shared" ca="1" si="10"/>
        <v/>
      </c>
      <c r="BH5" s="91">
        <f t="shared" ca="1" si="11"/>
        <v>0</v>
      </c>
      <c r="BI5" s="90" t="str">
        <f t="shared" ca="1" si="12"/>
        <v/>
      </c>
      <c r="BJ5" s="91">
        <f t="shared" ca="1" si="11"/>
        <v>0</v>
      </c>
      <c r="BK5" s="90" t="str">
        <f t="shared" ca="1" si="13"/>
        <v/>
      </c>
      <c r="BL5" s="91">
        <f t="shared" ca="1" si="14"/>
        <v>0</v>
      </c>
      <c r="BM5" s="90" t="str">
        <f t="shared" ca="1" si="15"/>
        <v/>
      </c>
      <c r="BN5" s="127" t="s">
        <v>426</v>
      </c>
      <c r="BO5" s="123">
        <v>24331</v>
      </c>
      <c r="BP5" s="132" t="s">
        <v>425</v>
      </c>
      <c r="BQ5" s="133"/>
      <c r="BR5" s="128">
        <f t="shared" ca="1" si="16"/>
        <v>55</v>
      </c>
      <c r="BS5" s="361"/>
      <c r="BT5" s="105" t="s">
        <v>1069</v>
      </c>
      <c r="BU5" s="104">
        <v>4</v>
      </c>
      <c r="BV5" s="105" t="str">
        <f t="shared" si="17"/>
        <v>Marek Matejčík</v>
      </c>
      <c r="BW5" s="103">
        <f t="shared" si="18"/>
        <v>4</v>
      </c>
      <c r="BX5" s="360"/>
    </row>
    <row r="6" spans="1:79" ht="15" customHeight="1" thickTop="1" thickBot="1" x14ac:dyDescent="0.25">
      <c r="A6" s="322"/>
      <c r="B6" s="323"/>
      <c r="C6" s="323"/>
      <c r="D6" s="32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27" t="str">
        <f ca="1">IFERROR(IF(VLOOKUP(G3,OFFSET($AG$2,,,COUNTIF($AG$2:$AG$50,"?*"),23),13,FALSE)&lt;&gt;0,VLOOKUP(G3,OFFSET($AG$2,,,COUNTIF($AG$2:$AG$50,"?*"),23),13,FALSE),"?"),"")</f>
        <v/>
      </c>
      <c r="H6" s="328"/>
      <c r="I6" s="329"/>
      <c r="J6" s="330" t="str">
        <f ca="1">IFERROR(IF(VLOOKUP(G3,OFFSET($AG$2,,,COUNTIF($AG$2:$AG$50,"?*"),23),14,FALSE)&lt;&gt;0,VLOOKUP(G3,OFFSET($AG$2,,,COUNTIF($AG$2:$AG$50,"?*"),23),14,FALSE),"?"),"")</f>
        <v/>
      </c>
      <c r="K6" s="331"/>
      <c r="L6" s="7" t="str">
        <f ca="1">IFERROR(IF(VLOOKUP(G3,OFFSET($AG$2,,,COUNTIF($AG$2:$AG$50,"?*"),23),7,FALSE)&lt;&gt;0,VLOOKUP(G3,OFFSET($AG$2,,,COUNTIF($AG$2:$AG$50,"?*"),23),7,FALSE),"?"),"")</f>
        <v/>
      </c>
      <c r="M6" s="322"/>
      <c r="N6" s="323"/>
      <c r="O6" s="323"/>
      <c r="P6" s="32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382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1</v>
      </c>
      <c r="Z6" s="103">
        <v>3</v>
      </c>
      <c r="AA6" s="103">
        <v>2</v>
      </c>
      <c r="AB6" s="103">
        <v>4</v>
      </c>
      <c r="AC6" s="103" t="str">
        <f t="shared" ca="1" si="0"/>
        <v>ANO</v>
      </c>
      <c r="AG6" s="122" t="s">
        <v>376</v>
      </c>
      <c r="AH6" s="123">
        <v>36934</v>
      </c>
      <c r="AI6" s="124">
        <v>71</v>
      </c>
      <c r="AJ6" s="124">
        <v>45</v>
      </c>
      <c r="AK6" s="124">
        <v>28</v>
      </c>
      <c r="AL6" s="125">
        <f t="shared" si="1"/>
        <v>73</v>
      </c>
      <c r="AM6" s="124">
        <v>4</v>
      </c>
      <c r="AN6" s="124">
        <v>13</v>
      </c>
      <c r="AO6" s="126"/>
      <c r="AP6" s="126" t="s">
        <v>27</v>
      </c>
      <c r="AQ6" s="124">
        <v>171</v>
      </c>
      <c r="AR6" s="124">
        <v>70</v>
      </c>
      <c r="AS6" s="127" t="s">
        <v>406</v>
      </c>
      <c r="AT6" s="124">
        <v>2008</v>
      </c>
      <c r="AU6" s="128">
        <f t="shared" ca="1" si="2"/>
        <v>20</v>
      </c>
      <c r="AV6" s="128" t="str">
        <f t="shared" si="3"/>
        <v>171/70</v>
      </c>
      <c r="AW6" s="129" t="str">
        <f t="shared" ca="1" si="6"/>
        <v>Gattnar</v>
      </c>
      <c r="AX6" s="130" t="str">
        <f t="shared" ca="1" si="4"/>
        <v>2 OZ, 5 (3+2), +2 ±</v>
      </c>
      <c r="AY6" s="130" t="str">
        <f t="shared" ca="1" si="5"/>
        <v>73 OZ, 78 (48+30)</v>
      </c>
      <c r="AZ6" s="131"/>
      <c r="BA6" s="131"/>
      <c r="BB6" s="131"/>
      <c r="BC6" s="131"/>
      <c r="BD6" s="3" t="str">
        <f t="shared" si="7"/>
        <v>Gattnar</v>
      </c>
      <c r="BE6" s="85">
        <f t="shared" ca="1" si="8"/>
        <v>1</v>
      </c>
      <c r="BF6" s="62" t="str">
        <f t="shared" si="9"/>
        <v>R</v>
      </c>
      <c r="BG6" s="3" t="str">
        <f t="shared" ca="1" si="10"/>
        <v/>
      </c>
      <c r="BH6" s="62">
        <f t="shared" ca="1" si="11"/>
        <v>0</v>
      </c>
      <c r="BI6" s="3" t="str">
        <f t="shared" ca="1" si="12"/>
        <v/>
      </c>
      <c r="BJ6" s="62">
        <f t="shared" ca="1" si="11"/>
        <v>0</v>
      </c>
      <c r="BK6" s="3" t="str">
        <f t="shared" ca="1" si="13"/>
        <v/>
      </c>
      <c r="BL6" s="62">
        <f t="shared" ca="1" si="14"/>
        <v>0</v>
      </c>
      <c r="BM6" s="3" t="str">
        <f t="shared" ca="1" si="15"/>
        <v/>
      </c>
      <c r="BN6" s="127" t="s">
        <v>427</v>
      </c>
      <c r="BO6" s="123">
        <v>31439</v>
      </c>
      <c r="BP6" s="132" t="s">
        <v>206</v>
      </c>
      <c r="BQ6" s="133"/>
      <c r="BR6" s="128">
        <f t="shared" ca="1" si="16"/>
        <v>35</v>
      </c>
      <c r="BS6" s="361"/>
      <c r="BT6" s="105" t="s">
        <v>436</v>
      </c>
      <c r="BU6" s="104">
        <v>3</v>
      </c>
      <c r="BV6" s="105" t="str">
        <f t="shared" si="17"/>
        <v>Marek Bräuer</v>
      </c>
      <c r="BW6" s="103">
        <f t="shared" si="18"/>
        <v>3</v>
      </c>
      <c r="BX6" s="360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5" t="str">
        <f ca="1">IFERROR(IF(VLOOKUP(A6,OFFSET($AG$2,,,COUNTIF($AG$2:$AG$50,"?*"),23),2,FALSE)&lt;&gt;0,YEAR(VLOOKUP(A6,OFFSET($AG$2,,,COUNTIF($AG$2:$AG$50,"?*"),23),2,FALSE)),""),"")</f>
        <v/>
      </c>
      <c r="C7" s="326"/>
      <c r="D7" s="118" t="str">
        <f ca="1">IFERROR(VLOOKUP(A6,OFFSET($AG$2,,,COUNTIF($AG$2:$AG$50,"?*"),23),15,FALSE),"")</f>
        <v/>
      </c>
      <c r="E7" s="316" t="str">
        <f ca="1">IFERROR(VLOOKUP(A6,OFFSET($AG$2,,,COUNTIF($AG$2:$AG$50,"?*"),23),16,FALSE),"")</f>
        <v/>
      </c>
      <c r="F7" s="317"/>
      <c r="M7" s="4" t="str">
        <f ca="1">IFERROR(IF(VLOOKUP(M6,OFFSET($AG$2,,,COUNTIF($AG$2:$AG$50,"?*"),23),10,FALSE)&lt;&gt;0,VLOOKUP(M6,OFFSET($AG$2,,,COUNTIF($AG$2:$AG$50,"?*"),23),10,FALSE),""),"")</f>
        <v/>
      </c>
      <c r="N7" s="325" t="str">
        <f ca="1">IFERROR(IF(VLOOKUP(M6,OFFSET($AG$2,,,COUNTIF($AG$2:$AG$50,"?*"),23),2,FALSE)&lt;&gt;0,YEAR(VLOOKUP(M6,OFFSET($AG$2,,,COUNTIF($AG$2:$AG$50,"?*"),23),2,FALSE)),""),"")</f>
        <v/>
      </c>
      <c r="O7" s="326"/>
      <c r="P7" s="118" t="str">
        <f ca="1">IFERROR(VLOOKUP(M6,OFFSET($AG$2,,,COUNTIF($AG$2:$AG$50,"?*"),23),15,FALSE),"")</f>
        <v/>
      </c>
      <c r="Q7" s="316" t="str">
        <f ca="1">IFERROR(VLOOKUP(M6,OFFSET($AG$2,,,COUNTIF($AG$2:$AG$50,"?*"),23),16,FALSE),"")</f>
        <v/>
      </c>
      <c r="R7" s="317"/>
      <c r="S7" s="111" t="s">
        <v>377</v>
      </c>
      <c r="T7" s="103" t="s">
        <v>133</v>
      </c>
      <c r="U7" s="103">
        <v>2</v>
      </c>
      <c r="V7" s="103">
        <v>2</v>
      </c>
      <c r="W7" s="103">
        <v>0</v>
      </c>
      <c r="X7" s="103">
        <v>0</v>
      </c>
      <c r="Y7" s="103">
        <v>0</v>
      </c>
      <c r="Z7" s="103">
        <v>2</v>
      </c>
      <c r="AA7" s="103">
        <v>0</v>
      </c>
      <c r="AB7" s="103">
        <v>4</v>
      </c>
      <c r="AC7" s="103" t="str">
        <f t="shared" ca="1" si="0"/>
        <v>ANO</v>
      </c>
      <c r="AG7" s="122" t="s">
        <v>394</v>
      </c>
      <c r="AH7" s="123">
        <v>33884</v>
      </c>
      <c r="AI7" s="124">
        <v>139</v>
      </c>
      <c r="AJ7" s="124">
        <v>144</v>
      </c>
      <c r="AK7" s="124">
        <v>185</v>
      </c>
      <c r="AL7" s="125">
        <f t="shared" si="1"/>
        <v>329</v>
      </c>
      <c r="AM7" s="124">
        <v>13</v>
      </c>
      <c r="AN7" s="124">
        <v>44</v>
      </c>
      <c r="AO7" s="126"/>
      <c r="AP7" s="126" t="s">
        <v>163</v>
      </c>
      <c r="AQ7" s="124">
        <v>182</v>
      </c>
      <c r="AR7" s="124">
        <v>81</v>
      </c>
      <c r="AS7" s="127" t="s">
        <v>408</v>
      </c>
      <c r="AT7" s="124">
        <v>2004</v>
      </c>
      <c r="AU7" s="128">
        <f t="shared" ca="1" si="2"/>
        <v>28</v>
      </c>
      <c r="AV7" s="128" t="str">
        <f t="shared" si="3"/>
        <v>182/81</v>
      </c>
      <c r="AW7" s="129" t="str">
        <f t="shared" ca="1" si="6"/>
        <v>Hájek</v>
      </c>
      <c r="AX7" s="130" t="str">
        <f t="shared" ca="1" si="4"/>
        <v>0 OZ, 0 (0+0)</v>
      </c>
      <c r="AY7" s="130" t="str">
        <f t="shared" ca="1" si="5"/>
        <v>139 OZ, 329 (144+185)</v>
      </c>
      <c r="AZ7" s="131"/>
      <c r="BA7" s="131"/>
      <c r="BB7" s="131"/>
      <c r="BC7" s="131"/>
      <c r="BD7" s="90" t="str">
        <f t="shared" si="7"/>
        <v>Hájek</v>
      </c>
      <c r="BE7" s="92">
        <f t="shared" ca="1" si="8"/>
        <v>1</v>
      </c>
      <c r="BF7" s="91" t="str">
        <f t="shared" si="9"/>
        <v>L</v>
      </c>
      <c r="BG7" s="90" t="str">
        <f t="shared" ca="1" si="10"/>
        <v/>
      </c>
      <c r="BH7" s="91">
        <f t="shared" ca="1" si="11"/>
        <v>0</v>
      </c>
      <c r="BI7" s="90" t="str">
        <f t="shared" ca="1" si="12"/>
        <v/>
      </c>
      <c r="BJ7" s="91">
        <f t="shared" ca="1" si="11"/>
        <v>0</v>
      </c>
      <c r="BK7" s="90" t="str">
        <f t="shared" ca="1" si="13"/>
        <v/>
      </c>
      <c r="BL7" s="91">
        <f t="shared" ca="1" si="14"/>
        <v>0</v>
      </c>
      <c r="BM7" s="90" t="str">
        <f t="shared" ca="1" si="15"/>
        <v/>
      </c>
      <c r="BN7" s="127"/>
      <c r="BO7" s="123"/>
      <c r="BP7" s="132"/>
      <c r="BQ7" s="133"/>
      <c r="BR7" s="128" t="str">
        <f t="shared" ca="1" si="16"/>
        <v/>
      </c>
      <c r="BS7" s="361" t="s">
        <v>40</v>
      </c>
      <c r="BT7" s="105" t="s">
        <v>433</v>
      </c>
      <c r="BU7" s="104" t="s">
        <v>1070</v>
      </c>
      <c r="BV7" s="105" t="str">
        <f t="shared" si="17"/>
        <v>Denis Jasiok</v>
      </c>
      <c r="BW7" s="113">
        <f t="shared" si="18"/>
        <v>5.15</v>
      </c>
      <c r="BX7" s="360" t="s">
        <v>234</v>
      </c>
      <c r="BY7" s="104" t="s">
        <v>296</v>
      </c>
      <c r="BZ7" s="104" t="s">
        <v>107</v>
      </c>
      <c r="CA7" s="116" t="s">
        <v>226</v>
      </c>
    </row>
    <row r="8" spans="1:79" ht="15" customHeight="1" x14ac:dyDescent="0.2">
      <c r="A8" s="318" t="str">
        <f ca="1">IFERROR(VLOOKUP(A6,OFFSET($AG$2,,,COUNTIF($AG$2:$AG$50,"?*"),23),18,FALSE),"")</f>
        <v/>
      </c>
      <c r="B8" s="319"/>
      <c r="C8" s="319"/>
      <c r="D8" s="320" t="str">
        <f ca="1">IFERROR(VLOOKUP(A6,OFFSET($AG$2,,,COUNTIF($AG$2:$AG$50,"?*"),23),19,FALSE),"")</f>
        <v/>
      </c>
      <c r="E8" s="320"/>
      <c r="F8" s="321"/>
      <c r="H8" s="332" t="s">
        <v>100</v>
      </c>
      <c r="I8" s="332"/>
      <c r="J8" s="332"/>
      <c r="K8" s="332"/>
      <c r="M8" s="318" t="str">
        <f ca="1">IFERROR(VLOOKUP(M6,OFFSET($AG$2,,,COUNTIF($AG$2:$AG$50,"?*"),23),18,FALSE),"")</f>
        <v/>
      </c>
      <c r="N8" s="319"/>
      <c r="O8" s="319"/>
      <c r="P8" s="320" t="str">
        <f ca="1">IFERROR(VLOOKUP(M6,OFFSET($AG$2,,,COUNTIF($AG$2:$AG$50,"?*"),23),19,FALSE),"")</f>
        <v/>
      </c>
      <c r="Q8" s="320"/>
      <c r="R8" s="321"/>
      <c r="S8" s="111" t="s">
        <v>380</v>
      </c>
      <c r="T8" s="103" t="s">
        <v>133</v>
      </c>
      <c r="U8" s="103">
        <v>2</v>
      </c>
      <c r="V8" s="103">
        <v>0</v>
      </c>
      <c r="W8" s="103">
        <v>0</v>
      </c>
      <c r="X8" s="103">
        <v>0</v>
      </c>
      <c r="Y8" s="103">
        <v>2</v>
      </c>
      <c r="Z8" s="103">
        <v>2</v>
      </c>
      <c r="AA8" s="103">
        <v>0</v>
      </c>
      <c r="AB8" s="103">
        <v>0</v>
      </c>
      <c r="AC8" s="103" t="str">
        <f t="shared" ca="1" si="0"/>
        <v>NE</v>
      </c>
      <c r="AG8" s="122" t="s">
        <v>385</v>
      </c>
      <c r="AH8" s="123">
        <v>36640</v>
      </c>
      <c r="AI8" s="124">
        <v>51</v>
      </c>
      <c r="AJ8" s="124">
        <v>5</v>
      </c>
      <c r="AK8" s="124">
        <v>9</v>
      </c>
      <c r="AL8" s="125">
        <f t="shared" si="1"/>
        <v>14</v>
      </c>
      <c r="AM8" s="124">
        <v>3</v>
      </c>
      <c r="AN8" s="124">
        <v>47</v>
      </c>
      <c r="AO8" s="126"/>
      <c r="AP8" s="126" t="s">
        <v>163</v>
      </c>
      <c r="AQ8" s="124">
        <v>189</v>
      </c>
      <c r="AR8" s="124">
        <v>80</v>
      </c>
      <c r="AS8" s="127" t="s">
        <v>409</v>
      </c>
      <c r="AT8" s="124">
        <v>2009</v>
      </c>
      <c r="AU8" s="128">
        <f t="shared" ca="1" si="2"/>
        <v>21</v>
      </c>
      <c r="AV8" s="128" t="str">
        <f t="shared" si="3"/>
        <v>189/80</v>
      </c>
      <c r="AW8" s="129" t="str">
        <f t="shared" ca="1" si="6"/>
        <v>Hatala</v>
      </c>
      <c r="AX8" s="130" t="str">
        <f t="shared" ca="1" si="4"/>
        <v>2 OZ, 1 (0+1), +1 ±</v>
      </c>
      <c r="AY8" s="130" t="str">
        <f t="shared" ca="1" si="5"/>
        <v>53 OZ, 15 (5+10)</v>
      </c>
      <c r="AZ8" s="131"/>
      <c r="BA8" s="131"/>
      <c r="BB8" s="131"/>
      <c r="BC8" s="131"/>
      <c r="BD8" s="3" t="str">
        <f t="shared" si="7"/>
        <v>Hatala</v>
      </c>
      <c r="BE8" s="85">
        <f t="shared" ca="1" si="8"/>
        <v>1</v>
      </c>
      <c r="BF8" s="62" t="str">
        <f t="shared" si="9"/>
        <v>Š</v>
      </c>
      <c r="BG8" s="3" t="str">
        <f t="shared" ca="1" si="10"/>
        <v/>
      </c>
      <c r="BH8" s="62">
        <f t="shared" ca="1" si="11"/>
        <v>0</v>
      </c>
      <c r="BI8" s="3" t="str">
        <f t="shared" ca="1" si="12"/>
        <v/>
      </c>
      <c r="BJ8" s="62">
        <f t="shared" ca="1" si="11"/>
        <v>0</v>
      </c>
      <c r="BK8" s="3" t="str">
        <f t="shared" ca="1" si="13"/>
        <v/>
      </c>
      <c r="BL8" s="62">
        <f t="shared" ca="1" si="14"/>
        <v>0</v>
      </c>
      <c r="BM8" s="3" t="str">
        <f t="shared" ca="1" si="15"/>
        <v/>
      </c>
      <c r="BN8" s="127"/>
      <c r="BO8" s="123"/>
      <c r="BP8" s="132"/>
      <c r="BQ8" s="133"/>
      <c r="BR8" s="128" t="str">
        <f t="shared" ca="1" si="16"/>
        <v/>
      </c>
      <c r="BS8" s="361"/>
      <c r="BT8" s="105" t="s">
        <v>435</v>
      </c>
      <c r="BU8" s="104" t="s">
        <v>216</v>
      </c>
      <c r="BV8" s="105" t="str">
        <f t="shared" si="17"/>
        <v>Petr Maláč</v>
      </c>
      <c r="BW8" s="113">
        <f t="shared" si="18"/>
        <v>0</v>
      </c>
      <c r="BX8" s="360"/>
      <c r="BY8" s="104" t="s">
        <v>228</v>
      </c>
      <c r="BZ8" s="104" t="s">
        <v>104</v>
      </c>
      <c r="CA8" s="116" t="s">
        <v>226</v>
      </c>
    </row>
    <row r="9" spans="1:79" ht="15" customHeight="1" thickBot="1" x14ac:dyDescent="0.25">
      <c r="A9" s="327" t="str">
        <f ca="1">IFERROR(IF(VLOOKUP(A6,OFFSET($AG$2,,,COUNTIF($AG$2:$AG$50,"?*"),23),13,FALSE)&lt;&gt;0,VLOOKUP(A6,OFFSET($AG$2,,,COUNTIF($AG$2:$AG$50,"?*"),23),13,FALSE),"?"),"")</f>
        <v/>
      </c>
      <c r="B9" s="328"/>
      <c r="C9" s="329"/>
      <c r="D9" s="330" t="str">
        <f ca="1">IFERROR(IF(VLOOKUP(A6,OFFSET($AG$2,,,COUNTIF($AG$2:$AG$50,"?*"),23),14,FALSE)&lt;&gt;0,VLOOKUP(A6,OFFSET($AG$2,,,COUNTIF($AG$2:$AG$50,"?*"),23),14,FALSE),"?"),"")</f>
        <v/>
      </c>
      <c r="E9" s="331"/>
      <c r="F9" s="7" t="str">
        <f ca="1">IFERROR(IF(VLOOKUP(A6,OFFSET($AG$2,,,COUNTIF($AG$2:$AG$50,"?*"),23),7,FALSE)&lt;&gt;0,VLOOKUP(A6,OFFSET($AG$2,,,COUNTIF($AG$2:$AG$50,"?*"),23),7,FALSE),"?"),"")</f>
        <v/>
      </c>
      <c r="H9" s="332"/>
      <c r="I9" s="332"/>
      <c r="J9" s="332"/>
      <c r="K9" s="332"/>
      <c r="M9" s="327" t="str">
        <f ca="1">IFERROR(IF(VLOOKUP(M6,OFFSET($AG$2,,,COUNTIF($AG$2:$AG$50,"?*"),23),13,FALSE)&lt;&gt;0,VLOOKUP(M6,OFFSET($AG$2,,,COUNTIF($AG$2:$AG$50,"?*"),23),13,FALSE),"?"),"")</f>
        <v/>
      </c>
      <c r="N9" s="328"/>
      <c r="O9" s="329"/>
      <c r="P9" s="330" t="str">
        <f ca="1">IFERROR(IF(VLOOKUP(M6,OFFSET($AG$2,,,COUNTIF($AG$2:$AG$50,"?*"),23),14,FALSE)&lt;&gt;0,VLOOKUP(M6,OFFSET($AG$2,,,COUNTIF($AG$2:$AG$50,"?*"),23),14,FALSE),"?"),"")</f>
        <v/>
      </c>
      <c r="Q9" s="331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383</v>
      </c>
      <c r="T9" s="103" t="s">
        <v>68</v>
      </c>
      <c r="U9" s="103">
        <v>1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0</v>
      </c>
      <c r="AB9" s="103">
        <v>1</v>
      </c>
      <c r="AC9" s="103" t="str">
        <f t="shared" ca="1" si="0"/>
        <v>ANO</v>
      </c>
      <c r="AG9" s="122" t="s">
        <v>383</v>
      </c>
      <c r="AH9" s="123">
        <v>33707</v>
      </c>
      <c r="AI9" s="124">
        <v>190</v>
      </c>
      <c r="AJ9" s="124">
        <v>77</v>
      </c>
      <c r="AK9" s="124">
        <v>84</v>
      </c>
      <c r="AL9" s="125">
        <f t="shared" si="1"/>
        <v>161</v>
      </c>
      <c r="AM9" s="124">
        <v>11</v>
      </c>
      <c r="AN9" s="124">
        <v>55</v>
      </c>
      <c r="AO9" s="126"/>
      <c r="AP9" s="126" t="s">
        <v>27</v>
      </c>
      <c r="AQ9" s="124">
        <v>182</v>
      </c>
      <c r="AR9" s="124">
        <v>70</v>
      </c>
      <c r="AS9" s="127" t="s">
        <v>406</v>
      </c>
      <c r="AT9" s="124">
        <v>1999</v>
      </c>
      <c r="AU9" s="128">
        <f t="shared" ca="1" si="2"/>
        <v>29</v>
      </c>
      <c r="AV9" s="128" t="str">
        <f t="shared" si="3"/>
        <v>182/70</v>
      </c>
      <c r="AW9" s="129" t="str">
        <f t="shared" ca="1" si="6"/>
        <v>Hubálek</v>
      </c>
      <c r="AX9" s="130" t="str">
        <f t="shared" ca="1" si="4"/>
        <v>1 OZ, 1 (1+0), +1 ±</v>
      </c>
      <c r="AY9" s="130" t="str">
        <f t="shared" ca="1" si="5"/>
        <v>191 OZ, 162 (78+84)</v>
      </c>
      <c r="AZ9" s="131"/>
      <c r="BA9" s="131"/>
      <c r="BB9" s="131"/>
      <c r="BC9" s="131"/>
      <c r="BD9" s="90" t="str">
        <f t="shared" si="7"/>
        <v>Hubálek</v>
      </c>
      <c r="BE9" s="92">
        <f t="shared" ca="1" si="8"/>
        <v>1</v>
      </c>
      <c r="BF9" s="91" t="str">
        <f t="shared" si="9"/>
        <v>J</v>
      </c>
      <c r="BG9" s="90" t="str">
        <f t="shared" ca="1" si="10"/>
        <v/>
      </c>
      <c r="BH9" s="91">
        <f t="shared" ca="1" si="11"/>
        <v>0</v>
      </c>
      <c r="BI9" s="90" t="str">
        <f t="shared" ca="1" si="12"/>
        <v/>
      </c>
      <c r="BJ9" s="91">
        <f t="shared" ca="1" si="11"/>
        <v>0</v>
      </c>
      <c r="BK9" s="90" t="str">
        <f t="shared" ca="1" si="13"/>
        <v/>
      </c>
      <c r="BL9" s="91">
        <f t="shared" ca="1" si="14"/>
        <v>0</v>
      </c>
      <c r="BM9" s="90" t="str">
        <f t="shared" ca="1" si="15"/>
        <v/>
      </c>
      <c r="BN9" s="127"/>
      <c r="BO9" s="123"/>
      <c r="BP9" s="132"/>
      <c r="BQ9" s="133"/>
      <c r="BR9" s="128" t="str">
        <f t="shared" ca="1" si="16"/>
        <v/>
      </c>
      <c r="BS9" s="361"/>
      <c r="BV9" s="105" t="str">
        <f t="shared" si="17"/>
        <v/>
      </c>
      <c r="BW9" s="113" t="str">
        <f t="shared" si="18"/>
        <v/>
      </c>
      <c r="BX9" s="360"/>
      <c r="BY9" s="104" t="s">
        <v>229</v>
      </c>
      <c r="BZ9" s="104" t="s">
        <v>101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381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2</v>
      </c>
      <c r="AB10" s="103">
        <v>-1</v>
      </c>
      <c r="AC10" s="103" t="str">
        <f t="shared" ca="1" si="0"/>
        <v>NE</v>
      </c>
      <c r="AG10" s="122" t="s">
        <v>395</v>
      </c>
      <c r="AH10" s="123">
        <v>37349</v>
      </c>
      <c r="AI10" s="124">
        <v>17</v>
      </c>
      <c r="AJ10" s="124">
        <v>4</v>
      </c>
      <c r="AK10" s="124">
        <v>3</v>
      </c>
      <c r="AL10" s="125">
        <f t="shared" si="1"/>
        <v>7</v>
      </c>
      <c r="AM10" s="124">
        <v>3</v>
      </c>
      <c r="AN10" s="124">
        <v>10</v>
      </c>
      <c r="AO10" s="126"/>
      <c r="AP10" s="126" t="s">
        <v>163</v>
      </c>
      <c r="AQ10" s="124">
        <v>178</v>
      </c>
      <c r="AR10" s="124">
        <v>70</v>
      </c>
      <c r="AS10" s="127" t="s">
        <v>342</v>
      </c>
      <c r="AT10" s="124">
        <v>2008</v>
      </c>
      <c r="AU10" s="128">
        <f t="shared" ca="1" si="2"/>
        <v>19</v>
      </c>
      <c r="AV10" s="128" t="str">
        <f t="shared" si="3"/>
        <v>178/70</v>
      </c>
      <c r="AW10" s="129" t="str">
        <f t="shared" ca="1" si="6"/>
        <v>Choma</v>
      </c>
      <c r="AX10" s="130" t="str">
        <f t="shared" ca="1" si="4"/>
        <v>0 OZ, 0 (0+0)</v>
      </c>
      <c r="AY10" s="130" t="str">
        <f t="shared" ca="1" si="5"/>
        <v>17 OZ, 7 (4+3)</v>
      </c>
      <c r="AZ10" s="131"/>
      <c r="BA10" s="131"/>
      <c r="BB10" s="131"/>
      <c r="BC10" s="131"/>
      <c r="BD10" s="3" t="str">
        <f t="shared" si="7"/>
        <v>Choma</v>
      </c>
      <c r="BE10" s="85">
        <f t="shared" ca="1" si="8"/>
        <v>1</v>
      </c>
      <c r="BF10" s="62" t="str">
        <f t="shared" si="9"/>
        <v>A</v>
      </c>
      <c r="BG10" s="3" t="str">
        <f t="shared" ca="1" si="10"/>
        <v/>
      </c>
      <c r="BH10" s="62">
        <f t="shared" ca="1" si="11"/>
        <v>0</v>
      </c>
      <c r="BI10" s="3" t="str">
        <f t="shared" ca="1" si="12"/>
        <v/>
      </c>
      <c r="BJ10" s="62">
        <f t="shared" ca="1" si="11"/>
        <v>0</v>
      </c>
      <c r="BK10" s="3" t="str">
        <f t="shared" ca="1" si="13"/>
        <v/>
      </c>
      <c r="BL10" s="62">
        <f t="shared" ca="1" si="14"/>
        <v>0</v>
      </c>
      <c r="BM10" s="3" t="str">
        <f t="shared" ca="1" si="15"/>
        <v/>
      </c>
      <c r="BN10" s="127"/>
      <c r="BO10" s="123"/>
      <c r="BP10" s="132"/>
      <c r="BQ10" s="133"/>
      <c r="BR10" s="128" t="str">
        <f t="shared" ca="1" si="16"/>
        <v/>
      </c>
      <c r="BS10" s="361"/>
      <c r="BV10" s="105" t="str">
        <f t="shared" si="17"/>
        <v/>
      </c>
      <c r="BW10" s="113" t="str">
        <f t="shared" si="18"/>
        <v/>
      </c>
      <c r="BX10" s="360"/>
      <c r="BY10" s="104" t="s">
        <v>920</v>
      </c>
      <c r="BZ10" s="104" t="s">
        <v>23</v>
      </c>
      <c r="CA10" s="116" t="s">
        <v>226</v>
      </c>
    </row>
    <row r="11" spans="1:79" ht="15" customHeight="1" thickTop="1" thickBot="1" x14ac:dyDescent="0.25">
      <c r="R11" s="13"/>
      <c r="S11" s="111" t="s">
        <v>384</v>
      </c>
      <c r="T11" s="103" t="s">
        <v>133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2</v>
      </c>
      <c r="AC11" s="103" t="str">
        <f t="shared" ca="1" si="0"/>
        <v>ANO</v>
      </c>
      <c r="AG11" s="122" t="s">
        <v>396</v>
      </c>
      <c r="AH11" s="123">
        <v>37536</v>
      </c>
      <c r="AI11" s="124">
        <v>8</v>
      </c>
      <c r="AJ11" s="124">
        <v>2</v>
      </c>
      <c r="AK11" s="124">
        <v>1</v>
      </c>
      <c r="AL11" s="125">
        <f t="shared" si="1"/>
        <v>3</v>
      </c>
      <c r="AM11" s="124">
        <v>2</v>
      </c>
      <c r="AN11" s="124">
        <v>6</v>
      </c>
      <c r="AO11" s="126"/>
      <c r="AP11" s="126" t="s">
        <v>163</v>
      </c>
      <c r="AQ11" s="124">
        <v>193</v>
      </c>
      <c r="AR11" s="124">
        <v>89</v>
      </c>
      <c r="AS11" s="127" t="s">
        <v>410</v>
      </c>
      <c r="AT11" s="124"/>
      <c r="AU11" s="128">
        <f t="shared" ca="1" si="2"/>
        <v>18</v>
      </c>
      <c r="AV11" s="128" t="str">
        <f t="shared" si="3"/>
        <v>193/89</v>
      </c>
      <c r="AW11" s="129" t="str">
        <f t="shared" ca="1" si="6"/>
        <v>Janis Anis</v>
      </c>
      <c r="AX11" s="130" t="str">
        <f t="shared" ca="1" si="4"/>
        <v>0 OZ, 0 (0+0)</v>
      </c>
      <c r="AY11" s="130" t="str">
        <f t="shared" ca="1" si="5"/>
        <v>8 OZ, 3 (2+1)</v>
      </c>
      <c r="AZ11" s="131"/>
      <c r="BA11" s="131"/>
      <c r="BB11" s="131"/>
      <c r="BC11" s="131"/>
      <c r="BD11" s="90" t="str">
        <f t="shared" si="7"/>
        <v>Janis Anis</v>
      </c>
      <c r="BE11" s="92">
        <f t="shared" ca="1" si="8"/>
        <v>1</v>
      </c>
      <c r="BF11" s="91" t="str">
        <f t="shared" si="9"/>
        <v>D</v>
      </c>
      <c r="BG11" s="90" t="str">
        <f t="shared" ca="1" si="10"/>
        <v/>
      </c>
      <c r="BH11" s="91">
        <f t="shared" ca="1" si="11"/>
        <v>0</v>
      </c>
      <c r="BI11" s="90" t="str">
        <f t="shared" ca="1" si="12"/>
        <v/>
      </c>
      <c r="BJ11" s="91">
        <f t="shared" ca="1" si="11"/>
        <v>0</v>
      </c>
      <c r="BK11" s="90" t="str">
        <f t="shared" ca="1" si="13"/>
        <v/>
      </c>
      <c r="BL11" s="91">
        <f t="shared" ca="1" si="14"/>
        <v>0</v>
      </c>
      <c r="BM11" s="90" t="str">
        <f t="shared" ca="1" si="15"/>
        <v/>
      </c>
      <c r="BN11" s="127"/>
      <c r="BO11" s="123"/>
      <c r="BP11" s="132"/>
      <c r="BQ11" s="133"/>
      <c r="BR11" s="128" t="str">
        <f t="shared" ca="1" si="16"/>
        <v/>
      </c>
      <c r="BS11" s="361"/>
      <c r="BV11" s="105" t="str">
        <f t="shared" si="17"/>
        <v/>
      </c>
      <c r="BW11" s="113" t="str">
        <f t="shared" si="18"/>
        <v/>
      </c>
      <c r="BX11" s="360"/>
      <c r="BY11" s="104" t="s">
        <v>1114</v>
      </c>
      <c r="BZ11" s="104" t="s">
        <v>105</v>
      </c>
      <c r="CA11" s="116" t="s">
        <v>226</v>
      </c>
    </row>
    <row r="12" spans="1:79" ht="15" customHeight="1" thickTop="1" thickBot="1" x14ac:dyDescent="0.25">
      <c r="A12" s="322"/>
      <c r="B12" s="323"/>
      <c r="C12" s="323"/>
      <c r="D12" s="32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4" t="s">
        <v>7</v>
      </c>
      <c r="I12" s="324"/>
      <c r="J12" s="324"/>
      <c r="K12" s="324"/>
      <c r="M12" s="322"/>
      <c r="N12" s="323"/>
      <c r="O12" s="323"/>
      <c r="P12" s="32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385</v>
      </c>
      <c r="T12" s="103" t="s">
        <v>68</v>
      </c>
      <c r="U12" s="103">
        <v>2</v>
      </c>
      <c r="V12" s="103">
        <v>0</v>
      </c>
      <c r="W12" s="103">
        <v>0</v>
      </c>
      <c r="X12" s="103">
        <v>0</v>
      </c>
      <c r="Y12" s="103">
        <v>1</v>
      </c>
      <c r="Z12" s="103">
        <v>1</v>
      </c>
      <c r="AA12" s="103">
        <v>0</v>
      </c>
      <c r="AB12" s="103">
        <v>1</v>
      </c>
      <c r="AC12" s="103" t="str">
        <f t="shared" ca="1" si="0"/>
        <v>ANO</v>
      </c>
      <c r="AG12" s="122" t="s">
        <v>389</v>
      </c>
      <c r="AH12" s="123">
        <v>36522</v>
      </c>
      <c r="AI12" s="124">
        <v>6</v>
      </c>
      <c r="AJ12" s="124">
        <v>0</v>
      </c>
      <c r="AK12" s="124">
        <v>1</v>
      </c>
      <c r="AL12" s="125">
        <f t="shared" si="1"/>
        <v>1</v>
      </c>
      <c r="AM12" s="124">
        <v>2</v>
      </c>
      <c r="AN12" s="124">
        <v>24</v>
      </c>
      <c r="AO12" s="126"/>
      <c r="AP12" s="126"/>
      <c r="AQ12" s="124">
        <v>186</v>
      </c>
      <c r="AR12" s="124">
        <v>89</v>
      </c>
      <c r="AS12" s="127" t="s">
        <v>411</v>
      </c>
      <c r="AT12" s="124">
        <v>2011</v>
      </c>
      <c r="AU12" s="128">
        <f t="shared" ca="1" si="2"/>
        <v>21</v>
      </c>
      <c r="AV12" s="128" t="str">
        <f t="shared" si="3"/>
        <v>186/89</v>
      </c>
      <c r="AW12" s="129" t="str">
        <f t="shared" ca="1" si="6"/>
        <v>Jasiok</v>
      </c>
      <c r="AX12" s="130" t="str">
        <f t="shared" ca="1" si="4"/>
        <v>1 V, 1 P</v>
      </c>
      <c r="AY12" s="130" t="str">
        <f t="shared" ca="1" si="5"/>
        <v>8 OZ, 1 A</v>
      </c>
      <c r="AZ12" s="131"/>
      <c r="BA12" s="131"/>
      <c r="BB12" s="131"/>
      <c r="BC12" s="131"/>
      <c r="BD12" s="3" t="str">
        <f t="shared" si="7"/>
        <v>Jasiok</v>
      </c>
      <c r="BE12" s="85">
        <f t="shared" ca="1" si="8"/>
        <v>1</v>
      </c>
      <c r="BF12" s="62" t="str">
        <f t="shared" si="9"/>
        <v>D</v>
      </c>
      <c r="BG12" s="3" t="str">
        <f t="shared" ca="1" si="10"/>
        <v/>
      </c>
      <c r="BH12" s="62">
        <f t="shared" ca="1" si="11"/>
        <v>0</v>
      </c>
      <c r="BI12" s="3" t="str">
        <f t="shared" ca="1" si="12"/>
        <v/>
      </c>
      <c r="BJ12" s="62">
        <f t="shared" ca="1" si="11"/>
        <v>0</v>
      </c>
      <c r="BK12" s="3" t="str">
        <f t="shared" ca="1" si="13"/>
        <v/>
      </c>
      <c r="BL12" s="62">
        <f t="shared" ca="1" si="14"/>
        <v>0</v>
      </c>
      <c r="BM12" s="3" t="str">
        <f t="shared" ca="1" si="15"/>
        <v/>
      </c>
      <c r="BS12" s="361" t="s">
        <v>37</v>
      </c>
      <c r="BT12" s="105" t="s">
        <v>428</v>
      </c>
      <c r="BU12" s="104">
        <v>3</v>
      </c>
      <c r="BV12" s="105" t="str">
        <f t="shared" si="17"/>
        <v>Adam Delong</v>
      </c>
      <c r="BW12" s="103">
        <f t="shared" si="18"/>
        <v>3</v>
      </c>
      <c r="BX12" s="121" t="s">
        <v>232</v>
      </c>
      <c r="BY12" s="101" t="s">
        <v>1067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5" t="str">
        <f ca="1">IFERROR(IF(VLOOKUP(A12,OFFSET($AG$2,,,COUNTIF($AG$2:$AG$50,"?*"),23),2,FALSE)&lt;&gt;0,YEAR(VLOOKUP(A12,OFFSET($AG$2,,,COUNTIF($AG$2:$AG$50,"?*"),23),2,FALSE)),""),"")</f>
        <v/>
      </c>
      <c r="C13" s="326"/>
      <c r="D13" s="118" t="str">
        <f ca="1">IFERROR(VLOOKUP(A12,OFFSET($AG$2,,,COUNTIF($AG$2:$AG$50,"?*"),23),15,FALSE),"")</f>
        <v/>
      </c>
      <c r="E13" s="316" t="str">
        <f ca="1">IFERROR(VLOOKUP(A12,OFFSET($AG$2,,,COUNTIF($AG$2:$AG$50,"?*"),23),16,FALSE),"")</f>
        <v/>
      </c>
      <c r="F13" s="317"/>
      <c r="M13" s="4" t="str">
        <f ca="1">IFERROR(IF(VLOOKUP(M12,OFFSET($AG$2,,,COUNTIF($AG$2:$AG$50,"?*"),23),10,FALSE)&lt;&gt;0,VLOOKUP(M12,OFFSET($AG$2,,,COUNTIF($AG$2:$AG$50,"?*"),23),10,FALSE),""),"")</f>
        <v/>
      </c>
      <c r="N13" s="325" t="str">
        <f ca="1">IFERROR(IF(VLOOKUP(M12,OFFSET($AG$2,,,COUNTIF($AG$2:$AG$50,"?*"),23),2,FALSE)&lt;&gt;0,YEAR(VLOOKUP(M12,OFFSET($AG$2,,,COUNTIF($AG$2:$AG$50,"?*"),23),2,FALSE)),""),"")</f>
        <v/>
      </c>
      <c r="O13" s="326"/>
      <c r="P13" s="118" t="str">
        <f ca="1">IFERROR(VLOOKUP(M12,OFFSET($AG$2,,,COUNTIF($AG$2:$AG$50,"?*"),23),15,FALSE),"")</f>
        <v/>
      </c>
      <c r="Q13" s="316" t="str">
        <f ca="1">IFERROR(VLOOKUP(M12,OFFSET($AG$2,,,COUNTIF($AG$2:$AG$50,"?*"),23),16,FALSE),"")</f>
        <v/>
      </c>
      <c r="R13" s="317"/>
      <c r="S13" s="111" t="s">
        <v>1065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NE</v>
      </c>
      <c r="AG13" s="122" t="s">
        <v>397</v>
      </c>
      <c r="AH13" s="123">
        <v>33095</v>
      </c>
      <c r="AI13" s="124">
        <v>187</v>
      </c>
      <c r="AJ13" s="124">
        <v>64</v>
      </c>
      <c r="AK13" s="124">
        <v>75</v>
      </c>
      <c r="AL13" s="125">
        <f t="shared" si="1"/>
        <v>139</v>
      </c>
      <c r="AM13" s="124">
        <v>12</v>
      </c>
      <c r="AN13" s="124">
        <v>71</v>
      </c>
      <c r="AO13" s="126"/>
      <c r="AP13" s="126" t="s">
        <v>27</v>
      </c>
      <c r="AQ13" s="124">
        <v>190</v>
      </c>
      <c r="AR13" s="124">
        <v>82</v>
      </c>
      <c r="AS13" s="127" t="s">
        <v>412</v>
      </c>
      <c r="AT13" s="124">
        <v>2000</v>
      </c>
      <c r="AU13" s="128">
        <f t="shared" ca="1" si="2"/>
        <v>31</v>
      </c>
      <c r="AV13" s="128" t="str">
        <f t="shared" si="3"/>
        <v>190/82</v>
      </c>
      <c r="AW13" s="129" t="str">
        <f t="shared" ca="1" si="6"/>
        <v>Jastřembský</v>
      </c>
      <c r="AX13" s="130" t="str">
        <f t="shared" ca="1" si="4"/>
        <v>0 OZ, 0 (0+0)</v>
      </c>
      <c r="AY13" s="130" t="str">
        <f t="shared" ca="1" si="5"/>
        <v>187 OZ, 139 (64+75)</v>
      </c>
      <c r="AZ13" s="131"/>
      <c r="BA13" s="131"/>
      <c r="BB13" s="131"/>
      <c r="BC13" s="131"/>
      <c r="BD13" s="90" t="str">
        <f t="shared" si="7"/>
        <v>Jastřembský</v>
      </c>
      <c r="BE13" s="92">
        <f t="shared" ca="1" si="8"/>
        <v>1</v>
      </c>
      <c r="BF13" s="91" t="str">
        <f t="shared" si="9"/>
        <v>J</v>
      </c>
      <c r="BG13" s="90" t="str">
        <f t="shared" ca="1" si="10"/>
        <v/>
      </c>
      <c r="BH13" s="91">
        <f t="shared" ca="1" si="11"/>
        <v>0</v>
      </c>
      <c r="BI13" s="90" t="str">
        <f t="shared" ca="1" si="12"/>
        <v/>
      </c>
      <c r="BJ13" s="91">
        <f t="shared" ca="1" si="11"/>
        <v>0</v>
      </c>
      <c r="BK13" s="90" t="str">
        <f t="shared" ca="1" si="13"/>
        <v/>
      </c>
      <c r="BL13" s="91">
        <f t="shared" ca="1" si="14"/>
        <v>0</v>
      </c>
      <c r="BM13" s="90" t="str">
        <f t="shared" ca="1" si="15"/>
        <v/>
      </c>
      <c r="BS13" s="361"/>
      <c r="BT13" s="105" t="s">
        <v>429</v>
      </c>
      <c r="BU13" s="104">
        <v>3</v>
      </c>
      <c r="BV13" s="105" t="str">
        <f t="shared" si="17"/>
        <v>Rostislav Gattnar</v>
      </c>
      <c r="BW13" s="103">
        <f t="shared" si="18"/>
        <v>3</v>
      </c>
    </row>
    <row r="14" spans="1:79" ht="15" customHeight="1" thickTop="1" thickBot="1" x14ac:dyDescent="0.25">
      <c r="A14" s="318" t="str">
        <f ca="1">IFERROR(VLOOKUP(A12,OFFSET($AG$2,,,COUNTIF($AG$2:$AG$50,"?*"),23),18,FALSE),"")</f>
        <v/>
      </c>
      <c r="B14" s="319"/>
      <c r="C14" s="319"/>
      <c r="D14" s="320" t="str">
        <f ca="1">IFERROR(VLOOKUP(A12,OFFSET($AG$2,,,COUNTIF($AG$2:$AG$50,"?*"),23),19,FALSE),"")</f>
        <v/>
      </c>
      <c r="E14" s="320"/>
      <c r="F14" s="321"/>
      <c r="G14" s="322"/>
      <c r="H14" s="323"/>
      <c r="I14" s="323"/>
      <c r="J14" s="32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8" t="str">
        <f ca="1">IFERROR(VLOOKUP(M12,OFFSET($AG$2,,,COUNTIF($AG$2:$AG$50,"?*"),23),18,FALSE),"")</f>
        <v/>
      </c>
      <c r="N14" s="319"/>
      <c r="O14" s="319"/>
      <c r="P14" s="320" t="str">
        <f ca="1">IFERROR(VLOOKUP(M12,OFFSET($AG$2,,,COUNTIF($AG$2:$AG$50,"?*"),23),19,FALSE),"")</f>
        <v/>
      </c>
      <c r="Q14" s="320"/>
      <c r="R14" s="321"/>
      <c r="S14" s="111" t="s">
        <v>387</v>
      </c>
      <c r="T14" s="103" t="s">
        <v>133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393</v>
      </c>
      <c r="AH14" s="123">
        <v>37275</v>
      </c>
      <c r="AI14" s="124">
        <v>19</v>
      </c>
      <c r="AJ14" s="124">
        <v>3</v>
      </c>
      <c r="AK14" s="124">
        <v>1</v>
      </c>
      <c r="AL14" s="125">
        <f t="shared" si="1"/>
        <v>4</v>
      </c>
      <c r="AM14" s="124">
        <v>3</v>
      </c>
      <c r="AN14" s="124">
        <v>92</v>
      </c>
      <c r="AO14" s="126"/>
      <c r="AP14" s="126" t="s">
        <v>27</v>
      </c>
      <c r="AQ14" s="124">
        <v>184</v>
      </c>
      <c r="AR14" s="124">
        <v>69</v>
      </c>
      <c r="AS14" s="127" t="s">
        <v>413</v>
      </c>
      <c r="AT14" s="124">
        <v>2010</v>
      </c>
      <c r="AU14" s="128">
        <f t="shared" ca="1" si="2"/>
        <v>19</v>
      </c>
      <c r="AV14" s="128" t="str">
        <f t="shared" si="3"/>
        <v>184/69</v>
      </c>
      <c r="AW14" s="129" t="str">
        <f t="shared" ca="1" si="6"/>
        <v>Kaleta</v>
      </c>
      <c r="AX14" s="130" t="str">
        <f t="shared" ca="1" si="4"/>
        <v>2 OZ, 0 (0+0), +1 ±</v>
      </c>
      <c r="AY14" s="130" t="str">
        <f t="shared" ca="1" si="5"/>
        <v>21 OZ, 4 (3+1)</v>
      </c>
      <c r="AZ14" s="131"/>
      <c r="BA14" s="131"/>
      <c r="BB14" s="131"/>
      <c r="BC14" s="131"/>
      <c r="BD14" s="3" t="str">
        <f t="shared" si="7"/>
        <v>Kaleta</v>
      </c>
      <c r="BE14" s="85">
        <f t="shared" ca="1" si="8"/>
        <v>1</v>
      </c>
      <c r="BF14" s="62" t="str">
        <f t="shared" si="9"/>
        <v>Š</v>
      </c>
      <c r="BG14" s="3" t="str">
        <f t="shared" ca="1" si="10"/>
        <v/>
      </c>
      <c r="BH14" s="62">
        <f t="shared" ca="1" si="11"/>
        <v>0</v>
      </c>
      <c r="BI14" s="3" t="str">
        <f t="shared" ca="1" si="12"/>
        <v/>
      </c>
      <c r="BJ14" s="62">
        <f t="shared" ca="1" si="11"/>
        <v>0</v>
      </c>
      <c r="BK14" s="3" t="str">
        <f t="shared" ca="1" si="13"/>
        <v/>
      </c>
      <c r="BL14" s="62">
        <f t="shared" ca="1" si="14"/>
        <v>0</v>
      </c>
      <c r="BM14" s="3" t="str">
        <f t="shared" ca="1" si="15"/>
        <v/>
      </c>
      <c r="BS14" s="361"/>
      <c r="BT14" s="105" t="s">
        <v>430</v>
      </c>
      <c r="BU14" s="104">
        <v>2</v>
      </c>
      <c r="BV14" s="105" t="str">
        <f t="shared" si="17"/>
        <v>Filip Čonka-Skyba</v>
      </c>
      <c r="BW14" s="103">
        <f t="shared" si="18"/>
        <v>2</v>
      </c>
    </row>
    <row r="15" spans="1:79" ht="15" customHeight="1" thickBot="1" x14ac:dyDescent="0.25">
      <c r="A15" s="327" t="str">
        <f ca="1">IFERROR(IF(VLOOKUP(A12,OFFSET($AG$2,,,COUNTIF($AG$2:$AG$50,"?*"),23),13,FALSE)&lt;&gt;0,VLOOKUP(A12,OFFSET($AG$2,,,COUNTIF($AG$2:$AG$50,"?*"),23),13,FALSE),"?"),"")</f>
        <v/>
      </c>
      <c r="B15" s="328"/>
      <c r="C15" s="329"/>
      <c r="D15" s="330" t="str">
        <f ca="1">IFERROR(IF(VLOOKUP(A12,OFFSET($AG$2,,,COUNTIF($AG$2:$AG$50,"?*"),23),14,FALSE)&lt;&gt;0,VLOOKUP(A12,OFFSET($AG$2,,,COUNTIF($AG$2:$AG$50,"?*"),23),14,FALSE),"?"),"")</f>
        <v/>
      </c>
      <c r="E15" s="33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5" t="str">
        <f ca="1">IFERROR(IF(VLOOKUP(G14,OFFSET($AG$2,,,COUNTIF($AG$2:$AG$50,"?*"),23),2,FALSE)&lt;&gt;0,YEAR(VLOOKUP(G14,OFFSET($AG$2,,,COUNTIF($AG$2:$AG$50,"?*"),23),2,FALSE)),""),"")</f>
        <v/>
      </c>
      <c r="I15" s="326"/>
      <c r="J15" s="118" t="str">
        <f ca="1">IFERROR(VLOOKUP(G14,OFFSET($AG$2,,,COUNTIF($AG$2:$AG$50,"?*"),23),15,FALSE),"")</f>
        <v/>
      </c>
      <c r="K15" s="316" t="str">
        <f ca="1">IFERROR(VLOOKUP(G14,OFFSET($AG$2,,,COUNTIF($AG$2:$AG$50,"?*"),23),16,FALSE),"")</f>
        <v/>
      </c>
      <c r="L15" s="317"/>
      <c r="M15" s="327" t="str">
        <f ca="1">IFERROR(IF(VLOOKUP(M12,OFFSET($AG$2,,,COUNTIF($AG$2:$AG$50,"?*"),23),13,FALSE)&lt;&gt;0,VLOOKUP(M12,OFFSET($AG$2,,,COUNTIF($AG$2:$AG$50,"?*"),23),13,FALSE),"?"),"")</f>
        <v/>
      </c>
      <c r="N15" s="328"/>
      <c r="O15" s="329"/>
      <c r="P15" s="330" t="str">
        <f ca="1">IFERROR(IF(VLOOKUP(M12,OFFSET($AG$2,,,COUNTIF($AG$2:$AG$50,"?*"),23),14,FALSE)&lt;&gt;0,VLOOKUP(M12,OFFSET($AG$2,,,COUNTIF($AG$2:$AG$50,"?*"),23),14,FALSE),"?"),"")</f>
        <v/>
      </c>
      <c r="Q15" s="331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391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398</v>
      </c>
      <c r="AH15" s="123">
        <v>36436</v>
      </c>
      <c r="AI15" s="124">
        <v>100</v>
      </c>
      <c r="AJ15" s="124">
        <v>28</v>
      </c>
      <c r="AK15" s="124">
        <v>42</v>
      </c>
      <c r="AL15" s="125">
        <f t="shared" si="1"/>
        <v>70</v>
      </c>
      <c r="AM15" s="124">
        <v>6</v>
      </c>
      <c r="AN15" s="124">
        <v>7</v>
      </c>
      <c r="AO15" s="126"/>
      <c r="AP15" s="126" t="s">
        <v>27</v>
      </c>
      <c r="AQ15" s="124">
        <v>175</v>
      </c>
      <c r="AR15" s="124">
        <v>65</v>
      </c>
      <c r="AS15" s="127" t="s">
        <v>414</v>
      </c>
      <c r="AT15" s="124">
        <v>2011</v>
      </c>
      <c r="AU15" s="128">
        <f t="shared" ca="1" si="2"/>
        <v>21</v>
      </c>
      <c r="AV15" s="128" t="str">
        <f t="shared" si="3"/>
        <v>175/65</v>
      </c>
      <c r="AW15" s="129" t="str">
        <f t="shared" ca="1" si="6"/>
        <v>Kuczera</v>
      </c>
      <c r="AX15" s="130" t="str">
        <f t="shared" ca="1" si="4"/>
        <v>0 OZ, 0 (0+0)</v>
      </c>
      <c r="AY15" s="130" t="str">
        <f t="shared" ca="1" si="5"/>
        <v>100 OZ, 70 (28+42)</v>
      </c>
      <c r="AZ15" s="131"/>
      <c r="BA15" s="131"/>
      <c r="BB15" s="131"/>
      <c r="BC15" s="131"/>
      <c r="BD15" s="90" t="str">
        <f t="shared" si="7"/>
        <v>Kuczera</v>
      </c>
      <c r="BE15" s="92">
        <f t="shared" ca="1" si="8"/>
        <v>1</v>
      </c>
      <c r="BF15" s="91" t="str">
        <f t="shared" si="9"/>
        <v>Š</v>
      </c>
      <c r="BG15" s="90" t="str">
        <f t="shared" ca="1" si="10"/>
        <v/>
      </c>
      <c r="BH15" s="91">
        <f t="shared" ca="1" si="11"/>
        <v>0</v>
      </c>
      <c r="BI15" s="90" t="str">
        <f t="shared" ca="1" si="12"/>
        <v/>
      </c>
      <c r="BJ15" s="91">
        <f t="shared" ca="1" si="11"/>
        <v>0</v>
      </c>
      <c r="BK15" s="90" t="str">
        <f t="shared" ca="1" si="13"/>
        <v/>
      </c>
      <c r="BL15" s="91">
        <f t="shared" ca="1" si="14"/>
        <v>0</v>
      </c>
      <c r="BM15" s="90" t="str">
        <f t="shared" ca="1" si="15"/>
        <v/>
      </c>
      <c r="BS15" s="361"/>
      <c r="BT15" s="105" t="s">
        <v>1071</v>
      </c>
      <c r="BU15" s="104">
        <v>2</v>
      </c>
      <c r="BV15" s="105" t="str">
        <f t="shared" si="17"/>
        <v>Marek Bräuer</v>
      </c>
      <c r="BW15" s="103">
        <f t="shared" si="18"/>
        <v>2</v>
      </c>
    </row>
    <row r="16" spans="1:79" ht="15" customHeight="1" thickTop="1" thickBot="1" x14ac:dyDescent="0.25">
      <c r="A16" s="8"/>
      <c r="B16" s="8"/>
      <c r="C16" s="8"/>
      <c r="D16" s="8"/>
      <c r="G16" s="318" t="str">
        <f ca="1">IFERROR(VLOOKUP(G14,OFFSET($AG$2,,,COUNTIF($AG$2:$AG$50,"?*"),23),18,FALSE),"")</f>
        <v/>
      </c>
      <c r="H16" s="319"/>
      <c r="I16" s="319"/>
      <c r="J16" s="320" t="str">
        <f ca="1">IFERROR(VLOOKUP(G14,OFFSET($AG$2,,,COUNTIF($AG$2:$AG$50,"?*"),23),19,FALSE),"")</f>
        <v/>
      </c>
      <c r="K16" s="320"/>
      <c r="L16" s="321"/>
      <c r="S16" s="111" t="s">
        <v>393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1</v>
      </c>
      <c r="AC16" s="103" t="str">
        <f t="shared" ca="1" si="0"/>
        <v>ANO</v>
      </c>
      <c r="AG16" s="122" t="s">
        <v>399</v>
      </c>
      <c r="AH16" s="123"/>
      <c r="AI16" s="124"/>
      <c r="AJ16" s="124"/>
      <c r="AK16" s="124"/>
      <c r="AL16" s="125">
        <f t="shared" si="1"/>
        <v>0</v>
      </c>
      <c r="AM16" s="124" t="s">
        <v>337</v>
      </c>
      <c r="AN16" s="124"/>
      <c r="AO16" s="126"/>
      <c r="AP16" s="126"/>
      <c r="AQ16" s="124"/>
      <c r="AR16" s="124"/>
      <c r="AS16" s="127"/>
      <c r="AT16" s="124"/>
      <c r="AU16" s="128" t="str">
        <f t="shared" ca="1" si="2"/>
        <v>?</v>
      </c>
      <c r="AV16" s="128" t="str">
        <f t="shared" si="3"/>
        <v>? / ?</v>
      </c>
      <c r="AW16" s="129" t="str">
        <f t="shared" ca="1" si="6"/>
        <v>Kvasnica</v>
      </c>
      <c r="AX16" s="130" t="str">
        <f t="shared" ca="1" si="4"/>
        <v>0 OZ, 0 (0+0)</v>
      </c>
      <c r="AY16" s="130" t="str">
        <f t="shared" ca="1" si="5"/>
        <v xml:space="preserve"> OZ, 0 (+)</v>
      </c>
      <c r="AZ16" s="131"/>
      <c r="BA16" s="131"/>
      <c r="BB16" s="131"/>
      <c r="BC16" s="131"/>
      <c r="BD16" s="3" t="str">
        <f t="shared" si="7"/>
        <v>Kvasnica</v>
      </c>
      <c r="BE16" s="85">
        <f t="shared" ca="1" si="8"/>
        <v>1</v>
      </c>
      <c r="BF16" s="62" t="str">
        <f t="shared" si="9"/>
        <v>T</v>
      </c>
      <c r="BG16" s="3" t="str">
        <f t="shared" ca="1" si="10"/>
        <v/>
      </c>
      <c r="BH16" s="62">
        <f t="shared" ca="1" si="11"/>
        <v>0</v>
      </c>
      <c r="BI16" s="3" t="str">
        <f t="shared" ca="1" si="12"/>
        <v/>
      </c>
      <c r="BJ16" s="62">
        <f t="shared" ca="1" si="11"/>
        <v>0</v>
      </c>
      <c r="BK16" s="3" t="str">
        <f t="shared" ca="1" si="13"/>
        <v/>
      </c>
      <c r="BL16" s="62">
        <f t="shared" ca="1" si="14"/>
        <v>0</v>
      </c>
      <c r="BM16" s="3" t="str">
        <f t="shared" ca="1" si="15"/>
        <v/>
      </c>
      <c r="BS16" s="361"/>
      <c r="BT16" s="105" t="s">
        <v>1072</v>
      </c>
      <c r="BU16" s="104">
        <v>2</v>
      </c>
      <c r="BV16" s="105" t="str">
        <f t="shared" si="17"/>
        <v>Matyáš Šindler</v>
      </c>
      <c r="BW16" s="103">
        <f t="shared" si="18"/>
        <v>2</v>
      </c>
    </row>
    <row r="17" spans="1:75" ht="15" customHeight="1" thickTop="1" thickBot="1" x14ac:dyDescent="0.25">
      <c r="A17" s="322"/>
      <c r="B17" s="323"/>
      <c r="C17" s="323"/>
      <c r="D17" s="32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27" t="str">
        <f ca="1">IFERROR(IF(VLOOKUP(G14,OFFSET($AG$2,,,COUNTIF($AG$2:$AG$50,"?*"),23),13,FALSE)&lt;&gt;0,VLOOKUP(G14,OFFSET($AG$2,,,COUNTIF($AG$2:$AG$50,"?*"),23),13,FALSE),"?"),"")</f>
        <v/>
      </c>
      <c r="H17" s="328"/>
      <c r="I17" s="329"/>
      <c r="J17" s="330" t="str">
        <f ca="1">IFERROR(IF(VLOOKUP(G14,OFFSET($AG$2,,,COUNTIF($AG$2:$AG$50,"?*"),23),14,FALSE)&lt;&gt;0,VLOOKUP(G14,OFFSET($AG$2,,,COUNTIF($AG$2:$AG$50,"?*"),23),14,FALSE),"?"),"")</f>
        <v/>
      </c>
      <c r="K17" s="331"/>
      <c r="L17" s="7" t="str">
        <f ca="1">IFERROR(IF(VLOOKUP(G14,OFFSET($AG$2,,,COUNTIF($AG$2:$AG$50,"?*"),23),7,FALSE)&lt;&gt;0,VLOOKUP(G14,OFFSET($AG$2,,,COUNTIF($AG$2:$AG$50,"?*"),23),7,FALSE),"?"),"")</f>
        <v/>
      </c>
      <c r="M17" s="322"/>
      <c r="N17" s="323"/>
      <c r="O17" s="323"/>
      <c r="P17" s="32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392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2</v>
      </c>
      <c r="AC17" s="103" t="str">
        <f t="shared" ca="1" si="0"/>
        <v>ANO</v>
      </c>
      <c r="AG17" s="122" t="s">
        <v>390</v>
      </c>
      <c r="AH17" s="123"/>
      <c r="AI17" s="124"/>
      <c r="AJ17" s="124"/>
      <c r="AK17" s="124"/>
      <c r="AL17" s="125">
        <f t="shared" si="1"/>
        <v>0</v>
      </c>
      <c r="AM17" s="124" t="s">
        <v>337</v>
      </c>
      <c r="AN17" s="124"/>
      <c r="AO17" s="126"/>
      <c r="AP17" s="126"/>
      <c r="AQ17" s="124"/>
      <c r="AR17" s="124"/>
      <c r="AS17" s="127"/>
      <c r="AT17" s="124"/>
      <c r="AU17" s="128" t="str">
        <f t="shared" ca="1" si="2"/>
        <v>?</v>
      </c>
      <c r="AV17" s="128" t="str">
        <f t="shared" si="3"/>
        <v>? / ?</v>
      </c>
      <c r="AW17" s="129" t="str">
        <f t="shared" ca="1" si="6"/>
        <v>Maláč</v>
      </c>
      <c r="AX17" s="130" t="str">
        <f t="shared" ca="1" si="4"/>
        <v>0 V, 0 P</v>
      </c>
      <c r="AY17" s="130" t="str">
        <f t="shared" ca="1" si="5"/>
        <v>0 OZ, 0 A</v>
      </c>
      <c r="AZ17" s="131"/>
      <c r="BA17" s="131"/>
      <c r="BB17" s="131"/>
      <c r="BC17" s="131"/>
      <c r="BD17" s="90" t="str">
        <f t="shared" si="7"/>
        <v>Maláč</v>
      </c>
      <c r="BE17" s="92">
        <f t="shared" ca="1" si="8"/>
        <v>1</v>
      </c>
      <c r="BF17" s="91" t="str">
        <f t="shared" si="9"/>
        <v>P</v>
      </c>
      <c r="BG17" s="90" t="str">
        <f t="shared" ca="1" si="10"/>
        <v/>
      </c>
      <c r="BH17" s="91">
        <f t="shared" ca="1" si="11"/>
        <v>0</v>
      </c>
      <c r="BI17" s="90" t="str">
        <f t="shared" ca="1" si="12"/>
        <v/>
      </c>
      <c r="BJ17" s="91">
        <f t="shared" ca="1" si="11"/>
        <v>0</v>
      </c>
      <c r="BK17" s="90" t="str">
        <f t="shared" ca="1" si="13"/>
        <v/>
      </c>
      <c r="BL17" s="91">
        <f t="shared" ca="1" si="14"/>
        <v>0</v>
      </c>
      <c r="BM17" s="90" t="str">
        <f t="shared" ca="1" si="15"/>
        <v/>
      </c>
      <c r="BS17" s="361" t="s">
        <v>41</v>
      </c>
      <c r="BT17" s="105" t="s">
        <v>433</v>
      </c>
      <c r="BU17" s="104">
        <v>1</v>
      </c>
      <c r="BV17" s="105" t="str">
        <f t="shared" si="17"/>
        <v>Denis Jasiok</v>
      </c>
      <c r="BW17" s="103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5" t="str">
        <f ca="1">IFERROR(IF(VLOOKUP(A17,OFFSET($AG$2,,,COUNTIF($AG$2:$AG$50,"?*"),23),2,FALSE)&lt;&gt;0,YEAR(VLOOKUP(A17,OFFSET($AG$2,,,COUNTIF($AG$2:$AG$50,"?*"),23),2,FALSE)),""),"")</f>
        <v/>
      </c>
      <c r="C18" s="326"/>
      <c r="D18" s="151" t="str">
        <f ca="1">IFERROR(VLOOKUP(A17,OFFSET($AG$2,,,COUNTIF($AG$2:$AG$50,"?*"),23),15,FALSE),"")</f>
        <v/>
      </c>
      <c r="E18" s="316" t="str">
        <f ca="1">IFERROR(VLOOKUP(A17,OFFSET($AG$2,,,COUNTIF($AG$2:$AG$50,"?*"),23),16,FALSE),"")</f>
        <v/>
      </c>
      <c r="F18" s="317"/>
      <c r="M18" s="4" t="str">
        <f ca="1">IFERROR(IF(VLOOKUP(M17,OFFSET($AG$2,,,COUNTIF($AG$2:$AG$50,"?*"),23),10,FALSE)&lt;&gt;0,VLOOKUP(M17,OFFSET($AG$2,,,COUNTIF($AG$2:$AG$50,"?*"),23),10,FALSE),""),"")</f>
        <v/>
      </c>
      <c r="N18" s="325" t="str">
        <f ca="1">IFERROR(IF(VLOOKUP(M17,OFFSET($AG$2,,,COUNTIF($AG$2:$AG$50,"?*"),23),2,FALSE)&lt;&gt;0,YEAR(VLOOKUP(M17,OFFSET($AG$2,,,COUNTIF($AG$2:$AG$50,"?*"),23),2,FALSE)),""),"")</f>
        <v/>
      </c>
      <c r="O18" s="326"/>
      <c r="P18" s="118" t="str">
        <f ca="1">IFERROR(VLOOKUP(M17,OFFSET($AG$2,,,COUNTIF($AG$2:$AG$50,"?*"),23),15,FALSE),"")</f>
        <v/>
      </c>
      <c r="Q18" s="316" t="str">
        <f ca="1">IFERROR(VLOOKUP(M17,OFFSET($AG$2,,,COUNTIF($AG$2:$AG$50,"?*"),23),16,FALSE),"")</f>
        <v/>
      </c>
      <c r="R18" s="317"/>
      <c r="S18" s="111" t="s">
        <v>390</v>
      </c>
      <c r="T18" s="103" t="s">
        <v>131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379</v>
      </c>
      <c r="AH18" s="123">
        <v>34289</v>
      </c>
      <c r="AI18" s="124">
        <v>205</v>
      </c>
      <c r="AJ18" s="124">
        <v>122</v>
      </c>
      <c r="AK18" s="124">
        <v>109</v>
      </c>
      <c r="AL18" s="125">
        <f t="shared" si="1"/>
        <v>231</v>
      </c>
      <c r="AM18" s="124">
        <v>12</v>
      </c>
      <c r="AN18" s="124">
        <v>86</v>
      </c>
      <c r="AO18" s="126"/>
      <c r="AP18" s="126" t="s">
        <v>163</v>
      </c>
      <c r="AQ18" s="124">
        <v>168</v>
      </c>
      <c r="AR18" s="124">
        <v>69</v>
      </c>
      <c r="AS18" s="127" t="s">
        <v>406</v>
      </c>
      <c r="AT18" s="124">
        <v>2006</v>
      </c>
      <c r="AU18" s="128">
        <f t="shared" ca="1" si="2"/>
        <v>27</v>
      </c>
      <c r="AV18" s="128" t="str">
        <f t="shared" si="3"/>
        <v>168/69</v>
      </c>
      <c r="AW18" s="129" t="str">
        <f t="shared" ca="1" si="6"/>
        <v>Matejčík</v>
      </c>
      <c r="AX18" s="130" t="str">
        <f t="shared" ca="1" si="4"/>
        <v>2 OZ, 4 (1+3), +3 ±</v>
      </c>
      <c r="AY18" s="130" t="str">
        <f t="shared" ca="1" si="5"/>
        <v>207 OZ, 235 (123+112)</v>
      </c>
      <c r="AZ18" s="131"/>
      <c r="BA18" s="131"/>
      <c r="BB18" s="131"/>
      <c r="BC18" s="131"/>
      <c r="BD18" s="3" t="str">
        <f t="shared" si="7"/>
        <v>Matejčík</v>
      </c>
      <c r="BE18" s="85">
        <f t="shared" ca="1" si="8"/>
        <v>1</v>
      </c>
      <c r="BF18" s="62" t="str">
        <f t="shared" si="9"/>
        <v>M</v>
      </c>
      <c r="BG18" s="3" t="str">
        <f t="shared" ca="1" si="10"/>
        <v/>
      </c>
      <c r="BH18" s="62">
        <f t="shared" ca="1" si="11"/>
        <v>0</v>
      </c>
      <c r="BI18" s="3" t="str">
        <f t="shared" ca="1" si="12"/>
        <v/>
      </c>
      <c r="BJ18" s="62">
        <f t="shared" ca="1" si="11"/>
        <v>0</v>
      </c>
      <c r="BK18" s="3" t="str">
        <f t="shared" ca="1" si="13"/>
        <v/>
      </c>
      <c r="BL18" s="62">
        <f t="shared" ca="1" si="14"/>
        <v>0</v>
      </c>
      <c r="BM18" s="3" t="str">
        <f t="shared" ca="1" si="15"/>
        <v/>
      </c>
      <c r="BS18" s="361"/>
      <c r="BT18" s="105" t="s">
        <v>435</v>
      </c>
      <c r="BU18" s="104">
        <v>0</v>
      </c>
      <c r="BV18" s="105" t="str">
        <f t="shared" si="17"/>
        <v>Petr Maláč</v>
      </c>
      <c r="BW18" s="103">
        <f t="shared" si="18"/>
        <v>0</v>
      </c>
    </row>
    <row r="19" spans="1:75" ht="15" customHeight="1" x14ac:dyDescent="0.2">
      <c r="A19" s="318" t="str">
        <f ca="1">IFERROR(VLOOKUP(A17,OFFSET($AG$2,,,COUNTIF($AG$2:$AG$50,"?*"),23),18,FALSE),"")</f>
        <v/>
      </c>
      <c r="B19" s="319"/>
      <c r="C19" s="319"/>
      <c r="D19" s="320" t="str">
        <f ca="1">IFERROR(VLOOKUP(A17,OFFSET($AG$2,,,COUNTIF($AG$2:$AG$50,"?*"),23),19,FALSE),"")</f>
        <v/>
      </c>
      <c r="E19" s="320"/>
      <c r="F19" s="321"/>
      <c r="H19" s="332" t="str">
        <f>H$8</f>
        <v>VIT</v>
      </c>
      <c r="I19" s="332"/>
      <c r="J19" s="332"/>
      <c r="K19" s="332"/>
      <c r="M19" s="318" t="str">
        <f ca="1">IFERROR(VLOOKUP(M17,OFFSET($AG$2,,,COUNTIF($AG$2:$AG$50,"?*"),23),18,FALSE),"")</f>
        <v/>
      </c>
      <c r="N19" s="319"/>
      <c r="O19" s="319"/>
      <c r="P19" s="320" t="str">
        <f ca="1">IFERROR(VLOOKUP(M17,OFFSET($AG$2,,,COUNTIF($AG$2:$AG$50,"?*"),23),19,FALSE),"")</f>
        <v/>
      </c>
      <c r="Q19" s="320"/>
      <c r="R19" s="321"/>
      <c r="S19" s="111" t="s">
        <v>388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2</v>
      </c>
      <c r="AC19" s="103" t="str">
        <f t="shared" ca="1" si="0"/>
        <v>ANO</v>
      </c>
      <c r="AG19" s="122" t="s">
        <v>400</v>
      </c>
      <c r="AH19" s="123"/>
      <c r="AI19" s="124"/>
      <c r="AJ19" s="124"/>
      <c r="AK19" s="124"/>
      <c r="AL19" s="125">
        <f t="shared" si="1"/>
        <v>0</v>
      </c>
      <c r="AM19" s="124" t="s">
        <v>337</v>
      </c>
      <c r="AN19" s="124">
        <v>89</v>
      </c>
      <c r="AO19" s="126"/>
      <c r="AP19" s="126"/>
      <c r="AQ19" s="124"/>
      <c r="AR19" s="124"/>
      <c r="AS19" s="127"/>
      <c r="AT19" s="124"/>
      <c r="AU19" s="128" t="str">
        <f t="shared" ca="1" si="2"/>
        <v>?</v>
      </c>
      <c r="AV19" s="128" t="str">
        <f t="shared" si="3"/>
        <v>? / ?</v>
      </c>
      <c r="AW19" s="129" t="str">
        <f t="shared" ca="1" si="6"/>
        <v>Mirt</v>
      </c>
      <c r="AX19" s="130" t="str">
        <f t="shared" ca="1" si="4"/>
        <v>0 OZ, 0 (0+0)</v>
      </c>
      <c r="AY19" s="130" t="str">
        <f t="shared" ca="1" si="5"/>
        <v xml:space="preserve"> OZ, 0 (+)</v>
      </c>
      <c r="AZ19" s="131"/>
      <c r="BA19" s="131"/>
      <c r="BB19" s="131"/>
      <c r="BC19" s="131"/>
      <c r="BD19" s="90" t="str">
        <f t="shared" si="7"/>
        <v>Mirt</v>
      </c>
      <c r="BE19" s="92">
        <f t="shared" ca="1" si="8"/>
        <v>1</v>
      </c>
      <c r="BF19" s="91" t="str">
        <f t="shared" si="9"/>
        <v>L</v>
      </c>
      <c r="BG19" s="90" t="str">
        <f t="shared" ca="1" si="10"/>
        <v/>
      </c>
      <c r="BH19" s="91">
        <f t="shared" ca="1" si="11"/>
        <v>0</v>
      </c>
      <c r="BI19" s="90" t="str">
        <f t="shared" ca="1" si="12"/>
        <v/>
      </c>
      <c r="BJ19" s="91">
        <f t="shared" ca="1" si="11"/>
        <v>0</v>
      </c>
      <c r="BK19" s="90" t="str">
        <f t="shared" ca="1" si="13"/>
        <v/>
      </c>
      <c r="BL19" s="91">
        <f t="shared" ca="1" si="14"/>
        <v>0</v>
      </c>
      <c r="BM19" s="90" t="str">
        <f t="shared" ca="1" si="15"/>
        <v/>
      </c>
      <c r="BS19" s="361"/>
      <c r="BV19" s="105" t="str">
        <f t="shared" si="17"/>
        <v/>
      </c>
      <c r="BW19" s="103" t="str">
        <f t="shared" si="18"/>
        <v/>
      </c>
    </row>
    <row r="20" spans="1:75" ht="15" customHeight="1" thickBot="1" x14ac:dyDescent="0.25">
      <c r="A20" s="327" t="str">
        <f ca="1">IFERROR(IF(VLOOKUP(A17,OFFSET($AG$2,,,COUNTIF($AG$2:$AG$50,"?*"),23),13,FALSE)&lt;&gt;0,VLOOKUP(A17,OFFSET($AG$2,,,COUNTIF($AG$2:$AG$50,"?*"),23),13,FALSE),"?"),"")</f>
        <v/>
      </c>
      <c r="B20" s="328"/>
      <c r="C20" s="329"/>
      <c r="D20" s="330" t="str">
        <f ca="1">IFERROR(IF(VLOOKUP(A17,OFFSET($AG$2,,,COUNTIF($AG$2:$AG$50,"?*"),23),14,FALSE)&lt;&gt;0,VLOOKUP(A17,OFFSET($AG$2,,,COUNTIF($AG$2:$AG$50,"?*"),23),14,FALSE),"?"),"")</f>
        <v/>
      </c>
      <c r="E20" s="331"/>
      <c r="F20" s="7" t="str">
        <f ca="1">IFERROR(IF(VLOOKUP(A17,OFFSET($AG$2,,,COUNTIF($AG$2:$AG$50,"?*"),23),7,FALSE)&lt;&gt;0,VLOOKUP(A17,OFFSET($AG$2,,,COUNTIF($AG$2:$AG$50,"?*"),23),7,FALSE),"?"),"")</f>
        <v/>
      </c>
      <c r="H20" s="332"/>
      <c r="I20" s="332"/>
      <c r="J20" s="332"/>
      <c r="K20" s="332"/>
      <c r="M20" s="327" t="str">
        <f ca="1">IFERROR(IF(VLOOKUP(M17,OFFSET($AG$2,,,COUNTIF($AG$2:$AG$50,"?*"),23),13,FALSE)&lt;&gt;0,VLOOKUP(M17,OFFSET($AG$2,,,COUNTIF($AG$2:$AG$50,"?*"),23),13,FALSE),"?"),"")</f>
        <v/>
      </c>
      <c r="N20" s="328"/>
      <c r="O20" s="329"/>
      <c r="P20" s="330" t="str">
        <f ca="1">IFERROR(IF(VLOOKUP(M17,OFFSET($AG$2,,,COUNTIF($AG$2:$AG$50,"?*"),23),14,FALSE)&lt;&gt;0,VLOOKUP(M17,OFFSET($AG$2,,,COUNTIF($AG$2:$AG$50,"?*"),23),14,FALSE),"?"),"")</f>
        <v/>
      </c>
      <c r="Q20" s="331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386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2</v>
      </c>
      <c r="AC20" s="103" t="str">
        <f t="shared" ca="1" si="0"/>
        <v>NE</v>
      </c>
      <c r="AG20" s="122" t="s">
        <v>388</v>
      </c>
      <c r="AH20" s="123">
        <v>33949</v>
      </c>
      <c r="AI20" s="124">
        <v>139</v>
      </c>
      <c r="AJ20" s="124">
        <v>10</v>
      </c>
      <c r="AK20" s="124">
        <v>30</v>
      </c>
      <c r="AL20" s="125">
        <f t="shared" si="1"/>
        <v>40</v>
      </c>
      <c r="AM20" s="124">
        <v>8</v>
      </c>
      <c r="AN20" s="124">
        <v>23</v>
      </c>
      <c r="AO20" s="126"/>
      <c r="AP20" s="126" t="s">
        <v>163</v>
      </c>
      <c r="AQ20" s="124">
        <v>179</v>
      </c>
      <c r="AR20" s="124">
        <v>69</v>
      </c>
      <c r="AS20" s="127" t="s">
        <v>415</v>
      </c>
      <c r="AT20" s="124">
        <v>2008</v>
      </c>
      <c r="AU20" s="128">
        <f t="shared" ca="1" si="2"/>
        <v>28</v>
      </c>
      <c r="AV20" s="128" t="str">
        <f t="shared" si="3"/>
        <v>179/69</v>
      </c>
      <c r="AW20" s="129" t="str">
        <f t="shared" ca="1" si="6"/>
        <v>Nehera</v>
      </c>
      <c r="AX20" s="130" t="str">
        <f t="shared" ca="1" si="4"/>
        <v>2 OZ, 0 (0+0), +2 ±</v>
      </c>
      <c r="AY20" s="130" t="str">
        <f t="shared" ca="1" si="5"/>
        <v>141 OZ, 40 (10+30)</v>
      </c>
      <c r="AZ20" s="131"/>
      <c r="BA20" s="131"/>
      <c r="BB20" s="131"/>
      <c r="BC20" s="131"/>
      <c r="BD20" s="3" t="str">
        <f t="shared" si="7"/>
        <v>Nehera</v>
      </c>
      <c r="BE20" s="85">
        <f t="shared" ca="1" si="8"/>
        <v>1</v>
      </c>
      <c r="BF20" s="62" t="str">
        <f t="shared" si="9"/>
        <v>M</v>
      </c>
      <c r="BG20" s="3" t="str">
        <f t="shared" ca="1" si="10"/>
        <v/>
      </c>
      <c r="BH20" s="62">
        <f t="shared" ca="1" si="11"/>
        <v>0</v>
      </c>
      <c r="BI20" s="3" t="str">
        <f t="shared" ca="1" si="12"/>
        <v/>
      </c>
      <c r="BJ20" s="62">
        <f t="shared" ca="1" si="11"/>
        <v>0</v>
      </c>
      <c r="BK20" s="3" t="str">
        <f t="shared" ca="1" si="13"/>
        <v/>
      </c>
      <c r="BL20" s="62">
        <f t="shared" ca="1" si="14"/>
        <v>0</v>
      </c>
      <c r="BM20" s="3" t="str">
        <f t="shared" ca="1" si="15"/>
        <v/>
      </c>
      <c r="BS20" s="361"/>
      <c r="BV20" s="105" t="str">
        <f t="shared" si="17"/>
        <v/>
      </c>
      <c r="BW20" s="10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389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384</v>
      </c>
      <c r="AH21" s="123">
        <v>37063</v>
      </c>
      <c r="AI21" s="124">
        <v>42</v>
      </c>
      <c r="AJ21" s="124">
        <v>19</v>
      </c>
      <c r="AK21" s="124">
        <v>13</v>
      </c>
      <c r="AL21" s="125">
        <f t="shared" si="1"/>
        <v>32</v>
      </c>
      <c r="AM21" s="124">
        <v>3</v>
      </c>
      <c r="AN21" s="124">
        <v>18</v>
      </c>
      <c r="AO21" s="126"/>
      <c r="AP21" s="126" t="s">
        <v>163</v>
      </c>
      <c r="AQ21" s="124">
        <v>186</v>
      </c>
      <c r="AR21" s="124">
        <v>70</v>
      </c>
      <c r="AS21" s="127" t="s">
        <v>416</v>
      </c>
      <c r="AT21" s="124">
        <v>2009</v>
      </c>
      <c r="AU21" s="128">
        <f t="shared" ca="1" si="2"/>
        <v>20</v>
      </c>
      <c r="AV21" s="128" t="str">
        <f t="shared" si="3"/>
        <v>186/70</v>
      </c>
      <c r="AW21" s="129" t="str">
        <f t="shared" ca="1" si="6"/>
        <v>Sidunov</v>
      </c>
      <c r="AX21" s="130" t="str">
        <f t="shared" ca="1" si="4"/>
        <v>2 OZ, 1 (0+1), +2 ±</v>
      </c>
      <c r="AY21" s="130" t="str">
        <f t="shared" ca="1" si="5"/>
        <v>44 OZ, 33 (19+14)</v>
      </c>
      <c r="AZ21" s="131"/>
      <c r="BA21" s="131"/>
      <c r="BB21" s="131"/>
      <c r="BC21" s="131"/>
      <c r="BD21" s="90" t="str">
        <f t="shared" si="7"/>
        <v>Sidunov</v>
      </c>
      <c r="BE21" s="92">
        <f t="shared" ca="1" si="8"/>
        <v>1</v>
      </c>
      <c r="BF21" s="91" t="str">
        <f t="shared" si="9"/>
        <v>O</v>
      </c>
      <c r="BG21" s="90" t="str">
        <f t="shared" ca="1" si="10"/>
        <v/>
      </c>
      <c r="BH21" s="91">
        <f t="shared" ca="1" si="11"/>
        <v>0</v>
      </c>
      <c r="BI21" s="90" t="str">
        <f t="shared" ca="1" si="12"/>
        <v/>
      </c>
      <c r="BJ21" s="91">
        <f t="shared" ca="1" si="11"/>
        <v>0</v>
      </c>
      <c r="BK21" s="90" t="str">
        <f t="shared" ca="1" si="13"/>
        <v/>
      </c>
      <c r="BL21" s="91">
        <f t="shared" ca="1" si="14"/>
        <v>0</v>
      </c>
      <c r="BM21" s="90" t="str">
        <f t="shared" ca="1" si="15"/>
        <v/>
      </c>
      <c r="BS21" s="361"/>
      <c r="BV21" s="105" t="str">
        <f t="shared" si="17"/>
        <v/>
      </c>
      <c r="BW21" s="103" t="str">
        <f t="shared" si="18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401</v>
      </c>
      <c r="AH22" s="123">
        <v>31633</v>
      </c>
      <c r="AI22" s="124">
        <v>165</v>
      </c>
      <c r="AJ22" s="124">
        <v>90</v>
      </c>
      <c r="AK22" s="124">
        <v>65</v>
      </c>
      <c r="AL22" s="125">
        <f t="shared" si="1"/>
        <v>155</v>
      </c>
      <c r="AM22" s="124">
        <v>12</v>
      </c>
      <c r="AN22" s="124">
        <v>11</v>
      </c>
      <c r="AO22" s="126" t="s">
        <v>180</v>
      </c>
      <c r="AP22" s="126" t="s">
        <v>163</v>
      </c>
      <c r="AQ22" s="124">
        <v>186</v>
      </c>
      <c r="AR22" s="124">
        <v>80</v>
      </c>
      <c r="AS22" s="127" t="s">
        <v>406</v>
      </c>
      <c r="AT22" s="124">
        <v>1994</v>
      </c>
      <c r="AU22" s="128">
        <f t="shared" ca="1" si="2"/>
        <v>35</v>
      </c>
      <c r="AV22" s="128" t="str">
        <f t="shared" si="3"/>
        <v>186/80</v>
      </c>
      <c r="AW22" s="129" t="str">
        <f t="shared" ca="1" si="6"/>
        <v>Sladký</v>
      </c>
      <c r="AX22" s="130" t="str">
        <f t="shared" ca="1" si="4"/>
        <v>0 OZ, 0 (0+0)</v>
      </c>
      <c r="AY22" s="130" t="str">
        <f t="shared" ca="1" si="5"/>
        <v>165 OZ, 155 (90+65)</v>
      </c>
      <c r="AZ22" s="131"/>
      <c r="BA22" s="131"/>
      <c r="BB22" s="131"/>
      <c r="BC22" s="131"/>
      <c r="BD22" s="3" t="str">
        <f t="shared" si="7"/>
        <v>Sladký</v>
      </c>
      <c r="BE22" s="85">
        <f t="shared" ca="1" si="8"/>
        <v>1</v>
      </c>
      <c r="BF22" s="62" t="str">
        <f t="shared" si="9"/>
        <v>T</v>
      </c>
      <c r="BG22" s="3" t="str">
        <f t="shared" ca="1" si="10"/>
        <v/>
      </c>
      <c r="BH22" s="62">
        <f t="shared" ca="1" si="11"/>
        <v>0</v>
      </c>
      <c r="BI22" s="3" t="str">
        <f t="shared" ca="1" si="12"/>
        <v/>
      </c>
      <c r="BJ22" s="62">
        <f t="shared" ca="1" si="11"/>
        <v>0</v>
      </c>
      <c r="BK22" s="3" t="str">
        <f t="shared" ca="1" si="13"/>
        <v/>
      </c>
      <c r="BL22" s="62">
        <f t="shared" ca="1" si="14"/>
        <v>0</v>
      </c>
      <c r="BM22" s="3" t="str">
        <f t="shared" ca="1" si="15"/>
        <v/>
      </c>
      <c r="BS22" s="361" t="s">
        <v>38</v>
      </c>
      <c r="BT22" s="105" t="s">
        <v>428</v>
      </c>
      <c r="BU22" s="104">
        <v>3</v>
      </c>
      <c r="BV22" s="105" t="str">
        <f t="shared" si="17"/>
        <v>Adam Delong</v>
      </c>
      <c r="BW22" s="103">
        <f t="shared" si="18"/>
        <v>3</v>
      </c>
    </row>
    <row r="23" spans="1:75" ht="15" customHeight="1" thickTop="1" thickBot="1" x14ac:dyDescent="0.25">
      <c r="A23" s="322"/>
      <c r="B23" s="323"/>
      <c r="C23" s="323"/>
      <c r="D23" s="32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4" t="s">
        <v>13</v>
      </c>
      <c r="I23" s="324"/>
      <c r="J23" s="324"/>
      <c r="K23" s="324"/>
      <c r="M23" s="322"/>
      <c r="N23" s="323"/>
      <c r="O23" s="323"/>
      <c r="P23" s="32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402</v>
      </c>
      <c r="AH23" s="123">
        <v>33114</v>
      </c>
      <c r="AI23" s="124">
        <v>145</v>
      </c>
      <c r="AJ23" s="124">
        <v>0</v>
      </c>
      <c r="AK23" s="124">
        <v>8</v>
      </c>
      <c r="AL23" s="125">
        <f t="shared" si="1"/>
        <v>8</v>
      </c>
      <c r="AM23" s="124">
        <v>12</v>
      </c>
      <c r="AN23" s="124">
        <v>29</v>
      </c>
      <c r="AO23" s="126"/>
      <c r="AP23" s="126"/>
      <c r="AQ23" s="124">
        <v>186</v>
      </c>
      <c r="AR23" s="124">
        <v>95</v>
      </c>
      <c r="AS23" s="127" t="s">
        <v>417</v>
      </c>
      <c r="AT23" s="124">
        <v>2004</v>
      </c>
      <c r="AU23" s="128">
        <f t="shared" ca="1" si="2"/>
        <v>31</v>
      </c>
      <c r="AV23" s="128" t="str">
        <f t="shared" si="3"/>
        <v>186/95</v>
      </c>
      <c r="AW23" s="129" t="str">
        <f t="shared" ca="1" si="6"/>
        <v>Souček</v>
      </c>
      <c r="AX23" s="130" t="str">
        <f t="shared" ca="1" si="4"/>
        <v>0 OZ, 0 (0+0)</v>
      </c>
      <c r="AY23" s="130" t="str">
        <f t="shared" ca="1" si="5"/>
        <v>145 OZ, 8 (0+8)</v>
      </c>
      <c r="AZ23" s="131"/>
      <c r="BA23" s="131"/>
      <c r="BB23" s="131"/>
      <c r="BC23" s="131"/>
      <c r="BD23" s="90" t="str">
        <f t="shared" si="7"/>
        <v>Souček</v>
      </c>
      <c r="BE23" s="92">
        <f t="shared" ca="1" si="8"/>
        <v>1</v>
      </c>
      <c r="BF23" s="91" t="str">
        <f t="shared" si="9"/>
        <v>L</v>
      </c>
      <c r="BG23" s="90" t="str">
        <f t="shared" ca="1" si="10"/>
        <v/>
      </c>
      <c r="BH23" s="91">
        <f t="shared" ca="1" si="11"/>
        <v>0</v>
      </c>
      <c r="BI23" s="90" t="str">
        <f t="shared" ca="1" si="12"/>
        <v/>
      </c>
      <c r="BJ23" s="91">
        <f t="shared" ca="1" si="11"/>
        <v>0</v>
      </c>
      <c r="BK23" s="90" t="str">
        <f t="shared" ca="1" si="13"/>
        <v/>
      </c>
      <c r="BL23" s="91">
        <f t="shared" ca="1" si="14"/>
        <v>0</v>
      </c>
      <c r="BM23" s="90" t="str">
        <f t="shared" ca="1" si="15"/>
        <v/>
      </c>
      <c r="BS23" s="361"/>
      <c r="BT23" s="105" t="s">
        <v>1073</v>
      </c>
      <c r="BU23" s="104">
        <v>3</v>
      </c>
      <c r="BV23" s="105" t="str">
        <f t="shared" si="17"/>
        <v>Marek Matejčík</v>
      </c>
      <c r="BW23" s="103">
        <f t="shared" si="18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5" t="str">
        <f ca="1">IFERROR(IF(VLOOKUP(A23,OFFSET($AG$2,,,COUNTIF($AG$2:$AG$50,"?*"),23),2,FALSE)&lt;&gt;0,YEAR(VLOOKUP(A23,OFFSET($AG$2,,,COUNTIF($AG$2:$AG$50,"?*"),23),2,FALSE)),""),"")</f>
        <v/>
      </c>
      <c r="C24" s="326"/>
      <c r="D24" s="118" t="str">
        <f ca="1">IFERROR(VLOOKUP(A23,OFFSET($AG$2,,,COUNTIF($AG$2:$AG$50,"?*"),23),15,FALSE),"")</f>
        <v/>
      </c>
      <c r="E24" s="316" t="str">
        <f ca="1">IFERROR(VLOOKUP(A23,OFFSET($AG$2,,,COUNTIF($AG$2:$AG$50,"?*"),23),16,FALSE),"")</f>
        <v/>
      </c>
      <c r="F24" s="317"/>
      <c r="M24" s="4" t="str">
        <f ca="1">IFERROR(IF(VLOOKUP(M23,OFFSET($AG$2,,,COUNTIF($AG$2:$AG$50,"?*"),23),10,FALSE)&lt;&gt;0,VLOOKUP(M23,OFFSET($AG$2,,,COUNTIF($AG$2:$AG$50,"?*"),23),10,FALSE),""),"")</f>
        <v/>
      </c>
      <c r="N24" s="325" t="str">
        <f ca="1">IFERROR(IF(VLOOKUP(M23,OFFSET($AG$2,,,COUNTIF($AG$2:$AG$50,"?*"),23),2,FALSE)&lt;&gt;0,YEAR(VLOOKUP(M23,OFFSET($AG$2,,,COUNTIF($AG$2:$AG$50,"?*"),23),2,FALSE)),""),"")</f>
        <v/>
      </c>
      <c r="O24" s="326"/>
      <c r="P24" s="118" t="str">
        <f ca="1">IFERROR(VLOOKUP(M23,OFFSET($AG$2,,,COUNTIF($AG$2:$AG$50,"?*"),23),15,FALSE),"")</f>
        <v/>
      </c>
      <c r="Q24" s="316" t="str">
        <f ca="1">IFERROR(VLOOKUP(M23,OFFSET($AG$2,,,COUNTIF($AG$2:$AG$50,"?*"),23),16,FALSE),"")</f>
        <v/>
      </c>
      <c r="R24" s="317"/>
      <c r="S24" s="112"/>
      <c r="AC24" s="103" t="str">
        <f t="shared" ca="1" si="0"/>
        <v/>
      </c>
      <c r="AG24" s="122" t="s">
        <v>403</v>
      </c>
      <c r="AH24" s="123">
        <v>37912</v>
      </c>
      <c r="AI24" s="124">
        <v>1</v>
      </c>
      <c r="AJ24" s="124">
        <v>0</v>
      </c>
      <c r="AK24" s="124">
        <v>0</v>
      </c>
      <c r="AL24" s="125">
        <f t="shared" si="1"/>
        <v>0</v>
      </c>
      <c r="AM24" s="124">
        <v>2</v>
      </c>
      <c r="AN24" s="124">
        <v>63</v>
      </c>
      <c r="AO24" s="126"/>
      <c r="AP24" s="126"/>
      <c r="AQ24" s="124"/>
      <c r="AR24" s="124"/>
      <c r="AS24" s="127" t="s">
        <v>418</v>
      </c>
      <c r="AT24" s="124">
        <v>2011</v>
      </c>
      <c r="AU24" s="128">
        <f t="shared" ref="AU24:AU50" ca="1" si="19">IF(AG24&lt;&gt;"",IF(AH24&lt;&gt;"",INT((TODAY()-AH24)/365),"?"),"")</f>
        <v>17</v>
      </c>
      <c r="AV24" s="128" t="str">
        <f t="shared" ref="AV24:AV50" si="20">IF(AG24&lt;&gt;"",CONCATENATE(IF(AQ24&lt;&gt;"",AQ24,"? "),"/",IF(AR24&lt;&gt;"",AR24," ?")),"")</f>
        <v>? / ?</v>
      </c>
      <c r="AW24" s="129" t="str">
        <f t="shared" ca="1" si="6"/>
        <v>Svoboda</v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1"/>
      <c r="BA24" s="131"/>
      <c r="BB24" s="131"/>
      <c r="BC24" s="131"/>
      <c r="BD24" s="3" t="str">
        <f t="shared" si="7"/>
        <v>Svoboda</v>
      </c>
      <c r="BE24" s="85">
        <f t="shared" ca="1" si="8"/>
        <v>1</v>
      </c>
      <c r="BF24" s="62" t="str">
        <f t="shared" si="9"/>
        <v>O</v>
      </c>
      <c r="BG24" s="3" t="str">
        <f t="shared" ca="1" si="10"/>
        <v/>
      </c>
      <c r="BH24" s="62">
        <f t="shared" ca="1" si="11"/>
        <v>0</v>
      </c>
      <c r="BI24" s="3" t="str">
        <f t="shared" ca="1" si="12"/>
        <v/>
      </c>
      <c r="BJ24" s="62">
        <f t="shared" ca="1" si="11"/>
        <v>0</v>
      </c>
      <c r="BK24" s="3" t="str">
        <f t="shared" ca="1" si="13"/>
        <v/>
      </c>
      <c r="BL24" s="62">
        <f t="shared" ca="1" si="14"/>
        <v>0</v>
      </c>
      <c r="BM24" s="3" t="str">
        <f t="shared" ca="1" si="15"/>
        <v/>
      </c>
      <c r="BS24" s="361"/>
      <c r="BT24" s="105" t="s">
        <v>1074</v>
      </c>
      <c r="BU24" s="104">
        <v>2</v>
      </c>
      <c r="BV24" s="105" t="str">
        <f t="shared" si="17"/>
        <v>Adam Zubek</v>
      </c>
      <c r="BW24" s="103">
        <f t="shared" si="18"/>
        <v>2</v>
      </c>
    </row>
    <row r="25" spans="1:75" ht="15" customHeight="1" thickTop="1" thickBot="1" x14ac:dyDescent="0.25">
      <c r="A25" s="318" t="str">
        <f ca="1">IFERROR(VLOOKUP(A23,OFFSET($AG$2,,,COUNTIF($AG$2:$AG$50,"?*"),23),18,FALSE),"")</f>
        <v/>
      </c>
      <c r="B25" s="319"/>
      <c r="C25" s="319"/>
      <c r="D25" s="320" t="str">
        <f ca="1">IFERROR(VLOOKUP(A23,OFFSET($AG$2,,,COUNTIF($AG$2:$AG$50,"?*"),23),19,FALSE),"")</f>
        <v/>
      </c>
      <c r="E25" s="320"/>
      <c r="F25" s="321"/>
      <c r="G25" s="322"/>
      <c r="H25" s="323"/>
      <c r="I25" s="323"/>
      <c r="J25" s="32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8" t="str">
        <f ca="1">IFERROR(VLOOKUP(M23,OFFSET($AG$2,,,COUNTIF($AG$2:$AG$50,"?*"),23),18,FALSE),"")</f>
        <v/>
      </c>
      <c r="N25" s="319"/>
      <c r="O25" s="319"/>
      <c r="P25" s="320" t="str">
        <f ca="1">IFERROR(VLOOKUP(M23,OFFSET($AG$2,,,COUNTIF($AG$2:$AG$50,"?*"),23),19,FALSE),"")</f>
        <v/>
      </c>
      <c r="Q25" s="320"/>
      <c r="R25" s="321"/>
      <c r="S25" s="112"/>
      <c r="AC25" s="103" t="str">
        <f t="shared" ca="1" si="0"/>
        <v/>
      </c>
      <c r="AG25" s="122" t="s">
        <v>391</v>
      </c>
      <c r="AH25" s="123">
        <v>33939</v>
      </c>
      <c r="AI25" s="124">
        <v>189</v>
      </c>
      <c r="AJ25" s="124">
        <v>102</v>
      </c>
      <c r="AK25" s="124">
        <v>66</v>
      </c>
      <c r="AL25" s="125">
        <f t="shared" si="1"/>
        <v>168</v>
      </c>
      <c r="AM25" s="124">
        <v>9</v>
      </c>
      <c r="AN25" s="124">
        <v>17</v>
      </c>
      <c r="AO25" s="126"/>
      <c r="AP25" s="126" t="s">
        <v>163</v>
      </c>
      <c r="AQ25" s="124">
        <v>182</v>
      </c>
      <c r="AR25" s="124">
        <v>78</v>
      </c>
      <c r="AS25" s="127" t="s">
        <v>408</v>
      </c>
      <c r="AT25" s="124">
        <v>2000</v>
      </c>
      <c r="AU25" s="128">
        <f t="shared" ca="1" si="19"/>
        <v>28</v>
      </c>
      <c r="AV25" s="128" t="str">
        <f t="shared" si="20"/>
        <v>182/78</v>
      </c>
      <c r="AW25" s="129" t="str">
        <f t="shared" ca="1" si="6"/>
        <v>Šebesta</v>
      </c>
      <c r="AX25" s="130" t="str">
        <f t="shared" ca="1" si="21"/>
        <v>1 OZ, 0 (0+0), 0 ±</v>
      </c>
      <c r="AY25" s="130" t="str">
        <f t="shared" ca="1" si="22"/>
        <v>190 OZ, 168 (102+66)</v>
      </c>
      <c r="AZ25" s="131"/>
      <c r="BA25" s="131"/>
      <c r="BB25" s="131"/>
      <c r="BC25" s="131"/>
      <c r="BD25" s="90" t="str">
        <f t="shared" si="7"/>
        <v>Šebesta</v>
      </c>
      <c r="BE25" s="92">
        <f t="shared" ca="1" si="8"/>
        <v>1</v>
      </c>
      <c r="BF25" s="91" t="str">
        <f t="shared" si="9"/>
        <v>J</v>
      </c>
      <c r="BG25" s="90" t="str">
        <f t="shared" ca="1" si="10"/>
        <v/>
      </c>
      <c r="BH25" s="91">
        <f t="shared" ca="1" si="11"/>
        <v>0</v>
      </c>
      <c r="BI25" s="90" t="str">
        <f t="shared" ca="1" si="12"/>
        <v/>
      </c>
      <c r="BJ25" s="91">
        <f t="shared" ca="1" si="11"/>
        <v>0</v>
      </c>
      <c r="BK25" s="90" t="str">
        <f t="shared" ca="1" si="13"/>
        <v/>
      </c>
      <c r="BL25" s="91">
        <f t="shared" ca="1" si="14"/>
        <v>0</v>
      </c>
      <c r="BM25" s="90" t="str">
        <f t="shared" ca="1" si="15"/>
        <v/>
      </c>
      <c r="BS25" s="361"/>
      <c r="BT25" s="105" t="s">
        <v>431</v>
      </c>
      <c r="BU25" s="104">
        <v>2</v>
      </c>
      <c r="BV25" s="105" t="str">
        <f t="shared" si="17"/>
        <v>Matyáš Šindler</v>
      </c>
      <c r="BW25" s="103">
        <f t="shared" si="18"/>
        <v>2</v>
      </c>
    </row>
    <row r="26" spans="1:75" ht="15" customHeight="1" thickBot="1" x14ac:dyDescent="0.25">
      <c r="A26" s="327" t="str">
        <f ca="1">IFERROR(IF(VLOOKUP(A23,OFFSET($AG$2,,,COUNTIF($AG$2:$AG$50,"?*"),23),13,FALSE)&lt;&gt;0,VLOOKUP(A23,OFFSET($AG$2,,,COUNTIF($AG$2:$AG$50,"?*"),23),13,FALSE),"?"),"")</f>
        <v/>
      </c>
      <c r="B26" s="328"/>
      <c r="C26" s="329"/>
      <c r="D26" s="330" t="str">
        <f ca="1">IFERROR(IF(VLOOKUP(A23,OFFSET($AG$2,,,COUNTIF($AG$2:$AG$50,"?*"),23),14,FALSE)&lt;&gt;0,VLOOKUP(A23,OFFSET($AG$2,,,COUNTIF($AG$2:$AG$50,"?*"),23),14,FALSE),"?"),"")</f>
        <v/>
      </c>
      <c r="E26" s="33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5" t="str">
        <f ca="1">IFERROR(IF(VLOOKUP(G25,OFFSET($AG$2,,,COUNTIF($AG$2:$AG$50,"?*"),23),2,FALSE)&lt;&gt;0,YEAR(VLOOKUP(G25,OFFSET($AG$2,,,COUNTIF($AG$2:$AG$50,"?*"),23),2,FALSE)),""),"")</f>
        <v/>
      </c>
      <c r="I26" s="326"/>
      <c r="J26" s="118" t="str">
        <f ca="1">IFERROR(VLOOKUP(G25,OFFSET($AG$2,,,COUNTIF($AG$2:$AG$50,"?*"),23),15,FALSE),"")</f>
        <v/>
      </c>
      <c r="K26" s="316" t="str">
        <f ca="1">IFERROR(VLOOKUP(G25,OFFSET($AG$2,,,COUNTIF($AG$2:$AG$50,"?*"),23),16,FALSE),"")</f>
        <v/>
      </c>
      <c r="L26" s="317"/>
      <c r="M26" s="327" t="str">
        <f ca="1">IFERROR(IF(VLOOKUP(M23,OFFSET($AG$2,,,COUNTIF($AG$2:$AG$50,"?*"),23),13,FALSE)&lt;&gt;0,VLOOKUP(M23,OFFSET($AG$2,,,COUNTIF($AG$2:$AG$50,"?*"),23),13,FALSE),"?"),"")</f>
        <v/>
      </c>
      <c r="N26" s="328"/>
      <c r="O26" s="329"/>
      <c r="P26" s="330" t="str">
        <f ca="1">IFERROR(IF(VLOOKUP(M23,OFFSET($AG$2,,,COUNTIF($AG$2:$AG$50,"?*"),23),14,FALSE)&lt;&gt;0,VLOOKUP(M23,OFFSET($AG$2,,,COUNTIF($AG$2:$AG$50,"?*"),23),14,FALSE),"?"),"")</f>
        <v/>
      </c>
      <c r="Q26" s="331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378</v>
      </c>
      <c r="AH26" s="123">
        <v>36599</v>
      </c>
      <c r="AI26" s="124">
        <v>84</v>
      </c>
      <c r="AJ26" s="124">
        <v>36</v>
      </c>
      <c r="AK26" s="124">
        <v>85</v>
      </c>
      <c r="AL26" s="125">
        <f t="shared" si="1"/>
        <v>121</v>
      </c>
      <c r="AM26" s="124">
        <v>5</v>
      </c>
      <c r="AN26" s="124">
        <v>25</v>
      </c>
      <c r="AO26" s="126"/>
      <c r="AP26" s="126" t="s">
        <v>163</v>
      </c>
      <c r="AQ26" s="124">
        <v>186</v>
      </c>
      <c r="AR26" s="124">
        <v>81</v>
      </c>
      <c r="AS26" s="127" t="s">
        <v>419</v>
      </c>
      <c r="AT26" s="124">
        <v>2005</v>
      </c>
      <c r="AU26" s="128">
        <f t="shared" ca="1" si="19"/>
        <v>21</v>
      </c>
      <c r="AV26" s="128" t="str">
        <f t="shared" si="20"/>
        <v>186/81</v>
      </c>
      <c r="AW26" s="129" t="str">
        <f t="shared" ca="1" si="6"/>
        <v>Šindler</v>
      </c>
      <c r="AX26" s="130" t="str">
        <f t="shared" ca="1" si="21"/>
        <v>2 OZ, 4 (2+2), +2 ±</v>
      </c>
      <c r="AY26" s="130" t="str">
        <f t="shared" ca="1" si="22"/>
        <v>86 OZ, 125 (38+87)</v>
      </c>
      <c r="AZ26" s="131"/>
      <c r="BA26" s="131"/>
      <c r="BB26" s="131"/>
      <c r="BC26" s="131"/>
      <c r="BD26" s="3" t="str">
        <f t="shared" si="7"/>
        <v>Šindler</v>
      </c>
      <c r="BE26" s="85">
        <f t="shared" ca="1" si="8"/>
        <v>1</v>
      </c>
      <c r="BF26" s="62" t="str">
        <f t="shared" si="9"/>
        <v>M</v>
      </c>
      <c r="BG26" s="3" t="str">
        <f t="shared" ca="1" si="10"/>
        <v/>
      </c>
      <c r="BH26" s="62">
        <f t="shared" ca="1" si="11"/>
        <v>0</v>
      </c>
      <c r="BI26" s="3" t="str">
        <f t="shared" ca="1" si="12"/>
        <v/>
      </c>
      <c r="BJ26" s="62">
        <f t="shared" ca="1" si="11"/>
        <v>0</v>
      </c>
      <c r="BK26" s="3" t="str">
        <f t="shared" ca="1" si="13"/>
        <v/>
      </c>
      <c r="BL26" s="62">
        <f t="shared" ca="1" si="14"/>
        <v>0</v>
      </c>
      <c r="BM26" s="3" t="str">
        <f t="shared" ca="1" si="15"/>
        <v/>
      </c>
      <c r="BS26" s="361"/>
      <c r="BT26" s="105" t="s">
        <v>1075</v>
      </c>
      <c r="BU26" s="104">
        <v>2</v>
      </c>
      <c r="BV26" s="105" t="str">
        <f t="shared" si="17"/>
        <v>Rostislav Gattnar</v>
      </c>
      <c r="BW26" s="103">
        <f t="shared" si="18"/>
        <v>2</v>
      </c>
    </row>
    <row r="27" spans="1:75" ht="15" customHeight="1" thickTop="1" thickBot="1" x14ac:dyDescent="0.25">
      <c r="A27" s="8"/>
      <c r="B27" s="8"/>
      <c r="C27" s="8"/>
      <c r="D27" s="8"/>
      <c r="G27" s="318" t="str">
        <f ca="1">IFERROR(VLOOKUP(G25,OFFSET($AG$2,,,COUNTIF($AG$2:$AG$50,"?*"),23),18,FALSE),"")</f>
        <v/>
      </c>
      <c r="H27" s="319"/>
      <c r="I27" s="319"/>
      <c r="J27" s="320" t="str">
        <f ca="1">IFERROR(VLOOKUP(G25,OFFSET($AG$2,,,COUNTIF($AG$2:$AG$50,"?*"),23),19,FALSE),"")</f>
        <v/>
      </c>
      <c r="K27" s="320"/>
      <c r="L27" s="321"/>
      <c r="S27" s="112"/>
      <c r="AC27" s="103" t="str">
        <f t="shared" ca="1" si="0"/>
        <v/>
      </c>
      <c r="AG27" s="122" t="s">
        <v>387</v>
      </c>
      <c r="AH27" s="123">
        <v>33254</v>
      </c>
      <c r="AI27" s="124">
        <v>179</v>
      </c>
      <c r="AJ27" s="124">
        <v>36</v>
      </c>
      <c r="AK27" s="124">
        <v>82</v>
      </c>
      <c r="AL27" s="125">
        <f t="shared" si="1"/>
        <v>118</v>
      </c>
      <c r="AM27" s="124">
        <v>10</v>
      </c>
      <c r="AN27" s="124">
        <v>43</v>
      </c>
      <c r="AO27" s="126"/>
      <c r="AP27" s="126" t="s">
        <v>163</v>
      </c>
      <c r="AQ27" s="124">
        <v>179</v>
      </c>
      <c r="AR27" s="124">
        <v>76</v>
      </c>
      <c r="AS27" s="127" t="s">
        <v>342</v>
      </c>
      <c r="AT27" s="124">
        <v>1999</v>
      </c>
      <c r="AU27" s="128">
        <f t="shared" ca="1" si="19"/>
        <v>30</v>
      </c>
      <c r="AV27" s="128" t="str">
        <f t="shared" si="20"/>
        <v>179/76</v>
      </c>
      <c r="AW27" s="129" t="str">
        <f t="shared" ca="1" si="6"/>
        <v>Švajný</v>
      </c>
      <c r="AX27" s="130" t="str">
        <f t="shared" ca="1" si="21"/>
        <v>1 OZ, 0 (0+0), 0 ±</v>
      </c>
      <c r="AY27" s="130" t="str">
        <f t="shared" ca="1" si="22"/>
        <v>180 OZ, 118 (36+82)</v>
      </c>
      <c r="AZ27" s="131"/>
      <c r="BA27" s="131"/>
      <c r="BB27" s="131"/>
      <c r="BC27" s="131"/>
      <c r="BD27" s="90" t="str">
        <f t="shared" si="7"/>
        <v>Švajný</v>
      </c>
      <c r="BE27" s="92">
        <f t="shared" ca="1" si="8"/>
        <v>1</v>
      </c>
      <c r="BF27" s="91" t="str">
        <f t="shared" si="9"/>
        <v>M</v>
      </c>
      <c r="BG27" s="90" t="str">
        <f t="shared" ca="1" si="10"/>
        <v/>
      </c>
      <c r="BH27" s="91">
        <f t="shared" ca="1" si="11"/>
        <v>0</v>
      </c>
      <c r="BI27" s="90" t="str">
        <f t="shared" ca="1" si="12"/>
        <v/>
      </c>
      <c r="BJ27" s="91">
        <f t="shared" ca="1" si="11"/>
        <v>0</v>
      </c>
      <c r="BK27" s="90" t="str">
        <f t="shared" ca="1" si="13"/>
        <v/>
      </c>
      <c r="BL27" s="91">
        <f t="shared" ca="1" si="14"/>
        <v>0</v>
      </c>
      <c r="BM27" s="90" t="str">
        <f t="shared" ca="1" si="15"/>
        <v/>
      </c>
      <c r="BS27" s="361" t="s">
        <v>39</v>
      </c>
      <c r="BT27" s="105" t="s">
        <v>1076</v>
      </c>
      <c r="BU27" s="104">
        <v>2</v>
      </c>
      <c r="BV27" s="105" t="str">
        <f t="shared" si="17"/>
        <v>Marek Bräuer</v>
      </c>
      <c r="BW27" s="103">
        <f t="shared" si="18"/>
        <v>2</v>
      </c>
    </row>
    <row r="28" spans="1:75" ht="15" customHeight="1" thickTop="1" thickBot="1" x14ac:dyDescent="0.25">
      <c r="A28" s="322"/>
      <c r="B28" s="323"/>
      <c r="C28" s="323"/>
      <c r="D28" s="32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27" t="str">
        <f ca="1">IFERROR(IF(VLOOKUP(G25,OFFSET($AG$2,,,COUNTIF($AG$2:$AG$50,"?*"),23),13,FALSE)&lt;&gt;0,VLOOKUP(G25,OFFSET($AG$2,,,COUNTIF($AG$2:$AG$50,"?*"),23),13,FALSE),"?"),"")</f>
        <v/>
      </c>
      <c r="H28" s="328"/>
      <c r="I28" s="329"/>
      <c r="J28" s="330" t="str">
        <f ca="1">IFERROR(IF(VLOOKUP(G25,OFFSET($AG$2,,,COUNTIF($AG$2:$AG$50,"?*"),23),14,FALSE)&lt;&gt;0,VLOOKUP(G25,OFFSET($AG$2,,,COUNTIF($AG$2:$AG$50,"?*"),23),14,FALSE),"?"),"")</f>
        <v/>
      </c>
      <c r="K28" s="331"/>
      <c r="L28" s="7" t="str">
        <f ca="1">IFERROR(IF(VLOOKUP(G25,OFFSET($AG$2,,,COUNTIF($AG$2:$AG$50,"?*"),23),7,FALSE)&lt;&gt;0,VLOOKUP(G25,OFFSET($AG$2,,,COUNTIF($AG$2:$AG$50,"?*"),23),7,FALSE),"?"),"")</f>
        <v/>
      </c>
      <c r="M28" s="322"/>
      <c r="N28" s="323"/>
      <c r="O28" s="323"/>
      <c r="P28" s="32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404</v>
      </c>
      <c r="AH28" s="123">
        <v>37503</v>
      </c>
      <c r="AI28" s="124">
        <v>2</v>
      </c>
      <c r="AJ28" s="124">
        <v>0</v>
      </c>
      <c r="AK28" s="124">
        <v>0</v>
      </c>
      <c r="AL28" s="125">
        <f t="shared" si="1"/>
        <v>0</v>
      </c>
      <c r="AM28" s="124">
        <v>2</v>
      </c>
      <c r="AN28" s="124">
        <v>40</v>
      </c>
      <c r="AO28" s="126"/>
      <c r="AP28" s="126" t="s">
        <v>163</v>
      </c>
      <c r="AQ28" s="124"/>
      <c r="AR28" s="124"/>
      <c r="AS28" s="127" t="s">
        <v>420</v>
      </c>
      <c r="AT28" s="124">
        <v>2013</v>
      </c>
      <c r="AU28" s="128">
        <f t="shared" ca="1" si="19"/>
        <v>19</v>
      </c>
      <c r="AV28" s="128" t="str">
        <f t="shared" si="20"/>
        <v>? / ?</v>
      </c>
      <c r="AW28" s="129" t="str">
        <f t="shared" ca="1" si="6"/>
        <v>Vojáček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22"/>
        <v>2 OZ, 0 (0+0)</v>
      </c>
      <c r="AZ28" s="131"/>
      <c r="BA28" s="131"/>
      <c r="BB28" s="131"/>
      <c r="BC28" s="131"/>
      <c r="BD28" s="3" t="str">
        <f t="shared" si="7"/>
        <v>Vojáček</v>
      </c>
      <c r="BE28" s="85">
        <f t="shared" ca="1" si="8"/>
        <v>1</v>
      </c>
      <c r="BF28" s="62" t="str">
        <f t="shared" si="9"/>
        <v>J</v>
      </c>
      <c r="BG28" s="3" t="str">
        <f t="shared" ca="1" si="10"/>
        <v/>
      </c>
      <c r="BH28" s="62">
        <f t="shared" ca="1" si="11"/>
        <v>0</v>
      </c>
      <c r="BI28" s="3" t="str">
        <f t="shared" ca="1" si="12"/>
        <v/>
      </c>
      <c r="BJ28" s="62">
        <f t="shared" ca="1" si="11"/>
        <v>0</v>
      </c>
      <c r="BK28" s="3" t="str">
        <f t="shared" ca="1" si="13"/>
        <v/>
      </c>
      <c r="BL28" s="62">
        <f t="shared" ca="1" si="14"/>
        <v>0</v>
      </c>
      <c r="BM28" s="3" t="str">
        <f t="shared" ca="1" si="15"/>
        <v/>
      </c>
      <c r="BS28" s="361"/>
      <c r="BT28" s="105" t="s">
        <v>1077</v>
      </c>
      <c r="BU28" s="104">
        <v>2</v>
      </c>
      <c r="BV28" s="105" t="str">
        <f t="shared" si="17"/>
        <v>Martin Gattnar</v>
      </c>
      <c r="BW28" s="103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5" t="str">
        <f ca="1">IFERROR(IF(VLOOKUP(A28,OFFSET($AG$2,,,COUNTIF($AG$2:$AG$50,"?*"),23),2,FALSE)&lt;&gt;0,YEAR(VLOOKUP(A28,OFFSET($AG$2,,,COUNTIF($AG$2:$AG$50,"?*"),23),2,FALSE)),""),"")</f>
        <v/>
      </c>
      <c r="C29" s="326"/>
      <c r="D29" s="118" t="str">
        <f ca="1">IFERROR(VLOOKUP(A28,OFFSET($AG$2,,,COUNTIF($AG$2:$AG$50,"?*"),23),15,FALSE),"")</f>
        <v/>
      </c>
      <c r="E29" s="316" t="str">
        <f ca="1">IFERROR(VLOOKUP(A28,OFFSET($AG$2,,,COUNTIF($AG$2:$AG$50,"?*"),23),16,FALSE),"")</f>
        <v/>
      </c>
      <c r="F29" s="317"/>
      <c r="M29" s="4" t="str">
        <f ca="1">IFERROR(IF(VLOOKUP(M28,OFFSET($AG$2,,,COUNTIF($AG$2:$AG$50,"?*"),23),10,FALSE)&lt;&gt;0,VLOOKUP(M28,OFFSET($AG$2,,,COUNTIF($AG$2:$AG$50,"?*"),23),10,FALSE),""),"")</f>
        <v/>
      </c>
      <c r="N29" s="325" t="str">
        <f ca="1">IFERROR(IF(VLOOKUP(M28,OFFSET($AG$2,,,COUNTIF($AG$2:$AG$50,"?*"),23),2,FALSE)&lt;&gt;0,YEAR(VLOOKUP(M28,OFFSET($AG$2,,,COUNTIF($AG$2:$AG$50,"?*"),23),2,FALSE)),""),"")</f>
        <v/>
      </c>
      <c r="O29" s="326"/>
      <c r="P29" s="118" t="str">
        <f ca="1">IFERROR(VLOOKUP(M28,OFFSET($AG$2,,,COUNTIF($AG$2:$AG$50,"?*"),23),15,FALSE),"")</f>
        <v/>
      </c>
      <c r="Q29" s="316" t="str">
        <f ca="1">IFERROR(VLOOKUP(M28,OFFSET($AG$2,,,COUNTIF($AG$2:$AG$50,"?*"),23),16,FALSE),"")</f>
        <v/>
      </c>
      <c r="R29" s="317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6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7"/>
        <v/>
      </c>
      <c r="BE29" s="92" t="str">
        <f t="shared" ca="1" si="8"/>
        <v/>
      </c>
      <c r="BF29" s="91" t="str">
        <f t="shared" si="9"/>
        <v/>
      </c>
      <c r="BG29" s="90" t="str">
        <f t="shared" ca="1" si="10"/>
        <v/>
      </c>
      <c r="BH29" s="91" t="str">
        <f t="shared" ca="1" si="11"/>
        <v/>
      </c>
      <c r="BI29" s="90" t="str">
        <f t="shared" ca="1" si="12"/>
        <v/>
      </c>
      <c r="BJ29" s="91" t="str">
        <f t="shared" ca="1" si="11"/>
        <v/>
      </c>
      <c r="BK29" s="90" t="str">
        <f t="shared" ca="1" si="13"/>
        <v/>
      </c>
      <c r="BL29" s="91" t="str">
        <f t="shared" ca="1" si="14"/>
        <v/>
      </c>
      <c r="BM29" s="90" t="str">
        <f t="shared" ca="1" si="15"/>
        <v/>
      </c>
      <c r="BS29" s="361"/>
      <c r="BT29" s="105" t="s">
        <v>1078</v>
      </c>
      <c r="BU29" s="104">
        <v>0</v>
      </c>
      <c r="BV29" s="105" t="str">
        <f t="shared" si="17"/>
        <v>Adam Delong</v>
      </c>
      <c r="BW29" s="103">
        <f t="shared" si="18"/>
        <v>0</v>
      </c>
    </row>
    <row r="30" spans="1:75" ht="15" customHeight="1" x14ac:dyDescent="0.2">
      <c r="A30" s="318" t="str">
        <f ca="1">IFERROR(VLOOKUP(A28,OFFSET($AG$2,,,COUNTIF($AG$2:$AG$50,"?*"),23),18,FALSE),"")</f>
        <v/>
      </c>
      <c r="B30" s="319"/>
      <c r="C30" s="319"/>
      <c r="D30" s="320" t="str">
        <f ca="1">IFERROR(VLOOKUP(A28,OFFSET($AG$2,,,COUNTIF($AG$2:$AG$50,"?*"),23),19,FALSE),"")</f>
        <v/>
      </c>
      <c r="E30" s="320"/>
      <c r="F30" s="321"/>
      <c r="H30" s="332" t="str">
        <f>H$8</f>
        <v>VIT</v>
      </c>
      <c r="I30" s="332"/>
      <c r="J30" s="332"/>
      <c r="K30" s="332"/>
      <c r="M30" s="318" t="str">
        <f ca="1">IFERROR(VLOOKUP(M28,OFFSET($AG$2,,,COUNTIF($AG$2:$AG$50,"?*"),23),18,FALSE),"")</f>
        <v/>
      </c>
      <c r="N30" s="319"/>
      <c r="O30" s="319"/>
      <c r="P30" s="320" t="str">
        <f ca="1">IFERROR(VLOOKUP(M28,OFFSET($AG$2,,,COUNTIF($AG$2:$AG$50,"?*"),23),19,FALSE),"")</f>
        <v/>
      </c>
      <c r="Q30" s="320"/>
      <c r="R30" s="32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6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7"/>
        <v/>
      </c>
      <c r="BE30" s="85" t="str">
        <f t="shared" ca="1" si="8"/>
        <v/>
      </c>
      <c r="BF30" s="62" t="str">
        <f t="shared" si="9"/>
        <v/>
      </c>
      <c r="BG30" s="3" t="str">
        <f t="shared" ca="1" si="10"/>
        <v/>
      </c>
      <c r="BH30" s="62" t="str">
        <f t="shared" ca="1" si="11"/>
        <v/>
      </c>
      <c r="BI30" s="3" t="str">
        <f t="shared" ca="1" si="12"/>
        <v/>
      </c>
      <c r="BJ30" s="62" t="str">
        <f t="shared" ca="1" si="11"/>
        <v/>
      </c>
      <c r="BK30" s="3" t="str">
        <f t="shared" ca="1" si="13"/>
        <v/>
      </c>
      <c r="BL30" s="62" t="str">
        <f t="shared" ca="1" si="14"/>
        <v/>
      </c>
      <c r="BM30" s="3" t="str">
        <f t="shared" ca="1" si="15"/>
        <v/>
      </c>
      <c r="BS30" s="361"/>
      <c r="BT30" s="105" t="s">
        <v>1079</v>
      </c>
      <c r="BU30" s="104">
        <v>0</v>
      </c>
      <c r="BV30" s="105" t="str">
        <f t="shared" si="17"/>
        <v>Adam Palčinský</v>
      </c>
      <c r="BW30" s="103">
        <f t="shared" si="18"/>
        <v>0</v>
      </c>
    </row>
    <row r="31" spans="1:75" ht="15" customHeight="1" thickBot="1" x14ac:dyDescent="0.25">
      <c r="A31" s="327" t="str">
        <f ca="1">IFERROR(IF(VLOOKUP(A28,OFFSET($AG$2,,,COUNTIF($AG$2:$AG$50,"?*"),23),13,FALSE)&lt;&gt;0,VLOOKUP(A28,OFFSET($AG$2,,,COUNTIF($AG$2:$AG$50,"?*"),23),13,FALSE),"?"),"")</f>
        <v/>
      </c>
      <c r="B31" s="328"/>
      <c r="C31" s="329"/>
      <c r="D31" s="330" t="str">
        <f ca="1">IFERROR(IF(VLOOKUP(A28,OFFSET($AG$2,,,COUNTIF($AG$2:$AG$50,"?*"),23),14,FALSE)&lt;&gt;0,VLOOKUP(A28,OFFSET($AG$2,,,COUNTIF($AG$2:$AG$50,"?*"),23),14,FALSE),"?"),"")</f>
        <v/>
      </c>
      <c r="E31" s="331"/>
      <c r="F31" s="7" t="str">
        <f ca="1">IFERROR(IF(VLOOKUP(A28,OFFSET($AG$2,,,COUNTIF($AG$2:$AG$50,"?*"),23),7,FALSE)&lt;&gt;0,VLOOKUP(A28,OFFSET($AG$2,,,COUNTIF($AG$2:$AG$50,"?*"),23),7,FALSE),"?"),"")</f>
        <v/>
      </c>
      <c r="H31" s="332"/>
      <c r="I31" s="332"/>
      <c r="J31" s="332"/>
      <c r="K31" s="332"/>
      <c r="M31" s="327" t="str">
        <f ca="1">IFERROR(IF(VLOOKUP(M28,OFFSET($AG$2,,,COUNTIF($AG$2:$AG$50,"?*"),23),13,FALSE)&lt;&gt;0,VLOOKUP(M28,OFFSET($AG$2,,,COUNTIF($AG$2:$AG$50,"?*"),23),13,FALSE),"?"),"")</f>
        <v/>
      </c>
      <c r="N31" s="328"/>
      <c r="O31" s="329"/>
      <c r="P31" s="330" t="str">
        <f ca="1">IFERROR(IF(VLOOKUP(M28,OFFSET($AG$2,,,COUNTIF($AG$2:$AG$50,"?*"),23),14,FALSE)&lt;&gt;0,VLOOKUP(M28,OFFSET($AG$2,,,COUNTIF($AG$2:$AG$50,"?*"),23),14,FALSE),"?"),"")</f>
        <v/>
      </c>
      <c r="Q31" s="331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6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7"/>
        <v/>
      </c>
      <c r="BE31" s="92" t="str">
        <f t="shared" ca="1" si="8"/>
        <v/>
      </c>
      <c r="BF31" s="91" t="str">
        <f t="shared" si="9"/>
        <v/>
      </c>
      <c r="BG31" s="90" t="str">
        <f t="shared" ca="1" si="10"/>
        <v/>
      </c>
      <c r="BH31" s="91" t="str">
        <f t="shared" ca="1" si="11"/>
        <v/>
      </c>
      <c r="BI31" s="90" t="str">
        <f t="shared" ca="1" si="12"/>
        <v/>
      </c>
      <c r="BJ31" s="91" t="str">
        <f t="shared" ca="1" si="11"/>
        <v/>
      </c>
      <c r="BK31" s="90" t="str">
        <f t="shared" ca="1" si="13"/>
        <v/>
      </c>
      <c r="BL31" s="91" t="str">
        <f t="shared" ca="1" si="14"/>
        <v/>
      </c>
      <c r="BM31" s="90" t="str">
        <f t="shared" ca="1" si="15"/>
        <v/>
      </c>
      <c r="BS31" s="361"/>
      <c r="BT31" s="105" t="s">
        <v>432</v>
      </c>
      <c r="BU31" s="104">
        <v>0</v>
      </c>
      <c r="BV31" s="105" t="str">
        <f t="shared" si="17"/>
        <v>Adam Zubek</v>
      </c>
      <c r="BW31" s="103">
        <f t="shared" si="18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6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7"/>
        <v/>
      </c>
      <c r="BE32" s="85" t="str">
        <f t="shared" ca="1" si="8"/>
        <v/>
      </c>
      <c r="BF32" s="62" t="str">
        <f t="shared" si="9"/>
        <v/>
      </c>
      <c r="BG32" s="3" t="str">
        <f t="shared" ca="1" si="10"/>
        <v/>
      </c>
      <c r="BH32" s="62" t="str">
        <f t="shared" ca="1" si="11"/>
        <v/>
      </c>
      <c r="BI32" s="3" t="str">
        <f t="shared" ca="1" si="12"/>
        <v/>
      </c>
      <c r="BJ32" s="62" t="str">
        <f t="shared" ca="1" si="11"/>
        <v/>
      </c>
      <c r="BK32" s="3" t="str">
        <f t="shared" ca="1" si="13"/>
        <v/>
      </c>
      <c r="BL32" s="62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6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7"/>
        <v/>
      </c>
      <c r="BE33" s="92" t="str">
        <f t="shared" ca="1" si="8"/>
        <v/>
      </c>
      <c r="BF33" s="91" t="str">
        <f t="shared" si="9"/>
        <v/>
      </c>
      <c r="BG33" s="90" t="str">
        <f t="shared" ca="1" si="10"/>
        <v/>
      </c>
      <c r="BH33" s="91" t="str">
        <f t="shared" ca="1" si="11"/>
        <v/>
      </c>
      <c r="BI33" s="90" t="str">
        <f t="shared" ca="1" si="12"/>
        <v/>
      </c>
      <c r="BJ33" s="91" t="str">
        <f t="shared" ca="1" si="11"/>
        <v/>
      </c>
      <c r="BK33" s="90" t="str">
        <f t="shared" ca="1" si="13"/>
        <v/>
      </c>
      <c r="BL33" s="91" t="str">
        <f t="shared" ca="1" si="14"/>
        <v/>
      </c>
      <c r="BM33" s="90" t="str">
        <f t="shared" ca="1" si="15"/>
        <v/>
      </c>
    </row>
    <row r="34" spans="1:65" ht="15" customHeight="1" thickTop="1" thickBot="1" x14ac:dyDescent="0.25">
      <c r="A34" s="322"/>
      <c r="B34" s="323"/>
      <c r="C34" s="323"/>
      <c r="D34" s="32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33" t="s">
        <v>16</v>
      </c>
      <c r="J34" s="322"/>
      <c r="K34" s="323"/>
      <c r="L34" s="323"/>
      <c r="M34" s="323"/>
      <c r="N34" s="323"/>
      <c r="O34" s="323"/>
      <c r="P34" s="32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6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7"/>
        <v/>
      </c>
      <c r="BE34" s="85" t="str">
        <f t="shared" ca="1" si="8"/>
        <v/>
      </c>
      <c r="BF34" s="62" t="str">
        <f t="shared" si="9"/>
        <v/>
      </c>
      <c r="BG34" s="3" t="str">
        <f t="shared" ca="1" si="10"/>
        <v/>
      </c>
      <c r="BH34" s="62" t="str">
        <f t="shared" ca="1" si="11"/>
        <v/>
      </c>
      <c r="BI34" s="3" t="str">
        <f t="shared" ca="1" si="12"/>
        <v/>
      </c>
      <c r="BJ34" s="62" t="str">
        <f t="shared" ca="1" si="11"/>
        <v/>
      </c>
      <c r="BK34" s="3" t="str">
        <f t="shared" ca="1" si="13"/>
        <v/>
      </c>
      <c r="BL34" s="62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5" t="str">
        <f ca="1">IFERROR(IF(VLOOKUP(A34,OFFSET($AG$2,,,COUNTIF($AG$2:$AG$50,"?*"),23),2,FALSE)&lt;&gt;0,YEAR(VLOOKUP(A34,OFFSET($AG$2,,,COUNTIF($AG$2:$AG$50,"?*"),23),2,FALSE)),""),"")</f>
        <v/>
      </c>
      <c r="C35" s="326"/>
      <c r="D35" s="118" t="str">
        <f ca="1">IFERROR(VLOOKUP(A34,OFFSET($AG$2,,,COUNTIF($AG$2:$AG$50,"?*"),23),15,FALSE),"")</f>
        <v/>
      </c>
      <c r="E35" s="316" t="str">
        <f ca="1">IFERROR(VLOOKUP(A34,OFFSET($AG$2,,,COUNTIF($AG$2:$AG$50,"?*"),23),16,FALSE),"")</f>
        <v/>
      </c>
      <c r="F35" s="317"/>
      <c r="H35" s="333"/>
      <c r="J35" s="4" t="str">
        <f ca="1">IFERROR(IF(VLOOKUP(J34,OFFSET($AG$2,,,COUNTIF($AG$2:$AG$50,"?*"),23),10,FALSE)&lt;&gt;0,VLOOKUP(J34,OFFSET($AG$2,,,COUNTIF($AG$2:$AG$50,"?*"),23),10,FALSE),""),"")</f>
        <v/>
      </c>
      <c r="K35" s="326" t="str">
        <f ca="1">IFERROR(IF(VLOOKUP(J34,OFFSET($AG$2,,,COUNTIF($AG$2:$AG$50,"?*"),23),2,FALSE)&lt;&gt;0,YEAR(VLOOKUP(J34,OFFSET($AG$2,,,COUNTIF($AG$2:$AG$50,"?*"),23),2,FALSE)),""),"")</f>
        <v/>
      </c>
      <c r="L35" s="334"/>
      <c r="M35" s="119" t="str">
        <f ca="1">IFERROR(VLOOKUP(J34,OFFSET($AG$2,,,COUNTIF($AG$2:$AG$50,"?*"),23),15,FALSE),"")</f>
        <v/>
      </c>
      <c r="N35" s="334" t="str">
        <f ca="1">IFERROR(VLOOKUP(J34,OFFSET($AG$2,,,COUNTIF($AG$2:$AG$50,"?*"),23),16,FALSE),"")</f>
        <v/>
      </c>
      <c r="O35" s="334"/>
      <c r="P35" s="334" t="str">
        <f ca="1">IFERROR(VLOOKUP(J34,OFFSET($AG$2,,,COUNTIF($AG$2:$AG$50,"?*"),23),18,FALSE),"")</f>
        <v/>
      </c>
      <c r="Q35" s="334"/>
      <c r="R35" s="341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6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7"/>
        <v/>
      </c>
      <c r="BE35" s="92" t="str">
        <f t="shared" ca="1" si="8"/>
        <v/>
      </c>
      <c r="BF35" s="91" t="str">
        <f t="shared" si="9"/>
        <v/>
      </c>
      <c r="BG35" s="90" t="str">
        <f t="shared" ca="1" si="10"/>
        <v/>
      </c>
      <c r="BH35" s="91" t="str">
        <f t="shared" ca="1" si="11"/>
        <v/>
      </c>
      <c r="BI35" s="90" t="str">
        <f t="shared" ca="1" si="12"/>
        <v/>
      </c>
      <c r="BJ35" s="91" t="str">
        <f t="shared" ca="1" si="11"/>
        <v/>
      </c>
      <c r="BK35" s="90" t="str">
        <f t="shared" ca="1" si="13"/>
        <v/>
      </c>
      <c r="BL35" s="91" t="str">
        <f t="shared" ca="1" si="14"/>
        <v/>
      </c>
      <c r="BM35" s="90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2" t="str">
        <f ca="1">IFERROR(VLOOKUP(A34,OFFSET($AG$2,,,COUNTIF($AG$2:$AG$50,"?*"),23),18,FALSE),"")</f>
        <v/>
      </c>
      <c r="C36" s="342"/>
      <c r="D36" s="343" t="str">
        <f ca="1">IFERROR(VLOOKUP(A34,OFFSET($S$45,,,COUNTIF($S$45:$S$50,"?*"),14),5,FALSE),"")</f>
        <v/>
      </c>
      <c r="E36" s="344"/>
      <c r="F36" s="17" t="str">
        <f ca="1">IFERROR(VLOOKUP(A34,OFFSET($S$45,,,COUNTIF($S$45:$S$50,"?*"),14),14,FALSE),"")</f>
        <v/>
      </c>
      <c r="H36" s="333"/>
      <c r="J36" s="18" t="str">
        <f ca="1">IFERROR(IF(VLOOKUP(J34,OFFSET($AG$2,,,COUNTIF($AG$2:$AG$50,"?*"),23),7,FALSE)&lt;&gt;0,VLOOKUP(J34,OFFSET($AG$2,,,COUNTIF($AG$2:$AG$50,"?*"),23),7,FALSE),"?"),"")</f>
        <v/>
      </c>
      <c r="K36" s="345" t="str">
        <f ca="1">IFERROR(VLOOKUP(J34,OFFSET($AG$2,,,COUNTIF($AG$2:$AG$50,"?*"),23),19,FALSE),"")</f>
        <v/>
      </c>
      <c r="L36" s="345"/>
      <c r="M36" s="345"/>
      <c r="N36" s="346" t="str">
        <f ca="1">IFERROR(IF(VLOOKUP(J34,OFFSET($AG$2,,,COUNTIF($AG$2:$AG$50,"?*"),23),13,FALSE)&lt;&gt;0,VLOOKUP(J34,OFFSET($AG$2,,,COUNTIF($AG$2:$AG$50,"?*"),23),13,FALSE),"?"),"")</f>
        <v/>
      </c>
      <c r="O36" s="346"/>
      <c r="P36" s="346"/>
      <c r="Q36" s="345" t="str">
        <f ca="1">IFERROR(IF(VLOOKUP(J34,OFFSET($AG$2,,,COUNTIF($AG$2:$AG$50,"?*"),23),14,FALSE)&lt;&gt;0,VLOOKUP(J34,OFFSET($AG$2,,,COUNTIF($AG$2:$AG$50,"?*"),23),14,FALSE),"?"),"")</f>
        <v/>
      </c>
      <c r="R36" s="347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6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7"/>
        <v/>
      </c>
      <c r="BE36" s="85" t="str">
        <f t="shared" ca="1" si="8"/>
        <v/>
      </c>
      <c r="BF36" s="62" t="str">
        <f t="shared" si="9"/>
        <v/>
      </c>
      <c r="BG36" s="3" t="str">
        <f t="shared" ca="1" si="10"/>
        <v/>
      </c>
      <c r="BH36" s="62" t="str">
        <f t="shared" ca="1" si="11"/>
        <v/>
      </c>
      <c r="BI36" s="3" t="str">
        <f t="shared" ca="1" si="12"/>
        <v/>
      </c>
      <c r="BJ36" s="62" t="str">
        <f t="shared" ca="1" si="11"/>
        <v/>
      </c>
      <c r="BK36" s="3" t="str">
        <f t="shared" ca="1" si="13"/>
        <v/>
      </c>
      <c r="BL36" s="62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5" t="str">
        <f ca="1">IFERROR(VLOOKUP(A34,OFFSET($S$45,,,COUNTIF($S$45:$S$50,"?*"),14),3,FALSE),"")</f>
        <v/>
      </c>
      <c r="B37" s="336"/>
      <c r="C37" s="337" t="str">
        <f ca="1">IFERROR(VLOOKUP(A34,OFFSET($S$45,,,COUNTIF($S$45:$S$50,"?*"),14),13,FALSE),"")</f>
        <v/>
      </c>
      <c r="D37" s="338"/>
      <c r="E37" s="339" t="str">
        <f ca="1">IFERROR(VLOOKUP(A34,OFFSET($AG$2,,,COUNTIF($AG$2:$AG$50,"?*"),23),19,FALSE),"")</f>
        <v/>
      </c>
      <c r="F37" s="340"/>
      <c r="H37" s="333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6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7"/>
        <v/>
      </c>
      <c r="BE37" s="92" t="str">
        <f t="shared" ca="1" si="8"/>
        <v/>
      </c>
      <c r="BF37" s="91" t="str">
        <f t="shared" si="9"/>
        <v/>
      </c>
      <c r="BG37" s="90" t="str">
        <f t="shared" ca="1" si="10"/>
        <v/>
      </c>
      <c r="BH37" s="91" t="str">
        <f t="shared" ca="1" si="11"/>
        <v/>
      </c>
      <c r="BI37" s="90" t="str">
        <f t="shared" ca="1" si="12"/>
        <v/>
      </c>
      <c r="BJ37" s="91" t="str">
        <f t="shared" ca="1" si="11"/>
        <v/>
      </c>
      <c r="BK37" s="90" t="str">
        <f t="shared" ca="1" si="13"/>
        <v/>
      </c>
      <c r="BL37" s="91" t="str">
        <f t="shared" ca="1" si="14"/>
        <v/>
      </c>
      <c r="BM37" s="90" t="str">
        <f t="shared" ca="1" si="15"/>
        <v/>
      </c>
    </row>
    <row r="38" spans="1:65" ht="15" customHeight="1" thickTop="1" thickBot="1" x14ac:dyDescent="0.25">
      <c r="A38" s="327" t="str">
        <f ca="1">IFERROR(IF(VLOOKUP(A34,OFFSET($AG$2,,,COUNTIF($AG$2:$AG$50,"?*"),23),13,FALSE)&lt;&gt;0,VLOOKUP(A34,OFFSET($AG$2,,,COUNTIF($AG$2:$AG$50,"?*"),23),13,FALSE),"?"),"")</f>
        <v/>
      </c>
      <c r="B38" s="328"/>
      <c r="C38" s="329"/>
      <c r="D38" s="330" t="str">
        <f ca="1">IFERROR(IF(VLOOKUP(A34,OFFSET($AG$2,,,COUNTIF($AG$2:$AG$50,"?*"),23),14,FALSE)&lt;&gt;0,VLOOKUP(A34,OFFSET($AG$2,,,COUNTIF($AG$2:$AG$50,"?*"),23),14,FALSE),"?"),"")</f>
        <v/>
      </c>
      <c r="E38" s="331"/>
      <c r="F38" s="19" t="str">
        <f ca="1">IFERROR(VLOOKUP(A34,OFFSET($S$45,,,COUNTIF($S$45:$S$50,"?*"),14),6,FALSE),"")</f>
        <v/>
      </c>
      <c r="H38" s="333"/>
      <c r="J38" s="322"/>
      <c r="K38" s="323"/>
      <c r="L38" s="323"/>
      <c r="M38" s="323"/>
      <c r="N38" s="323"/>
      <c r="O38" s="323"/>
      <c r="P38" s="32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6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7"/>
        <v/>
      </c>
      <c r="BE38" s="85" t="str">
        <f t="shared" ca="1" si="8"/>
        <v/>
      </c>
      <c r="BF38" s="62" t="str">
        <f t="shared" si="9"/>
        <v/>
      </c>
      <c r="BG38" s="3" t="str">
        <f t="shared" ca="1" si="10"/>
        <v/>
      </c>
      <c r="BH38" s="62" t="str">
        <f t="shared" ca="1" si="11"/>
        <v/>
      </c>
      <c r="BI38" s="3" t="str">
        <f t="shared" ca="1" si="12"/>
        <v/>
      </c>
      <c r="BJ38" s="62" t="str">
        <f t="shared" ca="1" si="11"/>
        <v/>
      </c>
      <c r="BK38" s="3" t="str">
        <f t="shared" ca="1" si="13"/>
        <v/>
      </c>
      <c r="BL38" s="62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3"/>
      <c r="J39" s="4" t="str">
        <f ca="1">IFERROR(IF(VLOOKUP(J38,OFFSET($AG$2,,,COUNTIF($AG$2:$AG$50,"?*"),23),10,FALSE)&lt;&gt;0,VLOOKUP(J38,OFFSET($AG$2,,,COUNTIF($AG$2:$AG$50,"?*"),23),10,FALSE),""),"")</f>
        <v/>
      </c>
      <c r="K39" s="326" t="str">
        <f ca="1">IFERROR(IF(VLOOKUP(J38,OFFSET($AG$2,,,COUNTIF($AG$2:$AG$50,"?*"),23),2,FALSE)&lt;&gt;0,YEAR(VLOOKUP(J38,OFFSET($AG$2,,,COUNTIF($AG$2:$AG$50,"?*"),23),2,FALSE)),""),"")</f>
        <v/>
      </c>
      <c r="L39" s="334"/>
      <c r="M39" s="152" t="str">
        <f ca="1">IFERROR(VLOOKUP(J38,OFFSET($AG$2,,,COUNTIF($AG$2:$AG$50,"?*"),23),15,FALSE),"")</f>
        <v/>
      </c>
      <c r="N39" s="334" t="str">
        <f ca="1">IFERROR(VLOOKUP(J38,OFFSET($AG$2,,,COUNTIF($AG$2:$AG$50,"?*"),23),16,FALSE),"")</f>
        <v/>
      </c>
      <c r="O39" s="334"/>
      <c r="P39" s="334" t="str">
        <f ca="1">IFERROR(VLOOKUP(J38,OFFSET($AG$2,,,COUNTIF($AG$2:$AG$50,"?*"),23),18,FALSE),"")</f>
        <v/>
      </c>
      <c r="Q39" s="334"/>
      <c r="R39" s="341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6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7"/>
        <v/>
      </c>
      <c r="BE39" s="92" t="str">
        <f t="shared" ca="1" si="8"/>
        <v/>
      </c>
      <c r="BF39" s="91" t="str">
        <f t="shared" si="9"/>
        <v/>
      </c>
      <c r="BG39" s="90" t="str">
        <f t="shared" ca="1" si="10"/>
        <v/>
      </c>
      <c r="BH39" s="91" t="str">
        <f t="shared" ca="1" si="11"/>
        <v/>
      </c>
      <c r="BI39" s="90" t="str">
        <f t="shared" ca="1" si="12"/>
        <v/>
      </c>
      <c r="BJ39" s="91" t="str">
        <f t="shared" ca="1" si="11"/>
        <v/>
      </c>
      <c r="BK39" s="90" t="str">
        <f t="shared" ca="1" si="13"/>
        <v/>
      </c>
      <c r="BL39" s="91" t="str">
        <f t="shared" ca="1" si="14"/>
        <v/>
      </c>
      <c r="BM39" s="90" t="str">
        <f t="shared" ca="1" si="15"/>
        <v/>
      </c>
    </row>
    <row r="40" spans="1:65" ht="15" customHeight="1" thickTop="1" thickBot="1" x14ac:dyDescent="0.25">
      <c r="A40" s="322"/>
      <c r="B40" s="323"/>
      <c r="C40" s="323"/>
      <c r="D40" s="32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33"/>
      <c r="J40" s="18" t="str">
        <f ca="1">IFERROR(IF(VLOOKUP(J38,OFFSET($AG$2,,,COUNTIF($AG$2:$AG$50,"?*"),23),7,FALSE)&lt;&gt;0,VLOOKUP(J38,OFFSET($AG$2,,,COUNTIF($AG$2:$AG$50,"?*"),23),7,FALSE),"?"),"")</f>
        <v/>
      </c>
      <c r="K40" s="345" t="str">
        <f ca="1">IFERROR(VLOOKUP(J38,OFFSET($AG$2,,,COUNTIF($AG$2:$AG$50,"?*"),23),19,FALSE),"")</f>
        <v/>
      </c>
      <c r="L40" s="345"/>
      <c r="M40" s="345"/>
      <c r="N40" s="346" t="str">
        <f ca="1">IFERROR(IF(VLOOKUP(J38,OFFSET($AG$2,,,COUNTIF($AG$2:$AG$50,"?*"),23),13,FALSE)&lt;&gt;0,VLOOKUP(J38,OFFSET($AG$2,,,COUNTIF($AG$2:$AG$50,"?*"),23),13,FALSE),"?"),"")</f>
        <v/>
      </c>
      <c r="O40" s="346"/>
      <c r="P40" s="346"/>
      <c r="Q40" s="345" t="str">
        <f ca="1">IFERROR(IF(VLOOKUP(J38,OFFSET($AG$2,,,COUNTIF($AG$2:$AG$50,"?*"),23),14,FALSE)&lt;&gt;0,VLOOKUP(J38,OFFSET($AG$2,,,COUNTIF($AG$2:$AG$50,"?*"),23),14,FALSE),"?"),"")</f>
        <v/>
      </c>
      <c r="R40" s="347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6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7"/>
        <v/>
      </c>
      <c r="BE40" s="85" t="str">
        <f t="shared" ca="1" si="8"/>
        <v/>
      </c>
      <c r="BF40" s="62" t="str">
        <f t="shared" si="9"/>
        <v/>
      </c>
      <c r="BG40" s="3" t="str">
        <f t="shared" ca="1" si="10"/>
        <v/>
      </c>
      <c r="BH40" s="62" t="str">
        <f t="shared" ca="1" si="11"/>
        <v/>
      </c>
      <c r="BI40" s="3" t="str">
        <f t="shared" ca="1" si="12"/>
        <v/>
      </c>
      <c r="BJ40" s="62" t="str">
        <f t="shared" ca="1" si="11"/>
        <v/>
      </c>
      <c r="BK40" s="3" t="str">
        <f t="shared" ca="1" si="13"/>
        <v/>
      </c>
      <c r="BL40" s="62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5" t="str">
        <f ca="1">IFERROR(IF(VLOOKUP(A40,OFFSET($AG$2,,,COUNTIF($AG$2:$AG$50,"?*"),23),2,FALSE)&lt;&gt;0,YEAR(VLOOKUP(A40,OFFSET($AG$2,,,COUNTIF($AG$2:$AG$50,"?*"),23),2,FALSE)),""),"")</f>
        <v/>
      </c>
      <c r="C41" s="326"/>
      <c r="D41" s="118" t="str">
        <f ca="1">IFERROR(VLOOKUP(A40,OFFSET($AG$2,,,COUNTIF($AG$2:$AG$50,"?*"),23),15,FALSE),"")</f>
        <v/>
      </c>
      <c r="E41" s="316" t="str">
        <f ca="1">IFERROR(VLOOKUP(A40,OFFSET($AG$2,,,COUNTIF($AG$2:$AG$50,"?*"),23),16,FALSE),"")</f>
        <v/>
      </c>
      <c r="F41" s="317"/>
      <c r="H41" s="333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6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7"/>
        <v/>
      </c>
      <c r="BE41" s="92" t="str">
        <f t="shared" ca="1" si="8"/>
        <v/>
      </c>
      <c r="BF41" s="91" t="str">
        <f t="shared" si="9"/>
        <v/>
      </c>
      <c r="BG41" s="90" t="str">
        <f t="shared" ca="1" si="10"/>
        <v/>
      </c>
      <c r="BH41" s="91" t="str">
        <f t="shared" ca="1" si="11"/>
        <v/>
      </c>
      <c r="BI41" s="90" t="str">
        <f t="shared" ca="1" si="12"/>
        <v/>
      </c>
      <c r="BJ41" s="91" t="str">
        <f t="shared" ca="1" si="11"/>
        <v/>
      </c>
      <c r="BK41" s="90" t="str">
        <f t="shared" ca="1" si="13"/>
        <v/>
      </c>
      <c r="BL41" s="91" t="str">
        <f t="shared" ca="1" si="14"/>
        <v/>
      </c>
      <c r="BM41" s="90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2" t="str">
        <f ca="1">IFERROR(VLOOKUP(A40,OFFSET($AG$2,,,COUNTIF($AG$2:$AG$50,"?*"),23),18,FALSE),"")</f>
        <v/>
      </c>
      <c r="C42" s="342"/>
      <c r="D42" s="343" t="str">
        <f ca="1">IFERROR(VLOOKUP(A40,OFFSET($S$45,,,COUNTIF($S$45:$S$50,"?*"),14),5,FALSE),"")</f>
        <v/>
      </c>
      <c r="E42" s="344"/>
      <c r="F42" s="17" t="str">
        <f ca="1">IFERROR(VLOOKUP(A40,OFFSET($S$45,,,COUNTIF($S$45:$S$50,"?*"),14),14,FALSE),"")</f>
        <v/>
      </c>
      <c r="H42" s="333"/>
      <c r="J42" s="322"/>
      <c r="K42" s="323"/>
      <c r="L42" s="323"/>
      <c r="M42" s="323"/>
      <c r="N42" s="323"/>
      <c r="O42" s="323"/>
      <c r="P42" s="32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6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7"/>
        <v/>
      </c>
      <c r="BE42" s="85" t="str">
        <f t="shared" ca="1" si="8"/>
        <v/>
      </c>
      <c r="BF42" s="62" t="str">
        <f t="shared" si="9"/>
        <v/>
      </c>
      <c r="BG42" s="3" t="str">
        <f t="shared" ca="1" si="10"/>
        <v/>
      </c>
      <c r="BH42" s="62" t="str">
        <f t="shared" ca="1" si="11"/>
        <v/>
      </c>
      <c r="BI42" s="3" t="str">
        <f t="shared" ca="1" si="12"/>
        <v/>
      </c>
      <c r="BJ42" s="62" t="str">
        <f t="shared" ca="1" si="11"/>
        <v/>
      </c>
      <c r="BK42" s="3" t="str">
        <f t="shared" ca="1" si="13"/>
        <v/>
      </c>
      <c r="BL42" s="62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5" t="str">
        <f ca="1">IFERROR(VLOOKUP(A40,OFFSET($S$45,,,COUNTIF($S$45:$S$50,"?*"),14),3,FALSE),"")</f>
        <v/>
      </c>
      <c r="B43" s="336"/>
      <c r="C43" s="337" t="str">
        <f ca="1">IFERROR(VLOOKUP(A40,OFFSET($S$45,,,COUNTIF($S$45:$S$50,"?*"),14),13,FALSE),"")</f>
        <v/>
      </c>
      <c r="D43" s="338"/>
      <c r="E43" s="339" t="str">
        <f ca="1">IFERROR(VLOOKUP(A40,OFFSET($AG$2,,,COUNTIF($AG$2:$AG$50,"?*"),23),19,FALSE),"")</f>
        <v/>
      </c>
      <c r="F43" s="340"/>
      <c r="H43" s="333"/>
      <c r="J43" s="4" t="str">
        <f ca="1">IFERROR(IF(VLOOKUP(J42,OFFSET($AG$2,,,COUNTIF($AG$2:$AG$50,"?*"),23),10,FALSE)&lt;&gt;0,VLOOKUP(J42,OFFSET($AG$2,,,COUNTIF($AG$2:$AG$50,"?*"),23),10,FALSE),""),"")</f>
        <v/>
      </c>
      <c r="K43" s="326" t="str">
        <f ca="1">IFERROR(IF(VLOOKUP(J42,OFFSET($AG$2,,,COUNTIF($AG$2:$AG$50,"?*"),23),2,FALSE)&lt;&gt;0,YEAR(VLOOKUP(J42,OFFSET($AG$2,,,COUNTIF($AG$2:$AG$50,"?*"),23),2,FALSE)),""),"")</f>
        <v/>
      </c>
      <c r="L43" s="334"/>
      <c r="M43" s="152" t="str">
        <f ca="1">IFERROR(VLOOKUP(J42,OFFSET($AG$2,,,COUNTIF($AG$2:$AG$50,"?*"),23),15,FALSE),"")</f>
        <v/>
      </c>
      <c r="N43" s="334" t="str">
        <f ca="1">IFERROR(VLOOKUP(J42,OFFSET($AG$2,,,COUNTIF($AG$2:$AG$50,"?*"),23),16,FALSE),"")</f>
        <v/>
      </c>
      <c r="O43" s="334"/>
      <c r="P43" s="334" t="str">
        <f ca="1">IFERROR(VLOOKUP(J42,OFFSET($AG$2,,,COUNTIF($AG$2:$AG$50,"?*"),23),18,FALSE),"")</f>
        <v/>
      </c>
      <c r="Q43" s="334"/>
      <c r="R43" s="341"/>
      <c r="AG43" s="122"/>
      <c r="AH43" s="123"/>
      <c r="AI43" s="124"/>
      <c r="AJ43" s="124"/>
      <c r="AK43" s="124"/>
      <c r="AL43" s="125" t="str">
        <f t="shared" si="1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6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7"/>
        <v/>
      </c>
      <c r="BE43" s="92" t="str">
        <f t="shared" ca="1" si="8"/>
        <v/>
      </c>
      <c r="BF43" s="91" t="str">
        <f t="shared" si="9"/>
        <v/>
      </c>
      <c r="BG43" s="90" t="str">
        <f t="shared" ca="1" si="10"/>
        <v/>
      </c>
      <c r="BH43" s="91" t="str">
        <f t="shared" ca="1" si="11"/>
        <v/>
      </c>
      <c r="BI43" s="90" t="str">
        <f t="shared" ca="1" si="12"/>
        <v/>
      </c>
      <c r="BJ43" s="91" t="str">
        <f t="shared" ca="1" si="11"/>
        <v/>
      </c>
      <c r="BK43" s="90" t="str">
        <f t="shared" ca="1" si="13"/>
        <v/>
      </c>
      <c r="BL43" s="91" t="str">
        <f t="shared" ca="1" si="14"/>
        <v/>
      </c>
      <c r="BM43" s="90" t="str">
        <f t="shared" ca="1" si="15"/>
        <v/>
      </c>
    </row>
    <row r="44" spans="1:65" ht="15" customHeight="1" thickBot="1" x14ac:dyDescent="0.25">
      <c r="A44" s="327" t="str">
        <f ca="1">IFERROR(IF(VLOOKUP(A40,OFFSET($AG$2,,,COUNTIF($AG$2:$AG$50,"?*"),23),13,FALSE)&lt;&gt;0,VLOOKUP(A40,OFFSET($AG$2,,,COUNTIF($AG$2:$AG$50,"?*"),23),13,FALSE),"?"),"")</f>
        <v/>
      </c>
      <c r="B44" s="328"/>
      <c r="C44" s="329"/>
      <c r="D44" s="330" t="str">
        <f ca="1">IFERROR(IF(VLOOKUP(A40,OFFSET($AG$2,,,COUNTIF($AG$2:$AG$50,"?*"),23),14,FALSE)&lt;&gt;0,VLOOKUP(A40,OFFSET($AG$2,,,COUNTIF($AG$2:$AG$50,"?*"),23),14,FALSE),"?"),"")</f>
        <v/>
      </c>
      <c r="E44" s="331"/>
      <c r="F44" s="19" t="str">
        <f ca="1">IFERROR(VLOOKUP(A40,OFFSET($S$45,,,COUNTIF($S$45:$S$50,"?*"),14),6,FALSE),"")</f>
        <v/>
      </c>
      <c r="H44" s="333"/>
      <c r="J44" s="18" t="str">
        <f ca="1">IFERROR(IF(VLOOKUP(J42,OFFSET($AG$2,,,COUNTIF($AG$2:$AG$50,"?*"),23),7,FALSE)&lt;&gt;0,VLOOKUP(J42,OFFSET($AG$2,,,COUNTIF($AG$2:$AG$50,"?*"),23),7,FALSE),"?"),"")</f>
        <v/>
      </c>
      <c r="K44" s="345" t="str">
        <f ca="1">IFERROR(VLOOKUP(J42,OFFSET($AG$2,,,COUNTIF($AG$2:$AG$50,"?*"),23),19,FALSE),"")</f>
        <v/>
      </c>
      <c r="L44" s="345"/>
      <c r="M44" s="345"/>
      <c r="N44" s="346" t="str">
        <f ca="1">IFERROR(IF(VLOOKUP(J42,OFFSET($AG$2,,,COUNTIF($AG$2:$AG$50,"?*"),23),13,FALSE)&lt;&gt;0,VLOOKUP(J42,OFFSET($AG$2,,,COUNTIF($AG$2:$AG$50,"?*"),23),13,FALSE),"?"),"")</f>
        <v/>
      </c>
      <c r="O44" s="346"/>
      <c r="P44" s="346"/>
      <c r="Q44" s="345" t="str">
        <f ca="1">IFERROR(IF(VLOOKUP(J42,OFFSET($AG$2,,,COUNTIF($AG$2:$AG$50,"?*"),23),14,FALSE)&lt;&gt;0,VLOOKUP(J42,OFFSET($AG$2,,,COUNTIF($AG$2:$AG$50,"?*"),23),14,FALSE),"?"),"")</f>
        <v/>
      </c>
      <c r="R44" s="347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6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7"/>
        <v/>
      </c>
      <c r="BE44" s="85" t="str">
        <f t="shared" ca="1" si="8"/>
        <v/>
      </c>
      <c r="BF44" s="62" t="str">
        <f t="shared" si="9"/>
        <v/>
      </c>
      <c r="BG44" s="3" t="str">
        <f t="shared" ca="1" si="10"/>
        <v/>
      </c>
      <c r="BH44" s="62" t="str">
        <f t="shared" ca="1" si="11"/>
        <v/>
      </c>
      <c r="BI44" s="3" t="str">
        <f t="shared" ca="1" si="12"/>
        <v/>
      </c>
      <c r="BJ44" s="62" t="str">
        <f t="shared" ca="1" si="11"/>
        <v/>
      </c>
      <c r="BK44" s="3" t="str">
        <f t="shared" ca="1" si="13"/>
        <v/>
      </c>
      <c r="BL44" s="62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389</v>
      </c>
      <c r="T45" s="103">
        <v>2</v>
      </c>
      <c r="U45" s="113">
        <v>116.5</v>
      </c>
      <c r="V45" s="103">
        <v>1</v>
      </c>
      <c r="W45" s="103">
        <v>10</v>
      </c>
      <c r="X45" s="103">
        <v>0</v>
      </c>
      <c r="Y45" s="103">
        <v>37</v>
      </c>
      <c r="Z45" s="103">
        <v>0</v>
      </c>
      <c r="AA45" s="103">
        <v>1</v>
      </c>
      <c r="AB45" s="103">
        <v>27</v>
      </c>
      <c r="AC45" s="103">
        <v>0</v>
      </c>
      <c r="AD45" s="103">
        <v>0</v>
      </c>
      <c r="AE45" s="113">
        <f>IF(S45&lt;&gt;"",IF(T45&gt;0,W45/(U45/60),0),"")</f>
        <v>5.1502145922746783</v>
      </c>
      <c r="AF45" s="113">
        <f>IF(S45&lt;&gt;"",IF(Y45&gt;0,(AB45/Y45)*100,"-"),"")</f>
        <v>72.972972972972968</v>
      </c>
      <c r="AG45" s="122"/>
      <c r="AH45" s="123"/>
      <c r="AI45" s="124"/>
      <c r="AJ45" s="124"/>
      <c r="AK45" s="124"/>
      <c r="AL45" s="125" t="str">
        <f t="shared" si="1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6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7"/>
        <v/>
      </c>
      <c r="BE45" s="92" t="str">
        <f t="shared" ca="1" si="8"/>
        <v/>
      </c>
      <c r="BF45" s="91" t="str">
        <f t="shared" si="9"/>
        <v/>
      </c>
      <c r="BG45" s="90" t="str">
        <f t="shared" ca="1" si="10"/>
        <v/>
      </c>
      <c r="BH45" s="91" t="str">
        <f t="shared" ca="1" si="11"/>
        <v/>
      </c>
      <c r="BI45" s="90" t="str">
        <f t="shared" ca="1" si="12"/>
        <v/>
      </c>
      <c r="BJ45" s="91" t="str">
        <f t="shared" ca="1" si="11"/>
        <v/>
      </c>
      <c r="BK45" s="90" t="str">
        <f t="shared" ca="1" si="13"/>
        <v/>
      </c>
      <c r="BL45" s="91" t="str">
        <f t="shared" ca="1" si="14"/>
        <v/>
      </c>
      <c r="BM45" s="90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390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6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7"/>
        <v/>
      </c>
      <c r="BE46" s="85" t="str">
        <f t="shared" ca="1" si="8"/>
        <v/>
      </c>
      <c r="BF46" s="62" t="str">
        <f t="shared" si="9"/>
        <v/>
      </c>
      <c r="BG46" s="3" t="str">
        <f t="shared" ca="1" si="10"/>
        <v/>
      </c>
      <c r="BH46" s="62" t="str">
        <f t="shared" ca="1" si="11"/>
        <v/>
      </c>
      <c r="BI46" s="3" t="str">
        <f t="shared" ca="1" si="12"/>
        <v/>
      </c>
      <c r="BJ46" s="62" t="str">
        <f t="shared" ca="1" si="11"/>
        <v/>
      </c>
      <c r="BK46" s="3" t="str">
        <f t="shared" ca="1" si="13"/>
        <v/>
      </c>
      <c r="BL46" s="62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62"/>
      <c r="B47" s="363"/>
      <c r="C47" s="363"/>
      <c r="D47" s="363"/>
      <c r="E47" s="358" t="str">
        <f ca="1">IFERROR(VLOOKUP(A47,OFFSET($BN$2,,,COUNTIF($BN$2:$BN$11,"?*"),5),3,FALSE),"")</f>
        <v/>
      </c>
      <c r="F47" s="358"/>
      <c r="G47" s="358"/>
      <c r="H47" s="358"/>
      <c r="I47" s="359"/>
      <c r="J47" s="362"/>
      <c r="K47" s="363"/>
      <c r="L47" s="363"/>
      <c r="M47" s="363"/>
      <c r="N47" s="358" t="str">
        <f ca="1">IFERROR(VLOOKUP(J47,OFFSET($BN$2,,,COUNTIF($BN$2:$BN$11,"?*"),5),3,FALSE),"")</f>
        <v/>
      </c>
      <c r="O47" s="358"/>
      <c r="P47" s="358"/>
      <c r="Q47" s="358"/>
      <c r="R47" s="359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6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7"/>
        <v/>
      </c>
      <c r="BE47" s="92" t="str">
        <f t="shared" ca="1" si="8"/>
        <v/>
      </c>
      <c r="BF47" s="91" t="str">
        <f t="shared" si="9"/>
        <v/>
      </c>
      <c r="BG47" s="90" t="str">
        <f t="shared" ca="1" si="10"/>
        <v/>
      </c>
      <c r="BH47" s="91" t="str">
        <f t="shared" ca="1" si="11"/>
        <v/>
      </c>
      <c r="BI47" s="90" t="str">
        <f t="shared" ca="1" si="12"/>
        <v/>
      </c>
      <c r="BJ47" s="91" t="str">
        <f t="shared" ca="1" si="11"/>
        <v/>
      </c>
      <c r="BK47" s="90" t="str">
        <f t="shared" ca="1" si="13"/>
        <v/>
      </c>
      <c r="BL47" s="91" t="str">
        <f t="shared" ca="1" si="14"/>
        <v/>
      </c>
      <c r="BM47" s="90" t="str">
        <f t="shared" ca="1" si="15"/>
        <v/>
      </c>
    </row>
    <row r="48" spans="1:65" ht="15" customHeight="1" thickBot="1" x14ac:dyDescent="0.25">
      <c r="A48" s="348" t="str">
        <f ca="1">IFERROR(VLOOKUP(A47,OFFSET($BN$2,,,COUNTIF($BN$2:$BN$11,"?*"),5),5,FALSE),"")</f>
        <v/>
      </c>
      <c r="B48" s="350" t="str">
        <f ca="1">IFERROR(IF(VLOOKUP(A47,OFFSET($BN$2,,,COUNTIF($BN$2:$BN$11,"?*"),5),4,FALSE)&lt;&gt;0,VLOOKUP(A47,OFFSET($BN$2,,,COUNTIF($BN$2:$BN$11,"?*"),5),4,FALSE),"-"),"")</f>
        <v/>
      </c>
      <c r="C48" s="350"/>
      <c r="D48" s="350"/>
      <c r="E48" s="350"/>
      <c r="F48" s="350"/>
      <c r="G48" s="350"/>
      <c r="H48" s="350"/>
      <c r="I48" s="351"/>
      <c r="J48" s="120" t="str">
        <f ca="1">IFERROR(VLOOKUP(J47,OFFSET($BN$2,,,COUNTIF($BN$2:$BN$11,"?*"),5),5,FALSE),"")</f>
        <v/>
      </c>
      <c r="K48" s="354" t="str">
        <f ca="1">IFERROR(IF(VLOOKUP(J47,OFFSET($BN$2,,,COUNTIF($BN$2:$BN$11,"?*"),5),4,FALSE)&lt;&gt;0,VLOOKUP(J47,OFFSET($BN$2,,,COUNTIF($BN$2:$BN$11,"?*"),5),4,FALSE),"-"),"")</f>
        <v/>
      </c>
      <c r="L48" s="354"/>
      <c r="M48" s="354"/>
      <c r="N48" s="354"/>
      <c r="O48" s="354"/>
      <c r="P48" s="354"/>
      <c r="Q48" s="354"/>
      <c r="R48" s="355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6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7"/>
        <v/>
      </c>
      <c r="BE48" s="85" t="str">
        <f t="shared" ca="1" si="8"/>
        <v/>
      </c>
      <c r="BF48" s="62" t="str">
        <f t="shared" si="9"/>
        <v/>
      </c>
      <c r="BG48" s="3" t="str">
        <f t="shared" ca="1" si="10"/>
        <v/>
      </c>
      <c r="BH48" s="62" t="str">
        <f t="shared" ca="1" si="11"/>
        <v/>
      </c>
      <c r="BI48" s="3" t="str">
        <f t="shared" ca="1" si="12"/>
        <v/>
      </c>
      <c r="BJ48" s="62" t="str">
        <f t="shared" ca="1" si="11"/>
        <v/>
      </c>
      <c r="BK48" s="3" t="str">
        <f t="shared" ca="1" si="13"/>
        <v/>
      </c>
      <c r="BL48" s="62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8"/>
      <c r="B49" s="350"/>
      <c r="C49" s="350"/>
      <c r="D49" s="350"/>
      <c r="E49" s="350"/>
      <c r="F49" s="350"/>
      <c r="G49" s="350"/>
      <c r="H49" s="350"/>
      <c r="I49" s="351"/>
      <c r="J49" s="356"/>
      <c r="K49" s="357"/>
      <c r="L49" s="357"/>
      <c r="M49" s="357"/>
      <c r="N49" s="358" t="str">
        <f ca="1">IFERROR(VLOOKUP(J49,OFFSET($BN$2,,,COUNTIF($BN$2:$BN$11,"?*"),5),3,FALSE),"")</f>
        <v/>
      </c>
      <c r="O49" s="358"/>
      <c r="P49" s="358"/>
      <c r="Q49" s="358"/>
      <c r="R49" s="359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6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7"/>
        <v/>
      </c>
      <c r="BE49" s="92" t="str">
        <f t="shared" ca="1" si="8"/>
        <v/>
      </c>
      <c r="BF49" s="91" t="str">
        <f t="shared" si="9"/>
        <v/>
      </c>
      <c r="BG49" s="90" t="str">
        <f t="shared" ca="1" si="10"/>
        <v/>
      </c>
      <c r="BH49" s="91" t="str">
        <f t="shared" ca="1" si="11"/>
        <v/>
      </c>
      <c r="BI49" s="90" t="str">
        <f t="shared" ca="1" si="12"/>
        <v/>
      </c>
      <c r="BJ49" s="91" t="str">
        <f t="shared" ca="1" si="11"/>
        <v/>
      </c>
      <c r="BK49" s="90" t="str">
        <f t="shared" ca="1" si="13"/>
        <v/>
      </c>
      <c r="BL49" s="91" t="str">
        <f t="shared" ca="1" si="14"/>
        <v/>
      </c>
      <c r="BM49" s="90" t="str">
        <f t="shared" ca="1" si="15"/>
        <v/>
      </c>
    </row>
    <row r="50" spans="1:65" ht="15" customHeight="1" thickBot="1" x14ac:dyDescent="0.25">
      <c r="A50" s="349"/>
      <c r="B50" s="352"/>
      <c r="C50" s="352"/>
      <c r="D50" s="352"/>
      <c r="E50" s="352"/>
      <c r="F50" s="352"/>
      <c r="G50" s="352"/>
      <c r="H50" s="352"/>
      <c r="I50" s="353"/>
      <c r="J50" s="120" t="str">
        <f ca="1">IFERROR(VLOOKUP(J49,OFFSET($BN$2,,,COUNTIF($BN$2:$BN$11,"?*"),5),5,FALSE),"")</f>
        <v/>
      </c>
      <c r="K50" s="354" t="str">
        <f ca="1">IFERROR(IF(VLOOKUP(J49,OFFSET($BN$2,,,COUNTIF($BN$2:$BN$11,"?*"),5),4,FALSE)&lt;&gt;0,VLOOKUP(J49,OFFSET($BN$2,,,COUNTIF($BN$2:$BN$11,"?*"),5),4,FALSE),"-"),"")</f>
        <v/>
      </c>
      <c r="L50" s="354"/>
      <c r="M50" s="354"/>
      <c r="N50" s="354"/>
      <c r="O50" s="354"/>
      <c r="P50" s="354"/>
      <c r="Q50" s="354"/>
      <c r="R50" s="355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6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7"/>
        <v/>
      </c>
      <c r="BE50" s="85" t="str">
        <f t="shared" ca="1" si="8"/>
        <v/>
      </c>
      <c r="BF50" s="62" t="str">
        <f t="shared" si="9"/>
        <v/>
      </c>
      <c r="BG50" s="3" t="str">
        <f t="shared" ca="1" si="10"/>
        <v/>
      </c>
      <c r="BH50" s="62" t="str">
        <f t="shared" ca="1" si="11"/>
        <v/>
      </c>
      <c r="BI50" s="3" t="str">
        <f t="shared" ca="1" si="12"/>
        <v/>
      </c>
      <c r="BJ50" s="62" t="str">
        <f t="shared" ca="1" si="11"/>
        <v/>
      </c>
      <c r="BK50" s="3" t="str">
        <f t="shared" ca="1" si="13"/>
        <v/>
      </c>
      <c r="BL50" s="62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electLockedCells="1"/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18</vt:i4>
      </vt:variant>
      <vt:variant>
        <vt:lpstr>Pojmenované oblasti</vt:lpstr>
      </vt:variant>
      <vt:variant>
        <vt:i4>88</vt:i4>
      </vt:variant>
    </vt:vector>
  </HeadingPairs>
  <TitlesOfParts>
    <vt:vector size="106" baseType="lpstr">
      <vt:lpstr>debug_data</vt:lpstr>
      <vt:lpstr>tabulka</vt:lpstr>
      <vt:lpstr>prehled</vt:lpstr>
      <vt:lpstr>zajimavosti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zajimavosti!Oblast_tisku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2021-09-19T14:41:46Z</cp:lastPrinted>
  <dcterms:created xsi:type="dcterms:W3CDTF">2021-09-13T20:56:50Z</dcterms:created>
  <dcterms:modified xsi:type="dcterms:W3CDTF">2021-09-19T14:45:06Z</dcterms:modified>
</cp:coreProperties>
</file>