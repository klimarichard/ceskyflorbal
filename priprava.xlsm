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Stažené soubor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priprava_BOH!$S$2:$AB$26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priprava_HAT!$S$2:$AB$22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priprava_CHO!$S$2:$AB$28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priprava_OST!$S$2:$AB$24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7" i="3" l="1"/>
  <c r="E47" i="3"/>
  <c r="F47" i="3"/>
  <c r="G47" i="3"/>
  <c r="H47" i="3"/>
  <c r="I47" i="3"/>
  <c r="I46" i="3"/>
  <c r="H46" i="3"/>
  <c r="G46" i="3"/>
  <c r="F46" i="3"/>
  <c r="E46" i="3"/>
  <c r="D46" i="3"/>
  <c r="B47" i="3"/>
  <c r="B46" i="3"/>
  <c r="F34" i="3"/>
  <c r="B34" i="3"/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26" i="19"/>
  <c r="G13" i="19"/>
  <c r="A30" i="19"/>
  <c r="G22" i="19"/>
  <c r="A31" i="19"/>
  <c r="A16" i="19"/>
  <c r="G31" i="19"/>
  <c r="G10" i="19"/>
  <c r="G29" i="19"/>
  <c r="G19" i="19"/>
  <c r="G16" i="19"/>
  <c r="A27" i="19"/>
  <c r="G15" i="19"/>
  <c r="A21" i="19"/>
  <c r="G12" i="19"/>
  <c r="G23" i="19"/>
  <c r="G25" i="19"/>
  <c r="G18" i="19"/>
  <c r="A29" i="19"/>
  <c r="G26" i="19"/>
  <c r="G17" i="19"/>
  <c r="A25" i="19"/>
  <c r="G8" i="19"/>
  <c r="G24" i="19"/>
  <c r="A8" i="19"/>
  <c r="G11" i="19"/>
  <c r="A13" i="19"/>
  <c r="G9" i="19"/>
  <c r="G21" i="19"/>
  <c r="A11" i="19"/>
  <c r="G20" i="19"/>
  <c r="G14" i="19"/>
  <c r="G30" i="19"/>
  <c r="G27" i="19"/>
  <c r="A24" i="19"/>
  <c r="A2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I11" i="19"/>
  <c r="K10" i="19"/>
  <c r="K13" i="19"/>
  <c r="L26" i="19"/>
  <c r="H24" i="19"/>
  <c r="F27" i="19"/>
  <c r="H22" i="19"/>
  <c r="C8" i="19"/>
  <c r="D25" i="19"/>
  <c r="H16" i="19"/>
  <c r="A15" i="19"/>
  <c r="I23" i="19"/>
  <c r="D8" i="19"/>
  <c r="C31" i="19"/>
  <c r="L10" i="19"/>
  <c r="K15" i="19"/>
  <c r="E31" i="19"/>
  <c r="L27" i="19"/>
  <c r="I26" i="19"/>
  <c r="C23" i="19"/>
  <c r="D24" i="19"/>
  <c r="J23" i="19"/>
  <c r="I27" i="19"/>
  <c r="B8" i="19"/>
  <c r="H27" i="19"/>
  <c r="J8" i="19"/>
  <c r="E21" i="19"/>
  <c r="L14" i="19"/>
  <c r="I12" i="19"/>
  <c r="L11" i="19"/>
  <c r="L31" i="19"/>
  <c r="I14" i="19"/>
  <c r="J11" i="19"/>
  <c r="B11" i="19"/>
  <c r="F8" i="19"/>
  <c r="J10" i="19"/>
  <c r="K27" i="19"/>
  <c r="I8" i="19"/>
  <c r="H23" i="19"/>
  <c r="E26" i="19"/>
  <c r="H11" i="19"/>
  <c r="H21" i="19"/>
  <c r="C29" i="19"/>
  <c r="F16" i="19"/>
  <c r="E27" i="19"/>
  <c r="D31" i="19"/>
  <c r="A22" i="19"/>
  <c r="I25" i="19"/>
  <c r="K22" i="19"/>
  <c r="I24" i="19"/>
  <c r="E30" i="19"/>
  <c r="L9" i="19"/>
  <c r="K12" i="19"/>
  <c r="I9" i="19"/>
  <c r="F26" i="19"/>
  <c r="D23" i="19"/>
  <c r="A14" i="19"/>
  <c r="F13" i="19"/>
  <c r="H17" i="19"/>
  <c r="J19" i="19"/>
  <c r="A10" i="19"/>
  <c r="F29" i="19"/>
  <c r="K11" i="19"/>
  <c r="H14" i="19"/>
  <c r="I31" i="19"/>
  <c r="L21" i="19"/>
  <c r="B16" i="19"/>
  <c r="B23" i="19"/>
  <c r="J27" i="19"/>
  <c r="C26" i="19"/>
  <c r="K16" i="19"/>
  <c r="L8" i="19"/>
  <c r="F30" i="19"/>
  <c r="E25" i="19"/>
  <c r="H12" i="19"/>
  <c r="J15" i="19"/>
  <c r="H13" i="19"/>
  <c r="I15" i="19"/>
  <c r="F21" i="19"/>
  <c r="L18" i="19"/>
  <c r="E23" i="19"/>
  <c r="I16" i="19"/>
  <c r="E24" i="19"/>
  <c r="J26" i="19"/>
  <c r="B29" i="19"/>
  <c r="K26" i="19"/>
  <c r="L22" i="19"/>
  <c r="E16" i="19"/>
  <c r="I10" i="19"/>
  <c r="H10" i="19"/>
  <c r="L24" i="19"/>
  <c r="H15" i="19"/>
  <c r="E8" i="19"/>
  <c r="A19" i="19"/>
  <c r="J14" i="19"/>
  <c r="L13" i="19"/>
  <c r="B21" i="19"/>
  <c r="H19" i="19"/>
  <c r="B30" i="19"/>
  <c r="H29" i="19"/>
  <c r="H26" i="19"/>
  <c r="I22" i="19"/>
  <c r="K23" i="19"/>
  <c r="L30" i="19"/>
  <c r="L16" i="19"/>
  <c r="K18" i="19"/>
  <c r="J17" i="19"/>
  <c r="J16" i="19"/>
  <c r="J12" i="19"/>
  <c r="K29" i="19"/>
  <c r="K24" i="19"/>
  <c r="J31" i="19"/>
  <c r="J24" i="19"/>
  <c r="K25" i="19"/>
  <c r="K17" i="19"/>
  <c r="L17" i="19"/>
  <c r="B31" i="19"/>
  <c r="H31" i="19"/>
  <c r="C16" i="19"/>
  <c r="L15" i="19"/>
  <c r="E11" i="19"/>
  <c r="B27" i="19"/>
  <c r="J25" i="19"/>
  <c r="I17" i="19"/>
  <c r="L25" i="19"/>
  <c r="H9" i="19"/>
  <c r="K14" i="19"/>
  <c r="H30" i="19"/>
  <c r="E13" i="19"/>
  <c r="H18" i="19"/>
  <c r="A20" i="19"/>
  <c r="J9" i="19"/>
  <c r="F31" i="19"/>
  <c r="A12" i="19"/>
  <c r="K21" i="19"/>
  <c r="L19" i="19"/>
  <c r="L23" i="19"/>
  <c r="D13" i="19"/>
  <c r="J22" i="19"/>
  <c r="H8" i="19"/>
  <c r="A17" i="19"/>
  <c r="I20" i="19"/>
  <c r="F23" i="19"/>
  <c r="H20" i="19"/>
  <c r="I30" i="19"/>
  <c r="C25" i="19"/>
  <c r="B25" i="19"/>
  <c r="I21" i="19"/>
  <c r="I29" i="19"/>
  <c r="J29" i="19"/>
  <c r="F11" i="19"/>
  <c r="K9" i="19"/>
  <c r="K8" i="19"/>
  <c r="K19" i="19"/>
  <c r="I18" i="19"/>
  <c r="L20" i="19"/>
  <c r="B13" i="19"/>
  <c r="C11" i="19"/>
  <c r="I19" i="19"/>
  <c r="F24" i="19"/>
  <c r="I13" i="19"/>
  <c r="D21" i="19"/>
  <c r="C27" i="19"/>
  <c r="J20" i="19"/>
  <c r="K30" i="19"/>
  <c r="K31" i="19"/>
  <c r="J18" i="19"/>
  <c r="F25" i="19"/>
  <c r="K20" i="19"/>
  <c r="D26" i="19"/>
  <c r="C21" i="19"/>
  <c r="C24" i="19"/>
  <c r="J30" i="19"/>
  <c r="H25" i="19"/>
  <c r="J21" i="19"/>
  <c r="A18" i="19"/>
  <c r="A9" i="19"/>
  <c r="D29" i="19"/>
  <c r="D11" i="19"/>
  <c r="C30" i="19"/>
  <c r="D30" i="19"/>
  <c r="D16" i="19"/>
  <c r="L29" i="19"/>
  <c r="J13" i="19"/>
  <c r="B26" i="19"/>
  <c r="L12" i="19"/>
  <c r="B24" i="19"/>
  <c r="D27" i="19"/>
  <c r="C13" i="19"/>
  <c r="E29" i="19"/>
  <c r="K45" i="3" l="1"/>
  <c r="O45" i="3"/>
  <c r="P45" i="3"/>
  <c r="K46" i="3"/>
  <c r="O46" i="3"/>
  <c r="P46" i="3"/>
  <c r="K47" i="3"/>
  <c r="O47" i="3"/>
  <c r="P47" i="3"/>
  <c r="K48" i="3"/>
  <c r="O48" i="3"/>
  <c r="P48" i="3"/>
  <c r="E20" i="19"/>
  <c r="B17" i="19"/>
  <c r="C17" i="19"/>
  <c r="E9" i="19"/>
  <c r="C15" i="19"/>
  <c r="D17" i="19"/>
  <c r="C22" i="19"/>
  <c r="E19" i="19"/>
  <c r="F15" i="19"/>
  <c r="B18" i="19"/>
  <c r="E14" i="19"/>
  <c r="B19" i="19"/>
  <c r="C14" i="19"/>
  <c r="D10" i="19"/>
  <c r="C18" i="19"/>
  <c r="C12" i="19"/>
  <c r="E15" i="19"/>
  <c r="F12" i="19"/>
  <c r="D20" i="19"/>
  <c r="C19" i="19"/>
  <c r="B9" i="19"/>
  <c r="D18" i="19"/>
  <c r="B14" i="19"/>
  <c r="F19" i="19"/>
  <c r="D9" i="19"/>
  <c r="D14" i="19"/>
  <c r="C10" i="19"/>
  <c r="F17" i="19"/>
  <c r="E18" i="19"/>
  <c r="D19" i="19"/>
  <c r="F9" i="19"/>
  <c r="D15" i="19"/>
  <c r="F14" i="19"/>
  <c r="E10" i="19"/>
  <c r="B12" i="19"/>
  <c r="E17" i="19"/>
  <c r="F20" i="19"/>
  <c r="D22" i="19"/>
  <c r="F10" i="19"/>
  <c r="F18" i="19"/>
  <c r="D12" i="19"/>
  <c r="B15" i="19"/>
  <c r="E12" i="19"/>
  <c r="C20" i="19"/>
  <c r="E22" i="19"/>
  <c r="B20" i="19"/>
  <c r="F22" i="19"/>
  <c r="C9" i="19"/>
  <c r="B10" i="19"/>
  <c r="B22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F42" i="14" s="1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7" i="15" l="1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AU2" i="11"/>
  <c r="AL2" i="11"/>
  <c r="AC38" i="11"/>
  <c r="R38" i="11"/>
  <c r="Q38" i="11"/>
  <c r="F38" i="11"/>
  <c r="D38" i="11"/>
  <c r="A38" i="11"/>
  <c r="BF37" i="11"/>
  <c r="BD37" i="11"/>
  <c r="AX37" i="11"/>
  <c r="AV24" i="11"/>
  <c r="AU24" i="11"/>
  <c r="AL24" i="11"/>
  <c r="AC37" i="11"/>
  <c r="E37" i="11"/>
  <c r="C37" i="11"/>
  <c r="A37" i="11"/>
  <c r="BF36" i="11"/>
  <c r="BD36" i="11"/>
  <c r="AX36" i="11"/>
  <c r="AV26" i="11"/>
  <c r="AU26" i="11"/>
  <c r="AL26" i="11"/>
  <c r="AY36" i="11" s="1"/>
  <c r="AC36" i="11"/>
  <c r="F36" i="11"/>
  <c r="D36" i="11"/>
  <c r="B36" i="11"/>
  <c r="A36" i="11"/>
  <c r="BF35" i="11"/>
  <c r="BD35" i="11"/>
  <c r="AX35" i="11"/>
  <c r="AV21" i="11"/>
  <c r="AU21" i="11"/>
  <c r="AL21" i="1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2" i="11"/>
  <c r="AU32" i="11"/>
  <c r="AC34" i="11"/>
  <c r="F34" i="11"/>
  <c r="E34" i="11"/>
  <c r="BF33" i="11"/>
  <c r="BD33" i="11"/>
  <c r="AX33" i="11"/>
  <c r="AV3" i="11"/>
  <c r="AU3" i="11"/>
  <c r="AL3" i="11"/>
  <c r="AC33" i="11"/>
  <c r="BF32" i="11"/>
  <c r="BD32" i="11"/>
  <c r="AX32" i="11"/>
  <c r="AV12" i="11"/>
  <c r="AU12" i="11"/>
  <c r="AL12" i="11"/>
  <c r="AC32" i="11"/>
  <c r="BW31" i="11"/>
  <c r="BV31" i="11"/>
  <c r="BF31" i="11"/>
  <c r="BD31" i="11"/>
  <c r="AX31" i="11"/>
  <c r="AV23" i="11"/>
  <c r="AU23" i="11"/>
  <c r="AL23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P30" i="11"/>
  <c r="M30" i="11"/>
  <c r="H30" i="11"/>
  <c r="D30" i="11"/>
  <c r="A30" i="11"/>
  <c r="BW29" i="11"/>
  <c r="BV29" i="11"/>
  <c r="BF29" i="11"/>
  <c r="BD29" i="11"/>
  <c r="AX29" i="11"/>
  <c r="AV37" i="11"/>
  <c r="AU37" i="11"/>
  <c r="AY29" i="1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J27" i="11"/>
  <c r="G27" i="11"/>
  <c r="BW26" i="11"/>
  <c r="BV26" i="11"/>
  <c r="BF26" i="11"/>
  <c r="BD26" i="11"/>
  <c r="AX26" i="11"/>
  <c r="AV34" i="11"/>
  <c r="AU34" i="11"/>
  <c r="AY26" i="1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33" i="11"/>
  <c r="AU33" i="1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7" i="11"/>
  <c r="AU27" i="1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5" i="11"/>
  <c r="AU25" i="11"/>
  <c r="AL25" i="11"/>
  <c r="AY23" i="11" s="1"/>
  <c r="AC23" i="11"/>
  <c r="R23" i="11"/>
  <c r="Q23" i="11"/>
  <c r="F23" i="11"/>
  <c r="E23" i="11"/>
  <c r="BW22" i="11"/>
  <c r="BV22" i="11"/>
  <c r="BF22" i="11"/>
  <c r="BD22" i="11"/>
  <c r="AX22" i="11"/>
  <c r="AV28" i="11"/>
  <c r="AU28" i="11"/>
  <c r="AC22" i="11"/>
  <c r="BW21" i="11"/>
  <c r="BV21" i="11"/>
  <c r="BF21" i="11"/>
  <c r="BD21" i="11"/>
  <c r="AX21" i="11"/>
  <c r="AV22" i="11"/>
  <c r="AU22" i="11"/>
  <c r="AL22" i="11"/>
  <c r="AY22" i="11" s="1"/>
  <c r="AC21" i="11"/>
  <c r="BW20" i="11"/>
  <c r="BV20" i="11"/>
  <c r="BF20" i="11"/>
  <c r="BD20" i="11"/>
  <c r="AX20" i="11"/>
  <c r="AV20" i="11"/>
  <c r="AU20" i="11"/>
  <c r="AL20" i="1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29" i="11"/>
  <c r="AU29" i="11"/>
  <c r="AC16" i="11"/>
  <c r="J16" i="11"/>
  <c r="G16" i="11"/>
  <c r="BW15" i="11"/>
  <c r="BV15" i="11"/>
  <c r="BF15" i="11"/>
  <c r="BD15" i="11"/>
  <c r="AX15" i="11"/>
  <c r="AV16" i="11"/>
  <c r="AU16" i="11"/>
  <c r="AL16" i="1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5" i="11"/>
  <c r="AU15" i="11"/>
  <c r="AL15" i="1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4" i="11"/>
  <c r="AU14" i="11"/>
  <c r="AL14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30" i="11"/>
  <c r="AU30" i="11"/>
  <c r="AC12" i="11"/>
  <c r="R12" i="11"/>
  <c r="Q12" i="11"/>
  <c r="F12" i="11"/>
  <c r="E12" i="11"/>
  <c r="BW11" i="11"/>
  <c r="BV11" i="11"/>
  <c r="BR11" i="11"/>
  <c r="BF11" i="11"/>
  <c r="BD11" i="11"/>
  <c r="AX11" i="11"/>
  <c r="AV31" i="11"/>
  <c r="AU31" i="11"/>
  <c r="AC11" i="11"/>
  <c r="BW10" i="11"/>
  <c r="BV10" i="11"/>
  <c r="BR10" i="11"/>
  <c r="BF10" i="11"/>
  <c r="BD10" i="11"/>
  <c r="AX10" i="11"/>
  <c r="AV13" i="11"/>
  <c r="AU13" i="11"/>
  <c r="AL13" i="11"/>
  <c r="AC10" i="11"/>
  <c r="BW9" i="11"/>
  <c r="BV9" i="11"/>
  <c r="BR9" i="11"/>
  <c r="BF9" i="11"/>
  <c r="BD9" i="11"/>
  <c r="AX9" i="11"/>
  <c r="AV11" i="11"/>
  <c r="AU11" i="11"/>
  <c r="AL11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0" i="11"/>
  <c r="AU10" i="11"/>
  <c r="AL10" i="11"/>
  <c r="AC8" i="11"/>
  <c r="P8" i="11"/>
  <c r="M8" i="11"/>
  <c r="D8" i="11"/>
  <c r="A8" i="11"/>
  <c r="BW7" i="11"/>
  <c r="BV7" i="11"/>
  <c r="BR7" i="11"/>
  <c r="BF7" i="11"/>
  <c r="BD7" i="11"/>
  <c r="AX7" i="11"/>
  <c r="AV9" i="11"/>
  <c r="AU9" i="11"/>
  <c r="AL9" i="1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8" i="11"/>
  <c r="AU8" i="11"/>
  <c r="AL8" i="1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7" i="11"/>
  <c r="AU7" i="11"/>
  <c r="AL7" i="11"/>
  <c r="AC5" i="11"/>
  <c r="J5" i="11"/>
  <c r="G5" i="11"/>
  <c r="BW4" i="11"/>
  <c r="BV4" i="11"/>
  <c r="BR4" i="11"/>
  <c r="BF4" i="11"/>
  <c r="BD4" i="11"/>
  <c r="AX4" i="11"/>
  <c r="AV6" i="11"/>
  <c r="AU6" i="11"/>
  <c r="AL6" i="1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5" i="11"/>
  <c r="AU5" i="11"/>
  <c r="AL5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AX2" i="11"/>
  <c r="AV4" i="11"/>
  <c r="AU4" i="11"/>
  <c r="AL4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Y18" i="8" s="1"/>
  <c r="AL19" i="8"/>
  <c r="AL20" i="8"/>
  <c r="AL21" i="8"/>
  <c r="AL22" i="8"/>
  <c r="AL23" i="8"/>
  <c r="AL24" i="8"/>
  <c r="AY24" i="8" s="1"/>
  <c r="AL25" i="8"/>
  <c r="AY25" i="8" s="1"/>
  <c r="AL26" i="8"/>
  <c r="AY26" i="8" s="1"/>
  <c r="AL27" i="8"/>
  <c r="AL28" i="8"/>
  <c r="AY28" i="8" s="1"/>
  <c r="AL29" i="8"/>
  <c r="AL30" i="8"/>
  <c r="AL31" i="8"/>
  <c r="AL32" i="8"/>
  <c r="AY32" i="8" s="1"/>
  <c r="AL33" i="8"/>
  <c r="AY33" i="8" s="1"/>
  <c r="AL34" i="8"/>
  <c r="AY34" i="8" s="1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B3" i="5"/>
  <c r="C8" i="5"/>
  <c r="F8" i="5"/>
  <c r="J8" i="5"/>
  <c r="M8" i="5"/>
  <c r="L8" i="5"/>
  <c r="K8" i="5"/>
  <c r="I8" i="5"/>
  <c r="E8" i="5"/>
  <c r="G8" i="5"/>
  <c r="B8" i="5"/>
  <c r="H8" i="5"/>
  <c r="N8" i="5"/>
  <c r="O8" i="5"/>
  <c r="AY6" i="11" l="1"/>
  <c r="AY14" i="11"/>
  <c r="AY25" i="1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AW4" i="11" s="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26" i="11" l="1"/>
  <c r="AW36" i="11"/>
  <c r="AW37" i="11"/>
  <c r="AW17" i="11"/>
  <c r="AW15" i="11"/>
  <c r="AW30" i="11"/>
  <c r="AW19" i="11"/>
  <c r="AW7" i="11"/>
  <c r="AW2" i="11"/>
  <c r="AW22" i="11"/>
  <c r="AW6" i="11"/>
  <c r="AW24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1" i="11"/>
  <c r="BG9" i="11"/>
  <c r="AW25" i="11"/>
  <c r="BG21" i="11"/>
  <c r="BH21" i="11" s="1"/>
  <c r="BI21" i="11" s="1"/>
  <c r="BJ21" i="11" s="1"/>
  <c r="BK21" i="11" s="1"/>
  <c r="BL21" i="11" s="1"/>
  <c r="BM21" i="11" s="1"/>
  <c r="AW21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2" i="11"/>
  <c r="BG32" i="11"/>
  <c r="AW13" i="11"/>
  <c r="BG10" i="11"/>
  <c r="AW28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6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3" i="11"/>
  <c r="BG16" i="11"/>
  <c r="BH16" i="11" s="1"/>
  <c r="BI16" i="11" s="1"/>
  <c r="BJ16" i="11" s="1"/>
  <c r="BK16" i="11" s="1"/>
  <c r="BL16" i="11" s="1"/>
  <c r="BM16" i="11" s="1"/>
  <c r="AW29" i="11"/>
  <c r="BG3" i="11"/>
  <c r="AW14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9" i="11"/>
  <c r="AW8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10" i="11" l="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33" i="11" l="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1" i="11"/>
  <c r="BI8" i="11"/>
  <c r="BJ8" i="11" s="1"/>
  <c r="BK8" i="11" s="1"/>
  <c r="BL8" i="11" s="1"/>
  <c r="BM8" i="11" s="1"/>
  <c r="AW10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33" i="11" l="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K33" i="11" l="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32" i="11" l="1"/>
  <c r="AW33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D4" i="5"/>
  <c r="F6" i="5"/>
  <c r="K4" i="5"/>
  <c r="C6" i="5"/>
  <c r="F4" i="5"/>
  <c r="G4" i="5"/>
  <c r="O4" i="5"/>
  <c r="H4" i="5"/>
  <c r="J6" i="5"/>
  <c r="K6" i="5"/>
  <c r="C4" i="5"/>
  <c r="G6" i="5"/>
  <c r="E4" i="5"/>
  <c r="M4" i="5"/>
  <c r="M6" i="5"/>
  <c r="H6" i="5"/>
  <c r="B6" i="5"/>
  <c r="I4" i="5"/>
  <c r="L4" i="5"/>
  <c r="O6" i="5"/>
  <c r="L6" i="5"/>
  <c r="N6" i="5"/>
  <c r="N4" i="5"/>
  <c r="J4" i="5"/>
  <c r="D6" i="5"/>
  <c r="E6" i="5"/>
  <c r="B4" i="5"/>
  <c r="I6" i="5"/>
  <c r="BM32" i="11" l="1"/>
  <c r="AW27" i="11" s="1"/>
  <c r="BM34" i="11"/>
  <c r="AW34" i="11" s="1"/>
  <c r="AW32" i="11"/>
  <c r="AW5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E3" i="5"/>
  <c r="M2" i="5"/>
  <c r="H7" i="5"/>
  <c r="L7" i="5"/>
  <c r="B5" i="5"/>
  <c r="D2" i="5"/>
  <c r="L5" i="5"/>
  <c r="C7" i="5"/>
  <c r="D3" i="5"/>
  <c r="L2" i="5"/>
  <c r="J3" i="5"/>
  <c r="K5" i="5"/>
  <c r="G2" i="5"/>
  <c r="O7" i="5"/>
  <c r="N5" i="5"/>
  <c r="D5" i="5"/>
  <c r="G3" i="5"/>
  <c r="F7" i="5"/>
  <c r="H2" i="5"/>
  <c r="C5" i="5"/>
  <c r="H5" i="5"/>
  <c r="F2" i="5"/>
  <c r="D7" i="5"/>
  <c r="N2" i="5"/>
  <c r="I3" i="5"/>
  <c r="K3" i="5"/>
  <c r="K2" i="5"/>
  <c r="O5" i="5"/>
  <c r="C3" i="5"/>
  <c r="O3" i="5"/>
  <c r="C2" i="5"/>
  <c r="B7" i="5"/>
  <c r="E7" i="5"/>
  <c r="G7" i="5"/>
  <c r="M5" i="5"/>
  <c r="J5" i="5"/>
  <c r="F3" i="5"/>
  <c r="M3" i="5"/>
  <c r="B2" i="5"/>
  <c r="E5" i="5"/>
  <c r="I7" i="5"/>
  <c r="J7" i="5"/>
  <c r="N7" i="5"/>
  <c r="E2" i="5"/>
  <c r="M7" i="5"/>
  <c r="H3" i="5"/>
  <c r="K7" i="5"/>
  <c r="F5" i="5"/>
  <c r="I5" i="5"/>
  <c r="L3" i="5"/>
  <c r="O2" i="5"/>
  <c r="I2" i="5"/>
  <c r="G5" i="5"/>
  <c r="N3" i="5"/>
  <c r="J2" i="5"/>
  <c r="M25" i="4" l="1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5" i="3"/>
  <c r="A13" i="3"/>
  <c r="E11" i="3"/>
  <c r="N15" i="3"/>
  <c r="J14" i="3"/>
  <c r="E14" i="3"/>
  <c r="D29" i="3"/>
  <c r="M30" i="3"/>
  <c r="G28" i="3"/>
  <c r="A11" i="3"/>
  <c r="C8" i="3"/>
  <c r="N11" i="3"/>
  <c r="M29" i="3"/>
  <c r="N13" i="3"/>
  <c r="P30" i="3"/>
  <c r="P29" i="3"/>
  <c r="E12" i="3"/>
  <c r="A14" i="3"/>
  <c r="D28" i="3"/>
  <c r="A12" i="3"/>
  <c r="E15" i="3"/>
  <c r="J12" i="3"/>
  <c r="D30" i="3"/>
  <c r="J11" i="3"/>
  <c r="N14" i="3"/>
  <c r="G29" i="3"/>
  <c r="J13" i="3"/>
  <c r="L8" i="3"/>
  <c r="N12" i="3"/>
  <c r="A15" i="3"/>
  <c r="G30" i="3"/>
  <c r="E13" i="3"/>
  <c r="J15" i="1" l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M26" i="3"/>
  <c r="C14" i="3"/>
  <c r="P15" i="3"/>
  <c r="J28" i="3"/>
  <c r="J23" i="3"/>
  <c r="L14" i="3"/>
  <c r="C12" i="3"/>
  <c r="G12" i="3"/>
  <c r="P22" i="3"/>
  <c r="G11" i="3"/>
  <c r="J30" i="3"/>
  <c r="L15" i="3"/>
  <c r="G13" i="3"/>
  <c r="L11" i="3"/>
  <c r="P12" i="3"/>
  <c r="C15" i="3"/>
  <c r="P26" i="3"/>
  <c r="L12" i="3"/>
  <c r="P11" i="3"/>
  <c r="G15" i="3"/>
  <c r="P13" i="3"/>
  <c r="M23" i="3"/>
  <c r="P23" i="3"/>
  <c r="C11" i="3"/>
  <c r="G14" i="3"/>
  <c r="P14" i="3"/>
  <c r="L13" i="3"/>
  <c r="M22" i="3"/>
  <c r="C13" i="3"/>
  <c r="C43" i="1" l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A30" i="3"/>
  <c r="R22" i="3"/>
  <c r="O22" i="3"/>
  <c r="L23" i="3"/>
  <c r="G19" i="3"/>
  <c r="L30" i="3"/>
  <c r="R23" i="3"/>
  <c r="R26" i="3"/>
  <c r="O26" i="3"/>
  <c r="O23" i="3"/>
  <c r="L28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M19" i="3"/>
  <c r="A20" i="3"/>
  <c r="M20" i="3"/>
  <c r="J21" i="3"/>
  <c r="P19" i="3"/>
  <c r="D20" i="3"/>
  <c r="P20" i="3"/>
  <c r="C30" i="3"/>
  <c r="G23" i="3"/>
  <c r="J19" i="3"/>
  <c r="A26" i="3"/>
  <c r="D21" i="3"/>
  <c r="J27" i="3"/>
  <c r="J26" i="3"/>
  <c r="A27" i="3"/>
  <c r="P21" i="3"/>
  <c r="J29" i="3"/>
  <c r="I19" i="3"/>
  <c r="J20" i="3"/>
  <c r="G20" i="3"/>
  <c r="M21" i="3"/>
  <c r="A22" i="3"/>
  <c r="J22" i="3"/>
  <c r="A21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L27" i="3"/>
  <c r="G21" i="3"/>
  <c r="G26" i="3"/>
  <c r="C20" i="3"/>
  <c r="C22" i="3"/>
  <c r="L22" i="3"/>
  <c r="A19" i="3"/>
  <c r="I20" i="3"/>
  <c r="F20" i="3"/>
  <c r="L19" i="3"/>
  <c r="L29" i="3"/>
  <c r="O21" i="3"/>
  <c r="A28" i="3"/>
  <c r="L20" i="3"/>
  <c r="D19" i="3"/>
  <c r="R20" i="3"/>
  <c r="C26" i="3"/>
  <c r="L21" i="3"/>
  <c r="G22" i="3"/>
  <c r="D23" i="3"/>
  <c r="O20" i="3"/>
  <c r="O19" i="3"/>
  <c r="A23" i="3"/>
  <c r="R21" i="3"/>
  <c r="C27" i="3"/>
  <c r="I23" i="3"/>
  <c r="D22" i="3"/>
  <c r="R19" i="3"/>
  <c r="F21" i="3"/>
  <c r="L26" i="3"/>
  <c r="D26" i="3"/>
  <c r="A29" i="3"/>
  <c r="C21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29" i="3"/>
  <c r="C28" i="3"/>
  <c r="F22" i="3"/>
  <c r="I22" i="3"/>
  <c r="F23" i="3"/>
  <c r="I21" i="3"/>
  <c r="F26" i="3"/>
  <c r="I26" i="3"/>
  <c r="C23" i="3"/>
  <c r="C19" i="3"/>
  <c r="F19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7" i="3"/>
  <c r="P28" i="3"/>
  <c r="P27" i="3"/>
  <c r="M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<sst xmlns="http://schemas.openxmlformats.org/spreadsheetml/2006/main" count="4139" uniqueCount="1356">
  <si>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</si>
  <si>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</si>
  <si>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</si>
  <si>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</si>
  <si>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</si>
  <si>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</si>
  <si>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</si>
  <si>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</si>
  <si>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</si>
  <si>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</si>
  <si>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</si>
  <si>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</si>
  <si>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</si>
  <si>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</si>
  <si>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</si>
  <si>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</si>
  <si>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</si>
  <si>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</si>
  <si>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</si>
  <si>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</si>
  <si>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</si>
  <si>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</si>
  <si>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</si>
  <si>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</si>
  <si>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</si>
  <si>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</si>
  <si>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</si>
  <si>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</si>
  <si>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</si>
  <si>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</si>
  <si>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</si>
  <si>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</si>
  <si>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</si>
  <si>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</si>
  <si>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</si>
  <si>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</si>
  <si>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</si>
  <si>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</si>
  <si>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</si>
  <si>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</si>
  <si>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</si>
  <si>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</si>
  <si>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</si>
  <si>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</si>
  <si>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</si>
  <si>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</si>
  <si>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</si>
  <si>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</si>
  <si>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</si>
  <si>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</si>
  <si>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</si>
  <si>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</si>
  <si>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</si>
  <si>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</si>
  <si>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</si>
  <si>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</si>
  <si>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</si>
  <si>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</si>
  <si>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</si>
  <si>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</si>
  <si>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</si>
  <si>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</si>
  <si>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</si>
  <si>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</si>
  <si>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</si>
  <si>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</si>
  <si>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</si>
  <si>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</si>
  <si>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</si>
  <si>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</si>
  <si>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</si>
  <si>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</si>
  <si>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</si>
  <si>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</si>
  <si>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</si>
  <si>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</si>
  <si>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</si>
  <si>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</si>
  <si>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</si>
  <si>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</si>
  <si>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</si>
  <si>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</si>
  <si>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</si>
  <si>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</si>
  <si>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</si>
  <si>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</si>
  <si>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</si>
  <si>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</si>
  <si>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</si>
  <si>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</si>
  <si>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</si>
  <si>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</si>
  <si>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</si>
  <si>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</si>
  <si>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</si>
  <si>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</si>
  <si>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</si>
  <si>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</si>
  <si>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</si>
  <si>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</si>
  <si>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</si>
  <si>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</si>
  <si>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</si>
  <si>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</si>
  <si>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</si>
  <si>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</si>
  <si>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</si>
  <si>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</si>
  <si>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</si>
  <si>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</si>
  <si>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</si>
  <si>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2020/2021</t>
  </si>
  <si>
    <t>7:6p</t>
  </si>
  <si>
    <t>2019/2020</t>
  </si>
  <si>
    <t>2018/2019</t>
  </si>
  <si>
    <t>5:6p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</si>
  <si>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</si>
  <si>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</si>
  <si>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</si>
  <si>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</si>
  <si>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</si>
  <si>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</si>
  <si>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</si>
  <si>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</si>
  <si>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</si>
  <si>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</si>
  <si>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</si>
  <si>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</si>
  <si>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</si>
  <si>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</si>
  <si>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</si>
  <si>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</si>
  <si>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</si>
  <si>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</si>
  <si>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</si>
  <si>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</si>
  <si>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</si>
  <si>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</si>
  <si>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</si>
  <si>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</si>
  <si>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</si>
  <si>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</si>
  <si>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</si>
  <si>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</si>
  <si>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</si>
  <si>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</si>
  <si>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</si>
  <si>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</si>
  <si>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</si>
  <si>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</si>
  <si>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</si>
  <si>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</si>
  <si>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</si>
  <si>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</si>
  <si>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</si>
  <si>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</si>
  <si>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</si>
  <si>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</si>
  <si>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</si>
  <si>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</si>
  <si>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</si>
  <si>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</si>
  <si>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</si>
  <si>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</si>
  <si>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</si>
  <si>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</si>
  <si>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</si>
  <si>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</si>
  <si>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</si>
  <si>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</si>
  <si>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</si>
  <si>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</si>
  <si>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</si>
  <si>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</si>
  <si>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</si>
  <si>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</si>
  <si>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</si>
  <si>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</si>
  <si>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</si>
  <si>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</si>
  <si>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</si>
  <si>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</si>
  <si>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</si>
  <si>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</si>
  <si>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</si>
  <si>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</si>
  <si>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</si>
  <si>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</si>
  <si>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</si>
  <si>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</si>
  <si>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</si>
  <si>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</si>
  <si>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</si>
  <si>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</si>
  <si>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</si>
  <si>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</si>
  <si>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</si>
  <si>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</si>
  <si>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</si>
  <si>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</si>
  <si>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</si>
  <si>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</si>
  <si>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</si>
  <si>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</si>
  <si>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</si>
  <si>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</si>
  <si>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</si>
  <si>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</si>
  <si>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</si>
  <si>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</si>
  <si>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</si>
  <si>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</si>
  <si>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</si>
  <si>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</si>
  <si>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</si>
  <si>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</si>
  <si>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</si>
  <si>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</si>
  <si>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</si>
  <si>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</si>
  <si>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</si>
  <si>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</si>
  <si>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</si>
  <si>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</si>
  <si>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</si>
  <si>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</si>
  <si>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</si>
  <si>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</si>
  <si>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</si>
  <si>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</si>
  <si>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</si>
  <si>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</si>
  <si>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</si>
  <si>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</si>
  <si>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</si>
  <si>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</si>
  <si>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</si>
  <si>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</si>
  <si>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</si>
  <si>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</si>
  <si>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</si>
  <si>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</si>
  <si>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</si>
  <si>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</si>
  <si>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</si>
  <si>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</si>
  <si>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</si>
  <si>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</si>
  <si>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</si>
  <si>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</si>
  <si>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</si>
  <si>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</si>
  <si>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</si>
  <si>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</si>
  <si>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</si>
  <si>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</si>
  <si>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</si>
  <si>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</si>
  <si>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</si>
  <si>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</si>
  <si>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</si>
  <si>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</si>
  <si>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</si>
  <si>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</si>
  <si>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</si>
  <si>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</si>
  <si>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</si>
  <si>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</si>
  <si>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</si>
  <si>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</si>
  <si>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</si>
  <si>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</si>
  <si>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</si>
  <si>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</si>
  <si>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</si>
  <si>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</si>
  <si>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</si>
  <si>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</si>
  <si>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</si>
  <si>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</si>
  <si>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</si>
  <si>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</si>
  <si>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</si>
  <si>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</si>
  <si>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</si>
  <si>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</si>
  <si>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</si>
  <si>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</si>
  <si>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</si>
  <si>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</si>
  <si>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</si>
  <si>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</si>
  <si>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</si>
  <si>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</si>
  <si>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</si>
  <si>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</si>
  <si>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</si>
  <si>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</si>
  <si>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</si>
  <si>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</si>
  <si>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</si>
  <si>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</si>
  <si>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</si>
  <si>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</si>
  <si>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</si>
  <si>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</si>
  <si>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</si>
  <si>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</si>
  <si>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</si>
  <si>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</si>
  <si>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</si>
  <si>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</si>
  <si>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</si>
  <si>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</si>
  <si>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</si>
  <si>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</si>
  <si>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</si>
  <si>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</si>
  <si>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</si>
  <si>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</si>
  <si>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</si>
  <si>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</si>
  <si>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</si>
  <si>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</si>
  <si>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</si>
  <si>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</si>
  <si>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</si>
  <si>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</si>
  <si>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</si>
  <si>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</si>
  <si>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</si>
  <si>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</si>
  <si>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</si>
  <si>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</si>
  <si>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</si>
  <si>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</si>
  <si>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</si>
  <si>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</si>
  <si>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</si>
  <si>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</si>
  <si>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</si>
  <si>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</si>
  <si>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</si>
  <si>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</si>
  <si>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</si>
  <si>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</si>
  <si>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</si>
  <si>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</si>
  <si>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</si>
  <si>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</si>
  <si>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</si>
  <si>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</si>
  <si>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</si>
  <si>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</si>
  <si>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</si>
  <si>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</si>
  <si>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</si>
  <si>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</si>
  <si>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</si>
  <si>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</si>
  <si>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</si>
  <si>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</si>
  <si>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</si>
  <si>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</si>
  <si>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</si>
  <si>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</si>
  <si>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</si>
  <si>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</si>
  <si>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</si>
  <si>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</si>
  <si>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</si>
  <si>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</si>
  <si>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</si>
  <si>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</si>
  <si>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</si>
  <si>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</si>
  <si>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</si>
  <si>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</si>
  <si>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</si>
  <si>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</si>
  <si>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</si>
  <si>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</si>
  <si>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</si>
  <si>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</si>
  <si>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</si>
  <si>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</si>
  <si>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</si>
  <si>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</si>
  <si>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</si>
  <si>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</si>
  <si>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</si>
  <si>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</si>
  <si>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</si>
  <si>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</si>
  <si>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</si>
  <si>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</si>
  <si>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</si>
  <si>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</si>
  <si>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</si>
  <si>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</si>
  <si>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</si>
  <si>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</si>
  <si>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</si>
  <si>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</si>
  <si>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</si>
  <si>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</si>
  <si>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</si>
  <si>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</si>
  <si>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</si>
  <si>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</si>
  <si>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</si>
  <si>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</si>
  <si>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</si>
  <si>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</si>
  <si>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</si>
  <si>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</si>
  <si>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</si>
  <si>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</si>
  <si>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</si>
  <si>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</si>
  <si>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</si>
  <si>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</si>
  <si>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</si>
  <si>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</si>
  <si>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</si>
  <si>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</si>
  <si>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</si>
  <si>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</si>
  <si>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</si>
  <si>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</si>
  <si>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</si>
  <si>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</si>
  <si>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</si>
  <si>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</si>
  <si>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</si>
  <si>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</si>
  <si>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</si>
  <si>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</si>
  <si>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</si>
  <si>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</si>
  <si>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</si>
  <si>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</si>
  <si>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</si>
  <si>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</si>
  <si>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</si>
  <si>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</si>
  <si>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</si>
  <si>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</si>
  <si>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</si>
  <si>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</si>
  <si>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</si>
  <si>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</si>
  <si>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</si>
  <si>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</si>
  <si>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</si>
  <si>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</si>
  <si>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</si>
  <si>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</si>
  <si>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</si>
  <si>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</si>
  <si>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</si>
  <si>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</si>
  <si>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</si>
  <si>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</si>
  <si>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</si>
  <si>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</si>
  <si>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</si>
  <si>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</si>
  <si>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</si>
  <si>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</si>
  <si>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</si>
  <si>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</si>
  <si>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</si>
  <si>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</si>
  <si>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</si>
  <si>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</si>
  <si>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</si>
  <si>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</si>
  <si>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</si>
  <si>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</si>
  <si>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</si>
  <si>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</si>
  <si>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</si>
  <si>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</si>
  <si>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</si>
  <si>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</si>
  <si>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</si>
  <si>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</si>
  <si>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</si>
  <si>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</si>
  <si>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</si>
  <si>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</si>
  <si>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</si>
  <si>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</si>
  <si>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</si>
  <si>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</si>
  <si>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</si>
  <si>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</si>
  <si>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</si>
  <si>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</si>
  <si>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</si>
  <si>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</si>
  <si>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</si>
  <si>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</si>
  <si>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</si>
  <si>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</si>
  <si>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</si>
  <si>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</si>
  <si>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</si>
  <si>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</si>
  <si>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</si>
  <si>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</si>
  <si>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</si>
  <si>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</si>
  <si>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</si>
  <si>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</si>
  <si>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</si>
  <si>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</si>
  <si>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</si>
  <si>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</si>
  <si>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</si>
  <si>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</si>
  <si>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</si>
  <si>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</si>
  <si>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</si>
  <si>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</si>
  <si>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</si>
  <si>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</si>
  <si>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</si>
  <si>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</si>
  <si>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</si>
  <si>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</si>
  <si>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</si>
  <si>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</si>
  <si>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</si>
  <si>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</si>
  <si>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</si>
  <si>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</si>
  <si>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</si>
  <si>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</si>
  <si>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</si>
  <si>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</si>
  <si>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</si>
  <si>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</si>
  <si>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</si>
  <si>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</si>
  <si>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</si>
  <si>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</si>
  <si>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</si>
  <si>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</si>
  <si>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</si>
  <si>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</si>
  <si>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</si>
  <si>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</si>
  <si>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</si>
  <si>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</si>
  <si>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</si>
  <si>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</si>
  <si>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</si>
  <si>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</si>
  <si>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</si>
  <si>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</si>
  <si>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</si>
  <si>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</si>
  <si>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</si>
  <si>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</si>
  <si>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</si>
  <si>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</si>
  <si>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</si>
  <si>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</si>
  <si>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</si>
  <si>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</si>
  <si>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</si>
  <si>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</si>
  <si>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</si>
  <si>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</si>
  <si>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</si>
  <si>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</si>
  <si>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</si>
  <si>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</si>
  <si>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</si>
  <si>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</si>
  <si>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</si>
  <si>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</si>
  <si>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</si>
  <si>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</si>
  <si>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</si>
  <si>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</si>
  <si>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</si>
  <si>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</si>
  <si>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</si>
  <si>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</si>
  <si>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</si>
  <si>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</si>
  <si>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</si>
  <si>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</si>
  <si>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</si>
  <si>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</si>
  <si>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</si>
  <si>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</si>
  <si>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</si>
  <si>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</si>
  <si>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</si>
  <si>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</si>
  <si>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</si>
  <si>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</si>
  <si>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</si>
  <si>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</si>
  <si>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</si>
  <si>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</si>
  <si>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</si>
  <si>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</si>
  <si>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</si>
  <si>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</si>
  <si>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</si>
  <si>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</si>
  <si>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</si>
  <si>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</si>
  <si>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</si>
  <si>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</si>
  <si>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</si>
  <si>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</si>
  <si>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</si>
  <si>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</si>
  <si>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</si>
  <si>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</si>
  <si>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</si>
  <si>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</si>
  <si>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</si>
  <si>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</si>
  <si>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</si>
  <si>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</si>
  <si>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</si>
  <si>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</si>
  <si>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</si>
  <si>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</si>
  <si>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</si>
  <si>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</si>
  <si>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</si>
  <si>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</si>
  <si>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</si>
  <si>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</si>
  <si>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</si>
  <si>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</si>
  <si>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</si>
  <si>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</si>
  <si>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</si>
  <si>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</si>
  <si>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</si>
  <si>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</si>
  <si>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</si>
  <si>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</si>
  <si>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</si>
  <si>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</si>
  <si>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</si>
  <si>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</si>
  <si>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</si>
  <si>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</si>
  <si>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</si>
  <si>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</si>
  <si>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</si>
  <si>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</si>
  <si>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</si>
  <si>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</si>
  <si>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</si>
  <si>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</si>
  <si>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</si>
  <si>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</si>
  <si>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</si>
  <si>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</si>
  <si>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</si>
  <si>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</si>
  <si>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</si>
  <si>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</si>
  <si>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</si>
  <si>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</si>
  <si>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</si>
  <si>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</si>
  <si>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</si>
  <si>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</si>
  <si>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</si>
  <si>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</si>
  <si>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</si>
  <si>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</si>
  <si>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</si>
  <si>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</si>
  <si>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</si>
  <si>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</si>
  <si>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</si>
  <si>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</si>
  <si>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</si>
  <si>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</si>
  <si>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</si>
  <si>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</si>
  <si>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</si>
  <si>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</si>
  <si>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</si>
  <si>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</si>
  <si>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</si>
  <si>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</si>
  <si>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</si>
  <si>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</si>
  <si>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</si>
  <si>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</si>
  <si>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</si>
  <si>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</si>
  <si>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</si>
  <si>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</si>
  <si>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</si>
  <si>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</si>
  <si>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</si>
  <si>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</si>
  <si>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</si>
  <si>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</si>
  <si>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</si>
  <si>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</si>
  <si>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</si>
  <si>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</si>
  <si>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</si>
  <si>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</si>
  <si>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</si>
  <si>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</si>
  <si>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</si>
  <si>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</si>
  <si>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</si>
  <si>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</si>
  <si>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</si>
  <si>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</si>
  <si>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</si>
  <si>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</si>
  <si>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</si>
  <si>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</si>
  <si>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</si>
  <si>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</si>
  <si>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</si>
  <si>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</si>
  <si>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</si>
  <si>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</si>
  <si>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</si>
  <si>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</si>
  <si>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</si>
  <si>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</si>
  <si>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</si>
  <si>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</si>
  <si>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</si>
  <si>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</si>
  <si>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</si>
  <si>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</si>
  <si>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</si>
  <si>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</si>
  <si>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</si>
  <si>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</si>
  <si>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</si>
  <si>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</si>
  <si>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</si>
  <si>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</si>
  <si>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</si>
  <si>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</si>
  <si>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</si>
  <si>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</si>
  <si>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</si>
  <si>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</si>
  <si>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</si>
  <si>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</si>
  <si>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</si>
  <si>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</si>
  <si>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</si>
  <si>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</si>
  <si>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</si>
  <si>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1. Jan Binder</t>
  </si>
  <si>
    <t>2. Jan Klinka</t>
  </si>
  <si>
    <t>2. Daniel Chatrný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</si>
  <si>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</si>
  <si>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</si>
  <si>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</si>
  <si>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</si>
  <si>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</si>
  <si>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</si>
  <si>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</si>
  <si>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</si>
  <si>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</si>
  <si>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</si>
  <si>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</si>
  <si>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</si>
  <si>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</si>
  <si>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</si>
  <si>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</si>
  <si>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</si>
  <si>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</si>
  <si>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</si>
  <si>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2. Matyáš Velc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</si>
  <si>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</si>
  <si>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</si>
  <si>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</si>
  <si>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</si>
  <si>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</si>
  <si>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</si>
  <si>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</si>
  <si>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</si>
  <si>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</si>
  <si>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</si>
  <si>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</si>
  <si>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</si>
  <si>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</si>
  <si>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</si>
  <si>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</si>
  <si>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</si>
  <si>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</si>
  <si>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</si>
  <si>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</si>
  <si>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1. Petr Majer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</si>
  <si>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</si>
  <si>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</si>
  <si>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</si>
  <si>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</si>
  <si>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</si>
  <si>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</si>
  <si>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</si>
  <si>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</si>
  <si>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</si>
  <si>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</si>
  <si>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</si>
  <si>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</si>
  <si>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</si>
  <si>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</si>
  <si>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3. Šimon Kuczera</t>
  </si>
  <si>
    <t>4. Wojciech Malajka</t>
  </si>
  <si>
    <t>1. Ronald Gašparík</t>
  </si>
  <si>
    <t>2. František Vykopal</t>
  </si>
  <si>
    <t>4:2</t>
  </si>
  <si>
    <t>Lukáš Macháček</t>
  </si>
  <si>
    <t>2. David Šimek</t>
  </si>
  <si>
    <t>Adam Palčinský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</si>
  <si>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</si>
  <si>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</si>
  <si>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</si>
  <si>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</si>
  <si>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</si>
  <si>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</si>
  <si>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</si>
  <si>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</si>
  <si>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</si>
  <si>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</si>
  <si>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</si>
  <si>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</si>
  <si>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</si>
  <si>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</si>
  <si>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</si>
  <si>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</si>
  <si>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</si>
  <si>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</si>
  <si>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</si>
  <si>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</si>
  <si>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Daniel Cabejšek</t>
  </si>
  <si>
    <t>2. Matěj Boček</t>
  </si>
  <si>
    <t>5. Jakub Hromada</t>
  </si>
  <si>
    <t>9:6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</si>
  <si>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</si>
  <si>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</si>
  <si>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</si>
  <si>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</si>
  <si>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</si>
  <si>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</si>
  <si>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</si>
  <si>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</si>
  <si>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</si>
  <si>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</si>
  <si>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</si>
  <si>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</si>
  <si>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7:2</t>
  </si>
  <si>
    <t>Michal Fišera</t>
  </si>
  <si>
    <t>6:5p</t>
  </si>
  <si>
    <t>4. 10.</t>
  </si>
  <si>
    <t>4.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</si>
  <si>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</si>
  <si>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</si>
  <si>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</si>
  <si>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</si>
  <si>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</si>
  <si>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</si>
  <si>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</si>
  <si>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</si>
  <si>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</si>
  <si>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</si>
  <si>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</si>
  <si>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</si>
  <si>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8:3</t>
  </si>
  <si>
    <t>3. Rostislav Gattnar</t>
  </si>
  <si>
    <t>6:7p</t>
  </si>
  <si>
    <t>8:5</t>
  </si>
  <si>
    <t>Taifun Moskva</t>
  </si>
  <si>
    <t>Pitbulls Kolín</t>
  </si>
  <si>
    <t>Polsko</t>
  </si>
  <si>
    <t>8,48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</si>
  <si>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</si>
  <si>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</si>
  <si>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</si>
  <si>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</si>
  <si>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</si>
  <si>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</si>
  <si>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</si>
  <si>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</si>
  <si>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</si>
  <si>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</si>
  <si>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</si>
  <si>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</si>
  <si>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</si>
  <si>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</si>
  <si>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</si>
  <si>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</si>
  <si>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3. Radek Hanák</t>
  </si>
  <si>
    <t>4. Tomáš Hanák</t>
  </si>
  <si>
    <t>2,96</t>
  </si>
  <si>
    <t>3. Tomáš Hanák</t>
  </si>
  <si>
    <t>5. Jan Bauman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</si>
  <si>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</si>
  <si>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</si>
  <si>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</si>
  <si>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</si>
  <si>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</si>
  <si>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</si>
  <si>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</si>
  <si>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</si>
  <si>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</si>
  <si>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</si>
  <si>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</si>
  <si>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</si>
  <si>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</si>
  <si>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</si>
  <si>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4:9</t>
  </si>
  <si>
    <t>8:2</t>
  </si>
  <si>
    <t>3. Jakub Buršík</t>
  </si>
  <si>
    <t>4. Karel Petrák</t>
  </si>
  <si>
    <t>OST (d)</t>
  </si>
  <si>
    <t>5:13</t>
  </si>
  <si>
    <t>BOH (h)</t>
  </si>
  <si>
    <t>OTR (h)</t>
  </si>
  <si>
    <t>CHO (d)</t>
  </si>
  <si>
    <t>28. 10.</t>
  </si>
  <si>
    <t>4. Jaromír Ekl</t>
  </si>
  <si>
    <t>5. Štěpán Slaný</t>
  </si>
  <si>
    <t>2. Daniel Štěrba</t>
  </si>
  <si>
    <t>1. Tomáš Novák</t>
  </si>
  <si>
    <t>3. Radek Krajcigr</t>
  </si>
  <si>
    <t>4. Štěpán Slaný</t>
  </si>
  <si>
    <t>3:15</t>
  </si>
  <si>
    <t>PAR (h)</t>
  </si>
  <si>
    <t>2. Lukáš Jalový</t>
  </si>
  <si>
    <t>2. Tomáš Brom</t>
  </si>
  <si>
    <t>4. Marek Fuchs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</si>
  <si>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</si>
  <si>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</si>
  <si>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</si>
  <si>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</si>
  <si>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</si>
  <si>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</si>
  <si>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</si>
  <si>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</si>
  <si>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</si>
  <si>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</si>
  <si>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</si>
  <si>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2. Petr Majer</t>
  </si>
  <si>
    <t>4. Tom Ondrušek</t>
  </si>
  <si>
    <t>5,64</t>
  </si>
  <si>
    <t>3. Daniel Eremiáš</t>
  </si>
  <si>
    <t>4. Martin Skřivánek</t>
  </si>
  <si>
    <t>3. Karel Pergler</t>
  </si>
  <si>
    <t>Marek Matoušek</t>
  </si>
  <si>
    <t>Matěj Netrefa</t>
  </si>
  <si>
    <t>6:5sn</t>
  </si>
  <si>
    <t>5:10</t>
  </si>
  <si>
    <t>BA (h)</t>
  </si>
  <si>
    <t>5. Jakub Kopecký</t>
  </si>
  <si>
    <t>1. Filip Smutný</t>
  </si>
  <si>
    <t>1. Jan Světlík</t>
  </si>
  <si>
    <t>4. Radek Valeš</t>
  </si>
  <si>
    <t>9:4</t>
  </si>
  <si>
    <t>1. Jiří Curney</t>
  </si>
  <si>
    <t>2. Matěj Pěnička</t>
  </si>
  <si>
    <t>3. Jakub Bína</t>
  </si>
  <si>
    <t>1. Dominik Beneš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</si>
  <si>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</si>
  <si>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</si>
  <si>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</si>
  <si>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</si>
  <si>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</si>
  <si>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</si>
  <si>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</si>
  <si>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2. Michal Sládek</t>
  </si>
  <si>
    <t>4. Lukáš Pešat</t>
  </si>
  <si>
    <t>5. Daniel Chatrný</t>
  </si>
  <si>
    <t>7,17</t>
  </si>
  <si>
    <t>1. Adam Choma</t>
  </si>
  <si>
    <t>3. Denis Zimmer</t>
  </si>
  <si>
    <t>4. Jan Binder</t>
  </si>
  <si>
    <t>3:13</t>
  </si>
  <si>
    <t>2:8</t>
  </si>
  <si>
    <t>LIB (h)</t>
  </si>
  <si>
    <t>3. Lukáš Petřík</t>
  </si>
  <si>
    <t>4. Peter Nehila</t>
  </si>
  <si>
    <t>1. Adam Kohút</t>
  </si>
  <si>
    <t>2. Kevin Majrich</t>
  </si>
  <si>
    <t>8,09</t>
  </si>
  <si>
    <t>3. Miroslav Steiger</t>
  </si>
  <si>
    <t>11,10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</si>
  <si>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</si>
  <si>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</si>
  <si>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</si>
  <si>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</si>
  <si>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</si>
  <si>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</si>
  <si>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</si>
  <si>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</si>
  <si>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3. Marek Zouzal</t>
  </si>
  <si>
    <t>5. Mikuláš Krbec</t>
  </si>
  <si>
    <t>Adam Kuchynka</t>
  </si>
  <si>
    <t>8:7</t>
  </si>
  <si>
    <t>10:5</t>
  </si>
  <si>
    <t>4. Jakub Kolísko</t>
  </si>
  <si>
    <t>3. Martin Šindelář</t>
  </si>
  <si>
    <t>4. Ondřej Němeček</t>
  </si>
  <si>
    <t>5. Jakub Kolísko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</si>
  <si>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</si>
  <si>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</si>
  <si>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</si>
  <si>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</si>
  <si>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</si>
  <si>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</si>
  <si>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</si>
  <si>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</si>
  <si>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2. Matyáš Šindler</t>
  </si>
  <si>
    <t>4. Marek Matejčík</t>
  </si>
  <si>
    <t>2. Michael Chalupecký</t>
  </si>
  <si>
    <t>3. Michal Bartoň</t>
  </si>
  <si>
    <t>4. Petr Maláč</t>
  </si>
  <si>
    <t>5. Lukáš Souček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</si>
  <si>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</si>
  <si>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</si>
  <si>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</si>
  <si>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</si>
  <si>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</si>
  <si>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</si>
  <si>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</si>
  <si>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</si>
  <si>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</si>
  <si>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</si>
  <si>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</si>
  <si>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</si>
  <si>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</si>
  <si>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</si>
  <si>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</si>
  <si>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</si>
  <si>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</si>
  <si>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</si>
  <si>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</si>
  <si>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</si>
  <si>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</si>
  <si>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</si>
  <si>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</si>
  <si>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</si>
  <si>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</si>
  <si>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</si>
  <si>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</si>
  <si>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</si>
  <si>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</si>
  <si>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</si>
  <si>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</si>
  <si>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</si>
  <si>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</si>
  <si>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</si>
  <si>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</si>
  <si>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</si>
  <si>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</si>
  <si>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</si>
  <si>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</si>
  <si>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</si>
  <si>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</si>
  <si>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</si>
  <si>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</si>
  <si>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</si>
  <si>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</si>
  <si>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</si>
  <si>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</si>
  <si>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</si>
  <si>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</si>
  <si>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</si>
  <si>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</si>
  <si>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</si>
  <si>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</si>
  <si>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</si>
  <si>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</si>
  <si>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</si>
  <si>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</si>
  <si>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</si>
  <si>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</si>
  <si>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</si>
  <si>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</si>
  <si>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</si>
  <si>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29. 9.</t>
  </si>
  <si>
    <t>31. 10.</t>
  </si>
  <si>
    <t>6,47</t>
  </si>
  <si>
    <t>1. Ondřej Kopič</t>
  </si>
  <si>
    <t>2. Radek Krajcigr</t>
  </si>
  <si>
    <t>3. Jaromír Ekl</t>
  </si>
  <si>
    <t>4. Milan Tichý</t>
  </si>
  <si>
    <t>4. Jakub Jirsa</t>
  </si>
  <si>
    <t>18. 10.</t>
  </si>
  <si>
    <t>3. Filip Smutný</t>
  </si>
  <si>
    <t>2. Šimon Stránský</t>
  </si>
  <si>
    <t>1. Prokop Ferdan</t>
  </si>
  <si>
    <t>3. Jakub Kopecký</t>
  </si>
  <si>
    <t>2. Matěj Denemark</t>
  </si>
  <si>
    <t>3. Karel Aubus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</si>
  <si>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</si>
  <si>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</si>
  <si>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</si>
  <si>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</si>
  <si>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</si>
  <si>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</si>
  <si>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</si>
  <si>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</si>
  <si>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</si>
  <si>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</si>
  <si>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</si>
  <si>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</si>
  <si>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</si>
  <si>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</si>
  <si>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</si>
  <si>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</si>
  <si>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</si>
  <si>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</si>
  <si>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</si>
  <si>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</si>
  <si>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</si>
  <si>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</si>
  <si>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</si>
  <si>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</si>
  <si>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</si>
  <si>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</si>
  <si>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</si>
  <si>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</si>
  <si>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</si>
  <si>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</si>
  <si>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</si>
  <si>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</si>
  <si>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</si>
  <si>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</si>
  <si>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</si>
  <si>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</si>
  <si>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</si>
  <si>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</si>
  <si>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</si>
  <si>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</si>
  <si>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</si>
  <si>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</si>
  <si>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</si>
  <si>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</si>
  <si>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</si>
  <si>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</si>
  <si>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</si>
  <si>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</si>
  <si>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</si>
  <si>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</si>
  <si>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</si>
  <si>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</si>
  <si>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</si>
  <si>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</si>
  <si>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</si>
  <si>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</si>
  <si>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</si>
  <si>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</si>
  <si>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</si>
  <si>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</si>
  <si>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</si>
  <si>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</si>
  <si>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</si>
  <si>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</si>
  <si>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</si>
  <si>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</si>
  <si>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</si>
  <si>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</si>
  <si>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</si>
  <si>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</si>
  <si>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</si>
  <si>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proti CLP první výhra od 30. 1.</t>
  </si>
  <si>
    <t>proti CLP 5 využitých PP ze 6</t>
  </si>
  <si>
    <t>jediná účast v PO (19/20)</t>
  </si>
  <si>
    <t>6:5</t>
  </si>
  <si>
    <t>2. 10.</t>
  </si>
  <si>
    <t>7. 11.</t>
  </si>
  <si>
    <t>P - P - P - P - P - V - V</t>
  </si>
  <si>
    <t>2. Viktor Kopecký</t>
  </si>
  <si>
    <t>3. Ivan Pergler</t>
  </si>
  <si>
    <t>4. Vojtěch Klápa</t>
  </si>
  <si>
    <t>5. Jan Procházka</t>
  </si>
  <si>
    <t>6,42</t>
  </si>
  <si>
    <t>2. Jan Procházka</t>
  </si>
  <si>
    <t>4. Jan Fiala</t>
  </si>
  <si>
    <t>2. Ondřej Stuchlík</t>
  </si>
  <si>
    <t>3. Viktor Kopecký</t>
  </si>
  <si>
    <t>4. Ivan Pergler</t>
  </si>
  <si>
    <t>5. Petr Hartman</t>
  </si>
  <si>
    <t>V - V - PP - P - V - P</t>
  </si>
  <si>
    <t>6,50</t>
  </si>
  <si>
    <t>4. Martin Obuškevič</t>
  </si>
  <si>
    <t>5. Adam Bouček</t>
  </si>
  <si>
    <t>Lukáš Blaszczyk</t>
  </si>
  <si>
    <t>V - V - V - V - P - V - V</t>
  </si>
  <si>
    <t>5. Matúš Gajdoš</t>
  </si>
  <si>
    <t>4,25</t>
  </si>
  <si>
    <t>5,22</t>
  </si>
  <si>
    <t>2. Filip Forman</t>
  </si>
  <si>
    <t>3. Jan Malič</t>
  </si>
  <si>
    <t>3. Vojtěch Bílek</t>
  </si>
  <si>
    <t>4. Filip Forman</t>
  </si>
  <si>
    <t>5. Jakub Buršík</t>
  </si>
  <si>
    <t>2. Ondřej Kopič</t>
  </si>
  <si>
    <t>3. Milan Tichý</t>
  </si>
  <si>
    <t>8,62</t>
  </si>
  <si>
    <t>5. Jakub Karel</t>
  </si>
  <si>
    <t>5. Marek Dzierža</t>
  </si>
  <si>
    <t>6. 11.</t>
  </si>
  <si>
    <t>P - P - P - P - VP - P - P</t>
  </si>
  <si>
    <t>30. 10.</t>
  </si>
  <si>
    <t>P - P - P - P - PP - P</t>
  </si>
  <si>
    <t>5. Lukáš Vlach</t>
  </si>
  <si>
    <t>7,42</t>
  </si>
  <si>
    <t>9,09</t>
  </si>
  <si>
    <t>3. Zdeněk Raška</t>
  </si>
  <si>
    <t>8,00</t>
  </si>
  <si>
    <t>3. Tomáš Brom</t>
  </si>
  <si>
    <t>4. Jakub Procházka</t>
  </si>
  <si>
    <t>3. David Sládeček</t>
  </si>
  <si>
    <t>5. Jakub Procházka</t>
  </si>
  <si>
    <t>Adam Pospíchal</t>
  </si>
  <si>
    <t>7:3</t>
  </si>
  <si>
    <t>5:4</t>
  </si>
  <si>
    <t>V - PP - P - V - P - V - V - V</t>
  </si>
  <si>
    <t>5. Martin Skřivánek</t>
  </si>
  <si>
    <t>1. Karel Hodík</t>
  </si>
  <si>
    <t>4,76</t>
  </si>
  <si>
    <t>2. Vojtěch Šimůnek</t>
  </si>
  <si>
    <t>5. Petr Majer</t>
  </si>
  <si>
    <t>5. Marek Vávra</t>
  </si>
  <si>
    <t>1. Michal Strnad</t>
  </si>
  <si>
    <t>2. Daniel Eremiáš</t>
  </si>
  <si>
    <t>3. Michal Podhráský</t>
  </si>
  <si>
    <t>4. Mikuláš Komárek</t>
  </si>
  <si>
    <t>5. Radim Slunečko</t>
  </si>
  <si>
    <t>5,70</t>
  </si>
  <si>
    <t>2. Jan Král</t>
  </si>
  <si>
    <t>3. Jakub Levínský</t>
  </si>
  <si>
    <t>3. Šimon Stránský</t>
  </si>
  <si>
    <t>5. Vojtěch Wiener</t>
  </si>
  <si>
    <t>2. Jan Baudisch</t>
  </si>
  <si>
    <t>4. Daniel Martínek</t>
  </si>
  <si>
    <t>5. Petr Kološ</t>
  </si>
  <si>
    <t>3:7</t>
  </si>
  <si>
    <t>25. 10.</t>
  </si>
  <si>
    <t>P - P - V - P - VP - V - V - P</t>
  </si>
  <si>
    <t>6:1</t>
  </si>
  <si>
    <t>V - VP - VP - V - V - V - P</t>
  </si>
  <si>
    <t>5. Martin Tokoš</t>
  </si>
  <si>
    <t>3,26</t>
  </si>
  <si>
    <t>2. Patrik Suchánek</t>
  </si>
  <si>
    <t>3. Jiří Curney</t>
  </si>
  <si>
    <t>4. Adam Hemerka</t>
  </si>
  <si>
    <t>5. Jakub Gruber</t>
  </si>
  <si>
    <t>4,48</t>
  </si>
  <si>
    <t>3. Michal Sládek</t>
  </si>
  <si>
    <t>4. Ladislav Gál</t>
  </si>
  <si>
    <t>5. Lukáš Pešat</t>
  </si>
  <si>
    <t>1. Šimon Kuczera</t>
  </si>
  <si>
    <t>5. Ladislav Gál</t>
  </si>
  <si>
    <t>Richard Pum</t>
  </si>
  <si>
    <t>4:5</t>
  </si>
  <si>
    <t>1:6</t>
  </si>
  <si>
    <t>8. 11.</t>
  </si>
  <si>
    <t>V - V - P - V - PP - P - P</t>
  </si>
  <si>
    <t>Jakub Grich</t>
  </si>
  <si>
    <t>P - P - V - P - P - P</t>
  </si>
  <si>
    <t>5. Pavel Jurčík</t>
  </si>
  <si>
    <t>6,31</t>
  </si>
  <si>
    <t>2. Peter Nehila</t>
  </si>
  <si>
    <t>3. Ronald Gašparík</t>
  </si>
  <si>
    <t>4. Lukáš Petřík</t>
  </si>
  <si>
    <t>5. Tomáš Sovják</t>
  </si>
  <si>
    <t>3. David Medek</t>
  </si>
  <si>
    <t>4. Martin Ležatka</t>
  </si>
  <si>
    <t>5. Peter Nehila</t>
  </si>
  <si>
    <t>5:6</t>
  </si>
  <si>
    <t>P - V - P - P - P - P - P</t>
  </si>
  <si>
    <t>1. Ivo Teichman</t>
  </si>
  <si>
    <t>2. Adam Šmíd</t>
  </si>
  <si>
    <t>5. Jan Savický</t>
  </si>
  <si>
    <t>8,24</t>
  </si>
  <si>
    <t>4,07</t>
  </si>
  <si>
    <t>4. Matyáš Velc</t>
  </si>
  <si>
    <t>1. Přemek Pakosta</t>
  </si>
  <si>
    <t>3. Adam Šmíd</t>
  </si>
  <si>
    <t>4. David Petržela</t>
  </si>
  <si>
    <t>5. Ivo Teichman</t>
  </si>
  <si>
    <t>2. Lukáš Kučera</t>
  </si>
  <si>
    <t>3. Lukáš Prix</t>
  </si>
  <si>
    <t>4. David Žáček</t>
  </si>
  <si>
    <t>5. Patrik Petr</t>
  </si>
  <si>
    <t>5:8</t>
  </si>
  <si>
    <t>6:8</t>
  </si>
  <si>
    <t>P - V - V - V - V - P - P</t>
  </si>
  <si>
    <t>3. Mikuláš Krbec</t>
  </si>
  <si>
    <t>5,74</t>
  </si>
  <si>
    <t>4. Matěj Čermák</t>
  </si>
  <si>
    <t>5. Jakub Kolstrunk</t>
  </si>
  <si>
    <t>1. Josef Juha</t>
  </si>
  <si>
    <t>2. Lukáš Ujhélyi</t>
  </si>
  <si>
    <t>1. Michal Zeman</t>
  </si>
  <si>
    <t>3. Adam Kuchynka</t>
  </si>
  <si>
    <t>4. Dominik Bartoš</t>
  </si>
  <si>
    <t>8:6</t>
  </si>
  <si>
    <t>V - V - V - V - V - V</t>
  </si>
  <si>
    <t>5. Matěj Havlas</t>
  </si>
  <si>
    <t>4,17</t>
  </si>
  <si>
    <t>1. David Šimek</t>
  </si>
  <si>
    <t>2. Marek Beneš</t>
  </si>
  <si>
    <t>3. Jakub Kolísko</t>
  </si>
  <si>
    <t>2. Martin Čermák</t>
  </si>
  <si>
    <t>3. Jonáš Kreysa</t>
  </si>
  <si>
    <t>4. Martin Šindelář</t>
  </si>
  <si>
    <t>4. Rostislav Gattnar</t>
  </si>
  <si>
    <t>3,64</t>
  </si>
  <si>
    <t>3,50</t>
  </si>
  <si>
    <t>5. Martin Gattnar</t>
  </si>
  <si>
    <t>1. Filip Čonka-Skyba</t>
  </si>
  <si>
    <t>2. Jiří Besta</t>
  </si>
  <si>
    <t>V - P - V - V - V - V - V</t>
  </si>
  <si>
    <t>Snipers Bratislava</t>
  </si>
  <si>
    <t>ŠK Seahorses Bratislava</t>
  </si>
  <si>
    <t>5:14</t>
  </si>
  <si>
    <t>10:4</t>
  </si>
  <si>
    <t>9:3</t>
  </si>
  <si>
    <t>6:2</t>
  </si>
  <si>
    <t>2015/2016</t>
  </si>
  <si>
    <t>10:13</t>
  </si>
  <si>
    <t>2014/2015</t>
  </si>
  <si>
    <t>2006/2007</t>
  </si>
  <si>
    <t>PD</t>
  </si>
  <si>
    <t>Historické statistiky v ZČ</t>
  </si>
  <si>
    <t>V+VP</t>
  </si>
  <si>
    <t>P+PP</t>
  </si>
  <si>
    <t>V+VP%</t>
  </si>
  <si>
    <t>TÝM</t>
  </si>
  <si>
    <t>Historické statistiky z databáze</t>
  </si>
  <si>
    <t>Z_pom_STATS_find_two_teams</t>
  </si>
  <si>
    <t>16 zápasů, 1 - 0 - 0 - 1 - 14, skóre 77:121</t>
  </si>
  <si>
    <t>12 zápasů, 0 - 0 - 0 - 1 - 11, skóre 56:99</t>
  </si>
  <si>
    <t>4 zápasy, 1 - 0 - 0 - 0 - 3, skóre 21:22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</si>
</sst>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8" formatCode="0&quot; %&quot;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  <font>
      <sz val="10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0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3" fillId="0" borderId="0"/>
  </cellStyleXfs>
  <cellXfs count="418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2" fontId="2" fillId="0" borderId="33" xfId="0" applyNumberFormat="1" applyFont="1" applyFill="1" applyBorder="1" applyAlignment="1">
      <alignment horizontal="center" vertical="center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178" fontId="16" fillId="0" borderId="51" xfId="0" applyNumberFormat="1" applyFont="1" applyBorder="1" applyAlignment="1">
      <alignment horizontal="center" vertical="center"/>
    </xf>
    <xf numFmtId="178" fontId="16" fillId="0" borderId="18" xfId="0" applyNumberFormat="1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904"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264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25</v>
      </c>
      <c r="E2" s="71">
        <f t="shared" ca="1" si="0"/>
        <v>22</v>
      </c>
      <c r="F2" s="71">
        <f t="shared" ca="1" si="0"/>
        <v>21</v>
      </c>
      <c r="G2" s="71">
        <f t="shared" ca="1" si="0"/>
        <v>27</v>
      </c>
      <c r="H2" s="71">
        <f t="shared" ca="1" si="0"/>
        <v>21</v>
      </c>
      <c r="I2" s="71">
        <f t="shared" ca="1" si="0"/>
        <v>21</v>
      </c>
      <c r="J2" s="71">
        <f t="shared" ca="1" si="0"/>
        <v>23</v>
      </c>
      <c r="K2" s="71">
        <f t="shared" ca="1" si="0"/>
        <v>24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269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265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3</v>
      </c>
      <c r="E4" s="71">
        <f t="shared" ca="1" si="2"/>
        <v>0</v>
      </c>
      <c r="F4" s="71">
        <f t="shared" ca="1" si="2"/>
        <v>2</v>
      </c>
      <c r="G4" s="71">
        <f t="shared" ca="1" si="2"/>
        <v>7</v>
      </c>
      <c r="H4" s="71">
        <f t="shared" ca="1" si="2"/>
        <v>0</v>
      </c>
      <c r="I4" s="71">
        <f t="shared" ca="1" si="2"/>
        <v>6</v>
      </c>
      <c r="J4" s="71">
        <f t="shared" ca="1" si="2"/>
        <v>5</v>
      </c>
      <c r="K4" s="71">
        <f t="shared" ca="1" si="2"/>
        <v>12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266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267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268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8.5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562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03" priority="14" stopIfTrue="1" operator="greaterThan">
      <formula>40</formula>
    </cfRule>
    <cfRule type="cellIs" dxfId="902" priority="15" stopIfTrue="1" operator="between">
      <formula>35</formula>
      <formula>40</formula>
    </cfRule>
    <cfRule type="cellIs" dxfId="901" priority="16" operator="lessThan">
      <formula>35</formula>
    </cfRule>
  </conditionalFormatting>
  <conditionalFormatting sqref="B3:O3">
    <cfRule type="cellIs" dxfId="900" priority="1" stopIfTrue="1" operator="greaterThan">
      <formula>9</formula>
    </cfRule>
    <cfRule type="cellIs" dxfId="899" priority="11" stopIfTrue="1" operator="between">
      <formula>7</formula>
      <formula>9</formula>
    </cfRule>
    <cfRule type="cellIs" dxfId="898" priority="12" stopIfTrue="1" operator="equal">
      <formula>0</formula>
    </cfRule>
    <cfRule type="cellIs" dxfId="897" priority="13" operator="lessThan">
      <formula>7</formula>
    </cfRule>
  </conditionalFormatting>
  <conditionalFormatting sqref="B5:O7">
    <cfRule type="cellIs" dxfId="896" priority="7" stopIfTrue="1" operator="greaterThan">
      <formula>6</formula>
    </cfRule>
    <cfRule type="cellIs" dxfId="895" priority="8" stopIfTrue="1" operator="between">
      <formula>4</formula>
      <formula>6</formula>
    </cfRule>
    <cfRule type="cellIs" dxfId="894" priority="9" stopIfTrue="1" operator="between">
      <formula>1</formula>
      <formula>3</formula>
    </cfRule>
    <cfRule type="cellIs" dxfId="893" priority="10" operator="lessThan">
      <formula>1</formula>
    </cfRule>
  </conditionalFormatting>
  <conditionalFormatting sqref="B4:O4">
    <cfRule type="cellIs" dxfId="892" priority="4" stopIfTrue="1" operator="greaterThan">
      <formula>2</formula>
    </cfRule>
    <cfRule type="cellIs" dxfId="891" priority="5" stopIfTrue="1" operator="between">
      <formula>1</formula>
      <formula>2</formula>
    </cfRule>
    <cfRule type="cellIs" dxfId="890" priority="6" operator="lessThan">
      <formula>1</formula>
    </cfRule>
  </conditionalFormatting>
  <conditionalFormatting sqref="B8:O8">
    <cfRule type="cellIs" dxfId="889" priority="2" stopIfTrue="1" operator="greaterThan">
      <formula>0</formula>
    </cfRule>
    <cfRule type="cellIs" dxfId="888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1. SC TEMPISH Vítkovice</v>
      </c>
      <c r="C2" s="76">
        <f t="shared" ref="C2:S2" si="0">X2</f>
        <v>7</v>
      </c>
      <c r="D2" s="76">
        <f t="shared" si="0"/>
        <v>6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18</v>
      </c>
      <c r="I2" s="76">
        <f t="shared" si="0"/>
        <v>65</v>
      </c>
      <c r="J2" s="76">
        <f t="shared" si="0"/>
        <v>26</v>
      </c>
      <c r="K2" s="76">
        <f t="shared" si="0"/>
        <v>39</v>
      </c>
      <c r="L2" s="76">
        <f t="shared" si="0"/>
        <v>10</v>
      </c>
      <c r="M2" s="76">
        <f t="shared" si="0"/>
        <v>5</v>
      </c>
      <c r="N2" s="76">
        <f t="shared" si="0"/>
        <v>0</v>
      </c>
      <c r="O2" s="67">
        <f t="shared" si="0"/>
        <v>50</v>
      </c>
      <c r="P2" s="76">
        <f t="shared" si="0"/>
        <v>7</v>
      </c>
      <c r="Q2" s="76">
        <f t="shared" si="0"/>
        <v>2</v>
      </c>
      <c r="R2" s="76">
        <f t="shared" si="0"/>
        <v>1</v>
      </c>
      <c r="S2" s="67">
        <f t="shared" si="0"/>
        <v>71.430000000000007</v>
      </c>
      <c r="T2" s="76">
        <f>AU2</f>
        <v>14</v>
      </c>
      <c r="U2" s="76">
        <f t="shared" ref="U2:V2" si="1">AV2</f>
        <v>214</v>
      </c>
      <c r="V2" s="68">
        <f t="shared" si="1"/>
        <v>30.37</v>
      </c>
      <c r="W2" s="72" t="s">
        <v>72</v>
      </c>
      <c r="X2" s="71">
        <v>7</v>
      </c>
      <c r="Y2" s="71">
        <v>6</v>
      </c>
      <c r="Z2" s="71">
        <v>0</v>
      </c>
      <c r="AA2" s="71">
        <v>0</v>
      </c>
      <c r="AB2" s="71">
        <v>1</v>
      </c>
      <c r="AC2" s="71">
        <v>18</v>
      </c>
      <c r="AD2" s="71">
        <v>65</v>
      </c>
      <c r="AE2" s="71">
        <v>26</v>
      </c>
      <c r="AF2" s="71">
        <v>39</v>
      </c>
      <c r="AG2" s="71">
        <v>10</v>
      </c>
      <c r="AH2" s="71">
        <v>5</v>
      </c>
      <c r="AI2" s="71">
        <v>0</v>
      </c>
      <c r="AJ2" s="70">
        <v>50</v>
      </c>
      <c r="AK2" s="71">
        <v>7</v>
      </c>
      <c r="AL2" s="71">
        <v>2</v>
      </c>
      <c r="AM2" s="71">
        <v>1</v>
      </c>
      <c r="AN2" s="70">
        <v>71.430000000000007</v>
      </c>
      <c r="AO2" s="71">
        <v>7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14</v>
      </c>
      <c r="AV2" s="71">
        <v>214</v>
      </c>
      <c r="AW2" s="70">
        <v>30.37</v>
      </c>
      <c r="AX2" s="71">
        <v>459</v>
      </c>
      <c r="AY2" s="71">
        <v>424</v>
      </c>
      <c r="AZ2" s="71">
        <v>126</v>
      </c>
      <c r="BA2" s="3" t="s">
        <v>72</v>
      </c>
      <c r="BB2" s="62" t="s">
        <v>96</v>
      </c>
      <c r="BC2" s="62">
        <f>MATCH(BA2,$B$2:$B$15,0)</f>
        <v>1</v>
      </c>
      <c r="BD2" s="62">
        <f>_xlfn.RANK.EQ(VLOOKUP(BA2,$B$2:$V$15,14,FALSE),$O$2:$O$15,0)</f>
        <v>5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Tatran Střešovice</v>
      </c>
      <c r="C3" s="76">
        <f t="shared" ref="C3:C15" si="3">X3</f>
        <v>6</v>
      </c>
      <c r="D3" s="76">
        <f t="shared" ref="D3:D15" si="4">Y3</f>
        <v>6</v>
      </c>
      <c r="E3" s="76">
        <f t="shared" ref="E3:E15" si="5">Z3</f>
        <v>0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18</v>
      </c>
      <c r="I3" s="76">
        <f t="shared" ref="I3:I15" si="9">AD3</f>
        <v>49</v>
      </c>
      <c r="J3" s="76">
        <f t="shared" ref="J3:J15" si="10">AE3</f>
        <v>25</v>
      </c>
      <c r="K3" s="76">
        <f t="shared" ref="K3:K15" si="11">AF3</f>
        <v>24</v>
      </c>
      <c r="L3" s="76">
        <f t="shared" ref="L3:L15" si="12">AG3</f>
        <v>14</v>
      </c>
      <c r="M3" s="76">
        <f t="shared" ref="M3:M15" si="13">AH3</f>
        <v>9</v>
      </c>
      <c r="N3" s="76">
        <f t="shared" ref="N3:N15" si="14">AI3</f>
        <v>1</v>
      </c>
      <c r="O3" s="67">
        <f t="shared" ref="O3:O15" si="15">AJ3</f>
        <v>64.290000000000006</v>
      </c>
      <c r="P3" s="76">
        <f t="shared" ref="P3:P15" si="16">AK3</f>
        <v>10</v>
      </c>
      <c r="Q3" s="76">
        <f t="shared" ref="Q3:Q15" si="17">AL3</f>
        <v>4</v>
      </c>
      <c r="R3" s="76">
        <f t="shared" ref="R3:R15" si="18">AM3</f>
        <v>1</v>
      </c>
      <c r="S3" s="67">
        <f t="shared" ref="S3:S15" si="19">AN3</f>
        <v>60</v>
      </c>
      <c r="T3" s="76">
        <f t="shared" ref="T3:T15" si="20">AU3</f>
        <v>22</v>
      </c>
      <c r="U3" s="76">
        <f t="shared" ref="U3:U15" si="21">AV3</f>
        <v>177</v>
      </c>
      <c r="V3" s="68">
        <f t="shared" ref="V3:V15" si="22">AW3</f>
        <v>27.68</v>
      </c>
      <c r="W3" s="72" t="s">
        <v>70</v>
      </c>
      <c r="X3" s="71">
        <v>6</v>
      </c>
      <c r="Y3" s="71">
        <v>6</v>
      </c>
      <c r="Z3" s="71">
        <v>0</v>
      </c>
      <c r="AA3" s="71">
        <v>0</v>
      </c>
      <c r="AB3" s="71">
        <v>0</v>
      </c>
      <c r="AC3" s="71">
        <v>18</v>
      </c>
      <c r="AD3" s="71">
        <v>49</v>
      </c>
      <c r="AE3" s="71">
        <v>25</v>
      </c>
      <c r="AF3" s="71">
        <v>24</v>
      </c>
      <c r="AG3" s="71">
        <v>14</v>
      </c>
      <c r="AH3" s="71">
        <v>9</v>
      </c>
      <c r="AI3" s="71">
        <v>1</v>
      </c>
      <c r="AJ3" s="70">
        <v>64.290000000000006</v>
      </c>
      <c r="AK3" s="71">
        <v>10</v>
      </c>
      <c r="AL3" s="71">
        <v>4</v>
      </c>
      <c r="AM3" s="71">
        <v>1</v>
      </c>
      <c r="AN3" s="70">
        <v>60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177</v>
      </c>
      <c r="AW3" s="70">
        <v>27.68</v>
      </c>
      <c r="AX3" s="71">
        <v>411</v>
      </c>
      <c r="AY3" s="71">
        <v>406</v>
      </c>
      <c r="AZ3" s="71">
        <v>136</v>
      </c>
      <c r="BA3" s="3" t="s">
        <v>78</v>
      </c>
      <c r="BB3" s="62" t="s">
        <v>101</v>
      </c>
      <c r="BC3" s="62">
        <f t="shared" ref="BC3:BC15" si="23">MATCH(BA3,$B$2:$B$15,0)</f>
        <v>6</v>
      </c>
      <c r="BD3" s="62">
        <f t="shared" ref="BD3:BD15" si="24">_xlfn.RANK.EQ(VLOOKUP(BA3,$B$2:$V$15,14,FALSE),$O$2:$O$15,0)</f>
        <v>3</v>
      </c>
      <c r="BE3" s="62">
        <f t="shared" ref="BE3:BE15" si="25">_xlfn.RANK.EQ(VLOOKUP(BA3,$B$2:$V$15,18,FALSE),$S$2:$S$15,0)</f>
        <v>12</v>
      </c>
      <c r="BF3" s="62">
        <f t="shared" ref="BF3:BF15" si="26">_xlfn.RANK.EQ(VLOOKUP(BA3,$B$2:$V$16,19,FALSE),$T$2:$T$15,1)</f>
        <v>12</v>
      </c>
    </row>
    <row r="4" spans="1:58" ht="24" customHeight="1" x14ac:dyDescent="0.25">
      <c r="A4" s="138">
        <v>3</v>
      </c>
      <c r="B4" s="25" t="str">
        <f t="shared" si="2"/>
        <v>FbŠ Bohemians</v>
      </c>
      <c r="C4" s="76">
        <f t="shared" si="3"/>
        <v>7</v>
      </c>
      <c r="D4" s="76">
        <f t="shared" si="4"/>
        <v>6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18</v>
      </c>
      <c r="I4" s="76">
        <f t="shared" si="9"/>
        <v>50</v>
      </c>
      <c r="J4" s="76">
        <f t="shared" si="10"/>
        <v>34</v>
      </c>
      <c r="K4" s="76">
        <f t="shared" si="11"/>
        <v>16</v>
      </c>
      <c r="L4" s="76">
        <f t="shared" si="12"/>
        <v>20</v>
      </c>
      <c r="M4" s="76">
        <f t="shared" si="13"/>
        <v>6</v>
      </c>
      <c r="N4" s="76">
        <f t="shared" si="14"/>
        <v>1</v>
      </c>
      <c r="O4" s="67">
        <f t="shared" si="15"/>
        <v>30</v>
      </c>
      <c r="P4" s="76">
        <f t="shared" si="16"/>
        <v>9</v>
      </c>
      <c r="Q4" s="76">
        <f t="shared" si="17"/>
        <v>2</v>
      </c>
      <c r="R4" s="76">
        <f t="shared" si="18"/>
        <v>0</v>
      </c>
      <c r="S4" s="67">
        <f t="shared" si="19"/>
        <v>77.78</v>
      </c>
      <c r="T4" s="76">
        <f t="shared" si="20"/>
        <v>20</v>
      </c>
      <c r="U4" s="76">
        <f t="shared" si="21"/>
        <v>186</v>
      </c>
      <c r="V4" s="68">
        <f t="shared" si="22"/>
        <v>26.88</v>
      </c>
      <c r="W4" s="72" t="s">
        <v>74</v>
      </c>
      <c r="X4" s="71">
        <v>7</v>
      </c>
      <c r="Y4" s="71">
        <v>6</v>
      </c>
      <c r="Z4" s="71">
        <v>0</v>
      </c>
      <c r="AA4" s="71">
        <v>0</v>
      </c>
      <c r="AB4" s="71">
        <v>1</v>
      </c>
      <c r="AC4" s="71">
        <v>18</v>
      </c>
      <c r="AD4" s="71">
        <v>50</v>
      </c>
      <c r="AE4" s="71">
        <v>34</v>
      </c>
      <c r="AF4" s="71">
        <v>16</v>
      </c>
      <c r="AG4" s="71">
        <v>20</v>
      </c>
      <c r="AH4" s="71">
        <v>6</v>
      </c>
      <c r="AI4" s="71">
        <v>1</v>
      </c>
      <c r="AJ4" s="70">
        <v>30</v>
      </c>
      <c r="AK4" s="71">
        <v>9</v>
      </c>
      <c r="AL4" s="71">
        <v>2</v>
      </c>
      <c r="AM4" s="71">
        <v>0</v>
      </c>
      <c r="AN4" s="70">
        <v>77.78</v>
      </c>
      <c r="AO4" s="71">
        <v>10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20</v>
      </c>
      <c r="AV4" s="71">
        <v>186</v>
      </c>
      <c r="AW4" s="70">
        <v>26.88</v>
      </c>
      <c r="AX4" s="71">
        <v>724</v>
      </c>
      <c r="AY4" s="71">
        <v>434</v>
      </c>
      <c r="AZ4" s="71">
        <v>165</v>
      </c>
      <c r="BA4" s="3" t="s">
        <v>73</v>
      </c>
      <c r="BB4" s="62" t="s">
        <v>97</v>
      </c>
      <c r="BC4" s="62">
        <f t="shared" si="23"/>
        <v>9</v>
      </c>
      <c r="BD4" s="62">
        <f t="shared" si="24"/>
        <v>4</v>
      </c>
      <c r="BE4" s="62">
        <f t="shared" si="25"/>
        <v>6</v>
      </c>
      <c r="BF4" s="62">
        <f t="shared" si="26"/>
        <v>10</v>
      </c>
    </row>
    <row r="5" spans="1:58" ht="24" customHeight="1" x14ac:dyDescent="0.25">
      <c r="A5" s="138">
        <v>4</v>
      </c>
      <c r="B5" s="25" t="str">
        <f t="shared" si="2"/>
        <v>Předvýběr.CZ Florbal MB</v>
      </c>
      <c r="C5" s="76">
        <f t="shared" si="3"/>
        <v>7</v>
      </c>
      <c r="D5" s="76">
        <f t="shared" si="4"/>
        <v>4</v>
      </c>
      <c r="E5" s="76">
        <f t="shared" si="5"/>
        <v>2</v>
      </c>
      <c r="F5" s="76">
        <f t="shared" si="6"/>
        <v>0</v>
      </c>
      <c r="G5" s="76">
        <f t="shared" si="7"/>
        <v>1</v>
      </c>
      <c r="H5" s="78">
        <f t="shared" si="8"/>
        <v>16</v>
      </c>
      <c r="I5" s="76">
        <f t="shared" si="9"/>
        <v>51</v>
      </c>
      <c r="J5" s="76">
        <f t="shared" si="10"/>
        <v>24</v>
      </c>
      <c r="K5" s="76">
        <f t="shared" si="11"/>
        <v>27</v>
      </c>
      <c r="L5" s="76">
        <f t="shared" si="12"/>
        <v>6</v>
      </c>
      <c r="M5" s="76">
        <f t="shared" si="13"/>
        <v>2</v>
      </c>
      <c r="N5" s="76">
        <f t="shared" si="14"/>
        <v>1</v>
      </c>
      <c r="O5" s="67">
        <f t="shared" si="15"/>
        <v>33.33</v>
      </c>
      <c r="P5" s="76">
        <f t="shared" si="16"/>
        <v>12</v>
      </c>
      <c r="Q5" s="76">
        <f t="shared" si="17"/>
        <v>2</v>
      </c>
      <c r="R5" s="76">
        <f t="shared" si="18"/>
        <v>0</v>
      </c>
      <c r="S5" s="67">
        <f t="shared" si="19"/>
        <v>83.33</v>
      </c>
      <c r="T5" s="76">
        <f t="shared" si="20"/>
        <v>26</v>
      </c>
      <c r="U5" s="76">
        <f t="shared" si="21"/>
        <v>188</v>
      </c>
      <c r="V5" s="68">
        <f t="shared" si="22"/>
        <v>27.13</v>
      </c>
      <c r="W5" s="72" t="s">
        <v>71</v>
      </c>
      <c r="X5" s="71">
        <v>7</v>
      </c>
      <c r="Y5" s="71">
        <v>4</v>
      </c>
      <c r="Z5" s="71">
        <v>2</v>
      </c>
      <c r="AA5" s="71">
        <v>0</v>
      </c>
      <c r="AB5" s="71">
        <v>1</v>
      </c>
      <c r="AC5" s="71">
        <v>16</v>
      </c>
      <c r="AD5" s="71">
        <v>51</v>
      </c>
      <c r="AE5" s="71">
        <v>24</v>
      </c>
      <c r="AF5" s="71">
        <v>27</v>
      </c>
      <c r="AG5" s="71">
        <v>6</v>
      </c>
      <c r="AH5" s="71">
        <v>2</v>
      </c>
      <c r="AI5" s="71">
        <v>1</v>
      </c>
      <c r="AJ5" s="70">
        <v>33.33</v>
      </c>
      <c r="AK5" s="71">
        <v>12</v>
      </c>
      <c r="AL5" s="71">
        <v>2</v>
      </c>
      <c r="AM5" s="71">
        <v>0</v>
      </c>
      <c r="AN5" s="70">
        <v>83.33</v>
      </c>
      <c r="AO5" s="71">
        <v>13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26</v>
      </c>
      <c r="AV5" s="71">
        <v>188</v>
      </c>
      <c r="AW5" s="70">
        <v>27.13</v>
      </c>
      <c r="AX5" s="71">
        <v>815</v>
      </c>
      <c r="AY5" s="71">
        <v>546</v>
      </c>
      <c r="AZ5" s="71">
        <v>194</v>
      </c>
      <c r="BA5" s="3" t="s">
        <v>76</v>
      </c>
      <c r="BB5" s="62" t="s">
        <v>24</v>
      </c>
      <c r="BC5" s="62">
        <f t="shared" si="23"/>
        <v>5</v>
      </c>
      <c r="BD5" s="62">
        <f t="shared" si="24"/>
        <v>7</v>
      </c>
      <c r="BE5" s="62">
        <f t="shared" si="25"/>
        <v>9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FAT PIPE FLORBAL CHODOV</v>
      </c>
      <c r="C6" s="76">
        <f t="shared" si="3"/>
        <v>8</v>
      </c>
      <c r="D6" s="76">
        <f t="shared" si="4"/>
        <v>5</v>
      </c>
      <c r="E6" s="76">
        <f t="shared" si="5"/>
        <v>0</v>
      </c>
      <c r="F6" s="76">
        <f t="shared" si="6"/>
        <v>1</v>
      </c>
      <c r="G6" s="76">
        <f t="shared" si="7"/>
        <v>2</v>
      </c>
      <c r="H6" s="78">
        <f t="shared" si="8"/>
        <v>16</v>
      </c>
      <c r="I6" s="76">
        <f t="shared" si="9"/>
        <v>52</v>
      </c>
      <c r="J6" s="76">
        <f t="shared" si="10"/>
        <v>44</v>
      </c>
      <c r="K6" s="76">
        <f t="shared" si="11"/>
        <v>8</v>
      </c>
      <c r="L6" s="76">
        <f t="shared" si="12"/>
        <v>12</v>
      </c>
      <c r="M6" s="76">
        <f t="shared" si="13"/>
        <v>5</v>
      </c>
      <c r="N6" s="76">
        <f t="shared" si="14"/>
        <v>0</v>
      </c>
      <c r="O6" s="67">
        <f t="shared" si="15"/>
        <v>41.67</v>
      </c>
      <c r="P6" s="76">
        <f t="shared" si="16"/>
        <v>15</v>
      </c>
      <c r="Q6" s="76">
        <f t="shared" si="17"/>
        <v>7</v>
      </c>
      <c r="R6" s="76">
        <f t="shared" si="18"/>
        <v>3</v>
      </c>
      <c r="S6" s="67">
        <f t="shared" si="19"/>
        <v>53.33</v>
      </c>
      <c r="T6" s="76">
        <f t="shared" si="20"/>
        <v>30</v>
      </c>
      <c r="U6" s="76">
        <f t="shared" si="21"/>
        <v>213</v>
      </c>
      <c r="V6" s="68">
        <f t="shared" si="22"/>
        <v>24.41</v>
      </c>
      <c r="W6" s="72" t="s">
        <v>76</v>
      </c>
      <c r="X6" s="71">
        <v>8</v>
      </c>
      <c r="Y6" s="71">
        <v>5</v>
      </c>
      <c r="Z6" s="71">
        <v>0</v>
      </c>
      <c r="AA6" s="71">
        <v>1</v>
      </c>
      <c r="AB6" s="71">
        <v>2</v>
      </c>
      <c r="AC6" s="71">
        <v>16</v>
      </c>
      <c r="AD6" s="71">
        <v>52</v>
      </c>
      <c r="AE6" s="71">
        <v>44</v>
      </c>
      <c r="AF6" s="71">
        <v>8</v>
      </c>
      <c r="AG6" s="71">
        <v>12</v>
      </c>
      <c r="AH6" s="71">
        <v>5</v>
      </c>
      <c r="AI6" s="71">
        <v>0</v>
      </c>
      <c r="AJ6" s="70">
        <v>41.67</v>
      </c>
      <c r="AK6" s="71">
        <v>15</v>
      </c>
      <c r="AL6" s="71">
        <v>7</v>
      </c>
      <c r="AM6" s="71">
        <v>3</v>
      </c>
      <c r="AN6" s="70">
        <v>53.33</v>
      </c>
      <c r="AO6" s="71">
        <v>15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30</v>
      </c>
      <c r="AV6" s="71">
        <v>213</v>
      </c>
      <c r="AW6" s="70">
        <v>24.41</v>
      </c>
      <c r="AX6" s="71">
        <v>431</v>
      </c>
      <c r="AY6" s="71">
        <v>577</v>
      </c>
      <c r="AZ6" s="71">
        <v>126</v>
      </c>
      <c r="BA6" s="3" t="s">
        <v>79</v>
      </c>
      <c r="BB6" s="62" t="s">
        <v>102</v>
      </c>
      <c r="BC6" s="62">
        <f t="shared" si="23"/>
        <v>13</v>
      </c>
      <c r="BD6" s="62">
        <f t="shared" si="24"/>
        <v>5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ACEMA Sparta Praha</v>
      </c>
      <c r="C7" s="76">
        <f t="shared" si="3"/>
        <v>7</v>
      </c>
      <c r="D7" s="76">
        <f t="shared" si="4"/>
        <v>4</v>
      </c>
      <c r="E7" s="76">
        <f t="shared" si="5"/>
        <v>0</v>
      </c>
      <c r="F7" s="76">
        <f t="shared" si="6"/>
        <v>0</v>
      </c>
      <c r="G7" s="76">
        <f t="shared" si="7"/>
        <v>3</v>
      </c>
      <c r="H7" s="78">
        <f t="shared" si="8"/>
        <v>12</v>
      </c>
      <c r="I7" s="76">
        <f t="shared" si="9"/>
        <v>43</v>
      </c>
      <c r="J7" s="76">
        <f t="shared" si="10"/>
        <v>40</v>
      </c>
      <c r="K7" s="76">
        <f t="shared" si="11"/>
        <v>3</v>
      </c>
      <c r="L7" s="76">
        <f t="shared" si="12"/>
        <v>9</v>
      </c>
      <c r="M7" s="76">
        <f t="shared" si="13"/>
        <v>5</v>
      </c>
      <c r="N7" s="76">
        <f t="shared" si="14"/>
        <v>0</v>
      </c>
      <c r="O7" s="67">
        <f t="shared" si="15"/>
        <v>55.56</v>
      </c>
      <c r="P7" s="76">
        <f t="shared" si="16"/>
        <v>14</v>
      </c>
      <c r="Q7" s="76">
        <f t="shared" si="17"/>
        <v>9</v>
      </c>
      <c r="R7" s="76">
        <f t="shared" si="18"/>
        <v>0</v>
      </c>
      <c r="S7" s="67">
        <f t="shared" si="19"/>
        <v>35.71</v>
      </c>
      <c r="T7" s="76">
        <f t="shared" si="20"/>
        <v>32</v>
      </c>
      <c r="U7" s="76">
        <f t="shared" si="21"/>
        <v>190</v>
      </c>
      <c r="V7" s="68">
        <f t="shared" si="22"/>
        <v>22.63</v>
      </c>
      <c r="W7" s="72" t="s">
        <v>78</v>
      </c>
      <c r="X7" s="71">
        <v>7</v>
      </c>
      <c r="Y7" s="71">
        <v>4</v>
      </c>
      <c r="Z7" s="71">
        <v>0</v>
      </c>
      <c r="AA7" s="71">
        <v>0</v>
      </c>
      <c r="AB7" s="71">
        <v>3</v>
      </c>
      <c r="AC7" s="71">
        <v>12</v>
      </c>
      <c r="AD7" s="71">
        <v>43</v>
      </c>
      <c r="AE7" s="71">
        <v>40</v>
      </c>
      <c r="AF7" s="71">
        <v>3</v>
      </c>
      <c r="AG7" s="71">
        <v>9</v>
      </c>
      <c r="AH7" s="71">
        <v>5</v>
      </c>
      <c r="AI7" s="71">
        <v>0</v>
      </c>
      <c r="AJ7" s="70">
        <v>55.56</v>
      </c>
      <c r="AK7" s="71">
        <v>14</v>
      </c>
      <c r="AL7" s="71">
        <v>9</v>
      </c>
      <c r="AM7" s="71">
        <v>0</v>
      </c>
      <c r="AN7" s="70">
        <v>35.71</v>
      </c>
      <c r="AO7" s="71">
        <v>16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32</v>
      </c>
      <c r="AV7" s="71">
        <v>190</v>
      </c>
      <c r="AW7" s="70">
        <v>22.63</v>
      </c>
      <c r="AX7" s="71">
        <v>987</v>
      </c>
      <c r="AY7" s="71">
        <v>738</v>
      </c>
      <c r="AZ7" s="71">
        <v>246</v>
      </c>
      <c r="BA7" s="3" t="s">
        <v>75</v>
      </c>
      <c r="BB7" s="62" t="s">
        <v>99</v>
      </c>
      <c r="BC7" s="62">
        <f t="shared" si="23"/>
        <v>8</v>
      </c>
      <c r="BD7" s="62">
        <f t="shared" si="24"/>
        <v>1</v>
      </c>
      <c r="BE7" s="62">
        <f t="shared" si="25"/>
        <v>2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FBC Liberec</v>
      </c>
      <c r="C8" s="76">
        <f t="shared" si="3"/>
        <v>8</v>
      </c>
      <c r="D8" s="76">
        <f t="shared" si="4"/>
        <v>3</v>
      </c>
      <c r="E8" s="76">
        <f t="shared" si="5"/>
        <v>1</v>
      </c>
      <c r="F8" s="76">
        <f t="shared" si="6"/>
        <v>0</v>
      </c>
      <c r="G8" s="76">
        <f t="shared" si="7"/>
        <v>4</v>
      </c>
      <c r="H8" s="78">
        <f t="shared" si="8"/>
        <v>11</v>
      </c>
      <c r="I8" s="76">
        <f t="shared" si="9"/>
        <v>40</v>
      </c>
      <c r="J8" s="76">
        <f t="shared" si="10"/>
        <v>48</v>
      </c>
      <c r="K8" s="76">
        <f t="shared" si="11"/>
        <v>-8</v>
      </c>
      <c r="L8" s="76">
        <f t="shared" si="12"/>
        <v>12</v>
      </c>
      <c r="M8" s="76">
        <f t="shared" si="13"/>
        <v>4</v>
      </c>
      <c r="N8" s="76">
        <f t="shared" si="14"/>
        <v>0</v>
      </c>
      <c r="O8" s="67">
        <f t="shared" si="15"/>
        <v>33.33</v>
      </c>
      <c r="P8" s="76">
        <f t="shared" si="16"/>
        <v>13</v>
      </c>
      <c r="Q8" s="76">
        <f t="shared" si="17"/>
        <v>7</v>
      </c>
      <c r="R8" s="76">
        <f t="shared" si="18"/>
        <v>0</v>
      </c>
      <c r="S8" s="67">
        <f t="shared" si="19"/>
        <v>46.15</v>
      </c>
      <c r="T8" s="76">
        <f t="shared" si="20"/>
        <v>26</v>
      </c>
      <c r="U8" s="76">
        <f t="shared" si="21"/>
        <v>137</v>
      </c>
      <c r="V8" s="68">
        <f t="shared" si="22"/>
        <v>29.2</v>
      </c>
      <c r="W8" s="72" t="s">
        <v>82</v>
      </c>
      <c r="X8" s="71">
        <v>8</v>
      </c>
      <c r="Y8" s="71">
        <v>3</v>
      </c>
      <c r="Z8" s="71">
        <v>1</v>
      </c>
      <c r="AA8" s="71">
        <v>0</v>
      </c>
      <c r="AB8" s="71">
        <v>4</v>
      </c>
      <c r="AC8" s="71">
        <v>11</v>
      </c>
      <c r="AD8" s="71">
        <v>40</v>
      </c>
      <c r="AE8" s="71">
        <v>48</v>
      </c>
      <c r="AF8" s="71">
        <v>-8</v>
      </c>
      <c r="AG8" s="71">
        <v>12</v>
      </c>
      <c r="AH8" s="71">
        <v>4</v>
      </c>
      <c r="AI8" s="71">
        <v>0</v>
      </c>
      <c r="AJ8" s="70">
        <v>33.33</v>
      </c>
      <c r="AK8" s="71">
        <v>13</v>
      </c>
      <c r="AL8" s="71">
        <v>7</v>
      </c>
      <c r="AM8" s="71">
        <v>0</v>
      </c>
      <c r="AN8" s="70">
        <v>46.15</v>
      </c>
      <c r="AO8" s="71">
        <v>13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26</v>
      </c>
      <c r="AV8" s="71">
        <v>137</v>
      </c>
      <c r="AW8" s="70">
        <v>29.2</v>
      </c>
      <c r="AX8" s="71">
        <v>372</v>
      </c>
      <c r="AY8" s="71">
        <v>938</v>
      </c>
      <c r="AZ8" s="71">
        <v>164</v>
      </c>
      <c r="BA8" s="3" t="s">
        <v>82</v>
      </c>
      <c r="BB8" s="62" t="s">
        <v>105</v>
      </c>
      <c r="BC8" s="62">
        <f t="shared" si="23"/>
        <v>7</v>
      </c>
      <c r="BD8" s="62">
        <f t="shared" si="24"/>
        <v>10</v>
      </c>
      <c r="BE8" s="62">
        <f t="shared" si="25"/>
        <v>10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ČPP OSTRAVA</v>
      </c>
      <c r="C9" s="76">
        <f t="shared" si="3"/>
        <v>7</v>
      </c>
      <c r="D9" s="76">
        <f t="shared" si="4"/>
        <v>3</v>
      </c>
      <c r="E9" s="76">
        <f t="shared" si="5"/>
        <v>0</v>
      </c>
      <c r="F9" s="76">
        <f t="shared" si="6"/>
        <v>1</v>
      </c>
      <c r="G9" s="76">
        <f t="shared" si="7"/>
        <v>3</v>
      </c>
      <c r="H9" s="78">
        <f t="shared" si="8"/>
        <v>10</v>
      </c>
      <c r="I9" s="76">
        <f t="shared" si="9"/>
        <v>42</v>
      </c>
      <c r="J9" s="76">
        <f t="shared" si="10"/>
        <v>34</v>
      </c>
      <c r="K9" s="76">
        <f t="shared" si="11"/>
        <v>8</v>
      </c>
      <c r="L9" s="76">
        <f t="shared" si="12"/>
        <v>11</v>
      </c>
      <c r="M9" s="76">
        <f t="shared" si="13"/>
        <v>11</v>
      </c>
      <c r="N9" s="76">
        <f t="shared" si="14"/>
        <v>0</v>
      </c>
      <c r="O9" s="67">
        <f t="shared" si="15"/>
        <v>100</v>
      </c>
      <c r="P9" s="76">
        <f t="shared" si="16"/>
        <v>9</v>
      </c>
      <c r="Q9" s="76">
        <f t="shared" si="17"/>
        <v>2</v>
      </c>
      <c r="R9" s="76">
        <f t="shared" si="18"/>
        <v>0</v>
      </c>
      <c r="S9" s="67">
        <f t="shared" si="19"/>
        <v>77.78</v>
      </c>
      <c r="T9" s="76">
        <f t="shared" si="20"/>
        <v>18</v>
      </c>
      <c r="U9" s="76">
        <f t="shared" si="21"/>
        <v>142</v>
      </c>
      <c r="V9" s="68">
        <f t="shared" si="22"/>
        <v>29.58</v>
      </c>
      <c r="W9" s="72" t="s">
        <v>75</v>
      </c>
      <c r="X9" s="71">
        <v>7</v>
      </c>
      <c r="Y9" s="71">
        <v>3</v>
      </c>
      <c r="Z9" s="71">
        <v>0</v>
      </c>
      <c r="AA9" s="71">
        <v>1</v>
      </c>
      <c r="AB9" s="71">
        <v>3</v>
      </c>
      <c r="AC9" s="71">
        <v>10</v>
      </c>
      <c r="AD9" s="71">
        <v>42</v>
      </c>
      <c r="AE9" s="71">
        <v>34</v>
      </c>
      <c r="AF9" s="71">
        <v>8</v>
      </c>
      <c r="AG9" s="71">
        <v>11</v>
      </c>
      <c r="AH9" s="71">
        <v>11</v>
      </c>
      <c r="AI9" s="71">
        <v>0</v>
      </c>
      <c r="AJ9" s="70">
        <v>100</v>
      </c>
      <c r="AK9" s="71">
        <v>9</v>
      </c>
      <c r="AL9" s="71">
        <v>2</v>
      </c>
      <c r="AM9" s="71">
        <v>0</v>
      </c>
      <c r="AN9" s="70">
        <v>77.78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142</v>
      </c>
      <c r="AW9" s="70">
        <v>29.58</v>
      </c>
      <c r="AX9" s="71">
        <v>381</v>
      </c>
      <c r="AY9" s="71">
        <v>686</v>
      </c>
      <c r="AZ9" s="71">
        <v>152</v>
      </c>
      <c r="BA9" s="3" t="s">
        <v>74</v>
      </c>
      <c r="BB9" s="62" t="s">
        <v>98</v>
      </c>
      <c r="BC9" s="62">
        <f t="shared" si="23"/>
        <v>3</v>
      </c>
      <c r="BD9" s="62">
        <f t="shared" si="24"/>
        <v>13</v>
      </c>
      <c r="BE9" s="62">
        <f t="shared" si="25"/>
        <v>2</v>
      </c>
      <c r="BF9" s="62">
        <f t="shared" si="26"/>
        <v>4</v>
      </c>
    </row>
    <row r="10" spans="1:58" ht="24" customHeight="1" x14ac:dyDescent="0.25">
      <c r="A10" s="138">
        <v>9</v>
      </c>
      <c r="B10" s="25" t="str">
        <f t="shared" si="2"/>
        <v>BLACK ANGELS</v>
      </c>
      <c r="C10" s="76">
        <f t="shared" si="3"/>
        <v>6</v>
      </c>
      <c r="D10" s="76">
        <f t="shared" si="4"/>
        <v>3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10</v>
      </c>
      <c r="I10" s="76">
        <f t="shared" si="9"/>
        <v>32</v>
      </c>
      <c r="J10" s="76">
        <f t="shared" si="10"/>
        <v>29</v>
      </c>
      <c r="K10" s="76">
        <f t="shared" si="11"/>
        <v>3</v>
      </c>
      <c r="L10" s="76">
        <f t="shared" si="12"/>
        <v>13</v>
      </c>
      <c r="M10" s="76">
        <f t="shared" si="13"/>
        <v>7</v>
      </c>
      <c r="N10" s="76">
        <f t="shared" si="14"/>
        <v>0</v>
      </c>
      <c r="O10" s="67">
        <f t="shared" si="15"/>
        <v>53.85</v>
      </c>
      <c r="P10" s="76">
        <f t="shared" si="16"/>
        <v>14</v>
      </c>
      <c r="Q10" s="76">
        <f t="shared" si="17"/>
        <v>5</v>
      </c>
      <c r="R10" s="76">
        <f t="shared" si="18"/>
        <v>0</v>
      </c>
      <c r="S10" s="67">
        <f t="shared" si="19"/>
        <v>64.290000000000006</v>
      </c>
      <c r="T10" s="76">
        <f t="shared" si="20"/>
        <v>30</v>
      </c>
      <c r="U10" s="76">
        <f t="shared" si="21"/>
        <v>127</v>
      </c>
      <c r="V10" s="68">
        <f t="shared" si="22"/>
        <v>25.2</v>
      </c>
      <c r="W10" s="72" t="s">
        <v>73</v>
      </c>
      <c r="X10" s="71">
        <v>6</v>
      </c>
      <c r="Y10" s="71">
        <v>3</v>
      </c>
      <c r="Z10" s="71">
        <v>0</v>
      </c>
      <c r="AA10" s="71">
        <v>1</v>
      </c>
      <c r="AB10" s="71">
        <v>2</v>
      </c>
      <c r="AC10" s="71">
        <v>10</v>
      </c>
      <c r="AD10" s="71">
        <v>32</v>
      </c>
      <c r="AE10" s="71">
        <v>29</v>
      </c>
      <c r="AF10" s="71">
        <v>3</v>
      </c>
      <c r="AG10" s="71">
        <v>13</v>
      </c>
      <c r="AH10" s="71">
        <v>7</v>
      </c>
      <c r="AI10" s="71">
        <v>0</v>
      </c>
      <c r="AJ10" s="70">
        <v>53.85</v>
      </c>
      <c r="AK10" s="71">
        <v>14</v>
      </c>
      <c r="AL10" s="71">
        <v>5</v>
      </c>
      <c r="AM10" s="71">
        <v>0</v>
      </c>
      <c r="AN10" s="70">
        <v>64.290000000000006</v>
      </c>
      <c r="AO10" s="71">
        <v>15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30</v>
      </c>
      <c r="AV10" s="71">
        <v>127</v>
      </c>
      <c r="AW10" s="70">
        <v>25.2</v>
      </c>
      <c r="AX10" s="71">
        <v>386</v>
      </c>
      <c r="AY10" s="71">
        <v>462</v>
      </c>
      <c r="AZ10" s="71">
        <v>141</v>
      </c>
      <c r="BA10" s="3" t="s">
        <v>80</v>
      </c>
      <c r="BB10" s="62" t="s">
        <v>103</v>
      </c>
      <c r="BC10" s="62">
        <f t="shared" si="23"/>
        <v>14</v>
      </c>
      <c r="BD10" s="62">
        <f t="shared" si="24"/>
        <v>12</v>
      </c>
      <c r="BE10" s="62">
        <f t="shared" si="25"/>
        <v>11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TJ Sokol Královské Vinohrady</v>
      </c>
      <c r="C11" s="76">
        <f t="shared" si="3"/>
        <v>7</v>
      </c>
      <c r="D11" s="76">
        <f t="shared" si="4"/>
        <v>2</v>
      </c>
      <c r="E11" s="76">
        <f t="shared" si="5"/>
        <v>0</v>
      </c>
      <c r="F11" s="76">
        <f t="shared" si="6"/>
        <v>0</v>
      </c>
      <c r="G11" s="76">
        <f t="shared" si="7"/>
        <v>5</v>
      </c>
      <c r="H11" s="78">
        <f t="shared" si="8"/>
        <v>6</v>
      </c>
      <c r="I11" s="76">
        <f t="shared" si="9"/>
        <v>28</v>
      </c>
      <c r="J11" s="76">
        <f t="shared" si="10"/>
        <v>52</v>
      </c>
      <c r="K11" s="76">
        <f t="shared" si="11"/>
        <v>-24</v>
      </c>
      <c r="L11" s="76">
        <f t="shared" si="12"/>
        <v>19</v>
      </c>
      <c r="M11" s="76">
        <f t="shared" si="13"/>
        <v>7</v>
      </c>
      <c r="N11" s="76">
        <f t="shared" si="14"/>
        <v>2</v>
      </c>
      <c r="O11" s="67">
        <f t="shared" si="15"/>
        <v>36.840000000000003</v>
      </c>
      <c r="P11" s="76">
        <f t="shared" si="16"/>
        <v>10</v>
      </c>
      <c r="Q11" s="76">
        <f t="shared" si="17"/>
        <v>7</v>
      </c>
      <c r="R11" s="76">
        <f t="shared" si="18"/>
        <v>0</v>
      </c>
      <c r="S11" s="67">
        <f t="shared" si="19"/>
        <v>30</v>
      </c>
      <c r="T11" s="76">
        <f t="shared" si="20"/>
        <v>20</v>
      </c>
      <c r="U11" s="76">
        <f t="shared" si="21"/>
        <v>142</v>
      </c>
      <c r="V11" s="68">
        <f t="shared" si="22"/>
        <v>19.72</v>
      </c>
      <c r="W11" s="72" t="s">
        <v>83</v>
      </c>
      <c r="X11" s="71">
        <v>7</v>
      </c>
      <c r="Y11" s="71">
        <v>2</v>
      </c>
      <c r="Z11" s="71">
        <v>0</v>
      </c>
      <c r="AA11" s="71">
        <v>0</v>
      </c>
      <c r="AB11" s="71">
        <v>5</v>
      </c>
      <c r="AC11" s="71">
        <v>6</v>
      </c>
      <c r="AD11" s="71">
        <v>28</v>
      </c>
      <c r="AE11" s="71">
        <v>52</v>
      </c>
      <c r="AF11" s="71">
        <v>-24</v>
      </c>
      <c r="AG11" s="71">
        <v>19</v>
      </c>
      <c r="AH11" s="71">
        <v>7</v>
      </c>
      <c r="AI11" s="71">
        <v>2</v>
      </c>
      <c r="AJ11" s="70">
        <v>36.840000000000003</v>
      </c>
      <c r="AK11" s="71">
        <v>10</v>
      </c>
      <c r="AL11" s="71">
        <v>7</v>
      </c>
      <c r="AM11" s="71">
        <v>0</v>
      </c>
      <c r="AN11" s="70">
        <v>30</v>
      </c>
      <c r="AO11" s="71">
        <v>10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20</v>
      </c>
      <c r="AV11" s="71">
        <v>142</v>
      </c>
      <c r="AW11" s="70">
        <v>19.72</v>
      </c>
      <c r="AX11" s="71">
        <v>505</v>
      </c>
      <c r="AY11" s="71">
        <v>185</v>
      </c>
      <c r="AZ11" s="71">
        <v>99</v>
      </c>
      <c r="BA11" s="3" t="s">
        <v>77</v>
      </c>
      <c r="BB11" s="62" t="s">
        <v>100</v>
      </c>
      <c r="BC11" s="62">
        <f t="shared" si="23"/>
        <v>11</v>
      </c>
      <c r="BD11" s="62">
        <f t="shared" si="24"/>
        <v>8</v>
      </c>
      <c r="BE11" s="62">
        <f t="shared" si="25"/>
        <v>7</v>
      </c>
      <c r="BF11" s="62">
        <f t="shared" si="26"/>
        <v>2</v>
      </c>
    </row>
    <row r="12" spans="1:58" ht="24" customHeight="1" x14ac:dyDescent="0.25">
      <c r="A12" s="138">
        <v>11</v>
      </c>
      <c r="B12" s="25" t="str">
        <f t="shared" si="2"/>
        <v>Navláčil PANTHERS OTROKOVICE</v>
      </c>
      <c r="C12" s="76">
        <f t="shared" si="3"/>
        <v>6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5</v>
      </c>
      <c r="H12" s="78">
        <f t="shared" si="8"/>
        <v>3</v>
      </c>
      <c r="I12" s="76">
        <f t="shared" si="9"/>
        <v>29</v>
      </c>
      <c r="J12" s="76">
        <f t="shared" si="10"/>
        <v>45</v>
      </c>
      <c r="K12" s="76">
        <f t="shared" si="11"/>
        <v>-16</v>
      </c>
      <c r="L12" s="76">
        <f t="shared" si="12"/>
        <v>13</v>
      </c>
      <c r="M12" s="76">
        <f t="shared" si="13"/>
        <v>5</v>
      </c>
      <c r="N12" s="76">
        <f t="shared" si="14"/>
        <v>0</v>
      </c>
      <c r="O12" s="67">
        <f t="shared" si="15"/>
        <v>38.46</v>
      </c>
      <c r="P12" s="76">
        <f t="shared" si="16"/>
        <v>8</v>
      </c>
      <c r="Q12" s="76">
        <f t="shared" si="17"/>
        <v>3</v>
      </c>
      <c r="R12" s="76">
        <f t="shared" si="18"/>
        <v>0</v>
      </c>
      <c r="S12" s="67">
        <f t="shared" si="19"/>
        <v>62.5</v>
      </c>
      <c r="T12" s="76">
        <f t="shared" si="20"/>
        <v>16</v>
      </c>
      <c r="U12" s="76">
        <f t="shared" si="21"/>
        <v>117</v>
      </c>
      <c r="V12" s="68">
        <f t="shared" si="22"/>
        <v>24.79</v>
      </c>
      <c r="W12" s="72" t="s">
        <v>77</v>
      </c>
      <c r="X12" s="71">
        <v>6</v>
      </c>
      <c r="Y12" s="71">
        <v>1</v>
      </c>
      <c r="Z12" s="71">
        <v>0</v>
      </c>
      <c r="AA12" s="71">
        <v>0</v>
      </c>
      <c r="AB12" s="71">
        <v>5</v>
      </c>
      <c r="AC12" s="71">
        <v>3</v>
      </c>
      <c r="AD12" s="71">
        <v>29</v>
      </c>
      <c r="AE12" s="71">
        <v>45</v>
      </c>
      <c r="AF12" s="71">
        <v>-16</v>
      </c>
      <c r="AG12" s="71">
        <v>13</v>
      </c>
      <c r="AH12" s="71">
        <v>5</v>
      </c>
      <c r="AI12" s="71">
        <v>0</v>
      </c>
      <c r="AJ12" s="70">
        <v>38.46</v>
      </c>
      <c r="AK12" s="71">
        <v>8</v>
      </c>
      <c r="AL12" s="71">
        <v>3</v>
      </c>
      <c r="AM12" s="71">
        <v>0</v>
      </c>
      <c r="AN12" s="70">
        <v>62.5</v>
      </c>
      <c r="AO12" s="71">
        <v>8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16</v>
      </c>
      <c r="AV12" s="71">
        <v>117</v>
      </c>
      <c r="AW12" s="70">
        <v>24.79</v>
      </c>
      <c r="AX12" s="71">
        <v>321</v>
      </c>
      <c r="AY12" s="71">
        <v>529</v>
      </c>
      <c r="AZ12" s="71">
        <v>142</v>
      </c>
      <c r="BA12" s="3" t="s">
        <v>71</v>
      </c>
      <c r="BB12" s="62" t="s">
        <v>23</v>
      </c>
      <c r="BC12" s="62">
        <f t="shared" si="23"/>
        <v>4</v>
      </c>
      <c r="BD12" s="62">
        <f t="shared" si="24"/>
        <v>10</v>
      </c>
      <c r="BE12" s="62">
        <f t="shared" si="25"/>
        <v>1</v>
      </c>
      <c r="BF12" s="62">
        <f t="shared" si="26"/>
        <v>8</v>
      </c>
    </row>
    <row r="13" spans="1:58" ht="24" customHeight="1" x14ac:dyDescent="0.25">
      <c r="A13" s="138">
        <v>12</v>
      </c>
      <c r="B13" s="25" t="str">
        <f t="shared" si="2"/>
        <v>SOKOLI Pardubice</v>
      </c>
      <c r="C13" s="76">
        <f t="shared" si="3"/>
        <v>7</v>
      </c>
      <c r="D13" s="76">
        <f t="shared" si="4"/>
        <v>1</v>
      </c>
      <c r="E13" s="76">
        <f t="shared" si="5"/>
        <v>0</v>
      </c>
      <c r="F13" s="76">
        <f t="shared" si="6"/>
        <v>0</v>
      </c>
      <c r="G13" s="76">
        <f t="shared" si="7"/>
        <v>6</v>
      </c>
      <c r="H13" s="78">
        <f t="shared" si="8"/>
        <v>3</v>
      </c>
      <c r="I13" s="76">
        <f t="shared" si="9"/>
        <v>28</v>
      </c>
      <c r="J13" s="76">
        <f t="shared" si="10"/>
        <v>53</v>
      </c>
      <c r="K13" s="76">
        <f t="shared" si="11"/>
        <v>-25</v>
      </c>
      <c r="L13" s="76">
        <f t="shared" si="12"/>
        <v>10</v>
      </c>
      <c r="M13" s="76">
        <f t="shared" si="13"/>
        <v>3</v>
      </c>
      <c r="N13" s="76">
        <f t="shared" si="14"/>
        <v>0</v>
      </c>
      <c r="O13" s="67">
        <f t="shared" si="15"/>
        <v>30</v>
      </c>
      <c r="P13" s="76">
        <f t="shared" si="16"/>
        <v>11</v>
      </c>
      <c r="Q13" s="76">
        <f t="shared" si="17"/>
        <v>3</v>
      </c>
      <c r="R13" s="76">
        <f t="shared" si="18"/>
        <v>0</v>
      </c>
      <c r="S13" s="67">
        <f t="shared" si="19"/>
        <v>72.73</v>
      </c>
      <c r="T13" s="76">
        <f t="shared" si="20"/>
        <v>22</v>
      </c>
      <c r="U13" s="76">
        <f t="shared" si="21"/>
        <v>127</v>
      </c>
      <c r="V13" s="68">
        <f t="shared" si="22"/>
        <v>22.05</v>
      </c>
      <c r="W13" s="72" t="s">
        <v>81</v>
      </c>
      <c r="X13" s="71">
        <v>7</v>
      </c>
      <c r="Y13" s="71">
        <v>1</v>
      </c>
      <c r="Z13" s="71">
        <v>0</v>
      </c>
      <c r="AA13" s="71">
        <v>0</v>
      </c>
      <c r="AB13" s="71">
        <v>6</v>
      </c>
      <c r="AC13" s="71">
        <v>3</v>
      </c>
      <c r="AD13" s="71">
        <v>28</v>
      </c>
      <c r="AE13" s="71">
        <v>53</v>
      </c>
      <c r="AF13" s="71">
        <v>-25</v>
      </c>
      <c r="AG13" s="71">
        <v>10</v>
      </c>
      <c r="AH13" s="71">
        <v>3</v>
      </c>
      <c r="AI13" s="71">
        <v>0</v>
      </c>
      <c r="AJ13" s="70">
        <v>30</v>
      </c>
      <c r="AK13" s="71">
        <v>11</v>
      </c>
      <c r="AL13" s="71">
        <v>3</v>
      </c>
      <c r="AM13" s="71">
        <v>0</v>
      </c>
      <c r="AN13" s="70">
        <v>72.73</v>
      </c>
      <c r="AO13" s="71">
        <v>11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22</v>
      </c>
      <c r="AV13" s="71">
        <v>127</v>
      </c>
      <c r="AW13" s="70">
        <v>22.05</v>
      </c>
      <c r="AX13" s="71">
        <v>514</v>
      </c>
      <c r="AY13" s="71">
        <v>708</v>
      </c>
      <c r="AZ13" s="71">
        <v>175</v>
      </c>
      <c r="BA13" s="3" t="s">
        <v>81</v>
      </c>
      <c r="BB13" s="62" t="s">
        <v>104</v>
      </c>
      <c r="BC13" s="62">
        <f t="shared" si="23"/>
        <v>12</v>
      </c>
      <c r="BD13" s="62">
        <f t="shared" si="24"/>
        <v>13</v>
      </c>
      <c r="BE13" s="62">
        <f t="shared" si="25"/>
        <v>4</v>
      </c>
      <c r="BF13" s="62">
        <f t="shared" si="26"/>
        <v>6</v>
      </c>
    </row>
    <row r="14" spans="1:58" ht="24" customHeight="1" x14ac:dyDescent="0.25">
      <c r="A14" s="138">
        <v>13</v>
      </c>
      <c r="B14" s="25" t="str">
        <f t="shared" si="2"/>
        <v>FBC 4CLEAN Česká Lípa</v>
      </c>
      <c r="C14" s="76">
        <f t="shared" si="3"/>
        <v>7</v>
      </c>
      <c r="D14" s="76">
        <f t="shared" si="4"/>
        <v>0</v>
      </c>
      <c r="E14" s="76">
        <f t="shared" si="5"/>
        <v>1</v>
      </c>
      <c r="F14" s="76">
        <f t="shared" si="6"/>
        <v>0</v>
      </c>
      <c r="G14" s="76">
        <f t="shared" si="7"/>
        <v>6</v>
      </c>
      <c r="H14" s="78">
        <f t="shared" si="8"/>
        <v>2</v>
      </c>
      <c r="I14" s="76">
        <f t="shared" si="9"/>
        <v>30</v>
      </c>
      <c r="J14" s="76">
        <f t="shared" si="10"/>
        <v>59</v>
      </c>
      <c r="K14" s="76">
        <f t="shared" si="11"/>
        <v>-29</v>
      </c>
      <c r="L14" s="76">
        <f t="shared" si="12"/>
        <v>6</v>
      </c>
      <c r="M14" s="76">
        <f t="shared" si="13"/>
        <v>3</v>
      </c>
      <c r="N14" s="76">
        <f t="shared" si="14"/>
        <v>0</v>
      </c>
      <c r="O14" s="67">
        <f t="shared" si="15"/>
        <v>50</v>
      </c>
      <c r="P14" s="76">
        <f t="shared" si="16"/>
        <v>21</v>
      </c>
      <c r="Q14" s="76">
        <f t="shared" si="17"/>
        <v>14</v>
      </c>
      <c r="R14" s="76">
        <f t="shared" si="18"/>
        <v>1</v>
      </c>
      <c r="S14" s="67">
        <f t="shared" si="19"/>
        <v>33.33</v>
      </c>
      <c r="T14" s="76">
        <f t="shared" si="20"/>
        <v>65</v>
      </c>
      <c r="U14" s="76">
        <f t="shared" si="21"/>
        <v>163</v>
      </c>
      <c r="V14" s="68">
        <f t="shared" si="22"/>
        <v>18.399999999999999</v>
      </c>
      <c r="W14" s="72" t="s">
        <v>79</v>
      </c>
      <c r="X14" s="71">
        <v>7</v>
      </c>
      <c r="Y14" s="71">
        <v>0</v>
      </c>
      <c r="Z14" s="71">
        <v>1</v>
      </c>
      <c r="AA14" s="71">
        <v>0</v>
      </c>
      <c r="AB14" s="71">
        <v>6</v>
      </c>
      <c r="AC14" s="71">
        <v>2</v>
      </c>
      <c r="AD14" s="71">
        <v>30</v>
      </c>
      <c r="AE14" s="71">
        <v>59</v>
      </c>
      <c r="AF14" s="71">
        <v>-29</v>
      </c>
      <c r="AG14" s="71">
        <v>6</v>
      </c>
      <c r="AH14" s="71">
        <v>3</v>
      </c>
      <c r="AI14" s="71">
        <v>0</v>
      </c>
      <c r="AJ14" s="70">
        <v>50</v>
      </c>
      <c r="AK14" s="71">
        <v>21</v>
      </c>
      <c r="AL14" s="71">
        <v>14</v>
      </c>
      <c r="AM14" s="71">
        <v>1</v>
      </c>
      <c r="AN14" s="70">
        <v>33.33</v>
      </c>
      <c r="AO14" s="71">
        <v>20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65</v>
      </c>
      <c r="AV14" s="71">
        <v>163</v>
      </c>
      <c r="AW14" s="70">
        <v>18.399999999999999</v>
      </c>
      <c r="AX14" s="71">
        <v>753</v>
      </c>
      <c r="AY14" s="71">
        <v>493</v>
      </c>
      <c r="AZ14" s="71">
        <v>178</v>
      </c>
      <c r="BA14" s="3" t="s">
        <v>70</v>
      </c>
      <c r="BB14" s="62" t="s">
        <v>94</v>
      </c>
      <c r="BC14" s="62">
        <f t="shared" si="23"/>
        <v>2</v>
      </c>
      <c r="BD14" s="62">
        <f t="shared" si="24"/>
        <v>2</v>
      </c>
      <c r="BE14" s="62">
        <f t="shared" si="25"/>
        <v>8</v>
      </c>
      <c r="BF14" s="62">
        <f t="shared" si="26"/>
        <v>6</v>
      </c>
    </row>
    <row r="15" spans="1:58" ht="24" customHeight="1" thickBot="1" x14ac:dyDescent="0.3">
      <c r="A15" s="139">
        <v>14</v>
      </c>
      <c r="B15" s="134" t="str">
        <f t="shared" si="2"/>
        <v>FBŠ Hummel Hattrick Brno</v>
      </c>
      <c r="C15" s="135">
        <f t="shared" si="3"/>
        <v>6</v>
      </c>
      <c r="D15" s="135">
        <f t="shared" si="4"/>
        <v>0</v>
      </c>
      <c r="E15" s="135">
        <f t="shared" si="5"/>
        <v>0</v>
      </c>
      <c r="F15" s="135">
        <f t="shared" si="6"/>
        <v>1</v>
      </c>
      <c r="G15" s="135">
        <f t="shared" si="7"/>
        <v>5</v>
      </c>
      <c r="H15" s="79">
        <f t="shared" si="8"/>
        <v>1</v>
      </c>
      <c r="I15" s="135">
        <f t="shared" si="9"/>
        <v>25</v>
      </c>
      <c r="J15" s="135">
        <f t="shared" si="10"/>
        <v>51</v>
      </c>
      <c r="K15" s="135">
        <f t="shared" si="11"/>
        <v>-26</v>
      </c>
      <c r="L15" s="135">
        <f t="shared" si="12"/>
        <v>13</v>
      </c>
      <c r="M15" s="135">
        <f t="shared" si="13"/>
        <v>4</v>
      </c>
      <c r="N15" s="135">
        <f t="shared" si="14"/>
        <v>1</v>
      </c>
      <c r="O15" s="136">
        <f t="shared" si="15"/>
        <v>30.77</v>
      </c>
      <c r="P15" s="135">
        <f t="shared" si="16"/>
        <v>15</v>
      </c>
      <c r="Q15" s="135">
        <f t="shared" si="17"/>
        <v>9</v>
      </c>
      <c r="R15" s="135">
        <f t="shared" si="18"/>
        <v>0</v>
      </c>
      <c r="S15" s="136">
        <f t="shared" si="19"/>
        <v>40</v>
      </c>
      <c r="T15" s="135">
        <f t="shared" si="20"/>
        <v>33</v>
      </c>
      <c r="U15" s="135">
        <f t="shared" si="21"/>
        <v>127</v>
      </c>
      <c r="V15" s="137">
        <f t="shared" si="22"/>
        <v>19.68</v>
      </c>
      <c r="W15" s="72" t="s">
        <v>80</v>
      </c>
      <c r="X15" s="71">
        <v>6</v>
      </c>
      <c r="Y15" s="71">
        <v>0</v>
      </c>
      <c r="Z15" s="71">
        <v>0</v>
      </c>
      <c r="AA15" s="71">
        <v>1</v>
      </c>
      <c r="AB15" s="71">
        <v>5</v>
      </c>
      <c r="AC15" s="71">
        <v>1</v>
      </c>
      <c r="AD15" s="71">
        <v>25</v>
      </c>
      <c r="AE15" s="71">
        <v>51</v>
      </c>
      <c r="AF15" s="71">
        <v>-26</v>
      </c>
      <c r="AG15" s="71">
        <v>13</v>
      </c>
      <c r="AH15" s="71">
        <v>4</v>
      </c>
      <c r="AI15" s="71">
        <v>1</v>
      </c>
      <c r="AJ15" s="70">
        <v>30.77</v>
      </c>
      <c r="AK15" s="71">
        <v>15</v>
      </c>
      <c r="AL15" s="71">
        <v>9</v>
      </c>
      <c r="AM15" s="71">
        <v>0</v>
      </c>
      <c r="AN15" s="70">
        <v>40</v>
      </c>
      <c r="AO15" s="71">
        <v>14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33</v>
      </c>
      <c r="AV15" s="71">
        <v>127</v>
      </c>
      <c r="AW15" s="70">
        <v>19.68</v>
      </c>
      <c r="AX15" s="71">
        <v>435</v>
      </c>
      <c r="AY15" s="71">
        <v>368</v>
      </c>
      <c r="AZ15" s="71">
        <v>134</v>
      </c>
      <c r="BA15" s="3" t="s">
        <v>83</v>
      </c>
      <c r="BB15" s="62" t="s">
        <v>5</v>
      </c>
      <c r="BC15" s="62">
        <f t="shared" si="23"/>
        <v>10</v>
      </c>
      <c r="BD15" s="62">
        <f t="shared" si="24"/>
        <v>9</v>
      </c>
      <c r="BE15" s="62">
        <f t="shared" si="25"/>
        <v>14</v>
      </c>
      <c r="BF15" s="62">
        <f t="shared" si="26"/>
        <v>4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87" priority="20">
      <formula>MOD(ROW($A2),2)=1</formula>
    </cfRule>
  </conditionalFormatting>
  <conditionalFormatting sqref="A2:A15">
    <cfRule type="cellIs" dxfId="886" priority="1" operator="between">
      <formula>1</formula>
      <formula>6</formula>
    </cfRule>
    <cfRule type="cellIs" dxfId="885" priority="18" operator="between">
      <formula>7</formula>
      <formula>10</formula>
    </cfRule>
    <cfRule type="cellIs" dxfId="884" priority="19" operator="greaterThanOrEqual">
      <formula>11</formula>
    </cfRule>
  </conditionalFormatting>
  <conditionalFormatting sqref="I2:I15">
    <cfRule type="top10" dxfId="883" priority="16" bottom="1" rank="1"/>
    <cfRule type="top10" dxfId="882" priority="17" rank="1"/>
  </conditionalFormatting>
  <conditionalFormatting sqref="J2:J15">
    <cfRule type="top10" dxfId="881" priority="14" bottom="1" rank="1"/>
    <cfRule type="top10" dxfId="880" priority="15" rank="1"/>
  </conditionalFormatting>
  <conditionalFormatting sqref="K2:K15">
    <cfRule type="top10" dxfId="879" priority="12" bottom="1" rank="1"/>
    <cfRule type="top10" dxfId="878" priority="13" rank="1"/>
  </conditionalFormatting>
  <conditionalFormatting sqref="O2:O15">
    <cfRule type="top10" dxfId="877" priority="10" bottom="1" rank="1"/>
    <cfRule type="top10" dxfId="876" priority="11" rank="1"/>
  </conditionalFormatting>
  <conditionalFormatting sqref="S2:S15">
    <cfRule type="top10" dxfId="875" priority="8" bottom="1" rank="1"/>
    <cfRule type="top10" dxfId="874" priority="9" rank="1"/>
  </conditionalFormatting>
  <conditionalFormatting sqref="T2:T15">
    <cfRule type="top10" dxfId="873" priority="6" bottom="1" rank="1"/>
    <cfRule type="top10" dxfId="872" priority="7" rank="1"/>
  </conditionalFormatting>
  <conditionalFormatting sqref="U2:U15">
    <cfRule type="top10" dxfId="871" priority="4" bottom="1" rank="1"/>
    <cfRule type="top10" dxfId="870" priority="5" rank="1"/>
  </conditionalFormatting>
  <conditionalFormatting sqref="V2:V15">
    <cfRule type="top10" dxfId="869" priority="2" bottom="1" rank="1"/>
    <cfRule type="top10" dxfId="868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20" t="s">
        <v>5</v>
      </c>
      <c r="B1" s="220"/>
      <c r="C1" s="220"/>
      <c r="D1" s="220"/>
      <c r="E1" s="220"/>
      <c r="F1" s="220"/>
      <c r="G1" s="220"/>
      <c r="H1" s="220"/>
      <c r="I1" s="220"/>
      <c r="J1" s="220" t="s">
        <v>98</v>
      </c>
      <c r="K1" s="220"/>
      <c r="L1" s="220"/>
      <c r="M1" s="220"/>
      <c r="N1" s="220"/>
      <c r="O1" s="220"/>
      <c r="P1" s="220"/>
      <c r="Q1" s="220"/>
      <c r="R1" s="220"/>
      <c r="S1" s="283" t="s">
        <v>52</v>
      </c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5"/>
    </row>
    <row r="2" spans="1:31" ht="15" customHeight="1" thickBot="1" x14ac:dyDescent="0.3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155" t="s">
        <v>47</v>
      </c>
      <c r="T2" s="156" t="s">
        <v>48</v>
      </c>
      <c r="U2" s="156" t="s">
        <v>28</v>
      </c>
      <c r="V2" s="157" t="s">
        <v>49</v>
      </c>
      <c r="W2" s="158" t="s">
        <v>208</v>
      </c>
      <c r="X2" s="286" t="s">
        <v>50</v>
      </c>
      <c r="Y2" s="287"/>
      <c r="Z2" s="287"/>
      <c r="AA2" s="287"/>
      <c r="AB2" s="64" t="s">
        <v>28</v>
      </c>
      <c r="AC2" s="287" t="s">
        <v>49</v>
      </c>
      <c r="AD2" s="287"/>
      <c r="AE2" s="288"/>
    </row>
    <row r="3" spans="1:31" ht="15" customHeight="1" thickTop="1" thickBot="1" x14ac:dyDescent="0.3">
      <c r="A3" s="226" t="str">
        <f>INDEX(tabulka!$BA$2:$BA$15,MATCH($A$1,tabulka!$BB$2:$BB$15,0))</f>
        <v>TJ Sokol Královské Vinohrady</v>
      </c>
      <c r="B3" s="226"/>
      <c r="C3" s="226"/>
      <c r="D3" s="226"/>
      <c r="E3" s="226"/>
      <c r="F3" s="226"/>
      <c r="G3" s="226"/>
      <c r="H3" s="226"/>
      <c r="I3" s="226"/>
      <c r="J3" s="226" t="str">
        <f>INDEX(tabulka!$BA$2:$BA$15,MATCH($J$1,tabulka!$BB$2:$BB$15,0))</f>
        <v>FbŠ Bohemians</v>
      </c>
      <c r="K3" s="226"/>
      <c r="L3" s="226"/>
      <c r="M3" s="226"/>
      <c r="N3" s="226"/>
      <c r="O3" s="226"/>
      <c r="P3" s="226"/>
      <c r="Q3" s="226"/>
      <c r="R3" s="226"/>
      <c r="S3" s="159" t="s">
        <v>5</v>
      </c>
      <c r="T3" s="160" t="s">
        <v>98</v>
      </c>
      <c r="U3" s="160" t="s">
        <v>1337</v>
      </c>
      <c r="V3" s="161" t="s">
        <v>111</v>
      </c>
      <c r="W3" s="162" t="s">
        <v>43</v>
      </c>
      <c r="X3" s="289" t="str">
        <f>IF(S3&lt;&gt;"",CONCATENATE(S3, " - ",T3),"")</f>
        <v>SKV - BOH</v>
      </c>
      <c r="Y3" s="289"/>
      <c r="Z3" s="289"/>
      <c r="AA3" s="290"/>
      <c r="AB3" s="171" t="str">
        <f>IF(U3&lt;&gt;"",U3,"")</f>
        <v>5:14</v>
      </c>
      <c r="AC3" s="323" t="str">
        <f>IF(AND(V3&lt;&gt;"",W3&lt;&gt;""),CONCATENATE(V3," (",W3,")"),IF(V3&lt;&gt;"",V3,""))</f>
        <v>2020/2021 (ZČ)</v>
      </c>
      <c r="AD3" s="289"/>
      <c r="AE3" s="324"/>
    </row>
    <row r="4" spans="1:31" ht="15" customHeight="1" thickTop="1" thickBot="1" x14ac:dyDescent="0.3">
      <c r="A4" s="222" t="s">
        <v>25</v>
      </c>
      <c r="B4" s="223"/>
      <c r="C4" s="28" t="s">
        <v>26</v>
      </c>
      <c r="D4" s="28" t="s">
        <v>27</v>
      </c>
      <c r="E4" s="223" t="s">
        <v>28</v>
      </c>
      <c r="F4" s="223"/>
      <c r="G4" s="28" t="s">
        <v>29</v>
      </c>
      <c r="H4" s="28" t="s">
        <v>30</v>
      </c>
      <c r="I4" s="29" t="s">
        <v>31</v>
      </c>
      <c r="J4" s="224" t="s">
        <v>25</v>
      </c>
      <c r="K4" s="225"/>
      <c r="L4" s="30" t="s">
        <v>26</v>
      </c>
      <c r="M4" s="30" t="s">
        <v>27</v>
      </c>
      <c r="N4" s="225" t="s">
        <v>28</v>
      </c>
      <c r="O4" s="225"/>
      <c r="P4" s="30" t="s">
        <v>29</v>
      </c>
      <c r="Q4" s="30" t="s">
        <v>30</v>
      </c>
      <c r="R4" s="181" t="s">
        <v>31</v>
      </c>
      <c r="S4" s="163" t="s">
        <v>98</v>
      </c>
      <c r="T4" s="164" t="s">
        <v>5</v>
      </c>
      <c r="U4" s="164" t="s">
        <v>1338</v>
      </c>
      <c r="V4" s="165" t="s">
        <v>111</v>
      </c>
      <c r="W4" s="166" t="s">
        <v>43</v>
      </c>
      <c r="X4" s="193" t="str">
        <f t="shared" ref="X4:X14" si="0">IF(S4&lt;&gt;"",CONCATENATE(S4, " - ",T4),"")</f>
        <v>BOH - SKV</v>
      </c>
      <c r="Y4" s="193"/>
      <c r="Z4" s="193"/>
      <c r="AA4" s="194"/>
      <c r="AB4" s="148" t="str">
        <f t="shared" ref="AB4:AB14" si="1">IF(U4&lt;&gt;"",U4,"")</f>
        <v>10:4</v>
      </c>
      <c r="AC4" s="195" t="str">
        <f t="shared" ref="AC4:AC14" si="2">IF(AND(V4&lt;&gt;"",W4&lt;&gt;""),CONCATENATE(V4," (",W4,")"),IF(V4&lt;&gt;"",V4,""))</f>
        <v>2020/2021 (ZČ)</v>
      </c>
      <c r="AD4" s="193"/>
      <c r="AE4" s="196"/>
    </row>
    <row r="5" spans="1:31" ht="15" customHeight="1" thickBot="1" x14ac:dyDescent="0.3">
      <c r="A5" s="201" t="str">
        <f>IFERROR(CONCATENATE(VLOOKUP($A$1,tabulka!$BB$2:$BF$15,2,FALSE),". místo"),"")</f>
        <v>10. místo</v>
      </c>
      <c r="B5" s="202"/>
      <c r="C5" s="31">
        <f>IFERROR(VLOOKUP($A$3,tabulka!$B$2:$V$15,3,FALSE)+VLOOKUP($A$3,tabulka!$B$2:$V$15,4,FALSE),"")</f>
        <v>2</v>
      </c>
      <c r="D5" s="32">
        <f>IFERROR(VLOOKUP($A$3,tabulka!$B$2:$V$15,5,FALSE)+VLOOKUP($A$3,tabulka!$B$2:$V$15,6,FALSE),"")</f>
        <v>5</v>
      </c>
      <c r="E5" s="202" t="str">
        <f>IFERROR(CONCATENATE(VLOOKUP($A$3,tabulka!$B$2:$V$15,8,FALSE),":",VLOOKUP($A$3,tabulka!$B$2:$V$15,9,FALSE)),"")</f>
        <v>28:52</v>
      </c>
      <c r="F5" s="202"/>
      <c r="G5" s="82">
        <f>IFERROR(VLOOKUP($A$3,tabulka!$B$2:$V$15,14,FALSE),"")</f>
        <v>36.840000000000003</v>
      </c>
      <c r="H5" s="82">
        <f>IFERROR(VLOOKUP($A$3,tabulka!$B$2:$V$15,18,FALSE),"")</f>
        <v>30</v>
      </c>
      <c r="I5" s="33">
        <f>IFERROR(VLOOKUP($A$3,tabulka!$B$2:$V$15,19,FALSE),"")</f>
        <v>20</v>
      </c>
      <c r="J5" s="203" t="str">
        <f>IFERROR(CONCATENATE(VLOOKUP($J$1,tabulka!$BB$2:$BF$15,2,FALSE),". místo"),"")</f>
        <v>3. místo</v>
      </c>
      <c r="K5" s="204"/>
      <c r="L5" s="34">
        <f>IFERROR(VLOOKUP($J$3,tabulka!$B$2:$V$15,3,FALSE)+VLOOKUP($J$3,tabulka!$B$2:$V$15,4,FALSE),"")</f>
        <v>6</v>
      </c>
      <c r="M5" s="35">
        <f>IFERROR(VLOOKUP($J$3,tabulka!$B$2:$V$15,5,FALSE)+VLOOKUP($J$3,tabulka!$B$2:$V$15,6,FALSE),"")</f>
        <v>1</v>
      </c>
      <c r="N5" s="204" t="str">
        <f>IFERROR(CONCATENATE(VLOOKUP($J$3,tabulka!$B$2:$V$15,8,FALSE),":",VLOOKUP($J$3,tabulka!$B$2:$V$15,9,FALSE)),"")</f>
        <v>50:34</v>
      </c>
      <c r="O5" s="204"/>
      <c r="P5" s="83">
        <f>IFERROR(VLOOKUP($J$3,tabulka!$B$2:$V$15,14,FALSE),"")</f>
        <v>30</v>
      </c>
      <c r="Q5" s="83">
        <f>IFERROR(VLOOKUP($J$3,tabulka!$B$2:$V$15,18,FALSE),"")</f>
        <v>77.78</v>
      </c>
      <c r="R5" s="182">
        <f>IFERROR(VLOOKUP($J$3,tabulka!$B$2:$V$15,19,FALSE),"")</f>
        <v>20</v>
      </c>
      <c r="S5" s="163" t="s">
        <v>5</v>
      </c>
      <c r="T5" s="164" t="s">
        <v>98</v>
      </c>
      <c r="U5" s="164" t="s">
        <v>1275</v>
      </c>
      <c r="V5" s="165" t="s">
        <v>113</v>
      </c>
      <c r="W5" s="166" t="s">
        <v>43</v>
      </c>
      <c r="X5" s="193" t="str">
        <f t="shared" si="0"/>
        <v>SKV - BOH</v>
      </c>
      <c r="Y5" s="193"/>
      <c r="Z5" s="193"/>
      <c r="AA5" s="194"/>
      <c r="AB5" s="148" t="str">
        <f t="shared" si="1"/>
        <v>4:5</v>
      </c>
      <c r="AC5" s="195" t="str">
        <f t="shared" si="2"/>
        <v>2019/2020 (ZČ)</v>
      </c>
      <c r="AD5" s="193"/>
      <c r="AE5" s="196"/>
    </row>
    <row r="6" spans="1:31" ht="15" customHeight="1" thickTop="1" x14ac:dyDescent="0.25">
      <c r="A6" s="26"/>
      <c r="B6" s="26"/>
      <c r="C6" s="26"/>
      <c r="D6" s="26"/>
      <c r="E6" s="229" t="s">
        <v>110</v>
      </c>
      <c r="F6" s="229"/>
      <c r="G6" s="36">
        <f>IFERROR(VLOOKUP($A$1,tabulka!$BB$2:$BF$15,3,FALSE),"")</f>
        <v>9</v>
      </c>
      <c r="H6" s="36">
        <f>IFERROR(VLOOKUP($A$1,tabulka!$BB$2:$BF$15,4,FALSE),"")</f>
        <v>14</v>
      </c>
      <c r="I6" s="36">
        <f>IFERROR(VLOOKUP($A$1,tabulka!$BB$2:$BF$15,5,FALSE),"")</f>
        <v>4</v>
      </c>
      <c r="J6" s="26"/>
      <c r="K6" s="26"/>
      <c r="L6" s="26"/>
      <c r="N6" s="229" t="s">
        <v>110</v>
      </c>
      <c r="O6" s="229"/>
      <c r="P6" s="36">
        <f>IFERROR(VLOOKUP($J$1,tabulka!$BB$2:$BF$15,3,FALSE),"")</f>
        <v>13</v>
      </c>
      <c r="Q6" s="36">
        <f>IFERROR(VLOOKUP($J$1,tabulka!$BB$2:$BF$15,4,FALSE),"")</f>
        <v>2</v>
      </c>
      <c r="R6" s="36">
        <f>IFERROR(VLOOKUP($J$1,tabulka!$BB$2:$BF$15,5,FALSE),"")</f>
        <v>4</v>
      </c>
      <c r="S6" s="163" t="s">
        <v>98</v>
      </c>
      <c r="T6" s="164" t="s">
        <v>5</v>
      </c>
      <c r="U6" s="164" t="s">
        <v>1339</v>
      </c>
      <c r="V6" s="165" t="s">
        <v>113</v>
      </c>
      <c r="W6" s="166" t="s">
        <v>43</v>
      </c>
      <c r="X6" s="193" t="str">
        <f t="shared" si="0"/>
        <v>BOH - SKV</v>
      </c>
      <c r="Y6" s="193"/>
      <c r="Z6" s="193"/>
      <c r="AA6" s="194"/>
      <c r="AB6" s="148" t="str">
        <f t="shared" si="1"/>
        <v>9:3</v>
      </c>
      <c r="AC6" s="195" t="str">
        <f t="shared" si="2"/>
        <v>2019/2020 (ZČ)</v>
      </c>
      <c r="AD6" s="193"/>
      <c r="AE6" s="19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 t="s">
        <v>5</v>
      </c>
      <c r="T7" s="164" t="s">
        <v>98</v>
      </c>
      <c r="U7" s="164" t="s">
        <v>922</v>
      </c>
      <c r="V7" s="165" t="s">
        <v>114</v>
      </c>
      <c r="W7" s="166" t="s">
        <v>43</v>
      </c>
      <c r="X7" s="193" t="str">
        <f t="shared" si="0"/>
        <v>SKV - BOH</v>
      </c>
      <c r="Y7" s="193"/>
      <c r="Z7" s="193"/>
      <c r="AA7" s="194"/>
      <c r="AB7" s="148" t="str">
        <f t="shared" si="1"/>
        <v>7:8</v>
      </c>
      <c r="AC7" s="195" t="str">
        <f t="shared" si="2"/>
        <v>2018/2019 (ZČ)</v>
      </c>
      <c r="AD7" s="193"/>
      <c r="AE7" s="196"/>
    </row>
    <row r="8" spans="1:31" ht="15" customHeight="1" thickTop="1" thickBot="1" x14ac:dyDescent="0.3">
      <c r="A8" s="205" t="s">
        <v>32</v>
      </c>
      <c r="B8" s="206"/>
      <c r="C8" s="207" t="str">
        <f ca="1">IFERROR(IF(INDIRECT("priprava_" &amp; A1 &amp; "!BY12")&lt;&gt;0,INDIRECT("priprava_" &amp; A1 &amp; "!BY12"),""),"")</f>
        <v>P - P - P - P - P - V - V</v>
      </c>
      <c r="D8" s="207"/>
      <c r="E8" s="207"/>
      <c r="F8" s="207"/>
      <c r="G8" s="207"/>
      <c r="H8" s="208"/>
      <c r="I8" s="25"/>
      <c r="J8" s="209" t="s">
        <v>32</v>
      </c>
      <c r="K8" s="210"/>
      <c r="L8" s="211" t="str">
        <f ca="1">IFERROR(IF(INDIRECT("priprava_" &amp; J1 &amp; "!BY12")&lt;&gt;0,INDIRECT("priprava_" &amp; J1 &amp; "!BY12"),""),"")</f>
        <v>V - V - V - V - P - V - V</v>
      </c>
      <c r="M8" s="211"/>
      <c r="N8" s="211"/>
      <c r="O8" s="211"/>
      <c r="P8" s="211"/>
      <c r="Q8" s="212"/>
      <c r="R8" s="25"/>
      <c r="S8" s="163" t="s">
        <v>98</v>
      </c>
      <c r="T8" s="164" t="s">
        <v>5</v>
      </c>
      <c r="U8" s="164" t="s">
        <v>1340</v>
      </c>
      <c r="V8" s="165" t="s">
        <v>114</v>
      </c>
      <c r="W8" s="166" t="s">
        <v>43</v>
      </c>
      <c r="X8" s="193" t="str">
        <f t="shared" si="0"/>
        <v>BOH - SKV</v>
      </c>
      <c r="Y8" s="193"/>
      <c r="Z8" s="193"/>
      <c r="AA8" s="194"/>
      <c r="AB8" s="148" t="str">
        <f t="shared" si="1"/>
        <v>6:2</v>
      </c>
      <c r="AC8" s="195" t="str">
        <f t="shared" si="2"/>
        <v>2018/2019 (ZČ)</v>
      </c>
      <c r="AD8" s="193"/>
      <c r="AE8" s="19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 t="s">
        <v>98</v>
      </c>
      <c r="T9" s="164" t="s">
        <v>5</v>
      </c>
      <c r="U9" s="164" t="s">
        <v>869</v>
      </c>
      <c r="V9" s="165" t="s">
        <v>1341</v>
      </c>
      <c r="W9" s="166" t="s">
        <v>43</v>
      </c>
      <c r="X9" s="193" t="str">
        <f t="shared" si="0"/>
        <v>BOH - SKV</v>
      </c>
      <c r="Y9" s="193"/>
      <c r="Z9" s="193"/>
      <c r="AA9" s="194"/>
      <c r="AB9" s="148" t="str">
        <f t="shared" si="1"/>
        <v>7:2</v>
      </c>
      <c r="AC9" s="195" t="str">
        <f t="shared" si="2"/>
        <v>2015/2016 (ZČ)</v>
      </c>
      <c r="AD9" s="193"/>
      <c r="AE9" s="196"/>
    </row>
    <row r="10" spans="1:31" ht="15" customHeight="1" thickTop="1" thickBot="1" x14ac:dyDescent="0.3">
      <c r="A10" s="222" t="s">
        <v>33</v>
      </c>
      <c r="B10" s="223"/>
      <c r="C10" s="223"/>
      <c r="D10" s="227"/>
      <c r="E10" s="228" t="s">
        <v>34</v>
      </c>
      <c r="F10" s="223"/>
      <c r="G10" s="223"/>
      <c r="H10" s="227"/>
      <c r="I10" s="25"/>
      <c r="J10" s="222" t="s">
        <v>33</v>
      </c>
      <c r="K10" s="223"/>
      <c r="L10" s="223"/>
      <c r="M10" s="227"/>
      <c r="N10" s="228" t="s">
        <v>34</v>
      </c>
      <c r="O10" s="223"/>
      <c r="P10" s="223"/>
      <c r="Q10" s="227"/>
      <c r="R10" s="37"/>
      <c r="S10" s="163" t="s">
        <v>5</v>
      </c>
      <c r="T10" s="164" t="s">
        <v>98</v>
      </c>
      <c r="U10" s="164" t="s">
        <v>1342</v>
      </c>
      <c r="V10" s="165" t="s">
        <v>1341</v>
      </c>
      <c r="W10" s="166" t="s">
        <v>43</v>
      </c>
      <c r="X10" s="193" t="str">
        <f t="shared" si="0"/>
        <v>SKV - BOH</v>
      </c>
      <c r="Y10" s="193"/>
      <c r="Z10" s="193"/>
      <c r="AA10" s="194"/>
      <c r="AB10" s="148" t="str">
        <f t="shared" si="1"/>
        <v>10:13</v>
      </c>
      <c r="AC10" s="195" t="str">
        <f t="shared" si="2"/>
        <v>2015/2016 (ZČ)</v>
      </c>
      <c r="AD10" s="193"/>
      <c r="AE10" s="196"/>
    </row>
    <row r="11" spans="1:31" ht="15" customHeight="1" x14ac:dyDescent="0.25">
      <c r="A11" s="213" t="str">
        <f ca="1">IFERROR(IF(INDIRECT("priprava_" &amp; A$1 &amp; "!BZ2")&lt;&gt;"",INDIRECT("priprava_" &amp; A$1 &amp; "!BZ2"),""),"")</f>
        <v>PAR (d)</v>
      </c>
      <c r="B11" s="214"/>
      <c r="C11" s="215" t="str">
        <f ca="1">IFERROR(IF(A11&lt;&gt;"",INDIRECT("priprava_" &amp; A$1 &amp; "!CA2"),""),"")</f>
        <v>6:5</v>
      </c>
      <c r="D11" s="216"/>
      <c r="E11" s="217" t="str">
        <f ca="1">IFERROR(IF(INDIRECT("priprava_" &amp; A$1 &amp; "!BZ7")&lt;&gt;"",INDIRECT("priprava_" &amp; A$1 &amp; "!BZ7"),""),"")</f>
        <v>VIT (h)</v>
      </c>
      <c r="F11" s="214"/>
      <c r="G11" s="215" t="str">
        <f ca="1">IFERROR(IF(E11&lt;&gt;"",INDIRECT("priprava_" &amp; A$1 &amp; "!BY7"),""),"")</f>
        <v>22. 10.</v>
      </c>
      <c r="H11" s="216"/>
      <c r="I11" s="25"/>
      <c r="J11" s="213" t="str">
        <f ca="1">IFERROR(IF(INDIRECT("priprava_" &amp; J$1 &amp; "!BZ2")&lt;&gt;"",INDIRECT("priprava_" &amp; J$1 &amp; "!BZ2"),""),"")</f>
        <v>SPA (d)</v>
      </c>
      <c r="K11" s="214"/>
      <c r="L11" s="215" t="str">
        <f ca="1">IFERROR(IF(J11&lt;&gt;"",INDIRECT("priprava_" &amp; J$1 &amp; "!CA2"),""),"")</f>
        <v>8:5</v>
      </c>
      <c r="M11" s="216"/>
      <c r="N11" s="217" t="str">
        <f ca="1">IFERROR(IF(INDIRECT("priprava_" &amp; J$1 &amp; "!BZ7")&lt;&gt;"",INDIRECT("priprava_" &amp; J$1 &amp; "!BZ7"),""),"")</f>
        <v>TAT (d)</v>
      </c>
      <c r="O11" s="214"/>
      <c r="P11" s="215" t="str">
        <f ca="1">IFERROR(IF(N11&lt;&gt;"",INDIRECT("priprava_" &amp; J$1 &amp; "!BY7"),""),"")</f>
        <v>22. 10.</v>
      </c>
      <c r="Q11" s="216"/>
      <c r="R11" s="38"/>
      <c r="S11" s="163" t="s">
        <v>5</v>
      </c>
      <c r="T11" s="164" t="s">
        <v>98</v>
      </c>
      <c r="U11" s="164" t="s">
        <v>561</v>
      </c>
      <c r="V11" s="165" t="s">
        <v>1343</v>
      </c>
      <c r="W11" s="166" t="s">
        <v>43</v>
      </c>
      <c r="X11" s="193" t="str">
        <f t="shared" si="0"/>
        <v>SKV - BOH</v>
      </c>
      <c r="Y11" s="193"/>
      <c r="Z11" s="193"/>
      <c r="AA11" s="194"/>
      <c r="AB11" s="148" t="str">
        <f t="shared" si="1"/>
        <v>6:7</v>
      </c>
      <c r="AC11" s="195" t="str">
        <f t="shared" si="2"/>
        <v>2014/2015 (ZČ)</v>
      </c>
      <c r="AD11" s="193"/>
      <c r="AE11" s="196"/>
    </row>
    <row r="12" spans="1:31" ht="15" customHeight="1" x14ac:dyDescent="0.25">
      <c r="A12" s="218" t="str">
        <f ca="1">IFERROR(IF(INDIRECT("priprava_" &amp; A$1 &amp; "!BZ3")&lt;&gt;"",INDIRECT("priprava_" &amp; A$1 &amp; "!BZ3"),""),"")</f>
        <v>CLP (d)</v>
      </c>
      <c r="B12" s="219"/>
      <c r="C12" s="230" t="str">
        <f ca="1">IFERROR(IF(A12&lt;&gt;"",INDIRECT("priprava_" &amp; A$1 &amp; "!CA3"),""),"")</f>
        <v>8:1</v>
      </c>
      <c r="D12" s="231"/>
      <c r="E12" s="194" t="str">
        <f ca="1">IFERROR(IF(INDIRECT("priprava_" &amp; A$1 &amp; "!BZ8")&lt;&gt;"",INDIRECT("priprava_" &amp; A$1 &amp; "!BZ8"),""),"")</f>
        <v>HAT (d)</v>
      </c>
      <c r="F12" s="219"/>
      <c r="G12" s="230" t="str">
        <f ca="1">IFERROR(IF(E12&lt;&gt;"",INDIRECT("priprava_" &amp; A$1 &amp; "!BY8"),""),"")</f>
        <v>24. 10.</v>
      </c>
      <c r="H12" s="231"/>
      <c r="I12" s="26"/>
      <c r="J12" s="218" t="str">
        <f ca="1">IFERROR(IF(INDIRECT("priprava_" &amp; J$1 &amp; "!BZ3")&lt;&gt;"",INDIRECT("priprava_" &amp; J$1 &amp; "!BZ3"),""),"")</f>
        <v>PAR (d)</v>
      </c>
      <c r="K12" s="219"/>
      <c r="L12" s="230" t="str">
        <f ca="1">IFERROR(IF(J12&lt;&gt;"",INDIRECT("priprava_" &amp; J$1 &amp; "!CA3"),""),"")</f>
        <v>4:2</v>
      </c>
      <c r="M12" s="231"/>
      <c r="N12" s="194" t="str">
        <f ca="1">IFERROR(IF(INDIRECT("priprava_" &amp; J$1 &amp; "!BZ8")&lt;&gt;"",INDIRECT("priprava_" &amp; J$1 &amp; "!BZ8"),""),"")</f>
        <v>OST (h)</v>
      </c>
      <c r="O12" s="219"/>
      <c r="P12" s="230" t="str">
        <f ca="1">IFERROR(IF(N12&lt;&gt;"",INDIRECT("priprava_" &amp; J$1 &amp; "!BY8"),""),"")</f>
        <v>24. 10.</v>
      </c>
      <c r="Q12" s="231"/>
      <c r="R12" s="25"/>
      <c r="S12" s="163" t="s">
        <v>98</v>
      </c>
      <c r="T12" s="164" t="s">
        <v>5</v>
      </c>
      <c r="U12" s="164" t="s">
        <v>332</v>
      </c>
      <c r="V12" s="165" t="s">
        <v>1343</v>
      </c>
      <c r="W12" s="166" t="s">
        <v>43</v>
      </c>
      <c r="X12" s="193" t="str">
        <f t="shared" si="0"/>
        <v>BOH - SKV</v>
      </c>
      <c r="Y12" s="193"/>
      <c r="Z12" s="193"/>
      <c r="AA12" s="194"/>
      <c r="AB12" s="148" t="str">
        <f t="shared" si="1"/>
        <v>7:6</v>
      </c>
      <c r="AC12" s="195" t="str">
        <f t="shared" si="2"/>
        <v>2014/2015 (ZČ)</v>
      </c>
      <c r="AD12" s="193"/>
      <c r="AE12" s="196"/>
    </row>
    <row r="13" spans="1:31" ht="15" customHeight="1" x14ac:dyDescent="0.25">
      <c r="A13" s="232" t="str">
        <f ca="1">IFERROR(IF(INDIRECT("priprava_" &amp; A$1 &amp; "!BZ4")&lt;&gt;"",INDIRECT("priprava_" &amp; A$1 &amp; "!BZ4"),""),"")</f>
        <v>BA (d)</v>
      </c>
      <c r="B13" s="233"/>
      <c r="C13" s="234" t="str">
        <f ca="1">IFERROR(IF(A13&lt;&gt;"",INDIRECT("priprava_" &amp; A$1 &amp; "!CA4"),""),"")</f>
        <v>2:7</v>
      </c>
      <c r="D13" s="235"/>
      <c r="E13" s="236" t="str">
        <f ca="1">IFERROR(IF(INDIRECT("priprava_" &amp; A$1 &amp; "!BZ9")&lt;&gt;"",INDIRECT("priprava_" &amp; A$1 &amp; "!BZ9"),""),"")</f>
        <v>OTR (h)</v>
      </c>
      <c r="F13" s="233"/>
      <c r="G13" s="234" t="str">
        <f ca="1">IFERROR(IF(E13&lt;&gt;"",INDIRECT("priprava_" &amp; A$1 &amp; "!BY9"),""),"")</f>
        <v>28. 10.</v>
      </c>
      <c r="H13" s="235"/>
      <c r="I13" s="25"/>
      <c r="J13" s="232" t="str">
        <f ca="1">IFERROR(IF(INDIRECT("priprava_" &amp; J$1 &amp; "!BZ4")&lt;&gt;"",INDIRECT("priprava_" &amp; J$1 &amp; "!BZ4"),""),"")</f>
        <v>MB (h)</v>
      </c>
      <c r="K13" s="233"/>
      <c r="L13" s="234" t="str">
        <f ca="1">IFERROR(IF(J13&lt;&gt;"",INDIRECT("priprava_" &amp; J$1 &amp; "!CA4"),""),"")</f>
        <v>4:9</v>
      </c>
      <c r="M13" s="235"/>
      <c r="N13" s="236" t="str">
        <f ca="1">IFERROR(IF(INDIRECT("priprava_" &amp; J$1 &amp; "!BZ9")&lt;&gt;"",INDIRECT("priprava_" &amp; J$1 &amp; "!BZ9"),""),"")</f>
        <v>LIB (d)</v>
      </c>
      <c r="O13" s="233"/>
      <c r="P13" s="234" t="str">
        <f ca="1">IFERROR(IF(N13&lt;&gt;"",INDIRECT("priprava_" &amp; J$1 &amp; "!BY9"),""),"")</f>
        <v>28. 10.</v>
      </c>
      <c r="Q13" s="235"/>
      <c r="R13" s="27"/>
      <c r="S13" s="163" t="s">
        <v>5</v>
      </c>
      <c r="T13" s="164" t="s">
        <v>98</v>
      </c>
      <c r="U13" s="164" t="s">
        <v>561</v>
      </c>
      <c r="V13" s="165" t="s">
        <v>1344</v>
      </c>
      <c r="W13" s="166" t="s">
        <v>1345</v>
      </c>
      <c r="X13" s="193" t="str">
        <f t="shared" si="0"/>
        <v>SKV - BOH</v>
      </c>
      <c r="Y13" s="193"/>
      <c r="Z13" s="193"/>
      <c r="AA13" s="194"/>
      <c r="AB13" s="148" t="str">
        <f t="shared" si="1"/>
        <v>6:7</v>
      </c>
      <c r="AC13" s="195" t="str">
        <f t="shared" si="2"/>
        <v>2006/2007 (PD)</v>
      </c>
      <c r="AD13" s="193"/>
      <c r="AE13" s="196"/>
    </row>
    <row r="14" spans="1:31" ht="15" customHeight="1" x14ac:dyDescent="0.25">
      <c r="A14" s="218" t="str">
        <f ca="1">IFERROR(IF(INDIRECT("priprava_" &amp; A$1 &amp; "!BZ5")&lt;&gt;"",INDIRECT("priprava_" &amp; A$1 &amp; "!BZ5"),""),"")</f>
        <v>CHO (h)</v>
      </c>
      <c r="B14" s="219"/>
      <c r="C14" s="230" t="str">
        <f ca="1">IFERROR(IF(A14&lt;&gt;"",INDIRECT("priprava_" &amp; A$1 &amp; "!CA5"),""),"")</f>
        <v>7:13</v>
      </c>
      <c r="D14" s="231"/>
      <c r="E14" s="194" t="str">
        <f ca="1">IFERROR(IF(INDIRECT("priprava_" &amp; A$1 &amp; "!BZ10")&lt;&gt;"",INDIRECT("priprava_" &amp; A$1 &amp; "!BZ10"),""),"")</f>
        <v>MB (d)</v>
      </c>
      <c r="F14" s="219"/>
      <c r="G14" s="230" t="str">
        <f ca="1">IFERROR(IF(E14&lt;&gt;"",INDIRECT("priprava_" &amp; A$1 &amp; "!BY10"),""),"")</f>
        <v>31. 10.</v>
      </c>
      <c r="H14" s="231"/>
      <c r="I14" s="26"/>
      <c r="J14" s="218" t="str">
        <f ca="1">IFERROR(IF(INDIRECT("priprava_" &amp; J$1 &amp; "!BZ5")&lt;&gt;"",INDIRECT("priprava_" &amp; J$1 &amp; "!BZ5"),""),"")</f>
        <v>OTR (d)</v>
      </c>
      <c r="K14" s="219"/>
      <c r="L14" s="230" t="str">
        <f ca="1">IFERROR(IF(J14&lt;&gt;"",INDIRECT("priprava_" &amp; J$1 &amp; "!CA5"),""),"")</f>
        <v>8:2</v>
      </c>
      <c r="M14" s="231"/>
      <c r="N14" s="194" t="str">
        <f ca="1">IFERROR(IF(INDIRECT("priprava_" &amp; J$1 &amp; "!BZ10")&lt;&gt;"",INDIRECT("priprava_" &amp; J$1 &amp; "!BZ10"),""),"")</f>
        <v>CHO (h)</v>
      </c>
      <c r="O14" s="219"/>
      <c r="P14" s="230" t="str">
        <f ca="1">IFERROR(IF(N14&lt;&gt;"",INDIRECT("priprava_" &amp; J$1 &amp; "!BY10"),""),"")</f>
        <v>31. 10.</v>
      </c>
      <c r="Q14" s="231"/>
      <c r="R14" s="25"/>
      <c r="S14" s="163" t="s">
        <v>5</v>
      </c>
      <c r="T14" s="164" t="s">
        <v>98</v>
      </c>
      <c r="U14" s="164" t="s">
        <v>1290</v>
      </c>
      <c r="V14" s="165" t="s">
        <v>1344</v>
      </c>
      <c r="W14" s="166" t="s">
        <v>1345</v>
      </c>
      <c r="X14" s="193" t="str">
        <f t="shared" si="0"/>
        <v>SKV - BOH</v>
      </c>
      <c r="Y14" s="193"/>
      <c r="Z14" s="193"/>
      <c r="AA14" s="194"/>
      <c r="AB14" s="148" t="str">
        <f t="shared" si="1"/>
        <v>5:6</v>
      </c>
      <c r="AC14" s="195" t="str">
        <f t="shared" si="2"/>
        <v>2006/2007 (PD)</v>
      </c>
      <c r="AD14" s="193"/>
      <c r="AE14" s="196"/>
    </row>
    <row r="15" spans="1:31" ht="15" customHeight="1" thickBot="1" x14ac:dyDescent="0.3">
      <c r="A15" s="299" t="str">
        <f ca="1">IFERROR(IF(INDIRECT("priprava_" &amp; A$1 &amp; "!BZ6")&lt;&gt;"",INDIRECT("priprava_" &amp; A$1 &amp; "!BZ6"),""),"")</f>
        <v>LIB (d)</v>
      </c>
      <c r="B15" s="295"/>
      <c r="C15" s="296" t="str">
        <f ca="1">IFERROR(IF(A15&lt;&gt;"",INDIRECT("priprava_" &amp; A$1 &amp; "!CA6"),""),"")</f>
        <v>2:7</v>
      </c>
      <c r="D15" s="297"/>
      <c r="E15" s="294" t="str">
        <f ca="1">IFERROR(IF(INDIRECT("priprava_" &amp; A$1 &amp; "!BZ11")&lt;&gt;"",INDIRECT("priprava_" &amp; A$1 &amp; "!BZ11"),""),"")</f>
        <v>SPA (h)</v>
      </c>
      <c r="F15" s="295"/>
      <c r="G15" s="296" t="str">
        <f ca="1">IFERROR(IF(E15&lt;&gt;"",INDIRECT("priprava_" &amp; A$1 &amp; "!BY11"),""),"")</f>
        <v>7. 11.</v>
      </c>
      <c r="H15" s="297"/>
      <c r="I15" s="25"/>
      <c r="J15" s="299" t="str">
        <f ca="1">IFERROR(IF(INDIRECT("priprava_" &amp; J$1 &amp; "!BZ6")&lt;&gt;"",INDIRECT("priprava_" &amp; J$1 &amp; "!BZ6"),""),"")</f>
        <v>HAT (h)</v>
      </c>
      <c r="K15" s="295"/>
      <c r="L15" s="296" t="str">
        <f ca="1">IFERROR(IF(J15&lt;&gt;"",INDIRECT("priprava_" &amp; J$1 &amp; "!CA6"),""),"")</f>
        <v>9:6</v>
      </c>
      <c r="M15" s="297"/>
      <c r="N15" s="294" t="str">
        <f ca="1">IFERROR(IF(INDIRECT("priprava_" &amp; J$1 &amp; "!BZ11")&lt;&gt;"",INDIRECT("priprava_" &amp; J$1 &amp; "!BZ11"),""),"")</f>
        <v>BA (d)</v>
      </c>
      <c r="O15" s="295"/>
      <c r="P15" s="296" t="str">
        <f ca="1">IFERROR(IF(N15&lt;&gt;"",INDIRECT("priprava_" &amp; J$1 &amp; "!BY11"),""),"")</f>
        <v>7. 11.</v>
      </c>
      <c r="Q15" s="297"/>
      <c r="R15" s="25"/>
      <c r="S15" s="163" t="s">
        <v>98</v>
      </c>
      <c r="T15" s="164" t="s">
        <v>5</v>
      </c>
      <c r="U15" s="164" t="s">
        <v>807</v>
      </c>
      <c r="V15" s="165" t="s">
        <v>1344</v>
      </c>
      <c r="W15" s="166" t="s">
        <v>1345</v>
      </c>
      <c r="X15" s="193" t="str">
        <f t="shared" ref="X15:X18" si="3">IF(S15&lt;&gt;"",CONCATENATE(S15, " - ",T15),"")</f>
        <v>BOH - SKV</v>
      </c>
      <c r="Y15" s="193"/>
      <c r="Z15" s="193"/>
      <c r="AA15" s="194"/>
      <c r="AB15" s="148" t="str">
        <f t="shared" ref="AB15:AB18" si="4">IF(U15&lt;&gt;"",U15,"")</f>
        <v>4:6</v>
      </c>
      <c r="AC15" s="195" t="str">
        <f t="shared" ref="AC15:AC18" si="5">IF(AND(V15&lt;&gt;"",W15&lt;&gt;""),CONCATENATE(V15," (",W15,")"),IF(V15&lt;&gt;"",V15,""))</f>
        <v>2006/2007 (PD)</v>
      </c>
      <c r="AD15" s="193"/>
      <c r="AE15" s="196"/>
    </row>
    <row r="16" spans="1:31" ht="15" customHeight="1" thickTop="1" x14ac:dyDescent="0.25">
      <c r="R16" s="37"/>
      <c r="S16" s="163" t="s">
        <v>98</v>
      </c>
      <c r="T16" s="164" t="s">
        <v>5</v>
      </c>
      <c r="U16" s="164" t="s">
        <v>1236</v>
      </c>
      <c r="V16" s="165" t="s">
        <v>1344</v>
      </c>
      <c r="W16" s="166" t="s">
        <v>1345</v>
      </c>
      <c r="X16" s="193" t="str">
        <f t="shared" si="3"/>
        <v>BOH - SKV</v>
      </c>
      <c r="Y16" s="193"/>
      <c r="Z16" s="193"/>
      <c r="AA16" s="194"/>
      <c r="AB16" s="148" t="str">
        <f t="shared" si="4"/>
        <v>5:4</v>
      </c>
      <c r="AC16" s="195" t="str">
        <f t="shared" si="5"/>
        <v>2006/2007 (PD)</v>
      </c>
      <c r="AD16" s="193"/>
      <c r="AE16" s="196"/>
    </row>
    <row r="17" spans="1:31" ht="15" customHeight="1" thickBot="1" x14ac:dyDescent="0.3">
      <c r="A17" s="298" t="s">
        <v>35</v>
      </c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163" t="s">
        <v>98</v>
      </c>
      <c r="T17" s="164" t="s">
        <v>5</v>
      </c>
      <c r="U17" s="164" t="s">
        <v>871</v>
      </c>
      <c r="V17" s="165" t="s">
        <v>1344</v>
      </c>
      <c r="W17" s="166" t="s">
        <v>43</v>
      </c>
      <c r="X17" s="193" t="str">
        <f t="shared" si="3"/>
        <v>BOH - SKV</v>
      </c>
      <c r="Y17" s="193"/>
      <c r="Z17" s="193"/>
      <c r="AA17" s="194"/>
      <c r="AB17" s="148" t="str">
        <f t="shared" si="4"/>
        <v>6:5p</v>
      </c>
      <c r="AC17" s="195" t="str">
        <f t="shared" si="5"/>
        <v>2006/2007 (ZČ)</v>
      </c>
      <c r="AD17" s="193"/>
      <c r="AE17" s="196"/>
    </row>
    <row r="18" spans="1:31" ht="15" customHeight="1" thickTop="1" thickBot="1" x14ac:dyDescent="0.3">
      <c r="A18" s="222" t="s">
        <v>36</v>
      </c>
      <c r="B18" s="223"/>
      <c r="C18" s="251"/>
      <c r="D18" s="252" t="s">
        <v>37</v>
      </c>
      <c r="E18" s="223"/>
      <c r="F18" s="253"/>
      <c r="G18" s="228" t="s">
        <v>38</v>
      </c>
      <c r="H18" s="223"/>
      <c r="I18" s="227"/>
      <c r="J18" s="224" t="s">
        <v>36</v>
      </c>
      <c r="K18" s="225"/>
      <c r="L18" s="254"/>
      <c r="M18" s="255" t="s">
        <v>37</v>
      </c>
      <c r="N18" s="225"/>
      <c r="O18" s="256"/>
      <c r="P18" s="257" t="s">
        <v>38</v>
      </c>
      <c r="Q18" s="225"/>
      <c r="R18" s="258"/>
      <c r="S18" s="167" t="s">
        <v>5</v>
      </c>
      <c r="T18" s="168" t="s">
        <v>98</v>
      </c>
      <c r="U18" s="168" t="s">
        <v>852</v>
      </c>
      <c r="V18" s="169" t="s">
        <v>1344</v>
      </c>
      <c r="W18" s="170" t="s">
        <v>43</v>
      </c>
      <c r="X18" s="197" t="str">
        <f t="shared" si="3"/>
        <v>SKV - BOH</v>
      </c>
      <c r="Y18" s="197"/>
      <c r="Z18" s="197"/>
      <c r="AA18" s="198"/>
      <c r="AB18" s="172" t="str">
        <f t="shared" si="4"/>
        <v>2:7</v>
      </c>
      <c r="AC18" s="199" t="str">
        <f t="shared" si="5"/>
        <v>2006/2007 (ZČ)</v>
      </c>
      <c r="AD18" s="197"/>
      <c r="AE18" s="200"/>
    </row>
    <row r="19" spans="1:31" ht="15" customHeight="1" x14ac:dyDescent="0.25">
      <c r="A19" s="245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Fiala</v>
      </c>
      <c r="B19" s="246"/>
      <c r="C19" s="39">
        <f ca="1">IFERROR(IF(A19&lt;&gt;"",INDIRECT("priprava_" &amp; A$1 &amp; "!BW2"),""),"")</f>
        <v>10</v>
      </c>
      <c r="D19" s="247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6"/>
      <c r="F19" s="39">
        <f ca="1">IFERROR(IF(D19&lt;&gt;"",INDIRECT("priprava_" &amp; A$1 &amp; "!BW12"),""),"")</f>
        <v>6</v>
      </c>
      <c r="G19" s="247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Fiala</v>
      </c>
      <c r="H19" s="246"/>
      <c r="I19" s="39">
        <f ca="1">IFERROR(IF(G19&lt;&gt;"",INDIRECT("priprava_" &amp; A$1 &amp; "!BW22"),""),"")</f>
        <v>7</v>
      </c>
      <c r="J19" s="248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Forman F.</v>
      </c>
      <c r="K19" s="249"/>
      <c r="L19" s="40">
        <f ca="1">IFERROR(IF(J19&lt;&gt;"",INDIRECT("priprava_" &amp; J$1 &amp; "!BW2"),""),"")</f>
        <v>24</v>
      </c>
      <c r="M19" s="250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Petrák</v>
      </c>
      <c r="N19" s="249"/>
      <c r="O19" s="40">
        <f ca="1">IFERROR(IF(M19&lt;&gt;"",INDIRECT("priprava_" &amp; J$1 &amp; "!BW12"),""),"")</f>
        <v>14</v>
      </c>
      <c r="P19" s="250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Forman F.</v>
      </c>
      <c r="Q19" s="249"/>
      <c r="R19" s="41">
        <f ca="1">IFERROR(IF(P19&lt;&gt;"",INDIRECT("priprava_" &amp; J$1 &amp; "!BW22"),""),"")</f>
        <v>15</v>
      </c>
    </row>
    <row r="20" spans="1:31" ht="15" customHeight="1" thickBot="1" x14ac:dyDescent="0.3">
      <c r="A20" s="23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Kopecký</v>
      </c>
      <c r="B20" s="238"/>
      <c r="C20" s="42">
        <f ca="1">IFERROR(IF(A20&lt;&gt;"",INDIRECT("priprava_" &amp; A$1 &amp; "!BW3"),""),"")</f>
        <v>9</v>
      </c>
      <c r="D20" s="23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Procházka</v>
      </c>
      <c r="E20" s="238"/>
      <c r="F20" s="43">
        <f ca="1">IFERROR(IF(D20&lt;&gt;"",INDIRECT("priprava_" &amp; A$1 &amp; "!BW13"),""),"")</f>
        <v>4</v>
      </c>
      <c r="G20" s="24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Stuchlík O.</v>
      </c>
      <c r="H20" s="238"/>
      <c r="I20" s="44">
        <f ca="1">IFERROR(IF(G20&lt;&gt;"",INDIRECT("priprava_" &amp; A$1 &amp; "!BW23"),""),"")</f>
        <v>3</v>
      </c>
      <c r="J20" s="241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Petrák</v>
      </c>
      <c r="K20" s="242"/>
      <c r="L20" s="45">
        <f ca="1">IFERROR(IF(J20&lt;&gt;"",INDIRECT("priprava_" &amp; J$1 &amp; "!BW3"),""),"")</f>
        <v>19</v>
      </c>
      <c r="M20" s="243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Forman F.</v>
      </c>
      <c r="N20" s="242"/>
      <c r="O20" s="46">
        <f ca="1">IFERROR(IF(M20&lt;&gt;"",INDIRECT("priprava_" &amp; J$1 &amp; "!BW13"),""),"")</f>
        <v>9</v>
      </c>
      <c r="P20" s="244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Buršík</v>
      </c>
      <c r="Q20" s="242"/>
      <c r="R20" s="47">
        <f ca="1">IFERROR(IF(P20&lt;&gt;"",INDIRECT("priprava_" &amp; J$1 &amp; "!BW23"),""),"")</f>
        <v>7</v>
      </c>
    </row>
    <row r="21" spans="1:31" ht="15" customHeight="1" thickTop="1" x14ac:dyDescent="0.25">
      <c r="A21" s="23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Pergler</v>
      </c>
      <c r="B21" s="238"/>
      <c r="C21" s="42">
        <f ca="1">IFERROR(IF(A21&lt;&gt;"",INDIRECT("priprava_" &amp; A$1 &amp; "!BW4"),""),"")</f>
        <v>5</v>
      </c>
      <c r="D21" s="23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38"/>
      <c r="F21" s="43">
        <f ca="1">IFERROR(IF(D21&lt;&gt;"",INDIRECT("priprava_" &amp; A$1 &amp; "!BW14"),""),"")</f>
        <v>3</v>
      </c>
      <c r="G21" s="24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Kopecký</v>
      </c>
      <c r="H21" s="238"/>
      <c r="I21" s="44">
        <f ca="1">IFERROR(IF(G21&lt;&gt;"",INDIRECT("priprava_" &amp; A$1 &amp; "!BW24"),""),"")</f>
        <v>3</v>
      </c>
      <c r="J21" s="241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Buršík</v>
      </c>
      <c r="K21" s="242"/>
      <c r="L21" s="45">
        <f ca="1">IFERROR(IF(J21&lt;&gt;"",INDIRECT("priprava_" &amp; J$1 &amp; "!BW4"),""),"")</f>
        <v>16</v>
      </c>
      <c r="M21" s="243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Buršík</v>
      </c>
      <c r="N21" s="242"/>
      <c r="O21" s="46">
        <f ca="1">IFERROR(IF(M21&lt;&gt;"",INDIRECT("priprava_" &amp; J$1 &amp; "!BW14"),""),"")</f>
        <v>9</v>
      </c>
      <c r="P21" s="244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Malič</v>
      </c>
      <c r="Q21" s="242"/>
      <c r="R21" s="47">
        <f ca="1">IFERROR(IF(P21&lt;&gt;"",INDIRECT("priprava_" &amp; J$1 &amp; "!BW24"),""),"")</f>
        <v>5</v>
      </c>
      <c r="Y21" s="400" t="s">
        <v>1351</v>
      </c>
      <c r="Z21" s="401"/>
      <c r="AA21" s="401"/>
      <c r="AB21" s="401"/>
      <c r="AC21" s="401"/>
      <c r="AD21" s="401"/>
      <c r="AE21" s="402"/>
    </row>
    <row r="22" spans="1:31" ht="15" customHeight="1" thickBot="1" x14ac:dyDescent="0.3">
      <c r="A22" s="23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Klápa</v>
      </c>
      <c r="B22" s="238"/>
      <c r="C22" s="42">
        <f ca="1">IFERROR(IF(A22&lt;&gt;"",INDIRECT("priprava_" &amp; A$1 &amp; "!BW5"),""),"")</f>
        <v>5</v>
      </c>
      <c r="D22" s="23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38"/>
      <c r="F22" s="43">
        <f ca="1">IFERROR(IF(D22&lt;&gt;"",INDIRECT("priprava_" &amp; A$1 &amp; "!BW15"),""),"")</f>
        <v>3</v>
      </c>
      <c r="G22" s="24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38"/>
      <c r="I22" s="44">
        <f ca="1">IFERROR(IF(G22&lt;&gt;"",INDIRECT("priprava_" &amp; A$1 &amp; "!BW25"),""),"")</f>
        <v>2</v>
      </c>
      <c r="J22" s="241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Malič</v>
      </c>
      <c r="K22" s="242"/>
      <c r="L22" s="45">
        <f ca="1">IFERROR(IF(J22&lt;&gt;"",INDIRECT("priprava_" &amp; J$1 &amp; "!BW5"),""),"")</f>
        <v>9</v>
      </c>
      <c r="M22" s="243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Malič</v>
      </c>
      <c r="N22" s="242"/>
      <c r="O22" s="46">
        <f ca="1">IFERROR(IF(M22&lt;&gt;"",INDIRECT("priprava_" &amp; J$1 &amp; "!BW15"),""),"")</f>
        <v>4</v>
      </c>
      <c r="P22" s="244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Petrák</v>
      </c>
      <c r="Q22" s="242"/>
      <c r="R22" s="47">
        <f ca="1">IFERROR(IF(P22&lt;&gt;"",INDIRECT("priprava_" &amp; J$1 &amp; "!BW25"),""),"")</f>
        <v>5</v>
      </c>
      <c r="Y22" s="403" t="s">
        <v>1352</v>
      </c>
      <c r="Z22" s="404"/>
      <c r="AA22" s="404"/>
      <c r="AB22" s="404"/>
      <c r="AC22" s="404"/>
      <c r="AD22" s="404"/>
      <c r="AE22" s="405"/>
    </row>
    <row r="23" spans="1:31" ht="15" customHeight="1" thickBot="1" x14ac:dyDescent="0.3">
      <c r="A23" s="259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Procházka</v>
      </c>
      <c r="B23" s="260"/>
      <c r="C23" s="48">
        <f ca="1">IFERROR(IF(A23&lt;&gt;"",INDIRECT("priprava_" &amp; A$1 &amp; "!BW6"),""),"")</f>
        <v>4</v>
      </c>
      <c r="D23" s="261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Klápa</v>
      </c>
      <c r="E23" s="260"/>
      <c r="F23" s="49">
        <f ca="1">IFERROR(IF(D23&lt;&gt;"",INDIRECT("priprava_" &amp; A$1 &amp; "!BW16"),""),"")</f>
        <v>3</v>
      </c>
      <c r="G23" s="262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Hartman</v>
      </c>
      <c r="H23" s="260"/>
      <c r="I23" s="50">
        <f ca="1">IFERROR(IF(G23&lt;&gt;"",INDIRECT("priprava_" &amp; A$1 &amp; "!BW26"),""),"")</f>
        <v>2</v>
      </c>
      <c r="J23" s="263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Gajdoš</v>
      </c>
      <c r="K23" s="264"/>
      <c r="L23" s="51">
        <f ca="1">IFERROR(IF(J23&lt;&gt;"",INDIRECT("priprava_" &amp; J$1 &amp; "!BW6"),""),"")</f>
        <v>5</v>
      </c>
      <c r="M23" s="265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Růžek</v>
      </c>
      <c r="N23" s="264"/>
      <c r="O23" s="52">
        <f ca="1">IFERROR(IF(M23&lt;&gt;"",INDIRECT("priprava_" &amp; J$1 &amp; "!BW16"),""),"")</f>
        <v>2</v>
      </c>
      <c r="P23" s="266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Gajdoš</v>
      </c>
      <c r="Q23" s="264"/>
      <c r="R23" s="53">
        <f ca="1">IFERROR(IF(P23&lt;&gt;"",INDIRECT("priprava_" &amp; J$1 &amp; "!BW26"),""),"")</f>
        <v>3</v>
      </c>
      <c r="Y23" s="406" t="s">
        <v>1350</v>
      </c>
      <c r="Z23" s="407" t="s">
        <v>84</v>
      </c>
      <c r="AA23" s="408" t="s">
        <v>1347</v>
      </c>
      <c r="AB23" s="408" t="s">
        <v>134</v>
      </c>
      <c r="AC23" s="408" t="s">
        <v>1348</v>
      </c>
      <c r="AD23" s="408" t="s">
        <v>44</v>
      </c>
      <c r="AE23" s="409" t="s">
        <v>1349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410" t="s">
        <v>98</v>
      </c>
      <c r="Z24" s="411">
        <v>397</v>
      </c>
      <c r="AA24" s="412">
        <v>164</v>
      </c>
      <c r="AB24" s="412">
        <v>5</v>
      </c>
      <c r="AC24" s="412">
        <v>228</v>
      </c>
      <c r="AD24" s="412">
        <v>523</v>
      </c>
      <c r="AE24" s="413">
        <v>41</v>
      </c>
    </row>
    <row r="25" spans="1:31" ht="15" customHeight="1" thickTop="1" thickBot="1" x14ac:dyDescent="0.3">
      <c r="A25" s="222" t="s">
        <v>39</v>
      </c>
      <c r="B25" s="223"/>
      <c r="C25" s="251"/>
      <c r="D25" s="252" t="s">
        <v>40</v>
      </c>
      <c r="E25" s="223"/>
      <c r="F25" s="253"/>
      <c r="G25" s="228" t="s">
        <v>41</v>
      </c>
      <c r="H25" s="223"/>
      <c r="I25" s="227"/>
      <c r="J25" s="224" t="s">
        <v>39</v>
      </c>
      <c r="K25" s="225"/>
      <c r="L25" s="254"/>
      <c r="M25" s="255" t="s">
        <v>40</v>
      </c>
      <c r="N25" s="225"/>
      <c r="O25" s="256"/>
      <c r="P25" s="257" t="s">
        <v>41</v>
      </c>
      <c r="Q25" s="225"/>
      <c r="R25" s="258"/>
      <c r="Y25" s="414" t="s">
        <v>5</v>
      </c>
      <c r="Z25" s="415">
        <v>151</v>
      </c>
      <c r="AA25" s="416">
        <v>33</v>
      </c>
      <c r="AB25" s="416">
        <v>1</v>
      </c>
      <c r="AC25" s="416">
        <v>117</v>
      </c>
      <c r="AD25" s="416">
        <v>101</v>
      </c>
      <c r="AE25" s="417">
        <v>22</v>
      </c>
    </row>
    <row r="26" spans="1:31" ht="15" customHeight="1" x14ac:dyDescent="0.25">
      <c r="A26" s="245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6"/>
      <c r="C26" s="39">
        <f ca="1">IFERROR(IF(A26&lt;&gt;"",INDIRECT("priprava_" &amp; A$1 &amp; "!BW27"),""),"")</f>
        <v>6</v>
      </c>
      <c r="D26" s="247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46"/>
      <c r="F26" s="54">
        <f ca="1">IFERROR(IF(D26&lt;&gt;"",INDIRECT("priprava_" &amp; A$1 &amp; "!BW7"),""),"")</f>
        <v>6.42</v>
      </c>
      <c r="G26" s="247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6"/>
      <c r="I26" s="39">
        <f ca="1">IFERROR(IF(G26&lt;&gt;"",INDIRECT("priprava_" &amp; A$1 &amp; "!BW17"),""),"")</f>
        <v>2</v>
      </c>
      <c r="J26" s="248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Malič</v>
      </c>
      <c r="K26" s="249"/>
      <c r="L26" s="40">
        <f ca="1">IFERROR(IF(J26&lt;&gt;"",INDIRECT("priprava_" &amp; J$1 &amp; "!BW27"),""),"")</f>
        <v>6</v>
      </c>
      <c r="M26" s="250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Michajlovič</v>
      </c>
      <c r="N26" s="249"/>
      <c r="O26" s="55">
        <f ca="1">IFERROR(IF(M26&lt;&gt;"",INDIRECT("priprava_" &amp; J$1 &amp; "!BW7"),""),"")</f>
        <v>4.25</v>
      </c>
      <c r="P26" s="250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Michajlovič</v>
      </c>
      <c r="Q26" s="249"/>
      <c r="R26" s="41">
        <f ca="1">IFERROR(IF(P26&lt;&gt;"",INDIRECT("priprava_" &amp; J$1 &amp; "!BW17"),""),"")</f>
        <v>4</v>
      </c>
    </row>
    <row r="27" spans="1:31" ht="15" customHeight="1" x14ac:dyDescent="0.25">
      <c r="A27" s="23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8"/>
      <c r="C27" s="42">
        <f ca="1">IFERROR(IF(A27&lt;&gt;"",INDIRECT("priprava_" &amp; A$1 &amp; "!BW28"),""),"")</f>
        <v>2</v>
      </c>
      <c r="D27" s="23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38"/>
      <c r="F27" s="56">
        <f ca="1">IFERROR(IF(D27&lt;&gt;"",INDIRECT("priprava_" &amp; A$1 &amp; "!BW8"),""),"")</f>
        <v>8.48</v>
      </c>
      <c r="G27" s="24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8"/>
      <c r="I27" s="44">
        <f ca="1">IFERROR(IF(G27&lt;&gt;"",INDIRECT("priprava_" &amp; A$1 &amp; "!BW18"),""),"")</f>
        <v>0</v>
      </c>
      <c r="J27" s="241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Petrák</v>
      </c>
      <c r="K27" s="242"/>
      <c r="L27" s="45">
        <f ca="1">IFERROR(IF(J27&lt;&gt;"",INDIRECT("priprava_" &amp; J$1 &amp; "!BW28"),""),"")</f>
        <v>4</v>
      </c>
      <c r="M27" s="243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Hyršl</v>
      </c>
      <c r="N27" s="242"/>
      <c r="O27" s="57">
        <f ca="1">IFERROR(IF(M27&lt;&gt;"",INDIRECT("priprava_" &amp; J$1 &amp; "!BW8"),""),"")</f>
        <v>5.22</v>
      </c>
      <c r="P27" s="244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Hyršl</v>
      </c>
      <c r="Q27" s="242"/>
      <c r="R27" s="47">
        <f ca="1">IFERROR(IF(P27&lt;&gt;"",INDIRECT("priprava_" &amp; J$1 &amp; "!BW18"),""),"")</f>
        <v>2</v>
      </c>
    </row>
    <row r="28" spans="1:31" ht="15" customHeight="1" x14ac:dyDescent="0.25">
      <c r="A28" s="23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38"/>
      <c r="C28" s="42">
        <f ca="1">IFERROR(IF(A28&lt;&gt;"",INDIRECT("priprava_" &amp; A$1 &amp; "!BW29"),""),"")</f>
        <v>2</v>
      </c>
      <c r="D28" s="23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8"/>
      <c r="F28" s="56" t="str">
        <f ca="1">IFERROR(IF(D28&lt;&gt;"",INDIRECT("priprava_" &amp; A$1 &amp; "!BW9"),""),"")</f>
        <v/>
      </c>
      <c r="G28" s="24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8"/>
      <c r="I28" s="44" t="str">
        <f ca="1">IFERROR(IF(G28&lt;&gt;"",INDIRECT("priprava_" &amp; A$1 &amp; "!BW19"),""),"")</f>
        <v/>
      </c>
      <c r="J28" s="241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Bílek</v>
      </c>
      <c r="K28" s="242"/>
      <c r="L28" s="45">
        <f ca="1">IFERROR(IF(J28&lt;&gt;"",INDIRECT("priprava_" &amp; J$1 &amp; "!BW29"),""),"")</f>
        <v>4</v>
      </c>
      <c r="M28" s="243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42"/>
      <c r="O28" s="57" t="str">
        <f ca="1">IFERROR(IF(M28&lt;&gt;"",INDIRECT("priprava_" &amp; J$1 &amp; "!BW9"),""),"")</f>
        <v/>
      </c>
      <c r="P28" s="244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2"/>
      <c r="R28" s="47" t="str">
        <f ca="1">IFERROR(IF(P28&lt;&gt;"",INDIRECT("priprava_" &amp; J$1 &amp; "!BW19"),""),"")</f>
        <v/>
      </c>
    </row>
    <row r="29" spans="1:31" ht="15" customHeight="1" x14ac:dyDescent="0.25">
      <c r="A29" s="23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38"/>
      <c r="C29" s="42">
        <f ca="1">IFERROR(IF(A29&lt;&gt;"",INDIRECT("priprava_" &amp; A$1 &amp; "!BW30"),""),"")</f>
        <v>2</v>
      </c>
      <c r="D29" s="23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8"/>
      <c r="F29" s="56" t="str">
        <f ca="1">IFERROR(IF(D29&lt;&gt;"",INDIRECT("priprava_" &amp; A$1 &amp; "!BW10"),""),"")</f>
        <v/>
      </c>
      <c r="G29" s="24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8"/>
      <c r="I29" s="44" t="str">
        <f ca="1">IFERROR(IF(G29&lt;&gt;"",INDIRECT("priprava_" &amp; A$1 &amp; "!BW20"),""),"")</f>
        <v/>
      </c>
      <c r="J29" s="241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Forman F.</v>
      </c>
      <c r="K29" s="242"/>
      <c r="L29" s="45">
        <f ca="1">IFERROR(IF(J29&lt;&gt;"",INDIRECT("priprava_" &amp; J$1 &amp; "!BW30"),""),"")</f>
        <v>2</v>
      </c>
      <c r="M29" s="243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2"/>
      <c r="O29" s="57" t="str">
        <f ca="1">IFERROR(IF(M29&lt;&gt;"",INDIRECT("priprava_" &amp; J$1 &amp; "!BW10"),""),"")</f>
        <v/>
      </c>
      <c r="P29" s="244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2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9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60"/>
      <c r="C30" s="48">
        <f ca="1">IFERROR(IF(A30&lt;&gt;"",INDIRECT("priprava_" &amp; A$1 &amp; "!BW31"),""),"")</f>
        <v>2</v>
      </c>
      <c r="D30" s="261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60"/>
      <c r="F30" s="58" t="str">
        <f ca="1">IFERROR(IF(D30&lt;&gt;"",INDIRECT("priprava_" &amp; A$1 &amp; "!BW11"),""),"")</f>
        <v/>
      </c>
      <c r="G30" s="262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60"/>
      <c r="I30" s="50" t="str">
        <f ca="1">IFERROR(IF(G30&lt;&gt;"",INDIRECT("priprava_" &amp; A$1 &amp; "!BW21"),""),"")</f>
        <v/>
      </c>
      <c r="J30" s="263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Buršík</v>
      </c>
      <c r="K30" s="264"/>
      <c r="L30" s="51">
        <f ca="1">IFERROR(IF(J30&lt;&gt;"",INDIRECT("priprava_" &amp; J$1 &amp; "!BW31"),""),"")</f>
        <v>2</v>
      </c>
      <c r="M30" s="265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4"/>
      <c r="O30" s="59" t="str">
        <f ca="1">IFERROR(IF(M30&lt;&gt;"",INDIRECT("priprava_" &amp; J$1 &amp; "!BW11"),""),"")</f>
        <v/>
      </c>
      <c r="P30" s="266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4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91" t="s">
        <v>46</v>
      </c>
      <c r="L32" s="292"/>
      <c r="M32" s="292"/>
      <c r="N32" s="292"/>
      <c r="O32" s="292"/>
      <c r="P32" s="292"/>
      <c r="Q32" s="292"/>
      <c r="R32" s="293"/>
    </row>
    <row r="33" spans="1:18" ht="15" customHeight="1" thickTop="1" thickBot="1" x14ac:dyDescent="0.3">
      <c r="B33" s="314" t="s">
        <v>45</v>
      </c>
      <c r="C33" s="315"/>
      <c r="D33" s="315"/>
      <c r="E33" s="315"/>
      <c r="F33" s="315"/>
      <c r="G33" s="315"/>
      <c r="H33" s="315"/>
      <c r="I33" s="316"/>
      <c r="J33" s="141"/>
      <c r="K33" s="312" t="str">
        <f t="shared" ref="K33:K44" si="6">X3</f>
        <v>SKV - BOH</v>
      </c>
      <c r="L33" s="313"/>
      <c r="M33" s="313"/>
      <c r="N33" s="313"/>
      <c r="O33" s="142" t="str">
        <f t="shared" ref="O33:O44" si="7">AB3</f>
        <v>5:14</v>
      </c>
      <c r="P33" s="325" t="str">
        <f t="shared" ref="P33:P44" si="8">AC3</f>
        <v>2020/2021 (ZČ)</v>
      </c>
      <c r="Q33" s="313"/>
      <c r="R33" s="326"/>
    </row>
    <row r="34" spans="1:18" ht="15" customHeight="1" x14ac:dyDescent="0.25">
      <c r="B34" s="306" t="str">
        <f>$A$1</f>
        <v>SKV</v>
      </c>
      <c r="C34" s="307"/>
      <c r="D34" s="307"/>
      <c r="E34" s="308"/>
      <c r="F34" s="309" t="str">
        <f>$J$1</f>
        <v>BOH</v>
      </c>
      <c r="G34" s="310"/>
      <c r="H34" s="310"/>
      <c r="I34" s="311"/>
      <c r="J34" s="141"/>
      <c r="K34" s="317" t="str">
        <f t="shared" si="6"/>
        <v>BOH - SKV</v>
      </c>
      <c r="L34" s="318"/>
      <c r="M34" s="318"/>
      <c r="N34" s="318"/>
      <c r="O34" s="143" t="str">
        <f t="shared" si="7"/>
        <v>10:4</v>
      </c>
      <c r="P34" s="327" t="str">
        <f t="shared" si="8"/>
        <v>2020/2021 (ZČ)</v>
      </c>
      <c r="Q34" s="318"/>
      <c r="R34" s="328"/>
    </row>
    <row r="35" spans="1:18" ht="15" customHeight="1" x14ac:dyDescent="0.25">
      <c r="B35" s="300" t="s">
        <v>42</v>
      </c>
      <c r="C35" s="301"/>
      <c r="D35" s="277" t="s">
        <v>1353</v>
      </c>
      <c r="E35" s="277"/>
      <c r="F35" s="277"/>
      <c r="G35" s="277"/>
      <c r="H35" s="277"/>
      <c r="I35" s="278"/>
      <c r="J35" s="144"/>
      <c r="K35" s="317" t="str">
        <f t="shared" si="6"/>
        <v>SKV - BOH</v>
      </c>
      <c r="L35" s="318"/>
      <c r="M35" s="318"/>
      <c r="N35" s="318"/>
      <c r="O35" s="143" t="str">
        <f t="shared" si="7"/>
        <v>4:5</v>
      </c>
      <c r="P35" s="327" t="str">
        <f t="shared" si="8"/>
        <v>2019/2020 (ZČ)</v>
      </c>
      <c r="Q35" s="318"/>
      <c r="R35" s="328"/>
    </row>
    <row r="36" spans="1:18" ht="15" customHeight="1" x14ac:dyDescent="0.25">
      <c r="B36" s="302" t="s">
        <v>43</v>
      </c>
      <c r="C36" s="303"/>
      <c r="D36" s="279" t="s">
        <v>1354</v>
      </c>
      <c r="E36" s="279"/>
      <c r="F36" s="279"/>
      <c r="G36" s="279"/>
      <c r="H36" s="279"/>
      <c r="I36" s="280"/>
      <c r="J36" s="144"/>
      <c r="K36" s="269" t="str">
        <f t="shared" si="6"/>
        <v>BOH - SKV</v>
      </c>
      <c r="L36" s="270"/>
      <c r="M36" s="270"/>
      <c r="N36" s="270"/>
      <c r="O36" s="145" t="str">
        <f t="shared" si="7"/>
        <v>9:3</v>
      </c>
      <c r="P36" s="271" t="str">
        <f t="shared" si="8"/>
        <v>2019/2020 (ZČ)</v>
      </c>
      <c r="Q36" s="270"/>
      <c r="R36" s="272"/>
    </row>
    <row r="37" spans="1:18" ht="15" customHeight="1" x14ac:dyDescent="0.25">
      <c r="B37" s="300" t="s">
        <v>1345</v>
      </c>
      <c r="C37" s="301"/>
      <c r="D37" s="277" t="s">
        <v>1355</v>
      </c>
      <c r="E37" s="277"/>
      <c r="F37" s="277"/>
      <c r="G37" s="277"/>
      <c r="H37" s="277"/>
      <c r="I37" s="278"/>
      <c r="J37" s="144"/>
      <c r="K37" s="269" t="str">
        <f t="shared" si="6"/>
        <v>SKV - BOH</v>
      </c>
      <c r="L37" s="270"/>
      <c r="M37" s="270"/>
      <c r="N37" s="270"/>
      <c r="O37" s="145" t="str">
        <f t="shared" si="7"/>
        <v>7:8</v>
      </c>
      <c r="P37" s="271" t="str">
        <f t="shared" si="8"/>
        <v>2018/2019 (ZČ)</v>
      </c>
      <c r="Q37" s="270"/>
      <c r="R37" s="272"/>
    </row>
    <row r="38" spans="1:18" ht="15" customHeight="1" x14ac:dyDescent="0.25">
      <c r="B38" s="302"/>
      <c r="C38" s="303"/>
      <c r="D38" s="279"/>
      <c r="E38" s="279"/>
      <c r="F38" s="279"/>
      <c r="G38" s="279"/>
      <c r="H38" s="279"/>
      <c r="I38" s="280"/>
      <c r="J38" s="146"/>
      <c r="K38" s="273" t="str">
        <f t="shared" si="6"/>
        <v>BOH - SKV</v>
      </c>
      <c r="L38" s="274"/>
      <c r="M38" s="274"/>
      <c r="N38" s="274"/>
      <c r="O38" s="147" t="str">
        <f t="shared" si="7"/>
        <v>6:2</v>
      </c>
      <c r="P38" s="275" t="str">
        <f t="shared" si="8"/>
        <v>2018/2019 (ZČ)</v>
      </c>
      <c r="Q38" s="274"/>
      <c r="R38" s="276"/>
    </row>
    <row r="39" spans="1:18" ht="15" customHeight="1" x14ac:dyDescent="0.25">
      <c r="B39" s="300"/>
      <c r="C39" s="301"/>
      <c r="D39" s="277"/>
      <c r="E39" s="277"/>
      <c r="F39" s="277"/>
      <c r="G39" s="277"/>
      <c r="H39" s="277"/>
      <c r="I39" s="278"/>
      <c r="J39" s="146"/>
      <c r="K39" s="269" t="str">
        <f t="shared" si="6"/>
        <v>BOH - SKV</v>
      </c>
      <c r="L39" s="270"/>
      <c r="M39" s="270"/>
      <c r="N39" s="270"/>
      <c r="O39" s="145" t="str">
        <f t="shared" si="7"/>
        <v>7:2</v>
      </c>
      <c r="P39" s="271" t="str">
        <f t="shared" si="8"/>
        <v>2015/2016 (ZČ)</v>
      </c>
      <c r="Q39" s="270"/>
      <c r="R39" s="272"/>
    </row>
    <row r="40" spans="1:18" ht="15" customHeight="1" x14ac:dyDescent="0.25">
      <c r="B40" s="302"/>
      <c r="C40" s="303"/>
      <c r="D40" s="279"/>
      <c r="E40" s="279"/>
      <c r="F40" s="279"/>
      <c r="G40" s="279"/>
      <c r="H40" s="279"/>
      <c r="I40" s="280"/>
      <c r="J40" s="144"/>
      <c r="K40" s="269" t="str">
        <f t="shared" si="6"/>
        <v>SKV - BOH</v>
      </c>
      <c r="L40" s="270"/>
      <c r="M40" s="270"/>
      <c r="N40" s="270"/>
      <c r="O40" s="145" t="str">
        <f t="shared" si="7"/>
        <v>10:13</v>
      </c>
      <c r="P40" s="271" t="str">
        <f t="shared" si="8"/>
        <v>2015/2016 (ZČ)</v>
      </c>
      <c r="Q40" s="270"/>
      <c r="R40" s="272"/>
    </row>
    <row r="41" spans="1:18" ht="15" customHeight="1" x14ac:dyDescent="0.25">
      <c r="B41" s="300"/>
      <c r="C41" s="301"/>
      <c r="D41" s="277"/>
      <c r="E41" s="277"/>
      <c r="F41" s="277"/>
      <c r="G41" s="277"/>
      <c r="H41" s="277"/>
      <c r="I41" s="278"/>
      <c r="J41" s="144"/>
      <c r="K41" s="273" t="str">
        <f t="shared" si="6"/>
        <v>SKV - BOH</v>
      </c>
      <c r="L41" s="274"/>
      <c r="M41" s="274"/>
      <c r="N41" s="274"/>
      <c r="O41" s="147" t="str">
        <f t="shared" si="7"/>
        <v>6:7</v>
      </c>
      <c r="P41" s="275" t="str">
        <f t="shared" si="8"/>
        <v>2014/2015 (ZČ)</v>
      </c>
      <c r="Q41" s="274"/>
      <c r="R41" s="276"/>
    </row>
    <row r="42" spans="1:18" ht="15" customHeight="1" thickBot="1" x14ac:dyDescent="0.3">
      <c r="B42" s="304"/>
      <c r="C42" s="305"/>
      <c r="D42" s="281"/>
      <c r="E42" s="281"/>
      <c r="F42" s="281"/>
      <c r="G42" s="281"/>
      <c r="H42" s="281"/>
      <c r="I42" s="282"/>
      <c r="J42" s="144"/>
      <c r="K42" s="269" t="str">
        <f t="shared" si="6"/>
        <v>BOH - SKV</v>
      </c>
      <c r="L42" s="270"/>
      <c r="M42" s="270"/>
      <c r="N42" s="270"/>
      <c r="O42" s="145" t="str">
        <f t="shared" si="7"/>
        <v>7:6</v>
      </c>
      <c r="P42" s="271" t="str">
        <f t="shared" si="8"/>
        <v>2014/2015 (ZČ)</v>
      </c>
      <c r="Q42" s="270"/>
      <c r="R42" s="272"/>
    </row>
    <row r="43" spans="1:18" ht="15" customHeight="1" thickTop="1" thickBot="1" x14ac:dyDescent="0.3">
      <c r="I43" s="144"/>
      <c r="J43" s="144"/>
      <c r="K43" s="269" t="str">
        <f t="shared" si="6"/>
        <v>SKV - BOH</v>
      </c>
      <c r="L43" s="270"/>
      <c r="M43" s="270"/>
      <c r="N43" s="270"/>
      <c r="O43" s="145" t="str">
        <f t="shared" si="7"/>
        <v>6:7</v>
      </c>
      <c r="P43" s="271" t="str">
        <f t="shared" si="8"/>
        <v>2006/2007 (PD)</v>
      </c>
      <c r="Q43" s="270"/>
      <c r="R43" s="272"/>
    </row>
    <row r="44" spans="1:18" ht="15" customHeight="1" thickTop="1" thickBot="1" x14ac:dyDescent="0.3">
      <c r="B44" s="283" t="s">
        <v>1346</v>
      </c>
      <c r="C44" s="284"/>
      <c r="D44" s="284"/>
      <c r="E44" s="284"/>
      <c r="F44" s="284"/>
      <c r="G44" s="284"/>
      <c r="H44" s="284"/>
      <c r="I44" s="285"/>
      <c r="J44" s="144"/>
      <c r="K44" s="269" t="str">
        <f t="shared" si="6"/>
        <v>SKV - BOH</v>
      </c>
      <c r="L44" s="270"/>
      <c r="M44" s="270"/>
      <c r="N44" s="270"/>
      <c r="O44" s="145" t="str">
        <f t="shared" si="7"/>
        <v>5:6</v>
      </c>
      <c r="P44" s="271" t="str">
        <f t="shared" si="8"/>
        <v>2006/2007 (PD)</v>
      </c>
      <c r="Q44" s="270"/>
      <c r="R44" s="272"/>
    </row>
    <row r="45" spans="1:18" ht="15" customHeight="1" thickBot="1" x14ac:dyDescent="0.3">
      <c r="A45" s="144"/>
      <c r="B45" s="389" t="s">
        <v>92</v>
      </c>
      <c r="C45" s="395"/>
      <c r="D45" s="392" t="s">
        <v>84</v>
      </c>
      <c r="E45" s="390" t="s">
        <v>1347</v>
      </c>
      <c r="F45" s="390" t="s">
        <v>134</v>
      </c>
      <c r="G45" s="390" t="s">
        <v>1348</v>
      </c>
      <c r="H45" s="390" t="s">
        <v>44</v>
      </c>
      <c r="I45" s="391" t="s">
        <v>1349</v>
      </c>
      <c r="J45" s="144"/>
      <c r="K45" s="269" t="str">
        <f t="shared" ref="K45:K48" si="9">X15</f>
        <v>BOH - SKV</v>
      </c>
      <c r="L45" s="270"/>
      <c r="M45" s="270"/>
      <c r="N45" s="270"/>
      <c r="O45" s="145" t="str">
        <f t="shared" ref="O45:P45" si="10">AB15</f>
        <v>4:6</v>
      </c>
      <c r="P45" s="271" t="str">
        <f t="shared" si="10"/>
        <v>2006/2007 (PD)</v>
      </c>
      <c r="Q45" s="270"/>
      <c r="R45" s="272"/>
    </row>
    <row r="46" spans="1:18" ht="15" customHeight="1" x14ac:dyDescent="0.25">
      <c r="A46" s="140"/>
      <c r="B46" s="386" t="str">
        <f>$A$1</f>
        <v>SKV</v>
      </c>
      <c r="C46" s="396"/>
      <c r="D46" s="393">
        <f>VLOOKUP($B46,$Y$24:$AE$25,2,FALSE)</f>
        <v>151</v>
      </c>
      <c r="E46" s="387">
        <f>VLOOKUP($B46,$Y$24:$AE$25,3,FALSE)</f>
        <v>33</v>
      </c>
      <c r="F46" s="388">
        <f>VLOOKUP($B46,$Y$24:$AE$25,4,FALSE)</f>
        <v>1</v>
      </c>
      <c r="G46" s="388">
        <f>VLOOKUP($B46,$Y$24:$AE$25,5,FALSE)</f>
        <v>117</v>
      </c>
      <c r="H46" s="388">
        <f>VLOOKUP($B46,$Y$24:$AE$25,6,FALSE)</f>
        <v>101</v>
      </c>
      <c r="I46" s="398">
        <f>VLOOKUP($B46,$Y$24:$AE$25,7,FALSE)</f>
        <v>22</v>
      </c>
      <c r="J46" s="144"/>
      <c r="K46" s="269" t="str">
        <f t="shared" si="9"/>
        <v>BOH - SKV</v>
      </c>
      <c r="L46" s="270"/>
      <c r="M46" s="270"/>
      <c r="N46" s="270"/>
      <c r="O46" s="145" t="str">
        <f t="shared" ref="O46:P46" si="11">AB16</f>
        <v>5:4</v>
      </c>
      <c r="P46" s="271" t="str">
        <f t="shared" si="11"/>
        <v>2006/2007 (PD)</v>
      </c>
      <c r="Q46" s="270"/>
      <c r="R46" s="272"/>
    </row>
    <row r="47" spans="1:18" ht="15" customHeight="1" thickBot="1" x14ac:dyDescent="0.3">
      <c r="A47" s="140"/>
      <c r="B47" s="383" t="str">
        <f>$J$1</f>
        <v>BOH</v>
      </c>
      <c r="C47" s="397"/>
      <c r="D47" s="394">
        <f>VLOOKUP($B47,$Y$24:$AE$25,2,FALSE)</f>
        <v>397</v>
      </c>
      <c r="E47" s="384">
        <f>VLOOKUP($B47,$Y$24:$AE$25,3,FALSE)</f>
        <v>164</v>
      </c>
      <c r="F47" s="385">
        <f>VLOOKUP($B47,$Y$24:$AE$25,4,FALSE)</f>
        <v>5</v>
      </c>
      <c r="G47" s="385">
        <f>VLOOKUP($B47,$Y$24:$AE$25,5,FALSE)</f>
        <v>228</v>
      </c>
      <c r="H47" s="385">
        <f>VLOOKUP($B47,$Y$24:$AE$25,6,FALSE)</f>
        <v>523</v>
      </c>
      <c r="I47" s="399">
        <f>VLOOKUP($B47,$Y$24:$AE$25,7,FALSE)</f>
        <v>41</v>
      </c>
      <c r="J47" s="144"/>
      <c r="K47" s="269" t="str">
        <f t="shared" si="9"/>
        <v>BOH - SKV</v>
      </c>
      <c r="L47" s="270"/>
      <c r="M47" s="270"/>
      <c r="N47" s="270"/>
      <c r="O47" s="145" t="str">
        <f t="shared" ref="O47:P47" si="12">AB17</f>
        <v>6:5p</v>
      </c>
      <c r="P47" s="271" t="str">
        <f t="shared" si="12"/>
        <v>2006/2007 (ZČ)</v>
      </c>
      <c r="Q47" s="270"/>
      <c r="R47" s="272"/>
    </row>
    <row r="48" spans="1:18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9" t="str">
        <f t="shared" si="9"/>
        <v>SKV - BOH</v>
      </c>
      <c r="L48" s="320"/>
      <c r="M48" s="320"/>
      <c r="N48" s="320"/>
      <c r="O48" s="149" t="str">
        <f t="shared" ref="O48:P48" si="13">AB18</f>
        <v>2:7</v>
      </c>
      <c r="P48" s="321" t="str">
        <f t="shared" si="13"/>
        <v>2006/2007 (ZČ)</v>
      </c>
      <c r="Q48" s="320"/>
      <c r="R48" s="322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7">
        <f ca="1">TODAY()</f>
        <v>44479</v>
      </c>
      <c r="H50" s="268"/>
      <c r="I50" s="268"/>
      <c r="J50" s="268"/>
      <c r="K50" s="268"/>
      <c r="L50" s="268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8">
    <mergeCell ref="B46:C46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D36:I36"/>
    <mergeCell ref="D37:I37"/>
    <mergeCell ref="D38:I3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67" priority="29" stopIfTrue="1" operator="equal">
      <formula>"OTR"</formula>
    </cfRule>
  </conditionalFormatting>
  <conditionalFormatting sqref="A1:R2 B34 F34">
    <cfRule type="cellIs" dxfId="866" priority="30" stopIfTrue="1" operator="equal">
      <formula>"PAR"</formula>
    </cfRule>
    <cfRule type="cellIs" dxfId="865" priority="31" stopIfTrue="1" operator="equal">
      <formula>"CLP"</formula>
    </cfRule>
    <cfRule type="cellIs" dxfId="864" priority="32" stopIfTrue="1" operator="equal">
      <formula>"HAT"</formula>
    </cfRule>
    <cfRule type="cellIs" dxfId="863" priority="33" stopIfTrue="1" operator="equal">
      <formula>"LIB"</formula>
    </cfRule>
    <cfRule type="cellIs" dxfId="862" priority="34" stopIfTrue="1" operator="equal">
      <formula>"BA"</formula>
    </cfRule>
    <cfRule type="cellIs" dxfId="861" priority="35" stopIfTrue="1" operator="equal">
      <formula>"SPA"</formula>
    </cfRule>
    <cfRule type="cellIs" dxfId="860" priority="36" stopIfTrue="1" operator="equal">
      <formula>"OST"</formula>
    </cfRule>
    <cfRule type="cellIs" dxfId="859" priority="37" stopIfTrue="1" operator="equal">
      <formula>"BOH"</formula>
    </cfRule>
    <cfRule type="cellIs" dxfId="858" priority="38" stopIfTrue="1" operator="equal">
      <formula>"TAT"</formula>
    </cfRule>
    <cfRule type="cellIs" dxfId="857" priority="39" stopIfTrue="1" operator="equal">
      <formula>"MB"</formula>
    </cfRule>
    <cfRule type="cellIs" dxfId="856" priority="40" stopIfTrue="1" operator="equal">
      <formula>"VIT"</formula>
    </cfRule>
    <cfRule type="cellIs" dxfId="855" priority="41" stopIfTrue="1" operator="equal">
      <formula>"CHO"</formula>
    </cfRule>
    <cfRule type="cellIs" dxfId="854" priority="42" stopIfTrue="1" operator="equal">
      <formula>"SKV"</formula>
    </cfRule>
  </conditionalFormatting>
  <conditionalFormatting sqref="K33:R48">
    <cfRule type="expression" dxfId="853" priority="28">
      <formula>AND($K33&lt;&gt;"", MOD(ROW($K33),2)=0)</formula>
    </cfRule>
  </conditionalFormatting>
  <conditionalFormatting sqref="B35:I42">
    <cfRule type="expression" dxfId="852" priority="111">
      <formula>AND($B35&lt;&gt;"",MOD(ROW($B35),2)=0)</formula>
    </cfRule>
  </conditionalFormatting>
  <conditionalFormatting sqref="B46:B47">
    <cfRule type="cellIs" dxfId="851" priority="14" stopIfTrue="1" operator="equal">
      <formula>"PAR"</formula>
    </cfRule>
    <cfRule type="cellIs" dxfId="850" priority="15" stopIfTrue="1" operator="equal">
      <formula>"CLP"</formula>
    </cfRule>
    <cfRule type="cellIs" dxfId="849" priority="16" stopIfTrue="1" operator="equal">
      <formula>"HAT"</formula>
    </cfRule>
    <cfRule type="cellIs" dxfId="848" priority="17" stopIfTrue="1" operator="equal">
      <formula>"LIB"</formula>
    </cfRule>
    <cfRule type="cellIs" dxfId="847" priority="18" stopIfTrue="1" operator="equal">
      <formula>"BA"</formula>
    </cfRule>
    <cfRule type="cellIs" dxfId="846" priority="19" stopIfTrue="1" operator="equal">
      <formula>"SPA"</formula>
    </cfRule>
    <cfRule type="cellIs" dxfId="845" priority="20" stopIfTrue="1" operator="equal">
      <formula>"OST"</formula>
    </cfRule>
    <cfRule type="cellIs" dxfId="844" priority="21" stopIfTrue="1" operator="equal">
      <formula>"BOH"</formula>
    </cfRule>
    <cfRule type="cellIs" dxfId="843" priority="22" stopIfTrue="1" operator="equal">
      <formula>"TAT"</formula>
    </cfRule>
    <cfRule type="cellIs" dxfId="842" priority="23" stopIfTrue="1" operator="equal">
      <formula>"MB"</formula>
    </cfRule>
    <cfRule type="cellIs" dxfId="841" priority="24" stopIfTrue="1" operator="equal">
      <formula>"VIT"</formula>
    </cfRule>
    <cfRule type="cellIs" dxfId="840" priority="25" stopIfTrue="1" operator="equal">
      <formula>"CHO"</formula>
    </cfRule>
    <cfRule type="cellIs" dxfId="839" priority="26" stopIfTrue="1" operator="equal">
      <formula>"SKV"</formula>
    </cfRule>
  </conditionalFormatting>
  <conditionalFormatting sqref="Y24:Y25">
    <cfRule type="cellIs" dxfId="12" priority="1" stopIfTrue="1" operator="equal">
      <formula>"PAR"</formula>
    </cfRule>
    <cfRule type="cellIs" dxfId="11" priority="2" stopIfTrue="1" operator="equal">
      <formula>"CLP"</formula>
    </cfRule>
    <cfRule type="cellIs" dxfId="10" priority="3" stopIfTrue="1" operator="equal">
      <formula>"HAT"</formula>
    </cfRule>
    <cfRule type="cellIs" dxfId="9" priority="4" stopIfTrue="1" operator="equal">
      <formula>"LIB"</formula>
    </cfRule>
    <cfRule type="cellIs" dxfId="8" priority="5" stopIfTrue="1" operator="equal">
      <formula>"BA"</formula>
    </cfRule>
    <cfRule type="cellIs" dxfId="7" priority="6" stopIfTrue="1" operator="equal">
      <formula>"SPA"</formula>
    </cfRule>
    <cfRule type="cellIs" dxfId="6" priority="7" stopIfTrue="1" operator="equal">
      <formula>"OST"</formula>
    </cfRule>
    <cfRule type="cellIs" dxfId="5" priority="8" stopIfTrue="1" operator="equal">
      <formula>"BOH"</formula>
    </cfRule>
    <cfRule type="cellIs" dxfId="4" priority="9" stopIfTrue="1" operator="equal">
      <formula>"TAT"</formula>
    </cfRule>
    <cfRule type="cellIs" dxfId="3" priority="10" stopIfTrue="1" operator="equal">
      <formula>"MB"</formula>
    </cfRule>
    <cfRule type="cellIs" dxfId="2" priority="11" stopIfTrue="1" operator="equal">
      <formula>"VIT"</formula>
    </cfRule>
    <cfRule type="cellIs" dxfId="1" priority="12" stopIfTrue="1" operator="equal">
      <formula>"CHO"</formula>
    </cfRule>
    <cfRule type="cellIs" dxfId="0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29" t="str">
        <f>prehled!A1</f>
        <v>SKV</v>
      </c>
      <c r="B1" s="329"/>
      <c r="C1" s="329"/>
      <c r="D1" s="329"/>
      <c r="E1" s="329"/>
      <c r="F1" s="329"/>
      <c r="G1" s="329" t="str">
        <f>prehled!J1</f>
        <v>BOH</v>
      </c>
      <c r="H1" s="329"/>
      <c r="I1" s="329"/>
      <c r="J1" s="329"/>
      <c r="K1" s="329"/>
      <c r="L1" s="329"/>
    </row>
    <row r="2" spans="1:12" x14ac:dyDescent="0.25">
      <c r="A2" s="329"/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</row>
    <row r="3" spans="1:12" s="153" customFormat="1" ht="19.5" x14ac:dyDescent="0.25">
      <c r="A3" s="330" t="s">
        <v>92</v>
      </c>
      <c r="B3" s="330"/>
      <c r="C3" s="330"/>
      <c r="D3" s="330"/>
      <c r="E3" s="330"/>
      <c r="F3" s="330"/>
      <c r="G3" s="330" t="s">
        <v>92</v>
      </c>
      <c r="H3" s="330"/>
      <c r="I3" s="330"/>
      <c r="J3" s="330"/>
      <c r="K3" s="330"/>
      <c r="L3" s="330"/>
    </row>
    <row r="4" spans="1:12" ht="14.25" customHeight="1" x14ac:dyDescent="0.25">
      <c r="A4" s="329" t="str">
        <f>A1</f>
        <v>SKV</v>
      </c>
      <c r="B4" s="189" t="str">
        <f ca="1">IF($A$4&lt;&gt;0,IFERROR(INDEX(zajimavosti_tymy!B:B,MATCH(prehled!$A$3,OFFSET(zajimavosti_tymy!$A$2,,,(COUNTA(zajimavosti_tymy!$A:$A)-1)*3),0)+1),""),"")</f>
        <v>proti CLP první výhra od 30. 1.</v>
      </c>
      <c r="C4" s="190" t="str">
        <f ca="1">IF($A$4&lt;&gt;0,IFERROR(INDEX(zajimavosti_tymy!C:C,MATCH(prehled!$A$3,OFFSET(zajimavosti_tymy!$A$2,,,(COUNTA(zajimavosti_tymy!$A:$A)-1)*3),0)+1),""),"")</f>
        <v>proti CLP 5 využitých PP ze 6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 t="str">
        <f ca="1">IF($A$4&lt;&gt;0,IFERROR(INDEX(zajimavosti_tymy!F:F,MATCH(prehled!$A$3,OFFSET(zajimavosti_tymy!$A$2,,,(COUNTA(zajimavosti_tymy!$A:$A)-1)*3),0)+1),""),"")</f>
        <v>jediná účast v PO (19/20)</v>
      </c>
      <c r="G4" s="329" t="str">
        <f>G1</f>
        <v>BOH</v>
      </c>
      <c r="H4" s="189" t="str">
        <f ca="1">IF($G$4&lt;&gt;0,IFERROR(INDEX(zajimavosti_tymy!B:B,MATCH(prehled!$J$3,OFFSET(zajimavosti_tymy!$A$2,,,(COUNTA(zajimavosti_tymy!$A:$A)-1)*3),0)+1),""),"")</f>
        <v/>
      </c>
      <c r="I4" s="190" t="str">
        <f ca="1">IF($G$4&lt;&gt;0,IFERROR(INDEX(zajimavosti_tymy!C:C,MATCH(prehled!$J$3,OFFSET(zajimavosti_tymy!$A$2,,,(COUNTA(zajimavosti_tymy!$A:$A)-1)*3),0)+1),""),"")</f>
        <v/>
      </c>
      <c r="J4" s="190" t="str">
        <f ca="1">IF($G$4&lt;&gt;0,IFERROR(INDEX(zajimavosti_tymy!D:D,MATCH(prehled!$J$3,OFFSET(zajimavosti_tymy!$A$2,,,(COUNTA(zajimavosti_tymy!$A:$A)-1)*3),0)+1),""),"")</f>
        <v/>
      </c>
      <c r="K4" s="190" t="str">
        <f ca="1">IF($G$4&lt;&gt;0,IFERROR(INDEX(zajimavosti_tymy!E:E,MATCH(prehled!$J$3,OFFSET(zajimavosti_tymy!$A$2,,,(COUNTA(zajimavosti_tymy!$A:$A)-1)*3),0)+1),""),"")</f>
        <v/>
      </c>
      <c r="L4" s="191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329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29"/>
      <c r="H5" s="189" t="str">
        <f ca="1">IF($G$4&lt;&gt;0,IFERROR(INDEX(zajimavosti_tymy!B:B,MATCH(prehled!$J$3,OFFSET(zajimavosti_tymy!$A$2,,,(COUNTA(zajimavosti_tymy!$A:$A)-1)*3),0)+2),""),"")</f>
        <v/>
      </c>
      <c r="I5" s="190" t="str">
        <f ca="1">IF($G$4&lt;&gt;0,IFERROR(INDEX(zajimavosti_tymy!C:C,MATCH(prehled!$J$3,OFFSET(zajimavosti_tymy!$A$2,,,(COUNTA(zajimavosti_tymy!$A:$A)-1)*3),0)+2),""),"")</f>
        <v/>
      </c>
      <c r="J5" s="190" t="str">
        <f ca="1">IF($G$4&lt;&gt;0,IFERROR(INDEX(zajimavosti_tymy!D:D,MATCH(prehled!$J$3,OFFSET(zajimavosti_tymy!$A$2,,,(COUNTA(zajimavosti_tymy!$A:$A)-1)*3),0)+2),""),"")</f>
        <v/>
      </c>
      <c r="K5" s="190" t="str">
        <f ca="1">IF($G$4&lt;&gt;0,IFERROR(INDEX(zajimavosti_tymy!E:E,MATCH(prehled!$J$3,OFFSET(zajimavosti_tymy!$A$2,,,(COUNTA(zajimavosti_tymy!$A:$A)-1)*3),0)+2),""),"")</f>
        <v/>
      </c>
      <c r="L5" s="191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329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29"/>
      <c r="H6" s="189" t="str">
        <f ca="1">IF($G$4&lt;&gt;0,IFERROR(INDEX(zajimavosti_tymy!B:B,MATCH(prehled!$J$3,OFFSET(zajimavosti_tymy!$A$2,,,(COUNTA(zajimavosti_tymy!$A:$A)-1)*3),0)+3),""),"")</f>
        <v/>
      </c>
      <c r="I6" s="190" t="str">
        <f ca="1">IF($G$4&lt;&gt;0,IFERROR(INDEX(zajimavosti_tymy!C:C,MATCH(prehled!$J$3,OFFSET(zajimavosti_tymy!$A$2,,,(COUNTA(zajimavosti_tymy!$A:$A)-1)*3),0)+3),""),"")</f>
        <v/>
      </c>
      <c r="J6" s="190" t="str">
        <f ca="1">IF($G$4&lt;&gt;0,IFERROR(INDEX(zajimavosti_tymy!D:D,MATCH(prehled!$J$3,OFFSET(zajimavosti_tymy!$A$2,,,(COUNTA(zajimavosti_tymy!$A:$A)-1)*3),0)+3),""),"")</f>
        <v/>
      </c>
      <c r="K6" s="190" t="str">
        <f ca="1">IF($G$4&lt;&gt;0,IFERROR(INDEX(zajimavosti_tymy!E:E,MATCH(prehled!$J$3,OFFSET(zajimavosti_tymy!$A$2,,,(COUNTA(zajimavosti_tymy!$A:$A)-1)*3),0)+3),""),"")</f>
        <v/>
      </c>
      <c r="L6" s="191" t="str">
        <f ca="1">IF($G$4&lt;&gt;0,IFERROR(INDEX(zajimavosti_tymy!F:F,MATCH(prehled!$J$3,OFFSET(zajimavosti_tymy!$A$2,,,(COUNTA(zajimavosti_tymy!$A:$A)-1)*3),0)+3),""),"")</f>
        <v/>
      </c>
    </row>
    <row r="7" spans="1:12" s="153" customFormat="1" ht="19.5" x14ac:dyDescent="0.25">
      <c r="A7" s="330" t="s">
        <v>836</v>
      </c>
      <c r="B7" s="330"/>
      <c r="C7" s="330"/>
      <c r="D7" s="330"/>
      <c r="E7" s="330"/>
      <c r="F7" s="330"/>
      <c r="G7" s="330" t="s">
        <v>836</v>
      </c>
      <c r="H7" s="330"/>
      <c r="I7" s="330"/>
      <c r="J7" s="330"/>
      <c r="K7" s="330"/>
      <c r="L7" s="330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/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/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92" t="str">
        <f ca="1">IF(INDIRECT("priprava_" &amp; A$1 &amp; "!G3")&lt;&gt;0,INDIRECT("priprava_" &amp; A$1 &amp; "!G3"),"")</f>
        <v>Zbyněk Stuchlík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9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9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/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92" t="str">
        <f ca="1">IF(INDIRECT("priprava_" &amp; A$1 &amp; "!A6")&lt;&gt;0,INDIRECT("priprava_" &amp; A$1 &amp; "!A6"),"")</f>
        <v>Oliver Gold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190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/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92" t="str">
        <f ca="1">IF(INDIRECT("priprava_" &amp; A$1 &amp; "!M6")&lt;&gt;0,INDIRECT("priprava_" &amp; A$1 &amp; "!M6"),"")</f>
        <v>Ondřej Stuchlík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190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190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190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/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/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92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/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92" t="str">
        <f ca="1">IF(INDIRECT("priprava_" &amp; A$1 &amp; "!G14")&lt;&gt;0,INDIRECT("priprava_" &amp; A$1 &amp; "!G14"),"")</f>
        <v>Pavel Hájek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5" s="190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/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92" t="str">
        <f ca="1">IF(INDIRECT("priprava_" &amp; A$1 &amp; "!A17")&lt;&gt;0,INDIRECT("priprava_" &amp; A$1 &amp; "!A17"),"")</f>
        <v>Štěpán Čuda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6" s="190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/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92" t="str">
        <f ca="1">IF(INDIRECT("priprava_" &amp; A$1 &amp; "!M17")&lt;&gt;0,INDIRECT("priprava_" &amp; A$1 &amp; "!M17"),"")</f>
        <v>David Ježek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90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91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92" t="str">
        <f ca="1">IF(INDIRECT("priprava_" &amp; G$1 &amp; "!M17")&lt;&gt;0,INDIRECT("priprava_" &amp; G$1 &amp; "!M17"),"")</f>
        <v/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92" t="str">
        <f ca="1">IF(INDIRECT("priprava_" &amp; A$1 &amp; "!A23")&lt;&gt;0,INDIRECT("priprava_" &amp; A$1 &amp; "!A23"),"")</f>
        <v>Štepán Švejda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/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92" t="str">
        <f ca="1">IF(INDIRECT("priprava_" &amp; A$1 &amp; "!M23")&lt;&gt;0,INDIRECT("priprava_" &amp; A$1 &amp; "!M23"),"")</f>
        <v>Jan Pinkas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190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/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92" t="str">
        <f ca="1">IF(INDIRECT("priprava_" &amp; A$1 &amp; "!G25")&lt;&gt;0,INDIRECT("priprava_" &amp; A$1 &amp; "!G25"),"")</f>
        <v>Ivan Pergler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/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92" t="str">
        <f ca="1">IF(INDIRECT("priprava_" &amp; A$1 &amp; "!A28")&lt;&gt;0,INDIRECT("priprava_" &amp; A$1 &amp; "!A28"),"")</f>
        <v>Lukáš Lanc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19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92" t="str">
        <f ca="1">IF(INDIRECT("priprava_" &amp; G$1 &amp; "!A28")&lt;&gt;0,INDIRECT("priprava_" &amp; G$1 &amp; "!A28"),"")</f>
        <v/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92" t="str">
        <f ca="1">IF(INDIRECT("priprava_" &amp; A$1 &amp; "!M28")&lt;&gt;0,INDIRECT("priprava_" &amp; A$1 &amp; "!M28"),"")</f>
        <v>Petr Hartman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19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9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92" t="str">
        <f ca="1">IF(INDIRECT("priprava_" &amp; G$1 &amp; "!M28")&lt;&gt;0,INDIRECT("priprava_" &amp; G$1 &amp; "!M28"),"")</f>
        <v/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92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92" t="str">
        <f ca="1">IF(INDIRECT("priprava_" &amp; G$1 &amp; "!J34")&lt;&gt;0,INDIRECT("priprava_" &amp; G$1 &amp; "!J34"),"")</f>
        <v/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/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92" t="str">
        <f ca="1">IF(INDIRECT("priprava_" &amp; A$1 &amp; "!J42")&lt;&gt;0,INDIRECT("priprava_" &amp; A$1 &amp; "!J42"),"")</f>
        <v>Milan Bína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90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91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92" t="str">
        <f ca="1">IF(INDIRECT("priprava_" &amp; G$1 &amp; "!J42")&lt;&gt;0,INDIRECT("priprava_" &amp; G$1 &amp; "!J42"),"")</f>
        <v/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92" t="str">
        <f ca="1">IF(INDIRECT("priprava_" &amp; G$1 &amp; "!A34")&lt;&gt;0,INDIRECT("priprava_" &amp; G$1 &amp; "!A34"),"")</f>
        <v/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92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92" t="str">
        <f ca="1">IF(INDIRECT("priprava_" &amp; G$1 &amp; "!A40")&lt;&gt;0,INDIRECT("priprava_" &amp; G$1 &amp; "!A40"),"")</f>
        <v/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30" t="s">
        <v>837</v>
      </c>
      <c r="B28" s="330"/>
      <c r="C28" s="330"/>
      <c r="D28" s="330"/>
      <c r="E28" s="330"/>
      <c r="F28" s="330"/>
      <c r="G28" s="330" t="s">
        <v>837</v>
      </c>
      <c r="H28" s="330"/>
      <c r="I28" s="330"/>
      <c r="J28" s="330"/>
      <c r="K28" s="330"/>
      <c r="L28" s="330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/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/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/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38" priority="70" stopIfTrue="1" operator="equal">
      <formula>"OTR"</formula>
    </cfRule>
  </conditionalFormatting>
  <conditionalFormatting sqref="A1:F2">
    <cfRule type="cellIs" dxfId="837" priority="71" stopIfTrue="1" operator="equal">
      <formula>"PAR"</formula>
    </cfRule>
    <cfRule type="cellIs" dxfId="836" priority="72" stopIfTrue="1" operator="equal">
      <formula>"CLP"</formula>
    </cfRule>
    <cfRule type="cellIs" dxfId="835" priority="73" stopIfTrue="1" operator="equal">
      <formula>"HAT"</formula>
    </cfRule>
    <cfRule type="cellIs" dxfId="834" priority="74" stopIfTrue="1" operator="equal">
      <formula>"LIB"</formula>
    </cfRule>
    <cfRule type="cellIs" dxfId="833" priority="75" stopIfTrue="1" operator="equal">
      <formula>"BA"</formula>
    </cfRule>
    <cfRule type="cellIs" dxfId="832" priority="76" stopIfTrue="1" operator="equal">
      <formula>"SPA"</formula>
    </cfRule>
    <cfRule type="cellIs" dxfId="831" priority="77" stopIfTrue="1" operator="equal">
      <formula>"OST"</formula>
    </cfRule>
    <cfRule type="cellIs" dxfId="830" priority="78" stopIfTrue="1" operator="equal">
      <formula>"BOH"</formula>
    </cfRule>
    <cfRule type="cellIs" dxfId="829" priority="79" stopIfTrue="1" operator="equal">
      <formula>"TAT"</formula>
    </cfRule>
    <cfRule type="cellIs" dxfId="828" priority="80" stopIfTrue="1" operator="equal">
      <formula>"MB"</formula>
    </cfRule>
    <cfRule type="cellIs" dxfId="827" priority="81" stopIfTrue="1" operator="equal">
      <formula>"VIT"</formula>
    </cfRule>
    <cfRule type="cellIs" dxfId="826" priority="82" stopIfTrue="1" operator="equal">
      <formula>"CHO"</formula>
    </cfRule>
    <cfRule type="cellIs" dxfId="825" priority="83" stopIfTrue="1" operator="equal">
      <formula>"SKV"</formula>
    </cfRule>
  </conditionalFormatting>
  <conditionalFormatting sqref="G1:L2">
    <cfRule type="cellIs" dxfId="824" priority="56" stopIfTrue="1" operator="equal">
      <formula>"OTR"</formula>
    </cfRule>
  </conditionalFormatting>
  <conditionalFormatting sqref="G1:L2">
    <cfRule type="cellIs" dxfId="823" priority="57" stopIfTrue="1" operator="equal">
      <formula>"PAR"</formula>
    </cfRule>
    <cfRule type="cellIs" dxfId="822" priority="58" stopIfTrue="1" operator="equal">
      <formula>"CLP"</formula>
    </cfRule>
    <cfRule type="cellIs" dxfId="821" priority="59" stopIfTrue="1" operator="equal">
      <formula>"HAT"</formula>
    </cfRule>
    <cfRule type="cellIs" dxfId="820" priority="60" stopIfTrue="1" operator="equal">
      <formula>"LIB"</formula>
    </cfRule>
    <cfRule type="cellIs" dxfId="819" priority="61" stopIfTrue="1" operator="equal">
      <formula>"BA"</formula>
    </cfRule>
    <cfRule type="cellIs" dxfId="818" priority="62" stopIfTrue="1" operator="equal">
      <formula>"SPA"</formula>
    </cfRule>
    <cfRule type="cellIs" dxfId="817" priority="63" stopIfTrue="1" operator="equal">
      <formula>"OST"</formula>
    </cfRule>
    <cfRule type="cellIs" dxfId="816" priority="64" stopIfTrue="1" operator="equal">
      <formula>"BOH"</formula>
    </cfRule>
    <cfRule type="cellIs" dxfId="815" priority="65" stopIfTrue="1" operator="equal">
      <formula>"TAT"</formula>
    </cfRule>
    <cfRule type="cellIs" dxfId="814" priority="66" stopIfTrue="1" operator="equal">
      <formula>"MB"</formula>
    </cfRule>
    <cfRule type="cellIs" dxfId="813" priority="67" stopIfTrue="1" operator="equal">
      <formula>"VIT"</formula>
    </cfRule>
    <cfRule type="cellIs" dxfId="812" priority="68" stopIfTrue="1" operator="equal">
      <formula>"CHO"</formula>
    </cfRule>
    <cfRule type="cellIs" dxfId="811" priority="69" stopIfTrue="1" operator="equal">
      <formula>"SKV"</formula>
    </cfRule>
  </conditionalFormatting>
  <conditionalFormatting sqref="B4:F6">
    <cfRule type="expression" dxfId="810" priority="3">
      <formula>AND($B4&lt;&gt;"",MOD(ROW($B4),2)=0,B4=0)</formula>
    </cfRule>
    <cfRule type="expression" dxfId="809" priority="4">
      <formula>AND($B4&lt;&gt;"",MOD(ROW($B4),2)=1,B4=0)</formula>
    </cfRule>
    <cfRule type="expression" dxfId="808" priority="18">
      <formula>AND($B4&lt;&gt;"",MOD(ROW($B4),2)=0)</formula>
    </cfRule>
    <cfRule type="expression" dxfId="807" priority="55">
      <formula>AND($B4&lt;&gt;"",MOD(ROW($B4),2)=1)</formula>
    </cfRule>
  </conditionalFormatting>
  <conditionalFormatting sqref="A8:F27">
    <cfRule type="expression" dxfId="806" priority="17">
      <formula>AND($A8&lt;&gt;"",MOD(ROW($A8),2)=0)</formula>
    </cfRule>
    <cfRule type="expression" dxfId="805" priority="54">
      <formula>AND($A8&lt;&gt;"",MOD(ROW($A8),2)=1)</formula>
    </cfRule>
  </conditionalFormatting>
  <conditionalFormatting sqref="A29:F31">
    <cfRule type="expression" dxfId="804" priority="16">
      <formula>AND($A29&lt;&gt;"",MOD(ROW($A29),2)=1)</formula>
    </cfRule>
    <cfRule type="expression" dxfId="803" priority="53">
      <formula>AND($A29&lt;&gt;"",MOD(ROW($A29),2)=0)</formula>
    </cfRule>
  </conditionalFormatting>
  <conditionalFormatting sqref="H4:L6">
    <cfRule type="expression" dxfId="802" priority="1">
      <formula>AND($H4&lt;&gt;"",MOD(ROW($H4),2)=0,H4=0)</formula>
    </cfRule>
    <cfRule type="expression" dxfId="801" priority="2">
      <formula>AND($H4&lt;&gt;"",MOD(ROW($H4),2)=1,H4=0)</formula>
    </cfRule>
    <cfRule type="expression" dxfId="800" priority="15">
      <formula>AND($H4&lt;&gt;"",MOD(ROW($H4),2)=0)</formula>
    </cfRule>
    <cfRule type="expression" dxfId="799" priority="52">
      <formula>AND($H4&lt;&gt;"",MOD(ROW($H4),2)=1)</formula>
    </cfRule>
  </conditionalFormatting>
  <conditionalFormatting sqref="G8:L27">
    <cfRule type="expression" dxfId="798" priority="14">
      <formula>AND($G8&lt;&gt;"",MOD(ROW($G8),2)=0)</formula>
    </cfRule>
    <cfRule type="expression" dxfId="797" priority="51">
      <formula>AND($G8&lt;&gt;"",MOD(ROW($G8),2)=1)</formula>
    </cfRule>
  </conditionalFormatting>
  <conditionalFormatting sqref="G29:L31">
    <cfRule type="expression" dxfId="796" priority="13">
      <formula>AND($G29&lt;&gt;"",MOD(ROW($G29),2)=1)</formula>
    </cfRule>
    <cfRule type="expression" dxfId="795" priority="50">
      <formula>AND($G29&lt;&gt;"",MOD(ROW($G29),2)=0)</formula>
    </cfRule>
  </conditionalFormatting>
  <conditionalFormatting sqref="A4">
    <cfRule type="cellIs" dxfId="794" priority="36" stopIfTrue="1" operator="equal">
      <formula>"OTR"</formula>
    </cfRule>
  </conditionalFormatting>
  <conditionalFormatting sqref="A4">
    <cfRule type="cellIs" dxfId="793" priority="37" stopIfTrue="1" operator="equal">
      <formula>"PAR"</formula>
    </cfRule>
    <cfRule type="cellIs" dxfId="792" priority="38" stopIfTrue="1" operator="equal">
      <formula>"CLP"</formula>
    </cfRule>
    <cfRule type="cellIs" dxfId="791" priority="39" stopIfTrue="1" operator="equal">
      <formula>"HAT"</formula>
    </cfRule>
    <cfRule type="cellIs" dxfId="790" priority="40" stopIfTrue="1" operator="equal">
      <formula>"LIB"</formula>
    </cfRule>
    <cfRule type="cellIs" dxfId="789" priority="41" stopIfTrue="1" operator="equal">
      <formula>"BA"</formula>
    </cfRule>
    <cfRule type="cellIs" dxfId="788" priority="42" stopIfTrue="1" operator="equal">
      <formula>"SPA"</formula>
    </cfRule>
    <cfRule type="cellIs" dxfId="787" priority="43" stopIfTrue="1" operator="equal">
      <formula>"OST"</formula>
    </cfRule>
    <cfRule type="cellIs" dxfId="786" priority="44" stopIfTrue="1" operator="equal">
      <formula>"BOH"</formula>
    </cfRule>
    <cfRule type="cellIs" dxfId="785" priority="45" stopIfTrue="1" operator="equal">
      <formula>"TAT"</formula>
    </cfRule>
    <cfRule type="cellIs" dxfId="784" priority="46" stopIfTrue="1" operator="equal">
      <formula>"MB"</formula>
    </cfRule>
    <cfRule type="cellIs" dxfId="783" priority="47" stopIfTrue="1" operator="equal">
      <formula>"VIT"</formula>
    </cfRule>
    <cfRule type="cellIs" dxfId="782" priority="48" stopIfTrue="1" operator="equal">
      <formula>"CHO"</formula>
    </cfRule>
    <cfRule type="cellIs" dxfId="781" priority="49" stopIfTrue="1" operator="equal">
      <formula>"SKV"</formula>
    </cfRule>
  </conditionalFormatting>
  <conditionalFormatting sqref="G4">
    <cfRule type="cellIs" dxfId="780" priority="22" stopIfTrue="1" operator="equal">
      <formula>"OTR"</formula>
    </cfRule>
  </conditionalFormatting>
  <conditionalFormatting sqref="G4">
    <cfRule type="cellIs" dxfId="779" priority="23" stopIfTrue="1" operator="equal">
      <formula>"PAR"</formula>
    </cfRule>
    <cfRule type="cellIs" dxfId="778" priority="24" stopIfTrue="1" operator="equal">
      <formula>"CLP"</formula>
    </cfRule>
    <cfRule type="cellIs" dxfId="777" priority="25" stopIfTrue="1" operator="equal">
      <formula>"HAT"</formula>
    </cfRule>
    <cfRule type="cellIs" dxfId="776" priority="26" stopIfTrue="1" operator="equal">
      <formula>"LIB"</formula>
    </cfRule>
    <cfRule type="cellIs" dxfId="775" priority="27" stopIfTrue="1" operator="equal">
      <formula>"BA"</formula>
    </cfRule>
    <cfRule type="cellIs" dxfId="774" priority="28" stopIfTrue="1" operator="equal">
      <formula>"SPA"</formula>
    </cfRule>
    <cfRule type="cellIs" dxfId="773" priority="29" stopIfTrue="1" operator="equal">
      <formula>"OST"</formula>
    </cfRule>
    <cfRule type="cellIs" dxfId="772" priority="30" stopIfTrue="1" operator="equal">
      <formula>"BOH"</formula>
    </cfRule>
    <cfRule type="cellIs" dxfId="771" priority="31" stopIfTrue="1" operator="equal">
      <formula>"TAT"</formula>
    </cfRule>
    <cfRule type="cellIs" dxfId="770" priority="32" stopIfTrue="1" operator="equal">
      <formula>"MB"</formula>
    </cfRule>
    <cfRule type="cellIs" dxfId="769" priority="33" stopIfTrue="1" operator="equal">
      <formula>"VIT"</formula>
    </cfRule>
    <cfRule type="cellIs" dxfId="768" priority="34" stopIfTrue="1" operator="equal">
      <formula>"CHO"</formula>
    </cfRule>
    <cfRule type="cellIs" dxfId="767" priority="35" stopIfTrue="1" operator="equal">
      <formula>"SKV"</formula>
    </cfRule>
  </conditionalFormatting>
  <conditionalFormatting sqref="I8:L27">
    <cfRule type="expression" dxfId="766" priority="11">
      <formula>AND($G8&lt;&gt;"",MOD(ROW($G8),2)=0,I8=0)</formula>
    </cfRule>
    <cfRule type="expression" dxfId="765" priority="12">
      <formula>AND($G8&lt;&gt;"",MOD(ROW($G8),2)=1,I8=0)</formula>
    </cfRule>
  </conditionalFormatting>
  <conditionalFormatting sqref="I29:L31">
    <cfRule type="expression" dxfId="764" priority="9">
      <formula>AND($G29&lt;&gt;"",MOD(ROW($G29),2)=1,I29=0)</formula>
    </cfRule>
    <cfRule type="expression" dxfId="763" priority="10">
      <formula>AND($G29&lt;&gt;"",MOD(ROW($G29),2)=0,I29=0)</formula>
    </cfRule>
  </conditionalFormatting>
  <conditionalFormatting sqref="C8:F27">
    <cfRule type="expression" dxfId="762" priority="7">
      <formula>AND($A8&lt;&gt;"",MOD(ROW($A8),2)=0,C8=0)</formula>
    </cfRule>
    <cfRule type="expression" dxfId="761" priority="8">
      <formula>AND($A8&lt;&gt;"",MOD(ROW($A8),2)=1,C8=0)</formula>
    </cfRule>
  </conditionalFormatting>
  <conditionalFormatting sqref="C29:F31">
    <cfRule type="expression" dxfId="760" priority="5">
      <formula>AND($A29&lt;&gt;"",MOD(ROW($A29),2)=1,C29)</formula>
    </cfRule>
    <cfRule type="expression" dxfId="759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topLeftCell="A22" zoomScaleNormal="100" workbookViewId="0">
      <selection activeCell="A46" sqref="A46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31" t="s">
        <v>850</v>
      </c>
      <c r="B1" s="331"/>
      <c r="C1" s="332" t="s">
        <v>849</v>
      </c>
      <c r="D1" s="332"/>
      <c r="E1" s="332"/>
      <c r="F1" s="332"/>
      <c r="G1" s="332"/>
      <c r="H1" s="178" t="s">
        <v>848</v>
      </c>
    </row>
    <row r="2" spans="1:8" x14ac:dyDescent="0.25">
      <c r="A2" s="176" t="s">
        <v>230</v>
      </c>
      <c r="B2" s="177">
        <v>37276</v>
      </c>
      <c r="C2" s="185" t="s">
        <v>845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160</v>
      </c>
      <c r="B3" s="177">
        <v>32379</v>
      </c>
      <c r="C3" s="185" t="s">
        <v>844</v>
      </c>
      <c r="D3" s="185" t="s">
        <v>1047</v>
      </c>
      <c r="E3" s="185" t="s">
        <v>1048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221</v>
      </c>
      <c r="B4" s="177">
        <v>37818</v>
      </c>
      <c r="C4" s="185" t="s">
        <v>847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251</v>
      </c>
      <c r="B5" s="177">
        <v>24850</v>
      </c>
      <c r="C5" s="185" t="s">
        <v>846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1049</v>
      </c>
      <c r="D6" s="185" t="s">
        <v>1050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125</v>
      </c>
      <c r="B7" s="177">
        <v>36658</v>
      </c>
      <c r="C7" s="185" t="s">
        <v>1092</v>
      </c>
      <c r="D7" s="185" t="s">
        <v>1093</v>
      </c>
      <c r="E7" s="185" t="s">
        <v>1094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1051</v>
      </c>
      <c r="D8" s="185" t="s">
        <v>1052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1053</v>
      </c>
      <c r="D9" s="185" t="s">
        <v>1054</v>
      </c>
      <c r="E9" s="185" t="s">
        <v>1055</v>
      </c>
      <c r="F9" s="185" t="s">
        <v>1056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1057</v>
      </c>
      <c r="D10" s="185" t="s">
        <v>1058</v>
      </c>
      <c r="E10" s="185" t="s">
        <v>1055</v>
      </c>
      <c r="F10" s="185" t="s">
        <v>1059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1060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121</v>
      </c>
      <c r="B12" s="177">
        <v>36650</v>
      </c>
      <c r="C12" s="185" t="s">
        <v>1061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1062</v>
      </c>
      <c r="D13" s="185" t="s">
        <v>1063</v>
      </c>
      <c r="E13" s="185" t="s">
        <v>1064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116</v>
      </c>
      <c r="B14" s="177">
        <v>34883</v>
      </c>
      <c r="C14" s="185" t="s">
        <v>1065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1066</v>
      </c>
      <c r="D15" s="185" t="s">
        <v>1067</v>
      </c>
      <c r="E15" s="185" t="s">
        <v>1068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1062</v>
      </c>
      <c r="D16" s="185" t="s">
        <v>1064</v>
      </c>
      <c r="E16" s="185" t="s">
        <v>1069</v>
      </c>
      <c r="F16" s="185" t="s">
        <v>1070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1071</v>
      </c>
      <c r="D17" s="185" t="s">
        <v>1072</v>
      </c>
      <c r="E17" s="185" t="s">
        <v>1073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1057</v>
      </c>
      <c r="D18" s="185" t="s">
        <v>1074</v>
      </c>
      <c r="E18" s="185" t="s">
        <v>1075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155</v>
      </c>
      <c r="B19" s="177">
        <v>36825</v>
      </c>
      <c r="C19" s="185" t="s">
        <v>1076</v>
      </c>
      <c r="D19" s="185" t="s">
        <v>1077</v>
      </c>
      <c r="E19" s="185" t="s">
        <v>1078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118</v>
      </c>
      <c r="B20" s="184">
        <v>37297</v>
      </c>
      <c r="C20" s="186" t="s">
        <v>1079</v>
      </c>
      <c r="D20" s="186" t="s">
        <v>1080</v>
      </c>
      <c r="E20" s="186" t="s">
        <v>1081</v>
      </c>
      <c r="H20" s="173" t="str">
        <f t="shared" si="0"/>
        <v>Štepán Švejda (37297)</v>
      </c>
    </row>
    <row r="21" spans="1:8" x14ac:dyDescent="0.25">
      <c r="A21" s="175" t="s">
        <v>9</v>
      </c>
      <c r="B21" s="184">
        <v>34200</v>
      </c>
      <c r="C21" s="186" t="s">
        <v>1082</v>
      </c>
      <c r="D21" s="186" t="s">
        <v>1083</v>
      </c>
      <c r="E21" s="186" t="s">
        <v>1084</v>
      </c>
      <c r="H21" s="173" t="str">
        <f t="shared" si="0"/>
        <v>Zbyněk Stuchlík (34200)</v>
      </c>
    </row>
    <row r="22" spans="1:8" x14ac:dyDescent="0.25">
      <c r="A22" s="175" t="s">
        <v>120</v>
      </c>
      <c r="B22" s="184">
        <v>36551</v>
      </c>
      <c r="C22" s="186" t="s">
        <v>1085</v>
      </c>
      <c r="D22" s="186" t="s">
        <v>1086</v>
      </c>
      <c r="E22" s="186" t="s">
        <v>1087</v>
      </c>
      <c r="F22" s="186" t="s">
        <v>1088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1089</v>
      </c>
      <c r="D23" s="186" t="s">
        <v>1090</v>
      </c>
      <c r="E23" s="186" t="s">
        <v>1091</v>
      </c>
      <c r="H23" s="173" t="str">
        <f t="shared" si="0"/>
        <v>Vojtěch Klápa (37777)</v>
      </c>
    </row>
    <row r="24" spans="1:8" x14ac:dyDescent="0.25">
      <c r="A24" s="175" t="s">
        <v>674</v>
      </c>
      <c r="B24" s="184">
        <v>30929</v>
      </c>
      <c r="C24" s="186" t="s">
        <v>1113</v>
      </c>
      <c r="D24" s="186" t="s">
        <v>1114</v>
      </c>
      <c r="H24" s="173" t="str">
        <f t="shared" si="0"/>
        <v>Ivan Ponomarev (30929)</v>
      </c>
    </row>
    <row r="25" spans="1:8" x14ac:dyDescent="0.25">
      <c r="A25" s="175" t="s">
        <v>683</v>
      </c>
      <c r="B25" s="184">
        <v>35663</v>
      </c>
      <c r="C25" s="186" t="s">
        <v>1115</v>
      </c>
      <c r="D25" s="186" t="s">
        <v>1116</v>
      </c>
      <c r="H25" s="173" t="str">
        <f t="shared" si="0"/>
        <v>Lukáš Chyna (35663)</v>
      </c>
    </row>
    <row r="26" spans="1:8" x14ac:dyDescent="0.25">
      <c r="A26" s="175" t="s">
        <v>418</v>
      </c>
      <c r="B26" s="184">
        <v>33976</v>
      </c>
      <c r="C26" s="186" t="s">
        <v>1117</v>
      </c>
      <c r="D26" s="186" t="s">
        <v>1118</v>
      </c>
      <c r="E26" s="186" t="s">
        <v>1119</v>
      </c>
      <c r="F26" s="186" t="s">
        <v>1120</v>
      </c>
      <c r="H26" s="173" t="str">
        <f t="shared" si="0"/>
        <v>Milan Tichý (33976)</v>
      </c>
    </row>
    <row r="27" spans="1:8" x14ac:dyDescent="0.25">
      <c r="A27" s="175" t="s">
        <v>678</v>
      </c>
      <c r="B27" s="184">
        <v>31959</v>
      </c>
      <c r="C27" s="186" t="s">
        <v>1121</v>
      </c>
      <c r="D27" s="186" t="s">
        <v>1122</v>
      </c>
      <c r="E27" s="186" t="s">
        <v>1123</v>
      </c>
      <c r="F27" s="186" t="s">
        <v>1124</v>
      </c>
      <c r="H27" s="173" t="str">
        <f t="shared" si="0"/>
        <v>Lukáš Mlejnek (31959)</v>
      </c>
    </row>
    <row r="28" spans="1:8" x14ac:dyDescent="0.25">
      <c r="A28" s="175" t="s">
        <v>692</v>
      </c>
      <c r="B28" s="184">
        <v>36660</v>
      </c>
      <c r="C28" s="186" t="s">
        <v>1125</v>
      </c>
      <c r="D28" s="186" t="s">
        <v>1126</v>
      </c>
      <c r="E28" s="186" t="s">
        <v>1127</v>
      </c>
      <c r="H28" s="173" t="str">
        <f t="shared" si="0"/>
        <v>Jan Spilka (36660)</v>
      </c>
    </row>
    <row r="29" spans="1:8" x14ac:dyDescent="0.25">
      <c r="A29" s="175" t="s">
        <v>688</v>
      </c>
      <c r="B29" s="184">
        <v>33176</v>
      </c>
      <c r="C29" s="186" t="s">
        <v>1128</v>
      </c>
      <c r="D29" s="186" t="s">
        <v>1129</v>
      </c>
      <c r="E29" s="186" t="s">
        <v>1130</v>
      </c>
      <c r="H29" s="173" t="str">
        <f t="shared" si="0"/>
        <v>Tomáš Kadlec (33176)</v>
      </c>
    </row>
    <row r="30" spans="1:8" x14ac:dyDescent="0.25">
      <c r="A30" s="175" t="s">
        <v>673</v>
      </c>
      <c r="B30" s="184">
        <v>30346</v>
      </c>
      <c r="C30" s="186" t="s">
        <v>1131</v>
      </c>
      <c r="D30" s="186" t="s">
        <v>1132</v>
      </c>
      <c r="E30" s="186" t="s">
        <v>329</v>
      </c>
      <c r="H30" s="173" t="str">
        <f t="shared" si="0"/>
        <v>Štěpán Slaný (30346)</v>
      </c>
    </row>
    <row r="31" spans="1:8" x14ac:dyDescent="0.25">
      <c r="A31" s="175" t="s">
        <v>671</v>
      </c>
      <c r="B31" s="184">
        <v>35199</v>
      </c>
      <c r="C31" s="186" t="s">
        <v>1133</v>
      </c>
      <c r="D31" s="186" t="s">
        <v>1134</v>
      </c>
      <c r="H31" s="173" t="str">
        <f t="shared" si="0"/>
        <v>Daniel Štěrba (35199)</v>
      </c>
    </row>
    <row r="32" spans="1:8" x14ac:dyDescent="0.25">
      <c r="A32" s="175" t="s">
        <v>1135</v>
      </c>
      <c r="B32" s="184">
        <v>35852</v>
      </c>
      <c r="C32" s="186" t="s">
        <v>1136</v>
      </c>
      <c r="D32" s="186" t="s">
        <v>1137</v>
      </c>
      <c r="H32" s="173" t="str">
        <f t="shared" si="0"/>
        <v>Vojtěch Hrůza (35852)</v>
      </c>
    </row>
    <row r="33" spans="1:8" x14ac:dyDescent="0.25">
      <c r="A33" s="175" t="s">
        <v>689</v>
      </c>
      <c r="B33" s="184">
        <v>34046</v>
      </c>
      <c r="C33" s="186" t="s">
        <v>1138</v>
      </c>
      <c r="D33" s="186" t="s">
        <v>1139</v>
      </c>
      <c r="E33" s="186" t="s">
        <v>1120</v>
      </c>
      <c r="H33" s="173" t="str">
        <f t="shared" si="0"/>
        <v>Tomáš Novák (34046)</v>
      </c>
    </row>
    <row r="34" spans="1:8" x14ac:dyDescent="0.25">
      <c r="A34" s="175" t="s">
        <v>677</v>
      </c>
      <c r="B34" s="184">
        <v>37722</v>
      </c>
      <c r="C34" s="186" t="s">
        <v>1140</v>
      </c>
      <c r="D34" s="186" t="s">
        <v>1141</v>
      </c>
      <c r="E34" s="186" t="s">
        <v>1142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679</v>
      </c>
      <c r="B35" s="184">
        <v>37697</v>
      </c>
      <c r="C35" s="186" t="s">
        <v>1143</v>
      </c>
      <c r="D35" s="186" t="s">
        <v>1144</v>
      </c>
      <c r="H35" s="173" t="str">
        <f t="shared" si="1"/>
        <v>Oliver Brodský (37697)</v>
      </c>
    </row>
    <row r="36" spans="1:8" x14ac:dyDescent="0.25">
      <c r="A36" s="175" t="s">
        <v>675</v>
      </c>
      <c r="B36" s="184">
        <v>35758</v>
      </c>
      <c r="C36" s="186" t="s">
        <v>1145</v>
      </c>
      <c r="D36" s="186" t="s">
        <v>1146</v>
      </c>
      <c r="E36" s="186" t="s">
        <v>1147</v>
      </c>
      <c r="H36" s="173" t="str">
        <f t="shared" si="1"/>
        <v>Jiří Vlček (35758)</v>
      </c>
    </row>
    <row r="37" spans="1:8" x14ac:dyDescent="0.25">
      <c r="A37" s="175" t="s">
        <v>670</v>
      </c>
      <c r="B37" s="184">
        <v>31655</v>
      </c>
      <c r="C37" s="186" t="s">
        <v>1148</v>
      </c>
      <c r="D37" s="186" t="s">
        <v>1149</v>
      </c>
      <c r="E37" s="186" t="s">
        <v>1150</v>
      </c>
      <c r="F37" s="186" t="s">
        <v>1151</v>
      </c>
      <c r="H37" s="173" t="str">
        <f t="shared" si="1"/>
        <v>Marek Dzierža (31655)</v>
      </c>
    </row>
    <row r="38" spans="1:8" x14ac:dyDescent="0.25">
      <c r="A38" s="175" t="s">
        <v>676</v>
      </c>
      <c r="B38" s="184">
        <v>37944</v>
      </c>
      <c r="C38" s="186" t="s">
        <v>1152</v>
      </c>
      <c r="D38" s="186" t="s">
        <v>1153</v>
      </c>
      <c r="E38" s="186" t="s">
        <v>1154</v>
      </c>
      <c r="H38" s="173" t="str">
        <f t="shared" si="1"/>
        <v>Albert Kouba (37944)</v>
      </c>
    </row>
    <row r="39" spans="1:8" x14ac:dyDescent="0.25">
      <c r="A39" s="175" t="s">
        <v>672</v>
      </c>
      <c r="B39" s="184">
        <v>33030</v>
      </c>
      <c r="C39" s="186" t="s">
        <v>1155</v>
      </c>
      <c r="D39" s="186" t="s">
        <v>1156</v>
      </c>
      <c r="E39" s="186" t="s">
        <v>1157</v>
      </c>
      <c r="H39" s="173" t="str">
        <f t="shared" si="1"/>
        <v>Jakub Karel (33030)</v>
      </c>
    </row>
    <row r="40" spans="1:8" x14ac:dyDescent="0.25">
      <c r="A40" s="175" t="s">
        <v>668</v>
      </c>
      <c r="B40" s="184">
        <v>37951</v>
      </c>
      <c r="C40" s="186" t="s">
        <v>1158</v>
      </c>
      <c r="D40" s="186" t="s">
        <v>1159</v>
      </c>
      <c r="E40" s="186" t="s">
        <v>1160</v>
      </c>
      <c r="F40" s="186" t="s">
        <v>1161</v>
      </c>
      <c r="H40" s="173" t="str">
        <f t="shared" si="1"/>
        <v>Ondřej Kopič (37951)</v>
      </c>
    </row>
    <row r="41" spans="1:8" x14ac:dyDescent="0.25">
      <c r="A41" s="175" t="s">
        <v>432</v>
      </c>
      <c r="B41" s="184">
        <v>34592</v>
      </c>
      <c r="C41" s="186" t="s">
        <v>1162</v>
      </c>
      <c r="D41" s="186" t="s">
        <v>1163</v>
      </c>
      <c r="E41" s="186" t="s">
        <v>1164</v>
      </c>
      <c r="F41" s="186" t="s">
        <v>1165</v>
      </c>
      <c r="H41" s="173" t="str">
        <f t="shared" si="1"/>
        <v>Petr Novotný (34592)</v>
      </c>
    </row>
    <row r="42" spans="1:8" x14ac:dyDescent="0.25">
      <c r="A42" s="175" t="s">
        <v>680</v>
      </c>
      <c r="B42" s="184">
        <v>33522</v>
      </c>
      <c r="C42" s="186" t="s">
        <v>1166</v>
      </c>
      <c r="D42" s="186" t="s">
        <v>1167</v>
      </c>
      <c r="E42" s="186" t="s">
        <v>1168</v>
      </c>
      <c r="F42" s="186" t="s">
        <v>1169</v>
      </c>
      <c r="H42" s="173" t="str">
        <f t="shared" si="1"/>
        <v>Jakub Jirsa (33522)</v>
      </c>
    </row>
    <row r="43" spans="1:8" x14ac:dyDescent="0.25">
      <c r="A43" s="175" t="s">
        <v>667</v>
      </c>
      <c r="B43" s="184">
        <v>33970</v>
      </c>
      <c r="C43" s="186" t="s">
        <v>1170</v>
      </c>
      <c r="D43" s="186" t="s">
        <v>1171</v>
      </c>
      <c r="E43" s="186" t="s">
        <v>1172</v>
      </c>
      <c r="H43" s="173" t="str">
        <f t="shared" si="1"/>
        <v>Radek Krajcigr (33970)</v>
      </c>
    </row>
    <row r="44" spans="1:8" x14ac:dyDescent="0.25">
      <c r="A44" s="175" t="s">
        <v>669</v>
      </c>
      <c r="B44" s="184">
        <v>32150</v>
      </c>
      <c r="C44" s="186" t="s">
        <v>1173</v>
      </c>
      <c r="D44" s="186" t="s">
        <v>1174</v>
      </c>
      <c r="E44" s="186" t="s">
        <v>1175</v>
      </c>
      <c r="F44" s="186" t="s">
        <v>1120</v>
      </c>
      <c r="H44" s="173" t="str">
        <f t="shared" si="1"/>
        <v>Jaromír Ekl (32150)</v>
      </c>
    </row>
    <row r="45" spans="1:8" x14ac:dyDescent="0.25">
      <c r="A45" s="175" t="s">
        <v>704</v>
      </c>
      <c r="B45" s="184">
        <v>31211</v>
      </c>
      <c r="C45" s="186" t="s">
        <v>1176</v>
      </c>
      <c r="D45" s="186" t="s">
        <v>1177</v>
      </c>
      <c r="E45" s="186" t="s">
        <v>1178</v>
      </c>
      <c r="H45" s="173" t="str">
        <f t="shared" si="1"/>
        <v>David Derka (31211)</v>
      </c>
    </row>
    <row r="46" spans="1:8" x14ac:dyDescent="0.25">
      <c r="H46" s="173" t="str">
        <f t="shared" si="1"/>
        <v/>
      </c>
    </row>
    <row r="47" spans="1:8" x14ac:dyDescent="0.25">
      <c r="H47" s="173" t="str">
        <f t="shared" si="1"/>
        <v/>
      </c>
    </row>
    <row r="48" spans="1:8" x14ac:dyDescent="0.25">
      <c r="H48" s="173" t="str">
        <f t="shared" si="1"/>
        <v/>
      </c>
    </row>
    <row r="49" spans="8:8" x14ac:dyDescent="0.25">
      <c r="H49" s="173" t="str">
        <f t="shared" si="1"/>
        <v/>
      </c>
    </row>
    <row r="50" spans="8:8" x14ac:dyDescent="0.25">
      <c r="H50" s="173" t="str">
        <f t="shared" si="1"/>
        <v/>
      </c>
    </row>
    <row r="51" spans="8:8" x14ac:dyDescent="0.25">
      <c r="H51" s="173" t="str">
        <f t="shared" si="1"/>
        <v/>
      </c>
    </row>
    <row r="52" spans="8:8" x14ac:dyDescent="0.25">
      <c r="H52" s="173" t="str">
        <f t="shared" si="1"/>
        <v/>
      </c>
    </row>
    <row r="53" spans="8:8" x14ac:dyDescent="0.25">
      <c r="H53" s="173" t="str">
        <f t="shared" si="1"/>
        <v/>
      </c>
    </row>
    <row r="54" spans="8:8" x14ac:dyDescent="0.25">
      <c r="H54" s="173" t="str">
        <f t="shared" si="1"/>
        <v/>
      </c>
    </row>
    <row r="55" spans="8:8" x14ac:dyDescent="0.25">
      <c r="H55" s="173" t="str">
        <f t="shared" si="1"/>
        <v/>
      </c>
    </row>
    <row r="56" spans="8:8" x14ac:dyDescent="0.25">
      <c r="H56" s="173" t="str">
        <f t="shared" si="1"/>
        <v/>
      </c>
    </row>
    <row r="57" spans="8:8" x14ac:dyDescent="0.25">
      <c r="H57" s="173" t="str">
        <f t="shared" si="1"/>
        <v/>
      </c>
    </row>
    <row r="58" spans="8:8" x14ac:dyDescent="0.25">
      <c r="H58" s="173" t="str">
        <f t="shared" si="1"/>
        <v/>
      </c>
    </row>
    <row r="59" spans="8:8" x14ac:dyDescent="0.25">
      <c r="H59" s="173" t="str">
        <f t="shared" si="1"/>
        <v/>
      </c>
    </row>
    <row r="60" spans="8:8" x14ac:dyDescent="0.25">
      <c r="H60" s="173" t="str">
        <f t="shared" si="1"/>
        <v/>
      </c>
    </row>
    <row r="61" spans="8:8" x14ac:dyDescent="0.25">
      <c r="H61" s="173" t="str">
        <f t="shared" si="1"/>
        <v/>
      </c>
    </row>
    <row r="62" spans="8:8" x14ac:dyDescent="0.25">
      <c r="H62" s="173" t="str">
        <f t="shared" si="1"/>
        <v/>
      </c>
    </row>
    <row r="63" spans="8:8" x14ac:dyDescent="0.25">
      <c r="H63" s="173" t="str">
        <f t="shared" si="1"/>
        <v/>
      </c>
    </row>
    <row r="64" spans="8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58" priority="2">
      <formula>LEN(TRIM(C2))&gt;0</formula>
    </cfRule>
  </conditionalFormatting>
  <conditionalFormatting sqref="A2:G1048576">
    <cfRule type="expression" dxfId="757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92</v>
      </c>
      <c r="B1" s="332" t="s">
        <v>849</v>
      </c>
      <c r="C1" s="332"/>
      <c r="D1" s="332"/>
      <c r="E1" s="332"/>
      <c r="F1" s="332"/>
    </row>
    <row r="2" spans="1:6" ht="14.25" customHeight="1" x14ac:dyDescent="0.25">
      <c r="A2" s="333" t="s">
        <v>83</v>
      </c>
      <c r="B2" s="185" t="s">
        <v>1184</v>
      </c>
      <c r="C2" s="185" t="s">
        <v>1185</v>
      </c>
      <c r="D2" s="185" t="s">
        <v>1095</v>
      </c>
      <c r="E2" s="185" t="s">
        <v>1096</v>
      </c>
      <c r="F2" s="185" t="s">
        <v>1186</v>
      </c>
    </row>
    <row r="3" spans="1:6" ht="14.25" x14ac:dyDescent="0.25">
      <c r="A3" s="333"/>
      <c r="B3" s="185"/>
      <c r="C3" s="185"/>
      <c r="D3" s="185"/>
      <c r="E3" s="185"/>
      <c r="F3" s="185"/>
    </row>
    <row r="4" spans="1:6" ht="14.25" x14ac:dyDescent="0.25">
      <c r="A4" s="333"/>
      <c r="B4" s="185"/>
      <c r="C4" s="185"/>
      <c r="D4" s="185"/>
      <c r="E4" s="185"/>
      <c r="F4" s="185"/>
    </row>
    <row r="5" spans="1:6" ht="14.25" x14ac:dyDescent="0.25">
      <c r="A5" s="334" t="s">
        <v>82</v>
      </c>
    </row>
    <row r="6" spans="1:6" ht="14.25" x14ac:dyDescent="0.25">
      <c r="A6" s="334"/>
    </row>
    <row r="7" spans="1:6" ht="14.25" x14ac:dyDescent="0.25">
      <c r="A7" s="334"/>
    </row>
    <row r="8" spans="1:6" ht="14.25" x14ac:dyDescent="0.25">
      <c r="A8" s="334" t="s">
        <v>79</v>
      </c>
      <c r="B8" s="188" t="s">
        <v>1179</v>
      </c>
      <c r="C8" s="188" t="s">
        <v>1180</v>
      </c>
      <c r="D8" s="188" t="s">
        <v>1181</v>
      </c>
      <c r="E8" s="188" t="s">
        <v>1182</v>
      </c>
      <c r="F8" s="188" t="s">
        <v>1183</v>
      </c>
    </row>
    <row r="9" spans="1:6" ht="14.25" x14ac:dyDescent="0.25">
      <c r="A9" s="334"/>
    </row>
    <row r="10" spans="1:6" ht="14.25" x14ac:dyDescent="0.25">
      <c r="A10" s="334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56" priority="17">
      <formula>AND($B2&lt;&gt;"",MOD(ROW($B2),2)=1)</formula>
    </cfRule>
  </conditionalFormatting>
  <conditionalFormatting sqref="A5:F1048576">
    <cfRule type="expression" dxfId="755" priority="16">
      <formula>AND($A5&lt;&gt;"",MOD(ROW($A5),3)=2)</formula>
    </cfRule>
  </conditionalFormatting>
  <conditionalFormatting sqref="A1:A1048576">
    <cfRule type="cellIs" dxfId="754" priority="2" stopIfTrue="1" operator="equal">
      <formula>"OTR"</formula>
    </cfRule>
    <cfRule type="cellIs" dxfId="753" priority="3" stopIfTrue="1" operator="equal">
      <formula>"PAR"</formula>
    </cfRule>
    <cfRule type="cellIs" dxfId="752" priority="4" stopIfTrue="1" operator="equal">
      <formula>"FBC 4CLEAN Česká Lípa"</formula>
    </cfRule>
    <cfRule type="cellIs" dxfId="751" priority="5" stopIfTrue="1" operator="equal">
      <formula>"HAT"</formula>
    </cfRule>
    <cfRule type="cellIs" dxfId="750" priority="6" stopIfTrue="1" operator="equal">
      <formula>"FBC Liberec"</formula>
    </cfRule>
    <cfRule type="cellIs" dxfId="749" priority="7" stopIfTrue="1" operator="equal">
      <formula>"BA"</formula>
    </cfRule>
    <cfRule type="cellIs" dxfId="748" priority="8" stopIfTrue="1" operator="equal">
      <formula>"SPA"</formula>
    </cfRule>
    <cfRule type="cellIs" dxfId="747" priority="9" stopIfTrue="1" operator="equal">
      <formula>"OST"</formula>
    </cfRule>
    <cfRule type="cellIs" dxfId="746" priority="10" stopIfTrue="1" operator="equal">
      <formula>"BOH"</formula>
    </cfRule>
    <cfRule type="cellIs" dxfId="745" priority="11" stopIfTrue="1" operator="equal">
      <formula>"TAT"</formula>
    </cfRule>
    <cfRule type="cellIs" dxfId="744" priority="12" stopIfTrue="1" operator="equal">
      <formula>"MB"</formula>
    </cfRule>
    <cfRule type="cellIs" dxfId="743" priority="13" stopIfTrue="1" operator="equal">
      <formula>"VIT"</formula>
    </cfRule>
    <cfRule type="cellIs" dxfId="742" priority="14" stopIfTrue="1" operator="equal">
      <formula>"CHO"</formula>
    </cfRule>
    <cfRule type="cellIs" dxfId="741" priority="15" stopIfTrue="1" operator="equal">
      <formula>"TJ Sokol Královské Vinohrady"</formula>
    </cfRule>
  </conditionalFormatting>
  <conditionalFormatting sqref="C2:F1048576">
    <cfRule type="notContainsBlanks" dxfId="740" priority="18">
      <formula>LEN(TRIM(C2))&gt;0</formula>
    </cfRule>
  </conditionalFormatting>
  <conditionalFormatting sqref="A2:A1048567">
    <cfRule type="notContainsBlanks" dxfId="739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topLeftCell="P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43" t="s">
        <v>1</v>
      </c>
      <c r="I1" s="343"/>
      <c r="J1" s="343"/>
      <c r="K1" s="343"/>
      <c r="M1" s="341" t="s">
        <v>125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1995</v>
      </c>
      <c r="C2" s="345"/>
      <c r="D2" s="5">
        <f ca="1">IFERROR(VLOOKUP(A1,OFFSET($AG$2,,,COUNTIF($AG$2:$AG$50,"?*"),23),15,FALSE),"")</f>
        <v>26</v>
      </c>
      <c r="E2" s="335" t="str">
        <f ca="1">IFERROR(VLOOKUP(A1,OFFSET($AG$2,,,COUNTIF($AG$2:$AG$50,"?*"),23),16,FALSE),"")</f>
        <v>183/76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2000</v>
      </c>
      <c r="O2" s="345"/>
      <c r="P2" s="6">
        <f ca="1">IFERROR(VLOOKUP(M1,OFFSET($AG$2,,,COUNTIF($AG$2:$AG$50,"?*"),23),15,FALSE),"")</f>
        <v>21</v>
      </c>
      <c r="Q2" s="335" t="str">
        <f ca="1">IFERROR(VLOOKUP(M1,OFFSET($AG$2,,,COUNTIF($AG$2:$AG$50,"?*"),23),16,FALSE),"")</f>
        <v>186/80</v>
      </c>
      <c r="R2" s="336"/>
      <c r="S2" s="110" t="s">
        <v>6</v>
      </c>
      <c r="T2" s="102" t="s">
        <v>64</v>
      </c>
      <c r="U2" s="102">
        <v>7</v>
      </c>
      <c r="V2" s="102">
        <v>3</v>
      </c>
      <c r="W2" s="102">
        <v>2</v>
      </c>
      <c r="X2" s="102">
        <v>0</v>
      </c>
      <c r="Y2" s="102">
        <v>7</v>
      </c>
      <c r="Z2" s="102">
        <v>10</v>
      </c>
      <c r="AA2" s="102">
        <v>6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149</v>
      </c>
      <c r="AQ2" s="123">
        <v>181</v>
      </c>
      <c r="AR2" s="123">
        <v>78</v>
      </c>
      <c r="AS2" s="126" t="s">
        <v>150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191</v>
      </c>
      <c r="BQ2" s="132" t="s">
        <v>194</v>
      </c>
      <c r="BR2" s="127">
        <f ca="1">IF(BN2&lt;&gt;"",IF(BO2&lt;&gt;"",INT((TODAY()-BO2)/365),"?"),"")</f>
        <v>38</v>
      </c>
      <c r="BS2" s="380" t="s">
        <v>36</v>
      </c>
      <c r="BT2" s="104" t="s">
        <v>798</v>
      </c>
      <c r="BU2" s="103">
        <v>10</v>
      </c>
      <c r="BV2" s="104" t="str">
        <f>IFERROR(RIGHT(BT2,LEN(BT2)-SEARCH(" ",BT2)),"")</f>
        <v>Jan Fiala</v>
      </c>
      <c r="BW2" s="102">
        <f>IF(BT2&lt;&gt;0,_xlfn.NUMBERVALUE(BU2,","),"")</f>
        <v>10</v>
      </c>
      <c r="BX2" s="379" t="s">
        <v>211</v>
      </c>
      <c r="BY2" s="103" t="s">
        <v>795</v>
      </c>
      <c r="BZ2" s="103" t="s">
        <v>904</v>
      </c>
      <c r="CA2" s="115" t="s">
        <v>1187</v>
      </c>
    </row>
    <row r="3" spans="1:79" ht="15" customHeight="1" thickTop="1" thickBot="1" x14ac:dyDescent="0.25">
      <c r="A3" s="337" t="str">
        <f ca="1">IFERROR(VLOOKUP(A1,OFFSET($AG$2,,,COUNTIF($AG$2:$AG$50,"?*"),23),18,FALSE),"")</f>
        <v>7 OZ, 10 (3+7), -8 ±</v>
      </c>
      <c r="B3" s="338"/>
      <c r="C3" s="338"/>
      <c r="D3" s="339" t="str">
        <f ca="1">IFERROR(VLOOKUP(A1,OFFSET($AG$2,,,COUNTIF($AG$2:$AG$50,"?*"),23),19,FALSE),"")</f>
        <v>110 OZ, 50 (29+21)</v>
      </c>
      <c r="E3" s="339"/>
      <c r="F3" s="340"/>
      <c r="G3" s="341" t="s">
        <v>9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7" t="str">
        <f ca="1">IFERROR(VLOOKUP(M1,OFFSET($AG$2,,,COUNTIF($AG$2:$AG$50,"?*"),23),18,FALSE),"")</f>
        <v>7 OZ, 4 (4+0), -4 ±</v>
      </c>
      <c r="N3" s="338"/>
      <c r="O3" s="338"/>
      <c r="P3" s="339" t="str">
        <f ca="1">IFERROR(VLOOKUP(M1,OFFSET($AG$2,,,COUNTIF($AG$2:$AG$50,"?*"),23),19,FALSE),"")</f>
        <v>28 OZ, 17 (8+9)</v>
      </c>
      <c r="Q3" s="339"/>
      <c r="R3" s="340"/>
      <c r="S3" s="110" t="s">
        <v>116</v>
      </c>
      <c r="U3" s="102">
        <v>6</v>
      </c>
      <c r="V3" s="102">
        <v>6</v>
      </c>
      <c r="W3" s="102">
        <v>2</v>
      </c>
      <c r="X3" s="102">
        <v>0</v>
      </c>
      <c r="Y3" s="102">
        <v>3</v>
      </c>
      <c r="Z3" s="102">
        <v>9</v>
      </c>
      <c r="AA3" s="102">
        <v>0</v>
      </c>
      <c r="AB3" s="102">
        <v>-6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149</v>
      </c>
      <c r="AQ3" s="123">
        <v>184</v>
      </c>
      <c r="AR3" s="123">
        <v>81</v>
      </c>
      <c r="AS3" s="126" t="s">
        <v>151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191</v>
      </c>
      <c r="BQ3" s="132" t="s">
        <v>195</v>
      </c>
      <c r="BR3" s="127">
        <f t="shared" ref="BR3:BR11" ca="1" si="13">IF(BN3&lt;&gt;"",IF(BO3&lt;&gt;"",INT((TODAY()-BO3)/365),"?"),"")</f>
        <v>35</v>
      </c>
      <c r="BS3" s="380"/>
      <c r="BT3" s="104" t="s">
        <v>1191</v>
      </c>
      <c r="BU3" s="103">
        <v>9</v>
      </c>
      <c r="BV3" s="104" t="str">
        <f t="shared" ref="BV3:BV31" si="14">IFERROR(RIGHT(BT3,LEN(BT3)-SEARCH(" ",BT3)),"")</f>
        <v>Viktor Kopecký</v>
      </c>
      <c r="BW3" s="102">
        <f t="shared" ref="BW3:BW31" si="15">IF(BT3&lt;&gt;0,_xlfn.NUMBERVALUE(BU3,","),"")</f>
        <v>9</v>
      </c>
      <c r="BX3" s="379"/>
      <c r="BY3" s="103" t="s">
        <v>1188</v>
      </c>
      <c r="BZ3" s="103" t="s">
        <v>903</v>
      </c>
      <c r="CA3" s="115" t="s">
        <v>821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Chodov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2006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5">
        <f ca="1">IFERROR(VLOOKUP(G3,OFFSET($AG$2,,,COUNTIF($AG$2:$AG$50,"?*"),23),15,FALSE),"")</f>
        <v>28</v>
      </c>
      <c r="K4" s="335" t="str">
        <f ca="1">IFERROR(VLOOKUP(G3,OFFSET($AG$2,,,COUNTIF($AG$2:$AG$50,"?*"),23),16,FALSE),"")</f>
        <v>173/68</v>
      </c>
      <c r="L4" s="336"/>
      <c r="M4" s="346" t="str">
        <f ca="1">IFERROR(IF(VLOOKUP(M1,OFFSET($AG$2,,,COUNTIF($AG$2:$AG$50,"?*"),23),13,FALSE)&lt;&gt;0,VLOOKUP(M1,OFFSET($AG$2,,,COUNTIF($AG$2:$AG$50,"?*"),23),13,FALSE),"?"),"")</f>
        <v>Slovan J. Hradec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2014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7</v>
      </c>
      <c r="V4" s="102">
        <v>3</v>
      </c>
      <c r="W4" s="102">
        <v>1</v>
      </c>
      <c r="X4" s="102">
        <v>0</v>
      </c>
      <c r="Y4" s="102">
        <v>2</v>
      </c>
      <c r="Z4" s="102">
        <v>5</v>
      </c>
      <c r="AA4" s="102">
        <v>2</v>
      </c>
      <c r="AB4" s="102">
        <v>-10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149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7 OZ, 3 (1+2), -4 ±</v>
      </c>
      <c r="AY4" s="129" t="str">
        <f t="shared" ca="1" si="2"/>
        <v>31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190</v>
      </c>
      <c r="BO4" s="122">
        <v>35465</v>
      </c>
      <c r="BP4" s="131" t="s">
        <v>193</v>
      </c>
      <c r="BQ4" s="132" t="s">
        <v>196</v>
      </c>
      <c r="BR4" s="127">
        <f t="shared" ca="1" si="13"/>
        <v>24</v>
      </c>
      <c r="BS4" s="380"/>
      <c r="BT4" s="104" t="s">
        <v>1192</v>
      </c>
      <c r="BU4" s="103">
        <v>5</v>
      </c>
      <c r="BV4" s="104" t="str">
        <f t="shared" si="14"/>
        <v>Ivan Pergler</v>
      </c>
      <c r="BW4" s="102">
        <f t="shared" si="15"/>
        <v>5</v>
      </c>
      <c r="BX4" s="379"/>
      <c r="BY4" s="103" t="s">
        <v>207</v>
      </c>
      <c r="BZ4" s="103" t="s">
        <v>897</v>
      </c>
      <c r="CA4" s="115" t="s">
        <v>852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6 OZ, 4 (3+1), -8 ±</v>
      </c>
      <c r="H5" s="338"/>
      <c r="I5" s="338"/>
      <c r="J5" s="339" t="str">
        <f ca="1">IFERROR(VLOOKUP(G3,OFFSET($AG$2,,,COUNTIF($AG$2:$AG$50,"?*"),23),19,FALSE),"")</f>
        <v>103 OZ, 90 (29+61)</v>
      </c>
      <c r="K5" s="339"/>
      <c r="L5" s="340"/>
      <c r="R5" s="13"/>
      <c r="S5" s="110" t="s">
        <v>120</v>
      </c>
      <c r="T5" s="102" t="s">
        <v>119</v>
      </c>
      <c r="U5" s="102">
        <v>7</v>
      </c>
      <c r="V5" s="102">
        <v>3</v>
      </c>
      <c r="W5" s="102">
        <v>0</v>
      </c>
      <c r="X5" s="102">
        <v>0</v>
      </c>
      <c r="Y5" s="102">
        <v>2</v>
      </c>
      <c r="Z5" s="102">
        <v>5</v>
      </c>
      <c r="AA5" s="102">
        <v>0</v>
      </c>
      <c r="AB5" s="102">
        <v>-8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152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7 OZ, 10 (3+7), -8 ±</v>
      </c>
      <c r="AY5" s="129" t="str">
        <f t="shared" ca="1" si="2"/>
        <v>110 OZ, 50 (29+21)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192</v>
      </c>
      <c r="BQ5" s="132" t="s">
        <v>197</v>
      </c>
      <c r="BR5" s="127">
        <f t="shared" ca="1" si="13"/>
        <v>31</v>
      </c>
      <c r="BS5" s="380"/>
      <c r="BT5" s="104" t="s">
        <v>1193</v>
      </c>
      <c r="BU5" s="103">
        <v>5</v>
      </c>
      <c r="BV5" s="104" t="str">
        <f t="shared" si="14"/>
        <v>Vojtěch Klápa</v>
      </c>
      <c r="BW5" s="102">
        <f t="shared" si="15"/>
        <v>5</v>
      </c>
      <c r="BX5" s="379"/>
      <c r="BY5" s="103" t="s">
        <v>206</v>
      </c>
      <c r="BZ5" s="103" t="s">
        <v>898</v>
      </c>
      <c r="CA5" s="115" t="s">
        <v>899</v>
      </c>
    </row>
    <row r="6" spans="1:79" ht="15" customHeight="1" thickTop="1" thickBot="1" x14ac:dyDescent="0.25">
      <c r="A6" s="341" t="s">
        <v>11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6" t="str">
        <f ca="1">IFERROR(IF(VLOOKUP(G3,OFFSET($AG$2,,,COUNTIF($AG$2:$AG$50,"?*"),23),13,FALSE)&lt;&gt;0,VLOOKUP(G3,OFFSET($AG$2,,,COUNTIF($AG$2:$AG$50,"?*"),23),13,FALSE),"?"),"")</f>
        <v>Future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2003</v>
      </c>
      <c r="K6" s="350"/>
      <c r="L6" s="7">
        <f ca="1">IFERROR(IF(VLOOKUP(G3,OFFSET($AG$2,,,COUNTIF($AG$2:$AG$50,"?*"),23),7,FALSE)&lt;&gt;0,VLOOKUP(G3,OFFSET($AG$2,,,COUNTIF($AG$2:$AG$50,"?*"),23),7,FALSE),"?"),"")</f>
        <v>6</v>
      </c>
      <c r="M6" s="341" t="s">
        <v>10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125</v>
      </c>
      <c r="T6" s="102" t="s">
        <v>119</v>
      </c>
      <c r="U6" s="102">
        <v>7</v>
      </c>
      <c r="V6" s="102">
        <v>4</v>
      </c>
      <c r="W6" s="102">
        <v>0</v>
      </c>
      <c r="X6" s="102">
        <v>0</v>
      </c>
      <c r="Y6" s="102">
        <v>0</v>
      </c>
      <c r="Z6" s="102">
        <v>4</v>
      </c>
      <c r="AA6" s="102">
        <v>0</v>
      </c>
      <c r="AB6" s="102">
        <v>-4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149</v>
      </c>
      <c r="AQ6" s="123">
        <v>181</v>
      </c>
      <c r="AR6" s="123">
        <v>80</v>
      </c>
      <c r="AS6" s="126" t="s">
        <v>153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7 OZ, 0 (0+0), -9 ±</v>
      </c>
      <c r="AY6" s="129" t="str">
        <f t="shared" ca="1" si="2"/>
        <v>65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792</v>
      </c>
      <c r="BO6" s="122">
        <v>32155</v>
      </c>
      <c r="BP6" s="131" t="s">
        <v>439</v>
      </c>
      <c r="BQ6" s="132" t="s">
        <v>197</v>
      </c>
      <c r="BR6" s="127">
        <f t="shared" ca="1" si="13"/>
        <v>33</v>
      </c>
      <c r="BS6" s="380"/>
      <c r="BT6" s="104" t="s">
        <v>1194</v>
      </c>
      <c r="BU6" s="103">
        <v>4</v>
      </c>
      <c r="BV6" s="104" t="str">
        <f t="shared" si="14"/>
        <v>Jan Procházka</v>
      </c>
      <c r="BW6" s="102">
        <f t="shared" si="15"/>
        <v>4</v>
      </c>
      <c r="BX6" s="379"/>
      <c r="BY6" s="103" t="s">
        <v>851</v>
      </c>
      <c r="BZ6" s="103" t="s">
        <v>900</v>
      </c>
      <c r="CA6" s="115" t="s">
        <v>852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4">
        <f ca="1">IFERROR(IF(VLOOKUP(A6,OFFSET($AG$2,,,COUNTIF($AG$2:$AG$50,"?*"),23),2,FALSE)&lt;&gt;0,YEAR(VLOOKUP(A6,OFFSET($AG$2,,,COUNTIF($AG$2:$AG$50,"?*"),23),2,FALSE)),""),"")</f>
        <v>2001</v>
      </c>
      <c r="C7" s="345"/>
      <c r="D7" s="5">
        <f ca="1">IFERROR(VLOOKUP(A6,OFFSET($AG$2,,,COUNTIF($AG$2:$AG$50,"?*"),23),15,FALSE),"")</f>
        <v>20</v>
      </c>
      <c r="E7" s="335" t="str">
        <f ca="1">IFERROR(VLOOKUP(A6,OFFSET($AG$2,,,COUNTIF($AG$2:$AG$50,"?*"),23),16,FALSE),"")</f>
        <v>181/80</v>
      </c>
      <c r="F7" s="336"/>
      <c r="M7" s="4" t="str">
        <f ca="1">IFERROR(IF(VLOOKUP(M6,OFFSET($AG$2,,,COUNTIF($AG$2:$AG$50,"?*"),23),10,FALSE)&lt;&gt;0,VLOOKUP(M6,OFFSET($AG$2,,,COUNTIF($AG$2:$AG$50,"?*"),23),10,FALSE),""),"")</f>
        <v>P</v>
      </c>
      <c r="N7" s="344">
        <f ca="1">IFERROR(IF(VLOOKUP(M6,OFFSET($AG$2,,,COUNTIF($AG$2:$AG$50,"?*"),23),2,FALSE)&lt;&gt;0,YEAR(VLOOKUP(M6,OFFSET($AG$2,,,COUNTIF($AG$2:$AG$50,"?*"),23),2,FALSE)),""),"")</f>
        <v>1993</v>
      </c>
      <c r="O7" s="345"/>
      <c r="P7" s="6">
        <f ca="1">IFERROR(VLOOKUP(M6,OFFSET($AG$2,,,COUNTIF($AG$2:$AG$50,"?*"),23),15,FALSE),"")</f>
        <v>28</v>
      </c>
      <c r="Q7" s="335" t="str">
        <f ca="1">IFERROR(VLOOKUP(M6,OFFSET($AG$2,,,COUNTIF($AG$2:$AG$50,"?*"),23),16,FALSE),"")</f>
        <v>169/65</v>
      </c>
      <c r="R7" s="336"/>
      <c r="S7" s="110" t="s">
        <v>9</v>
      </c>
      <c r="U7" s="102">
        <v>6</v>
      </c>
      <c r="V7" s="102">
        <v>3</v>
      </c>
      <c r="W7" s="102">
        <v>2</v>
      </c>
      <c r="X7" s="102">
        <v>0</v>
      </c>
      <c r="Y7" s="102">
        <v>1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149</v>
      </c>
      <c r="AQ7" s="123">
        <v>180</v>
      </c>
      <c r="AR7" s="123">
        <v>78</v>
      </c>
      <c r="AS7" s="126" t="s">
        <v>154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4 OZ, 1 (1+0), -1 ±</v>
      </c>
      <c r="AY7" s="129" t="str">
        <f t="shared" ca="1" si="2"/>
        <v>165 OZ, 140 (93+47)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796</v>
      </c>
      <c r="BU7" s="103" t="s">
        <v>1195</v>
      </c>
      <c r="BV7" s="104" t="str">
        <f t="shared" si="14"/>
        <v>Karel Šantora</v>
      </c>
      <c r="BW7" s="112">
        <f t="shared" si="15"/>
        <v>6.42</v>
      </c>
      <c r="BX7" s="379" t="s">
        <v>212</v>
      </c>
      <c r="BY7" s="103" t="s">
        <v>906</v>
      </c>
      <c r="BZ7" s="103" t="s">
        <v>907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>7 OZ, 0 (0+0), -9 ±</v>
      </c>
      <c r="B8" s="338"/>
      <c r="C8" s="338"/>
      <c r="D8" s="339" t="str">
        <f ca="1">IFERROR(VLOOKUP(A6,OFFSET($AG$2,,,COUNTIF($AG$2:$AG$50,"?*"),23),19,FALSE),"")</f>
        <v>65 OZ, 16 (9+7)</v>
      </c>
      <c r="E8" s="339"/>
      <c r="F8" s="340"/>
      <c r="H8" s="351" t="s">
        <v>5</v>
      </c>
      <c r="I8" s="351"/>
      <c r="J8" s="351"/>
      <c r="K8" s="351"/>
      <c r="M8" s="337" t="str">
        <f ca="1">IFERROR(VLOOKUP(M6,OFFSET($AG$2,,,COUNTIF($AG$2:$AG$50,"?*"),23),18,FALSE),"")</f>
        <v>6 OZ, 4 (1+3), -3 ±</v>
      </c>
      <c r="N8" s="338"/>
      <c r="O8" s="338"/>
      <c r="P8" s="339" t="str">
        <f ca="1">IFERROR(VLOOKUP(M6,OFFSET($AG$2,,,COUNTIF($AG$2:$AG$50,"?*"),23),19,FALSE),"")</f>
        <v>115 OZ, 60 (33+27)</v>
      </c>
      <c r="Q8" s="339"/>
      <c r="R8" s="340"/>
      <c r="S8" s="110" t="s">
        <v>10</v>
      </c>
      <c r="T8" s="102" t="s">
        <v>64</v>
      </c>
      <c r="U8" s="102">
        <v>6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-3</v>
      </c>
      <c r="AC8" s="102" t="str">
        <f t="shared" ca="1" si="0"/>
        <v>ANO</v>
      </c>
      <c r="AG8" s="121" t="s">
        <v>155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149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4 OZ, 1 (0+1), -1 ±</v>
      </c>
      <c r="AY8" s="129" t="str">
        <f t="shared" ca="1" si="2"/>
        <v>58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797</v>
      </c>
      <c r="BU8" s="103" t="s">
        <v>893</v>
      </c>
      <c r="BV8" s="104" t="str">
        <f t="shared" si="14"/>
        <v>Petr Musil</v>
      </c>
      <c r="BW8" s="112">
        <f t="shared" si="15"/>
        <v>8.48</v>
      </c>
      <c r="BX8" s="379"/>
      <c r="BY8" s="103" t="s">
        <v>908</v>
      </c>
      <c r="BZ8" s="103" t="s">
        <v>909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Bulldogs Brno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2013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Lhokamo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2004</v>
      </c>
      <c r="Q9" s="350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4</v>
      </c>
      <c r="T9" s="102" t="s">
        <v>64</v>
      </c>
      <c r="U9" s="102">
        <v>7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-4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149</v>
      </c>
      <c r="AQ9" s="123">
        <v>180</v>
      </c>
      <c r="AR9" s="123">
        <v>78</v>
      </c>
      <c r="AS9" s="126" t="s">
        <v>156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6 OZ, 2 (0+2), -8 ±</v>
      </c>
      <c r="AY9" s="129" t="str">
        <f t="shared" ca="1" si="2"/>
        <v>88 OZ, 69 (45+24)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938</v>
      </c>
      <c r="BZ9" s="103" t="s">
        <v>936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160</v>
      </c>
      <c r="U10" s="102">
        <v>6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-5</v>
      </c>
      <c r="AC10" s="102" t="str">
        <f t="shared" ca="1" si="0"/>
        <v>ANO</v>
      </c>
      <c r="AG10" s="121" t="s">
        <v>124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6 OZ, 0 (0+0), -4 ±</v>
      </c>
      <c r="AY10" s="129" t="str">
        <f t="shared" ca="1" si="2"/>
        <v>6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1099</v>
      </c>
      <c r="BZ10" s="103" t="s">
        <v>958</v>
      </c>
      <c r="CA10" s="115" t="s">
        <v>205</v>
      </c>
    </row>
    <row r="11" spans="1:79" ht="15" customHeight="1" thickTop="1" thickBot="1" x14ac:dyDescent="0.25">
      <c r="R11" s="13"/>
      <c r="S11" s="110" t="s">
        <v>14</v>
      </c>
      <c r="T11" s="102" t="s">
        <v>119</v>
      </c>
      <c r="U11" s="102">
        <v>6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-8</v>
      </c>
      <c r="AC11" s="102" t="str">
        <f t="shared" ca="1" si="0"/>
        <v>ANO</v>
      </c>
      <c r="AG11" s="121" t="s">
        <v>123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149</v>
      </c>
      <c r="AQ11" s="123">
        <v>169</v>
      </c>
      <c r="AR11" s="123">
        <v>70</v>
      </c>
      <c r="AS11" s="126" t="s">
        <v>791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7 OZ, 0 (0+0), -7 ±</v>
      </c>
      <c r="AY11" s="129" t="str">
        <f t="shared" ca="1" si="2"/>
        <v>209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1189</v>
      </c>
      <c r="BZ11" s="103" t="s">
        <v>957</v>
      </c>
      <c r="CA11" s="115" t="s">
        <v>205</v>
      </c>
    </row>
    <row r="12" spans="1:79" ht="15" customHeight="1" thickTop="1" thickBot="1" x14ac:dyDescent="0.25">
      <c r="A12" s="341" t="s">
        <v>116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43" t="s">
        <v>7</v>
      </c>
      <c r="I12" s="343"/>
      <c r="J12" s="343"/>
      <c r="K12" s="343"/>
      <c r="M12" s="341" t="s">
        <v>0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8</v>
      </c>
      <c r="T12" s="102" t="s">
        <v>119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-1</v>
      </c>
      <c r="AC12" s="102" t="str">
        <f t="shared" ca="1" si="0"/>
        <v>ANO</v>
      </c>
      <c r="AG12" s="121" t="s">
        <v>126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198</v>
      </c>
      <c r="BU12" s="103">
        <v>6</v>
      </c>
      <c r="BV12" s="104" t="str">
        <f t="shared" si="14"/>
        <v>Viktor Kopecký</v>
      </c>
      <c r="BW12" s="102">
        <f t="shared" si="15"/>
        <v>6</v>
      </c>
      <c r="BX12" s="116" t="s">
        <v>210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1995</v>
      </c>
      <c r="C13" s="345"/>
      <c r="D13" s="5">
        <f ca="1">IFERROR(VLOOKUP(A12,OFFSET($AG$2,,,COUNTIF($AG$2:$AG$50,"?*"),23),15,FALSE),"")</f>
        <v>26</v>
      </c>
      <c r="E13" s="335" t="str">
        <f ca="1">IFERROR(VLOOKUP(A12,OFFSET($AG$2,,,COUNTIF($AG$2:$AG$50,"?*"),23),16,FALSE),"")</f>
        <v>191/78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6">
        <f ca="1">IFERROR(VLOOKUP(M12,OFFSET($AG$2,,,COUNTIF($AG$2:$AG$50,"?*"),23),15,FALSE),"")</f>
        <v>18</v>
      </c>
      <c r="Q13" s="335" t="str">
        <f ca="1">IFERROR(VLOOKUP(M12,OFFSET($AG$2,,,COUNTIF($AG$2:$AG$50,"?*"),23),16,FALSE),"")</f>
        <v>185/71</v>
      </c>
      <c r="R13" s="336"/>
      <c r="S13" s="110" t="s">
        <v>118</v>
      </c>
      <c r="T13" s="102" t="s">
        <v>119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-5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149</v>
      </c>
      <c r="AQ13" s="123">
        <v>185</v>
      </c>
      <c r="AR13" s="123">
        <v>71</v>
      </c>
      <c r="AS13" s="126" t="s">
        <v>157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7 OZ, 5 (3+2), -10 ±</v>
      </c>
      <c r="AY13" s="129" t="str">
        <f t="shared" ca="1" si="2"/>
        <v>27 OZ, 10 (7+3)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1196</v>
      </c>
      <c r="BU13" s="103">
        <v>4</v>
      </c>
      <c r="BV13" s="104" t="str">
        <f t="shared" si="14"/>
        <v>Jan Procházka</v>
      </c>
      <c r="BW13" s="102">
        <f t="shared" si="15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>6 OZ, 9 (6+3), -6 ±</v>
      </c>
      <c r="B14" s="338"/>
      <c r="C14" s="338"/>
      <c r="D14" s="339" t="str">
        <f ca="1">IFERROR(VLOOKUP(A12,OFFSET($AG$2,,,COUNTIF($AG$2:$AG$50,"?*"),23),19,FALSE),"")</f>
        <v>109 OZ, 133 (90+43)</v>
      </c>
      <c r="E14" s="339"/>
      <c r="F14" s="340"/>
      <c r="G14" s="341" t="s">
        <v>155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32</v>
      </c>
      <c r="M14" s="337" t="str">
        <f ca="1">IFERROR(VLOOKUP(M12,OFFSET($AG$2,,,COUNTIF($AG$2:$AG$50,"?*"),23),18,FALSE),"")</f>
        <v>7 OZ, 5 (3+2), -10 ±</v>
      </c>
      <c r="N14" s="338"/>
      <c r="O14" s="338"/>
      <c r="P14" s="339" t="str">
        <f ca="1">IFERROR(VLOOKUP(M12,OFFSET($AG$2,,,COUNTIF($AG$2:$AG$50,"?*"),23),19,FALSE),"")</f>
        <v>27 OZ, 10 (7+3)</v>
      </c>
      <c r="Q14" s="339"/>
      <c r="R14" s="340"/>
      <c r="S14" s="110" t="s">
        <v>3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116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149</v>
      </c>
      <c r="AQ14" s="123">
        <v>191</v>
      </c>
      <c r="AR14" s="123">
        <v>78</v>
      </c>
      <c r="AS14" s="126" t="s">
        <v>271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6 OZ, 9 (6+3), -6 ±</v>
      </c>
      <c r="AY14" s="129" t="str">
        <f t="shared" ca="1" si="2"/>
        <v>109 OZ, 133 (90+43)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1192</v>
      </c>
      <c r="BU14" s="103">
        <v>3</v>
      </c>
      <c r="BV14" s="104" t="str">
        <f t="shared" si="14"/>
        <v>Ivan Pergler</v>
      </c>
      <c r="BW14" s="102">
        <f t="shared" si="15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Florbal Ústí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2008</v>
      </c>
      <c r="E15" s="35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2000</v>
      </c>
      <c r="I15" s="345"/>
      <c r="J15" s="5">
        <f ca="1">IFERROR(VLOOKUP(G14,OFFSET($AG$2,,,COUNTIF($AG$2:$AG$50,"?*"),23),15,FALSE),"")</f>
        <v>20</v>
      </c>
      <c r="K15" s="335" t="str">
        <f ca="1">IFERROR(VLOOKUP(G14,OFFSET($AG$2,,,COUNTIF($AG$2:$AG$50,"?*"),23),16,FALSE),"")</f>
        <v>175/70</v>
      </c>
      <c r="L15" s="336"/>
      <c r="M15" s="346" t="str">
        <f ca="1">IFERROR(IF(VLOOKUP(M12,OFFSET($AG$2,,,COUNTIF($AG$2:$AG$50,"?*"),23),13,FALSE)&lt;&gt;0,VLOOKUP(M12,OFFSET($AG$2,,,COUNTIF($AG$2:$AG$50,"?*"),23),13,FALSE),"?"),"")</f>
        <v>SK Florbal Benešov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2009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121</v>
      </c>
      <c r="U15" s="102">
        <v>4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0</v>
      </c>
      <c r="AC15" s="102" t="str">
        <f t="shared" ca="1" si="0"/>
        <v>ANO</v>
      </c>
      <c r="AG15" s="121" t="s">
        <v>158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149</v>
      </c>
      <c r="AQ15" s="123">
        <v>173</v>
      </c>
      <c r="AR15" s="123">
        <v>70</v>
      </c>
      <c r="AS15" s="126" t="s">
        <v>159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1197</v>
      </c>
      <c r="BU15" s="103">
        <v>3</v>
      </c>
      <c r="BV15" s="104" t="str">
        <f t="shared" si="14"/>
        <v>Jan Fiala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4 OZ, 1 (0+1), -1 ±</v>
      </c>
      <c r="H16" s="338"/>
      <c r="I16" s="338"/>
      <c r="J16" s="339" t="str">
        <f ca="1">IFERROR(VLOOKUP(G14,OFFSET($AG$2,,,COUNTIF($AG$2:$AG$50,"?*"),23),19,FALSE),"")</f>
        <v>58 OZ, 17 (2+15)</v>
      </c>
      <c r="K16" s="339"/>
      <c r="L16" s="340"/>
      <c r="R16" s="13"/>
      <c r="S16" s="110" t="s">
        <v>155</v>
      </c>
      <c r="U16" s="102">
        <v>4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</v>
      </c>
      <c r="AC16" s="102" t="str">
        <f t="shared" ca="1" si="0"/>
        <v>ANO</v>
      </c>
      <c r="AG16" s="121" t="s">
        <v>160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166</v>
      </c>
      <c r="AP16" s="125" t="s">
        <v>27</v>
      </c>
      <c r="AQ16" s="123">
        <v>187</v>
      </c>
      <c r="AR16" s="123">
        <v>92</v>
      </c>
      <c r="AS16" s="126" t="s">
        <v>161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6 OZ, 2 (2+0), -5 ±</v>
      </c>
      <c r="AY16" s="129" t="str">
        <f t="shared" ca="1" si="2"/>
        <v>102 OZ, 20 (12+8)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896</v>
      </c>
      <c r="BU16" s="103">
        <v>3</v>
      </c>
      <c r="BV16" s="104" t="str">
        <f t="shared" si="14"/>
        <v>Vojtěch Klápa</v>
      </c>
      <c r="BW16" s="102">
        <f t="shared" si="15"/>
        <v>3</v>
      </c>
    </row>
    <row r="17" spans="1:75" ht="15" customHeight="1" thickTop="1" thickBot="1" x14ac:dyDescent="0.25">
      <c r="A17" s="341" t="s">
        <v>4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6" t="str">
        <f ca="1">IFERROR(IF(VLOOKUP(G14,OFFSET($AG$2,,,COUNTIF($AG$2:$AG$50,"?*"),23),13,FALSE)&lt;&gt;0,VLOOKUP(G14,OFFSET($AG$2,,,COUNTIF($AG$2:$AG$50,"?*"),23),13,FALSE),"?"),"")</f>
        <v>SKV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2015</v>
      </c>
      <c r="K17" s="350"/>
      <c r="L17" s="7">
        <f ca="1">IFERROR(IF(VLOOKUP(G14,OFFSET($AG$2,,,COUNTIF($AG$2:$AG$50,"?*"),23),7,FALSE)&lt;&gt;0,VLOOKUP(G14,OFFSET($AG$2,,,COUNTIF($AG$2:$AG$50,"?*"),23),7,FALSE),"?"),"")</f>
        <v>4</v>
      </c>
      <c r="M17" s="341" t="s">
        <v>123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126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162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163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796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1999</v>
      </c>
      <c r="C18" s="345"/>
      <c r="D18" s="150">
        <f ca="1">IFERROR(VLOOKUP(A17,OFFSET($AG$2,,,COUNTIF($AG$2:$AG$50,"?*"),23),15,FALSE),"")</f>
        <v>22</v>
      </c>
      <c r="E18" s="335" t="str">
        <f ca="1">IFERROR(VLOOKUP(A17,OFFSET($AG$2,,,COUNTIF($AG$2:$AG$50,"?*"),23),16,FALSE),"")</f>
        <v>181/82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1993</v>
      </c>
      <c r="O18" s="345"/>
      <c r="P18" s="6">
        <f ca="1">IFERROR(VLOOKUP(M17,OFFSET($AG$2,,,COUNTIF($AG$2:$AG$50,"?*"),23),15,FALSE),"")</f>
        <v>28</v>
      </c>
      <c r="Q18" s="335" t="str">
        <f ca="1">IFERROR(VLOOKUP(M17,OFFSET($AG$2,,,COUNTIF($AG$2:$AG$50,"?*"),23),16,FALSE),"")</f>
        <v>169/70</v>
      </c>
      <c r="R18" s="336"/>
      <c r="S18" s="110" t="s">
        <v>2</v>
      </c>
      <c r="T18" s="102" t="s">
        <v>119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797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7" t="str">
        <f ca="1">IFERROR(VLOOKUP(A17,OFFSET($AG$2,,,COUNTIF($AG$2:$AG$50,"?*"),23),18,FALSE),"")</f>
        <v>7 OZ, 3 (1+2), -4 ±</v>
      </c>
      <c r="B19" s="338"/>
      <c r="C19" s="338"/>
      <c r="D19" s="339" t="str">
        <f ca="1">IFERROR(VLOOKUP(A17,OFFSET($AG$2,,,COUNTIF($AG$2:$AG$50,"?*"),23),19,FALSE),"")</f>
        <v>31 OZ, 4 (1+3)</v>
      </c>
      <c r="E19" s="339"/>
      <c r="F19" s="340"/>
      <c r="H19" s="351" t="str">
        <f>H$8</f>
        <v>SKV</v>
      </c>
      <c r="I19" s="351"/>
      <c r="J19" s="351"/>
      <c r="K19" s="351"/>
      <c r="M19" s="337" t="str">
        <f ca="1">IFERROR(VLOOKUP(M17,OFFSET($AG$2,,,COUNTIF($AG$2:$AG$50,"?*"),23),18,FALSE),"")</f>
        <v>7 OZ, 0 (0+0), -7 ±</v>
      </c>
      <c r="N19" s="338"/>
      <c r="O19" s="338"/>
      <c r="P19" s="339" t="str">
        <f ca="1">IFERROR(VLOOKUP(M17,OFFSET($AG$2,,,COUNTIF($AG$2:$AG$50,"?*"),23),19,FALSE),"")</f>
        <v>209 OZ, 67 (36+31)</v>
      </c>
      <c r="Q19" s="339"/>
      <c r="R19" s="340"/>
      <c r="S19" s="110" t="s">
        <v>19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121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149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4 OZ, 1 (0+1), 0 ±</v>
      </c>
      <c r="AY19" s="129" t="str">
        <f t="shared" ca="1" si="2"/>
        <v>17 OZ, 2 (0+2)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Bohemians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2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SKF Draci 99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122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272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11</v>
      </c>
      <c r="T21" s="102" t="s">
        <v>64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-9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149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5 OZ, 0 (0+0), -1 ±</v>
      </c>
      <c r="AY21" s="129" t="str">
        <f t="shared" ca="1" si="2"/>
        <v>23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123</v>
      </c>
      <c r="T22" s="102" t="s">
        <v>64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120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425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7 OZ, 5 (3+2), -8 ±</v>
      </c>
      <c r="AY22" s="129" t="str">
        <f t="shared" ca="1" si="2"/>
        <v>19 OZ, 6 (3+3)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80" t="s">
        <v>38</v>
      </c>
      <c r="BT22" s="104" t="s">
        <v>798</v>
      </c>
      <c r="BU22" s="103">
        <v>7</v>
      </c>
      <c r="BV22" s="104" t="str">
        <f t="shared" si="14"/>
        <v>Jan Fiala</v>
      </c>
      <c r="BW22" s="102">
        <f t="shared" si="15"/>
        <v>7</v>
      </c>
    </row>
    <row r="23" spans="1:75" ht="15" customHeight="1" thickTop="1" thickBot="1" x14ac:dyDescent="0.25">
      <c r="A23" s="341" t="s">
        <v>118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43" t="s">
        <v>13</v>
      </c>
      <c r="I23" s="343"/>
      <c r="J23" s="343"/>
      <c r="K23" s="343"/>
      <c r="M23" s="341" t="s">
        <v>17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17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149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7 OZ, 0 (0+0), -8 ±</v>
      </c>
      <c r="AY23" s="129" t="str">
        <f t="shared" ca="1" si="2"/>
        <v>30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80"/>
      <c r="BT23" s="104" t="s">
        <v>1198</v>
      </c>
      <c r="BU23" s="103">
        <v>3</v>
      </c>
      <c r="BV23" s="104" t="str">
        <f t="shared" si="14"/>
        <v>Ondřej Stuchlík</v>
      </c>
      <c r="BW23" s="102">
        <f t="shared" si="15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4">
        <f ca="1">IFERROR(IF(VLOOKUP(A23,OFFSET($AG$2,,,COUNTIF($AG$2:$AG$50,"?*"),23),2,FALSE)&lt;&gt;0,YEAR(VLOOKUP(A23,OFFSET($AG$2,,,COUNTIF($AG$2:$AG$50,"?*"),23),2,FALSE)),""),"")</f>
        <v>2002</v>
      </c>
      <c r="C24" s="345"/>
      <c r="D24" s="5">
        <f ca="1">IFERROR(VLOOKUP(A23,OFFSET($AG$2,,,COUNTIF($AG$2:$AG$50,"?*"),23),15,FALSE),"")</f>
        <v>19</v>
      </c>
      <c r="E24" s="335" t="str">
        <f ca="1">IFERROR(VLOOKUP(A23,OFFSET($AG$2,,,COUNTIF($AG$2:$AG$50,"?*"),23),16,FALSE),"")</f>
        <v>182/75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2002</v>
      </c>
      <c r="O24" s="345"/>
      <c r="P24" s="6">
        <f ca="1">IFERROR(VLOOKUP(M23,OFFSET($AG$2,,,COUNTIF($AG$2:$AG$50,"?*"),23),15,FALSE),"")</f>
        <v>19</v>
      </c>
      <c r="Q24" s="335" t="str">
        <f ca="1">IFERROR(VLOOKUP(M23,OFFSET($AG$2,,,COUNTIF($AG$2:$AG$50,"?*"),23),16,FALSE),"")</f>
        <v>181/66</v>
      </c>
      <c r="R24" s="336"/>
      <c r="S24" s="110" t="s">
        <v>122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 t="s">
        <v>125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149</v>
      </c>
      <c r="AQ24" s="123">
        <v>186</v>
      </c>
      <c r="AR24" s="123">
        <v>80</v>
      </c>
      <c r="AS24" s="126" t="s">
        <v>164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7 OZ, 4 (4+0), -4 ±</v>
      </c>
      <c r="AY24" s="129" t="str">
        <f t="shared" ca="1" si="2"/>
        <v>28 OZ, 17 (8+9)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80"/>
      <c r="BT24" s="104" t="s">
        <v>1199</v>
      </c>
      <c r="BU24" s="103">
        <v>3</v>
      </c>
      <c r="BV24" s="104" t="str">
        <f t="shared" si="14"/>
        <v>Viktor Kopecký</v>
      </c>
      <c r="BW24" s="102">
        <f t="shared" si="15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>6 OZ, 1 (1+0), -5 ±</v>
      </c>
      <c r="B25" s="338"/>
      <c r="C25" s="338"/>
      <c r="D25" s="339" t="str">
        <f ca="1">IFERROR(VLOOKUP(A23,OFFSET($AG$2,,,COUNTIF($AG$2:$AG$50,"?*"),23),19,FALSE),"")</f>
        <v>23 OZ, 3 (2+1)</v>
      </c>
      <c r="E25" s="339"/>
      <c r="F25" s="340"/>
      <c r="G25" s="341" t="s">
        <v>120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7" t="str">
        <f ca="1">IFERROR(VLOOKUP(M23,OFFSET($AG$2,,,COUNTIF($AG$2:$AG$50,"?*"),23),18,FALSE),"")</f>
        <v>7 OZ, 0 (0+0), -8 ±</v>
      </c>
      <c r="N25" s="338"/>
      <c r="O25" s="338"/>
      <c r="P25" s="339" t="str">
        <f ca="1">IFERROR(VLOOKUP(M23,OFFSET($AG$2,,,COUNTIF($AG$2:$AG$50,"?*"),23),19,FALSE),"")</f>
        <v>30 OZ, 0 (0+0)</v>
      </c>
      <c r="Q25" s="339"/>
      <c r="R25" s="340"/>
      <c r="S25" s="110" t="s">
        <v>15</v>
      </c>
      <c r="T25" s="102" t="s">
        <v>117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167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6 OZ, 4 (1+3), -3 ±</v>
      </c>
      <c r="AY25" s="129" t="str">
        <f t="shared" ca="1" si="2"/>
        <v>115 OZ, 60 (33+27)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80"/>
      <c r="BT25" s="104" t="s">
        <v>1200</v>
      </c>
      <c r="BU25" s="103">
        <v>2</v>
      </c>
      <c r="BV25" s="104" t="str">
        <f t="shared" si="14"/>
        <v>Ivan Pergler</v>
      </c>
      <c r="BW25" s="102">
        <f t="shared" si="15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FA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2010</v>
      </c>
      <c r="E26" s="35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4">
        <f ca="1">IFERROR(IF(VLOOKUP(G25,OFFSET($AG$2,,,COUNTIF($AG$2:$AG$50,"?*"),23),2,FALSE)&lt;&gt;0,YEAR(VLOOKUP(G25,OFFSET($AG$2,,,COUNTIF($AG$2:$AG$50,"?*"),23),2,FALSE)),""),"")</f>
        <v>2000</v>
      </c>
      <c r="I26" s="345"/>
      <c r="J26" s="5">
        <f ca="1">IFERROR(VLOOKUP(G25,OFFSET($AG$2,,,COUNTIF($AG$2:$AG$50,"?*"),23),15,FALSE),"")</f>
        <v>21</v>
      </c>
      <c r="K26" s="335" t="str">
        <f ca="1">IFERROR(VLOOKUP(G25,OFFSET($AG$2,,,COUNTIF($AG$2:$AG$50,"?*"),23),16,FALSE),"")</f>
        <v>180/72</v>
      </c>
      <c r="L26" s="336"/>
      <c r="M26" s="346" t="str">
        <f ca="1">IFERROR(IF(VLOOKUP(M23,OFFSET($AG$2,,,COUNTIF($AG$2:$AG$50,"?*"),23),13,FALSE)&lt;&gt;0,VLOOKUP(M23,OFFSET($AG$2,,,COUNTIF($AG$2:$AG$50,"?*"),23),13,FALSE),"?"),"")</f>
        <v>SKV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2012</v>
      </c>
      <c r="Q26" s="350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149</v>
      </c>
      <c r="AQ26" s="123">
        <v>173</v>
      </c>
      <c r="AR26" s="123">
        <v>68</v>
      </c>
      <c r="AS26" s="126" t="s">
        <v>165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6 OZ, 4 (3+1), -8 ±</v>
      </c>
      <c r="AY26" s="129" t="str">
        <f t="shared" ca="1" si="2"/>
        <v>103 OZ, 90 (29+61)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80"/>
      <c r="BT26" s="104" t="s">
        <v>1201</v>
      </c>
      <c r="BU26" s="103">
        <v>2</v>
      </c>
      <c r="BV26" s="104" t="str">
        <f t="shared" si="14"/>
        <v>Petr Hartman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7 OZ, 5 (3+2), -8 ±</v>
      </c>
      <c r="H27" s="338"/>
      <c r="I27" s="338"/>
      <c r="J27" s="339" t="str">
        <f ca="1">IFERROR(VLOOKUP(G25,OFFSET($AG$2,,,COUNTIF($AG$2:$AG$50,"?*"),23),19,FALSE),"")</f>
        <v>19 OZ, 6 (3+3)</v>
      </c>
      <c r="K27" s="339"/>
      <c r="L27" s="340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152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2 V, 2 P</v>
      </c>
      <c r="AY27" s="129" t="str">
        <f t="shared" ca="1" si="2"/>
        <v>44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80" t="s">
        <v>39</v>
      </c>
      <c r="BT27" s="104" t="s">
        <v>798</v>
      </c>
      <c r="BU27" s="103">
        <v>6</v>
      </c>
      <c r="BV27" s="104" t="str">
        <f t="shared" si="14"/>
        <v>Jan Fiala</v>
      </c>
      <c r="BW27" s="102">
        <f t="shared" si="15"/>
        <v>6</v>
      </c>
    </row>
    <row r="28" spans="1:75" ht="15" customHeight="1" thickTop="1" thickBot="1" x14ac:dyDescent="0.25">
      <c r="A28" s="341" t="s">
        <v>160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6" t="str">
        <f ca="1">IFERROR(IF(VLOOKUP(G25,OFFSET($AG$2,,,COUNTIF($AG$2:$AG$50,"?*"),23),13,FALSE)&lt;&gt;0,VLOOKUP(G25,OFFSET($AG$2,,,COUNTIF($AG$2:$AG$50,"?*"),23),13,FALSE),"?"),"")</f>
        <v>Vosy Praha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2010</v>
      </c>
      <c r="K28" s="350"/>
      <c r="L28" s="7">
        <f ca="1">IFERROR(IF(VLOOKUP(G25,OFFSET($AG$2,,,COUNTIF($AG$2:$AG$50,"?*"),23),7,FALSE)&lt;&gt;0,VLOOKUP(G25,OFFSET($AG$2,,,COUNTIF($AG$2:$AG$50,"?*"),23),7,FALSE),"?"),"")</f>
        <v>4</v>
      </c>
      <c r="M28" s="341" t="s">
        <v>14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168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80"/>
      <c r="BT28" s="104" t="s">
        <v>853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4">
        <f ca="1">IFERROR(IF(VLOOKUP(A28,OFFSET($AG$2,,,COUNTIF($AG$2:$AG$50,"?*"),23),2,FALSE)&lt;&gt;0,YEAR(VLOOKUP(A28,OFFSET($AG$2,,,COUNTIF($AG$2:$AG$50,"?*"),23),2,FALSE)),""),"")</f>
        <v>1988</v>
      </c>
      <c r="C29" s="345"/>
      <c r="D29" s="5">
        <f ca="1">IFERROR(VLOOKUP(A28,OFFSET($AG$2,,,COUNTIF($AG$2:$AG$50,"?*"),23),15,FALSE),"")</f>
        <v>33</v>
      </c>
      <c r="E29" s="335" t="str">
        <f ca="1">IFERROR(VLOOKUP(A28,OFFSET($AG$2,,,COUNTIF($AG$2:$AG$50,"?*"),23),16,FALSE),"")</f>
        <v>187/92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1991</v>
      </c>
      <c r="O29" s="345"/>
      <c r="P29" s="6">
        <f ca="1">IFERROR(VLOOKUP(M28,OFFSET($AG$2,,,COUNTIF($AG$2:$AG$50,"?*"),23),15,FALSE),"")</f>
        <v>30</v>
      </c>
      <c r="Q29" s="335" t="str">
        <f ca="1">IFERROR(VLOOKUP(M28,OFFSET($AG$2,,,COUNTIF($AG$2:$AG$50,"?*"),23),16,FALSE),"")</f>
        <v>180/78</v>
      </c>
      <c r="R29" s="336"/>
      <c r="S29" s="111"/>
      <c r="AC29" s="102" t="str">
        <f t="shared" ca="1" si="16"/>
        <v/>
      </c>
      <c r="AG29" s="121" t="s">
        <v>169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149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80"/>
      <c r="BT29" s="104" t="s">
        <v>894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37" t="str">
        <f ca="1">IFERROR(VLOOKUP(A28,OFFSET($AG$2,,,COUNTIF($AG$2:$AG$50,"?*"),23),18,FALSE),"")</f>
        <v>6 OZ, 2 (2+0), -5 ±</v>
      </c>
      <c r="B30" s="338"/>
      <c r="C30" s="338"/>
      <c r="D30" s="339" t="str">
        <f ca="1">IFERROR(VLOOKUP(A28,OFFSET($AG$2,,,COUNTIF($AG$2:$AG$50,"?*"),23),19,FALSE),"")</f>
        <v>102 OZ, 20 (12+8)</v>
      </c>
      <c r="E30" s="339"/>
      <c r="F30" s="340"/>
      <c r="H30" s="351" t="str">
        <f>H$8</f>
        <v>SKV</v>
      </c>
      <c r="I30" s="351"/>
      <c r="J30" s="351"/>
      <c r="K30" s="351"/>
      <c r="M30" s="337" t="str">
        <f ca="1">IFERROR(VLOOKUP(M28,OFFSET($AG$2,,,COUNTIF($AG$2:$AG$50,"?*"),23),18,FALSE),"")</f>
        <v>6 OZ, 2 (0+2), -8 ±</v>
      </c>
      <c r="N30" s="338"/>
      <c r="O30" s="338"/>
      <c r="P30" s="339" t="str">
        <f ca="1">IFERROR(VLOOKUP(M28,OFFSET($AG$2,,,COUNTIF($AG$2:$AG$50,"?*"),23),19,FALSE),"")</f>
        <v>88 OZ, 69 (45+24)</v>
      </c>
      <c r="Q30" s="339"/>
      <c r="R30" s="340"/>
      <c r="S30" s="111"/>
      <c r="AC30" s="102" t="str">
        <f t="shared" ca="1" si="16"/>
        <v/>
      </c>
      <c r="AG30" s="121" t="s">
        <v>118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241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6 OZ, 1 (1+0), -5 ±</v>
      </c>
      <c r="AY30" s="129" t="str">
        <f t="shared" ca="1" si="2"/>
        <v>23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80"/>
      <c r="BT30" s="104" t="s">
        <v>895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SC Sportcentrum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2000</v>
      </c>
      <c r="E31" s="350"/>
      <c r="F31" s="7">
        <f ca="1">IFERROR(IF(VLOOKUP(A28,OFFSET($AG$2,,,COUNTIF($AG$2:$AG$50,"?*"),23),7,FALSE)&lt;&gt;0,VLOOKUP(A28,OFFSET($AG$2,,,COUNTIF($AG$2:$AG$50,"?*"),23),7,FALSE),"?"),"")</f>
        <v>7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FBK Kunovští Orli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2008</v>
      </c>
      <c r="Q31" s="350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896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 t="s">
        <v>122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52" t="s">
        <v>16</v>
      </c>
      <c r="J34" s="341" t="s">
        <v>19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4">
        <f ca="1">IFERROR(IF(VLOOKUP(A34,OFFSET($AG$2,,,COUNTIF($AG$2:$AG$50,"?*"),23),2,FALSE)&lt;&gt;0,YEAR(VLOOKUP(A34,OFFSET($AG$2,,,COUNTIF($AG$2:$AG$50,"?*"),23),2,FALSE)),""),"")</f>
        <v>1998</v>
      </c>
      <c r="C35" s="345"/>
      <c r="D35" s="5">
        <f ca="1">IFERROR(VLOOKUP(A34,OFFSET($AG$2,,,COUNTIF($AG$2:$AG$50,"?*"),23),15,FALSE),"")</f>
        <v>23</v>
      </c>
      <c r="E35" s="335" t="str">
        <f ca="1">IFERROR(VLOOKUP(A34,OFFSET($AG$2,,,COUNTIF($AG$2:$AG$50,"?*"),23),16,FALSE),"")</f>
        <v>175/69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L</v>
      </c>
      <c r="K35" s="345">
        <f ca="1">IFERROR(IF(VLOOKUP(J34,OFFSET($AG$2,,,COUNTIF($AG$2:$AG$50,"?*"),23),2,FALSE)&lt;&gt;0,YEAR(VLOOKUP(J34,OFFSET($AG$2,,,COUNTIF($AG$2:$AG$50,"?*"),23),2,FALSE)),""),"")</f>
        <v>2002</v>
      </c>
      <c r="L35" s="353"/>
      <c r="M35" s="15">
        <f ca="1">IFERROR(VLOOKUP(J34,OFFSET($AG$2,,,COUNTIF($AG$2:$AG$50,"?*"),23),15,FALSE),"")</f>
        <v>19</v>
      </c>
      <c r="N35" s="353" t="str">
        <f ca="1">IFERROR(VLOOKUP(J34,OFFSET($AG$2,,,COUNTIF($AG$2:$AG$50,"?*"),23),16,FALSE),"")</f>
        <v>187/61</v>
      </c>
      <c r="O35" s="353"/>
      <c r="P35" s="353" t="str">
        <f ca="1">IFERROR(VLOOKUP(J34,OFFSET($AG$2,,,COUNTIF($AG$2:$AG$50,"?*"),23),18,FALSE),"")</f>
        <v>5 OZ, 0 (0+0), -1 ±</v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1" t="str">
        <f ca="1">IFERROR(VLOOKUP(A34,OFFSET($AG$2,,,COUNTIF($AG$2:$AG$50,"?*"),23),18,FALSE),"")</f>
        <v>0 V, 4 P</v>
      </c>
      <c r="C36" s="361"/>
      <c r="D36" s="362">
        <f ca="1">IFERROR(VLOOKUP(A34,OFFSET($S$45,,,COUNTIF($S$45:$S$50,"?*"),14),5,FALSE),"")</f>
        <v>28</v>
      </c>
      <c r="E36" s="363"/>
      <c r="F36" s="17">
        <f ca="1">IFERROR(VLOOKUP(A34,OFFSET($S$45,,,COUNTIF($S$45:$S$50,"?*"),14),14,FALSE),"")</f>
        <v>74.545454545454547</v>
      </c>
      <c r="H36" s="352"/>
      <c r="J36" s="18">
        <f ca="1">IFERROR(IF(VLOOKUP(J34,OFFSET($AG$2,,,COUNTIF($AG$2:$AG$50,"?*"),23),7,FALSE)&lt;&gt;0,VLOOKUP(J34,OFFSET($AG$2,,,COUNTIF($AG$2:$AG$50,"?*"),23),7,FALSE),"?"),"")</f>
        <v>2</v>
      </c>
      <c r="K36" s="364" t="str">
        <f ca="1">IFERROR(VLOOKUP(J34,OFFSET($AG$2,,,COUNTIF($AG$2:$AG$50,"?*"),23),19,FALSE),"")</f>
        <v>23 OZ, 3 (2+1)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SKV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2013</v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198.22</v>
      </c>
      <c r="B37" s="355"/>
      <c r="C37" s="356">
        <f ca="1">IFERROR(VLOOKUP(A34,OFFSET($S$45,,,COUNTIF($S$45:$S$50,"?*"),14),13,FALSE),"")</f>
        <v>8.4754313389163567</v>
      </c>
      <c r="D37" s="357"/>
      <c r="E37" s="358" t="str">
        <f ca="1">IFERROR(VLOOKUP(A34,OFFSET($AG$2,,,COUNTIF($AG$2:$AG$50,"?*"),23),19,FALSE),"")</f>
        <v>41 OZ, 0 A</v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FTC Vysoké Mýto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2012</v>
      </c>
      <c r="E38" s="350"/>
      <c r="F38" s="19">
        <f ca="1">IFERROR(VLOOKUP(A34,OFFSET($S$45,,,COUNTIF($S$45:$S$50,"?*"),14),6,FALSE),"")</f>
        <v>0</v>
      </c>
      <c r="H38" s="352"/>
      <c r="J38" s="341" t="s">
        <v>124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2002</v>
      </c>
      <c r="L39" s="353"/>
      <c r="M39" s="151">
        <f ca="1">IFERROR(VLOOKUP(J38,OFFSET($AG$2,,,COUNTIF($AG$2:$AG$50,"?*"),23),15,FALSE),"")</f>
        <v>19</v>
      </c>
      <c r="N39" s="353" t="str">
        <f ca="1">IFERROR(VLOOKUP(J38,OFFSET($AG$2,,,COUNTIF($AG$2:$AG$50,"?*"),23),16,FALSE),"")</f>
        <v>? / ?</v>
      </c>
      <c r="O39" s="353"/>
      <c r="P39" s="353" t="str">
        <f ca="1">IFERROR(VLOOKUP(J38,OFFSET($AG$2,,,COUNTIF($AG$2:$AG$50,"?*"),23),18,FALSE),"")</f>
        <v>6 OZ, 0 (0+0), -4 ±</v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1" t="s">
        <v>15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6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Tatran Střešovice</v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>?</v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4">
        <f ca="1">IFERROR(IF(VLOOKUP(A40,OFFSET($AG$2,,,COUNTIF($AG$2:$AG$50,"?*"),23),2,FALSE)&lt;&gt;0,YEAR(VLOOKUP(A40,OFFSET($AG$2,,,COUNTIF($AG$2:$AG$50,"?*"),23),2,FALSE)),""),"")</f>
        <v>1996</v>
      </c>
      <c r="C41" s="345"/>
      <c r="D41" s="5">
        <f ca="1">IFERROR(VLOOKUP(A40,OFFSET($AG$2,,,COUNTIF($AG$2:$AG$50,"?*"),23),15,FALSE),"")</f>
        <v>25</v>
      </c>
      <c r="E41" s="335" t="str">
        <f ca="1">IFERROR(VLOOKUP(A40,OFFSET($AG$2,,,COUNTIF($AG$2:$AG$50,"?*"),23),16,FALSE),"")</f>
        <v>187/88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61" t="str">
        <f ca="1">IFERROR(VLOOKUP(A40,OFFSET($AG$2,,,COUNTIF($AG$2:$AG$50,"?*"),23),18,FALSE),"")</f>
        <v>2 V, 2 P</v>
      </c>
      <c r="C42" s="361"/>
      <c r="D42" s="362">
        <f ca="1">IFERROR(VLOOKUP(A40,OFFSET($S$45,,,COUNTIF($S$45:$S$50,"?*"),14),5,FALSE),"")</f>
        <v>23</v>
      </c>
      <c r="E42" s="363"/>
      <c r="F42" s="17">
        <f ca="1">IFERROR(VLOOKUP(A40,OFFSET($S$45,,,COUNTIF($S$45:$S$50,"?*"),14),14,FALSE),"")</f>
        <v>70.512820512820511</v>
      </c>
      <c r="H42" s="352"/>
      <c r="J42" s="341" t="s">
        <v>2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4">
        <f ca="1">IFERROR(VLOOKUP(A40,OFFSET($S$45,,,COUNTIF($S$45:$S$50,"?*"),14),3,FALSE),"")</f>
        <v>215.12</v>
      </c>
      <c r="B43" s="355"/>
      <c r="C43" s="356">
        <f ca="1">IFERROR(VLOOKUP(A40,OFFSET($S$45,,,COUNTIF($S$45:$S$50,"?*"),14),13,FALSE),"")</f>
        <v>6.4150241725548529</v>
      </c>
      <c r="D43" s="357"/>
      <c r="E43" s="358" t="str">
        <f ca="1">IFERROR(VLOOKUP(A40,OFFSET($AG$2,,,COUNTIF($AG$2:$AG$50,"?*"),23),19,FALSE),"")</f>
        <v>44 OZ, 2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1992</v>
      </c>
      <c r="L43" s="353"/>
      <c r="M43" s="151">
        <f ca="1">IFERROR(VLOOKUP(J42,OFFSET($AG$2,,,COUNTIF($AG$2:$AG$50,"?*"),23),15,FALSE),"")</f>
        <v>29</v>
      </c>
      <c r="N43" s="353" t="str">
        <f ca="1">IFERROR(VLOOKUP(J42,OFFSET($AG$2,,,COUNTIF($AG$2:$AG$50,"?*"),23),16,FALSE),"")</f>
        <v>181/78</v>
      </c>
      <c r="O43" s="353"/>
      <c r="P43" s="353" t="str">
        <f ca="1">IFERROR(VLOOKUP(J42,OFFSET($AG$2,,,COUNTIF($AG$2:$AG$50,"?*"),23),18,FALSE),"")</f>
        <v>3 OZ, 0 (0+0), -3 ±</v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Chodov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2008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10</v>
      </c>
      <c r="K44" s="364" t="str">
        <f ca="1">IFERROR(VLOOKUP(J42,OFFSET($AG$2,,,COUNTIF($AG$2:$AG$50,"?*"),23),19,FALSE),"")</f>
        <v>144 OZ, 149 (90+59)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Pelhřimov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2003</v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122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4</v>
      </c>
      <c r="U46" s="112">
        <v>215.12</v>
      </c>
      <c r="V46" s="102">
        <v>2</v>
      </c>
      <c r="W46" s="102">
        <v>23</v>
      </c>
      <c r="X46" s="102">
        <v>0</v>
      </c>
      <c r="Y46" s="102">
        <v>78</v>
      </c>
      <c r="Z46" s="102">
        <v>0</v>
      </c>
      <c r="AA46" s="102">
        <v>2</v>
      </c>
      <c r="AB46" s="102">
        <v>55</v>
      </c>
      <c r="AC46" s="102">
        <v>0</v>
      </c>
      <c r="AD46" s="102">
        <v>0</v>
      </c>
      <c r="AE46" s="112">
        <f t="shared" ref="AE46:AE50" si="36">IF(S46&lt;&gt;"",IF(T46&gt;0,W46/(U46/60),0),"")</f>
        <v>6.4150241725548529</v>
      </c>
      <c r="AF46" s="112">
        <f t="shared" ref="AF46:AF50" si="37">IF(S46&lt;&gt;"",IF(Y46&gt;0,(AB46/Y46)*100,"-"),"")</f>
        <v>70.512820512820511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81" t="s">
        <v>20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21</v>
      </c>
      <c r="K47" s="382"/>
      <c r="L47" s="382"/>
      <c r="M47" s="382"/>
      <c r="N47" s="377" t="str">
        <f ca="1">IFERROR(VLOOKUP(J47,OFFSET($BN$2,,,COUNTIF($BN$2:$BN$11,"?*"),5),3,FALSE),"")</f>
        <v>trenér</v>
      </c>
      <c r="O47" s="377"/>
      <c r="P47" s="377"/>
      <c r="Q47" s="377"/>
      <c r="R47" s="378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7">
        <f ca="1">IFERROR(VLOOKUP(A47,OFFSET($BN$2,,,COUNTIF($BN$2:$BN$11,"?*"),5),5,FALSE),"")</f>
        <v>38</v>
      </c>
      <c r="B48" s="36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9"/>
      <c r="D48" s="369"/>
      <c r="E48" s="369"/>
      <c r="F48" s="369"/>
      <c r="G48" s="369"/>
      <c r="H48" s="369"/>
      <c r="I48" s="370"/>
      <c r="J48" s="24">
        <f ca="1">IFERROR(VLOOKUP(J47,OFFSET($BN$2,,,COUNTIF($BN$2:$BN$11,"?*"),5),5,FALSE),"")</f>
        <v>35</v>
      </c>
      <c r="K48" s="373" t="str">
        <f ca="1">IFERROR(IF(VLOOKUP(J47,OFFSET($BN$2,,,COUNTIF($BN$2:$BN$11,"?*"),5),4,FALSE)&lt;&gt;0,VLOOKUP(J47,OFFSET($BN$2,,,COUNTIF($BN$2:$BN$11,"?*"),5),4,FALSE),"-"),"")</f>
        <v>2x mistr české ligy (Chodov)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22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24">
        <f ca="1">IFERROR(VLOOKUP(J49,OFFSET($BN$2,,,COUNTIF($BN$2:$BN$11,"?*"),5),5,FALSE),"")</f>
        <v>31</v>
      </c>
      <c r="K50" s="373" t="str">
        <f ca="1">IFERROR(IF(VLOOKUP(J49,OFFSET($BN$2,,,COUNTIF($BN$2:$BN$11,"?*"),5),4,FALSE)&lt;&gt;0,VLOOKUP(J49,OFFSET($BN$2,,,COUNTIF($BN$2:$BN$11,"?*"),5),4,FALSE),"-"),"")</f>
        <v>postup do Tipsport superligy (hráč)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38" priority="13" stopIfTrue="1" operator="equal">
      <formula>"OTR"</formula>
    </cfRule>
    <cfRule type="cellIs" dxfId="737" priority="14" stopIfTrue="1" operator="equal">
      <formula>"PAR"</formula>
    </cfRule>
    <cfRule type="cellIs" dxfId="736" priority="15" stopIfTrue="1" operator="equal">
      <formula>"CLP"</formula>
    </cfRule>
    <cfRule type="cellIs" dxfId="735" priority="16" stopIfTrue="1" operator="equal">
      <formula>"HAT"</formula>
    </cfRule>
    <cfRule type="cellIs" dxfId="734" priority="17" stopIfTrue="1" operator="equal">
      <formula>"LIB"</formula>
    </cfRule>
    <cfRule type="cellIs" dxfId="733" priority="18" stopIfTrue="1" operator="equal">
      <formula>"BA"</formula>
    </cfRule>
    <cfRule type="cellIs" dxfId="732" priority="19" stopIfTrue="1" operator="equal">
      <formula>"SPA"</formula>
    </cfRule>
    <cfRule type="cellIs" dxfId="731" priority="20" stopIfTrue="1" operator="equal">
      <formula>"OST"</formula>
    </cfRule>
    <cfRule type="cellIs" dxfId="730" priority="21" stopIfTrue="1" operator="equal">
      <formula>"BOH"</formula>
    </cfRule>
    <cfRule type="cellIs" dxfId="729" priority="22" stopIfTrue="1" operator="equal">
      <formula>"TAT"</formula>
    </cfRule>
    <cfRule type="cellIs" dxfId="728" priority="23" stopIfTrue="1" operator="equal">
      <formula>"MB"</formula>
    </cfRule>
    <cfRule type="cellIs" dxfId="727" priority="24" stopIfTrue="1" operator="equal">
      <formula>"VIT"</formula>
    </cfRule>
    <cfRule type="cellIs" dxfId="726" priority="25" stopIfTrue="1" operator="equal">
      <formula>"CHO"</formula>
    </cfRule>
    <cfRule type="cellIs" dxfId="725" priority="26" stopIfTrue="1" operator="equal">
      <formula>"SKV"</formula>
    </cfRule>
  </conditionalFormatting>
  <conditionalFormatting sqref="H19:K20">
    <cfRule type="cellIs" dxfId="724" priority="41" stopIfTrue="1" operator="equal">
      <formula>"OTR"</formula>
    </cfRule>
    <cfRule type="cellIs" dxfId="723" priority="42" stopIfTrue="1" operator="equal">
      <formula>"PAR"</formula>
    </cfRule>
    <cfRule type="cellIs" dxfId="722" priority="43" stopIfTrue="1" operator="equal">
      <formula>"CLP"</formula>
    </cfRule>
    <cfRule type="cellIs" dxfId="721" priority="44" stopIfTrue="1" operator="equal">
      <formula>"HAT"</formula>
    </cfRule>
    <cfRule type="cellIs" dxfId="720" priority="45" stopIfTrue="1" operator="equal">
      <formula>"LIB"</formula>
    </cfRule>
    <cfRule type="cellIs" dxfId="719" priority="46" stopIfTrue="1" operator="equal">
      <formula>"BA"</formula>
    </cfRule>
    <cfRule type="cellIs" dxfId="718" priority="47" stopIfTrue="1" operator="equal">
      <formula>"SPA"</formula>
    </cfRule>
    <cfRule type="cellIs" dxfId="717" priority="48" stopIfTrue="1" operator="equal">
      <formula>"OST"</formula>
    </cfRule>
    <cfRule type="cellIs" dxfId="716" priority="49" stopIfTrue="1" operator="equal">
      <formula>"BOH"</formula>
    </cfRule>
    <cfRule type="cellIs" dxfId="715" priority="50" stopIfTrue="1" operator="equal">
      <formula>"TAT"</formula>
    </cfRule>
    <cfRule type="cellIs" dxfId="714" priority="51" stopIfTrue="1" operator="equal">
      <formula>"MB"</formula>
    </cfRule>
    <cfRule type="cellIs" dxfId="713" priority="52" stopIfTrue="1" operator="equal">
      <formula>"VIT"</formula>
    </cfRule>
    <cfRule type="cellIs" dxfId="712" priority="53" stopIfTrue="1" operator="equal">
      <formula>"CHO"</formula>
    </cfRule>
    <cfRule type="cellIs" dxfId="711" priority="54" stopIfTrue="1" operator="equal">
      <formula>"SKV"</formula>
    </cfRule>
  </conditionalFormatting>
  <conditionalFormatting sqref="H8:K9">
    <cfRule type="cellIs" dxfId="710" priority="27" stopIfTrue="1" operator="equal">
      <formula>"OTR"</formula>
    </cfRule>
    <cfRule type="cellIs" dxfId="709" priority="28" stopIfTrue="1" operator="equal">
      <formula>"PAR"</formula>
    </cfRule>
    <cfRule type="cellIs" dxfId="708" priority="29" stopIfTrue="1" operator="equal">
      <formula>"CLP"</formula>
    </cfRule>
    <cfRule type="cellIs" dxfId="707" priority="30" stopIfTrue="1" operator="equal">
      <formula>"HAT"</formula>
    </cfRule>
    <cfRule type="cellIs" dxfId="706" priority="31" stopIfTrue="1" operator="equal">
      <formula>"LIB"</formula>
    </cfRule>
    <cfRule type="cellIs" dxfId="705" priority="32" stopIfTrue="1" operator="equal">
      <formula>"BA"</formula>
    </cfRule>
    <cfRule type="cellIs" dxfId="704" priority="33" stopIfTrue="1" operator="equal">
      <formula>"SPA"</formula>
    </cfRule>
    <cfRule type="cellIs" dxfId="703" priority="34" stopIfTrue="1" operator="equal">
      <formula>"OST"</formula>
    </cfRule>
    <cfRule type="cellIs" dxfId="702" priority="35" stopIfTrue="1" operator="equal">
      <formula>"BOH"</formula>
    </cfRule>
    <cfRule type="cellIs" dxfId="701" priority="36" stopIfTrue="1" operator="equal">
      <formula>"TAT"</formula>
    </cfRule>
    <cfRule type="cellIs" dxfId="700" priority="37" stopIfTrue="1" operator="equal">
      <formula>"MB"</formula>
    </cfRule>
    <cfRule type="cellIs" dxfId="699" priority="38" stopIfTrue="1" operator="equal">
      <formula>"VIT"</formula>
    </cfRule>
    <cfRule type="cellIs" dxfId="698" priority="39" stopIfTrue="1" operator="equal">
      <formula>"CHO"</formula>
    </cfRule>
    <cfRule type="cellIs" dxfId="697" priority="40" stopIfTrue="1" operator="equal">
      <formula>"SKV"</formula>
    </cfRule>
  </conditionalFormatting>
  <conditionalFormatting sqref="S2:S42">
    <cfRule type="expression" dxfId="696" priority="11" stopIfTrue="1">
      <formula>IFERROR(IF(VLOOKUP($S2,OFFSET($AG$2,,,COUNTIF($AG$2:$AG$50,"?*")),1,FALSE)&lt;&gt;0,1,0),0)&gt;0</formula>
    </cfRule>
  </conditionalFormatting>
  <conditionalFormatting sqref="S2:S42">
    <cfRule type="expression" dxfId="695" priority="12">
      <formula>IFERROR(IF(VLOOKUP($S2,OFFSET($AG$2,,,COUNTIF($AG$2:$AG$50,"?*")),1,FALSE)&lt;&gt;0,1,0),0)=0</formula>
    </cfRule>
  </conditionalFormatting>
  <conditionalFormatting sqref="S45:S50">
    <cfRule type="expression" dxfId="694" priority="10">
      <formula>IFERROR(IF(VLOOKUP($S45,OFFSET($AG$2,,,COUNTIF($AG$2:$AG$50,"?*")),1,FALSE)&lt;&gt;0,1,0),0)&gt;0</formula>
    </cfRule>
  </conditionalFormatting>
  <conditionalFormatting sqref="S45:S50">
    <cfRule type="expression" dxfId="693" priority="9">
      <formula>IFERROR(IF(VLOOKUP($S45,OFFSET($AG$2,,,COUNTIF($AG$2:$AG$50,"?*")),1,FALSE)&lt;&gt;0,1,0),0)=0</formula>
    </cfRule>
  </conditionalFormatting>
  <conditionalFormatting sqref="AG2:AG50">
    <cfRule type="expression" dxfId="692" priority="5" stopIfTrue="1">
      <formula>OR($AH2="",$AI2="",$AJ2="",$AK2="",$AL2="",$AM2="",$AN2="",$AQ2="",$AR2="",$AS2="",$AT2="")</formula>
    </cfRule>
    <cfRule type="expression" dxfId="691" priority="7" stopIfTrue="1">
      <formula>IFERROR(IF(VLOOKUP($AG2,OFFSET($S$2,,,COUNTIF($S$2:$S$42,"?*")),1,FALSE)&lt;&gt;0,1,0),0)=0</formula>
    </cfRule>
    <cfRule type="expression" dxfId="690" priority="8">
      <formula>IFERROR(IF(VLOOKUP($AG2,OFFSET($S$2,,,COUNTIF($S$2:$S$42,"?*")),1,FALSE)&lt;&gt;0,1,0),0)&gt;0</formula>
    </cfRule>
  </conditionalFormatting>
  <conditionalFormatting sqref="AG2:BC50">
    <cfRule type="expression" dxfId="689" priority="4">
      <formula>AND($AG2&lt;&gt;"",MOD(ROW($AG2),2)=0)</formula>
    </cfRule>
  </conditionalFormatting>
  <conditionalFormatting sqref="BN2:BR11">
    <cfRule type="expression" dxfId="68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717</v>
      </c>
      <c r="T2" s="102" t="s">
        <v>119</v>
      </c>
      <c r="U2" s="102">
        <v>6</v>
      </c>
      <c r="V2" s="102">
        <v>6</v>
      </c>
      <c r="W2" s="102">
        <v>1</v>
      </c>
      <c r="X2" s="102">
        <v>0</v>
      </c>
      <c r="Y2" s="102">
        <v>4</v>
      </c>
      <c r="Z2" s="102">
        <v>10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711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732</v>
      </c>
      <c r="BU2" s="103">
        <v>10</v>
      </c>
      <c r="BV2" s="104" t="str">
        <f>IFERROR(RIGHT(BT2,LEN(BT2)-SEARCH(" ",BT2)),"")</f>
        <v>Jakub Boček</v>
      </c>
      <c r="BW2" s="102">
        <f>IF(BT2&lt;&gt;0,_xlfn.NUMBERVALUE(BU2,","),"")</f>
        <v>10</v>
      </c>
      <c r="BX2" s="379" t="s">
        <v>211</v>
      </c>
      <c r="BY2" s="103" t="s">
        <v>1188</v>
      </c>
      <c r="BZ2" s="103" t="s">
        <v>926</v>
      </c>
      <c r="CA2" s="115" t="s">
        <v>996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715</v>
      </c>
      <c r="T3" s="102" t="s">
        <v>119</v>
      </c>
      <c r="U3" s="102">
        <v>6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717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6 OZ, 10 (6+4), +10 ±</v>
      </c>
      <c r="AY3" s="129" t="str">
        <f t="shared" ca="1" si="2"/>
        <v>6 OZ, 10 (6+4)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80"/>
      <c r="BT3" s="104" t="s">
        <v>854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79"/>
      <c r="BY3" s="103" t="s">
        <v>207</v>
      </c>
      <c r="BZ3" s="103" t="s">
        <v>920</v>
      </c>
      <c r="CA3" s="115" t="s">
        <v>869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716</v>
      </c>
      <c r="T4" s="102" t="s">
        <v>119</v>
      </c>
      <c r="U4" s="102">
        <v>6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715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6 OZ, 8 (4+4), +11 ±</v>
      </c>
      <c r="AY4" s="129" t="str">
        <f t="shared" ca="1" si="2"/>
        <v>6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80"/>
      <c r="BT4" s="104" t="s">
        <v>910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79"/>
      <c r="BY4" s="103" t="s">
        <v>262</v>
      </c>
      <c r="BZ4" s="103" t="s">
        <v>921</v>
      </c>
      <c r="CA4" s="115" t="s">
        <v>922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R5" s="13"/>
      <c r="S5" s="110" t="s">
        <v>713</v>
      </c>
      <c r="T5" s="102" t="s">
        <v>119</v>
      </c>
      <c r="U5" s="102">
        <v>6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714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6 OZ, 3 (1+2), +4 ±</v>
      </c>
      <c r="AY5" s="129" t="str">
        <f t="shared" ca="1" si="2"/>
        <v>6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80"/>
      <c r="BT5" s="104" t="s">
        <v>911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79"/>
      <c r="BY5" s="103" t="s">
        <v>851</v>
      </c>
      <c r="BZ5" s="103" t="s">
        <v>923</v>
      </c>
      <c r="CA5" s="115" t="s">
        <v>115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710</v>
      </c>
      <c r="U6" s="102">
        <v>5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712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80"/>
      <c r="BT6" s="104" t="s">
        <v>855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79"/>
      <c r="BY6" s="103" t="s">
        <v>204</v>
      </c>
      <c r="BZ6" s="103" t="s">
        <v>924</v>
      </c>
      <c r="CA6" s="115" t="s">
        <v>799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719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0</v>
      </c>
      <c r="AB7" s="102">
        <v>11</v>
      </c>
      <c r="AC7" s="102" t="str">
        <f t="shared" ca="1" si="0"/>
        <v>ANO</v>
      </c>
      <c r="AG7" s="121" t="s">
        <v>723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6 OZ, 1 (1+0), -8 ±</v>
      </c>
      <c r="AY7" s="129" t="str">
        <f t="shared" ca="1" si="2"/>
        <v>6 OZ, 1 (1+0)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730</v>
      </c>
      <c r="BU7" s="103" t="s">
        <v>912</v>
      </c>
      <c r="BV7" s="104" t="str">
        <f t="shared" si="14"/>
        <v>Ondřej Matiášek</v>
      </c>
      <c r="BW7" s="112">
        <f t="shared" si="15"/>
        <v>2.96</v>
      </c>
      <c r="BX7" s="379" t="s">
        <v>212</v>
      </c>
      <c r="BY7" s="103" t="s">
        <v>927</v>
      </c>
      <c r="BZ7" s="103" t="s">
        <v>902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97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711</v>
      </c>
      <c r="T8" s="102" t="s">
        <v>64</v>
      </c>
      <c r="U8" s="102">
        <v>6</v>
      </c>
      <c r="V8" s="102">
        <v>3</v>
      </c>
      <c r="W8" s="102">
        <v>2</v>
      </c>
      <c r="X8" s="102">
        <v>0</v>
      </c>
      <c r="Y8" s="102">
        <v>1</v>
      </c>
      <c r="Z8" s="102">
        <v>4</v>
      </c>
      <c r="AA8" s="102">
        <v>0</v>
      </c>
      <c r="AB8" s="102">
        <v>5</v>
      </c>
      <c r="AC8" s="102" t="str">
        <f t="shared" ca="1" si="0"/>
        <v>ANO</v>
      </c>
      <c r="AG8" s="121" t="s">
        <v>716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6 OZ, 7 (3+4), +4 ±</v>
      </c>
      <c r="AY8" s="129" t="str">
        <f t="shared" ca="1" si="2"/>
        <v>6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731</v>
      </c>
      <c r="BU8" s="103" t="s">
        <v>1203</v>
      </c>
      <c r="BV8" s="104" t="str">
        <f t="shared" si="14"/>
        <v>Daniel Körber</v>
      </c>
      <c r="BW8" s="112">
        <f t="shared" si="15"/>
        <v>6.5</v>
      </c>
      <c r="BX8" s="379"/>
      <c r="BY8" s="103" t="s">
        <v>928</v>
      </c>
      <c r="BZ8" s="103" t="s">
        <v>900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721</v>
      </c>
      <c r="T9" s="102" t="s">
        <v>119</v>
      </c>
      <c r="U9" s="102">
        <v>6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2</v>
      </c>
      <c r="AB9" s="102">
        <v>-1</v>
      </c>
      <c r="AC9" s="102" t="str">
        <f t="shared" ca="1" si="0"/>
        <v>ANO</v>
      </c>
      <c r="AG9" s="121" t="s">
        <v>713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6 OZ, 6 (4+2), +4 ±</v>
      </c>
      <c r="AY9" s="129" t="str">
        <f t="shared" ca="1" si="2"/>
        <v>6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908</v>
      </c>
      <c r="BZ9" s="103" t="s">
        <v>898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712</v>
      </c>
      <c r="T10" s="102" t="s">
        <v>119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4</v>
      </c>
      <c r="AB10" s="102">
        <v>5</v>
      </c>
      <c r="AC10" s="102" t="str">
        <f t="shared" ca="1" si="0"/>
        <v>ANO</v>
      </c>
      <c r="AG10" s="121" t="s">
        <v>710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5 OZ, 5 (3+2), +8 ±</v>
      </c>
      <c r="AY10" s="129" t="str">
        <f t="shared" ca="1" si="2"/>
        <v>5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938</v>
      </c>
      <c r="BZ10" s="103" t="s">
        <v>960</v>
      </c>
      <c r="CA10" s="115" t="s">
        <v>205</v>
      </c>
    </row>
    <row r="11" spans="1:79" ht="15" customHeight="1" thickTop="1" thickBot="1" x14ac:dyDescent="0.25">
      <c r="R11" s="13"/>
      <c r="S11" s="110" t="s">
        <v>714</v>
      </c>
      <c r="T11" s="102" t="s">
        <v>64</v>
      </c>
      <c r="U11" s="102">
        <v>6</v>
      </c>
      <c r="V11" s="102">
        <v>1</v>
      </c>
      <c r="W11" s="102">
        <v>1</v>
      </c>
      <c r="X11" s="102">
        <v>0</v>
      </c>
      <c r="Y11" s="102">
        <v>2</v>
      </c>
      <c r="Z11" s="102">
        <v>3</v>
      </c>
      <c r="AA11" s="102">
        <v>0</v>
      </c>
      <c r="AB11" s="102">
        <v>4</v>
      </c>
      <c r="AC11" s="102" t="str">
        <f t="shared" ca="1" si="0"/>
        <v>ANO</v>
      </c>
      <c r="AG11" s="121" t="s">
        <v>728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6 OZ, 1 (1+0), -6 ±</v>
      </c>
      <c r="AY11" s="129" t="str">
        <f t="shared" ca="1" si="2"/>
        <v>6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1099</v>
      </c>
      <c r="BZ11" s="103" t="s">
        <v>904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723</v>
      </c>
      <c r="T12" s="102" t="s">
        <v>119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726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2 P</v>
      </c>
      <c r="AY12" s="129" t="str">
        <f t="shared" ca="1" si="2"/>
        <v>3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732</v>
      </c>
      <c r="BU12" s="103">
        <v>6</v>
      </c>
      <c r="BV12" s="104" t="str">
        <f t="shared" si="14"/>
        <v>Jakub Boček</v>
      </c>
      <c r="BW12" s="102">
        <f t="shared" si="15"/>
        <v>6</v>
      </c>
      <c r="BX12" s="120" t="s">
        <v>210</v>
      </c>
      <c r="BY12" s="100" t="s">
        <v>1202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728</v>
      </c>
      <c r="T13" s="102" t="s">
        <v>119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-6</v>
      </c>
      <c r="AC13" s="102" t="str">
        <f t="shared" ca="1" si="0"/>
        <v>ANO</v>
      </c>
      <c r="AG13" s="121" t="s">
        <v>727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6 OZ, 0 (0+0), -7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854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803</v>
      </c>
      <c r="T14" s="102" t="s">
        <v>119</v>
      </c>
      <c r="U14" s="102">
        <v>4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NE</v>
      </c>
      <c r="AG14" s="121" t="s">
        <v>724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913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718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-8</v>
      </c>
      <c r="AC15" s="102" t="str">
        <f t="shared" ca="1" si="0"/>
        <v>ANO</v>
      </c>
      <c r="AG15" s="121" t="s">
        <v>725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800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R16" s="13"/>
      <c r="S16" s="110" t="s">
        <v>722</v>
      </c>
      <c r="T16" s="102" t="s">
        <v>119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4</v>
      </c>
      <c r="AB16" s="102">
        <v>12</v>
      </c>
      <c r="AC16" s="102" t="str">
        <f t="shared" ca="1" si="0"/>
        <v>ANO</v>
      </c>
      <c r="AG16" s="121" t="s">
        <v>722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6 OZ, 1 (0+1), +12 ±</v>
      </c>
      <c r="AY16" s="129" t="str">
        <f t="shared" ca="1" si="2"/>
        <v>6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914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725</v>
      </c>
      <c r="T17" s="102" t="s">
        <v>119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718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6 OZ, 1 (0+1), -8 ±</v>
      </c>
      <c r="AY17" s="129" t="str">
        <f t="shared" ca="1" si="2"/>
        <v>6 OZ, 1 (0+1)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730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720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719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6 OZ, 5 (2+3), +11 ±</v>
      </c>
      <c r="AY18" s="129" t="str">
        <f t="shared" ca="1" si="2"/>
        <v>6 OZ, 5 (2+3)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731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729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721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6 OZ, 4 (2+2), -1 ±</v>
      </c>
      <c r="AY19" s="129" t="str">
        <f t="shared" ca="1" si="2"/>
        <v>6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801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NE</v>
      </c>
      <c r="AG20" s="121" t="s">
        <v>720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3 OZ, 0 (0+0), 0 ±</v>
      </c>
      <c r="AY20" s="129" t="str">
        <f t="shared" ca="1" si="2"/>
        <v>3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802</v>
      </c>
      <c r="T21" s="102" t="s">
        <v>119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NE</v>
      </c>
      <c r="AG21" s="121" t="s">
        <v>729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4 OZ, 0 (0+0), -1 ±</v>
      </c>
      <c r="AY21" s="129" t="str">
        <f t="shared" ca="1" si="2"/>
        <v>4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727</v>
      </c>
      <c r="T22" s="102" t="s">
        <v>119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80" t="s">
        <v>38</v>
      </c>
      <c r="BT22" s="104" t="s">
        <v>732</v>
      </c>
      <c r="BU22" s="103">
        <v>4</v>
      </c>
      <c r="BV22" s="104" t="str">
        <f t="shared" si="14"/>
        <v>Jakub Boček</v>
      </c>
      <c r="BW22" s="102">
        <f t="shared" si="15"/>
        <v>4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726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80"/>
      <c r="BT23" s="104" t="s">
        <v>854</v>
      </c>
      <c r="BU23" s="103">
        <v>4</v>
      </c>
      <c r="BV23" s="104" t="str">
        <f t="shared" si="14"/>
        <v>Matěj Boček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724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80"/>
      <c r="BT24" s="104" t="s">
        <v>910</v>
      </c>
      <c r="BU24" s="103">
        <v>4</v>
      </c>
      <c r="BV24" s="104" t="str">
        <f t="shared" si="14"/>
        <v>Radek Hanák</v>
      </c>
      <c r="BW24" s="102">
        <f t="shared" si="15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80"/>
      <c r="BT25" s="104" t="s">
        <v>1204</v>
      </c>
      <c r="BU25" s="103">
        <v>3</v>
      </c>
      <c r="BV25" s="104" t="str">
        <f t="shared" si="14"/>
        <v>Martin Obuškevič</v>
      </c>
      <c r="BW25" s="102">
        <f t="shared" si="15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80"/>
      <c r="BT26" s="104" t="s">
        <v>1205</v>
      </c>
      <c r="BU26" s="103">
        <v>2</v>
      </c>
      <c r="BV26" s="104" t="str">
        <f t="shared" si="14"/>
        <v>Adam Bouček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80" t="s">
        <v>39</v>
      </c>
      <c r="BT27" s="104" t="s">
        <v>915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80"/>
      <c r="BT28" s="104" t="s">
        <v>916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80"/>
      <c r="BT29" s="104" t="s">
        <v>917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80"/>
      <c r="BT30" s="104" t="s">
        <v>918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919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724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726</v>
      </c>
      <c r="T46" s="102">
        <v>3</v>
      </c>
      <c r="U46" s="112">
        <v>175.38</v>
      </c>
      <c r="V46" s="102">
        <v>1</v>
      </c>
      <c r="W46" s="102">
        <v>19</v>
      </c>
      <c r="X46" s="102">
        <v>0</v>
      </c>
      <c r="Y46" s="102">
        <v>71</v>
      </c>
      <c r="Z46" s="102">
        <v>0</v>
      </c>
      <c r="AA46" s="102">
        <v>2</v>
      </c>
      <c r="AB46" s="102">
        <v>52</v>
      </c>
      <c r="AC46" s="102">
        <v>0</v>
      </c>
      <c r="AD46" s="102">
        <v>0</v>
      </c>
      <c r="AE46" s="112">
        <f t="shared" ref="AE46:AE50" si="26">IF(S46&lt;&gt;"",IF(T46&gt;0,W46/(U46/60),0),"")</f>
        <v>6.5001710571330822</v>
      </c>
      <c r="AF46" s="112">
        <f t="shared" ref="AF46:AF50" si="27">IF(S46&lt;&gt;"",IF(Y46&gt;0,(AB46/Y46)*100,"-"),"")</f>
        <v>73.239436619718319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87" priority="10" stopIfTrue="1" operator="equal">
      <formula>"OTR"</formula>
    </cfRule>
    <cfRule type="cellIs" dxfId="686" priority="11" stopIfTrue="1" operator="equal">
      <formula>"PAR"</formula>
    </cfRule>
    <cfRule type="cellIs" dxfId="685" priority="12" stopIfTrue="1" operator="equal">
      <formula>"CLP"</formula>
    </cfRule>
    <cfRule type="cellIs" dxfId="684" priority="13" stopIfTrue="1" operator="equal">
      <formula>"HAT"</formula>
    </cfRule>
    <cfRule type="cellIs" dxfId="683" priority="14" stopIfTrue="1" operator="equal">
      <formula>"LIB"</formula>
    </cfRule>
    <cfRule type="cellIs" dxfId="682" priority="15" stopIfTrue="1" operator="equal">
      <formula>"BA"</formula>
    </cfRule>
    <cfRule type="cellIs" dxfId="681" priority="16" stopIfTrue="1" operator="equal">
      <formula>"SPA"</formula>
    </cfRule>
    <cfRule type="cellIs" dxfId="680" priority="17" stopIfTrue="1" operator="equal">
      <formula>"OST"</formula>
    </cfRule>
    <cfRule type="cellIs" dxfId="679" priority="18" stopIfTrue="1" operator="equal">
      <formula>"BOH"</formula>
    </cfRule>
    <cfRule type="cellIs" dxfId="678" priority="19" stopIfTrue="1" operator="equal">
      <formula>"TAT"</formula>
    </cfRule>
    <cfRule type="cellIs" dxfId="677" priority="20" stopIfTrue="1" operator="equal">
      <formula>"MB"</formula>
    </cfRule>
    <cfRule type="cellIs" dxfId="676" priority="21" stopIfTrue="1" operator="equal">
      <formula>"VIT"</formula>
    </cfRule>
    <cfRule type="cellIs" dxfId="675" priority="22" stopIfTrue="1" operator="equal">
      <formula>"CHO"</formula>
    </cfRule>
    <cfRule type="cellIs" dxfId="674" priority="23" stopIfTrue="1" operator="equal">
      <formula>"SKV"</formula>
    </cfRule>
  </conditionalFormatting>
  <conditionalFormatting sqref="H19:K20">
    <cfRule type="cellIs" dxfId="673" priority="38" stopIfTrue="1" operator="equal">
      <formula>"OTR"</formula>
    </cfRule>
    <cfRule type="cellIs" dxfId="672" priority="39" stopIfTrue="1" operator="equal">
      <formula>"PAR"</formula>
    </cfRule>
    <cfRule type="cellIs" dxfId="671" priority="40" stopIfTrue="1" operator="equal">
      <formula>"CLP"</formula>
    </cfRule>
    <cfRule type="cellIs" dxfId="670" priority="41" stopIfTrue="1" operator="equal">
      <formula>"HAT"</formula>
    </cfRule>
    <cfRule type="cellIs" dxfId="669" priority="42" stopIfTrue="1" operator="equal">
      <formula>"LIB"</formula>
    </cfRule>
    <cfRule type="cellIs" dxfId="668" priority="43" stopIfTrue="1" operator="equal">
      <formula>"BA"</formula>
    </cfRule>
    <cfRule type="cellIs" dxfId="667" priority="44" stopIfTrue="1" operator="equal">
      <formula>"SPA"</formula>
    </cfRule>
    <cfRule type="cellIs" dxfId="666" priority="45" stopIfTrue="1" operator="equal">
      <formula>"OST"</formula>
    </cfRule>
    <cfRule type="cellIs" dxfId="665" priority="46" stopIfTrue="1" operator="equal">
      <formula>"BOH"</formula>
    </cfRule>
    <cfRule type="cellIs" dxfId="664" priority="47" stopIfTrue="1" operator="equal">
      <formula>"TAT"</formula>
    </cfRule>
    <cfRule type="cellIs" dxfId="663" priority="48" stopIfTrue="1" operator="equal">
      <formula>"MB"</formula>
    </cfRule>
    <cfRule type="cellIs" dxfId="662" priority="49" stopIfTrue="1" operator="equal">
      <formula>"VIT"</formula>
    </cfRule>
    <cfRule type="cellIs" dxfId="661" priority="50" stopIfTrue="1" operator="equal">
      <formula>"CHO"</formula>
    </cfRule>
    <cfRule type="cellIs" dxfId="660" priority="51" stopIfTrue="1" operator="equal">
      <formula>"SKV"</formula>
    </cfRule>
  </conditionalFormatting>
  <conditionalFormatting sqref="H8:K9">
    <cfRule type="cellIs" dxfId="659" priority="24" stopIfTrue="1" operator="equal">
      <formula>"OTR"</formula>
    </cfRule>
    <cfRule type="cellIs" dxfId="658" priority="25" stopIfTrue="1" operator="equal">
      <formula>"PAR"</formula>
    </cfRule>
    <cfRule type="cellIs" dxfId="657" priority="26" stopIfTrue="1" operator="equal">
      <formula>"CLP"</formula>
    </cfRule>
    <cfRule type="cellIs" dxfId="656" priority="27" stopIfTrue="1" operator="equal">
      <formula>"HAT"</formula>
    </cfRule>
    <cfRule type="cellIs" dxfId="655" priority="28" stopIfTrue="1" operator="equal">
      <formula>"LIB"</formula>
    </cfRule>
    <cfRule type="cellIs" dxfId="654" priority="29" stopIfTrue="1" operator="equal">
      <formula>"BA"</formula>
    </cfRule>
    <cfRule type="cellIs" dxfId="653" priority="30" stopIfTrue="1" operator="equal">
      <formula>"SPA"</formula>
    </cfRule>
    <cfRule type="cellIs" dxfId="652" priority="31" stopIfTrue="1" operator="equal">
      <formula>"OST"</formula>
    </cfRule>
    <cfRule type="cellIs" dxfId="651" priority="32" stopIfTrue="1" operator="equal">
      <formula>"BOH"</formula>
    </cfRule>
    <cfRule type="cellIs" dxfId="650" priority="33" stopIfTrue="1" operator="equal">
      <formula>"TAT"</formula>
    </cfRule>
    <cfRule type="cellIs" dxfId="649" priority="34" stopIfTrue="1" operator="equal">
      <formula>"MB"</formula>
    </cfRule>
    <cfRule type="cellIs" dxfId="648" priority="35" stopIfTrue="1" operator="equal">
      <formula>"VIT"</formula>
    </cfRule>
    <cfRule type="cellIs" dxfId="647" priority="36" stopIfTrue="1" operator="equal">
      <formula>"CHO"</formula>
    </cfRule>
    <cfRule type="cellIs" dxfId="646" priority="37" stopIfTrue="1" operator="equal">
      <formula>"SKV"</formula>
    </cfRule>
  </conditionalFormatting>
  <conditionalFormatting sqref="S2:S42">
    <cfRule type="expression" dxfId="645" priority="8" stopIfTrue="1">
      <formula>IFERROR(IF(VLOOKUP($S2,OFFSET($AG$2,,,COUNTIF($AG$2:$AG$50,"?*")),1,FALSE)&lt;&gt;0,1,0),0)&gt;0</formula>
    </cfRule>
  </conditionalFormatting>
  <conditionalFormatting sqref="S2:S42">
    <cfRule type="expression" dxfId="644" priority="9">
      <formula>IFERROR(IF(VLOOKUP($S2,OFFSET($AG$2,,,COUNTIF($AG$2:$AG$50,"?*")),1,FALSE)&lt;&gt;0,1,0),0)=0</formula>
    </cfRule>
  </conditionalFormatting>
  <conditionalFormatting sqref="S45:S50">
    <cfRule type="expression" dxfId="643" priority="7">
      <formula>IFERROR(IF(VLOOKUP($S45,OFFSET($AG$2,,,COUNTIF($AG$2:$AG$50,"?*")),1,FALSE)&lt;&gt;0,1,0),0)&gt;0</formula>
    </cfRule>
  </conditionalFormatting>
  <conditionalFormatting sqref="S45:S50">
    <cfRule type="expression" dxfId="642" priority="6">
      <formula>IFERROR(IF(VLOOKUP($S45,OFFSET($AG$2,,,COUNTIF($AG$2:$AG$50,"?*")),1,FALSE)&lt;&gt;0,1,0),0)=0</formula>
    </cfRule>
  </conditionalFormatting>
  <conditionalFormatting sqref="AG2:AG50">
    <cfRule type="expression" dxfId="641" priority="3" stopIfTrue="1">
      <formula>OR($AH2="",$AI2="",$AJ2="",$AK2="",$AL2="",$AM2="",$AN2="",$AQ2="",$AR2="",$AS2="",$AT2="")</formula>
    </cfRule>
    <cfRule type="expression" dxfId="640" priority="4" stopIfTrue="1">
      <formula>IFERROR(IF(VLOOKUP($AG2,OFFSET($S$2,,,COUNTIF($S$2:$S$42,"?*")),1,FALSE)&lt;&gt;0,1,0),0)=0</formula>
    </cfRule>
    <cfRule type="expression" dxfId="639" priority="5">
      <formula>IFERROR(IF(VLOOKUP($AG2,OFFSET($S$2,,,COUNTIF($S$2:$S$42,"?*")),1,FALSE)&lt;&gt;0,1,0),0)&gt;0</formula>
    </cfRule>
  </conditionalFormatting>
  <conditionalFormatting sqref="AG2:BC50">
    <cfRule type="expression" dxfId="638" priority="2">
      <formula>AND($AG2&lt;&gt;"",MOD(ROW($AG2),2)=0)</formula>
    </cfRule>
  </conditionalFormatting>
  <conditionalFormatting sqref="BN2:BR11">
    <cfRule type="expression" dxfId="63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activeCell="AG32" sqref="AG32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565</v>
      </c>
      <c r="T2" s="102" t="s">
        <v>119</v>
      </c>
      <c r="U2" s="102">
        <v>7</v>
      </c>
      <c r="V2" s="102">
        <v>9</v>
      </c>
      <c r="W2" s="102">
        <v>2</v>
      </c>
      <c r="X2" s="102">
        <v>0</v>
      </c>
      <c r="Y2" s="102">
        <v>15</v>
      </c>
      <c r="Z2" s="102">
        <v>24</v>
      </c>
      <c r="AA2" s="102">
        <v>2</v>
      </c>
      <c r="AB2" s="102">
        <v>22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574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16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596</v>
      </c>
      <c r="BO2" s="122">
        <v>29350</v>
      </c>
      <c r="BP2" s="131" t="s">
        <v>256</v>
      </c>
      <c r="BQ2" s="132" t="s">
        <v>597</v>
      </c>
      <c r="BR2" s="127">
        <f ca="1">IF(BN2&lt;&gt;"",IF(BO2&lt;&gt;"",INT((TODAY()-BO2)/365),"?"),"")</f>
        <v>41</v>
      </c>
      <c r="BS2" s="380" t="s">
        <v>36</v>
      </c>
      <c r="BT2" s="104" t="s">
        <v>607</v>
      </c>
      <c r="BU2" s="103">
        <v>24</v>
      </c>
      <c r="BV2" s="104" t="str">
        <f>IFERROR(RIGHT(BT2,LEN(BT2)-SEARCH(" ",BT2)),"")</f>
        <v>Filip Forman</v>
      </c>
      <c r="BW2" s="102">
        <f>IF(BT2&lt;&gt;0,_xlfn.NUMBERVALUE(BU2,","),"")</f>
        <v>24</v>
      </c>
      <c r="BX2" s="379" t="s">
        <v>211</v>
      </c>
      <c r="BY2" s="103" t="s">
        <v>795</v>
      </c>
      <c r="BZ2" s="103" t="s">
        <v>921</v>
      </c>
      <c r="CA2" s="115" t="s">
        <v>889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563</v>
      </c>
      <c r="T3" s="102" t="s">
        <v>119</v>
      </c>
      <c r="U3" s="102">
        <v>7</v>
      </c>
      <c r="V3" s="102">
        <v>14</v>
      </c>
      <c r="W3" s="102">
        <v>2</v>
      </c>
      <c r="X3" s="102">
        <v>0</v>
      </c>
      <c r="Y3" s="102">
        <v>5</v>
      </c>
      <c r="Z3" s="102">
        <v>19</v>
      </c>
      <c r="AA3" s="102">
        <v>4</v>
      </c>
      <c r="AB3" s="102">
        <v>23</v>
      </c>
      <c r="AC3" s="102" t="str">
        <f t="shared" ca="1" si="0"/>
        <v>ANO</v>
      </c>
      <c r="AG3" s="121" t="s">
        <v>578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149</v>
      </c>
      <c r="AQ3" s="123">
        <v>186</v>
      </c>
      <c r="AR3" s="123">
        <v>77</v>
      </c>
      <c r="AS3" s="126" t="s">
        <v>74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7 OZ, 1 (1+0), -7 ±</v>
      </c>
      <c r="AY3" s="129" t="str">
        <f t="shared" ca="1" si="2"/>
        <v>7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598</v>
      </c>
      <c r="BO3" s="122">
        <v>33849</v>
      </c>
      <c r="BP3" s="131" t="s">
        <v>257</v>
      </c>
      <c r="BQ3" s="132" t="s">
        <v>599</v>
      </c>
      <c r="BR3" s="127">
        <f t="shared" ref="BR3:BR11" ca="1" si="12">IF(BN3&lt;&gt;"",IF(BO3&lt;&gt;"",INT((TODAY()-BO3)/365),"?"),"")</f>
        <v>29</v>
      </c>
      <c r="BS3" s="380"/>
      <c r="BT3" s="104" t="s">
        <v>860</v>
      </c>
      <c r="BU3" s="103">
        <v>19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19</v>
      </c>
      <c r="BX3" s="379"/>
      <c r="BY3" s="103" t="s">
        <v>263</v>
      </c>
      <c r="BZ3" s="103" t="s">
        <v>904</v>
      </c>
      <c r="CA3" s="115" t="s">
        <v>829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564</v>
      </c>
      <c r="U4" s="102">
        <v>7</v>
      </c>
      <c r="V4" s="102">
        <v>9</v>
      </c>
      <c r="W4" s="102">
        <v>0</v>
      </c>
      <c r="X4" s="102">
        <v>0</v>
      </c>
      <c r="Y4" s="102">
        <v>7</v>
      </c>
      <c r="Z4" s="102">
        <v>16</v>
      </c>
      <c r="AA4" s="102">
        <v>2</v>
      </c>
      <c r="AB4" s="102">
        <v>22</v>
      </c>
      <c r="AC4" s="102" t="str">
        <f t="shared" ca="1" si="0"/>
        <v>ANO</v>
      </c>
      <c r="AG4" s="121" t="s">
        <v>564</v>
      </c>
      <c r="AH4" s="122">
        <v>36990</v>
      </c>
      <c r="AI4" s="123">
        <v>72</v>
      </c>
      <c r="AJ4" s="123">
        <v>62</v>
      </c>
      <c r="AK4" s="123">
        <v>33</v>
      </c>
      <c r="AL4" s="124">
        <f>IF(AG4&lt;&gt;"",AJ4+AK4,"")</f>
        <v>95</v>
      </c>
      <c r="AM4" s="123">
        <v>4</v>
      </c>
      <c r="AN4" s="123">
        <v>21</v>
      </c>
      <c r="AO4" s="125"/>
      <c r="AP4" s="125" t="s">
        <v>149</v>
      </c>
      <c r="AQ4" s="123">
        <v>183</v>
      </c>
      <c r="AR4" s="123">
        <v>67</v>
      </c>
      <c r="AS4" s="126" t="s">
        <v>74</v>
      </c>
      <c r="AT4" s="123">
        <v>2006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183/67</v>
      </c>
      <c r="AW4" s="128" t="str">
        <f ca="1">IF(AG4&lt;&gt;"",IF(BE4=1,BD4,IF(BH4=1,BG4,IF(BJ4=1,BI4,IF(BL4=1,BK4,BM4)))),"")</f>
        <v>Buršík</v>
      </c>
      <c r="AX4" s="129" t="str">
        <f t="shared" ca="1" si="1"/>
        <v>7 OZ, 16 (9+7), +22 ±</v>
      </c>
      <c r="AY4" s="129" t="str">
        <f t="shared" ca="1" si="2"/>
        <v>79 OZ, 111 (71+40)</v>
      </c>
      <c r="AZ4" s="130"/>
      <c r="BA4" s="130"/>
      <c r="BB4" s="130"/>
      <c r="BC4" s="130"/>
      <c r="BD4" s="3" t="str">
        <f t="shared" si="3"/>
        <v>Buršík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600</v>
      </c>
      <c r="BO4" s="122">
        <v>28301</v>
      </c>
      <c r="BP4" s="131" t="s">
        <v>257</v>
      </c>
      <c r="BQ4" s="132"/>
      <c r="BR4" s="127">
        <f t="shared" ca="1" si="12"/>
        <v>44</v>
      </c>
      <c r="BS4" s="380"/>
      <c r="BT4" s="104" t="s">
        <v>931</v>
      </c>
      <c r="BU4" s="103">
        <v>16</v>
      </c>
      <c r="BV4" s="104" t="str">
        <f t="shared" si="13"/>
        <v>Jakub Buršík</v>
      </c>
      <c r="BW4" s="102">
        <f t="shared" si="14"/>
        <v>16</v>
      </c>
      <c r="BX4" s="379"/>
      <c r="BY4" s="103" t="s">
        <v>207</v>
      </c>
      <c r="BZ4" s="103" t="s">
        <v>923</v>
      </c>
      <c r="CA4" s="115" t="s">
        <v>929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566</v>
      </c>
      <c r="U5" s="102">
        <v>7</v>
      </c>
      <c r="V5" s="102">
        <v>4</v>
      </c>
      <c r="W5" s="102">
        <v>2</v>
      </c>
      <c r="X5" s="102">
        <v>0</v>
      </c>
      <c r="Y5" s="102">
        <v>5</v>
      </c>
      <c r="Z5" s="102">
        <v>9</v>
      </c>
      <c r="AA5" s="102">
        <v>6</v>
      </c>
      <c r="AB5" s="102">
        <v>21</v>
      </c>
      <c r="AC5" s="102" t="str">
        <f t="shared" ca="1" si="0"/>
        <v>ANO</v>
      </c>
      <c r="AG5" s="121" t="s">
        <v>3</v>
      </c>
      <c r="AH5" s="122">
        <v>36257</v>
      </c>
      <c r="AI5" s="123">
        <v>106</v>
      </c>
      <c r="AJ5" s="123">
        <v>35</v>
      </c>
      <c r="AK5" s="123">
        <v>28</v>
      </c>
      <c r="AL5" s="124">
        <f>IF(AG5&lt;&gt;"",AJ5+AK5,"")</f>
        <v>63</v>
      </c>
      <c r="AM5" s="123">
        <v>6</v>
      </c>
      <c r="AN5" s="123">
        <v>77</v>
      </c>
      <c r="AO5" s="125"/>
      <c r="AP5" s="125" t="s">
        <v>149</v>
      </c>
      <c r="AQ5" s="123">
        <v>184</v>
      </c>
      <c r="AR5" s="123">
        <v>81</v>
      </c>
      <c r="AS5" s="126" t="s">
        <v>151</v>
      </c>
      <c r="AT5" s="123">
        <v>2008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184/81</v>
      </c>
      <c r="AW5" s="128" t="str">
        <f ca="1">IF(AG5&lt;&gt;"",IF(BE5=1,BD5,IF(BH5=1,BG5,IF(BJ5=1,BI5,IF(BL5=1,BK5,BM5)))),"")</f>
        <v>Cabejšek</v>
      </c>
      <c r="AX5" s="129" t="str">
        <f t="shared" ca="1" si="1"/>
        <v>7 OZ, 2 (1+1), -8 ±</v>
      </c>
      <c r="AY5" s="129" t="str">
        <f t="shared" ca="1" si="2"/>
        <v>113 OZ, 65 (36+29)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Cabejšek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601</v>
      </c>
      <c r="BO5" s="122">
        <v>24059</v>
      </c>
      <c r="BP5" s="131" t="s">
        <v>383</v>
      </c>
      <c r="BQ5" s="132"/>
      <c r="BR5" s="127">
        <f t="shared" ca="1" si="12"/>
        <v>55</v>
      </c>
      <c r="BS5" s="380"/>
      <c r="BT5" s="104" t="s">
        <v>857</v>
      </c>
      <c r="BU5" s="103">
        <v>9</v>
      </c>
      <c r="BV5" s="104" t="str">
        <f t="shared" si="13"/>
        <v>Jan Malič</v>
      </c>
      <c r="BW5" s="102">
        <f t="shared" si="14"/>
        <v>9</v>
      </c>
      <c r="BX5" s="379"/>
      <c r="BY5" s="103" t="s">
        <v>262</v>
      </c>
      <c r="BZ5" s="103" t="s">
        <v>924</v>
      </c>
      <c r="CA5" s="115" t="s">
        <v>930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569</v>
      </c>
      <c r="U6" s="102">
        <v>4</v>
      </c>
      <c r="V6" s="102">
        <v>2</v>
      </c>
      <c r="W6" s="102">
        <v>0</v>
      </c>
      <c r="X6" s="102">
        <v>0</v>
      </c>
      <c r="Y6" s="102">
        <v>3</v>
      </c>
      <c r="Z6" s="102">
        <v>5</v>
      </c>
      <c r="AA6" s="102">
        <v>0</v>
      </c>
      <c r="AB6" s="102">
        <v>0</v>
      </c>
      <c r="AC6" s="102" t="str">
        <f t="shared" ca="1" si="0"/>
        <v>ANO</v>
      </c>
      <c r="AG6" s="121" t="s">
        <v>576</v>
      </c>
      <c r="AH6" s="122">
        <v>33767</v>
      </c>
      <c r="AI6" s="123">
        <v>243</v>
      </c>
      <c r="AJ6" s="123">
        <v>69</v>
      </c>
      <c r="AK6" s="123">
        <v>66</v>
      </c>
      <c r="AL6" s="124">
        <f>IF(AG6&lt;&gt;"",AJ6+AK6,"")</f>
        <v>135</v>
      </c>
      <c r="AM6" s="123">
        <v>12</v>
      </c>
      <c r="AN6" s="123">
        <v>44</v>
      </c>
      <c r="AO6" s="125"/>
      <c r="AP6" s="125" t="s">
        <v>27</v>
      </c>
      <c r="AQ6" s="123">
        <v>184</v>
      </c>
      <c r="AR6" s="123">
        <v>84</v>
      </c>
      <c r="AS6" s="126" t="s">
        <v>589</v>
      </c>
      <c r="AT6" s="123">
        <v>2002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184/84</v>
      </c>
      <c r="AW6" s="128" t="str">
        <f ca="1">IF(AG6&lt;&gt;"",IF(BE6=1,BD6,IF(BH6=1,BG6,IF(BJ6=1,BI6,IF(BL6=1,BK6,BM6)))),"")</f>
        <v>Čihák</v>
      </c>
      <c r="AX6" s="129" t="str">
        <f t="shared" ca="1" si="1"/>
        <v>7 OZ, 1 (1+0), -3 ±</v>
      </c>
      <c r="AY6" s="129" t="str">
        <f t="shared" ca="1" si="2"/>
        <v>250 OZ, 136 (70+66)</v>
      </c>
      <c r="AZ6" s="130"/>
      <c r="BA6" s="130"/>
      <c r="BB6" s="130"/>
      <c r="BC6" s="130"/>
      <c r="BD6" s="3" t="str">
        <f t="shared" si="3"/>
        <v>Čihák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602</v>
      </c>
      <c r="BO6" s="122">
        <v>33657</v>
      </c>
      <c r="BP6" s="131" t="s">
        <v>439</v>
      </c>
      <c r="BQ6" s="132"/>
      <c r="BR6" s="127">
        <f t="shared" ca="1" si="12"/>
        <v>29</v>
      </c>
      <c r="BS6" s="380"/>
      <c r="BT6" s="104" t="s">
        <v>1208</v>
      </c>
      <c r="BU6" s="103">
        <v>5</v>
      </c>
      <c r="BV6" s="104" t="str">
        <f t="shared" si="13"/>
        <v>Matúš Gajdoš</v>
      </c>
      <c r="BW6" s="102">
        <f t="shared" si="14"/>
        <v>5</v>
      </c>
      <c r="BX6" s="379"/>
      <c r="BY6" s="103" t="s">
        <v>851</v>
      </c>
      <c r="BZ6" s="103" t="s">
        <v>925</v>
      </c>
      <c r="CA6" s="115" t="s">
        <v>856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567</v>
      </c>
      <c r="U7" s="102">
        <v>7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0</v>
      </c>
      <c r="AB7" s="102">
        <v>20</v>
      </c>
      <c r="AC7" s="102" t="str">
        <f t="shared" ca="1" si="0"/>
        <v>ANO</v>
      </c>
      <c r="AG7" s="121" t="s">
        <v>580</v>
      </c>
      <c r="AH7" s="122">
        <v>36370</v>
      </c>
      <c r="AI7" s="123">
        <v>105</v>
      </c>
      <c r="AJ7" s="123">
        <v>16</v>
      </c>
      <c r="AK7" s="123">
        <v>15</v>
      </c>
      <c r="AL7" s="124">
        <f>IF(AG7&lt;&gt;"",AJ7+AK7,"")</f>
        <v>31</v>
      </c>
      <c r="AM7" s="123">
        <v>6</v>
      </c>
      <c r="AN7" s="123">
        <v>8</v>
      </c>
      <c r="AO7" s="125"/>
      <c r="AP7" s="125" t="s">
        <v>149</v>
      </c>
      <c r="AQ7" s="123">
        <v>186</v>
      </c>
      <c r="AR7" s="123">
        <v>73</v>
      </c>
      <c r="AS7" s="126" t="s">
        <v>74</v>
      </c>
      <c r="AT7" s="123">
        <v>2009</v>
      </c>
      <c r="AU7" s="127">
        <f ca="1">IF(AG7&lt;&gt;"",IF(AH7&lt;&gt;"",INT((TODAY()-AH7)/365),"?"),"")</f>
        <v>22</v>
      </c>
      <c r="AV7" s="127" t="str">
        <f>IF(AG7&lt;&gt;"",CONCATENATE(IF(AQ7&lt;&gt;"",AQ7,"? "),"/",IF(AR7&lt;&gt;"",AR7," ?")),"")</f>
        <v>186/73</v>
      </c>
      <c r="AW7" s="128" t="str">
        <f ca="1">IF(AG7&lt;&gt;"",IF(BE7=1,BD7,IF(BH7=1,BG7,IF(BJ7=1,BI7,IF(BL7=1,BK7,BM7)))),"")</f>
        <v>Dobisík</v>
      </c>
      <c r="AX7" s="129" t="str">
        <f t="shared" ca="1" si="1"/>
        <v>4 OZ, 2 (0+2), -1 ±</v>
      </c>
      <c r="AY7" s="129" t="str">
        <f t="shared" ca="1" si="2"/>
        <v>109 OZ, 33 (16+17)</v>
      </c>
      <c r="AZ7" s="130"/>
      <c r="BA7" s="130"/>
      <c r="BB7" s="130"/>
      <c r="BC7" s="130"/>
      <c r="BD7" s="89" t="str">
        <f t="shared" si="3"/>
        <v>Dobisík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605</v>
      </c>
      <c r="BU7" s="103" t="s">
        <v>1209</v>
      </c>
      <c r="BV7" s="104" t="str">
        <f t="shared" si="13"/>
        <v>Radovan Michajlovič</v>
      </c>
      <c r="BW7" s="112">
        <f t="shared" si="14"/>
        <v>4.25</v>
      </c>
      <c r="BX7" s="379" t="s">
        <v>212</v>
      </c>
      <c r="BY7" s="103" t="s">
        <v>906</v>
      </c>
      <c r="BZ7" s="103" t="s">
        <v>902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98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573</v>
      </c>
      <c r="U8" s="102">
        <v>7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-3</v>
      </c>
      <c r="AC8" s="102" t="str">
        <f t="shared" ca="1" si="0"/>
        <v>ANO</v>
      </c>
      <c r="AG8" s="121" t="s">
        <v>575</v>
      </c>
      <c r="AH8" s="122">
        <v>34316</v>
      </c>
      <c r="AI8" s="123">
        <v>189</v>
      </c>
      <c r="AJ8" s="123">
        <v>49</v>
      </c>
      <c r="AK8" s="123">
        <v>81</v>
      </c>
      <c r="AL8" s="124">
        <f>IF(AG8&lt;&gt;"",AJ8+AK8,"")</f>
        <v>130</v>
      </c>
      <c r="AM8" s="123">
        <v>11</v>
      </c>
      <c r="AN8" s="123">
        <v>84</v>
      </c>
      <c r="AO8" s="125"/>
      <c r="AP8" s="125" t="s">
        <v>27</v>
      </c>
      <c r="AQ8" s="123">
        <v>188</v>
      </c>
      <c r="AR8" s="123">
        <v>86</v>
      </c>
      <c r="AS8" s="126" t="s">
        <v>590</v>
      </c>
      <c r="AT8" s="123"/>
      <c r="AU8" s="127">
        <f ca="1">IF(AG8&lt;&gt;"",IF(AH8&lt;&gt;"",INT((TODAY()-AH8)/365),"?"),"")</f>
        <v>27</v>
      </c>
      <c r="AV8" s="127" t="str">
        <f>IF(AG8&lt;&gt;"",CONCATENATE(IF(AQ8&lt;&gt;"",AQ8,"? "),"/",IF(AR8&lt;&gt;"",AR8," ?")),"")</f>
        <v>188/86</v>
      </c>
      <c r="AW8" s="128" t="str">
        <f ca="1">IF(AG8&lt;&gt;"",IF(BE8=1,BD8,IF(BH8=1,BG8,IF(BJ8=1,BI8,IF(BL8=1,BK8,BM8)))),"")</f>
        <v>Ďopan</v>
      </c>
      <c r="AX8" s="129" t="str">
        <f t="shared" ca="1" si="1"/>
        <v>7 OZ, 0 (0+0), -8 ±</v>
      </c>
      <c r="AY8" s="129" t="str">
        <f t="shared" ca="1" si="2"/>
        <v>196 OZ, 130 (49+81)</v>
      </c>
      <c r="AZ8" s="130"/>
      <c r="BA8" s="130"/>
      <c r="BB8" s="130"/>
      <c r="BC8" s="130"/>
      <c r="BD8" s="3" t="str">
        <f t="shared" si="3"/>
        <v>Ďopan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606</v>
      </c>
      <c r="BU8" s="103" t="s">
        <v>1210</v>
      </c>
      <c r="BV8" s="104" t="str">
        <f t="shared" si="13"/>
        <v>Tomáš Hyršl</v>
      </c>
      <c r="BW8" s="112">
        <f t="shared" si="14"/>
        <v>5.22</v>
      </c>
      <c r="BX8" s="379"/>
      <c r="BY8" s="103" t="s">
        <v>908</v>
      </c>
      <c r="BZ8" s="103" t="s">
        <v>901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585</v>
      </c>
      <c r="T9" s="102" t="s">
        <v>64</v>
      </c>
      <c r="U9" s="102">
        <v>4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2</v>
      </c>
      <c r="AC9" s="102" t="str">
        <f t="shared" ca="1" si="0"/>
        <v>ANO</v>
      </c>
      <c r="AG9" s="121" t="s">
        <v>581</v>
      </c>
      <c r="AH9" s="122">
        <v>37464</v>
      </c>
      <c r="AI9" s="123">
        <v>14</v>
      </c>
      <c r="AJ9" s="123">
        <v>1</v>
      </c>
      <c r="AK9" s="123">
        <v>0</v>
      </c>
      <c r="AL9" s="124">
        <f>IF(AG9&lt;&gt;"",AJ9+AK9,"")</f>
        <v>1</v>
      </c>
      <c r="AM9" s="123">
        <v>3</v>
      </c>
      <c r="AN9" s="123">
        <v>23</v>
      </c>
      <c r="AO9" s="125"/>
      <c r="AP9" s="125" t="s">
        <v>27</v>
      </c>
      <c r="AQ9" s="123"/>
      <c r="AR9" s="123"/>
      <c r="AS9" s="126" t="s">
        <v>151</v>
      </c>
      <c r="AT9" s="123">
        <v>2011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Folauf</v>
      </c>
      <c r="AX9" s="129" t="str">
        <f t="shared" ca="1" si="1"/>
        <v>0 OZ, 0 (0+0)</v>
      </c>
      <c r="AY9" s="129" t="str">
        <f t="shared" ca="1" si="2"/>
        <v>14 OZ, 1 (1+0)</v>
      </c>
      <c r="AZ9" s="130"/>
      <c r="BA9" s="130"/>
      <c r="BB9" s="130"/>
      <c r="BC9" s="130"/>
      <c r="BD9" s="89" t="str">
        <f t="shared" si="3"/>
        <v>Folauf</v>
      </c>
      <c r="BE9" s="91">
        <f t="shared" ca="1" si="4"/>
        <v>1</v>
      </c>
      <c r="BF9" s="90" t="str">
        <f t="shared" si="5"/>
        <v>F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938</v>
      </c>
      <c r="BZ9" s="103" t="s">
        <v>900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568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-7</v>
      </c>
      <c r="AC10" s="102" t="str">
        <f t="shared" ca="1" si="0"/>
        <v>ANO</v>
      </c>
      <c r="AG10" s="121" t="s">
        <v>565</v>
      </c>
      <c r="AH10" s="122">
        <v>34968</v>
      </c>
      <c r="AI10" s="123">
        <v>142</v>
      </c>
      <c r="AJ10" s="123">
        <v>35</v>
      </c>
      <c r="AK10" s="123">
        <v>45</v>
      </c>
      <c r="AL10" s="124">
        <f>IF(AG10&lt;&gt;"",AJ10+AK10,"")</f>
        <v>80</v>
      </c>
      <c r="AM10" s="123">
        <v>9</v>
      </c>
      <c r="AN10" s="123">
        <v>12</v>
      </c>
      <c r="AO10" s="125"/>
      <c r="AP10" s="125" t="s">
        <v>27</v>
      </c>
      <c r="AQ10" s="123">
        <v>175</v>
      </c>
      <c r="AR10" s="123">
        <v>72</v>
      </c>
      <c r="AS10" s="126" t="s">
        <v>74</v>
      </c>
      <c r="AT10" s="123">
        <v>2010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175/72</v>
      </c>
      <c r="AW10" s="128" t="str">
        <f ca="1">IF(AG10&lt;&gt;"",IF(BE10=1,BD10,IF(BH10=1,BG10,IF(BJ10=1,BI10,IF(BL10=1,BK10,BM10)))),"")</f>
        <v>Forman F.</v>
      </c>
      <c r="AX10" s="129" t="str">
        <f t="shared" ca="1" si="1"/>
        <v>7 OZ, 24 (9+15), +22 ±</v>
      </c>
      <c r="AY10" s="129" t="str">
        <f t="shared" ca="1" si="2"/>
        <v>149 OZ, 104 (44+60)</v>
      </c>
      <c r="AZ10" s="130"/>
      <c r="BA10" s="130"/>
      <c r="BB10" s="130"/>
      <c r="BC10" s="130"/>
      <c r="BD10" s="3" t="str">
        <f t="shared" si="3"/>
        <v>Forman</v>
      </c>
      <c r="BE10" s="84">
        <f t="shared" ca="1" si="4"/>
        <v>2</v>
      </c>
      <c r="BF10" s="62" t="str">
        <f t="shared" si="5"/>
        <v>F</v>
      </c>
      <c r="BG10" s="3" t="str">
        <f t="shared" ca="1" si="6"/>
        <v>Forman F.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898</v>
      </c>
      <c r="CA10" s="115" t="s">
        <v>205</v>
      </c>
    </row>
    <row r="11" spans="1:79" ht="15" customHeight="1" thickTop="1" thickBot="1" x14ac:dyDescent="0.25">
      <c r="R11" s="13"/>
      <c r="S11" s="110" t="s">
        <v>580</v>
      </c>
      <c r="T11" s="102" t="s">
        <v>119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582</v>
      </c>
      <c r="AH11" s="122">
        <v>34968</v>
      </c>
      <c r="AI11" s="123">
        <v>139</v>
      </c>
      <c r="AJ11" s="123">
        <v>26</v>
      </c>
      <c r="AK11" s="123">
        <v>11</v>
      </c>
      <c r="AL11" s="124">
        <f>IF(AG11&lt;&gt;"",AJ11+AK11,"")</f>
        <v>37</v>
      </c>
      <c r="AM11" s="123">
        <v>9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74</v>
      </c>
      <c r="AT11" s="123"/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M.</v>
      </c>
      <c r="AX11" s="129" t="str">
        <f t="shared" ca="1" si="1"/>
        <v>0 OZ, 0 (0+0)</v>
      </c>
      <c r="AY11" s="129" t="str">
        <f t="shared" ca="1" si="2"/>
        <v>139 OZ, 37 (26+11)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Forman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1189</v>
      </c>
      <c r="BZ11" s="103" t="s">
        <v>897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473</v>
      </c>
      <c r="T12" s="102" t="s">
        <v>119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-8</v>
      </c>
      <c r="AC12" s="102" t="str">
        <f t="shared" ca="1" si="0"/>
        <v>ANO</v>
      </c>
      <c r="AG12" s="121" t="s">
        <v>569</v>
      </c>
      <c r="AH12" s="122">
        <v>37455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45</v>
      </c>
      <c r="AO12" s="125"/>
      <c r="AP12" s="125" t="s">
        <v>149</v>
      </c>
      <c r="AQ12" s="123">
        <v>183</v>
      </c>
      <c r="AR12" s="123">
        <v>80</v>
      </c>
      <c r="AS12" s="126" t="s">
        <v>1335</v>
      </c>
      <c r="AT12" s="123"/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183/80</v>
      </c>
      <c r="AW12" s="128" t="str">
        <f ca="1">IF(AG12&lt;&gt;"",IF(BE12=1,BD12,IF(BH12=1,BG12,IF(BJ12=1,BI12,IF(BL12=1,BK12,BM12)))),"")</f>
        <v>Gajdoš</v>
      </c>
      <c r="AX12" s="129" t="str">
        <f t="shared" ca="1" si="1"/>
        <v>4 OZ, 5 (2+3), 0 ±</v>
      </c>
      <c r="AY12" s="129" t="str">
        <f t="shared" ca="1" si="2"/>
        <v>4 OZ, 5 (2+3)</v>
      </c>
      <c r="AZ12" s="130"/>
      <c r="BA12" s="130"/>
      <c r="BB12" s="130"/>
      <c r="BC12" s="130"/>
      <c r="BD12" s="3" t="str">
        <f t="shared" si="3"/>
        <v>Gajdoš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603</v>
      </c>
      <c r="BU12" s="103">
        <v>14</v>
      </c>
      <c r="BV12" s="104" t="str">
        <f t="shared" si="13"/>
        <v>Karel Petrák</v>
      </c>
      <c r="BW12" s="102">
        <f t="shared" si="14"/>
        <v>14</v>
      </c>
      <c r="BX12" s="120" t="s">
        <v>210</v>
      </c>
      <c r="BY12" s="100" t="s">
        <v>1207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3</v>
      </c>
      <c r="T13" s="102" t="s">
        <v>64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570</v>
      </c>
      <c r="AH13" s="122">
        <v>34531</v>
      </c>
      <c r="AI13" s="123">
        <v>26</v>
      </c>
      <c r="AJ13" s="123">
        <v>0</v>
      </c>
      <c r="AK13" s="123">
        <v>0</v>
      </c>
      <c r="AL13" s="124">
        <f>IF(AG13&lt;&gt;"",AJ13+AK13,"")</f>
        <v>0</v>
      </c>
      <c r="AM13" s="123">
        <v>7</v>
      </c>
      <c r="AN13" s="123">
        <v>30</v>
      </c>
      <c r="AO13" s="125"/>
      <c r="AP13" s="125"/>
      <c r="AQ13" s="123">
        <v>185</v>
      </c>
      <c r="AR13" s="123">
        <v>75</v>
      </c>
      <c r="AS13" s="126" t="s">
        <v>74</v>
      </c>
      <c r="AT13" s="123"/>
      <c r="AU13" s="127">
        <f ca="1">IF(AG13&lt;&gt;"",IF(AH13&lt;&gt;"",INT((TODAY()-AH13)/365),"?"),"")</f>
        <v>27</v>
      </c>
      <c r="AV13" s="127" t="str">
        <f>IF(AG13&lt;&gt;"",CONCATENATE(IF(AQ13&lt;&gt;"",AQ13,"? "),"/",IF(AR13&lt;&gt;"",AR13," ?")),"")</f>
        <v>185/75</v>
      </c>
      <c r="AW13" s="128" t="str">
        <f ca="1">IF(AG13&lt;&gt;"",IF(BE13=1,BD13,IF(BH13=1,BG13,IF(BJ13=1,BI13,IF(BL13=1,BK13,BM13)))),"")</f>
        <v>Hyršl</v>
      </c>
      <c r="AX13" s="129" t="str">
        <f t="shared" ca="1" si="1"/>
        <v>2 V, 1 P</v>
      </c>
      <c r="AY13" s="129" t="str">
        <f t="shared" ca="1" si="2"/>
        <v>29 OZ, 0 A</v>
      </c>
      <c r="AZ13" s="130"/>
      <c r="BA13" s="130"/>
      <c r="BB13" s="130"/>
      <c r="BC13" s="130"/>
      <c r="BD13" s="89" t="str">
        <f t="shared" si="3"/>
        <v>Hyršl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1211</v>
      </c>
      <c r="BU13" s="103">
        <v>9</v>
      </c>
      <c r="BV13" s="104" t="str">
        <f t="shared" si="13"/>
        <v>Filip Forman</v>
      </c>
      <c r="BW13" s="102">
        <f t="shared" si="14"/>
        <v>9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577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ANO</v>
      </c>
      <c r="AG14" s="121" t="s">
        <v>116</v>
      </c>
      <c r="AH14" s="122">
        <v>34883</v>
      </c>
      <c r="AI14" s="123">
        <v>92</v>
      </c>
      <c r="AJ14" s="123">
        <v>59</v>
      </c>
      <c r="AK14" s="123">
        <v>31</v>
      </c>
      <c r="AL14" s="124">
        <f>IF(AG14&lt;&gt;"",AJ14+AK14,"")</f>
        <v>90</v>
      </c>
      <c r="AM14" s="123">
        <v>8</v>
      </c>
      <c r="AN14" s="123">
        <v>61</v>
      </c>
      <c r="AO14" s="125"/>
      <c r="AP14" s="125" t="s">
        <v>149</v>
      </c>
      <c r="AQ14" s="123">
        <v>191</v>
      </c>
      <c r="AR14" s="123">
        <v>78</v>
      </c>
      <c r="AS14" s="126" t="s">
        <v>271</v>
      </c>
      <c r="AT14" s="123"/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0 OZ, 0 (0+0)</v>
      </c>
      <c r="AY14" s="129" t="str">
        <f t="shared" ca="1" si="2"/>
        <v>92 OZ, 90 (59+31)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931</v>
      </c>
      <c r="BU14" s="103">
        <v>9</v>
      </c>
      <c r="BV14" s="104" t="str">
        <f t="shared" si="13"/>
        <v>Jakub Buršík</v>
      </c>
      <c r="BW14" s="102">
        <f t="shared" si="14"/>
        <v>9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578</v>
      </c>
      <c r="U15" s="102">
        <v>7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-7</v>
      </c>
      <c r="AC15" s="102" t="str">
        <f t="shared" ca="1" si="0"/>
        <v>ANO</v>
      </c>
      <c r="AG15" s="121" t="s">
        <v>573</v>
      </c>
      <c r="AH15" s="122">
        <v>37049</v>
      </c>
      <c r="AI15" s="123">
        <v>20</v>
      </c>
      <c r="AJ15" s="123">
        <v>2</v>
      </c>
      <c r="AK15" s="123">
        <v>0</v>
      </c>
      <c r="AL15" s="124">
        <f>IF(AG15&lt;&gt;"",AJ15+AK15,"")</f>
        <v>2</v>
      </c>
      <c r="AM15" s="123">
        <v>2</v>
      </c>
      <c r="AN15" s="123">
        <v>74</v>
      </c>
      <c r="AO15" s="125"/>
      <c r="AP15" s="125" t="s">
        <v>27</v>
      </c>
      <c r="AQ15" s="123">
        <v>184</v>
      </c>
      <c r="AR15" s="123">
        <v>76</v>
      </c>
      <c r="AS15" s="126" t="s">
        <v>74</v>
      </c>
      <c r="AT15" s="123">
        <v>2009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184/76</v>
      </c>
      <c r="AW15" s="128" t="str">
        <f ca="1">IF(AG15&lt;&gt;"",IF(BE15=1,BD15,IF(BH15=1,BG15,IF(BJ15=1,BI15,IF(BL15=1,BK15,BM15)))),"")</f>
        <v>Kratina</v>
      </c>
      <c r="AX15" s="129" t="str">
        <f t="shared" ca="1" si="1"/>
        <v>7 OZ, 3 (1+2), -3 ±</v>
      </c>
      <c r="AY15" s="129" t="str">
        <f t="shared" ca="1" si="2"/>
        <v>27 OZ, 5 (3+2)</v>
      </c>
      <c r="AZ15" s="130"/>
      <c r="BA15" s="130"/>
      <c r="BB15" s="130"/>
      <c r="BC15" s="130"/>
      <c r="BD15" s="89" t="str">
        <f t="shared" si="3"/>
        <v>Kratina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857</v>
      </c>
      <c r="BU15" s="103">
        <v>4</v>
      </c>
      <c r="BV15" s="104" t="str">
        <f t="shared" si="13"/>
        <v>Jan Malič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576</v>
      </c>
      <c r="T16" s="102" t="s">
        <v>64</v>
      </c>
      <c r="U16" s="102">
        <v>7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-3</v>
      </c>
      <c r="AC16" s="102" t="str">
        <f t="shared" ca="1" si="0"/>
        <v>ANO</v>
      </c>
      <c r="AG16" s="121" t="s">
        <v>583</v>
      </c>
      <c r="AH16" s="122">
        <v>36111</v>
      </c>
      <c r="AI16" s="123">
        <v>141</v>
      </c>
      <c r="AJ16" s="123">
        <v>24</v>
      </c>
      <c r="AK16" s="123">
        <v>29</v>
      </c>
      <c r="AL16" s="124">
        <f>IF(AG16&lt;&gt;"",AJ16+AK16,"")</f>
        <v>53</v>
      </c>
      <c r="AM16" s="123">
        <v>7</v>
      </c>
      <c r="AN16" s="123">
        <v>98</v>
      </c>
      <c r="AO16" s="125"/>
      <c r="AP16" s="125" t="s">
        <v>149</v>
      </c>
      <c r="AQ16" s="123">
        <v>183</v>
      </c>
      <c r="AR16" s="123">
        <v>73</v>
      </c>
      <c r="AS16" s="126" t="s">
        <v>74</v>
      </c>
      <c r="AT16" s="123">
        <v>2006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183/73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0 OZ, 0 (0+0)</v>
      </c>
      <c r="AY16" s="129" t="str">
        <f t="shared" ca="1" si="2"/>
        <v>141 OZ, 53 (24+29)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K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858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571</v>
      </c>
      <c r="T17" s="102" t="s">
        <v>64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579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6 OZ, 0 (0+0), -8 ±</v>
      </c>
      <c r="AY17" s="129" t="str">
        <f t="shared" ca="1" si="2"/>
        <v>184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605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1206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566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149</v>
      </c>
      <c r="AQ18" s="123">
        <v>175</v>
      </c>
      <c r="AR18" s="123">
        <v>65</v>
      </c>
      <c r="AS18" s="126" t="s">
        <v>151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7 OZ, 9 (4+5), +21 ±</v>
      </c>
      <c r="AY18" s="129" t="str">
        <f t="shared" ca="1" si="2"/>
        <v>33 OZ, 40 (17+23)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606</v>
      </c>
      <c r="BU18" s="103">
        <v>2</v>
      </c>
      <c r="BV18" s="104" t="str">
        <f t="shared" si="13"/>
        <v>Tomáš Hyršl</v>
      </c>
      <c r="BW18" s="102">
        <f t="shared" si="14"/>
        <v>2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BOH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805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572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591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4 V, 1 P</v>
      </c>
      <c r="AY19" s="129" t="str">
        <f t="shared" ca="1" si="2"/>
        <v>200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804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584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149</v>
      </c>
      <c r="AQ20" s="123"/>
      <c r="AR20" s="123"/>
      <c r="AS20" s="126" t="s">
        <v>592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690</v>
      </c>
      <c r="T21" s="102" t="s">
        <v>64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 t="s">
        <v>690</v>
      </c>
      <c r="AH21" s="122">
        <v>1996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5</v>
      </c>
      <c r="AN21" s="123">
        <v>97</v>
      </c>
      <c r="AO21" s="125"/>
      <c r="AP21" s="125" t="s">
        <v>149</v>
      </c>
      <c r="AQ21" s="123">
        <v>185</v>
      </c>
      <c r="AR21" s="123">
        <v>88</v>
      </c>
      <c r="AS21" s="126" t="s">
        <v>430</v>
      </c>
      <c r="AT21" s="123">
        <v>2007</v>
      </c>
      <c r="AU21" s="127">
        <f ca="1">IF(AG21&lt;&gt;"",IF(AH21&lt;&gt;"",INT((TODAY()-AH21)/365),"?"),"")</f>
        <v>116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6 OZ, 0 (0+0), -1 ±</v>
      </c>
      <c r="AY21" s="129" t="str">
        <f t="shared" ca="1" si="2"/>
        <v>91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574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ANO</v>
      </c>
      <c r="AG22" s="121" t="s">
        <v>391</v>
      </c>
      <c r="AH22" s="122">
        <v>37358</v>
      </c>
      <c r="AI22" s="123">
        <v>33</v>
      </c>
      <c r="AJ22" s="123">
        <v>31</v>
      </c>
      <c r="AK22" s="123">
        <v>15</v>
      </c>
      <c r="AL22" s="124">
        <f>IF(AG22&lt;&gt;"",AJ22+AK22,"")</f>
        <v>46</v>
      </c>
      <c r="AM22" s="123">
        <v>3</v>
      </c>
      <c r="AN22" s="123">
        <v>41</v>
      </c>
      <c r="AO22" s="125"/>
      <c r="AP22" s="125" t="s">
        <v>27</v>
      </c>
      <c r="AQ22" s="123">
        <v>168</v>
      </c>
      <c r="AR22" s="123">
        <v>70</v>
      </c>
      <c r="AS22" s="126" t="s">
        <v>315</v>
      </c>
      <c r="AT22" s="123"/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168/70</v>
      </c>
      <c r="AW22" s="128" t="str">
        <f ca="1">IF(AG22&lt;&gt;"",IF(BE22=1,BD22,IF(BH22=1,BG22,IF(BJ22=1,BI22,IF(BL22=1,BK22,BM22)))),"")</f>
        <v>Pěnička</v>
      </c>
      <c r="AX22" s="129" t="str">
        <f t="shared" ca="1" si="1"/>
        <v>0 OZ, 0 (0+0)</v>
      </c>
      <c r="AY22" s="129" t="str">
        <f t="shared" ca="1" si="2"/>
        <v>33 OZ, 46 (31+15)</v>
      </c>
      <c r="AZ22" s="130"/>
      <c r="BA22" s="130"/>
      <c r="BB22" s="130"/>
      <c r="BC22" s="130"/>
      <c r="BD22" s="3" t="str">
        <f t="shared" si="3"/>
        <v>Pěnička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607</v>
      </c>
      <c r="BU22" s="103">
        <v>15</v>
      </c>
      <c r="BV22" s="104" t="str">
        <f t="shared" si="13"/>
        <v>Filip Forman</v>
      </c>
      <c r="BW22" s="102">
        <f t="shared" si="14"/>
        <v>15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T23" s="102" t="s">
        <v>64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0"/>
        <v>ANO</v>
      </c>
      <c r="AG23" s="121" t="s">
        <v>563</v>
      </c>
      <c r="AH23" s="122">
        <v>37353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25</v>
      </c>
      <c r="AO23" s="125"/>
      <c r="AP23" s="125" t="s">
        <v>27</v>
      </c>
      <c r="AQ23" s="123">
        <v>182</v>
      </c>
      <c r="AR23" s="123">
        <v>77</v>
      </c>
      <c r="AS23" s="126" t="s">
        <v>484</v>
      </c>
      <c r="AT23" s="123">
        <v>2009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182/77</v>
      </c>
      <c r="AW23" s="128" t="str">
        <f ca="1">IF(AG23&lt;&gt;"",IF(BE23=1,BD23,IF(BH23=1,BG23,IF(BJ23=1,BI23,IF(BL23=1,BK23,BM23)))),"")</f>
        <v>Petrák</v>
      </c>
      <c r="AX23" s="129" t="str">
        <f t="shared" ca="1" si="1"/>
        <v>7 OZ, 19 (14+5), +23 ±</v>
      </c>
      <c r="AY23" s="129" t="str">
        <f t="shared" ca="1" si="2"/>
        <v>7 OZ, 19 (14+5)</v>
      </c>
      <c r="AZ23" s="130"/>
      <c r="BA23" s="130"/>
      <c r="BB23" s="130"/>
      <c r="BC23" s="130"/>
      <c r="BD23" s="89" t="str">
        <f t="shared" si="3"/>
        <v>Petrák</v>
      </c>
      <c r="BE23" s="91">
        <f t="shared" ca="1" si="4"/>
        <v>1</v>
      </c>
      <c r="BF23" s="90" t="str">
        <f t="shared" si="5"/>
        <v>K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604</v>
      </c>
      <c r="BU23" s="103">
        <v>7</v>
      </c>
      <c r="BV23" s="104" t="str">
        <f t="shared" si="13"/>
        <v>Jakub Buršík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570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473</v>
      </c>
      <c r="AH24" s="122">
        <v>37330</v>
      </c>
      <c r="AI24" s="123">
        <v>18</v>
      </c>
      <c r="AJ24" s="123">
        <v>1</v>
      </c>
      <c r="AK24" s="123">
        <v>0</v>
      </c>
      <c r="AL24" s="124">
        <f>IF(AG24&lt;&gt;"",AJ24+AK24,"")</f>
        <v>1</v>
      </c>
      <c r="AM24" s="123">
        <v>2</v>
      </c>
      <c r="AN24" s="123">
        <v>25</v>
      </c>
      <c r="AO24" s="125"/>
      <c r="AP24" s="125" t="s">
        <v>149</v>
      </c>
      <c r="AQ24" s="123">
        <v>185</v>
      </c>
      <c r="AR24" s="123">
        <v>79</v>
      </c>
      <c r="AS24" s="126" t="s">
        <v>70</v>
      </c>
      <c r="AT24" s="123">
        <v>2010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185/79</v>
      </c>
      <c r="AW24" s="128" t="str">
        <f ca="1">IF(AG24&lt;&gt;"",IF(BE24=1,BD24,IF(BH24=1,BG24,IF(BJ24=1,BI24,IF(BL24=1,BK24,BM24)))),"")</f>
        <v>Rod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2 (0+2),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24 OZ, 3 (1+2)</v>
      </c>
      <c r="AZ24" s="130"/>
      <c r="BA24" s="130"/>
      <c r="BB24" s="130"/>
      <c r="BC24" s="130"/>
      <c r="BD24" s="3" t="str">
        <f t="shared" si="3"/>
        <v>Rod</v>
      </c>
      <c r="BE24" s="84">
        <f t="shared" ca="1" si="4"/>
        <v>1</v>
      </c>
      <c r="BF24" s="62" t="str">
        <f t="shared" si="5"/>
        <v>S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1212</v>
      </c>
      <c r="BU24" s="103">
        <v>5</v>
      </c>
      <c r="BV24" s="104" t="str">
        <f t="shared" si="13"/>
        <v>Jan Malič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575</v>
      </c>
      <c r="T25" s="102" t="s">
        <v>64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-8</v>
      </c>
      <c r="AC25" s="102" t="str">
        <f t="shared" ca="1" si="0"/>
        <v>ANO</v>
      </c>
      <c r="AG25" s="121" t="s">
        <v>568</v>
      </c>
      <c r="AH25" s="122">
        <v>33400</v>
      </c>
      <c r="AI25" s="123">
        <v>210</v>
      </c>
      <c r="AJ25" s="123">
        <v>44</v>
      </c>
      <c r="AK25" s="123">
        <v>56</v>
      </c>
      <c r="AL25" s="124">
        <f>IF(AG25&lt;&gt;"",AJ25+AK25,"")</f>
        <v>100</v>
      </c>
      <c r="AM25" s="123">
        <v>14</v>
      </c>
      <c r="AN25" s="123">
        <v>88</v>
      </c>
      <c r="AO25" s="125"/>
      <c r="AP25" s="125" t="s">
        <v>27</v>
      </c>
      <c r="AQ25" s="123">
        <v>175</v>
      </c>
      <c r="AR25" s="123">
        <v>85</v>
      </c>
      <c r="AS25" s="126" t="s">
        <v>593</v>
      </c>
      <c r="AT25" s="123"/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175/85</v>
      </c>
      <c r="AW25" s="128" t="str">
        <f ca="1">IF(AG25&lt;&gt;"",IF(BE25=1,BD25,IF(BH25=1,BG25,IF(BJ25=1,BI25,IF(BL25=1,BK25,BM25)))),"")</f>
        <v>Růžek</v>
      </c>
      <c r="AX25" s="129" t="str">
        <f t="shared" ca="1" si="15"/>
        <v>7 OZ, 2 (2+0), -7 ±</v>
      </c>
      <c r="AY25" s="129" t="str">
        <f t="shared" ca="1" si="16"/>
        <v>217 OZ, 102 (46+56)</v>
      </c>
      <c r="AZ25" s="130"/>
      <c r="BA25" s="130"/>
      <c r="BB25" s="130"/>
      <c r="BC25" s="130"/>
      <c r="BD25" s="89" t="str">
        <f t="shared" si="3"/>
        <v>Růžek</v>
      </c>
      <c r="BE25" s="91">
        <f t="shared" ca="1" si="4"/>
        <v>1</v>
      </c>
      <c r="BF25" s="90" t="str">
        <f t="shared" si="5"/>
        <v>A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932</v>
      </c>
      <c r="BU25" s="103">
        <v>5</v>
      </c>
      <c r="BV25" s="104" t="str">
        <f t="shared" si="13"/>
        <v>Karel Petrák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572</v>
      </c>
      <c r="T26" s="102" t="s">
        <v>117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577</v>
      </c>
      <c r="AH26" s="122">
        <v>37817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29</v>
      </c>
      <c r="AO26" s="125"/>
      <c r="AP26" s="125" t="s">
        <v>149</v>
      </c>
      <c r="AQ26" s="123">
        <v>185</v>
      </c>
      <c r="AR26" s="123">
        <v>74</v>
      </c>
      <c r="AS26" s="126" t="s">
        <v>1336</v>
      </c>
      <c r="AT26" s="123"/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185/74</v>
      </c>
      <c r="AW26" s="128" t="str">
        <f ca="1">IF(AG26&lt;&gt;"",IF(BE26=1,BD26,IF(BH26=1,BG26,IF(BJ26=1,BI26,IF(BL26=1,BK26,BM26)))),"")</f>
        <v>Steller</v>
      </c>
      <c r="AX26" s="129" t="str">
        <f t="shared" ca="1" si="15"/>
        <v>5 OZ, 1 (1+0), -4 ±</v>
      </c>
      <c r="AY26" s="129" t="str">
        <f t="shared" ca="1" si="16"/>
        <v>5 OZ, 1 (1+0)</v>
      </c>
      <c r="AZ26" s="130"/>
      <c r="BA26" s="130"/>
      <c r="BB26" s="130"/>
      <c r="BC26" s="130"/>
      <c r="BD26" s="3" t="str">
        <f t="shared" si="3"/>
        <v>Steller</v>
      </c>
      <c r="BE26" s="84">
        <f t="shared" ca="1" si="4"/>
        <v>1</v>
      </c>
      <c r="BF26" s="62" t="str">
        <f t="shared" si="5"/>
        <v>P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1208</v>
      </c>
      <c r="BU26" s="103">
        <v>3</v>
      </c>
      <c r="BV26" s="104" t="str">
        <f t="shared" si="13"/>
        <v>Matúš Gajdoš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567</v>
      </c>
      <c r="AH27" s="122">
        <v>36777</v>
      </c>
      <c r="AI27" s="123">
        <v>95</v>
      </c>
      <c r="AJ27" s="123">
        <v>47</v>
      </c>
      <c r="AK27" s="123">
        <v>47</v>
      </c>
      <c r="AL27" s="124">
        <v>94</v>
      </c>
      <c r="AM27" s="123">
        <v>5</v>
      </c>
      <c r="AN27" s="123">
        <v>7</v>
      </c>
      <c r="AO27" s="125"/>
      <c r="AP27" s="125" t="s">
        <v>27</v>
      </c>
      <c r="AQ27" s="123">
        <v>190</v>
      </c>
      <c r="AR27" s="123">
        <v>76</v>
      </c>
      <c r="AS27" s="126" t="s">
        <v>74</v>
      </c>
      <c r="AT27" s="123">
        <v>2011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190/76</v>
      </c>
      <c r="AW27" s="128" t="str">
        <f ca="1">IF(AG27&lt;&gt;"",IF(BE27=1,BD27,IF(BH27=1,BG27,IF(BJ27=1,BI27,IF(BL27=1,BK27,BM27)))),"")</f>
        <v>Šebek</v>
      </c>
      <c r="AX27" s="129" t="str">
        <f t="shared" ca="1" si="15"/>
        <v>7 OZ, 5 (2+3), +20 ±</v>
      </c>
      <c r="AY27" s="129" t="str">
        <f t="shared" ca="1" si="16"/>
        <v>102 OZ, 99 (49+50)</v>
      </c>
      <c r="AZ27" s="130"/>
      <c r="BA27" s="130"/>
      <c r="BB27" s="130"/>
      <c r="BC27" s="130"/>
      <c r="BD27" s="89" t="str">
        <f t="shared" si="3"/>
        <v>Šebek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859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585</v>
      </c>
      <c r="AH28" s="122">
        <v>36909</v>
      </c>
      <c r="AI28" s="123">
        <v>2</v>
      </c>
      <c r="AJ28" s="123">
        <v>0</v>
      </c>
      <c r="AK28" s="123">
        <v>0</v>
      </c>
      <c r="AL28" s="124">
        <v>0</v>
      </c>
      <c r="AM28" s="123">
        <v>2</v>
      </c>
      <c r="AN28" s="123">
        <v>99</v>
      </c>
      <c r="AO28" s="125"/>
      <c r="AP28" s="125" t="s">
        <v>149</v>
      </c>
      <c r="AQ28" s="123">
        <v>182</v>
      </c>
      <c r="AR28" s="123">
        <v>73</v>
      </c>
      <c r="AS28" s="126" t="s">
        <v>310</v>
      </c>
      <c r="AT28" s="123"/>
      <c r="AU28" s="127">
        <f ca="1">IF(AG28&lt;&gt;"",IF(AH28&lt;&gt;"",INT((TODAY()-AH28)/365),"?"),"")</f>
        <v>20</v>
      </c>
      <c r="AV28" s="127" t="str">
        <f>IF(AG28&lt;&gt;"",CONCATENATE(IF(AQ28&lt;&gt;"",AQ28,"? "),"/",IF(AR28&lt;&gt;"",AR28," ?")),"")</f>
        <v>182/73</v>
      </c>
      <c r="AW28" s="128" t="str">
        <f ca="1">IF(AG28&lt;&gt;"",IF(BE28=1,BD28,IF(BH28=1,BG28,IF(BJ28=1,BI28,IF(BL28=1,BK28,BM28)))),"")</f>
        <v>Šimáně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4 OZ, 2 (2+0), +2 ±</v>
      </c>
      <c r="AY28" s="129" t="str">
        <f t="shared" ca="1" si="16"/>
        <v>6 OZ, 2 (2+0)</v>
      </c>
      <c r="AZ28" s="130"/>
      <c r="BA28" s="130"/>
      <c r="BB28" s="130"/>
      <c r="BC28" s="130"/>
      <c r="BD28" s="3" t="str">
        <f t="shared" si="3"/>
        <v>Šimáně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860</v>
      </c>
      <c r="BU28" s="103">
        <v>4</v>
      </c>
      <c r="BV28" s="104" t="str">
        <f t="shared" si="13"/>
        <v>Karel Petrák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586</v>
      </c>
      <c r="AH29" s="122">
        <v>37331</v>
      </c>
      <c r="AI29" s="123">
        <v>37</v>
      </c>
      <c r="AJ29" s="123">
        <v>16</v>
      </c>
      <c r="AK29" s="123">
        <v>9</v>
      </c>
      <c r="AL29" s="124">
        <v>25</v>
      </c>
      <c r="AM29" s="123">
        <v>3</v>
      </c>
      <c r="AN29" s="123">
        <v>99</v>
      </c>
      <c r="AO29" s="125"/>
      <c r="AP29" s="125" t="s">
        <v>149</v>
      </c>
      <c r="AQ29" s="123">
        <v>180</v>
      </c>
      <c r="AR29" s="123">
        <v>71</v>
      </c>
      <c r="AS29" s="126" t="s">
        <v>594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180/71</v>
      </c>
      <c r="AW29" s="128" t="str">
        <f ca="1">IF(AG29&lt;&gt;"",IF(BE29=1,BD29,IF(BH29=1,BG29,IF(BJ29=1,BI29,IF(BL29=1,BK29,BM29)))),"")</f>
        <v>Tomčo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37 OZ, 25 (16+9)</v>
      </c>
      <c r="AZ29" s="130"/>
      <c r="BA29" s="130"/>
      <c r="BB29" s="130"/>
      <c r="BC29" s="130"/>
      <c r="BD29" s="89" t="str">
        <f t="shared" si="3"/>
        <v>Tomčo</v>
      </c>
      <c r="BE29" s="91">
        <f t="shared" ca="1" si="4"/>
        <v>1</v>
      </c>
      <c r="BF29" s="90" t="str">
        <f t="shared" si="5"/>
        <v>I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1213</v>
      </c>
      <c r="BU29" s="103">
        <v>4</v>
      </c>
      <c r="BV29" s="104" t="str">
        <f t="shared" si="13"/>
        <v>Vojtěch Bílek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BOH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587</v>
      </c>
      <c r="AH30" s="122">
        <v>37356</v>
      </c>
      <c r="AI30" s="123">
        <v>48</v>
      </c>
      <c r="AJ30" s="123">
        <v>14</v>
      </c>
      <c r="AK30" s="123">
        <v>11</v>
      </c>
      <c r="AL30" s="124">
        <v>25</v>
      </c>
      <c r="AM30" s="123">
        <v>3</v>
      </c>
      <c r="AN30" s="123">
        <v>13</v>
      </c>
      <c r="AO30" s="125"/>
      <c r="AP30" s="125" t="s">
        <v>27</v>
      </c>
      <c r="AQ30" s="123">
        <v>179</v>
      </c>
      <c r="AR30" s="123">
        <v>73</v>
      </c>
      <c r="AS30" s="126" t="s">
        <v>157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179/73</v>
      </c>
      <c r="AW30" s="128" t="str">
        <f ca="1">IF(AG30&lt;&gt;"",IF(BE30=1,BD30,IF(BH30=1,BG30,IF(BJ30=1,BI30,IF(BL30=1,BK30,BM30)))),"")</f>
        <v>Vojtíšek</v>
      </c>
      <c r="AX30" s="129" t="str">
        <f t="shared" ca="1" si="17"/>
        <v>0 OZ, 0 (0+0)</v>
      </c>
      <c r="AY30" s="129" t="str">
        <f t="shared" ca="1" si="16"/>
        <v>48 OZ, 25 (14+11)</v>
      </c>
      <c r="AZ30" s="130"/>
      <c r="BA30" s="130"/>
      <c r="BB30" s="130"/>
      <c r="BC30" s="130"/>
      <c r="BD30" s="3" t="str">
        <f t="shared" si="3"/>
        <v>Vojtíšek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1214</v>
      </c>
      <c r="BU30" s="103">
        <v>2</v>
      </c>
      <c r="BV30" s="104" t="str">
        <f t="shared" si="13"/>
        <v>Filip Forman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588</v>
      </c>
      <c r="AH31" s="122">
        <v>37384</v>
      </c>
      <c r="AI31" s="123">
        <v>10</v>
      </c>
      <c r="AJ31" s="123">
        <v>0</v>
      </c>
      <c r="AK31" s="123">
        <v>2</v>
      </c>
      <c r="AL31" s="124">
        <v>2</v>
      </c>
      <c r="AM31" s="123">
        <v>3</v>
      </c>
      <c r="AN31" s="123">
        <v>94</v>
      </c>
      <c r="AO31" s="125"/>
      <c r="AP31" s="125"/>
      <c r="AQ31" s="123">
        <v>173</v>
      </c>
      <c r="AR31" s="123">
        <v>70</v>
      </c>
      <c r="AS31" s="126" t="s">
        <v>74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173/70</v>
      </c>
      <c r="AW31" s="128" t="str">
        <f ca="1">IF(AG31&lt;&gt;"",IF(BE31=1,BD31,IF(BH31=1,BG31,IF(BJ31=1,BI31,IF(BL31=1,BK31,BM31)))),"")</f>
        <v>Zavřel</v>
      </c>
      <c r="AX31" s="129" t="str">
        <f t="shared" ca="1" si="17"/>
        <v>0 OZ, 0 (0+0)</v>
      </c>
      <c r="AY31" s="129" t="str">
        <f t="shared" ca="1" si="16"/>
        <v>10 OZ, 2 (0+2)</v>
      </c>
      <c r="AZ31" s="130"/>
      <c r="BA31" s="130"/>
      <c r="BB31" s="130"/>
      <c r="BC31" s="130"/>
      <c r="BD31" s="89" t="str">
        <f t="shared" si="3"/>
        <v>Zavřel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1215</v>
      </c>
      <c r="BU31" s="103">
        <v>2</v>
      </c>
      <c r="BV31" s="104" t="str">
        <f t="shared" si="13"/>
        <v>Jakub Buršík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571</v>
      </c>
      <c r="AH32" s="122">
        <v>33195</v>
      </c>
      <c r="AI32" s="123">
        <v>276</v>
      </c>
      <c r="AJ32" s="123">
        <v>29</v>
      </c>
      <c r="AK32" s="123">
        <v>54</v>
      </c>
      <c r="AL32" s="124">
        <v>83</v>
      </c>
      <c r="AM32" s="123">
        <v>14</v>
      </c>
      <c r="AN32" s="123">
        <v>3</v>
      </c>
      <c r="AO32" s="125" t="s">
        <v>166</v>
      </c>
      <c r="AP32" s="125" t="s">
        <v>149</v>
      </c>
      <c r="AQ32" s="123">
        <v>186</v>
      </c>
      <c r="AR32" s="123">
        <v>88</v>
      </c>
      <c r="AS32" s="126" t="s">
        <v>595</v>
      </c>
      <c r="AT32" s="123"/>
      <c r="AU32" s="127">
        <f ca="1">IF(AG32&lt;&gt;"",IF(AH32&lt;&gt;"",INT((TODAY()-AH32)/365),"?"),"")</f>
        <v>30</v>
      </c>
      <c r="AV32" s="127" t="str">
        <f>IF(AG32&lt;&gt;"",CONCATENATE(IF(AQ32&lt;&gt;"",AQ32,"? "),"/",IF(AR32&lt;&gt;"",AR32," ?")),"")</f>
        <v>186/88</v>
      </c>
      <c r="AW32" s="128" t="str">
        <f ca="1">IF(AG32&lt;&gt;"",IF(BE32=1,BD32,IF(BH32=1,BG32,IF(BJ32=1,BI32,IF(BL32=1,BK32,BM32)))),"")</f>
        <v>Zezulka</v>
      </c>
      <c r="AX32" s="129" t="str">
        <f t="shared" ca="1" si="17"/>
        <v>1 OZ, 0 (0+0), 0 ±</v>
      </c>
      <c r="AY32" s="129" t="str">
        <f t="shared" ca="1" si="16"/>
        <v>277 OZ, 83 (29+54)</v>
      </c>
      <c r="AZ32" s="130"/>
      <c r="BA32" s="130"/>
      <c r="BB32" s="130"/>
      <c r="BC32" s="130"/>
      <c r="BD32" s="3" t="str">
        <f t="shared" si="3"/>
        <v>Zezulka</v>
      </c>
      <c r="BE32" s="84">
        <f t="shared" ca="1" si="4"/>
        <v>1</v>
      </c>
      <c r="BF32" s="62" t="str">
        <f t="shared" si="5"/>
        <v>V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ref="AU33:AU38" ca="1" si="18">IF(AG33&lt;&gt;"",IF(AH33&lt;&gt;"",INT((TODAY()-AH33)/365),"?"),"")</f>
        <v/>
      </c>
      <c r="AV33" s="127" t="str">
        <f t="shared" ref="AV33:AV38" si="19">IF(AG33&lt;&gt;"",CONCATENATE(IF(AQ33&lt;&gt;"",AQ33,"? "),"/",IF(AR33&lt;&gt;"",AR33," ?")),"")</f>
        <v/>
      </c>
      <c r="AW33" s="128" t="str">
        <f t="shared" ref="AW33:AW38" si="20">IF(AG33&lt;&gt;"",IF(BE33=1,BD33,IF(BH33=1,BG33,IF(BJ33=1,BI33,IF(BL33=1,BK33,BM33)))),"")</f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572</v>
      </c>
      <c r="T45" s="102">
        <v>5</v>
      </c>
      <c r="U45" s="112">
        <v>282.17</v>
      </c>
      <c r="V45" s="102">
        <v>4</v>
      </c>
      <c r="W45" s="102">
        <v>20</v>
      </c>
      <c r="X45" s="102">
        <v>0</v>
      </c>
      <c r="Y45" s="102">
        <v>104</v>
      </c>
      <c r="Z45" s="102">
        <v>0</v>
      </c>
      <c r="AA45" s="102">
        <v>1</v>
      </c>
      <c r="AB45" s="102">
        <v>84</v>
      </c>
      <c r="AC45" s="102">
        <v>0</v>
      </c>
      <c r="AD45" s="102">
        <v>0</v>
      </c>
      <c r="AE45" s="112">
        <f>IF(S45&lt;&gt;"",IF(T45&gt;0,W45/(U45/60),0),"")</f>
        <v>4.2527554311230817</v>
      </c>
      <c r="AF45" s="112">
        <f>IF(S45&lt;&gt;"",IF(Y45&gt;0,(AB45/Y45)*100,"-"),"")</f>
        <v>80.769230769230774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570</v>
      </c>
      <c r="T46" s="102">
        <v>3</v>
      </c>
      <c r="U46" s="112">
        <v>137.83000000000001</v>
      </c>
      <c r="V46" s="102">
        <v>2</v>
      </c>
      <c r="W46" s="102">
        <v>12</v>
      </c>
      <c r="X46" s="102">
        <v>0</v>
      </c>
      <c r="Y46" s="102">
        <v>49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6">IF(S46&lt;&gt;"",IF(T46&gt;0,W46/(U46/60),0),"")</f>
        <v>5.2238264528767315</v>
      </c>
      <c r="AF46" s="112">
        <f t="shared" ref="AF46:AF50" si="27">IF(S46&lt;&gt;"",IF(Y46&gt;0,(AB46/Y46)*100,"-"),"")</f>
        <v>75.510204081632651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2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36" priority="11" stopIfTrue="1" operator="equal">
      <formula>"OTR"</formula>
    </cfRule>
    <cfRule type="cellIs" dxfId="635" priority="12" stopIfTrue="1" operator="equal">
      <formula>"PAR"</formula>
    </cfRule>
    <cfRule type="cellIs" dxfId="634" priority="13" stopIfTrue="1" operator="equal">
      <formula>"CLP"</formula>
    </cfRule>
    <cfRule type="cellIs" dxfId="633" priority="14" stopIfTrue="1" operator="equal">
      <formula>"HAT"</formula>
    </cfRule>
    <cfRule type="cellIs" dxfId="632" priority="15" stopIfTrue="1" operator="equal">
      <formula>"LIB"</formula>
    </cfRule>
    <cfRule type="cellIs" dxfId="631" priority="16" stopIfTrue="1" operator="equal">
      <formula>"BA"</formula>
    </cfRule>
    <cfRule type="cellIs" dxfId="630" priority="17" stopIfTrue="1" operator="equal">
      <formula>"SPA"</formula>
    </cfRule>
    <cfRule type="cellIs" dxfId="629" priority="18" stopIfTrue="1" operator="equal">
      <formula>"OST"</formula>
    </cfRule>
    <cfRule type="cellIs" dxfId="628" priority="19" stopIfTrue="1" operator="equal">
      <formula>"BOH"</formula>
    </cfRule>
    <cfRule type="cellIs" dxfId="627" priority="20" stopIfTrue="1" operator="equal">
      <formula>"TAT"</formula>
    </cfRule>
    <cfRule type="cellIs" dxfId="626" priority="21" stopIfTrue="1" operator="equal">
      <formula>"MB"</formula>
    </cfRule>
    <cfRule type="cellIs" dxfId="625" priority="22" stopIfTrue="1" operator="equal">
      <formula>"VIT"</formula>
    </cfRule>
    <cfRule type="cellIs" dxfId="624" priority="23" stopIfTrue="1" operator="equal">
      <formula>"CHO"</formula>
    </cfRule>
    <cfRule type="cellIs" dxfId="623" priority="24" stopIfTrue="1" operator="equal">
      <formula>"SKV"</formula>
    </cfRule>
  </conditionalFormatting>
  <conditionalFormatting sqref="H19:K20">
    <cfRule type="cellIs" dxfId="622" priority="39" stopIfTrue="1" operator="equal">
      <formula>"OTR"</formula>
    </cfRule>
    <cfRule type="cellIs" dxfId="621" priority="40" stopIfTrue="1" operator="equal">
      <formula>"PAR"</formula>
    </cfRule>
    <cfRule type="cellIs" dxfId="620" priority="41" stopIfTrue="1" operator="equal">
      <formula>"CLP"</formula>
    </cfRule>
    <cfRule type="cellIs" dxfId="619" priority="42" stopIfTrue="1" operator="equal">
      <formula>"HAT"</formula>
    </cfRule>
    <cfRule type="cellIs" dxfId="618" priority="43" stopIfTrue="1" operator="equal">
      <formula>"LIB"</formula>
    </cfRule>
    <cfRule type="cellIs" dxfId="617" priority="44" stopIfTrue="1" operator="equal">
      <formula>"BA"</formula>
    </cfRule>
    <cfRule type="cellIs" dxfId="616" priority="45" stopIfTrue="1" operator="equal">
      <formula>"SPA"</formula>
    </cfRule>
    <cfRule type="cellIs" dxfId="615" priority="46" stopIfTrue="1" operator="equal">
      <formula>"OST"</formula>
    </cfRule>
    <cfRule type="cellIs" dxfId="614" priority="47" stopIfTrue="1" operator="equal">
      <formula>"BOH"</formula>
    </cfRule>
    <cfRule type="cellIs" dxfId="613" priority="48" stopIfTrue="1" operator="equal">
      <formula>"TAT"</formula>
    </cfRule>
    <cfRule type="cellIs" dxfId="612" priority="49" stopIfTrue="1" operator="equal">
      <formula>"MB"</formula>
    </cfRule>
    <cfRule type="cellIs" dxfId="611" priority="50" stopIfTrue="1" operator="equal">
      <formula>"VIT"</formula>
    </cfRule>
    <cfRule type="cellIs" dxfId="610" priority="51" stopIfTrue="1" operator="equal">
      <formula>"CHO"</formula>
    </cfRule>
    <cfRule type="cellIs" dxfId="609" priority="52" stopIfTrue="1" operator="equal">
      <formula>"SKV"</formula>
    </cfRule>
  </conditionalFormatting>
  <conditionalFormatting sqref="H8:K9">
    <cfRule type="cellIs" dxfId="608" priority="25" stopIfTrue="1" operator="equal">
      <formula>"OTR"</formula>
    </cfRule>
    <cfRule type="cellIs" dxfId="607" priority="26" stopIfTrue="1" operator="equal">
      <formula>"PAR"</formula>
    </cfRule>
    <cfRule type="cellIs" dxfId="606" priority="27" stopIfTrue="1" operator="equal">
      <formula>"CLP"</formula>
    </cfRule>
    <cfRule type="cellIs" dxfId="605" priority="28" stopIfTrue="1" operator="equal">
      <formula>"HAT"</formula>
    </cfRule>
    <cfRule type="cellIs" dxfId="604" priority="29" stopIfTrue="1" operator="equal">
      <formula>"LIB"</formula>
    </cfRule>
    <cfRule type="cellIs" dxfId="603" priority="30" stopIfTrue="1" operator="equal">
      <formula>"BA"</formula>
    </cfRule>
    <cfRule type="cellIs" dxfId="602" priority="31" stopIfTrue="1" operator="equal">
      <formula>"SPA"</formula>
    </cfRule>
    <cfRule type="cellIs" dxfId="601" priority="32" stopIfTrue="1" operator="equal">
      <formula>"OST"</formula>
    </cfRule>
    <cfRule type="cellIs" dxfId="600" priority="33" stopIfTrue="1" operator="equal">
      <formula>"BOH"</formula>
    </cfRule>
    <cfRule type="cellIs" dxfId="599" priority="34" stopIfTrue="1" operator="equal">
      <formula>"TAT"</formula>
    </cfRule>
    <cfRule type="cellIs" dxfId="598" priority="35" stopIfTrue="1" operator="equal">
      <formula>"MB"</formula>
    </cfRule>
    <cfRule type="cellIs" dxfId="597" priority="36" stopIfTrue="1" operator="equal">
      <formula>"VIT"</formula>
    </cfRule>
    <cfRule type="cellIs" dxfId="596" priority="37" stopIfTrue="1" operator="equal">
      <formula>"CHO"</formula>
    </cfRule>
    <cfRule type="cellIs" dxfId="595" priority="38" stopIfTrue="1" operator="equal">
      <formula>"SKV"</formula>
    </cfRule>
  </conditionalFormatting>
  <conditionalFormatting sqref="S2:S42">
    <cfRule type="expression" dxfId="594" priority="9" stopIfTrue="1">
      <formula>IFERROR(IF(VLOOKUP($S2,OFFSET($AG$2,,,COUNTIF($AG$2:$AG$50,"?*")),1,FALSE)&lt;&gt;0,1,0),0)&gt;0</formula>
    </cfRule>
  </conditionalFormatting>
  <conditionalFormatting sqref="S2:S42">
    <cfRule type="expression" dxfId="593" priority="10">
      <formula>IFERROR(IF(VLOOKUP($S2,OFFSET($AG$2,,,COUNTIF($AG$2:$AG$50,"?*")),1,FALSE)&lt;&gt;0,1,0),0)=0</formula>
    </cfRule>
  </conditionalFormatting>
  <conditionalFormatting sqref="S45:S50">
    <cfRule type="expression" dxfId="592" priority="8">
      <formula>IFERROR(IF(VLOOKUP($S45,OFFSET($AG$2,,,COUNTIF($AG$2:$AG$50,"?*")),1,FALSE)&lt;&gt;0,1,0),0)&gt;0</formula>
    </cfRule>
  </conditionalFormatting>
  <conditionalFormatting sqref="S45:S50">
    <cfRule type="expression" dxfId="591" priority="7">
      <formula>IFERROR(IF(VLOOKUP($S45,OFFSET($AG$2,,,COUNTIF($AG$2:$AG$50,"?*")),1,FALSE)&lt;&gt;0,1,0),0)=0</formula>
    </cfRule>
  </conditionalFormatting>
  <conditionalFormatting sqref="AG2:AG50">
    <cfRule type="expression" dxfId="590" priority="4" stopIfTrue="1">
      <formula>OR($AH2="",$AI2="",$AJ2="",$AK2="",$AL2="",$AM2="",$AN2="",$AQ2="",$AR2="",$AS2="",$AT2="")</formula>
    </cfRule>
    <cfRule type="expression" dxfId="589" priority="5" stopIfTrue="1">
      <formula>IFERROR(IF(VLOOKUP($AG2,OFFSET($S$2,,,COUNTIF($S$2:$S$42,"?*")),1,FALSE)&lt;&gt;0,1,0),0)=0</formula>
    </cfRule>
    <cfRule type="expression" dxfId="588" priority="6">
      <formula>IFERROR(IF(VLOOKUP($AG2,OFFSET($S$2,,,COUNTIF($S$2:$S$42,"?*")),1,FALSE)&lt;&gt;0,1,0),0)&gt;0</formula>
    </cfRule>
  </conditionalFormatting>
  <conditionalFormatting sqref="AG2:AK50 AM2:BC50">
    <cfRule type="expression" dxfId="587" priority="3">
      <formula>AND($AG2&lt;&gt;"",MOD(ROW($AG2),2)=0)</formula>
    </cfRule>
  </conditionalFormatting>
  <conditionalFormatting sqref="BN2:BR11">
    <cfRule type="expression" dxfId="586" priority="2">
      <formula>AND($BN2&lt;&gt;"",MOD(ROW($BN2),2)=0)</formula>
    </cfRule>
  </conditionalFormatting>
  <conditionalFormatting sqref="AL2:AL50">
    <cfRule type="expression" dxfId="58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669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43" t="s">
        <v>1</v>
      </c>
      <c r="I1" s="343"/>
      <c r="J1" s="343"/>
      <c r="K1" s="343"/>
      <c r="M1" s="341" t="s">
        <v>668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1988</v>
      </c>
      <c r="C2" s="345"/>
      <c r="D2" s="117">
        <f ca="1">IFERROR(VLOOKUP(A1,OFFSET($AG$2,,,COUNTIF($AG$2:$AG$50,"?*"),23),15,FALSE),"")</f>
        <v>33</v>
      </c>
      <c r="E2" s="335" t="str">
        <f ca="1">IFERROR(VLOOKUP(A1,OFFSET($AG$2,,,COUNTIF($AG$2:$AG$50,"?*"),23),16,FALSE),"")</f>
        <v>200/99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117">
        <f ca="1">IFERROR(VLOOKUP(M1,OFFSET($AG$2,,,COUNTIF($AG$2:$AG$50,"?*"),23),15,FALSE),"")</f>
        <v>17</v>
      </c>
      <c r="Q2" s="335" t="str">
        <f ca="1">IFERROR(VLOOKUP(M1,OFFSET($AG$2,,,COUNTIF($AG$2:$AG$50,"?*"),23),16,FALSE),"")</f>
        <v>175/70</v>
      </c>
      <c r="R2" s="336"/>
      <c r="S2" s="110" t="s">
        <v>667</v>
      </c>
      <c r="T2" s="102" t="s">
        <v>119</v>
      </c>
      <c r="U2" s="102">
        <v>7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8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679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430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704</v>
      </c>
      <c r="BO2" s="122">
        <v>31211</v>
      </c>
      <c r="BP2" s="131" t="s">
        <v>191</v>
      </c>
      <c r="BQ2" s="132"/>
      <c r="BR2" s="127">
        <f ca="1">IF(BN2&lt;&gt;"",IF(BO2&lt;&gt;"",INT((TODAY()-BO2)/365),"?"),"")</f>
        <v>36</v>
      </c>
      <c r="BS2" s="380" t="s">
        <v>36</v>
      </c>
      <c r="BT2" s="104" t="s">
        <v>708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79" t="s">
        <v>211</v>
      </c>
      <c r="BY2" s="103" t="s">
        <v>1188</v>
      </c>
      <c r="BZ2" s="103" t="s">
        <v>920</v>
      </c>
      <c r="CA2" s="115" t="s">
        <v>794</v>
      </c>
    </row>
    <row r="3" spans="1:79" ht="15" customHeight="1" thickTop="1" thickBot="1" x14ac:dyDescent="0.25">
      <c r="A3" s="337" t="str">
        <f ca="1">IFERROR(VLOOKUP(A1,OFFSET($AG$2,,,COUNTIF($AG$2:$AG$50,"?*"),23),18,FALSE),"")</f>
        <v>7 OZ, 6 (3+3), -13 ±</v>
      </c>
      <c r="B3" s="338"/>
      <c r="C3" s="338"/>
      <c r="D3" s="339" t="str">
        <f ca="1">IFERROR(VLOOKUP(A1,OFFSET($AG$2,,,COUNTIF($AG$2:$AG$50,"?*"),23),19,FALSE),"")</f>
        <v>314 OZ, 299 (179+120)</v>
      </c>
      <c r="E3" s="339"/>
      <c r="F3" s="340"/>
      <c r="G3" s="341" t="s">
        <v>667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37" t="str">
        <f ca="1">IFERROR(VLOOKUP(M1,OFFSET($AG$2,,,COUNTIF($AG$2:$AG$50,"?*"),23),18,FALSE),"")</f>
        <v>7 OZ, 8 (7+1), -8 ±</v>
      </c>
      <c r="N3" s="338"/>
      <c r="O3" s="338"/>
      <c r="P3" s="339" t="str">
        <f ca="1">IFERROR(VLOOKUP(M1,OFFSET($AG$2,,,COUNTIF($AG$2:$AG$50,"?*"),23),19,FALSE),"")</f>
        <v>31 OZ, 29 (21+8)</v>
      </c>
      <c r="Q3" s="339"/>
      <c r="R3" s="340"/>
      <c r="S3" s="110" t="s">
        <v>668</v>
      </c>
      <c r="T3" s="102" t="s">
        <v>119</v>
      </c>
      <c r="U3" s="102">
        <v>7</v>
      </c>
      <c r="V3" s="102">
        <v>7</v>
      </c>
      <c r="W3" s="102">
        <v>0</v>
      </c>
      <c r="X3" s="102">
        <v>0</v>
      </c>
      <c r="Y3" s="102">
        <v>1</v>
      </c>
      <c r="Z3" s="102">
        <v>8</v>
      </c>
      <c r="AA3" s="102">
        <v>2</v>
      </c>
      <c r="AB3" s="102">
        <v>-8</v>
      </c>
      <c r="AC3" s="102" t="str">
        <f t="shared" ca="1" si="0"/>
        <v>ANO</v>
      </c>
      <c r="AG3" s="121" t="s">
        <v>684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240</v>
      </c>
      <c r="AQ3" s="123">
        <v>186</v>
      </c>
      <c r="AR3" s="123">
        <v>94</v>
      </c>
      <c r="AS3" s="126" t="s">
        <v>694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705</v>
      </c>
      <c r="BO3" s="122">
        <v>30597</v>
      </c>
      <c r="BP3" s="131" t="s">
        <v>257</v>
      </c>
      <c r="BQ3" s="132"/>
      <c r="BR3" s="127">
        <f t="shared" ref="BR3:BR11" ca="1" si="12">IF(BN3&lt;&gt;"",IF(BO3&lt;&gt;"",INT((TODAY()-BO3)/365),"?"),"")</f>
        <v>38</v>
      </c>
      <c r="BS3" s="380"/>
      <c r="BT3" s="104" t="s">
        <v>1216</v>
      </c>
      <c r="BU3" s="103">
        <v>8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8</v>
      </c>
      <c r="BX3" s="379"/>
      <c r="BY3" s="103" t="s">
        <v>1098</v>
      </c>
      <c r="BZ3" s="103" t="s">
        <v>900</v>
      </c>
      <c r="CA3" s="115" t="s">
        <v>835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FbK Sokol Mladá Boleslav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2007</v>
      </c>
      <c r="E4" s="35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117">
        <f ca="1">IFERROR(VLOOKUP(G3,OFFSET($AG$2,,,COUNTIF($AG$2:$AG$50,"?*"),23),15,FALSE),"")</f>
        <v>28</v>
      </c>
      <c r="K4" s="335" t="str">
        <f ca="1">IFERROR(VLOOKUP(G3,OFFSET($AG$2,,,COUNTIF($AG$2:$AG$50,"?*"),23),16,FALSE),"")</f>
        <v>186/82</v>
      </c>
      <c r="L4" s="336"/>
      <c r="M4" s="346" t="str">
        <f ca="1">IFERROR(IF(VLOOKUP(M1,OFFSET($AG$2,,,COUNTIF($AG$2:$AG$50,"?*"),23),13,FALSE)&lt;&gt;0,VLOOKUP(M1,OFFSET($AG$2,,,COUNTIF($AG$2:$AG$50,"?*"),23),13,FALSE),"?"),"")</f>
        <v>FBC Česká Lípa</v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>-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418</v>
      </c>
      <c r="T4" s="102" t="s">
        <v>64</v>
      </c>
      <c r="U4" s="102">
        <v>7</v>
      </c>
      <c r="V4" s="102">
        <v>3</v>
      </c>
      <c r="W4" s="102">
        <v>0</v>
      </c>
      <c r="X4" s="102">
        <v>0</v>
      </c>
      <c r="Y4" s="102">
        <v>5</v>
      </c>
      <c r="Z4" s="102">
        <v>8</v>
      </c>
      <c r="AA4" s="102">
        <v>6</v>
      </c>
      <c r="AB4" s="102">
        <v>-12</v>
      </c>
      <c r="AC4" s="102" t="str">
        <f t="shared" ca="1" si="0"/>
        <v>ANO</v>
      </c>
      <c r="AG4" s="121" t="s">
        <v>685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240</v>
      </c>
      <c r="AQ4" s="123">
        <v>191</v>
      </c>
      <c r="AR4" s="123">
        <v>84</v>
      </c>
      <c r="AS4" s="126" t="s">
        <v>695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706</v>
      </c>
      <c r="BO4" s="122">
        <v>31784</v>
      </c>
      <c r="BP4" s="131" t="s">
        <v>192</v>
      </c>
      <c r="BQ4" s="132"/>
      <c r="BR4" s="127">
        <f t="shared" ca="1" si="12"/>
        <v>34</v>
      </c>
      <c r="BS4" s="380"/>
      <c r="BT4" s="104" t="s">
        <v>1217</v>
      </c>
      <c r="BU4" s="103">
        <v>8</v>
      </c>
      <c r="BV4" s="104" t="str">
        <f t="shared" si="13"/>
        <v>Milan Tichý</v>
      </c>
      <c r="BW4" s="102">
        <f t="shared" si="14"/>
        <v>8</v>
      </c>
      <c r="BX4" s="379"/>
      <c r="BY4" s="103" t="s">
        <v>207</v>
      </c>
      <c r="BZ4" s="103" t="s">
        <v>925</v>
      </c>
      <c r="CA4" s="115" t="s">
        <v>112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7 OZ, 10 (6+4), -1 ±</v>
      </c>
      <c r="H5" s="338"/>
      <c r="I5" s="338"/>
      <c r="J5" s="339" t="str">
        <f ca="1">IFERROR(VLOOKUP(G3,OFFSET($AG$2,,,COUNTIF($AG$2:$AG$50,"?*"),23),19,FALSE),"")</f>
        <v>201 OZ, 337 (240+97)</v>
      </c>
      <c r="K5" s="339"/>
      <c r="L5" s="340"/>
      <c r="S5" s="110" t="s">
        <v>669</v>
      </c>
      <c r="T5" s="102" t="s">
        <v>119</v>
      </c>
      <c r="U5" s="102">
        <v>7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-13</v>
      </c>
      <c r="AC5" s="102" t="str">
        <f t="shared" ca="1" si="0"/>
        <v>ANO</v>
      </c>
      <c r="AG5" s="121" t="s">
        <v>670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149</v>
      </c>
      <c r="AQ5" s="123">
        <v>182</v>
      </c>
      <c r="AR5" s="123">
        <v>79</v>
      </c>
      <c r="AS5" s="126" t="s">
        <v>696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7 OZ, 1 (1+0), -12 ±</v>
      </c>
      <c r="AY5" s="129" t="str">
        <f t="shared" ca="1" si="2"/>
        <v>110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707</v>
      </c>
      <c r="BO5" s="122">
        <v>29101</v>
      </c>
      <c r="BP5" s="131" t="s">
        <v>192</v>
      </c>
      <c r="BQ5" s="132"/>
      <c r="BR5" s="127">
        <f t="shared" ca="1" si="12"/>
        <v>42</v>
      </c>
      <c r="BS5" s="380"/>
      <c r="BT5" s="104" t="s">
        <v>939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79"/>
      <c r="BY5" s="103" t="s">
        <v>206</v>
      </c>
      <c r="BZ5" s="103" t="s">
        <v>933</v>
      </c>
      <c r="CA5" s="115" t="s">
        <v>934</v>
      </c>
    </row>
    <row r="6" spans="1:79" ht="15" customHeight="1" thickTop="1" thickBot="1" x14ac:dyDescent="0.25">
      <c r="A6" s="341" t="s">
        <v>418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46" t="str">
        <f ca="1">IFERROR(IF(VLOOKUP(G3,OFFSET($AG$2,,,COUNTIF($AG$2:$AG$50,"?*"),23),13,FALSE)&lt;&gt;0,VLOOKUP(G3,OFFSET($AG$2,,,COUNTIF($AG$2:$AG$50,"?*"),23),13,FALSE),"?"),"")</f>
        <v>Erupting Dragons H. B.</v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>-</v>
      </c>
      <c r="K6" s="350"/>
      <c r="L6" s="7">
        <f ca="1">IFERROR(IF(VLOOKUP(G3,OFFSET($AG$2,,,COUNTIF($AG$2:$AG$50,"?*"),23),7,FALSE)&lt;&gt;0,VLOOKUP(G3,OFFSET($AG$2,,,COUNTIF($AG$2:$AG$50,"?*"),23),7,FALSE),"?"),"")</f>
        <v>10</v>
      </c>
      <c r="M6" s="341" t="s">
        <v>671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673</v>
      </c>
      <c r="T6" s="102" t="s">
        <v>64</v>
      </c>
      <c r="U6" s="102">
        <v>7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6</v>
      </c>
      <c r="AB6" s="102">
        <v>-5</v>
      </c>
      <c r="AC6" s="102" t="str">
        <f t="shared" ca="1" si="0"/>
        <v>ANO</v>
      </c>
      <c r="AG6" s="121" t="s">
        <v>669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697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7 OZ, 6 (3+3), -13 ±</v>
      </c>
      <c r="AY6" s="129" t="str">
        <f t="shared" ca="1" si="2"/>
        <v>314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940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79"/>
      <c r="BY6" s="103" t="s">
        <v>851</v>
      </c>
      <c r="BZ6" s="103" t="s">
        <v>907</v>
      </c>
      <c r="CA6" s="115" t="s">
        <v>861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4">
        <f ca="1">IFERROR(IF(VLOOKUP(A6,OFFSET($AG$2,,,COUNTIF($AG$2:$AG$50,"?*"),23),2,FALSE)&lt;&gt;0,YEAR(VLOOKUP(A6,OFFSET($AG$2,,,COUNTIF($AG$2:$AG$50,"?*"),23),2,FALSE)),""),"")</f>
        <v>1993</v>
      </c>
      <c r="C7" s="345"/>
      <c r="D7" s="117">
        <f ca="1">IFERROR(VLOOKUP(A6,OFFSET($AG$2,,,COUNTIF($AG$2:$AG$50,"?*"),23),15,FALSE),"")</f>
        <v>28</v>
      </c>
      <c r="E7" s="335" t="str">
        <f ca="1">IFERROR(VLOOKUP(A6,OFFSET($AG$2,,,COUNTIF($AG$2:$AG$50,"?*"),23),16,FALSE),"")</f>
        <v>192/90</v>
      </c>
      <c r="F7" s="336"/>
      <c r="M7" s="4" t="str">
        <f ca="1">IFERROR(IF(VLOOKUP(M6,OFFSET($AG$2,,,COUNTIF($AG$2:$AG$50,"?*"),23),10,FALSE)&lt;&gt;0,VLOOKUP(M6,OFFSET($AG$2,,,COUNTIF($AG$2:$AG$50,"?*"),23),10,FALSE),""),"")</f>
        <v>P</v>
      </c>
      <c r="N7" s="344">
        <f ca="1">IFERROR(IF(VLOOKUP(M6,OFFSET($AG$2,,,COUNTIF($AG$2:$AG$50,"?*"),23),2,FALSE)&lt;&gt;0,YEAR(VLOOKUP(M6,OFFSET($AG$2,,,COUNTIF($AG$2:$AG$50,"?*"),23),2,FALSE)),""),"")</f>
        <v>1996</v>
      </c>
      <c r="O7" s="345"/>
      <c r="P7" s="117">
        <f ca="1">IFERROR(VLOOKUP(M6,OFFSET($AG$2,,,COUNTIF($AG$2:$AG$50,"?*"),23),15,FALSE),"")</f>
        <v>25</v>
      </c>
      <c r="Q7" s="335" t="str">
        <f ca="1">IFERROR(VLOOKUP(M6,OFFSET($AG$2,,,COUNTIF($AG$2:$AG$50,"?*"),23),16,FALSE),"")</f>
        <v>185/85</v>
      </c>
      <c r="R7" s="336"/>
      <c r="S7" s="110" t="s">
        <v>678</v>
      </c>
      <c r="T7" s="102" t="s">
        <v>64</v>
      </c>
      <c r="U7" s="102">
        <v>7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681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892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862</v>
      </c>
      <c r="BU7" s="103" t="s">
        <v>1100</v>
      </c>
      <c r="BV7" s="104" t="str">
        <f t="shared" si="13"/>
        <v>Lukáš Chyna</v>
      </c>
      <c r="BW7" s="112">
        <f t="shared" si="14"/>
        <v>6.47</v>
      </c>
      <c r="BX7" s="379" t="s">
        <v>212</v>
      </c>
      <c r="BY7" s="103" t="s">
        <v>906</v>
      </c>
      <c r="BZ7" s="103" t="s">
        <v>937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>7 OZ, 8 (3+5), -12 ±</v>
      </c>
      <c r="B8" s="338"/>
      <c r="C8" s="338"/>
      <c r="D8" s="339" t="str">
        <f ca="1">IFERROR(VLOOKUP(A6,OFFSET($AG$2,,,COUNTIF($AG$2:$AG$50,"?*"),23),19,FALSE),"")</f>
        <v>81 OZ, 69 (40+29)</v>
      </c>
      <c r="E8" s="339"/>
      <c r="F8" s="340"/>
      <c r="H8" s="351" t="s">
        <v>102</v>
      </c>
      <c r="I8" s="351"/>
      <c r="J8" s="351"/>
      <c r="K8" s="351"/>
      <c r="M8" s="337" t="str">
        <f ca="1">IFERROR(VLOOKUP(M6,OFFSET($AG$2,,,COUNTIF($AG$2:$AG$50,"?*"),23),18,FALSE),"")</f>
        <v>6 OZ, 4 (0+4), -13 ±</v>
      </c>
      <c r="N8" s="338"/>
      <c r="O8" s="338"/>
      <c r="P8" s="339" t="str">
        <f ca="1">IFERROR(VLOOKUP(M6,OFFSET($AG$2,,,COUNTIF($AG$2:$AG$50,"?*"),23),19,FALSE),"")</f>
        <v>108 OZ, 80 (28+52)</v>
      </c>
      <c r="Q8" s="339"/>
      <c r="R8" s="340"/>
      <c r="S8" s="110" t="s">
        <v>671</v>
      </c>
      <c r="T8" s="102" t="s">
        <v>64</v>
      </c>
      <c r="U8" s="102">
        <v>6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2</v>
      </c>
      <c r="AB8" s="102">
        <v>-13</v>
      </c>
      <c r="AC8" s="102" t="str">
        <f t="shared" ca="1" si="0"/>
        <v>ANO</v>
      </c>
      <c r="AG8" s="121" t="s">
        <v>682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149</v>
      </c>
      <c r="AQ8" s="123"/>
      <c r="AR8" s="123"/>
      <c r="AS8" s="126" t="s">
        <v>430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4 OZ, 0 (0+0), 0 ±</v>
      </c>
      <c r="AY8" s="129" t="str">
        <f t="shared" ca="1" si="2"/>
        <v>4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863</v>
      </c>
      <c r="BU8" s="103" t="s">
        <v>1218</v>
      </c>
      <c r="BV8" s="104" t="str">
        <f t="shared" si="13"/>
        <v>Ivan Ponomarev</v>
      </c>
      <c r="BW8" s="112">
        <f t="shared" si="14"/>
        <v>8.6199999999999992</v>
      </c>
      <c r="BX8" s="379"/>
      <c r="BY8" s="103" t="s">
        <v>908</v>
      </c>
      <c r="BZ8" s="103" t="s">
        <v>923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FBC Česká Lípa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2008</v>
      </c>
      <c r="E9" s="350"/>
      <c r="F9" s="7">
        <f ca="1">IFERROR(IF(VLOOKUP(A6,OFFSET($AG$2,,,COUNTIF($AG$2:$AG$50,"?*"),23),7,FALSE)&lt;&gt;0,VLOOKUP(A6,OFFSET($AG$2,,,COUNTIF($AG$2:$AG$50,"?*"),23),7,FALSE),"?"),"")</f>
        <v>7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FbK Sokol Mladá Boleslav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2007</v>
      </c>
      <c r="Q9" s="35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680</v>
      </c>
      <c r="T9" s="102" t="s">
        <v>119</v>
      </c>
      <c r="U9" s="102">
        <v>7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686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149</v>
      </c>
      <c r="AQ9" s="123">
        <v>185</v>
      </c>
      <c r="AR9" s="123">
        <v>76</v>
      </c>
      <c r="AS9" s="126" t="s">
        <v>430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938</v>
      </c>
      <c r="BZ9" s="103" t="s">
        <v>897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672</v>
      </c>
      <c r="T10" s="102" t="s">
        <v>119</v>
      </c>
      <c r="U10" s="102">
        <v>7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-7</v>
      </c>
      <c r="AC10" s="102" t="str">
        <f t="shared" ca="1" si="0"/>
        <v>ANO</v>
      </c>
      <c r="AG10" s="121" t="s">
        <v>683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240</v>
      </c>
      <c r="AQ10" s="123">
        <v>181</v>
      </c>
      <c r="AR10" s="123">
        <v>79</v>
      </c>
      <c r="AS10" s="126" t="s">
        <v>430</v>
      </c>
      <c r="AT10" s="123" t="s">
        <v>240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957</v>
      </c>
      <c r="CA10" s="115" t="s">
        <v>205</v>
      </c>
    </row>
    <row r="11" spans="1:79" ht="15" customHeight="1" thickTop="1" thickBot="1" x14ac:dyDescent="0.25">
      <c r="R11" s="13"/>
      <c r="S11" s="110" t="s">
        <v>675</v>
      </c>
      <c r="T11" s="102" t="s">
        <v>119</v>
      </c>
      <c r="U11" s="102">
        <v>6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-2</v>
      </c>
      <c r="AC11" s="102" t="str">
        <f t="shared" ca="1" si="0"/>
        <v>ANO</v>
      </c>
      <c r="AG11" s="121" t="s">
        <v>687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149</v>
      </c>
      <c r="AQ11" s="123">
        <v>186</v>
      </c>
      <c r="AR11" s="123">
        <v>63</v>
      </c>
      <c r="AS11" s="126" t="s">
        <v>694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1221</v>
      </c>
      <c r="BZ11" s="103" t="s">
        <v>904</v>
      </c>
      <c r="CA11" s="115" t="s">
        <v>205</v>
      </c>
    </row>
    <row r="12" spans="1:79" ht="15" customHeight="1" thickTop="1" thickBot="1" x14ac:dyDescent="0.25">
      <c r="A12" s="341" t="s">
        <v>675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43" t="s">
        <v>7</v>
      </c>
      <c r="I12" s="343"/>
      <c r="J12" s="343"/>
      <c r="K12" s="343"/>
      <c r="M12" s="341" t="s">
        <v>676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689</v>
      </c>
      <c r="T12" s="102" t="s">
        <v>64</v>
      </c>
      <c r="U12" s="102">
        <v>4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27</v>
      </c>
      <c r="AB12" s="102">
        <v>-9</v>
      </c>
      <c r="AC12" s="102" t="str">
        <f t="shared" ca="1" si="0"/>
        <v>ANO</v>
      </c>
      <c r="AG12" s="121" t="s">
        <v>680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149</v>
      </c>
      <c r="AQ12" s="123">
        <v>186</v>
      </c>
      <c r="AR12" s="123">
        <v>87</v>
      </c>
      <c r="AS12" s="126" t="s">
        <v>430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7 OZ, 3 (0+3), -5 ±</v>
      </c>
      <c r="AY12" s="129" t="str">
        <f t="shared" ca="1" si="2"/>
        <v>110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1101</v>
      </c>
      <c r="BU12" s="103">
        <v>7</v>
      </c>
      <c r="BV12" s="104" t="str">
        <f t="shared" si="13"/>
        <v>Ondřej Kopič</v>
      </c>
      <c r="BW12" s="102">
        <f t="shared" si="14"/>
        <v>7</v>
      </c>
      <c r="BX12" s="120" t="s">
        <v>210</v>
      </c>
      <c r="BY12" s="100" t="s">
        <v>1222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1997</v>
      </c>
      <c r="C13" s="345"/>
      <c r="D13" s="117">
        <f ca="1">IFERROR(VLOOKUP(A12,OFFSET($AG$2,,,COUNTIF($AG$2:$AG$50,"?*"),23),15,FALSE),"")</f>
        <v>23</v>
      </c>
      <c r="E13" s="335" t="str">
        <f ca="1">IFERROR(VLOOKUP(A12,OFFSET($AG$2,,,COUNTIF($AG$2:$AG$50,"?*"),23),16,FALSE),"")</f>
        <v>185/75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117">
        <f ca="1">IFERROR(VLOOKUP(M12,OFFSET($AG$2,,,COUNTIF($AG$2:$AG$50,"?*"),23),15,FALSE),"")</f>
        <v>17</v>
      </c>
      <c r="Q13" s="335" t="str">
        <f ca="1">IFERROR(VLOOKUP(M12,OFFSET($AG$2,,,COUNTIF($AG$2:$AG$50,"?*"),23),16,FALSE),"")</f>
        <v>170/62</v>
      </c>
      <c r="R13" s="336"/>
      <c r="S13" s="110" t="s">
        <v>677</v>
      </c>
      <c r="T13" s="102" t="s">
        <v>64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688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149</v>
      </c>
      <c r="AQ13" s="123">
        <v>176</v>
      </c>
      <c r="AR13" s="123">
        <v>80</v>
      </c>
      <c r="AS13" s="126" t="s">
        <v>697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1102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>6 OZ, 2 (2+0), -2 ±</v>
      </c>
      <c r="B14" s="338"/>
      <c r="C14" s="338"/>
      <c r="D14" s="339" t="str">
        <f ca="1">IFERROR(VLOOKUP(A12,OFFSET($AG$2,,,COUNTIF($AG$2:$AG$50,"?*"),23),19,FALSE),"")</f>
        <v>71 OZ, 19 (10+9)</v>
      </c>
      <c r="E14" s="339"/>
      <c r="F14" s="340"/>
      <c r="G14" s="341" t="s">
        <v>680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37" t="str">
        <f ca="1">IFERROR(VLOOKUP(M12,OFFSET($AG$2,,,COUNTIF($AG$2:$AG$50,"?*"),23),18,FALSE),"")</f>
        <v>6 OZ, 1 (1+0), -1 ±</v>
      </c>
      <c r="N14" s="338"/>
      <c r="O14" s="338"/>
      <c r="P14" s="339" t="str">
        <f ca="1">IFERROR(VLOOKUP(M12,OFFSET($AG$2,,,COUNTIF($AG$2:$AG$50,"?*"),23),19,FALSE),"")</f>
        <v>14 OZ, 1 (1+0)</v>
      </c>
      <c r="Q14" s="339"/>
      <c r="R14" s="340"/>
      <c r="S14" s="110" t="s">
        <v>676</v>
      </c>
      <c r="T14" s="102" t="s">
        <v>119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-1</v>
      </c>
      <c r="AC14" s="102" t="str">
        <f t="shared" ca="1" si="0"/>
        <v>ANO</v>
      </c>
      <c r="AG14" s="121" t="s">
        <v>672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149</v>
      </c>
      <c r="AQ14" s="123">
        <v>186</v>
      </c>
      <c r="AR14" s="123">
        <v>86</v>
      </c>
      <c r="AS14" s="126" t="s">
        <v>430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7 OZ, 3 (0+3), -7 ±</v>
      </c>
      <c r="AY14" s="129" t="str">
        <f t="shared" ca="1" si="2"/>
        <v>98 OZ, 29 (8+21)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1103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Akademie Zákupy</v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>-</v>
      </c>
      <c r="E15" s="35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1991</v>
      </c>
      <c r="I15" s="345"/>
      <c r="J15" s="117">
        <f ca="1">IFERROR(VLOOKUP(G14,OFFSET($AG$2,,,COUNTIF($AG$2:$AG$50,"?*"),23),15,FALSE),"")</f>
        <v>30</v>
      </c>
      <c r="K15" s="335" t="str">
        <f ca="1">IFERROR(VLOOKUP(G14,OFFSET($AG$2,,,COUNTIF($AG$2:$AG$50,"?*"),23),16,FALSE),"")</f>
        <v>186/87</v>
      </c>
      <c r="L15" s="336"/>
      <c r="M15" s="346" t="str">
        <f ca="1">IFERROR(IF(VLOOKUP(M12,OFFSET($AG$2,,,COUNTIF($AG$2:$AG$50,"?*"),23),13,FALSE)&lt;&gt;0,VLOOKUP(M12,OFFSET($AG$2,,,COUNTIF($AG$2:$AG$50,"?*"),23),13,FALSE),"?"),"")</f>
        <v>FBC Česká Lípa</v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>-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670</v>
      </c>
      <c r="T15" s="102" t="s">
        <v>119</v>
      </c>
      <c r="U15" s="102">
        <v>7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-12</v>
      </c>
      <c r="AC15" s="102" t="str">
        <f t="shared" ca="1" si="0"/>
        <v>ANO</v>
      </c>
      <c r="AG15" s="121" t="s">
        <v>668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149</v>
      </c>
      <c r="AQ15" s="123">
        <v>175</v>
      </c>
      <c r="AR15" s="123">
        <v>70</v>
      </c>
      <c r="AS15" s="126" t="s">
        <v>430</v>
      </c>
      <c r="AT15" s="123" t="s">
        <v>240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7 OZ, 8 (7+1), -8 ±</v>
      </c>
      <c r="AY15" s="129" t="str">
        <f t="shared" ca="1" si="2"/>
        <v>31 OZ, 29 (21+8)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1104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7 OZ, 3 (0+3), -5 ±</v>
      </c>
      <c r="H16" s="338"/>
      <c r="I16" s="338"/>
      <c r="J16" s="339" t="str">
        <f ca="1">IFERROR(VLOOKUP(G14,OFFSET($AG$2,,,COUNTIF($AG$2:$AG$50,"?*"),23),19,FALSE),"")</f>
        <v>110 OZ, 79 (25+54)</v>
      </c>
      <c r="K16" s="339"/>
      <c r="L16" s="340"/>
      <c r="S16" s="110" t="s">
        <v>692</v>
      </c>
      <c r="T16" s="102" t="s">
        <v>119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676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149</v>
      </c>
      <c r="AQ16" s="123">
        <v>170</v>
      </c>
      <c r="AR16" s="123">
        <v>62</v>
      </c>
      <c r="AS16" s="126" t="s">
        <v>430</v>
      </c>
      <c r="AT16" s="123" t="s">
        <v>240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6 OZ, 1 (1+0), -1 ±</v>
      </c>
      <c r="AY16" s="129" t="str">
        <f t="shared" ca="1" si="2"/>
        <v>14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940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1" t="s">
        <v>432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46" t="str">
        <f ca="1">IFERROR(IF(VLOOKUP(G14,OFFSET($AG$2,,,COUNTIF($AG$2:$AG$50,"?*"),23),13,FALSE)&lt;&gt;0,VLOOKUP(G14,OFFSET($AG$2,,,COUNTIF($AG$2:$AG$50,"?*"),23),13,FALSE),"?"),"")</f>
        <v>FBC Česká Lípa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2006</v>
      </c>
      <c r="K17" s="350"/>
      <c r="L17" s="7">
        <f ca="1">IFERROR(IF(VLOOKUP(G14,OFFSET($AG$2,,,COUNTIF($AG$2:$AG$50,"?*"),23),7,FALSE)&lt;&gt;0,VLOOKUP(G14,OFFSET($AG$2,,,COUNTIF($AG$2:$AG$50,"?*"),23),7,FALSE),"?"),"")</f>
        <v>6</v>
      </c>
      <c r="M17" s="341" t="s">
        <v>673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1097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667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149</v>
      </c>
      <c r="AQ17" s="123">
        <v>186</v>
      </c>
      <c r="AR17" s="123">
        <v>82</v>
      </c>
      <c r="AS17" s="126" t="s">
        <v>698</v>
      </c>
      <c r="AT17" s="123" t="s">
        <v>240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7 OZ, 10 (6+4), -1 ±</v>
      </c>
      <c r="AY17" s="129" t="str">
        <f t="shared" ca="1" si="2"/>
        <v>201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862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174/76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1983</v>
      </c>
      <c r="O18" s="345"/>
      <c r="P18" s="117">
        <f ca="1">IFERROR(VLOOKUP(M17,OFFSET($AG$2,,,COUNTIF($AG$2:$AG$50,"?*"),23),15,FALSE),"")</f>
        <v>38</v>
      </c>
      <c r="Q18" s="335" t="str">
        <f ca="1">IFERROR(VLOOKUP(M17,OFFSET($AG$2,,,COUNTIF($AG$2:$AG$50,"?*"),23),16,FALSE),"")</f>
        <v>184/91</v>
      </c>
      <c r="R18" s="336"/>
      <c r="S18" s="110" t="s">
        <v>681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678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166</v>
      </c>
      <c r="AP18" s="125" t="s">
        <v>149</v>
      </c>
      <c r="AQ18" s="123">
        <v>185</v>
      </c>
      <c r="AR18" s="123">
        <v>85</v>
      </c>
      <c r="AS18" s="126" t="s">
        <v>699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7 OZ, 4 (2+2), -8 ±</v>
      </c>
      <c r="AY18" s="129" t="str">
        <f t="shared" ca="1" si="2"/>
        <v>90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863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>6 OZ, 0 (0+0), -2 ±</v>
      </c>
      <c r="B19" s="338"/>
      <c r="C19" s="338"/>
      <c r="D19" s="339" t="str">
        <f ca="1">IFERROR(VLOOKUP(A17,OFFSET($AG$2,,,COUNTIF($AG$2:$AG$50,"?*"),23),19,FALSE),"")</f>
        <v>74 OZ, 44 (21+23)</v>
      </c>
      <c r="E19" s="339"/>
      <c r="F19" s="340"/>
      <c r="H19" s="351" t="str">
        <f>H$8</f>
        <v>CLP</v>
      </c>
      <c r="I19" s="351"/>
      <c r="J19" s="351"/>
      <c r="K19" s="351"/>
      <c r="M19" s="337" t="str">
        <f ca="1">IFERROR(VLOOKUP(M17,OFFSET($AG$2,,,COUNTIF($AG$2:$AG$50,"?*"),23),18,FALSE),"")</f>
        <v>7 OZ, 5 (3+2), -5 ±</v>
      </c>
      <c r="N19" s="338"/>
      <c r="O19" s="338"/>
      <c r="P19" s="339" t="str">
        <f ca="1">IFERROR(VLOOKUP(M17,OFFSET($AG$2,,,COUNTIF($AG$2:$AG$50,"?*"),23),19,FALSE),"")</f>
        <v>316 OZ, 325 (159+166)</v>
      </c>
      <c r="Q19" s="339"/>
      <c r="R19" s="340"/>
      <c r="S19" s="110" t="s">
        <v>682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689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149</v>
      </c>
      <c r="AQ19" s="123">
        <v>178</v>
      </c>
      <c r="AR19" s="123">
        <v>75</v>
      </c>
      <c r="AS19" s="126" t="s">
        <v>697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4 OZ, 2 (1+1), -9 ±</v>
      </c>
      <c r="AY19" s="129" t="str">
        <f t="shared" ca="1" si="2"/>
        <v>196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Pitbulls Kolín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2007</v>
      </c>
      <c r="E20" s="350"/>
      <c r="F20" s="7">
        <f ca="1">IFERROR(IF(VLOOKUP(A17,OFFSET($AG$2,,,COUNTIF($AG$2:$AG$50,"?*"),23),7,FALSE)&lt;&gt;0,VLOOKUP(A17,OFFSET($AG$2,,,COUNTIF($AG$2:$AG$50,"?*"),23),7,FALSE),"?"),"")</f>
        <v>5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Líný FŠI Česká Lípa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679</v>
      </c>
      <c r="T20" s="102" t="s">
        <v>119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432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149</v>
      </c>
      <c r="AQ20" s="123">
        <v>174</v>
      </c>
      <c r="AR20" s="123">
        <v>76</v>
      </c>
      <c r="AS20" s="126" t="s">
        <v>891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432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-2</v>
      </c>
      <c r="AC21" s="102" t="str">
        <f t="shared" ca="1" si="0"/>
        <v>ANO</v>
      </c>
      <c r="AG21" s="121" t="s">
        <v>690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149</v>
      </c>
      <c r="AQ21" s="123">
        <v>185</v>
      </c>
      <c r="AR21" s="123">
        <v>88</v>
      </c>
      <c r="AS21" s="126" t="s">
        <v>430</v>
      </c>
      <c r="AT21" s="123" t="s">
        <v>240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683</v>
      </c>
      <c r="T22" s="102" t="s">
        <v>117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674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890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4 P</v>
      </c>
      <c r="AY22" s="129" t="str">
        <f t="shared" ca="1" si="2"/>
        <v>136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709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1" t="s">
        <v>672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43" t="s">
        <v>13</v>
      </c>
      <c r="I23" s="343"/>
      <c r="J23" s="343"/>
      <c r="K23" s="343"/>
      <c r="M23" s="341" t="s">
        <v>670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674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691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149</v>
      </c>
      <c r="AQ23" s="123">
        <v>180</v>
      </c>
      <c r="AR23" s="123">
        <v>69</v>
      </c>
      <c r="AS23" s="126" t="s">
        <v>700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941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1990</v>
      </c>
      <c r="C24" s="345"/>
      <c r="D24" s="117">
        <f ca="1">IFERROR(VLOOKUP(A23,OFFSET($AG$2,,,COUNTIF($AG$2:$AG$50,"?*"),23),15,FALSE),"")</f>
        <v>31</v>
      </c>
      <c r="E24" s="335" t="str">
        <f ca="1">IFERROR(VLOOKUP(A23,OFFSET($AG$2,,,COUNTIF($AG$2:$AG$50,"?*"),23),16,FALSE),"")</f>
        <v>186/86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1986</v>
      </c>
      <c r="O24" s="345"/>
      <c r="P24" s="117">
        <f ca="1">IFERROR(VLOOKUP(M23,OFFSET($AG$2,,,COUNTIF($AG$2:$AG$50,"?*"),23),15,FALSE),"")</f>
        <v>35</v>
      </c>
      <c r="Q24" s="335" t="str">
        <f ca="1">IFERROR(VLOOKUP(M23,OFFSET($AG$2,,,COUNTIF($AG$2:$AG$50,"?*"),23),16,FALSE),"")</f>
        <v>182/79</v>
      </c>
      <c r="R24" s="336"/>
      <c r="S24" s="111"/>
      <c r="AC24" s="102" t="str">
        <f t="shared" ca="1" si="0"/>
        <v/>
      </c>
      <c r="AG24" s="121" t="s">
        <v>673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149</v>
      </c>
      <c r="AQ24" s="123">
        <v>184</v>
      </c>
      <c r="AR24" s="123">
        <v>91</v>
      </c>
      <c r="AS24" s="126" t="s">
        <v>701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7 OZ, 5 (3+2),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316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943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>7 OZ, 3 (0+3), -7 ±</v>
      </c>
      <c r="B25" s="338"/>
      <c r="C25" s="338"/>
      <c r="D25" s="339" t="str">
        <f ca="1">IFERROR(VLOOKUP(A23,OFFSET($AG$2,,,COUNTIF($AG$2:$AG$50,"?*"),23),19,FALSE),"")</f>
        <v>98 OZ, 29 (8+21)</v>
      </c>
      <c r="E25" s="339"/>
      <c r="F25" s="340"/>
      <c r="G25" s="341" t="s">
        <v>678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37" t="str">
        <f ca="1">IFERROR(VLOOKUP(M23,OFFSET($AG$2,,,COUNTIF($AG$2:$AG$50,"?*"),23),18,FALSE),"")</f>
        <v>7 OZ, 1 (1+0), -12 ±</v>
      </c>
      <c r="N25" s="338"/>
      <c r="O25" s="338"/>
      <c r="P25" s="339" t="str">
        <f ca="1">IFERROR(VLOOKUP(M23,OFFSET($AG$2,,,COUNTIF($AG$2:$AG$50,"?*"),23),19,FALSE),"")</f>
        <v>110 OZ, 51 (32+19)</v>
      </c>
      <c r="Q25" s="339"/>
      <c r="R25" s="340"/>
      <c r="S25" s="111"/>
      <c r="AC25" s="102" t="str">
        <f t="shared" ca="1" si="0"/>
        <v/>
      </c>
      <c r="AG25" s="121" t="s">
        <v>692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149</v>
      </c>
      <c r="AQ25" s="123">
        <v>194</v>
      </c>
      <c r="AR25" s="123">
        <v>89</v>
      </c>
      <c r="AS25" s="126" t="s">
        <v>430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1105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FBC Česká Lípa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2006</v>
      </c>
      <c r="E26" s="35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1987</v>
      </c>
      <c r="I26" s="345"/>
      <c r="J26" s="117">
        <f ca="1">IFERROR(VLOOKUP(G25,OFFSET($AG$2,,,COUNTIF($AG$2:$AG$50,"?*"),23),15,FALSE),"")</f>
        <v>34</v>
      </c>
      <c r="K26" s="335" t="str">
        <f ca="1">IFERROR(VLOOKUP(G25,OFFSET($AG$2,,,COUNTIF($AG$2:$AG$50,"?*"),23),16,FALSE),"")</f>
        <v>185/85</v>
      </c>
      <c r="L26" s="336"/>
      <c r="M26" s="346" t="str">
        <f ca="1">IFERROR(IF(VLOOKUP(M23,OFFSET($AG$2,,,COUNTIF($AG$2:$AG$50,"?*"),23),13,FALSE)&lt;&gt;0,VLOOKUP(M23,OFFSET($AG$2,,,COUNTIF($AG$2:$AG$50,"?*"),23),13,FALSE),"?"),"")</f>
        <v>S.K. P.E.M.A. Opava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2005</v>
      </c>
      <c r="Q26" s="350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1097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1219</v>
      </c>
      <c r="BU26" s="103">
        <v>3</v>
      </c>
      <c r="BV26" s="104" t="str">
        <f t="shared" si="13"/>
        <v>Jakub Karel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7 OZ, 4 (2+2), -8 ±</v>
      </c>
      <c r="H27" s="338"/>
      <c r="I27" s="338"/>
      <c r="J27" s="339" t="str">
        <f ca="1">IFERROR(VLOOKUP(G25,OFFSET($AG$2,,,COUNTIF($AG$2:$AG$50,"?*"),23),19,FALSE),"")</f>
        <v>90 OZ, 24 (14+10)</v>
      </c>
      <c r="K27" s="339"/>
      <c r="L27" s="340"/>
      <c r="S27" s="111"/>
      <c r="AC27" s="102" t="str">
        <f t="shared" ca="1" si="0"/>
        <v/>
      </c>
      <c r="AG27" s="121" t="s">
        <v>677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149</v>
      </c>
      <c r="AQ27" s="123">
        <v>192</v>
      </c>
      <c r="AR27" s="123">
        <v>82</v>
      </c>
      <c r="AS27" s="126" t="s">
        <v>430</v>
      </c>
      <c r="AT27" s="123" t="s">
        <v>240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6 OZ, 1 (1+0), 0 ±</v>
      </c>
      <c r="AY27" s="129" t="str">
        <f t="shared" ca="1" si="16"/>
        <v>27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942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1" t="s">
        <v>677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46" t="str">
        <f ca="1">IFERROR(IF(VLOOKUP(G25,OFFSET($AG$2,,,COUNTIF($AG$2:$AG$50,"?*"),23),13,FALSE)&lt;&gt;0,VLOOKUP(G25,OFFSET($AG$2,,,COUNTIF($AG$2:$AG$50,"?*"),23),13,FALSE),"?"),"")</f>
        <v>Radiaci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1999</v>
      </c>
      <c r="K28" s="350"/>
      <c r="L28" s="7">
        <f ca="1">IFERROR(IF(VLOOKUP(G25,OFFSET($AG$2,,,COUNTIF($AG$2:$AG$50,"?*"),23),7,FALSE)&lt;&gt;0,VLOOKUP(G25,OFFSET($AG$2,,,COUNTIF($AG$2:$AG$50,"?*"),23),7,FALSE),"?"),"")</f>
        <v>6</v>
      </c>
      <c r="M28" s="341" t="s">
        <v>689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671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697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6 OZ, 4 (0+4), -13 ±</v>
      </c>
      <c r="AY28" s="129" t="str">
        <f t="shared" ca="1" si="16"/>
        <v>108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1102</v>
      </c>
      <c r="BU28" s="103">
        <v>8</v>
      </c>
      <c r="BV28" s="104" t="str">
        <f t="shared" si="13"/>
        <v>Radek Krajcigr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4">
        <f ca="1">IFERROR(IF(VLOOKUP(A28,OFFSET($AG$2,,,COUNTIF($AG$2:$AG$50,"?*"),23),2,FALSE)&lt;&gt;0,YEAR(VLOOKUP(A28,OFFSET($AG$2,,,COUNTIF($AG$2:$AG$50,"?*"),23),2,FALSE)),""),"")</f>
        <v>2003</v>
      </c>
      <c r="C29" s="345"/>
      <c r="D29" s="117">
        <f ca="1">IFERROR(VLOOKUP(A28,OFFSET($AG$2,,,COUNTIF($AG$2:$AG$50,"?*"),23),15,FALSE),"")</f>
        <v>18</v>
      </c>
      <c r="E29" s="335" t="str">
        <f ca="1">IFERROR(VLOOKUP(A28,OFFSET($AG$2,,,COUNTIF($AG$2:$AG$50,"?*"),23),16,FALSE),"")</f>
        <v>192/82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1993</v>
      </c>
      <c r="O29" s="345"/>
      <c r="P29" s="117">
        <f ca="1">IFERROR(VLOOKUP(M28,OFFSET($AG$2,,,COUNTIF($AG$2:$AG$50,"?*"),23),15,FALSE),"")</f>
        <v>28</v>
      </c>
      <c r="Q29" s="335" t="str">
        <f ca="1">IFERROR(VLOOKUP(M28,OFFSET($AG$2,,,COUNTIF($AG$2:$AG$50,"?*"),23),16,FALSE),"")</f>
        <v>178/75</v>
      </c>
      <c r="R29" s="336"/>
      <c r="S29" s="111"/>
      <c r="AC29" s="102" t="str">
        <f t="shared" ca="1" si="0"/>
        <v/>
      </c>
      <c r="AG29" s="121" t="s">
        <v>418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149</v>
      </c>
      <c r="AQ29" s="123">
        <v>192</v>
      </c>
      <c r="AR29" s="123">
        <v>90</v>
      </c>
      <c r="AS29" s="126" t="s">
        <v>430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8 (3+5), -12 ±</v>
      </c>
      <c r="AY29" s="129" t="str">
        <f t="shared" ca="1" si="16"/>
        <v>81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1217</v>
      </c>
      <c r="BU29" s="103">
        <v>6</v>
      </c>
      <c r="BV29" s="104" t="str">
        <f t="shared" si="13"/>
        <v>Milan Tichý</v>
      </c>
      <c r="BW29" s="102">
        <f t="shared" si="14"/>
        <v>6</v>
      </c>
    </row>
    <row r="30" spans="1:75" ht="15" customHeight="1" x14ac:dyDescent="0.2">
      <c r="A30" s="337" t="str">
        <f ca="1">IFERROR(VLOOKUP(A28,OFFSET($AG$2,,,COUNTIF($AG$2:$AG$50,"?*"),23),18,FALSE),"")</f>
        <v>6 OZ, 1 (1+0), 0 ±</v>
      </c>
      <c r="B30" s="338"/>
      <c r="C30" s="338"/>
      <c r="D30" s="339" t="str">
        <f ca="1">IFERROR(VLOOKUP(A28,OFFSET($AG$2,,,COUNTIF($AG$2:$AG$50,"?*"),23),19,FALSE),"")</f>
        <v>27 OZ, 3 (3+0)</v>
      </c>
      <c r="E30" s="339"/>
      <c r="F30" s="340"/>
      <c r="H30" s="351" t="str">
        <f>H$8</f>
        <v>CLP</v>
      </c>
      <c r="I30" s="351"/>
      <c r="J30" s="351"/>
      <c r="K30" s="351"/>
      <c r="M30" s="337" t="str">
        <f ca="1">IFERROR(VLOOKUP(M28,OFFSET($AG$2,,,COUNTIF($AG$2:$AG$50,"?*"),23),18,FALSE),"")</f>
        <v>4 OZ, 2 (1+1), -9 ±</v>
      </c>
      <c r="N30" s="338"/>
      <c r="O30" s="338"/>
      <c r="P30" s="339" t="str">
        <f ca="1">IFERROR(VLOOKUP(M28,OFFSET($AG$2,,,COUNTIF($AG$2:$AG$50,"?*"),23),19,FALSE),"")</f>
        <v>196 OZ, 73 (34+39)</v>
      </c>
      <c r="Q30" s="339"/>
      <c r="R30" s="340"/>
      <c r="S30" s="111"/>
      <c r="AC30" s="102" t="str">
        <f t="shared" ca="1" si="0"/>
        <v/>
      </c>
      <c r="AG30" s="121" t="s">
        <v>675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149</v>
      </c>
      <c r="AQ30" s="123">
        <v>185</v>
      </c>
      <c r="AR30" s="123">
        <v>75</v>
      </c>
      <c r="AS30" s="126" t="s">
        <v>703</v>
      </c>
      <c r="AT30" s="123" t="s">
        <v>240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6 OZ, 2 (2+0), -2 ±</v>
      </c>
      <c r="AY30" s="129" t="str">
        <f t="shared" ca="1" si="16"/>
        <v>71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944</v>
      </c>
      <c r="BU30" s="103">
        <v>6</v>
      </c>
      <c r="BV30" s="104" t="str">
        <f t="shared" si="13"/>
        <v>Štěpán Slaný</v>
      </c>
      <c r="BW30" s="102">
        <f t="shared" si="14"/>
        <v>6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FBC Česká Lípa</v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>-</v>
      </c>
      <c r="E31" s="350"/>
      <c r="F31" s="7">
        <f ca="1">IFERROR(IF(VLOOKUP(A28,OFFSET($AG$2,,,COUNTIF($AG$2:$AG$50,"?*"),23),7,FALSE)&lt;&gt;0,VLOOKUP(A28,OFFSET($AG$2,,,COUNTIF($AG$2:$AG$50,"?*"),23),7,FALSE),"?"),"")</f>
        <v>2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FbK Sokol Mladá Boleslav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2005</v>
      </c>
      <c r="Q31" s="35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693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149</v>
      </c>
      <c r="AQ31" s="123">
        <v>184</v>
      </c>
      <c r="AR31" s="123">
        <v>76</v>
      </c>
      <c r="AS31" s="126" t="s">
        <v>702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1220</v>
      </c>
      <c r="BU31" s="103">
        <v>4</v>
      </c>
      <c r="BV31" s="104" t="str">
        <f t="shared" si="13"/>
        <v>Marek Dzierža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683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52" t="s">
        <v>16</v>
      </c>
      <c r="J34" s="341" t="s">
        <v>1097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4">
        <f ca="1">IFERROR(IF(VLOOKUP(A34,OFFSET($AG$2,,,COUNTIF($AG$2:$AG$50,"?*"),23),2,FALSE)&lt;&gt;0,YEAR(VLOOKUP(A34,OFFSET($AG$2,,,COUNTIF($AG$2:$AG$50,"?*"),23),2,FALSE)),""),"")</f>
        <v>1997</v>
      </c>
      <c r="C35" s="345"/>
      <c r="D35" s="117">
        <f ca="1">IFERROR(VLOOKUP(A34,OFFSET($AG$2,,,COUNTIF($AG$2:$AG$50,"?*"),23),15,FALSE),"")</f>
        <v>24</v>
      </c>
      <c r="E35" s="335" t="str">
        <f ca="1">IFERROR(VLOOKUP(A34,OFFSET($AG$2,,,COUNTIF($AG$2:$AG$50,"?*"),23),16,FALSE),"")</f>
        <v>181/79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83" t="str">
        <f ca="1">IFERROR(VLOOKUP(J34,OFFSET($AG$2,,,COUNTIF($AG$2:$AG$50,"?*"),23),15,FALSE),"")</f>
        <v>?</v>
      </c>
      <c r="N35" s="353" t="str">
        <f ca="1">IFERROR(VLOOKUP(J34,OFFSET($AG$2,,,COUNTIF($AG$2:$AG$50,"?*"),23),16,FALSE),"")</f>
        <v>? / ?</v>
      </c>
      <c r="O35" s="353"/>
      <c r="P35" s="353" t="str">
        <f ca="1">IFERROR(VLOOKUP(J34,OFFSET($AG$2,,,COUNTIF($AG$2:$AG$50,"?*"),23),18,FALSE),"")</f>
        <v>2 OZ, 0 (0+0), 0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1" t="str">
        <f ca="1">IFERROR(VLOOKUP(A34,OFFSET($AG$2,,,COUNTIF($AG$2:$AG$50,"?*"),23),18,FALSE),"")</f>
        <v>1 V, 3 P</v>
      </c>
      <c r="C36" s="361"/>
      <c r="D36" s="362">
        <f ca="1">IFERROR(VLOOKUP(A34,OFFSET($S$45,,,COUNTIF($S$45:$S$50,"?*"),14),5,FALSE),"")</f>
        <v>21</v>
      </c>
      <c r="E36" s="363"/>
      <c r="F36" s="17">
        <f ca="1">IFERROR(VLOOKUP(A34,OFFSET($S$45,,,COUNTIF($S$45:$S$50,"?*"),14),14,FALSE),"")</f>
        <v>77.41935483870968</v>
      </c>
      <c r="H36" s="352"/>
      <c r="J36" s="18" t="str">
        <f ca="1">IFERROR(IF(VLOOKUP(J34,OFFSET($AG$2,,,COUNTIF($AG$2:$AG$50,"?*"),23),7,FALSE)&lt;&gt;0,VLOOKUP(J34,OFFSET($AG$2,,,COUNTIF($AG$2:$AG$50,"?*"),23),7,FALSE),"?"),"")</f>
        <v>?</v>
      </c>
      <c r="K36" s="364" t="str">
        <f ca="1">IFERROR(VLOOKUP(J34,OFFSET($AG$2,,,COUNTIF($AG$2:$AG$50,"?*"),23),19,FALSE),"")</f>
        <v>2 OZ, 0 (0+0)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?</v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>?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194.75</v>
      </c>
      <c r="B37" s="355"/>
      <c r="C37" s="356">
        <f ca="1">IFERROR(VLOOKUP(A34,OFFSET($S$45,,,COUNTIF($S$45:$S$50,"?*"),14),13,FALSE),"")</f>
        <v>6.4698331193838259</v>
      </c>
      <c r="D37" s="357"/>
      <c r="E37" s="358" t="str">
        <f ca="1">IFERROR(VLOOKUP(A34,OFFSET($AG$2,,,COUNTIF($AG$2:$AG$50,"?*"),23),19,FALSE),"")</f>
        <v>47 OZ, 0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Česká Lípa</v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>-</v>
      </c>
      <c r="E38" s="350"/>
      <c r="F38" s="19">
        <f ca="1">IFERROR(VLOOKUP(A34,OFFSET($S$45,,,COUNTIF($S$45:$S$50,"?*"),14),6,FALSE),"")</f>
        <v>0</v>
      </c>
      <c r="H38" s="352"/>
      <c r="J38" s="341" t="s">
        <v>679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2003</v>
      </c>
      <c r="L39" s="353"/>
      <c r="M39" s="183">
        <f ca="1">IFERROR(VLOOKUP(J38,OFFSET($AG$2,,,COUNTIF($AG$2:$AG$50,"?*"),23),15,FALSE),"")</f>
        <v>18</v>
      </c>
      <c r="N39" s="353" t="str">
        <f ca="1">IFERROR(VLOOKUP(J38,OFFSET($AG$2,,,COUNTIF($AG$2:$AG$50,"?*"),23),16,FALSE),"")</f>
        <v>189/91</v>
      </c>
      <c r="O39" s="353"/>
      <c r="P39" s="353" t="str">
        <f ca="1">IFERROR(VLOOKUP(J38,OFFSET($AG$2,,,COUNTIF($AG$2:$AG$50,"?*"),23),18,FALSE),"")</f>
        <v>6 OZ, 0 (0+0), -2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674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6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FBC Česká Lípa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2014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44">
        <f ca="1">IFERROR(IF(VLOOKUP(A40,OFFSET($AG$2,,,COUNTIF($AG$2:$AG$50,"?*"),23),2,FALSE)&lt;&gt;0,YEAR(VLOOKUP(A40,OFFSET($AG$2,,,COUNTIF($AG$2:$AG$50,"?*"),23),2,FALSE)),""),"")</f>
        <v>1984</v>
      </c>
      <c r="C41" s="345"/>
      <c r="D41" s="117">
        <f ca="1">IFERROR(VLOOKUP(A40,OFFSET($AG$2,,,COUNTIF($AG$2:$AG$50,"?*"),23),15,FALSE),"")</f>
        <v>37</v>
      </c>
      <c r="E41" s="335" t="str">
        <f ca="1">IFERROR(VLOOKUP(A40,OFFSET($AG$2,,,COUNTIF($AG$2:$AG$50,"?*"),23),16,FALSE),"")</f>
        <v>172/72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61" t="str">
        <f ca="1">IFERROR(VLOOKUP(A40,OFFSET($AG$2,,,COUNTIF($AG$2:$AG$50,"?*"),23),18,FALSE),"")</f>
        <v>0 V, 4 P</v>
      </c>
      <c r="C42" s="361"/>
      <c r="D42" s="362">
        <f ca="1">IFERROR(VLOOKUP(A40,OFFSET($S$45,,,COUNTIF($S$45:$S$50,"?*"),14),5,FALSE),"")</f>
        <v>32</v>
      </c>
      <c r="E42" s="363"/>
      <c r="F42" s="17">
        <f ca="1">IFERROR(VLOOKUP(A40,OFFSET($S$45,,,COUNTIF($S$45:$S$50,"?*"),14),14,FALSE),"")</f>
        <v>74.803149606299215</v>
      </c>
      <c r="H42" s="352"/>
      <c r="J42" s="341" t="s">
        <v>682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222.75</v>
      </c>
      <c r="B43" s="355"/>
      <c r="C43" s="356">
        <f ca="1">IFERROR(VLOOKUP(A40,OFFSET($S$45,,,COUNTIF($S$45:$S$50,"?*"),14),13,FALSE),"")</f>
        <v>8.6195286195286194</v>
      </c>
      <c r="D43" s="357"/>
      <c r="E43" s="358" t="str">
        <f ca="1">IFERROR(VLOOKUP(A40,OFFSET($AG$2,,,COUNTIF($AG$2:$AG$50,"?*"),23),19,FALSE),"")</f>
        <v>136 OZ, 7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2004</v>
      </c>
      <c r="L43" s="353"/>
      <c r="M43" s="183">
        <f ca="1">IFERROR(VLOOKUP(J42,OFFSET($AG$2,,,COUNTIF($AG$2:$AG$50,"?*"),23),15,FALSE),"")</f>
        <v>17</v>
      </c>
      <c r="N43" s="353" t="str">
        <f ca="1">IFERROR(VLOOKUP(J42,OFFSET($AG$2,,,COUNTIF($AG$2:$AG$50,"?*"),23),16,FALSE),"")</f>
        <v>? / ?</v>
      </c>
      <c r="O43" s="353"/>
      <c r="P43" s="353" t="str">
        <f ca="1">IFERROR(VLOOKUP(J42,OFFSET($AG$2,,,COUNTIF($AG$2:$AG$50,"?*"),23),18,FALSE),"")</f>
        <v>4 OZ, 0 (0+0), 0 ±</v>
      </c>
      <c r="Q43" s="353"/>
      <c r="R43" s="36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Taifun Moskva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1998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1</v>
      </c>
      <c r="K44" s="364" t="str">
        <f ca="1">IFERROR(VLOOKUP(J42,OFFSET($AG$2,,,COUNTIF($AG$2:$AG$50,"?*"),23),19,FALSE),"")</f>
        <v>4 OZ, 0 (0+0)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FBC Česká Lípa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2012</v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683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674</v>
      </c>
      <c r="T46" s="102">
        <v>4</v>
      </c>
      <c r="U46" s="112">
        <v>222.75</v>
      </c>
      <c r="V46" s="102">
        <v>0</v>
      </c>
      <c r="W46" s="102">
        <v>32</v>
      </c>
      <c r="X46" s="102">
        <v>0</v>
      </c>
      <c r="Y46" s="102">
        <v>127</v>
      </c>
      <c r="Z46" s="102">
        <v>0</v>
      </c>
      <c r="AA46" s="102">
        <v>4</v>
      </c>
      <c r="AB46" s="102">
        <v>95</v>
      </c>
      <c r="AC46" s="102">
        <v>0</v>
      </c>
      <c r="AD46" s="102">
        <v>0</v>
      </c>
      <c r="AE46" s="112">
        <f t="shared" ref="AE46:AE50" si="26">IF(S46&lt;&gt;"",IF(T46&gt;0,W46/(U46/60),0),"")</f>
        <v>8.6195286195286194</v>
      </c>
      <c r="AF46" s="112">
        <f t="shared" ref="AF46:AF50" si="27">IF(S46&lt;&gt;"",IF(Y46&gt;0,(AB46/Y46)*100,"-"),"")</f>
        <v>74.803149606299215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704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705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36</v>
      </c>
      <c r="B48" s="369" t="str">
        <f ca="1">IFERROR(IF(VLOOKUP(A47,OFFSET($BN$2,,,COUNTIF($BN$2:$BN$11,"?*"),5),4,FALSE)&lt;&gt;0,VLOOKUP(A47,OFFSET($BN$2,,,COUNTIF($BN$2:$BN$11,"?*"),5),4,FALSE),"-"),"")</f>
        <v>-</v>
      </c>
      <c r="C48" s="369"/>
      <c r="D48" s="369"/>
      <c r="E48" s="369"/>
      <c r="F48" s="369"/>
      <c r="G48" s="369"/>
      <c r="H48" s="369"/>
      <c r="I48" s="370"/>
      <c r="J48" s="119">
        <f ca="1">IFERROR(VLOOKUP(J47,OFFSET($BN$2,,,COUNTIF($BN$2:$BN$11,"?*"),5),5,FALSE),"")</f>
        <v>38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706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>
        <f ca="1">IFERROR(VLOOKUP(J49,OFFSET($BN$2,,,COUNTIF($BN$2:$BN$11,"?*"),5),5,FALSE),"")</f>
        <v>34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84" priority="11" stopIfTrue="1" operator="equal">
      <formula>"OTR"</formula>
    </cfRule>
    <cfRule type="cellIs" dxfId="583" priority="12" stopIfTrue="1" operator="equal">
      <formula>"PAR"</formula>
    </cfRule>
    <cfRule type="cellIs" dxfId="582" priority="13" stopIfTrue="1" operator="equal">
      <formula>"CLP"</formula>
    </cfRule>
    <cfRule type="cellIs" dxfId="581" priority="14" stopIfTrue="1" operator="equal">
      <formula>"HAT"</formula>
    </cfRule>
    <cfRule type="cellIs" dxfId="580" priority="15" stopIfTrue="1" operator="equal">
      <formula>"LIB"</formula>
    </cfRule>
    <cfRule type="cellIs" dxfId="579" priority="16" stopIfTrue="1" operator="equal">
      <formula>"BA"</formula>
    </cfRule>
    <cfRule type="cellIs" dxfId="578" priority="17" stopIfTrue="1" operator="equal">
      <formula>"SPA"</formula>
    </cfRule>
    <cfRule type="cellIs" dxfId="577" priority="18" stopIfTrue="1" operator="equal">
      <formula>"OST"</formula>
    </cfRule>
    <cfRule type="cellIs" dxfId="576" priority="19" stopIfTrue="1" operator="equal">
      <formula>"BOH"</formula>
    </cfRule>
    <cfRule type="cellIs" dxfId="575" priority="20" stopIfTrue="1" operator="equal">
      <formula>"TAT"</formula>
    </cfRule>
    <cfRule type="cellIs" dxfId="574" priority="21" stopIfTrue="1" operator="equal">
      <formula>"MB"</formula>
    </cfRule>
    <cfRule type="cellIs" dxfId="573" priority="22" stopIfTrue="1" operator="equal">
      <formula>"VIT"</formula>
    </cfRule>
    <cfRule type="cellIs" dxfId="572" priority="23" stopIfTrue="1" operator="equal">
      <formula>"CHO"</formula>
    </cfRule>
    <cfRule type="cellIs" dxfId="571" priority="24" stopIfTrue="1" operator="equal">
      <formula>"SKV"</formula>
    </cfRule>
  </conditionalFormatting>
  <conditionalFormatting sqref="H19:K20">
    <cfRule type="cellIs" dxfId="570" priority="39" stopIfTrue="1" operator="equal">
      <formula>"OTR"</formula>
    </cfRule>
    <cfRule type="cellIs" dxfId="569" priority="40" stopIfTrue="1" operator="equal">
      <formula>"PAR"</formula>
    </cfRule>
    <cfRule type="cellIs" dxfId="568" priority="41" stopIfTrue="1" operator="equal">
      <formula>"CLP"</formula>
    </cfRule>
    <cfRule type="cellIs" dxfId="567" priority="42" stopIfTrue="1" operator="equal">
      <formula>"HAT"</formula>
    </cfRule>
    <cfRule type="cellIs" dxfId="566" priority="43" stopIfTrue="1" operator="equal">
      <formula>"LIB"</formula>
    </cfRule>
    <cfRule type="cellIs" dxfId="565" priority="44" stopIfTrue="1" operator="equal">
      <formula>"BA"</formula>
    </cfRule>
    <cfRule type="cellIs" dxfId="564" priority="45" stopIfTrue="1" operator="equal">
      <formula>"SPA"</formula>
    </cfRule>
    <cfRule type="cellIs" dxfId="563" priority="46" stopIfTrue="1" operator="equal">
      <formula>"OST"</formula>
    </cfRule>
    <cfRule type="cellIs" dxfId="562" priority="47" stopIfTrue="1" operator="equal">
      <formula>"BOH"</formula>
    </cfRule>
    <cfRule type="cellIs" dxfId="561" priority="48" stopIfTrue="1" operator="equal">
      <formula>"TAT"</formula>
    </cfRule>
    <cfRule type="cellIs" dxfId="560" priority="49" stopIfTrue="1" operator="equal">
      <formula>"MB"</formula>
    </cfRule>
    <cfRule type="cellIs" dxfId="559" priority="50" stopIfTrue="1" operator="equal">
      <formula>"VIT"</formula>
    </cfRule>
    <cfRule type="cellIs" dxfId="558" priority="51" stopIfTrue="1" operator="equal">
      <formula>"CHO"</formula>
    </cfRule>
    <cfRule type="cellIs" dxfId="557" priority="52" stopIfTrue="1" operator="equal">
      <formula>"SKV"</formula>
    </cfRule>
  </conditionalFormatting>
  <conditionalFormatting sqref="H8:K9">
    <cfRule type="cellIs" dxfId="556" priority="25" stopIfTrue="1" operator="equal">
      <formula>"OTR"</formula>
    </cfRule>
    <cfRule type="cellIs" dxfId="555" priority="26" stopIfTrue="1" operator="equal">
      <formula>"PAR"</formula>
    </cfRule>
    <cfRule type="cellIs" dxfId="554" priority="27" stopIfTrue="1" operator="equal">
      <formula>"CLP"</formula>
    </cfRule>
    <cfRule type="cellIs" dxfId="553" priority="28" stopIfTrue="1" operator="equal">
      <formula>"HAT"</formula>
    </cfRule>
    <cfRule type="cellIs" dxfId="552" priority="29" stopIfTrue="1" operator="equal">
      <formula>"LIB"</formula>
    </cfRule>
    <cfRule type="cellIs" dxfId="551" priority="30" stopIfTrue="1" operator="equal">
      <formula>"BA"</formula>
    </cfRule>
    <cfRule type="cellIs" dxfId="550" priority="31" stopIfTrue="1" operator="equal">
      <formula>"SPA"</formula>
    </cfRule>
    <cfRule type="cellIs" dxfId="549" priority="32" stopIfTrue="1" operator="equal">
      <formula>"OST"</formula>
    </cfRule>
    <cfRule type="cellIs" dxfId="548" priority="33" stopIfTrue="1" operator="equal">
      <formula>"BOH"</formula>
    </cfRule>
    <cfRule type="cellIs" dxfId="547" priority="34" stopIfTrue="1" operator="equal">
      <formula>"TAT"</formula>
    </cfRule>
    <cfRule type="cellIs" dxfId="546" priority="35" stopIfTrue="1" operator="equal">
      <formula>"MB"</formula>
    </cfRule>
    <cfRule type="cellIs" dxfId="545" priority="36" stopIfTrue="1" operator="equal">
      <formula>"VIT"</formula>
    </cfRule>
    <cfRule type="cellIs" dxfId="544" priority="37" stopIfTrue="1" operator="equal">
      <formula>"CHO"</formula>
    </cfRule>
    <cfRule type="cellIs" dxfId="543" priority="38" stopIfTrue="1" operator="equal">
      <formula>"SKV"</formula>
    </cfRule>
  </conditionalFormatting>
  <conditionalFormatting sqref="S2:S42">
    <cfRule type="expression" dxfId="542" priority="9" stopIfTrue="1">
      <formula>IFERROR(IF(VLOOKUP($S2,OFFSET($AG$2,,,COUNTIF($AG$2:$AG$50,"?*")),1,FALSE)&lt;&gt;0,1,0),0)&gt;0</formula>
    </cfRule>
  </conditionalFormatting>
  <conditionalFormatting sqref="S2:S42">
    <cfRule type="expression" dxfId="541" priority="10">
      <formula>IFERROR(IF(VLOOKUP($S2,OFFSET($AG$2,,,COUNTIF($AG$2:$AG$50,"?*")),1,FALSE)&lt;&gt;0,1,0),0)=0</formula>
    </cfRule>
  </conditionalFormatting>
  <conditionalFormatting sqref="S45:S50">
    <cfRule type="expression" dxfId="540" priority="8">
      <formula>IFERROR(IF(VLOOKUP($S45,OFFSET($AG$2,,,COUNTIF($AG$2:$AG$50,"?*")),1,FALSE)&lt;&gt;0,1,0),0)&gt;0</formula>
    </cfRule>
  </conditionalFormatting>
  <conditionalFormatting sqref="S45:S50">
    <cfRule type="expression" dxfId="539" priority="7">
      <formula>IFERROR(IF(VLOOKUP($S45,OFFSET($AG$2,,,COUNTIF($AG$2:$AG$50,"?*")),1,FALSE)&lt;&gt;0,1,0),0)=0</formula>
    </cfRule>
  </conditionalFormatting>
  <conditionalFormatting sqref="AG2:AG50">
    <cfRule type="expression" dxfId="538" priority="4" stopIfTrue="1">
      <formula>OR($AH2="",$AI2="",$AJ2="",$AK2="",$AL2="",$AM2="",$AN2="",$AQ2="",$AR2="",$AS2="",$AT2="")</formula>
    </cfRule>
    <cfRule type="expression" dxfId="537" priority="5" stopIfTrue="1">
      <formula>IFERROR(IF(VLOOKUP($AG2,OFFSET($S$2,,,COUNTIF($S$2:$S$42,"?*")),1,FALSE)&lt;&gt;0,1,0),0)=0</formula>
    </cfRule>
    <cfRule type="expression" dxfId="536" priority="6">
      <formula>IFERROR(IF(VLOOKUP($AG2,OFFSET($S$2,,,COUNTIF($S$2:$S$42,"?*")),1,FALSE)&lt;&gt;0,1,0),0)&gt;0</formula>
    </cfRule>
  </conditionalFormatting>
  <conditionalFormatting sqref="AG2:AK50 AM2:BC50">
    <cfRule type="expression" dxfId="535" priority="3">
      <formula>AND($AG2&lt;&gt;"",MOD(ROW($AG2),2)=0)</formula>
    </cfRule>
  </conditionalFormatting>
  <conditionalFormatting sqref="BN2:BR11">
    <cfRule type="expression" dxfId="534" priority="2">
      <formula>AND($BN2&lt;&gt;"",MOD(ROW($BN2),2)=0)</formula>
    </cfRule>
  </conditionalFormatting>
  <conditionalFormatting sqref="AL2:AL50">
    <cfRule type="expression" dxfId="53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734</v>
      </c>
      <c r="U2" s="102">
        <v>6</v>
      </c>
      <c r="V2" s="102">
        <v>3</v>
      </c>
      <c r="W2" s="102">
        <v>1</v>
      </c>
      <c r="X2" s="102">
        <v>0</v>
      </c>
      <c r="Y2" s="102">
        <v>6</v>
      </c>
      <c r="Z2" s="102">
        <v>9</v>
      </c>
      <c r="AA2" s="102">
        <v>2</v>
      </c>
      <c r="AB2" s="102">
        <v>-5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739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753</v>
      </c>
      <c r="BU2" s="103">
        <v>9</v>
      </c>
      <c r="BV2" s="104" t="str">
        <f>IFERROR(RIGHT(BT2,LEN(BT2)-SEARCH(" ",BT2)),"")</f>
        <v>Lukáš Jalový</v>
      </c>
      <c r="BW2" s="102">
        <f>IF(BT2&lt;&gt;0,_xlfn.NUMBERVALUE(BU2,","),"")</f>
        <v>9</v>
      </c>
      <c r="BX2" s="379" t="s">
        <v>211</v>
      </c>
      <c r="BY2" s="103" t="s">
        <v>263</v>
      </c>
      <c r="BZ2" s="103" t="s">
        <v>898</v>
      </c>
      <c r="CA2" s="115" t="s">
        <v>835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738</v>
      </c>
      <c r="T3" s="102" t="s">
        <v>64</v>
      </c>
      <c r="U3" s="102">
        <v>6</v>
      </c>
      <c r="V3" s="102">
        <v>3</v>
      </c>
      <c r="W3" s="102">
        <v>1</v>
      </c>
      <c r="X3" s="102">
        <v>0</v>
      </c>
      <c r="Y3" s="102">
        <v>4</v>
      </c>
      <c r="Z3" s="102">
        <v>7</v>
      </c>
      <c r="AA3" s="102">
        <v>0</v>
      </c>
      <c r="AB3" s="102">
        <v>-2</v>
      </c>
      <c r="AC3" s="102" t="str">
        <f t="shared" ca="1" si="0"/>
        <v>ANO</v>
      </c>
      <c r="AG3" s="121" t="s">
        <v>738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6 OZ, 7 (3+4), -2 ±</v>
      </c>
      <c r="AY3" s="129" t="str">
        <f t="shared" ca="1" si="2"/>
        <v>6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948</v>
      </c>
      <c r="BU3" s="103">
        <v>7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7</v>
      </c>
      <c r="BX3" s="379"/>
      <c r="BY3" s="103" t="s">
        <v>207</v>
      </c>
      <c r="BZ3" s="103" t="s">
        <v>903</v>
      </c>
      <c r="CA3" s="115" t="s">
        <v>888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747</v>
      </c>
      <c r="U4" s="102">
        <v>6</v>
      </c>
      <c r="V4" s="102">
        <v>5</v>
      </c>
      <c r="W4" s="102">
        <v>1</v>
      </c>
      <c r="X4" s="102">
        <v>0</v>
      </c>
      <c r="Y4" s="102">
        <v>1</v>
      </c>
      <c r="Z4" s="102">
        <v>6</v>
      </c>
      <c r="AA4" s="102">
        <v>8</v>
      </c>
      <c r="AB4" s="102">
        <v>-4</v>
      </c>
      <c r="AC4" s="102" t="str">
        <f t="shared" ca="1" si="0"/>
        <v>ANO</v>
      </c>
      <c r="AG4" s="121" t="s">
        <v>744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6 OZ, 1 (1+0), -3 ±</v>
      </c>
      <c r="AY4" s="129" t="str">
        <f t="shared" ca="1" si="2"/>
        <v>6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864</v>
      </c>
      <c r="BU4" s="103">
        <v>6</v>
      </c>
      <c r="BV4" s="104" t="str">
        <f t="shared" si="13"/>
        <v>René Slezák</v>
      </c>
      <c r="BW4" s="102">
        <f t="shared" si="14"/>
        <v>6</v>
      </c>
      <c r="BX4" s="379"/>
      <c r="BY4" s="103" t="s">
        <v>262</v>
      </c>
      <c r="BZ4" s="103" t="s">
        <v>907</v>
      </c>
      <c r="CA4" s="115" t="s">
        <v>945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733</v>
      </c>
      <c r="T5" s="102" t="s">
        <v>119</v>
      </c>
      <c r="U5" s="102">
        <v>6</v>
      </c>
      <c r="V5" s="102">
        <v>2</v>
      </c>
      <c r="W5" s="102">
        <v>1</v>
      </c>
      <c r="X5" s="102">
        <v>0</v>
      </c>
      <c r="Y5" s="102">
        <v>2</v>
      </c>
      <c r="Z5" s="102">
        <v>4</v>
      </c>
      <c r="AA5" s="102">
        <v>2</v>
      </c>
      <c r="AB5" s="102">
        <v>-5</v>
      </c>
      <c r="AC5" s="102" t="str">
        <f t="shared" ca="1" si="0"/>
        <v>ANO</v>
      </c>
      <c r="AG5" s="121" t="s">
        <v>733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6 OZ, 4 (2+2), -5 ±</v>
      </c>
      <c r="AY5" s="129" t="str">
        <f t="shared" ca="1" si="2"/>
        <v>6 OZ, 4 (2+2)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949</v>
      </c>
      <c r="BU5" s="103">
        <v>4</v>
      </c>
      <c r="BV5" s="104" t="str">
        <f t="shared" si="13"/>
        <v>Marek Fuchs</v>
      </c>
      <c r="BW5" s="102">
        <f t="shared" si="14"/>
        <v>4</v>
      </c>
      <c r="BX5" s="379"/>
      <c r="BY5" s="103" t="s">
        <v>851</v>
      </c>
      <c r="BZ5" s="103" t="s">
        <v>905</v>
      </c>
      <c r="CA5" s="115" t="s">
        <v>867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736</v>
      </c>
      <c r="U6" s="102">
        <v>6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-5</v>
      </c>
      <c r="AC6" s="102" t="str">
        <f t="shared" ca="1" si="0"/>
        <v>ANO</v>
      </c>
      <c r="AG6" s="121" t="s">
        <v>518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6 OZ, 3 (2+1), -8 ±</v>
      </c>
      <c r="AY6" s="129" t="str">
        <f t="shared" ca="1" si="2"/>
        <v>6 OZ, 3 (2+1)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1225</v>
      </c>
      <c r="BU6" s="103">
        <v>4</v>
      </c>
      <c r="BV6" s="104" t="str">
        <f t="shared" si="13"/>
        <v>Lukáš Vlach</v>
      </c>
      <c r="BW6" s="102">
        <f t="shared" si="14"/>
        <v>4</v>
      </c>
      <c r="BX6" s="379"/>
      <c r="BY6" s="103" t="s">
        <v>839</v>
      </c>
      <c r="BZ6" s="103" t="s">
        <v>946</v>
      </c>
      <c r="CA6" s="115" t="s">
        <v>666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518</v>
      </c>
      <c r="U7" s="102">
        <v>6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4</v>
      </c>
      <c r="AB7" s="102">
        <v>-8</v>
      </c>
      <c r="AC7" s="102" t="str">
        <f t="shared" ca="1" si="0"/>
        <v>ANO</v>
      </c>
      <c r="AG7" s="121" t="s">
        <v>750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6 OZ, 3 (2+1), -8 ±</v>
      </c>
      <c r="AY7" s="129" t="str">
        <f t="shared" ca="1" si="2"/>
        <v>6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751</v>
      </c>
      <c r="BU7" s="103" t="s">
        <v>1226</v>
      </c>
      <c r="BV7" s="104" t="str">
        <f t="shared" si="13"/>
        <v>Filip Létal</v>
      </c>
      <c r="BW7" s="112">
        <f t="shared" si="14"/>
        <v>7.42</v>
      </c>
      <c r="BX7" s="379" t="s">
        <v>212</v>
      </c>
      <c r="BY7" s="103" t="s">
        <v>1106</v>
      </c>
      <c r="BZ7" s="103" t="s">
        <v>924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750</v>
      </c>
      <c r="U8" s="102">
        <v>6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0</v>
      </c>
      <c r="AB8" s="102">
        <v>-8</v>
      </c>
      <c r="AC8" s="102" t="str">
        <f t="shared" ca="1" si="0"/>
        <v>ANO</v>
      </c>
      <c r="AG8" s="121" t="s">
        <v>734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6 OZ, 9 (3+6), -5 ±</v>
      </c>
      <c r="AY8" s="129" t="str">
        <f t="shared" ca="1" si="2"/>
        <v>6 OZ, 9 (3+6)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752</v>
      </c>
      <c r="BU8" s="103" t="s">
        <v>1227</v>
      </c>
      <c r="BV8" s="104" t="str">
        <f t="shared" si="13"/>
        <v>Ondřej Kolajta</v>
      </c>
      <c r="BW8" s="112">
        <f t="shared" si="14"/>
        <v>9.09</v>
      </c>
      <c r="BX8" s="379"/>
      <c r="BY8" s="103" t="s">
        <v>928</v>
      </c>
      <c r="BZ8" s="103" t="s">
        <v>921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749</v>
      </c>
      <c r="T9" s="102" t="s">
        <v>64</v>
      </c>
      <c r="U9" s="102">
        <v>5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2</v>
      </c>
      <c r="AB9" s="102">
        <v>-3</v>
      </c>
      <c r="AC9" s="102" t="str">
        <f t="shared" ca="1" si="0"/>
        <v>ANO</v>
      </c>
      <c r="AG9" s="121" t="s">
        <v>743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6 OZ, 2 (0+2), -3 ±</v>
      </c>
      <c r="AY9" s="129" t="str">
        <f t="shared" ca="1" si="2"/>
        <v>6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1228</v>
      </c>
      <c r="BU9" s="103" t="s">
        <v>1229</v>
      </c>
      <c r="BV9" s="104" t="str">
        <f t="shared" si="13"/>
        <v>Zdeněk Raška</v>
      </c>
      <c r="BW9" s="112">
        <f t="shared" si="14"/>
        <v>8</v>
      </c>
      <c r="BX9" s="379"/>
      <c r="BY9" s="103" t="s">
        <v>908</v>
      </c>
      <c r="BZ9" s="103" t="s">
        <v>920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748</v>
      </c>
      <c r="T10" s="102" t="s">
        <v>64</v>
      </c>
      <c r="U10" s="102">
        <v>6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2</v>
      </c>
      <c r="AB10" s="102">
        <v>-8</v>
      </c>
      <c r="AC10" s="102" t="str">
        <f t="shared" ca="1" si="0"/>
        <v>ANO</v>
      </c>
      <c r="AG10" s="121" t="s">
        <v>746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938</v>
      </c>
      <c r="BZ10" s="103" t="s">
        <v>902</v>
      </c>
      <c r="CA10" s="115" t="s">
        <v>205</v>
      </c>
    </row>
    <row r="11" spans="1:79" ht="15" customHeight="1" thickTop="1" thickBot="1" x14ac:dyDescent="0.25">
      <c r="R11" s="13"/>
      <c r="S11" s="110" t="s">
        <v>742</v>
      </c>
      <c r="T11" s="102" t="s">
        <v>119</v>
      </c>
      <c r="U11" s="102">
        <v>6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-6</v>
      </c>
      <c r="AC11" s="102" t="str">
        <f t="shared" ca="1" si="0"/>
        <v>ANO</v>
      </c>
      <c r="AG11" s="121" t="s">
        <v>748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6 OZ, 2 (2+0), -8 ±</v>
      </c>
      <c r="AY11" s="129" t="str">
        <f t="shared" ca="1" si="2"/>
        <v>6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1223</v>
      </c>
      <c r="BZ11" s="103" t="s">
        <v>901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745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-5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840</v>
      </c>
      <c r="BU12" s="103">
        <v>5</v>
      </c>
      <c r="BV12" s="104" t="str">
        <f t="shared" si="13"/>
        <v>René Slezák</v>
      </c>
      <c r="BW12" s="102">
        <f t="shared" si="14"/>
        <v>5</v>
      </c>
      <c r="BX12" s="120" t="s">
        <v>210</v>
      </c>
      <c r="BY12" s="100" t="s">
        <v>1224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737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7</v>
      </c>
      <c r="AB13" s="102">
        <v>-5</v>
      </c>
      <c r="AC13" s="102" t="str">
        <f t="shared" ca="1" si="0"/>
        <v>ANO</v>
      </c>
      <c r="AG13" s="121" t="s">
        <v>745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5 OZ, 2 (1+1), -4 ±</v>
      </c>
      <c r="AY13" s="129" t="str">
        <f t="shared" ca="1" si="2"/>
        <v>5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947</v>
      </c>
      <c r="BU13" s="103">
        <v>3</v>
      </c>
      <c r="BV13" s="104" t="str">
        <f t="shared" si="13"/>
        <v>Lukáš Jalový</v>
      </c>
      <c r="BW13" s="102">
        <f t="shared" si="14"/>
        <v>3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743</v>
      </c>
      <c r="T14" s="102" t="s">
        <v>119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2</v>
      </c>
      <c r="AB14" s="102">
        <v>-3</v>
      </c>
      <c r="AC14" s="102" t="str">
        <f t="shared" ca="1" si="0"/>
        <v>ANO</v>
      </c>
      <c r="AG14" s="121" t="s">
        <v>735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1230</v>
      </c>
      <c r="BU14" s="103">
        <v>3</v>
      </c>
      <c r="BV14" s="104" t="str">
        <f t="shared" si="13"/>
        <v>Tomáš Brom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744</v>
      </c>
      <c r="T15" s="102" t="s">
        <v>119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737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6 OZ, 2 (1+1), -5 ±</v>
      </c>
      <c r="AY15" s="129" t="str">
        <f t="shared" ca="1" si="2"/>
        <v>6 OZ, 2 (1+1)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1231</v>
      </c>
      <c r="BU15" s="103">
        <v>2</v>
      </c>
      <c r="BV15" s="104" t="str">
        <f t="shared" si="13"/>
        <v>Jakub Procházka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528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742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6 OZ, 2 (2+0), -6 ±</v>
      </c>
      <c r="AY16" s="129" t="str">
        <f t="shared" ca="1" si="2"/>
        <v>6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866</v>
      </c>
      <c r="BU16" s="103">
        <v>2</v>
      </c>
      <c r="BV16" s="104" t="str">
        <f t="shared" si="13"/>
        <v>Marek Fuchs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739</v>
      </c>
      <c r="T17" s="102" t="s">
        <v>119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749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5 OZ, 3 (0+3), -3 ±</v>
      </c>
      <c r="AY17" s="129" t="str">
        <f t="shared" ca="1" si="2"/>
        <v>5 OZ, 3 (0+3)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751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746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747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6 OZ, 6 (5+1), -4 ±</v>
      </c>
      <c r="AY18" s="129" t="str">
        <f t="shared" ca="1" si="2"/>
        <v>6 OZ, 6 (5+1)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752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HAT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838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NE</v>
      </c>
      <c r="AG19" s="121" t="s">
        <v>741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6 OZ, 0 (0+0), -6 ±</v>
      </c>
      <c r="AY19" s="129" t="str">
        <f t="shared" ca="1" si="2"/>
        <v>6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1228</v>
      </c>
      <c r="BU19" s="103">
        <v>0</v>
      </c>
      <c r="BV19" s="104" t="str">
        <f t="shared" si="13"/>
        <v>Zdeněk Raška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735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736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6 OZ, 4 (1+3), -5 ±</v>
      </c>
      <c r="AY20" s="129" t="str">
        <f t="shared" ca="1" si="2"/>
        <v>6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740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-5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741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753</v>
      </c>
      <c r="BU22" s="103">
        <v>6</v>
      </c>
      <c r="BV22" s="104" t="str">
        <f t="shared" si="13"/>
        <v>Lukáš Jalový</v>
      </c>
      <c r="BW22" s="102">
        <f t="shared" si="14"/>
        <v>6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948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1232</v>
      </c>
      <c r="BU24" s="103">
        <v>3</v>
      </c>
      <c r="BV24" s="104" t="str">
        <f t="shared" si="13"/>
        <v>David Sládeček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865</v>
      </c>
      <c r="BU25" s="103">
        <v>3</v>
      </c>
      <c r="BV25" s="104" t="str">
        <f t="shared" si="13"/>
        <v>Lukáš Vlach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951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840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952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953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HAT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950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1233</v>
      </c>
      <c r="BU31" s="103">
        <v>2</v>
      </c>
      <c r="BV31" s="104" t="str">
        <f t="shared" si="13"/>
        <v>Jakub Procházka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735</v>
      </c>
      <c r="T45" s="102">
        <v>3</v>
      </c>
      <c r="U45" s="112">
        <v>129.41999999999999</v>
      </c>
      <c r="V45" s="102">
        <v>0</v>
      </c>
      <c r="W45" s="102">
        <v>16</v>
      </c>
      <c r="X45" s="102">
        <v>0</v>
      </c>
      <c r="Y45" s="102">
        <v>53</v>
      </c>
      <c r="Z45" s="102">
        <v>0</v>
      </c>
      <c r="AA45" s="102">
        <v>3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7.4177097821047768</v>
      </c>
      <c r="AF45" s="112">
        <f>IF(S45&lt;&gt;"",IF(Y45&gt;0,(AB45/Y45)*100,"-"),"")</f>
        <v>69.811320754716974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746</v>
      </c>
      <c r="T46" s="102">
        <v>3</v>
      </c>
      <c r="U46" s="112">
        <v>171.53</v>
      </c>
      <c r="V46" s="102">
        <v>0</v>
      </c>
      <c r="W46" s="102">
        <v>26</v>
      </c>
      <c r="X46" s="102">
        <v>0</v>
      </c>
      <c r="Y46" s="102">
        <v>70</v>
      </c>
      <c r="Z46" s="102">
        <v>0</v>
      </c>
      <c r="AA46" s="102">
        <v>3</v>
      </c>
      <c r="AB46" s="102">
        <v>44</v>
      </c>
      <c r="AC46" s="102">
        <v>0</v>
      </c>
      <c r="AD46" s="102">
        <v>0</v>
      </c>
      <c r="AE46" s="112">
        <f t="shared" ref="AE46:AE50" si="25">IF(S46&lt;&gt;"",IF(T46&gt;0,W46/(U46/60),0),"")</f>
        <v>9.0946190170815591</v>
      </c>
      <c r="AF46" s="112">
        <f t="shared" ref="AF46:AF50" si="26">IF(S46&lt;&gt;"",IF(Y46&gt;0,(AB46/Y46)*100,"-"),"")</f>
        <v>62.857142857142854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528</v>
      </c>
      <c r="T47" s="102">
        <v>1</v>
      </c>
      <c r="U47" s="112">
        <v>60</v>
      </c>
      <c r="V47" s="102">
        <v>0</v>
      </c>
      <c r="W47" s="102">
        <v>8</v>
      </c>
      <c r="X47" s="102">
        <v>0</v>
      </c>
      <c r="Y47" s="102">
        <v>29</v>
      </c>
      <c r="Z47" s="102">
        <v>0</v>
      </c>
      <c r="AA47" s="102">
        <v>1</v>
      </c>
      <c r="AB47" s="102">
        <v>21</v>
      </c>
      <c r="AC47" s="102">
        <v>0</v>
      </c>
      <c r="AD47" s="102">
        <v>0</v>
      </c>
      <c r="AE47" s="112">
        <f t="shared" si="25"/>
        <v>8</v>
      </c>
      <c r="AF47" s="112">
        <f t="shared" si="26"/>
        <v>72.41379310344827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32" priority="11" stopIfTrue="1" operator="equal">
      <formula>"OTR"</formula>
    </cfRule>
    <cfRule type="cellIs" dxfId="531" priority="12" stopIfTrue="1" operator="equal">
      <formula>"PAR"</formula>
    </cfRule>
    <cfRule type="cellIs" dxfId="530" priority="13" stopIfTrue="1" operator="equal">
      <formula>"CLP"</formula>
    </cfRule>
    <cfRule type="cellIs" dxfId="529" priority="14" stopIfTrue="1" operator="equal">
      <formula>"HAT"</formula>
    </cfRule>
    <cfRule type="cellIs" dxfId="528" priority="15" stopIfTrue="1" operator="equal">
      <formula>"LIB"</formula>
    </cfRule>
    <cfRule type="cellIs" dxfId="527" priority="16" stopIfTrue="1" operator="equal">
      <formula>"BA"</formula>
    </cfRule>
    <cfRule type="cellIs" dxfId="526" priority="17" stopIfTrue="1" operator="equal">
      <formula>"SPA"</formula>
    </cfRule>
    <cfRule type="cellIs" dxfId="525" priority="18" stopIfTrue="1" operator="equal">
      <formula>"OST"</formula>
    </cfRule>
    <cfRule type="cellIs" dxfId="524" priority="19" stopIfTrue="1" operator="equal">
      <formula>"BOH"</formula>
    </cfRule>
    <cfRule type="cellIs" dxfId="523" priority="20" stopIfTrue="1" operator="equal">
      <formula>"TAT"</formula>
    </cfRule>
    <cfRule type="cellIs" dxfId="522" priority="21" stopIfTrue="1" operator="equal">
      <formula>"MB"</formula>
    </cfRule>
    <cfRule type="cellIs" dxfId="521" priority="22" stopIfTrue="1" operator="equal">
      <formula>"VIT"</formula>
    </cfRule>
    <cfRule type="cellIs" dxfId="520" priority="23" stopIfTrue="1" operator="equal">
      <formula>"CHO"</formula>
    </cfRule>
    <cfRule type="cellIs" dxfId="519" priority="24" stopIfTrue="1" operator="equal">
      <formula>"SKV"</formula>
    </cfRule>
  </conditionalFormatting>
  <conditionalFormatting sqref="H19:K20">
    <cfRule type="cellIs" dxfId="518" priority="39" stopIfTrue="1" operator="equal">
      <formula>"OTR"</formula>
    </cfRule>
    <cfRule type="cellIs" dxfId="517" priority="40" stopIfTrue="1" operator="equal">
      <formula>"PAR"</formula>
    </cfRule>
    <cfRule type="cellIs" dxfId="516" priority="41" stopIfTrue="1" operator="equal">
      <formula>"CLP"</formula>
    </cfRule>
    <cfRule type="cellIs" dxfId="515" priority="42" stopIfTrue="1" operator="equal">
      <formula>"HAT"</formula>
    </cfRule>
    <cfRule type="cellIs" dxfId="514" priority="43" stopIfTrue="1" operator="equal">
      <formula>"LIB"</formula>
    </cfRule>
    <cfRule type="cellIs" dxfId="513" priority="44" stopIfTrue="1" operator="equal">
      <formula>"BA"</formula>
    </cfRule>
    <cfRule type="cellIs" dxfId="512" priority="45" stopIfTrue="1" operator="equal">
      <formula>"SPA"</formula>
    </cfRule>
    <cfRule type="cellIs" dxfId="511" priority="46" stopIfTrue="1" operator="equal">
      <formula>"OST"</formula>
    </cfRule>
    <cfRule type="cellIs" dxfId="510" priority="47" stopIfTrue="1" operator="equal">
      <formula>"BOH"</formula>
    </cfRule>
    <cfRule type="cellIs" dxfId="509" priority="48" stopIfTrue="1" operator="equal">
      <formula>"TAT"</formula>
    </cfRule>
    <cfRule type="cellIs" dxfId="508" priority="49" stopIfTrue="1" operator="equal">
      <formula>"MB"</formula>
    </cfRule>
    <cfRule type="cellIs" dxfId="507" priority="50" stopIfTrue="1" operator="equal">
      <formula>"VIT"</formula>
    </cfRule>
    <cfRule type="cellIs" dxfId="506" priority="51" stopIfTrue="1" operator="equal">
      <formula>"CHO"</formula>
    </cfRule>
    <cfRule type="cellIs" dxfId="505" priority="52" stopIfTrue="1" operator="equal">
      <formula>"SKV"</formula>
    </cfRule>
  </conditionalFormatting>
  <conditionalFormatting sqref="H8:K9">
    <cfRule type="cellIs" dxfId="504" priority="25" stopIfTrue="1" operator="equal">
      <formula>"OTR"</formula>
    </cfRule>
    <cfRule type="cellIs" dxfId="503" priority="26" stopIfTrue="1" operator="equal">
      <formula>"PAR"</formula>
    </cfRule>
    <cfRule type="cellIs" dxfId="502" priority="27" stopIfTrue="1" operator="equal">
      <formula>"CLP"</formula>
    </cfRule>
    <cfRule type="cellIs" dxfId="501" priority="28" stopIfTrue="1" operator="equal">
      <formula>"HAT"</formula>
    </cfRule>
    <cfRule type="cellIs" dxfId="500" priority="29" stopIfTrue="1" operator="equal">
      <formula>"LIB"</formula>
    </cfRule>
    <cfRule type="cellIs" dxfId="499" priority="30" stopIfTrue="1" operator="equal">
      <formula>"BA"</formula>
    </cfRule>
    <cfRule type="cellIs" dxfId="498" priority="31" stopIfTrue="1" operator="equal">
      <formula>"SPA"</formula>
    </cfRule>
    <cfRule type="cellIs" dxfId="497" priority="32" stopIfTrue="1" operator="equal">
      <formula>"OST"</formula>
    </cfRule>
    <cfRule type="cellIs" dxfId="496" priority="33" stopIfTrue="1" operator="equal">
      <formula>"BOH"</formula>
    </cfRule>
    <cfRule type="cellIs" dxfId="495" priority="34" stopIfTrue="1" operator="equal">
      <formula>"TAT"</formula>
    </cfRule>
    <cfRule type="cellIs" dxfId="494" priority="35" stopIfTrue="1" operator="equal">
      <formula>"MB"</formula>
    </cfRule>
    <cfRule type="cellIs" dxfId="493" priority="36" stopIfTrue="1" operator="equal">
      <formula>"VIT"</formula>
    </cfRule>
    <cfRule type="cellIs" dxfId="492" priority="37" stopIfTrue="1" operator="equal">
      <formula>"CHO"</formula>
    </cfRule>
    <cfRule type="cellIs" dxfId="491" priority="38" stopIfTrue="1" operator="equal">
      <formula>"SKV"</formula>
    </cfRule>
  </conditionalFormatting>
  <conditionalFormatting sqref="S2:S42">
    <cfRule type="expression" dxfId="490" priority="9" stopIfTrue="1">
      <formula>IFERROR(IF(VLOOKUP($S2,OFFSET($AG$2,,,COUNTIF($AG$2:$AG$50,"?*")),1,FALSE)&lt;&gt;0,1,0),0)&gt;0</formula>
    </cfRule>
  </conditionalFormatting>
  <conditionalFormatting sqref="S2:S42">
    <cfRule type="expression" dxfId="489" priority="10">
      <formula>IFERROR(IF(VLOOKUP($S2,OFFSET($AG$2,,,COUNTIF($AG$2:$AG$50,"?*")),1,FALSE)&lt;&gt;0,1,0),0)=0</formula>
    </cfRule>
  </conditionalFormatting>
  <conditionalFormatting sqref="S45:S50">
    <cfRule type="expression" dxfId="488" priority="8">
      <formula>IFERROR(IF(VLOOKUP($S45,OFFSET($AG$2,,,COUNTIF($AG$2:$AG$50,"?*")),1,FALSE)&lt;&gt;0,1,0),0)&gt;0</formula>
    </cfRule>
  </conditionalFormatting>
  <conditionalFormatting sqref="S45:S50">
    <cfRule type="expression" dxfId="487" priority="7">
      <formula>IFERROR(IF(VLOOKUP($S45,OFFSET($AG$2,,,COUNTIF($AG$2:$AG$50,"?*")),1,FALSE)&lt;&gt;0,1,0),0)=0</formula>
    </cfRule>
  </conditionalFormatting>
  <conditionalFormatting sqref="AG2:AG50">
    <cfRule type="expression" dxfId="486" priority="4" stopIfTrue="1">
      <formula>OR($AH2="",$AI2="",$AJ2="",$AK2="",$AL2="",$AM2="",$AN2="",$AQ2="",$AR2="",$AS2="",$AT2="")</formula>
    </cfRule>
    <cfRule type="expression" dxfId="485" priority="5" stopIfTrue="1">
      <formula>IFERROR(IF(VLOOKUP($AG2,OFFSET($S$2,,,COUNTIF($S$2:$S$42,"?*")),1,FALSE)&lt;&gt;0,1,0),0)=0</formula>
    </cfRule>
    <cfRule type="expression" dxfId="484" priority="6">
      <formula>IFERROR(IF(VLOOKUP($AG2,OFFSET($S$2,,,COUNTIF($S$2:$S$42,"?*")),1,FALSE)&lt;&gt;0,1,0),0)&gt;0</formula>
    </cfRule>
  </conditionalFormatting>
  <conditionalFormatting sqref="AG2:AK50 AM2:BC50">
    <cfRule type="expression" dxfId="483" priority="3">
      <formula>AND($AG2&lt;&gt;"",MOD(ROW($AG2),2)=0)</formula>
    </cfRule>
  </conditionalFormatting>
  <conditionalFormatting sqref="BN2:BR11">
    <cfRule type="expression" dxfId="482" priority="2">
      <formula>AND($BN2&lt;&gt;"",MOD(ROW($BN2),2)=0)</formula>
    </cfRule>
  </conditionalFormatting>
  <conditionalFormatting sqref="AL2:AL50">
    <cfRule type="expression" dxfId="48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274</v>
      </c>
      <c r="T2" s="102" t="s">
        <v>119</v>
      </c>
      <c r="U2" s="102">
        <v>8</v>
      </c>
      <c r="V2" s="102">
        <v>11</v>
      </c>
      <c r="W2" s="102">
        <v>0</v>
      </c>
      <c r="X2" s="102">
        <v>2</v>
      </c>
      <c r="Y2" s="102">
        <v>4</v>
      </c>
      <c r="Z2" s="102">
        <v>15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283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304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5 (2+3),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216 OZ, 182 (95+87)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320</v>
      </c>
      <c r="BO2" s="122">
        <v>31582</v>
      </c>
      <c r="BP2" s="131" t="s">
        <v>256</v>
      </c>
      <c r="BQ2" s="132" t="s">
        <v>321</v>
      </c>
      <c r="BR2" s="127">
        <f ca="1">IF(BN2&lt;&gt;"",IF(BO2&lt;&gt;"",INT((TODAY()-BO2)/365),"?"),"")</f>
        <v>35</v>
      </c>
      <c r="BS2" s="380" t="s">
        <v>36</v>
      </c>
      <c r="BT2" s="104" t="s">
        <v>808</v>
      </c>
      <c r="BU2" s="103">
        <v>15</v>
      </c>
      <c r="BV2" s="104" t="str">
        <f>IFERROR(RIGHT(BT2,LEN(BT2)-SEARCH(" ",BT2)),"")</f>
        <v>Marek Vávra</v>
      </c>
      <c r="BW2" s="102">
        <f>IF(BT2&lt;&gt;0,_xlfn.NUMBERVALUE(BU2,","),"")</f>
        <v>15</v>
      </c>
      <c r="BX2" s="379" t="s">
        <v>211</v>
      </c>
      <c r="BY2" s="103" t="s">
        <v>959</v>
      </c>
      <c r="BZ2" s="103" t="s">
        <v>900</v>
      </c>
      <c r="CA2" s="115" t="s">
        <v>1235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277</v>
      </c>
      <c r="T3" s="102" t="s">
        <v>119</v>
      </c>
      <c r="U3" s="102">
        <v>8</v>
      </c>
      <c r="V3" s="102">
        <v>5</v>
      </c>
      <c r="W3" s="102">
        <v>1</v>
      </c>
      <c r="X3" s="102">
        <v>0</v>
      </c>
      <c r="Y3" s="102">
        <v>10</v>
      </c>
      <c r="Z3" s="102">
        <v>15</v>
      </c>
      <c r="AA3" s="102">
        <v>0</v>
      </c>
      <c r="AB3" s="102">
        <v>6</v>
      </c>
      <c r="AC3" s="102" t="str">
        <f t="shared" ca="1" si="0"/>
        <v>ANO</v>
      </c>
      <c r="AG3" s="121" t="s">
        <v>291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149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322</v>
      </c>
      <c r="BO3" s="122">
        <v>26801</v>
      </c>
      <c r="BP3" s="131" t="s">
        <v>257</v>
      </c>
      <c r="BQ3" s="132" t="s">
        <v>323</v>
      </c>
      <c r="BR3" s="127">
        <f t="shared" ref="BR3:BR11" ca="1" si="12">IF(BN3&lt;&gt;"",IF(BO3&lt;&gt;"",INT((TODAY()-BO3)/365),"?"),"")</f>
        <v>48</v>
      </c>
      <c r="BS3" s="380"/>
      <c r="BT3" s="104" t="s">
        <v>961</v>
      </c>
      <c r="BU3" s="103">
        <v>15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15</v>
      </c>
      <c r="BX3" s="379"/>
      <c r="BY3" s="103" t="s">
        <v>795</v>
      </c>
      <c r="BZ3" s="103" t="s">
        <v>933</v>
      </c>
      <c r="CA3" s="115" t="s">
        <v>1236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273</v>
      </c>
      <c r="T4" s="102" t="s">
        <v>119</v>
      </c>
      <c r="U4" s="102">
        <v>8</v>
      </c>
      <c r="V4" s="102">
        <v>7</v>
      </c>
      <c r="W4" s="102">
        <v>1</v>
      </c>
      <c r="X4" s="102">
        <v>0</v>
      </c>
      <c r="Y4" s="102">
        <v>6</v>
      </c>
      <c r="Z4" s="102">
        <v>13</v>
      </c>
      <c r="AA4" s="102">
        <v>4</v>
      </c>
      <c r="AB4" s="102">
        <v>6</v>
      </c>
      <c r="AC4" s="102" t="str">
        <f t="shared" ca="1" si="0"/>
        <v>NE</v>
      </c>
      <c r="AG4" s="121" t="s">
        <v>292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149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5 OZ, 0 (0+0), -2 ±</v>
      </c>
      <c r="AY4" s="129" t="str">
        <f t="shared" ca="1" si="2"/>
        <v>14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302</v>
      </c>
      <c r="BO4" s="122">
        <v>28909</v>
      </c>
      <c r="BP4" s="131" t="s">
        <v>257</v>
      </c>
      <c r="BQ4" s="132" t="s">
        <v>324</v>
      </c>
      <c r="BR4" s="127">
        <f t="shared" ca="1" si="12"/>
        <v>42</v>
      </c>
      <c r="BS4" s="380"/>
      <c r="BT4" s="104" t="s">
        <v>809</v>
      </c>
      <c r="BU4" s="103">
        <v>13</v>
      </c>
      <c r="BV4" s="104" t="str">
        <f t="shared" si="13"/>
        <v>Mikuláš Komárek</v>
      </c>
      <c r="BW4" s="102">
        <f t="shared" si="14"/>
        <v>13</v>
      </c>
      <c r="BX4" s="379"/>
      <c r="BY4" s="103" t="s">
        <v>263</v>
      </c>
      <c r="BZ4" s="103" t="s">
        <v>909</v>
      </c>
      <c r="CA4" s="115" t="s">
        <v>834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280</v>
      </c>
      <c r="T5" s="102" t="s">
        <v>119</v>
      </c>
      <c r="U5" s="102">
        <v>7</v>
      </c>
      <c r="V5" s="102">
        <v>6</v>
      </c>
      <c r="W5" s="102">
        <v>2</v>
      </c>
      <c r="X5" s="102">
        <v>0</v>
      </c>
      <c r="Y5" s="102">
        <v>7</v>
      </c>
      <c r="Z5" s="102">
        <v>13</v>
      </c>
      <c r="AA5" s="102">
        <v>0</v>
      </c>
      <c r="AB5" s="102">
        <v>8</v>
      </c>
      <c r="AC5" s="102" t="str">
        <f t="shared" ca="1" si="0"/>
        <v>ANO</v>
      </c>
      <c r="AG5" s="121" t="s">
        <v>281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149</v>
      </c>
      <c r="AQ5" s="123">
        <v>183</v>
      </c>
      <c r="AR5" s="123">
        <v>92</v>
      </c>
      <c r="AS5" s="126" t="s">
        <v>305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8 OZ, 8 (6+2), +4 ±</v>
      </c>
      <c r="AY5" s="129" t="str">
        <f t="shared" ca="1" si="2"/>
        <v>54 OZ, 33 (23+10)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325</v>
      </c>
      <c r="BO5" s="122">
        <v>31168</v>
      </c>
      <c r="BP5" s="131" t="s">
        <v>326</v>
      </c>
      <c r="BQ5" s="132" t="s">
        <v>327</v>
      </c>
      <c r="BR5" s="127">
        <f t="shared" ca="1" si="12"/>
        <v>36</v>
      </c>
      <c r="BS5" s="380"/>
      <c r="BT5" s="104" t="s">
        <v>962</v>
      </c>
      <c r="BU5" s="103">
        <v>13</v>
      </c>
      <c r="BV5" s="104" t="str">
        <f t="shared" si="13"/>
        <v>Tom Ondrušek</v>
      </c>
      <c r="BW5" s="102">
        <f t="shared" si="14"/>
        <v>13</v>
      </c>
      <c r="BX5" s="379"/>
      <c r="BY5" s="103" t="s">
        <v>207</v>
      </c>
      <c r="BZ5" s="103" t="s">
        <v>954</v>
      </c>
      <c r="CA5" s="115" t="s">
        <v>835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279</v>
      </c>
      <c r="T6" s="102" t="s">
        <v>119</v>
      </c>
      <c r="U6" s="102">
        <v>8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0</v>
      </c>
      <c r="AB6" s="102">
        <v>6</v>
      </c>
      <c r="AC6" s="102" t="str">
        <f t="shared" ca="1" si="0"/>
        <v>NE</v>
      </c>
      <c r="AG6" s="121" t="s">
        <v>293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306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4 V, 1 P</v>
      </c>
      <c r="AY6" s="129" t="str">
        <f t="shared" ca="1" si="2"/>
        <v>16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328</v>
      </c>
      <c r="BO6" s="122">
        <v>32514</v>
      </c>
      <c r="BP6" s="131" t="s">
        <v>329</v>
      </c>
      <c r="BQ6" s="132" t="s">
        <v>330</v>
      </c>
      <c r="BR6" s="127">
        <f t="shared" ca="1" si="12"/>
        <v>32</v>
      </c>
      <c r="BS6" s="380"/>
      <c r="BT6" s="104" t="s">
        <v>1238</v>
      </c>
      <c r="BU6" s="103">
        <v>9</v>
      </c>
      <c r="BV6" s="104" t="str">
        <f t="shared" si="13"/>
        <v>Martin Skřivánek</v>
      </c>
      <c r="BW6" s="102">
        <f t="shared" si="14"/>
        <v>9</v>
      </c>
      <c r="BX6" s="379"/>
      <c r="BY6" s="103" t="s">
        <v>206</v>
      </c>
      <c r="BZ6" s="103" t="s">
        <v>955</v>
      </c>
      <c r="CA6" s="115" t="s">
        <v>956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281</v>
      </c>
      <c r="T7" s="102" t="s">
        <v>119</v>
      </c>
      <c r="U7" s="102">
        <v>8</v>
      </c>
      <c r="V7" s="102">
        <v>6</v>
      </c>
      <c r="W7" s="102">
        <v>0</v>
      </c>
      <c r="X7" s="102">
        <v>1</v>
      </c>
      <c r="Y7" s="102">
        <v>2</v>
      </c>
      <c r="Z7" s="102">
        <v>8</v>
      </c>
      <c r="AA7" s="102">
        <v>4</v>
      </c>
      <c r="AB7" s="102">
        <v>4</v>
      </c>
      <c r="AC7" s="102" t="str">
        <f t="shared" ca="1" si="0"/>
        <v>ANO</v>
      </c>
      <c r="AG7" s="121" t="s">
        <v>294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149</v>
      </c>
      <c r="AQ7" s="123">
        <v>175</v>
      </c>
      <c r="AR7" s="123">
        <v>67</v>
      </c>
      <c r="AS7" s="126" t="s">
        <v>307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7 OZ, 0 (0+0), -5 ±</v>
      </c>
      <c r="AY7" s="129" t="str">
        <f t="shared" ca="1" si="2"/>
        <v>30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1239</v>
      </c>
      <c r="BU7" s="103" t="s">
        <v>1240</v>
      </c>
      <c r="BV7" s="104" t="str">
        <f t="shared" si="13"/>
        <v>Karel Hodík</v>
      </c>
      <c r="BW7" s="112">
        <f t="shared" si="14"/>
        <v>4.76</v>
      </c>
      <c r="BX7" s="379" t="s">
        <v>212</v>
      </c>
      <c r="BY7" s="103" t="s">
        <v>906</v>
      </c>
      <c r="BZ7" s="103" t="s">
        <v>960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290</v>
      </c>
      <c r="T8" s="102" t="s">
        <v>119</v>
      </c>
      <c r="U8" s="102">
        <v>8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295</v>
      </c>
      <c r="AH8" s="122"/>
      <c r="AI8" s="123"/>
      <c r="AJ8" s="123"/>
      <c r="AK8" s="123"/>
      <c r="AL8" s="124">
        <f>IF(AG8&lt;&gt;"",AJ8+AK8,"")</f>
        <v>0</v>
      </c>
      <c r="AM8" s="123" t="s">
        <v>303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1241</v>
      </c>
      <c r="BU8" s="103" t="s">
        <v>963</v>
      </c>
      <c r="BV8" s="104" t="str">
        <f t="shared" si="13"/>
        <v>Vojtěch Šimůnek</v>
      </c>
      <c r="BW8" s="112">
        <f t="shared" si="14"/>
        <v>5.64</v>
      </c>
      <c r="BX8" s="379"/>
      <c r="BY8" s="103" t="s">
        <v>908</v>
      </c>
      <c r="BZ8" s="103" t="s">
        <v>897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283</v>
      </c>
      <c r="T9" s="102" t="s">
        <v>64</v>
      </c>
      <c r="U9" s="102">
        <v>8</v>
      </c>
      <c r="V9" s="102">
        <v>2</v>
      </c>
      <c r="W9" s="102">
        <v>1</v>
      </c>
      <c r="X9" s="102">
        <v>0</v>
      </c>
      <c r="Y9" s="102">
        <v>3</v>
      </c>
      <c r="Z9" s="102">
        <v>5</v>
      </c>
      <c r="AA9" s="102">
        <v>2</v>
      </c>
      <c r="AB9" s="102">
        <v>4</v>
      </c>
      <c r="AC9" s="102" t="str">
        <f t="shared" ca="1" si="0"/>
        <v>ANO</v>
      </c>
      <c r="AG9" s="121" t="s">
        <v>296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149</v>
      </c>
      <c r="AQ9" s="123">
        <v>183</v>
      </c>
      <c r="AR9" s="123">
        <v>88</v>
      </c>
      <c r="AS9" s="126" t="s">
        <v>308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966</v>
      </c>
      <c r="BU9" s="103" t="s">
        <v>199</v>
      </c>
      <c r="BV9" s="104" t="str">
        <f t="shared" si="13"/>
        <v>Karel Pergler</v>
      </c>
      <c r="BW9" s="112">
        <f t="shared" si="14"/>
        <v>0</v>
      </c>
      <c r="BX9" s="379"/>
      <c r="BY9" s="103" t="s">
        <v>938</v>
      </c>
      <c r="BZ9" s="103" t="s">
        <v>946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278</v>
      </c>
      <c r="T10" s="102" t="s">
        <v>119</v>
      </c>
      <c r="U10" s="102">
        <v>8</v>
      </c>
      <c r="V10" s="102">
        <v>4</v>
      </c>
      <c r="W10" s="102">
        <v>0</v>
      </c>
      <c r="X10" s="102">
        <v>0</v>
      </c>
      <c r="Y10" s="102">
        <v>0</v>
      </c>
      <c r="Z10" s="102">
        <v>4</v>
      </c>
      <c r="AA10" s="102">
        <v>2</v>
      </c>
      <c r="AB10" s="102">
        <v>-5</v>
      </c>
      <c r="AC10" s="102" t="str">
        <f t="shared" ca="1" si="0"/>
        <v>ANO</v>
      </c>
      <c r="AG10" s="121" t="s">
        <v>297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149</v>
      </c>
      <c r="AQ10" s="123">
        <v>176</v>
      </c>
      <c r="AR10" s="123">
        <v>73</v>
      </c>
      <c r="AS10" s="126" t="s">
        <v>153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905</v>
      </c>
      <c r="CA10" s="115" t="s">
        <v>205</v>
      </c>
    </row>
    <row r="11" spans="1:79" ht="15" customHeight="1" thickTop="1" thickBot="1" x14ac:dyDescent="0.25">
      <c r="R11" s="13"/>
      <c r="S11" s="110" t="s">
        <v>282</v>
      </c>
      <c r="T11" s="102" t="s">
        <v>64</v>
      </c>
      <c r="U11" s="102">
        <v>8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4</v>
      </c>
      <c r="AB11" s="102">
        <v>11</v>
      </c>
      <c r="AC11" s="102" t="str">
        <f t="shared" ca="1" si="0"/>
        <v>ANO</v>
      </c>
      <c r="AG11" s="121" t="s">
        <v>298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149</v>
      </c>
      <c r="AQ11" s="123">
        <v>186</v>
      </c>
      <c r="AR11" s="123">
        <v>84</v>
      </c>
      <c r="AS11" s="126" t="s">
        <v>309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1189</v>
      </c>
      <c r="BZ11" s="103" t="s">
        <v>907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276</v>
      </c>
      <c r="T12" s="102" t="s">
        <v>119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-5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149</v>
      </c>
      <c r="AQ12" s="123">
        <v>177</v>
      </c>
      <c r="AR12" s="123">
        <v>75</v>
      </c>
      <c r="AS12" s="126" t="s">
        <v>310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808</v>
      </c>
      <c r="BU12" s="103">
        <v>11</v>
      </c>
      <c r="BV12" s="104" t="str">
        <f t="shared" si="13"/>
        <v>Marek Vávra</v>
      </c>
      <c r="BW12" s="102">
        <f t="shared" si="14"/>
        <v>11</v>
      </c>
      <c r="BX12" s="120" t="s">
        <v>210</v>
      </c>
      <c r="BY12" s="100" t="s">
        <v>1237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275</v>
      </c>
      <c r="T13" s="102" t="s">
        <v>64</v>
      </c>
      <c r="U13" s="102">
        <v>3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1</v>
      </c>
      <c r="AC13" s="102" t="str">
        <f t="shared" ca="1" si="0"/>
        <v>ANO</v>
      </c>
      <c r="AG13" s="121" t="s">
        <v>277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311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8 OZ, 15 (5+10), +6 ±</v>
      </c>
      <c r="AY13" s="129" t="str">
        <f t="shared" ca="1" si="2"/>
        <v>48 OZ, 80 (45+35)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331</v>
      </c>
      <c r="BU13" s="103">
        <v>7</v>
      </c>
      <c r="BV13" s="104" t="str">
        <f t="shared" si="13"/>
        <v>Mikuláš Komárek</v>
      </c>
      <c r="BW13" s="102">
        <f t="shared" si="14"/>
        <v>7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811</v>
      </c>
      <c r="T14" s="102" t="s">
        <v>119</v>
      </c>
      <c r="U14" s="102">
        <v>4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-5</v>
      </c>
      <c r="AC14" s="102" t="str">
        <f t="shared" ca="1" si="0"/>
        <v>NE</v>
      </c>
      <c r="AG14" s="121" t="s">
        <v>290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149</v>
      </c>
      <c r="AQ14" s="123">
        <v>184</v>
      </c>
      <c r="AR14" s="123">
        <v>78</v>
      </c>
      <c r="AS14" s="126" t="s">
        <v>312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8 OZ, 6 (4+2), +9 ±</v>
      </c>
      <c r="AY14" s="129" t="str">
        <f t="shared" ca="1" si="2"/>
        <v>102 OZ, 59 (40+19)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964</v>
      </c>
      <c r="BU14" s="103">
        <v>6</v>
      </c>
      <c r="BV14" s="104" t="str">
        <f t="shared" si="13"/>
        <v>Daniel Eremiáš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-1</v>
      </c>
      <c r="AC15" s="102" t="str">
        <f t="shared" ca="1" si="0"/>
        <v>ANO</v>
      </c>
      <c r="AG15" s="121" t="s">
        <v>299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149</v>
      </c>
      <c r="AQ15" s="123">
        <v>182</v>
      </c>
      <c r="AR15" s="123">
        <v>82</v>
      </c>
      <c r="AS15" s="126" t="s">
        <v>313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962</v>
      </c>
      <c r="BU15" s="103">
        <v>6</v>
      </c>
      <c r="BV15" s="104" t="str">
        <f t="shared" si="13"/>
        <v>Tom Ondrušek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287</v>
      </c>
      <c r="T16" s="102" t="s">
        <v>64</v>
      </c>
      <c r="U16" s="102">
        <v>8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4</v>
      </c>
      <c r="AB16" s="102">
        <v>3</v>
      </c>
      <c r="AC16" s="102" t="str">
        <f t="shared" ca="1" si="0"/>
        <v>ANO</v>
      </c>
      <c r="AG16" s="121" t="s">
        <v>280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314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7 OZ, 13 (6+7), +8 ±</v>
      </c>
      <c r="AY16" s="129" t="str">
        <f t="shared" ca="1" si="2"/>
        <v>247 OZ, 536 (328+208)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1242</v>
      </c>
      <c r="BU16" s="103">
        <v>5</v>
      </c>
      <c r="BV16" s="104" t="str">
        <f t="shared" si="13"/>
        <v>Petr Majer</v>
      </c>
      <c r="BW16" s="102">
        <f t="shared" si="14"/>
        <v>5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967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120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303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1239</v>
      </c>
      <c r="BU17" s="103">
        <v>4</v>
      </c>
      <c r="BV17" s="104" t="str">
        <f t="shared" si="13"/>
        <v>Karel Hodík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295</v>
      </c>
      <c r="T18" s="102" t="s">
        <v>119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284</v>
      </c>
      <c r="AH18" s="122"/>
      <c r="AI18" s="123"/>
      <c r="AJ18" s="123"/>
      <c r="AK18" s="123"/>
      <c r="AL18" s="124">
        <f>IF(AG18&lt;&gt;"",AJ18+AK18,"")</f>
        <v>0</v>
      </c>
      <c r="AM18" s="123" t="s">
        <v>303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1241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CHO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289</v>
      </c>
      <c r="T19" s="102" t="s">
        <v>119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3</v>
      </c>
      <c r="AC19" s="102" t="str">
        <f t="shared" ca="1" si="0"/>
        <v>NE</v>
      </c>
      <c r="AG19" s="121" t="s">
        <v>286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149</v>
      </c>
      <c r="AQ19" s="123">
        <v>172</v>
      </c>
      <c r="AR19" s="123">
        <v>73</v>
      </c>
      <c r="AS19" s="126" t="s">
        <v>315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6 OZ, 1 (0+1), -1 ±</v>
      </c>
      <c r="AY19" s="129" t="str">
        <f t="shared" ca="1" si="2"/>
        <v>123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966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1234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282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316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8 OZ, 4 (1+3), +11 ±</v>
      </c>
      <c r="AY20" s="129" t="str">
        <f t="shared" ca="1" si="2"/>
        <v>229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64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300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316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968</v>
      </c>
      <c r="T22" s="102" t="s">
        <v>119</v>
      </c>
      <c r="U22" s="102">
        <v>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NE</v>
      </c>
      <c r="AG22" s="121" t="s">
        <v>276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317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7 OZ, 3 (2+1), -5 ±</v>
      </c>
      <c r="AY22" s="129" t="str">
        <f t="shared" ca="1" si="2"/>
        <v>101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810</v>
      </c>
      <c r="BU22" s="103">
        <v>10</v>
      </c>
      <c r="BV22" s="104" t="str">
        <f t="shared" si="13"/>
        <v>Petr Majer</v>
      </c>
      <c r="BW22" s="102">
        <f t="shared" si="14"/>
        <v>10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293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287</v>
      </c>
      <c r="AH23" s="122"/>
      <c r="AI23" s="123"/>
      <c r="AJ23" s="123"/>
      <c r="AK23" s="123"/>
      <c r="AL23" s="124">
        <f>IF(AG23&lt;&gt;"",AJ23+AK23,"")</f>
        <v>0</v>
      </c>
      <c r="AM23" s="123" t="s">
        <v>303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8 OZ, 1 (0+1), +3 ±</v>
      </c>
      <c r="AY23" s="129" t="str">
        <f t="shared" ca="1" si="2"/>
        <v>8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868</v>
      </c>
      <c r="BU23" s="103">
        <v>7</v>
      </c>
      <c r="BV23" s="104" t="str">
        <f t="shared" si="13"/>
        <v>Tom Ondrušek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292</v>
      </c>
      <c r="T24" s="102" t="s">
        <v>119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0"/>
        <v>ANO</v>
      </c>
      <c r="AG24" s="121" t="s">
        <v>301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149</v>
      </c>
      <c r="AQ24" s="123">
        <v>182</v>
      </c>
      <c r="AR24" s="123">
        <v>75</v>
      </c>
      <c r="AS24" s="126" t="s">
        <v>317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7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99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809</v>
      </c>
      <c r="BU24" s="103">
        <v>6</v>
      </c>
      <c r="BV24" s="104" t="str">
        <f t="shared" si="13"/>
        <v>Mikuláš Komárek</v>
      </c>
      <c r="BW24" s="102">
        <f t="shared" si="14"/>
        <v>6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285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288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318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965</v>
      </c>
      <c r="BU25" s="103">
        <v>5</v>
      </c>
      <c r="BV25" s="104" t="str">
        <f t="shared" si="13"/>
        <v>Martin Skřivánek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284</v>
      </c>
      <c r="T26" s="102" t="s">
        <v>117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285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319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1243</v>
      </c>
      <c r="BU26" s="103">
        <v>4</v>
      </c>
      <c r="BV26" s="104" t="str">
        <f t="shared" si="13"/>
        <v>Marek Vávra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0" t="s">
        <v>294</v>
      </c>
      <c r="U27" s="102">
        <v>7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-5</v>
      </c>
      <c r="AC27" s="102" t="str">
        <f t="shared" ca="1" si="0"/>
        <v>ANO</v>
      </c>
      <c r="AG27" s="121" t="s">
        <v>302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303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1244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301</v>
      </c>
      <c r="T28" s="102" t="s">
        <v>64</v>
      </c>
      <c r="U28" s="102">
        <v>7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8</v>
      </c>
      <c r="AB28" s="102">
        <v>-7</v>
      </c>
      <c r="AC28" s="102" t="str">
        <f t="shared" ca="1" si="0"/>
        <v>ANO</v>
      </c>
      <c r="AG28" s="121" t="s">
        <v>274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166</v>
      </c>
      <c r="AP28" s="125" t="s">
        <v>149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15 (11+4), +1 ±</v>
      </c>
      <c r="AY28" s="129" t="str">
        <f t="shared" ca="1" si="16"/>
        <v>238 OZ, 473 (277+196)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1245</v>
      </c>
      <c r="BU28" s="103">
        <v>4</v>
      </c>
      <c r="BV28" s="104" t="str">
        <f t="shared" si="13"/>
        <v>Daniel Eremiáš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275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149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1246</v>
      </c>
      <c r="BU29" s="103">
        <v>4</v>
      </c>
      <c r="BV29" s="104" t="str">
        <f t="shared" si="13"/>
        <v>Michal Podhráský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CHO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278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149</v>
      </c>
      <c r="AQ30" s="123">
        <v>184</v>
      </c>
      <c r="AR30" s="123">
        <v>78</v>
      </c>
      <c r="AS30" s="126" t="s">
        <v>311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8 OZ, 4 (4+0), -5 ±</v>
      </c>
      <c r="AY30" s="129" t="str">
        <f t="shared" ca="1" si="16"/>
        <v>114 OZ, 63 (38+25)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1247</v>
      </c>
      <c r="BU30" s="103">
        <v>4</v>
      </c>
      <c r="BV30" s="104" t="str">
        <f t="shared" si="13"/>
        <v>Mikuláš Komárek</v>
      </c>
      <c r="BW30" s="102">
        <f t="shared" si="14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1248</v>
      </c>
      <c r="BU31" s="103">
        <v>4</v>
      </c>
      <c r="BV31" s="104" t="str">
        <f t="shared" si="13"/>
        <v>Radim Slunečko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285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293</v>
      </c>
      <c r="T46" s="102">
        <v>5</v>
      </c>
      <c r="U46" s="112">
        <v>264.52999999999997</v>
      </c>
      <c r="V46" s="102">
        <v>4</v>
      </c>
      <c r="W46" s="102">
        <v>21</v>
      </c>
      <c r="X46" s="102">
        <v>0</v>
      </c>
      <c r="Y46" s="102">
        <v>81</v>
      </c>
      <c r="Z46" s="102">
        <v>0</v>
      </c>
      <c r="AA46" s="102">
        <v>1</v>
      </c>
      <c r="AB46" s="102">
        <v>60</v>
      </c>
      <c r="AC46" s="102">
        <v>0</v>
      </c>
      <c r="AD46" s="102">
        <v>0</v>
      </c>
      <c r="AE46" s="112">
        <f t="shared" ref="AE46:AE50" si="23">IF(S46&lt;&gt;"",IF(T46&gt;0,W46/(U46/60),0),"")</f>
        <v>4.7631648584281558</v>
      </c>
      <c r="AF46" s="112">
        <f t="shared" ref="AF46:AF50" si="24">IF(S46&lt;&gt;"",IF(Y46&gt;0,(AB46/Y46)*100,"-"),"")</f>
        <v>74.074074074074076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284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80" priority="12" stopIfTrue="1" operator="equal">
      <formula>"OTR"</formula>
    </cfRule>
    <cfRule type="cellIs" dxfId="479" priority="13" stopIfTrue="1" operator="equal">
      <formula>"PAR"</formula>
    </cfRule>
    <cfRule type="cellIs" dxfId="478" priority="14" stopIfTrue="1" operator="equal">
      <formula>"CLP"</formula>
    </cfRule>
    <cfRule type="cellIs" dxfId="477" priority="15" stopIfTrue="1" operator="equal">
      <formula>"HAT"</formula>
    </cfRule>
    <cfRule type="cellIs" dxfId="476" priority="16" stopIfTrue="1" operator="equal">
      <formula>"LIB"</formula>
    </cfRule>
    <cfRule type="cellIs" dxfId="475" priority="17" stopIfTrue="1" operator="equal">
      <formula>"BA"</formula>
    </cfRule>
    <cfRule type="cellIs" dxfId="474" priority="18" stopIfTrue="1" operator="equal">
      <formula>"SPA"</formula>
    </cfRule>
    <cfRule type="cellIs" dxfId="473" priority="19" stopIfTrue="1" operator="equal">
      <formula>"OST"</formula>
    </cfRule>
    <cfRule type="cellIs" dxfId="472" priority="20" stopIfTrue="1" operator="equal">
      <formula>"BOH"</formula>
    </cfRule>
    <cfRule type="cellIs" dxfId="471" priority="21" stopIfTrue="1" operator="equal">
      <formula>"TAT"</formula>
    </cfRule>
    <cfRule type="cellIs" dxfId="470" priority="22" stopIfTrue="1" operator="equal">
      <formula>"MB"</formula>
    </cfRule>
    <cfRule type="cellIs" dxfId="469" priority="23" stopIfTrue="1" operator="equal">
      <formula>"VIT"</formula>
    </cfRule>
    <cfRule type="cellIs" dxfId="468" priority="24" stopIfTrue="1" operator="equal">
      <formula>"CHO"</formula>
    </cfRule>
    <cfRule type="cellIs" dxfId="467" priority="25" stopIfTrue="1" operator="equal">
      <formula>"SKV"</formula>
    </cfRule>
  </conditionalFormatting>
  <conditionalFormatting sqref="H19:K20">
    <cfRule type="cellIs" dxfId="466" priority="40" stopIfTrue="1" operator="equal">
      <formula>"OTR"</formula>
    </cfRule>
    <cfRule type="cellIs" dxfId="465" priority="41" stopIfTrue="1" operator="equal">
      <formula>"PAR"</formula>
    </cfRule>
    <cfRule type="cellIs" dxfId="464" priority="42" stopIfTrue="1" operator="equal">
      <formula>"CLP"</formula>
    </cfRule>
    <cfRule type="cellIs" dxfId="463" priority="43" stopIfTrue="1" operator="equal">
      <formula>"HAT"</formula>
    </cfRule>
    <cfRule type="cellIs" dxfId="462" priority="44" stopIfTrue="1" operator="equal">
      <formula>"LIB"</formula>
    </cfRule>
    <cfRule type="cellIs" dxfId="461" priority="45" stopIfTrue="1" operator="equal">
      <formula>"BA"</formula>
    </cfRule>
    <cfRule type="cellIs" dxfId="460" priority="46" stopIfTrue="1" operator="equal">
      <formula>"SPA"</formula>
    </cfRule>
    <cfRule type="cellIs" dxfId="459" priority="47" stopIfTrue="1" operator="equal">
      <formula>"OST"</formula>
    </cfRule>
    <cfRule type="cellIs" dxfId="458" priority="48" stopIfTrue="1" operator="equal">
      <formula>"BOH"</formula>
    </cfRule>
    <cfRule type="cellIs" dxfId="457" priority="49" stopIfTrue="1" operator="equal">
      <formula>"TAT"</formula>
    </cfRule>
    <cfRule type="cellIs" dxfId="456" priority="50" stopIfTrue="1" operator="equal">
      <formula>"MB"</formula>
    </cfRule>
    <cfRule type="cellIs" dxfId="455" priority="51" stopIfTrue="1" operator="equal">
      <formula>"VIT"</formula>
    </cfRule>
    <cfRule type="cellIs" dxfId="454" priority="52" stopIfTrue="1" operator="equal">
      <formula>"CHO"</formula>
    </cfRule>
    <cfRule type="cellIs" dxfId="453" priority="53" stopIfTrue="1" operator="equal">
      <formula>"SKV"</formula>
    </cfRule>
  </conditionalFormatting>
  <conditionalFormatting sqref="H8:K9">
    <cfRule type="cellIs" dxfId="452" priority="26" stopIfTrue="1" operator="equal">
      <formula>"OTR"</formula>
    </cfRule>
    <cfRule type="cellIs" dxfId="451" priority="27" stopIfTrue="1" operator="equal">
      <formula>"PAR"</formula>
    </cfRule>
    <cfRule type="cellIs" dxfId="450" priority="28" stopIfTrue="1" operator="equal">
      <formula>"CLP"</formula>
    </cfRule>
    <cfRule type="cellIs" dxfId="449" priority="29" stopIfTrue="1" operator="equal">
      <formula>"HAT"</formula>
    </cfRule>
    <cfRule type="cellIs" dxfId="448" priority="30" stopIfTrue="1" operator="equal">
      <formula>"LIB"</formula>
    </cfRule>
    <cfRule type="cellIs" dxfId="447" priority="31" stopIfTrue="1" operator="equal">
      <formula>"BA"</formula>
    </cfRule>
    <cfRule type="cellIs" dxfId="446" priority="32" stopIfTrue="1" operator="equal">
      <formula>"SPA"</formula>
    </cfRule>
    <cfRule type="cellIs" dxfId="445" priority="33" stopIfTrue="1" operator="equal">
      <formula>"OST"</formula>
    </cfRule>
    <cfRule type="cellIs" dxfId="444" priority="34" stopIfTrue="1" operator="equal">
      <formula>"BOH"</formula>
    </cfRule>
    <cfRule type="cellIs" dxfId="443" priority="35" stopIfTrue="1" operator="equal">
      <formula>"TAT"</formula>
    </cfRule>
    <cfRule type="cellIs" dxfId="442" priority="36" stopIfTrue="1" operator="equal">
      <formula>"MB"</formula>
    </cfRule>
    <cfRule type="cellIs" dxfId="441" priority="37" stopIfTrue="1" operator="equal">
      <formula>"VIT"</formula>
    </cfRule>
    <cfRule type="cellIs" dxfId="440" priority="38" stopIfTrue="1" operator="equal">
      <formula>"CHO"</formula>
    </cfRule>
    <cfRule type="cellIs" dxfId="439" priority="39" stopIfTrue="1" operator="equal">
      <formula>"SKV"</formula>
    </cfRule>
  </conditionalFormatting>
  <conditionalFormatting sqref="S2:S42">
    <cfRule type="expression" dxfId="438" priority="10" stopIfTrue="1">
      <formula>IFERROR(IF(VLOOKUP($S2,OFFSET($AG$2,,,COUNTIF($AG$2:$AG$50,"?*")),1,FALSE)&lt;&gt;0,1,0),0)&gt;0</formula>
    </cfRule>
  </conditionalFormatting>
  <conditionalFormatting sqref="S2:S42">
    <cfRule type="expression" dxfId="437" priority="11">
      <formula>IFERROR(IF(VLOOKUP($S2,OFFSET($AG$2,,,COUNTIF($AG$2:$AG$50,"?*")),1,FALSE)&lt;&gt;0,1,0),0)=0</formula>
    </cfRule>
  </conditionalFormatting>
  <conditionalFormatting sqref="S45:S50">
    <cfRule type="expression" dxfId="436" priority="9">
      <formula>IFERROR(IF(VLOOKUP($S45,OFFSET($AG$2,,,COUNTIF($AG$2:$AG$50,"?*")),1,FALSE)&lt;&gt;0,1,0),0)&gt;0</formula>
    </cfRule>
  </conditionalFormatting>
  <conditionalFormatting sqref="S45:S50">
    <cfRule type="expression" dxfId="435" priority="8">
      <formula>IFERROR(IF(VLOOKUP($S45,OFFSET($AG$2,,,COUNTIF($AG$2:$AG$50,"?*")),1,FALSE)&lt;&gt;0,1,0),0)=0</formula>
    </cfRule>
  </conditionalFormatting>
  <conditionalFormatting sqref="AG2:AG50">
    <cfRule type="expression" dxfId="434" priority="5" stopIfTrue="1">
      <formula>OR($AH2="",$AI2="",$AJ2="",$AK2="",$AL2="",$AM2="",$AN2="",$AQ2="",$AR2="",$AS2="",$AT2="")</formula>
    </cfRule>
    <cfRule type="expression" dxfId="433" priority="6" stopIfTrue="1">
      <formula>IFERROR(IF(VLOOKUP($AG2,OFFSET($S$2,,,COUNTIF($S$2:$S$42,"?*")),1,FALSE)&lt;&gt;0,1,0),0)=0</formula>
    </cfRule>
    <cfRule type="expression" dxfId="432" priority="7">
      <formula>IFERROR(IF(VLOOKUP($AG2,OFFSET($S$2,,,COUNTIF($S$2:$S$42,"?*")),1,FALSE)&lt;&gt;0,1,0),0)&gt;0</formula>
    </cfRule>
  </conditionalFormatting>
  <conditionalFormatting sqref="AG2:AK50 AM2:BC50">
    <cfRule type="expression" dxfId="431" priority="4">
      <formula>AND($AG2&lt;&gt;"",MOD(ROW($AG2),2)=0)</formula>
    </cfRule>
  </conditionalFormatting>
  <conditionalFormatting sqref="BN2:BR11">
    <cfRule type="expression" dxfId="430" priority="3">
      <formula>AND($BN2&lt;&gt;"",MOD(ROW($BN2),2)=0)</formula>
    </cfRule>
  </conditionalFormatting>
  <conditionalFormatting sqref="AL2:AL50">
    <cfRule type="expression" dxfId="42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215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43" t="s">
        <v>1</v>
      </c>
      <c r="I1" s="343"/>
      <c r="J1" s="343"/>
      <c r="K1" s="343"/>
      <c r="M1" s="341" t="s">
        <v>221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4">
        <f ca="1">IFERROR(IF(VLOOKUP(A1,OFFSET($AG$2,,,COUNTIF($AG$2:$AG$50,"?*"),23),2,FALSE)&lt;&gt;0,YEAR(VLOOKUP(A1,OFFSET($AG$2,,,COUNTIF($AG$2:$AG$50,"?*"),23),2,FALSE)),""),"")</f>
        <v>1998</v>
      </c>
      <c r="C2" s="345"/>
      <c r="D2" s="94">
        <f ca="1">IFERROR(VLOOKUP(A1,OFFSET($AG$2,,,COUNTIF($AG$2:$AG$50,"?*"),23),15,FALSE),"")</f>
        <v>23</v>
      </c>
      <c r="E2" s="335" t="str">
        <f ca="1">IFERROR(VLOOKUP(A1,OFFSET($AG$2,,,COUNTIF($AG$2:$AG$50,"?*"),23),16,FALSE),"")</f>
        <v>177/74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94">
        <f ca="1">IFERROR(VLOOKUP(M1,OFFSET($AG$2,,,COUNTIF($AG$2:$AG$50,"?*"),23),15,FALSE),"")</f>
        <v>18</v>
      </c>
      <c r="Q2" s="335" t="str">
        <f ca="1">IFERROR(VLOOKUP(M1,OFFSET($AG$2,,,COUNTIF($AG$2:$AG$50,"?*"),23),16,FALSE),"")</f>
        <v>187/83</v>
      </c>
      <c r="R2" s="336"/>
      <c r="S2" s="110" t="s">
        <v>218</v>
      </c>
      <c r="T2" s="102" t="s">
        <v>119</v>
      </c>
      <c r="U2" s="102">
        <v>7</v>
      </c>
      <c r="V2" s="102">
        <v>7</v>
      </c>
      <c r="W2" s="102">
        <v>2</v>
      </c>
      <c r="X2" s="102">
        <v>0</v>
      </c>
      <c r="Y2" s="102">
        <v>7</v>
      </c>
      <c r="Z2" s="102">
        <v>14</v>
      </c>
      <c r="AA2" s="102">
        <v>0</v>
      </c>
      <c r="AB2" s="102">
        <v>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149</v>
      </c>
      <c r="AQ2" s="123">
        <v>185</v>
      </c>
      <c r="AR2" s="123">
        <v>86</v>
      </c>
      <c r="AS2" s="126" t="s">
        <v>234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2 (2+0), -11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125 OZ, 37 (28+9)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251</v>
      </c>
      <c r="BO2" s="122">
        <v>24850</v>
      </c>
      <c r="BP2" s="131" t="s">
        <v>256</v>
      </c>
      <c r="BQ2" s="132" t="s">
        <v>260</v>
      </c>
      <c r="BR2" s="127">
        <f ca="1">IF(BN2&lt;&gt;"",IF(BO2&lt;&gt;"",INT((TODAY()-BO2)/365),"?"),"")</f>
        <v>53</v>
      </c>
      <c r="BS2" s="380" t="s">
        <v>36</v>
      </c>
      <c r="BT2" s="104" t="s">
        <v>1109</v>
      </c>
      <c r="BU2" s="103">
        <v>14</v>
      </c>
      <c r="BV2" s="104" t="str">
        <f>IFERROR(RIGHT(BT2,LEN(BT2)-SEARCH(" ",BT2)),"")</f>
        <v>Prokop Ferdan</v>
      </c>
      <c r="BW2" s="102">
        <f>IF(BT2&lt;&gt;0,_xlfn.NUMBERVALUE(BU2,","),"")</f>
        <v>14</v>
      </c>
      <c r="BX2" s="379" t="s">
        <v>211</v>
      </c>
      <c r="BY2" s="103" t="s">
        <v>959</v>
      </c>
      <c r="BZ2" s="103" t="s">
        <v>898</v>
      </c>
      <c r="CA2" s="115" t="s">
        <v>1257</v>
      </c>
    </row>
    <row r="3" spans="1:79" ht="15" customHeight="1" thickTop="1" thickBot="1" x14ac:dyDescent="0.25">
      <c r="A3" s="337" t="str">
        <f ca="1">IFERROR(VLOOKUP(A1,OFFSET($AG$2,,,COUNTIF($AG$2:$AG$50,"?*"),23),18,FALSE),"")</f>
        <v>8 OZ, 2 (2+0), -5 ±</v>
      </c>
      <c r="B3" s="338"/>
      <c r="C3" s="338"/>
      <c r="D3" s="339" t="str">
        <f ca="1">IFERROR(VLOOKUP(A1,OFFSET($AG$2,,,COUNTIF($AG$2:$AG$50,"?*"),23),19,FALSE),"")</f>
        <v>102 OZ, 31 (22+9)</v>
      </c>
      <c r="E3" s="339"/>
      <c r="F3" s="340"/>
      <c r="G3" s="341" t="s">
        <v>214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7" t="str">
        <f ca="1">IFERROR(VLOOKUP(M1,OFFSET($AG$2,,,COUNTIF($AG$2:$AG$50,"?*"),23),18,FALSE),"")</f>
        <v>8 OZ, 13 (6+7), -1 ±</v>
      </c>
      <c r="N3" s="338"/>
      <c r="O3" s="338"/>
      <c r="P3" s="339" t="str">
        <f ca="1">IFERROR(VLOOKUP(M1,OFFSET($AG$2,,,COUNTIF($AG$2:$AG$50,"?*"),23),19,FALSE),"")</f>
        <v>26 OZ, 27 (15+12)</v>
      </c>
      <c r="Q3" s="339"/>
      <c r="R3" s="340"/>
      <c r="S3" s="110" t="s">
        <v>221</v>
      </c>
      <c r="U3" s="102">
        <v>8</v>
      </c>
      <c r="V3" s="102">
        <v>6</v>
      </c>
      <c r="W3" s="102">
        <v>0</v>
      </c>
      <c r="X3" s="102">
        <v>0</v>
      </c>
      <c r="Y3" s="102">
        <v>7</v>
      </c>
      <c r="Z3" s="102">
        <v>13</v>
      </c>
      <c r="AA3" s="102">
        <v>4</v>
      </c>
      <c r="AB3" s="102">
        <v>-1</v>
      </c>
      <c r="AC3" s="102" t="str">
        <f t="shared" ca="1" si="0"/>
        <v>ANO</v>
      </c>
      <c r="AG3" s="121" t="s">
        <v>235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149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252</v>
      </c>
      <c r="BO3" s="122">
        <v>34764</v>
      </c>
      <c r="BP3" s="131" t="s">
        <v>257</v>
      </c>
      <c r="BQ3" s="132"/>
      <c r="BR3" s="127">
        <f t="shared" ref="BR3:BR11" ca="1" si="12">IF(BN3&lt;&gt;"",IF(BO3&lt;&gt;"",INT((TODAY()-BO3)/365),"?"),"")</f>
        <v>26</v>
      </c>
      <c r="BS3" s="380"/>
      <c r="BT3" s="104" t="s">
        <v>1108</v>
      </c>
      <c r="BU3" s="103">
        <v>13</v>
      </c>
      <c r="BV3" s="104" t="str">
        <f t="shared" ref="BV3:BV31" si="13">IFERROR(RIGHT(BT3,LEN(BT3)-SEARCH(" ",BT3)),"")</f>
        <v>Šimon Stránský</v>
      </c>
      <c r="BW3" s="102">
        <f t="shared" ref="BW3:BW31" si="14">IF(BT3&lt;&gt;0,_xlfn.NUMBERVALUE(BU3,","),"")</f>
        <v>13</v>
      </c>
      <c r="BX3" s="379"/>
      <c r="BY3" s="103" t="s">
        <v>263</v>
      </c>
      <c r="BZ3" s="103" t="s">
        <v>924</v>
      </c>
      <c r="CA3" s="115" t="s">
        <v>332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FBC Liberec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2011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1998</v>
      </c>
      <c r="I4" s="345"/>
      <c r="J4" s="94">
        <f ca="1">IFERROR(VLOOKUP(G3,OFFSET($AG$2,,,COUNTIF($AG$2:$AG$50,"?*"),23),15,FALSE),"")</f>
        <v>23</v>
      </c>
      <c r="K4" s="335" t="str">
        <f ca="1">IFERROR(VLOOKUP(G3,OFFSET($AG$2,,,COUNTIF($AG$2:$AG$50,"?*"),23),16,FALSE),"")</f>
        <v>185/74</v>
      </c>
      <c r="L4" s="336"/>
      <c r="M4" s="346" t="str">
        <f ca="1">IFERROR(IF(VLOOKUP(M1,OFFSET($AG$2,,,COUNTIF($AG$2:$AG$50,"?*"),23),13,FALSE)&lt;&gt;0,VLOOKUP(M1,OFFSET($AG$2,,,COUNTIF($AG$2:$AG$50,"?*"),23),13,FALSE),"?"),"")</f>
        <v>FBC Lomnice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2010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228</v>
      </c>
      <c r="T4" s="102" t="s">
        <v>119</v>
      </c>
      <c r="U4" s="102">
        <v>7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0</v>
      </c>
      <c r="AB4" s="102">
        <v>-1</v>
      </c>
      <c r="AC4" s="102" t="str">
        <f t="shared" ca="1" si="0"/>
        <v>ANO</v>
      </c>
      <c r="AG4" s="121" t="s">
        <v>236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149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253</v>
      </c>
      <c r="BO4" s="122">
        <v>29102</v>
      </c>
      <c r="BP4" s="131" t="s">
        <v>192</v>
      </c>
      <c r="BQ4" s="132"/>
      <c r="BR4" s="127">
        <f t="shared" ca="1" si="12"/>
        <v>42</v>
      </c>
      <c r="BS4" s="380"/>
      <c r="BT4" s="104" t="s">
        <v>1107</v>
      </c>
      <c r="BU4" s="103">
        <v>9</v>
      </c>
      <c r="BV4" s="104" t="str">
        <f t="shared" si="13"/>
        <v>Filip Smutný</v>
      </c>
      <c r="BW4" s="102">
        <f t="shared" si="14"/>
        <v>9</v>
      </c>
      <c r="BX4" s="379"/>
      <c r="BY4" s="103" t="s">
        <v>1098</v>
      </c>
      <c r="BZ4" s="103" t="s">
        <v>960</v>
      </c>
      <c r="CA4" s="115" t="s">
        <v>834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7 OZ, 8 (3+5), +1 ±</v>
      </c>
      <c r="H5" s="338"/>
      <c r="I5" s="338"/>
      <c r="J5" s="339" t="str">
        <f ca="1">IFERROR(VLOOKUP(G3,OFFSET($AG$2,,,COUNTIF($AG$2:$AG$50,"?*"),23),19,FALSE),"")</f>
        <v>107 OZ, 93 (53+40)</v>
      </c>
      <c r="K5" s="339"/>
      <c r="L5" s="340"/>
      <c r="S5" s="110" t="s">
        <v>216</v>
      </c>
      <c r="T5" s="102" t="s">
        <v>119</v>
      </c>
      <c r="U5" s="102">
        <v>8</v>
      </c>
      <c r="V5" s="102">
        <v>4</v>
      </c>
      <c r="W5" s="102">
        <v>0</v>
      </c>
      <c r="X5" s="102">
        <v>0</v>
      </c>
      <c r="Y5" s="102">
        <v>5</v>
      </c>
      <c r="Z5" s="102">
        <v>9</v>
      </c>
      <c r="AA5" s="102">
        <v>2</v>
      </c>
      <c r="AB5" s="102">
        <v>1</v>
      </c>
      <c r="AC5" s="102" t="str">
        <f t="shared" ca="1" si="0"/>
        <v>ANO</v>
      </c>
      <c r="AG5" s="121" t="s">
        <v>229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149</v>
      </c>
      <c r="AQ5" s="123">
        <v>180</v>
      </c>
      <c r="AR5" s="123">
        <v>82</v>
      </c>
      <c r="AS5" s="126" t="s">
        <v>237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8 OZ, 1 (1+0), -1 ±</v>
      </c>
      <c r="AY5" s="129" t="str">
        <f t="shared" ca="1" si="2"/>
        <v>202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254</v>
      </c>
      <c r="BO5" s="122">
        <v>30335</v>
      </c>
      <c r="BP5" s="131" t="s">
        <v>258</v>
      </c>
      <c r="BQ5" s="132"/>
      <c r="BR5" s="127">
        <f t="shared" ca="1" si="12"/>
        <v>38</v>
      </c>
      <c r="BS5" s="380"/>
      <c r="BT5" s="104" t="s">
        <v>975</v>
      </c>
      <c r="BU5" s="103">
        <v>9</v>
      </c>
      <c r="BV5" s="104" t="str">
        <f t="shared" si="13"/>
        <v>Radek Valeš</v>
      </c>
      <c r="BW5" s="102">
        <f t="shared" si="14"/>
        <v>9</v>
      </c>
      <c r="BX5" s="379"/>
      <c r="BY5" s="103" t="s">
        <v>207</v>
      </c>
      <c r="BZ5" s="103" t="s">
        <v>901</v>
      </c>
      <c r="CA5" s="115" t="s">
        <v>969</v>
      </c>
    </row>
    <row r="6" spans="1:79" ht="15" customHeight="1" thickTop="1" thickBot="1" x14ac:dyDescent="0.25">
      <c r="A6" s="341" t="s">
        <v>230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6" t="str">
        <f ca="1">IFERROR(IF(VLOOKUP(G3,OFFSET($AG$2,,,COUNTIF($AG$2:$AG$50,"?*"),23),13,FALSE)&lt;&gt;0,VLOOKUP(G3,OFFSET($AG$2,,,COUNTIF($AG$2:$AG$50,"?*"),23),13,FALSE),"?"),"")</f>
        <v>TJ Sokol Jaroměř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2007</v>
      </c>
      <c r="K6" s="350"/>
      <c r="L6" s="7">
        <f ca="1">IFERROR(IF(VLOOKUP(G3,OFFSET($AG$2,,,COUNTIF($AG$2:$AG$50,"?*"),23),7,FALSE)&lt;&gt;0,VLOOKUP(G3,OFFSET($AG$2,,,COUNTIF($AG$2:$AG$50,"?*"),23),7,FALSE),"?"),"")</f>
        <v>5</v>
      </c>
      <c r="M6" s="341" t="s">
        <v>224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214</v>
      </c>
      <c r="U6" s="102">
        <v>7</v>
      </c>
      <c r="V6" s="102">
        <v>3</v>
      </c>
      <c r="W6" s="102">
        <v>1</v>
      </c>
      <c r="X6" s="102">
        <v>0</v>
      </c>
      <c r="Y6" s="102">
        <v>5</v>
      </c>
      <c r="Z6" s="102">
        <v>8</v>
      </c>
      <c r="AA6" s="102">
        <v>0</v>
      </c>
      <c r="AB6" s="102">
        <v>1</v>
      </c>
      <c r="AC6" s="102" t="str">
        <f t="shared" ca="1" si="0"/>
        <v>ANO</v>
      </c>
      <c r="AG6" s="121" t="s">
        <v>218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239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7 OZ, 14 (7+7), +6 ±</v>
      </c>
      <c r="AY6" s="129" t="str">
        <f t="shared" ca="1" si="2"/>
        <v>192 OZ, 238 (133+105)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255</v>
      </c>
      <c r="BO6" s="122">
        <v>36034</v>
      </c>
      <c r="BP6" s="131" t="s">
        <v>259</v>
      </c>
      <c r="BQ6" s="132"/>
      <c r="BR6" s="127">
        <f t="shared" ca="1" si="12"/>
        <v>23</v>
      </c>
      <c r="BS6" s="380"/>
      <c r="BT6" s="104" t="s">
        <v>972</v>
      </c>
      <c r="BU6" s="103">
        <v>8</v>
      </c>
      <c r="BV6" s="104" t="str">
        <f t="shared" si="13"/>
        <v>Jakub Kopecký</v>
      </c>
      <c r="BW6" s="102">
        <f t="shared" si="14"/>
        <v>8</v>
      </c>
      <c r="BX6" s="379"/>
      <c r="BY6" s="103" t="s">
        <v>262</v>
      </c>
      <c r="BZ6" s="103" t="s">
        <v>902</v>
      </c>
      <c r="CA6" s="115" t="s">
        <v>970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4">
        <f ca="1">IFERROR(IF(VLOOKUP(A6,OFFSET($AG$2,,,COUNTIF($AG$2:$AG$50,"?*"),23),2,FALSE)&lt;&gt;0,YEAR(VLOOKUP(A6,OFFSET($AG$2,,,COUNTIF($AG$2:$AG$50,"?*"),23),2,FALSE)),""),"")</f>
        <v>2002</v>
      </c>
      <c r="C7" s="345"/>
      <c r="D7" s="94">
        <f ca="1">IFERROR(VLOOKUP(A6,OFFSET($AG$2,,,COUNTIF($AG$2:$AG$50,"?*"),23),15,FALSE),"")</f>
        <v>19</v>
      </c>
      <c r="E7" s="335" t="str">
        <f ca="1">IFERROR(VLOOKUP(A6,OFFSET($AG$2,,,COUNTIF($AG$2:$AG$50,"?*"),23),16,FALSE),"")</f>
        <v>164/68</v>
      </c>
      <c r="F7" s="336"/>
      <c r="M7" s="4" t="str">
        <f ca="1">IFERROR(IF(VLOOKUP(M6,OFFSET($AG$2,,,COUNTIF($AG$2:$AG$50,"?*"),23),10,FALSE)&lt;&gt;0,VLOOKUP(M6,OFFSET($AG$2,,,COUNTIF($AG$2:$AG$50,"?*"),23),10,FALSE),""),"")</f>
        <v>L</v>
      </c>
      <c r="N7" s="344">
        <f ca="1">IFERROR(IF(VLOOKUP(M6,OFFSET($AG$2,,,COUNTIF($AG$2:$AG$50,"?*"),23),2,FALSE)&lt;&gt;0,YEAR(VLOOKUP(M6,OFFSET($AG$2,,,COUNTIF($AG$2:$AG$50,"?*"),23),2,FALSE)),""),"")</f>
        <v>1986</v>
      </c>
      <c r="O7" s="345"/>
      <c r="P7" s="94">
        <f ca="1">IFERROR(VLOOKUP(M6,OFFSET($AG$2,,,COUNTIF($AG$2:$AG$50,"?*"),23),15,FALSE),"")</f>
        <v>35</v>
      </c>
      <c r="Q7" s="335" t="str">
        <f ca="1">IFERROR(VLOOKUP(M6,OFFSET($AG$2,,,COUNTIF($AG$2:$AG$50,"?*"),23),16,FALSE),"")</f>
        <v>185/69</v>
      </c>
      <c r="R7" s="336"/>
      <c r="S7" s="110" t="s">
        <v>226</v>
      </c>
      <c r="U7" s="102">
        <v>8</v>
      </c>
      <c r="V7" s="102">
        <v>3</v>
      </c>
      <c r="W7" s="102">
        <v>0</v>
      </c>
      <c r="X7" s="102">
        <v>0</v>
      </c>
      <c r="Y7" s="102">
        <v>4</v>
      </c>
      <c r="Z7" s="102">
        <v>7</v>
      </c>
      <c r="AA7" s="102">
        <v>2</v>
      </c>
      <c r="AB7" s="102">
        <v>3</v>
      </c>
      <c r="AC7" s="102" t="str">
        <f t="shared" ca="1" si="0"/>
        <v>ANO</v>
      </c>
      <c r="AG7" s="121" t="s">
        <v>232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4 V, 3 P</v>
      </c>
      <c r="AY7" s="129" t="str">
        <f t="shared" ca="1" si="2"/>
        <v>7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261</v>
      </c>
      <c r="BU7" s="103" t="s">
        <v>1249</v>
      </c>
      <c r="BV7" s="104" t="str">
        <f t="shared" si="13"/>
        <v>Petr Chlad</v>
      </c>
      <c r="BW7" s="112">
        <f t="shared" si="14"/>
        <v>5.7</v>
      </c>
      <c r="BX7" s="379" t="s">
        <v>212</v>
      </c>
      <c r="BY7" s="103" t="s">
        <v>928</v>
      </c>
      <c r="BZ7" s="103" t="s">
        <v>971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>8 OZ, 0 (0+0), -5 ±</v>
      </c>
      <c r="B8" s="338"/>
      <c r="C8" s="338"/>
      <c r="D8" s="339" t="str">
        <f ca="1">IFERROR(VLOOKUP(A6,OFFSET($AG$2,,,COUNTIF($AG$2:$AG$50,"?*"),23),19,FALSE),"")</f>
        <v>22 OZ, 1 (1+0)</v>
      </c>
      <c r="E8" s="339"/>
      <c r="F8" s="340"/>
      <c r="H8" s="351" t="s">
        <v>105</v>
      </c>
      <c r="I8" s="351"/>
      <c r="J8" s="351"/>
      <c r="K8" s="351"/>
      <c r="M8" s="337" t="str">
        <f ca="1">IFERROR(VLOOKUP(M6,OFFSET($AG$2,,,COUNTIF($AG$2:$AG$50,"?*"),23),18,FALSE),"")</f>
        <v>6 OZ, 3 (0+3), +1 ±</v>
      </c>
      <c r="N8" s="338"/>
      <c r="O8" s="338"/>
      <c r="P8" s="339" t="str">
        <f ca="1">IFERROR(VLOOKUP(M6,OFFSET($AG$2,,,COUNTIF($AG$2:$AG$50,"?*"),23),19,FALSE),"")</f>
        <v>308 OZ, 234 (95+139)</v>
      </c>
      <c r="Q8" s="339"/>
      <c r="R8" s="340"/>
      <c r="S8" s="110" t="s">
        <v>231</v>
      </c>
      <c r="T8" s="102" t="s">
        <v>119</v>
      </c>
      <c r="U8" s="102">
        <v>8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6</v>
      </c>
      <c r="AB8" s="102">
        <v>-12</v>
      </c>
      <c r="AC8" s="102" t="str">
        <f t="shared" ca="1" si="0"/>
        <v>ANO</v>
      </c>
      <c r="AG8" s="121" t="s">
        <v>223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149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8 OZ, 1 (0+1), +1 ±</v>
      </c>
      <c r="AY8" s="129" t="str">
        <f t="shared" ca="1" si="2"/>
        <v>30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1250</v>
      </c>
      <c r="BU8" s="103" t="s">
        <v>199</v>
      </c>
      <c r="BV8" s="104" t="str">
        <f t="shared" si="13"/>
        <v>Jan Král</v>
      </c>
      <c r="BW8" s="112">
        <f t="shared" si="14"/>
        <v>0</v>
      </c>
      <c r="BX8" s="379"/>
      <c r="BY8" s="103" t="s">
        <v>1258</v>
      </c>
      <c r="BZ8" s="103" t="s">
        <v>904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Florbal Mladá Boleslav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2005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FBC Mustang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1996</v>
      </c>
      <c r="Q9" s="35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224</v>
      </c>
      <c r="T9" s="102" t="s">
        <v>64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2</v>
      </c>
      <c r="AB9" s="102">
        <v>1</v>
      </c>
      <c r="AC9" s="102" t="str">
        <f t="shared" ca="1" si="0"/>
        <v>ANO</v>
      </c>
      <c r="AG9" s="121" t="s">
        <v>219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1251</v>
      </c>
      <c r="BU9" s="103" t="s">
        <v>963</v>
      </c>
      <c r="BV9" s="104" t="str">
        <f t="shared" si="13"/>
        <v>Jakub Levínský</v>
      </c>
      <c r="BW9" s="112">
        <f t="shared" si="14"/>
        <v>5.64</v>
      </c>
      <c r="BX9" s="379"/>
      <c r="BY9" s="103" t="s">
        <v>938</v>
      </c>
      <c r="BZ9" s="103" t="s">
        <v>935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222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-11</v>
      </c>
      <c r="AC10" s="102" t="str">
        <f t="shared" ca="1" si="0"/>
        <v>ANO</v>
      </c>
      <c r="AG10" s="121" t="s">
        <v>217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166</v>
      </c>
      <c r="AP10" s="125" t="s">
        <v>149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7 OZ, 1 (1+0), -3 ±</v>
      </c>
      <c r="AY10" s="129" t="str">
        <f t="shared" ca="1" si="2"/>
        <v>249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926</v>
      </c>
      <c r="CA10" s="115" t="s">
        <v>205</v>
      </c>
    </row>
    <row r="11" spans="1:79" ht="15" customHeight="1" thickTop="1" thickBot="1" x14ac:dyDescent="0.25">
      <c r="R11" s="13"/>
      <c r="S11" s="110" t="s">
        <v>215</v>
      </c>
      <c r="T11" s="102" t="s">
        <v>119</v>
      </c>
      <c r="U11" s="102">
        <v>8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-5</v>
      </c>
      <c r="AC11" s="102" t="str">
        <f t="shared" ca="1" si="0"/>
        <v>ANO</v>
      </c>
      <c r="AG11" s="121" t="s">
        <v>224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149</v>
      </c>
      <c r="AQ11" s="123">
        <v>185</v>
      </c>
      <c r="AR11" s="123">
        <v>69</v>
      </c>
      <c r="AS11" s="126" t="s">
        <v>242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6 OZ, 3 (0+3), +1 ±</v>
      </c>
      <c r="AY11" s="129" t="str">
        <f t="shared" ca="1" si="2"/>
        <v>308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1189</v>
      </c>
      <c r="BZ11" s="103" t="s">
        <v>925</v>
      </c>
      <c r="CA11" s="115" t="s">
        <v>205</v>
      </c>
    </row>
    <row r="12" spans="1:79" ht="15" customHeight="1" thickTop="1" thickBot="1" x14ac:dyDescent="0.25">
      <c r="A12" s="341" t="s">
        <v>218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43" t="s">
        <v>7</v>
      </c>
      <c r="I12" s="343"/>
      <c r="J12" s="343"/>
      <c r="K12" s="343"/>
      <c r="M12" s="341" t="s">
        <v>226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217</v>
      </c>
      <c r="T12" s="102" t="s">
        <v>64</v>
      </c>
      <c r="U12" s="102">
        <v>7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-3</v>
      </c>
      <c r="AC12" s="102" t="str">
        <f t="shared" ca="1" si="0"/>
        <v>ANO</v>
      </c>
      <c r="AG12" s="121" t="s">
        <v>214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149</v>
      </c>
      <c r="AQ12" s="123">
        <v>185</v>
      </c>
      <c r="AR12" s="123">
        <v>74</v>
      </c>
      <c r="AS12" s="126" t="s">
        <v>238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973</v>
      </c>
      <c r="BU12" s="103">
        <v>8</v>
      </c>
      <c r="BV12" s="104" t="str">
        <f t="shared" si="13"/>
        <v>Filip Smutný</v>
      </c>
      <c r="BW12" s="102">
        <f t="shared" si="14"/>
        <v>8</v>
      </c>
      <c r="BX12" s="116" t="s">
        <v>210</v>
      </c>
      <c r="BY12" s="100" t="s">
        <v>1259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4">
        <f ca="1">IFERROR(IF(VLOOKUP(A12,OFFSET($AG$2,,,COUNTIF($AG$2:$AG$50,"?*"),23),2,FALSE)&lt;&gt;0,YEAR(VLOOKUP(A12,OFFSET($AG$2,,,COUNTIF($AG$2:$AG$50,"?*"),23),2,FALSE)),""),"")</f>
        <v>1992</v>
      </c>
      <c r="C13" s="345"/>
      <c r="D13" s="94">
        <f ca="1">IFERROR(VLOOKUP(A12,OFFSET($AG$2,,,COUNTIF($AG$2:$AG$50,"?*"),23),15,FALSE),"")</f>
        <v>29</v>
      </c>
      <c r="E13" s="335" t="str">
        <f ca="1">IFERROR(VLOOKUP(A12,OFFSET($AG$2,,,COUNTIF($AG$2:$AG$50,"?*"),23),16,FALSE),"")</f>
        <v>176/74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94">
        <f ca="1">IFERROR(VLOOKUP(M12,OFFSET($AG$2,,,COUNTIF($AG$2:$AG$50,"?*"),23),15,FALSE),"")</f>
        <v>18</v>
      </c>
      <c r="Q13" s="335" t="str">
        <f ca="1">IFERROR(VLOOKUP(M12,OFFSET($AG$2,,,COUNTIF($AG$2:$AG$50,"?*"),23),16,FALSE),"")</f>
        <v>178/70</v>
      </c>
      <c r="R13" s="336"/>
      <c r="S13" s="110" t="s">
        <v>229</v>
      </c>
      <c r="T13" s="102" t="s">
        <v>119</v>
      </c>
      <c r="U13" s="102">
        <v>8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227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814</v>
      </c>
      <c r="BU13" s="103">
        <v>7</v>
      </c>
      <c r="BV13" s="104" t="str">
        <f t="shared" si="13"/>
        <v>Prokop Ferdan</v>
      </c>
      <c r="BW13" s="102">
        <f t="shared" si="14"/>
        <v>7</v>
      </c>
    </row>
    <row r="14" spans="1:79" ht="15" customHeight="1" thickTop="1" thickBot="1" x14ac:dyDescent="0.25">
      <c r="A14" s="337" t="str">
        <f ca="1">IFERROR(VLOOKUP(A12,OFFSET($AG$2,,,COUNTIF($AG$2:$AG$50,"?*"),23),18,FALSE),"")</f>
        <v>7 OZ, 14 (7+7), +6 ±</v>
      </c>
      <c r="B14" s="338"/>
      <c r="C14" s="338"/>
      <c r="D14" s="339" t="str">
        <f ca="1">IFERROR(VLOOKUP(A12,OFFSET($AG$2,,,COUNTIF($AG$2:$AG$50,"?*"),23),19,FALSE),"")</f>
        <v>192 OZ, 238 (133+105)</v>
      </c>
      <c r="E14" s="339"/>
      <c r="F14" s="340"/>
      <c r="G14" s="341" t="s">
        <v>216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7" t="str">
        <f ca="1">IFERROR(VLOOKUP(M12,OFFSET($AG$2,,,COUNTIF($AG$2:$AG$50,"?*"),23),18,FALSE),"")</f>
        <v>8 OZ, 7 (3+4), +3 ±</v>
      </c>
      <c r="N14" s="338"/>
      <c r="O14" s="338"/>
      <c r="P14" s="339" t="str">
        <f ca="1">IFERROR(VLOOKUP(M12,OFFSET($AG$2,,,COUNTIF($AG$2:$AG$50,"?*"),23),19,FALSE),"")</f>
        <v>30 OZ, 33 (12+21)</v>
      </c>
      <c r="Q14" s="339"/>
      <c r="R14" s="340"/>
      <c r="S14" s="110" t="s">
        <v>219</v>
      </c>
      <c r="U14" s="102">
        <v>7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812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1252</v>
      </c>
      <c r="BU14" s="103">
        <v>6</v>
      </c>
      <c r="BV14" s="104" t="str">
        <f t="shared" si="13"/>
        <v>Šimon Stránský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TJ Centropen Dačice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2006</v>
      </c>
      <c r="E15" s="35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1994</v>
      </c>
      <c r="I15" s="345"/>
      <c r="J15" s="94">
        <f ca="1">IFERROR(VLOOKUP(G14,OFFSET($AG$2,,,COUNTIF($AG$2:$AG$50,"?*"),23),15,FALSE),"")</f>
        <v>27</v>
      </c>
      <c r="K15" s="335" t="str">
        <f ca="1">IFERROR(VLOOKUP(G14,OFFSET($AG$2,,,COUNTIF($AG$2:$AG$50,"?*"),23),16,FALSE),"")</f>
        <v>187/76</v>
      </c>
      <c r="L15" s="336"/>
      <c r="M15" s="346" t="str">
        <f ca="1">IFERROR(IF(VLOOKUP(M12,OFFSET($AG$2,,,COUNTIF($AG$2:$AG$50,"?*"),23),13,FALSE)&lt;&gt;0,VLOOKUP(M12,OFFSET($AG$2,,,COUNTIF($AG$2:$AG$50,"?*"),23),13,FALSE),"?"),"")</f>
        <v>FBC Liberec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2010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220</v>
      </c>
      <c r="T15" s="102" t="s">
        <v>119</v>
      </c>
      <c r="U15" s="102">
        <v>8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233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975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8 OZ, 9 (4+5), +1 ±</v>
      </c>
      <c r="H16" s="338"/>
      <c r="I16" s="338"/>
      <c r="J16" s="339" t="str">
        <f ca="1">IFERROR(VLOOKUP(G14,OFFSET($AG$2,,,COUNTIF($AG$2:$AG$50,"?*"),23),19,FALSE),"")</f>
        <v>197 OZ, 314 (170+144)</v>
      </c>
      <c r="K16" s="339"/>
      <c r="L16" s="340"/>
      <c r="S16" s="110" t="s">
        <v>232</v>
      </c>
      <c r="T16" s="102" t="s">
        <v>117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244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972</v>
      </c>
      <c r="BU16" s="103">
        <v>3</v>
      </c>
      <c r="BV16" s="104" t="str">
        <f t="shared" si="13"/>
        <v>Jakub Kopecký</v>
      </c>
      <c r="BW16" s="102">
        <f t="shared" si="14"/>
        <v>3</v>
      </c>
    </row>
    <row r="17" spans="1:75" ht="15" customHeight="1" thickTop="1" thickBot="1" x14ac:dyDescent="0.25">
      <c r="A17" s="341" t="s">
        <v>229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6" t="str">
        <f ca="1">IFERROR(IF(VLOOKUP(G14,OFFSET($AG$2,,,COUNTIF($AG$2:$AG$50,"?*"),23),13,FALSE)&lt;&gt;0,VLOOKUP(G14,OFFSET($AG$2,,,COUNTIF($AG$2:$AG$50,"?*"),23),13,FALSE),"?"),"")</f>
        <v>FBC Liberec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2002</v>
      </c>
      <c r="K17" s="350"/>
      <c r="L17" s="7">
        <f ca="1">IFERROR(IF(VLOOKUP(G14,OFFSET($AG$2,,,COUNTIF($AG$2:$AG$50,"?*"),23),7,FALSE)&lt;&gt;0,VLOOKUP(G14,OFFSET($AG$2,,,COUNTIF($AG$2:$AG$50,"?*"),23),7,FALSE),"?"),"")</f>
        <v>10</v>
      </c>
      <c r="M17" s="341" t="s">
        <v>223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223</v>
      </c>
      <c r="T17" s="102" t="s">
        <v>64</v>
      </c>
      <c r="U17" s="102">
        <v>8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1</v>
      </c>
      <c r="AC17" s="102" t="str">
        <f t="shared" ca="1" si="0"/>
        <v>ANO</v>
      </c>
      <c r="AG17" s="121" t="s">
        <v>230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8 OZ, 0 (0+0), -5 ±</v>
      </c>
      <c r="AY17" s="129" t="str">
        <f t="shared" ca="1" si="2"/>
        <v>22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261</v>
      </c>
      <c r="BU17" s="103">
        <v>4</v>
      </c>
      <c r="BV17" s="104" t="str">
        <f t="shared" si="13"/>
        <v>Petr Chlad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180/82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2003</v>
      </c>
      <c r="O18" s="345"/>
      <c r="P18" s="94">
        <f ca="1">IFERROR(VLOOKUP(M17,OFFSET($AG$2,,,COUNTIF($AG$2:$AG$50,"?*"),23),15,FALSE),"")</f>
        <v>18</v>
      </c>
      <c r="Q18" s="335" t="str">
        <f ca="1">IFERROR(VLOOKUP(M17,OFFSET($AG$2,,,COUNTIF($AG$2:$AG$50,"?*"),23),16,FALSE),"")</f>
        <v>178/74</v>
      </c>
      <c r="R18" s="336"/>
      <c r="S18" s="110" t="s">
        <v>227</v>
      </c>
      <c r="T18" s="102" t="s">
        <v>117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149</v>
      </c>
      <c r="AQ18" s="123">
        <v>164</v>
      </c>
      <c r="AR18" s="123">
        <v>60</v>
      </c>
      <c r="AS18" s="126" t="s">
        <v>246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8 OZ, 1 (0+1), -8 ±</v>
      </c>
      <c r="AY18" s="129" t="str">
        <f t="shared" ca="1" si="2"/>
        <v>83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815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>8 OZ, 1 (1+0), -1 ±</v>
      </c>
      <c r="B19" s="338"/>
      <c r="C19" s="338"/>
      <c r="D19" s="339" t="str">
        <f ca="1">IFERROR(VLOOKUP(A17,OFFSET($AG$2,,,COUNTIF($AG$2:$AG$50,"?*"),23),19,FALSE),"")</f>
        <v>202 OZ, 117 (51+66)</v>
      </c>
      <c r="E19" s="339"/>
      <c r="F19" s="340"/>
      <c r="H19" s="351" t="str">
        <f>H$8</f>
        <v>LIB</v>
      </c>
      <c r="I19" s="351"/>
      <c r="J19" s="351"/>
      <c r="K19" s="351"/>
      <c r="M19" s="337" t="str">
        <f ca="1">IFERROR(VLOOKUP(M17,OFFSET($AG$2,,,COUNTIF($AG$2:$AG$50,"?*"),23),18,FALSE),"")</f>
        <v>8 OZ, 1 (0+1), +1 ±</v>
      </c>
      <c r="N19" s="338"/>
      <c r="O19" s="338"/>
      <c r="P19" s="339" t="str">
        <f ca="1">IFERROR(VLOOKUP(M17,OFFSET($AG$2,,,COUNTIF($AG$2:$AG$50,"?*"),23),19,FALSE),"")</f>
        <v>30 OZ, 5 (2+3)</v>
      </c>
      <c r="Q19" s="339"/>
      <c r="R19" s="340"/>
      <c r="S19" s="110" t="s">
        <v>225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247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149</v>
      </c>
      <c r="AQ19" s="123">
        <v>181</v>
      </c>
      <c r="AR19" s="123">
        <v>79</v>
      </c>
      <c r="AS19" s="126" t="s">
        <v>248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816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Sokol Pardubice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11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2010</v>
      </c>
      <c r="Q20" s="35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812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228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793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7 OZ, 9 (8+1), -1 ±</v>
      </c>
      <c r="AY20" s="129" t="str">
        <f t="shared" ca="1" si="2"/>
        <v>7 OZ, 9 (8+1)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233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 t="s">
        <v>221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149</v>
      </c>
      <c r="AQ21" s="123">
        <v>187</v>
      </c>
      <c r="AR21" s="123">
        <v>83</v>
      </c>
      <c r="AS21" s="126" t="s">
        <v>249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8 OZ, 13 (6+7), -1 ±</v>
      </c>
      <c r="AY21" s="129" t="str">
        <f t="shared" ca="1" si="2"/>
        <v>26 OZ, 27 (15+12)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230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ANO</v>
      </c>
      <c r="AG22" s="121" t="s">
        <v>231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149</v>
      </c>
      <c r="AQ22" s="123">
        <v>187</v>
      </c>
      <c r="AR22" s="123">
        <v>82</v>
      </c>
      <c r="AS22" s="126" t="s">
        <v>250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8 OZ, 4 (3+1), -12 ±</v>
      </c>
      <c r="AY22" s="129" t="str">
        <f t="shared" ca="1" si="2"/>
        <v>49 OZ, 29 (18+11)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1109</v>
      </c>
      <c r="BU22" s="103">
        <v>7</v>
      </c>
      <c r="BV22" s="104" t="str">
        <f t="shared" si="13"/>
        <v>Prokop Ferdan</v>
      </c>
      <c r="BW22" s="102">
        <f t="shared" si="14"/>
        <v>7</v>
      </c>
    </row>
    <row r="23" spans="1:75" ht="15" customHeight="1" thickTop="1" thickBot="1" x14ac:dyDescent="0.25">
      <c r="A23" s="341" t="s">
        <v>220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43" t="s">
        <v>13</v>
      </c>
      <c r="I23" s="343"/>
      <c r="J23" s="343"/>
      <c r="K23" s="343"/>
      <c r="M23" s="341" t="s">
        <v>231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149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8 OZ, 2 (2+0), -5 ±</v>
      </c>
      <c r="AY23" s="129" t="str">
        <f t="shared" ca="1" si="2"/>
        <v>102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1108</v>
      </c>
      <c r="BU23" s="103">
        <v>7</v>
      </c>
      <c r="BV23" s="104" t="str">
        <f t="shared" si="13"/>
        <v>Šimon Stránský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1999</v>
      </c>
      <c r="C24" s="345"/>
      <c r="D24" s="94">
        <f ca="1">IFERROR(VLOOKUP(A23,OFFSET($AG$2,,,COUNTIF($AG$2:$AG$50,"?*"),23),15,FALSE),"")</f>
        <v>22</v>
      </c>
      <c r="E24" s="335" t="str">
        <f ca="1">IFERROR(VLOOKUP(A23,OFFSET($AG$2,,,COUNTIF($AG$2:$AG$50,"?*"),23),16,FALSE),"")</f>
        <v>164/60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1998</v>
      </c>
      <c r="O24" s="345"/>
      <c r="P24" s="94">
        <f ca="1">IFERROR(VLOOKUP(M23,OFFSET($AG$2,,,COUNTIF($AG$2:$AG$50,"?*"),23),15,FALSE),"")</f>
        <v>23</v>
      </c>
      <c r="Q24" s="335" t="str">
        <f ca="1">IFERROR(VLOOKUP(M23,OFFSET($AG$2,,,COUNTIF($AG$2:$AG$50,"?*"),23),16,FALSE),"")</f>
        <v>187/82</v>
      </c>
      <c r="R24" s="336"/>
      <c r="S24" s="111"/>
      <c r="AC24" s="102" t="str">
        <f t="shared" ca="1" si="0"/>
        <v/>
      </c>
      <c r="AG24" s="121" t="s">
        <v>225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1110</v>
      </c>
      <c r="BU24" s="103">
        <v>5</v>
      </c>
      <c r="BV24" s="104" t="str">
        <f t="shared" si="13"/>
        <v>Jakub Kopecký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>8 OZ, 1 (0+1), -8 ±</v>
      </c>
      <c r="B25" s="338"/>
      <c r="C25" s="338"/>
      <c r="D25" s="339" t="str">
        <f ca="1">IFERROR(VLOOKUP(A23,OFFSET($AG$2,,,COUNTIF($AG$2:$AG$50,"?*"),23),19,FALSE),"")</f>
        <v>83 OZ, 45 (23+22)</v>
      </c>
      <c r="E25" s="339"/>
      <c r="F25" s="340"/>
      <c r="G25" s="341" t="s">
        <v>222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7" t="str">
        <f ca="1">IFERROR(VLOOKUP(M23,OFFSET($AG$2,,,COUNTIF($AG$2:$AG$50,"?*"),23),18,FALSE),"")</f>
        <v>8 OZ, 4 (3+1), -12 ±</v>
      </c>
      <c r="N25" s="338"/>
      <c r="O25" s="338"/>
      <c r="P25" s="339" t="str">
        <f ca="1">IFERROR(VLOOKUP(M23,OFFSET($AG$2,,,COUNTIF($AG$2:$AG$50,"?*"),23),19,FALSE),"")</f>
        <v>49 OZ, 29 (18+11)</v>
      </c>
      <c r="Q25" s="339"/>
      <c r="R25" s="340"/>
      <c r="S25" s="111"/>
      <c r="AC25" s="102" t="str">
        <f t="shared" ca="1" si="0"/>
        <v/>
      </c>
      <c r="AG25" s="121" t="s">
        <v>216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149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8 OZ, 9 (4+5), +1 ±</v>
      </c>
      <c r="AY25" s="129" t="str">
        <f t="shared" ca="1" si="16"/>
        <v>197 OZ, 314 (170+144)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975</v>
      </c>
      <c r="BU25" s="103">
        <v>5</v>
      </c>
      <c r="BV25" s="104" t="str">
        <f t="shared" si="13"/>
        <v>Radek Valeš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Florbal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2008</v>
      </c>
      <c r="E26" s="3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1994</v>
      </c>
      <c r="I26" s="345"/>
      <c r="J26" s="94">
        <f ca="1">IFERROR(VLOOKUP(G25,OFFSET($AG$2,,,COUNTIF($AG$2:$AG$50,"?*"),23),15,FALSE),"")</f>
        <v>27</v>
      </c>
      <c r="K26" s="335" t="str">
        <f ca="1">IFERROR(VLOOKUP(G25,OFFSET($AG$2,,,COUNTIF($AG$2:$AG$50,"?*"),23),16,FALSE),"")</f>
        <v>185/86</v>
      </c>
      <c r="L26" s="336"/>
      <c r="M26" s="346" t="str">
        <f ca="1">IFERROR(IF(VLOOKUP(M23,OFFSET($AG$2,,,COUNTIF($AG$2:$AG$50,"?*"),23),13,FALSE)&lt;&gt;0,VLOOKUP(M23,OFFSET($AG$2,,,COUNTIF($AG$2:$AG$50,"?*"),23),13,FALSE),"?"),"")</f>
        <v>DTJ Trutnov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2014</v>
      </c>
      <c r="Q26" s="35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149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8 OZ, 7 (3+4), +3 ±</v>
      </c>
      <c r="AY26" s="129" t="str">
        <f t="shared" ca="1" si="16"/>
        <v>30 OZ, 33 (12+21)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1253</v>
      </c>
      <c r="BU26" s="103">
        <v>4</v>
      </c>
      <c r="BV26" s="104" t="str">
        <f t="shared" si="13"/>
        <v>Vojtěch Wiener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7 OZ, 2 (2+0), -11 ±</v>
      </c>
      <c r="H27" s="338"/>
      <c r="I27" s="338"/>
      <c r="J27" s="339" t="str">
        <f ca="1">IFERROR(VLOOKUP(G25,OFFSET($AG$2,,,COUNTIF($AG$2:$AG$50,"?*"),23),19,FALSE),"")</f>
        <v>125 OZ, 37 (28+9)</v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974</v>
      </c>
      <c r="BU27" s="103">
        <v>6</v>
      </c>
      <c r="BV27" s="104" t="str">
        <f t="shared" si="13"/>
        <v>Jan Světlík</v>
      </c>
      <c r="BW27" s="102">
        <f t="shared" si="14"/>
        <v>6</v>
      </c>
    </row>
    <row r="28" spans="1:75" ht="15" customHeight="1" thickTop="1" thickBot="1" x14ac:dyDescent="0.25">
      <c r="A28" s="341" t="s">
        <v>219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6" t="str">
        <f ca="1">IFERROR(IF(VLOOKUP(G25,OFFSET($AG$2,,,COUNTIF($AG$2:$AG$50,"?*"),23),13,FALSE)&lt;&gt;0,VLOOKUP(G25,OFFSET($AG$2,,,COUNTIF($AG$2:$AG$50,"?*"),23),13,FALSE),"?"),"")</f>
        <v>Sokol Dvůr Králové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2001</v>
      </c>
      <c r="K28" s="350"/>
      <c r="L28" s="7">
        <f ca="1">IFERROR(IF(VLOOKUP(G25,OFFSET($AG$2,,,COUNTIF($AG$2:$AG$50,"?*"),23),7,FALSE)&lt;&gt;0,VLOOKUP(G25,OFFSET($AG$2,,,COUNTIF($AG$2:$AG$50,"?*"),23),7,FALSE),"?"),"")</f>
        <v>11</v>
      </c>
      <c r="M28" s="341" t="s">
        <v>217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1254</v>
      </c>
      <c r="BU28" s="103">
        <v>4</v>
      </c>
      <c r="BV28" s="104" t="str">
        <f t="shared" si="13"/>
        <v>Jan Baudisch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4">
        <f ca="1">IFERROR(IF(VLOOKUP(A28,OFFSET($AG$2,,,COUNTIF($AG$2:$AG$50,"?*"),23),2,FALSE)&lt;&gt;0,YEAR(VLOOKUP(A28,OFFSET($AG$2,,,COUNTIF($AG$2:$AG$50,"?*"),23),2,FALSE)),""),"")</f>
        <v>2000</v>
      </c>
      <c r="C29" s="345"/>
      <c r="D29" s="94">
        <f ca="1">IFERROR(VLOOKUP(A28,OFFSET($AG$2,,,COUNTIF($AG$2:$AG$50,"?*"),23),15,FALSE),"")</f>
        <v>21</v>
      </c>
      <c r="E29" s="335" t="str">
        <f ca="1">IFERROR(VLOOKUP(A28,OFFSET($AG$2,,,COUNTIF($AG$2:$AG$50,"?*"),23),16,FALSE),"")</f>
        <v>180/72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1989</v>
      </c>
      <c r="O29" s="345"/>
      <c r="P29" s="94">
        <f ca="1">IFERROR(VLOOKUP(M28,OFFSET($AG$2,,,COUNTIF($AG$2:$AG$50,"?*"),23),15,FALSE),"")</f>
        <v>31</v>
      </c>
      <c r="Q29" s="335" t="str">
        <f ca="1">IFERROR(VLOOKUP(M28,OFFSET($AG$2,,,COUNTIF($AG$2:$AG$50,"?*"),23),16,FALSE),"")</f>
        <v>194/98</v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1252</v>
      </c>
      <c r="BU29" s="103">
        <v>4</v>
      </c>
      <c r="BV29" s="104" t="str">
        <f t="shared" si="13"/>
        <v>Šimon Stránský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>7 OZ, 1 (0+1), -8 ±</v>
      </c>
      <c r="B30" s="338"/>
      <c r="C30" s="338"/>
      <c r="D30" s="339" t="str">
        <f ca="1">IFERROR(VLOOKUP(A28,OFFSET($AG$2,,,COUNTIF($AG$2:$AG$50,"?*"),23),19,FALSE),"")</f>
        <v>57 OZ, 14 (5+9)</v>
      </c>
      <c r="E30" s="339"/>
      <c r="F30" s="340"/>
      <c r="H30" s="351" t="str">
        <f>H$8</f>
        <v>LIB</v>
      </c>
      <c r="I30" s="351"/>
      <c r="J30" s="351"/>
      <c r="K30" s="351"/>
      <c r="M30" s="337" t="str">
        <f ca="1">IFERROR(VLOOKUP(M28,OFFSET($AG$2,,,COUNTIF($AG$2:$AG$50,"?*"),23),18,FALSE),"")</f>
        <v>7 OZ, 1 (1+0), -3 ±</v>
      </c>
      <c r="N30" s="338"/>
      <c r="O30" s="338"/>
      <c r="P30" s="339" t="str">
        <f ca="1">IFERROR(VLOOKUP(M28,OFFSET($AG$2,,,COUNTIF($AG$2:$AG$50,"?*"),23),19,FALSE),"")</f>
        <v>249 OZ, 119 (64+55)</v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1255</v>
      </c>
      <c r="BU30" s="103">
        <v>2</v>
      </c>
      <c r="BV30" s="104" t="str">
        <f t="shared" si="13"/>
        <v>Daniel Martínek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FA Mladá Boleslav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2006</v>
      </c>
      <c r="E31" s="350"/>
      <c r="F31" s="7">
        <f ca="1">IFERROR(IF(VLOOKUP(A28,OFFSET($AG$2,,,COUNTIF($AG$2:$AG$50,"?*"),23),7,FALSE)&lt;&gt;0,VLOOKUP(A28,OFFSET($AG$2,,,COUNTIF($AG$2:$AG$50,"?*"),23),7,FALSE),"?"),"")</f>
        <v>3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FBC Liberec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1999</v>
      </c>
      <c r="Q31" s="35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1256</v>
      </c>
      <c r="BU31" s="103">
        <v>2</v>
      </c>
      <c r="BV31" s="104" t="str">
        <f t="shared" si="13"/>
        <v>Petr Kološ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232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52" t="s">
        <v>16</v>
      </c>
      <c r="J34" s="341" t="s">
        <v>228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4">
        <f ca="1">IFERROR(IF(VLOOKUP(A34,OFFSET($AG$2,,,COUNTIF($AG$2:$AG$50,"?*"),23),2,FALSE)&lt;&gt;0,YEAR(VLOOKUP(A34,OFFSET($AG$2,,,COUNTIF($AG$2:$AG$50,"?*"),23),2,FALSE)),""),"")</f>
        <v>2001</v>
      </c>
      <c r="C35" s="345"/>
      <c r="D35" s="94">
        <f ca="1">IFERROR(VLOOKUP(A34,OFFSET($AG$2,,,COUNTIF($AG$2:$AG$50,"?*"),23),15,FALSE),"")</f>
        <v>20</v>
      </c>
      <c r="E35" s="335" t="str">
        <f ca="1">IFERROR(VLOOKUP(A34,OFFSET($AG$2,,,COUNTIF($AG$2:$AG$50,"?*"),23),16,FALSE),"")</f>
        <v>195/93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P</v>
      </c>
      <c r="K35" s="345">
        <f ca="1">IFERROR(IF(VLOOKUP(J34,OFFSET($AG$2,,,COUNTIF($AG$2:$AG$50,"?*"),23),2,FALSE)&lt;&gt;0,YEAR(VLOOKUP(J34,OFFSET($AG$2,,,COUNTIF($AG$2:$AG$50,"?*"),23),2,FALSE)),""),"")</f>
        <v>2004</v>
      </c>
      <c r="L35" s="353"/>
      <c r="M35" s="93">
        <f ca="1">IFERROR(VLOOKUP(J34,OFFSET($AG$2,,,COUNTIF($AG$2:$AG$50,"?*"),23),15,FALSE),"")</f>
        <v>17</v>
      </c>
      <c r="N35" s="353" t="str">
        <f ca="1">IFERROR(VLOOKUP(J34,OFFSET($AG$2,,,COUNTIF($AG$2:$AG$50,"?*"),23),16,FALSE),"")</f>
        <v>183/79</v>
      </c>
      <c r="O35" s="353"/>
      <c r="P35" s="353" t="str">
        <f ca="1">IFERROR(VLOOKUP(J34,OFFSET($AG$2,,,COUNTIF($AG$2:$AG$50,"?*"),23),18,FALSE),"")</f>
        <v>7 OZ, 9 (8+1), -1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361" t="str">
        <f ca="1">IFERROR(VLOOKUP(A34,OFFSET($AG$2,,,COUNTIF($AG$2:$AG$50,"?*"),23),18,FALSE),"")</f>
        <v>4 V, 3 P</v>
      </c>
      <c r="C36" s="361"/>
      <c r="D36" s="362">
        <f ca="1">IFERROR(VLOOKUP(A34,OFFSET($S$45,,,COUNTIF($S$45:$S$50,"?*"),14),5,FALSE),"")</f>
        <v>39</v>
      </c>
      <c r="E36" s="363"/>
      <c r="F36" s="17">
        <f ca="1">IFERROR(VLOOKUP(A34,OFFSET($S$45,,,COUNTIF($S$45:$S$50,"?*"),14),14,FALSE),"")</f>
        <v>71.32352941176471</v>
      </c>
      <c r="H36" s="352"/>
      <c r="J36" s="18">
        <f ca="1">IFERROR(IF(VLOOKUP(J34,OFFSET($AG$2,,,COUNTIF($AG$2:$AG$50,"?*"),23),7,FALSE)&lt;&gt;0,VLOOKUP(J34,OFFSET($AG$2,,,COUNTIF($AG$2:$AG$50,"?*"),23),7,FALSE),"?"),"")</f>
        <v>1</v>
      </c>
      <c r="K36" s="364" t="str">
        <f ca="1">IFERROR(VLOOKUP(J34,OFFSET($AG$2,,,COUNTIF($AG$2:$AG$50,"?*"),23),19,FALSE),"")</f>
        <v>7 OZ, 9 (8+1)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FBC Panthers Liberec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2010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410.52</v>
      </c>
      <c r="B37" s="355"/>
      <c r="C37" s="356">
        <f ca="1">IFERROR(VLOOKUP(A34,OFFSET($S$45,,,COUNTIF($S$45:$S$50,"?*"),14),13,FALSE),"")</f>
        <v>5.7000876936568261</v>
      </c>
      <c r="D37" s="357"/>
      <c r="E37" s="358" t="str">
        <f ca="1">IFERROR(VLOOKUP(A34,OFFSET($AG$2,,,COUNTIF($AG$2:$AG$50,"?*"),23),19,FALSE),"")</f>
        <v>7 OZ, 1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Liberec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2014</v>
      </c>
      <c r="E38" s="350"/>
      <c r="F38" s="19">
        <f ca="1">IFERROR(VLOOKUP(A34,OFFSET($S$45,,,COUNTIF($S$45:$S$50,"?*"),14),6,FALSE),"")</f>
        <v>0</v>
      </c>
      <c r="H38" s="352"/>
      <c r="J38" s="341" t="s">
        <v>233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>P</v>
      </c>
      <c r="K39" s="345">
        <f ca="1">IFERROR(IF(VLOOKUP(J38,OFFSET($AG$2,,,COUNTIF($AG$2:$AG$50,"?*"),23),2,FALSE)&lt;&gt;0,YEAR(VLOOKUP(J38,OFFSET($AG$2,,,COUNTIF($AG$2:$AG$50,"?*"),23),2,FALSE)),""),"")</f>
        <v>2001</v>
      </c>
      <c r="L39" s="353"/>
      <c r="M39" s="151">
        <f ca="1">IFERROR(VLOOKUP(J38,OFFSET($AG$2,,,COUNTIF($AG$2:$AG$50,"?*"),23),15,FALSE),"")</f>
        <v>20</v>
      </c>
      <c r="N39" s="353" t="str">
        <f ca="1">IFERROR(VLOOKUP(J38,OFFSET($AG$2,,,COUNTIF($AG$2:$AG$50,"?*"),23),16,FALSE),"")</f>
        <v>170/67</v>
      </c>
      <c r="O39" s="353"/>
      <c r="P39" s="353" t="str">
        <f ca="1">IFERROR(VLOOKUP(J38,OFFSET($AG$2,,,COUNTIF($AG$2:$AG$50,"?*"),23),18,FALSE),"")</f>
        <v>7 OZ, 0 (0+0), 0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812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>
        <f ca="1">IFERROR(IF(VLOOKUP(J38,OFFSET($AG$2,,,COUNTIF($AG$2:$AG$50,"?*"),23),7,FALSE)&lt;&gt;0,VLOOKUP(J38,OFFSET($AG$2,,,COUNTIF($AG$2:$AG$50,"?*"),23),7,FALSE),"?"),"")</f>
        <v>4</v>
      </c>
      <c r="K40" s="364" t="str">
        <f ca="1">IFERROR(VLOOKUP(J38,OFFSET($AG$2,,,COUNTIF($AG$2:$AG$50,"?*"),23),19,FALSE),"")</f>
        <v>21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Sokol Benátky nad Jizerou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2006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94" t="str">
        <f ca="1">IFERROR(VLOOKUP(A40,OFFSET($AG$2,,,COUNTIF($AG$2:$AG$50,"?*"),23),15,FALSE),"")</f>
        <v>?</v>
      </c>
      <c r="E41" s="335" t="str">
        <f ca="1">IFERROR(VLOOKUP(A40,OFFSET($AG$2,,,COUNTIF($AG$2:$AG$50,"?*"),23),16,FALSE),"")</f>
        <v>? / ?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61" t="str">
        <f ca="1">IFERROR(VLOOKUP(A40,OFFSET($AG$2,,,COUNTIF($AG$2:$AG$50,"?*"),23),18,FALSE),"")</f>
        <v>1 V, 1 P</v>
      </c>
      <c r="C42" s="361"/>
      <c r="D42" s="362">
        <f ca="1">IFERROR(VLOOKUP(A40,OFFSET($S$45,,,COUNTIF($S$45:$S$50,"?*"),14),5,FALSE),"")</f>
        <v>7</v>
      </c>
      <c r="E42" s="363"/>
      <c r="F42" s="17">
        <f ca="1">IFERROR(VLOOKUP(A40,OFFSET($S$45,,,COUNTIF($S$45:$S$50,"?*"),14),14,FALSE),"")</f>
        <v>77.41935483870968</v>
      </c>
      <c r="H42" s="352"/>
      <c r="J42" s="341"/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74.48</v>
      </c>
      <c r="B43" s="355"/>
      <c r="C43" s="356">
        <f ca="1">IFERROR(VLOOKUP(A40,OFFSET($S$45,,,COUNTIF($S$45:$S$50,"?*"),14),13,FALSE),"")</f>
        <v>5.6390977443609023</v>
      </c>
      <c r="D43" s="357"/>
      <c r="E43" s="358" t="str">
        <f ca="1">IFERROR(VLOOKUP(A40,OFFSET($AG$2,,,COUNTIF($AG$2:$AG$50,"?*"),23),19,FALSE),"")</f>
        <v>2 OZ, 0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?</v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>?</v>
      </c>
      <c r="E44" s="350"/>
      <c r="F44" s="19">
        <f ca="1">IFERROR(VLOOKUP(A40,OFFSET($S$45,,,COUNTIF($S$45:$S$50,"?*"),14),6,FALSE),"")</f>
        <v>0</v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232</v>
      </c>
      <c r="T45" s="102">
        <v>7</v>
      </c>
      <c r="U45" s="112">
        <v>410.52</v>
      </c>
      <c r="V45" s="102">
        <v>4</v>
      </c>
      <c r="W45" s="102">
        <v>39</v>
      </c>
      <c r="X45" s="102">
        <v>0</v>
      </c>
      <c r="Y45" s="102">
        <v>136</v>
      </c>
      <c r="Z45" s="102">
        <v>0</v>
      </c>
      <c r="AA45" s="102">
        <v>3</v>
      </c>
      <c r="AB45" s="102">
        <v>97</v>
      </c>
      <c r="AC45" s="102">
        <v>1</v>
      </c>
      <c r="AD45" s="102">
        <v>0</v>
      </c>
      <c r="AE45" s="112">
        <f>IF(S45&lt;&gt;"",IF(T45&gt;0,W45/(U45/60),0),"")</f>
        <v>5.7000876936568261</v>
      </c>
      <c r="AF45" s="112">
        <f>IF(S45&lt;&gt;"",IF(Y45&gt;0,(AB45/Y45)*100,"-"),"")</f>
        <v>71.32352941176471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812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251</v>
      </c>
      <c r="B47" s="382"/>
      <c r="C47" s="382"/>
      <c r="D47" s="382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81" t="s">
        <v>252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227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53</v>
      </c>
      <c r="B48" s="369" t="str">
        <f ca="1">IFERROR(IF(VLOOKUP(A47,OFFSET($BN$2,,,COUNTIF($BN$2:$BN$11,"?*"),5),4,FALSE)&lt;&gt;0,VLOOKUP(A47,OFFSET($BN$2,,,COUNTIF($BN$2:$BN$11,"?*"),5),4,FALSE),"-"),"")</f>
        <v>stříbro a bronz z MS</v>
      </c>
      <c r="C48" s="369"/>
      <c r="D48" s="369"/>
      <c r="E48" s="369"/>
      <c r="F48" s="369"/>
      <c r="G48" s="369"/>
      <c r="H48" s="369"/>
      <c r="I48" s="370"/>
      <c r="J48" s="92">
        <f ca="1">IFERROR(VLOOKUP(J47,OFFSET($BN$2,,,COUNTIF($BN$2:$BN$11,"?*"),5),5,FALSE),"")</f>
        <v>26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253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92">
        <f ca="1">IFERROR(VLOOKUP(J49,OFFSET($BN$2,,,COUNTIF($BN$2:$BN$11,"?*"),5),5,FALSE),"")</f>
        <v>42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28" priority="15" stopIfTrue="1" operator="equal">
      <formula>"OTR"</formula>
    </cfRule>
    <cfRule type="cellIs" dxfId="427" priority="16" stopIfTrue="1" operator="equal">
      <formula>"PAR"</formula>
    </cfRule>
    <cfRule type="cellIs" dxfId="426" priority="17" stopIfTrue="1" operator="equal">
      <formula>"CLP"</formula>
    </cfRule>
    <cfRule type="cellIs" dxfId="425" priority="18" stopIfTrue="1" operator="equal">
      <formula>"HAT"</formula>
    </cfRule>
    <cfRule type="cellIs" dxfId="424" priority="19" stopIfTrue="1" operator="equal">
      <formula>"LIB"</formula>
    </cfRule>
    <cfRule type="cellIs" dxfId="423" priority="20" stopIfTrue="1" operator="equal">
      <formula>"BA"</formula>
    </cfRule>
    <cfRule type="cellIs" dxfId="422" priority="21" stopIfTrue="1" operator="equal">
      <formula>"SPA"</formula>
    </cfRule>
    <cfRule type="cellIs" dxfId="421" priority="22" stopIfTrue="1" operator="equal">
      <formula>"OST"</formula>
    </cfRule>
    <cfRule type="cellIs" dxfId="420" priority="23" stopIfTrue="1" operator="equal">
      <formula>"BOH"</formula>
    </cfRule>
    <cfRule type="cellIs" dxfId="419" priority="24" stopIfTrue="1" operator="equal">
      <formula>"TAT"</formula>
    </cfRule>
    <cfRule type="cellIs" dxfId="418" priority="25" stopIfTrue="1" operator="equal">
      <formula>"MB"</formula>
    </cfRule>
    <cfRule type="cellIs" dxfId="417" priority="26" stopIfTrue="1" operator="equal">
      <formula>"VIT"</formula>
    </cfRule>
    <cfRule type="cellIs" dxfId="416" priority="27" stopIfTrue="1" operator="equal">
      <formula>"CHO"</formula>
    </cfRule>
    <cfRule type="cellIs" dxfId="415" priority="28" stopIfTrue="1" operator="equal">
      <formula>"SKV"</formula>
    </cfRule>
  </conditionalFormatting>
  <conditionalFormatting sqref="H19:K20">
    <cfRule type="cellIs" dxfId="414" priority="43" stopIfTrue="1" operator="equal">
      <formula>"OTR"</formula>
    </cfRule>
    <cfRule type="cellIs" dxfId="413" priority="44" stopIfTrue="1" operator="equal">
      <formula>"PAR"</formula>
    </cfRule>
    <cfRule type="cellIs" dxfId="412" priority="45" stopIfTrue="1" operator="equal">
      <formula>"CLP"</formula>
    </cfRule>
    <cfRule type="cellIs" dxfId="411" priority="46" stopIfTrue="1" operator="equal">
      <formula>"HAT"</formula>
    </cfRule>
    <cfRule type="cellIs" dxfId="410" priority="47" stopIfTrue="1" operator="equal">
      <formula>"LIB"</formula>
    </cfRule>
    <cfRule type="cellIs" dxfId="409" priority="48" stopIfTrue="1" operator="equal">
      <formula>"BA"</formula>
    </cfRule>
    <cfRule type="cellIs" dxfId="408" priority="49" stopIfTrue="1" operator="equal">
      <formula>"SPA"</formula>
    </cfRule>
    <cfRule type="cellIs" dxfId="407" priority="50" stopIfTrue="1" operator="equal">
      <formula>"OST"</formula>
    </cfRule>
    <cfRule type="cellIs" dxfId="406" priority="51" stopIfTrue="1" operator="equal">
      <formula>"BOH"</formula>
    </cfRule>
    <cfRule type="cellIs" dxfId="405" priority="52" stopIfTrue="1" operator="equal">
      <formula>"TAT"</formula>
    </cfRule>
    <cfRule type="cellIs" dxfId="404" priority="53" stopIfTrue="1" operator="equal">
      <formula>"MB"</formula>
    </cfRule>
    <cfRule type="cellIs" dxfId="403" priority="54" stopIfTrue="1" operator="equal">
      <formula>"VIT"</formula>
    </cfRule>
    <cfRule type="cellIs" dxfId="402" priority="55" stopIfTrue="1" operator="equal">
      <formula>"CHO"</formula>
    </cfRule>
    <cfRule type="cellIs" dxfId="401" priority="56" stopIfTrue="1" operator="equal">
      <formula>"SKV"</formula>
    </cfRule>
  </conditionalFormatting>
  <conditionalFormatting sqref="H8:K9">
    <cfRule type="cellIs" dxfId="400" priority="29" stopIfTrue="1" operator="equal">
      <formula>"OTR"</formula>
    </cfRule>
    <cfRule type="cellIs" dxfId="399" priority="30" stopIfTrue="1" operator="equal">
      <formula>"PAR"</formula>
    </cfRule>
    <cfRule type="cellIs" dxfId="398" priority="31" stopIfTrue="1" operator="equal">
      <formula>"CLP"</formula>
    </cfRule>
    <cfRule type="cellIs" dxfId="397" priority="32" stopIfTrue="1" operator="equal">
      <formula>"HAT"</formula>
    </cfRule>
    <cfRule type="cellIs" dxfId="396" priority="33" stopIfTrue="1" operator="equal">
      <formula>"LIB"</formula>
    </cfRule>
    <cfRule type="cellIs" dxfId="395" priority="34" stopIfTrue="1" operator="equal">
      <formula>"BA"</formula>
    </cfRule>
    <cfRule type="cellIs" dxfId="394" priority="35" stopIfTrue="1" operator="equal">
      <formula>"SPA"</formula>
    </cfRule>
    <cfRule type="cellIs" dxfId="393" priority="36" stopIfTrue="1" operator="equal">
      <formula>"OST"</formula>
    </cfRule>
    <cfRule type="cellIs" dxfId="392" priority="37" stopIfTrue="1" operator="equal">
      <formula>"BOH"</formula>
    </cfRule>
    <cfRule type="cellIs" dxfId="391" priority="38" stopIfTrue="1" operator="equal">
      <formula>"TAT"</formula>
    </cfRule>
    <cfRule type="cellIs" dxfId="390" priority="39" stopIfTrue="1" operator="equal">
      <formula>"MB"</formula>
    </cfRule>
    <cfRule type="cellIs" dxfId="389" priority="40" stopIfTrue="1" operator="equal">
      <formula>"VIT"</formula>
    </cfRule>
    <cfRule type="cellIs" dxfId="388" priority="41" stopIfTrue="1" operator="equal">
      <formula>"CHO"</formula>
    </cfRule>
    <cfRule type="cellIs" dxfId="387" priority="42" stopIfTrue="1" operator="equal">
      <formula>"SKV"</formula>
    </cfRule>
  </conditionalFormatting>
  <conditionalFormatting sqref="S2:S42">
    <cfRule type="expression" dxfId="386" priority="13" stopIfTrue="1">
      <formula>IFERROR(IF(VLOOKUP($S2,OFFSET($AG$2,,,COUNTIF($AG$2:$AG$50,"?*")),1,FALSE)&lt;&gt;0,1,0),0)&gt;0</formula>
    </cfRule>
  </conditionalFormatting>
  <conditionalFormatting sqref="S2:S42">
    <cfRule type="expression" dxfId="385" priority="14">
      <formula>IFERROR(IF(VLOOKUP($S2,OFFSET($AG$2,,,COUNTIF($AG$2:$AG$50,"?*")),1,FALSE)&lt;&gt;0,1,0),0)=0</formula>
    </cfRule>
  </conditionalFormatting>
  <conditionalFormatting sqref="S45:S50">
    <cfRule type="expression" dxfId="384" priority="12">
      <formula>IFERROR(IF(VLOOKUP($S45,OFFSET($AG$2,,,COUNTIF($AG$2:$AG$50,"?*")),1,FALSE)&lt;&gt;0,1,0),0)&gt;0</formula>
    </cfRule>
  </conditionalFormatting>
  <conditionalFormatting sqref="S45:S50">
    <cfRule type="expression" dxfId="383" priority="11">
      <formula>IFERROR(IF(VLOOKUP($S45,OFFSET($AG$2,,,COUNTIF($AG$2:$AG$50,"?*")),1,FALSE)&lt;&gt;0,1,0),0)=0</formula>
    </cfRule>
  </conditionalFormatting>
  <conditionalFormatting sqref="AG2:AG50">
    <cfRule type="expression" dxfId="382" priority="5" stopIfTrue="1">
      <formula>OR($AH2="",$AI2="",$AJ2="",$AK2="",$AL2="",$AM2="",$AN2="",$AQ2="",$AR2="",$AS2="",$AT2="")</formula>
    </cfRule>
    <cfRule type="expression" dxfId="381" priority="6" stopIfTrue="1">
      <formula>IFERROR(IF(VLOOKUP($AG2,OFFSET($S$2,,,COUNTIF($S$2:$S$42,"?*")),1,FALSE)&lt;&gt;0,1,0),0)=0</formula>
    </cfRule>
    <cfRule type="expression" dxfId="380" priority="7">
      <formula>IFERROR(IF(VLOOKUP($AG2,OFFSET($S$2,,,COUNTIF($S$2:$S$42,"?*")),1,FALSE)&lt;&gt;0,1,0),0)&gt;0</formula>
    </cfRule>
  </conditionalFormatting>
  <conditionalFormatting sqref="AG2:AK50 AM2:BC50">
    <cfRule type="expression" dxfId="379" priority="4">
      <formula>AND($AG2&lt;&gt;"",MOD(ROW($AG2),2)=0)</formula>
    </cfRule>
  </conditionalFormatting>
  <conditionalFormatting sqref="BN2:BR11">
    <cfRule type="expression" dxfId="378" priority="3">
      <formula>AND($BN2&lt;&gt;"",MOD(ROW($BN2),2)=0)</formula>
    </cfRule>
  </conditionalFormatting>
  <conditionalFormatting sqref="AL2:AL50">
    <cfRule type="expression" dxfId="377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390</v>
      </c>
      <c r="T2" s="102" t="s">
        <v>119</v>
      </c>
      <c r="U2" s="102">
        <v>7</v>
      </c>
      <c r="V2" s="102">
        <v>8</v>
      </c>
      <c r="W2" s="102">
        <v>0</v>
      </c>
      <c r="X2" s="102">
        <v>0</v>
      </c>
      <c r="Y2" s="102">
        <v>5</v>
      </c>
      <c r="Z2" s="102">
        <v>13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403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420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167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432</v>
      </c>
      <c r="BO2" s="122">
        <v>30091</v>
      </c>
      <c r="BP2" s="131" t="s">
        <v>256</v>
      </c>
      <c r="BQ2" s="132" t="s">
        <v>433</v>
      </c>
      <c r="BR2" s="127">
        <f ca="1">IF(BN2&lt;&gt;"",IF(BO2&lt;&gt;"",INT((TODAY()-BO2)/365),"?"),"")</f>
        <v>39</v>
      </c>
      <c r="BS2" s="380" t="s">
        <v>36</v>
      </c>
      <c r="BT2" s="104" t="s">
        <v>977</v>
      </c>
      <c r="BU2" s="103">
        <v>13</v>
      </c>
      <c r="BV2" s="104" t="str">
        <f>IFERROR(RIGHT(BT2,LEN(BT2)-SEARCH(" ",BT2)),"")</f>
        <v>Jiří Curney</v>
      </c>
      <c r="BW2" s="102">
        <f>IF(BT2&lt;&gt;0,_xlfn.NUMBERVALUE(BU2,","),"")</f>
        <v>13</v>
      </c>
      <c r="BX2" s="379" t="s">
        <v>211</v>
      </c>
      <c r="BY2" s="103" t="s">
        <v>872</v>
      </c>
      <c r="BZ2" s="103" t="s">
        <v>907</v>
      </c>
      <c r="CA2" s="115" t="s">
        <v>807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391</v>
      </c>
      <c r="U3" s="102">
        <v>7</v>
      </c>
      <c r="V3" s="102">
        <v>8</v>
      </c>
      <c r="W3" s="102">
        <v>0</v>
      </c>
      <c r="X3" s="102">
        <v>0</v>
      </c>
      <c r="Y3" s="102">
        <v>2</v>
      </c>
      <c r="Z3" s="102">
        <v>10</v>
      </c>
      <c r="AA3" s="102">
        <v>0</v>
      </c>
      <c r="AB3" s="102">
        <v>6</v>
      </c>
      <c r="AC3" s="102" t="str">
        <f t="shared" ca="1" si="0"/>
        <v>NE</v>
      </c>
      <c r="AG3" s="121" t="s">
        <v>398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149</v>
      </c>
      <c r="AQ3" s="123">
        <v>181</v>
      </c>
      <c r="AR3" s="123">
        <v>62</v>
      </c>
      <c r="AS3" s="126" t="s">
        <v>421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7 OZ, 9 (7+2), +1 ±</v>
      </c>
      <c r="AY3" s="129" t="str">
        <f t="shared" ca="1" si="2"/>
        <v>145 OZ, 123 (91+32)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434</v>
      </c>
      <c r="BO3" s="122">
        <v>33197</v>
      </c>
      <c r="BP3" s="131" t="s">
        <v>192</v>
      </c>
      <c r="BQ3" s="132" t="s">
        <v>435</v>
      </c>
      <c r="BR3" s="127">
        <f t="shared" ref="BR3:BR11" ca="1" si="12">IF(BN3&lt;&gt;"",IF(BO3&lt;&gt;"",INT((TODAY()-BO3)/365),"?"),"")</f>
        <v>30</v>
      </c>
      <c r="BS3" s="380"/>
      <c r="BT3" s="104" t="s">
        <v>978</v>
      </c>
      <c r="BU3" s="103">
        <v>10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10</v>
      </c>
      <c r="BX3" s="379"/>
      <c r="BY3" s="103" t="s">
        <v>1188</v>
      </c>
      <c r="BZ3" s="103" t="s">
        <v>901</v>
      </c>
      <c r="CA3" s="115" t="s">
        <v>1260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398</v>
      </c>
      <c r="U4" s="102">
        <v>7</v>
      </c>
      <c r="V4" s="102">
        <v>7</v>
      </c>
      <c r="W4" s="102">
        <v>0</v>
      </c>
      <c r="X4" s="102">
        <v>0</v>
      </c>
      <c r="Y4" s="102">
        <v>2</v>
      </c>
      <c r="Z4" s="102">
        <v>9</v>
      </c>
      <c r="AA4" s="102">
        <v>0</v>
      </c>
      <c r="AB4" s="102">
        <v>1</v>
      </c>
      <c r="AC4" s="102" t="str">
        <f t="shared" ca="1" si="0"/>
        <v>ANO</v>
      </c>
      <c r="AG4" s="121" t="s">
        <v>390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149</v>
      </c>
      <c r="AQ4" s="123">
        <v>180</v>
      </c>
      <c r="AR4" s="123">
        <v>77</v>
      </c>
      <c r="AS4" s="126" t="s">
        <v>422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7 OZ, 13 (8+5), +10 ±</v>
      </c>
      <c r="AY4" s="129" t="str">
        <f t="shared" ca="1" si="2"/>
        <v>342 OZ, 748 (411+337)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436</v>
      </c>
      <c r="BO4" s="122">
        <v>30597</v>
      </c>
      <c r="BP4" s="131" t="s">
        <v>257</v>
      </c>
      <c r="BQ4" s="132" t="s">
        <v>437</v>
      </c>
      <c r="BR4" s="127">
        <f t="shared" ca="1" si="12"/>
        <v>38</v>
      </c>
      <c r="BS4" s="380"/>
      <c r="BT4" s="104" t="s">
        <v>979</v>
      </c>
      <c r="BU4" s="103">
        <v>9</v>
      </c>
      <c r="BV4" s="104" t="str">
        <f t="shared" si="13"/>
        <v>Jakub Bína</v>
      </c>
      <c r="BW4" s="102">
        <f t="shared" si="14"/>
        <v>9</v>
      </c>
      <c r="BX4" s="379"/>
      <c r="BY4" s="103" t="s">
        <v>207</v>
      </c>
      <c r="BZ4" s="103" t="s">
        <v>905</v>
      </c>
      <c r="CA4" s="115" t="s">
        <v>976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395</v>
      </c>
      <c r="U5" s="102">
        <v>7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0</v>
      </c>
      <c r="AB5" s="102">
        <v>13</v>
      </c>
      <c r="AC5" s="102" t="str">
        <f t="shared" ca="1" si="0"/>
        <v>NE</v>
      </c>
      <c r="AG5" s="121" t="s">
        <v>409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308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438</v>
      </c>
      <c r="BO5" s="122">
        <v>34618</v>
      </c>
      <c r="BP5" s="131" t="s">
        <v>439</v>
      </c>
      <c r="BQ5" s="132" t="s">
        <v>440</v>
      </c>
      <c r="BR5" s="127">
        <f t="shared" ca="1" si="12"/>
        <v>27</v>
      </c>
      <c r="BS5" s="380"/>
      <c r="BT5" s="104" t="s">
        <v>874</v>
      </c>
      <c r="BU5" s="103">
        <v>9</v>
      </c>
      <c r="BV5" s="104" t="str">
        <f t="shared" si="13"/>
        <v>Dominik Beneš</v>
      </c>
      <c r="BW5" s="102">
        <f t="shared" si="14"/>
        <v>9</v>
      </c>
      <c r="BX5" s="379"/>
      <c r="BY5" s="103" t="s">
        <v>262</v>
      </c>
      <c r="BZ5" s="103" t="s">
        <v>946</v>
      </c>
      <c r="CA5" s="115" t="s">
        <v>495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392</v>
      </c>
      <c r="U6" s="102">
        <v>7</v>
      </c>
      <c r="V6" s="102">
        <v>6</v>
      </c>
      <c r="W6" s="102">
        <v>0</v>
      </c>
      <c r="X6" s="102">
        <v>0</v>
      </c>
      <c r="Y6" s="102">
        <v>2</v>
      </c>
      <c r="Z6" s="102">
        <v>8</v>
      </c>
      <c r="AA6" s="102">
        <v>6</v>
      </c>
      <c r="AB6" s="102">
        <v>8</v>
      </c>
      <c r="AC6" s="102" t="str">
        <f t="shared" ca="1" si="0"/>
        <v>ANO</v>
      </c>
      <c r="AG6" s="121" t="s">
        <v>410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149</v>
      </c>
      <c r="AQ6" s="123">
        <v>178</v>
      </c>
      <c r="AR6" s="123">
        <v>64</v>
      </c>
      <c r="AS6" s="126" t="s">
        <v>423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441</v>
      </c>
      <c r="BO6" s="122">
        <v>33694</v>
      </c>
      <c r="BP6" s="131" t="s">
        <v>442</v>
      </c>
      <c r="BQ6" s="132"/>
      <c r="BR6" s="127">
        <f t="shared" ca="1" si="12"/>
        <v>29</v>
      </c>
      <c r="BS6" s="380"/>
      <c r="BT6" s="104" t="s">
        <v>1262</v>
      </c>
      <c r="BU6" s="103">
        <v>8</v>
      </c>
      <c r="BV6" s="104" t="str">
        <f t="shared" si="13"/>
        <v>Martin Tokoš</v>
      </c>
      <c r="BW6" s="102">
        <f t="shared" si="14"/>
        <v>8</v>
      </c>
      <c r="BX6" s="379"/>
      <c r="BY6" s="103" t="s">
        <v>851</v>
      </c>
      <c r="BZ6" s="103" t="s">
        <v>897</v>
      </c>
      <c r="CA6" s="115" t="s">
        <v>871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400</v>
      </c>
      <c r="T7" s="102" t="s">
        <v>64</v>
      </c>
      <c r="U7" s="102">
        <v>7</v>
      </c>
      <c r="V7" s="102">
        <v>1</v>
      </c>
      <c r="W7" s="102">
        <v>0</v>
      </c>
      <c r="X7" s="102">
        <v>0</v>
      </c>
      <c r="Y7" s="102">
        <v>6</v>
      </c>
      <c r="Z7" s="102">
        <v>7</v>
      </c>
      <c r="AA7" s="102">
        <v>8</v>
      </c>
      <c r="AB7" s="102">
        <v>3</v>
      </c>
      <c r="AC7" s="102" t="str">
        <f t="shared" ca="1" si="0"/>
        <v>ANO</v>
      </c>
      <c r="AG7" s="121" t="s">
        <v>394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420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7 OZ, 4 (0+4), +6 ±</v>
      </c>
      <c r="AY7" s="129" t="str">
        <f t="shared" ca="1" si="2"/>
        <v>214 OZ, 139 (78+61)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443</v>
      </c>
      <c r="BU7" s="103" t="s">
        <v>1263</v>
      </c>
      <c r="BV7" s="104" t="str">
        <f t="shared" si="13"/>
        <v>Lukáš Bauer</v>
      </c>
      <c r="BW7" s="112">
        <f t="shared" si="14"/>
        <v>3.26</v>
      </c>
      <c r="BX7" s="379" t="s">
        <v>212</v>
      </c>
      <c r="BY7" s="103" t="s">
        <v>906</v>
      </c>
      <c r="BZ7" s="103" t="s">
        <v>936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393</v>
      </c>
      <c r="T8" s="102" t="s">
        <v>119</v>
      </c>
      <c r="U8" s="102">
        <v>4</v>
      </c>
      <c r="V8" s="102">
        <v>4</v>
      </c>
      <c r="W8" s="102">
        <v>2</v>
      </c>
      <c r="X8" s="102">
        <v>0</v>
      </c>
      <c r="Y8" s="102">
        <v>2</v>
      </c>
      <c r="Z8" s="102">
        <v>6</v>
      </c>
      <c r="AA8" s="102">
        <v>0</v>
      </c>
      <c r="AB8" s="102">
        <v>8</v>
      </c>
      <c r="AC8" s="102" t="str">
        <f t="shared" ca="1" si="0"/>
        <v>ANO</v>
      </c>
      <c r="AG8" s="121" t="s">
        <v>411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149</v>
      </c>
      <c r="AQ8" s="123">
        <v>187</v>
      </c>
      <c r="AR8" s="123">
        <v>80</v>
      </c>
      <c r="AS8" s="126" t="s">
        <v>424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5 OZ, 5 (1+4), +10 ±</v>
      </c>
      <c r="AY8" s="129" t="str">
        <f t="shared" ca="1" si="2"/>
        <v>18 OZ, 16 (8+8)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444</v>
      </c>
      <c r="BU8" s="103" t="s">
        <v>199</v>
      </c>
      <c r="BV8" s="104" t="str">
        <f t="shared" si="13"/>
        <v>Ondřej Tomšík</v>
      </c>
      <c r="BW8" s="112">
        <f t="shared" si="14"/>
        <v>0</v>
      </c>
      <c r="BX8" s="379"/>
      <c r="BY8" s="103" t="s">
        <v>908</v>
      </c>
      <c r="BZ8" s="103" t="s">
        <v>903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396</v>
      </c>
      <c r="T9" s="102" t="s">
        <v>119</v>
      </c>
      <c r="U9" s="102">
        <v>7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0</v>
      </c>
      <c r="AB9" s="102">
        <v>5</v>
      </c>
      <c r="AC9" s="102" t="str">
        <f t="shared" ca="1" si="0"/>
        <v>ANO</v>
      </c>
      <c r="AG9" s="121" t="s">
        <v>412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938</v>
      </c>
      <c r="BZ9" s="103" t="s">
        <v>921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399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6</v>
      </c>
      <c r="AC10" s="102" t="str">
        <f t="shared" ca="1" si="0"/>
        <v>ANO</v>
      </c>
      <c r="AG10" s="121" t="s">
        <v>396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425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7 OZ, 6 (4+2), +5 ±</v>
      </c>
      <c r="AY10" s="129" t="str">
        <f t="shared" ca="1" si="2"/>
        <v>217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920</v>
      </c>
      <c r="CA10" s="115" t="s">
        <v>205</v>
      </c>
    </row>
    <row r="11" spans="1:79" ht="15" customHeight="1" thickTop="1" thickBot="1" x14ac:dyDescent="0.25">
      <c r="R11" s="13"/>
      <c r="S11" s="110" t="s">
        <v>411</v>
      </c>
      <c r="U11" s="102">
        <v>5</v>
      </c>
      <c r="V11" s="102">
        <v>1</v>
      </c>
      <c r="W11" s="102">
        <v>0</v>
      </c>
      <c r="X11" s="102">
        <v>0</v>
      </c>
      <c r="Y11" s="102">
        <v>4</v>
      </c>
      <c r="Z11" s="102">
        <v>5</v>
      </c>
      <c r="AA11" s="102">
        <v>4</v>
      </c>
      <c r="AB11" s="102">
        <v>10</v>
      </c>
      <c r="AC11" s="102" t="str">
        <f t="shared" ca="1" si="0"/>
        <v>ANO</v>
      </c>
      <c r="AG11" s="121" t="s">
        <v>413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149</v>
      </c>
      <c r="AQ11" s="123">
        <v>183</v>
      </c>
      <c r="AR11" s="123">
        <v>73</v>
      </c>
      <c r="AS11" s="126" t="s">
        <v>425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1221</v>
      </c>
      <c r="BZ11" s="103" t="s">
        <v>902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402</v>
      </c>
      <c r="U12" s="102">
        <v>5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4</v>
      </c>
      <c r="AB12" s="102">
        <v>2</v>
      </c>
      <c r="AC12" s="102" t="str">
        <f t="shared" ca="1" si="0"/>
        <v>ANO</v>
      </c>
      <c r="AG12" s="121" t="s">
        <v>273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149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977</v>
      </c>
      <c r="BU12" s="103">
        <v>8</v>
      </c>
      <c r="BV12" s="104" t="str">
        <f t="shared" si="13"/>
        <v>Jiří Curney</v>
      </c>
      <c r="BW12" s="102">
        <f t="shared" si="14"/>
        <v>8</v>
      </c>
      <c r="BX12" s="120" t="s">
        <v>210</v>
      </c>
      <c r="BY12" s="100" t="s">
        <v>1261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401</v>
      </c>
      <c r="T13" s="102" t="s">
        <v>64</v>
      </c>
      <c r="U13" s="102">
        <v>7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4</v>
      </c>
      <c r="AC13" s="102" t="str">
        <f t="shared" ca="1" si="0"/>
        <v>NE</v>
      </c>
      <c r="AG13" s="121" t="s">
        <v>406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149</v>
      </c>
      <c r="AQ13" s="123">
        <v>187</v>
      </c>
      <c r="AR13" s="123">
        <v>71</v>
      </c>
      <c r="AS13" s="126" t="s">
        <v>426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7 OZ, 0 (0+0), -1 ±</v>
      </c>
      <c r="AY13" s="129" t="str">
        <f t="shared" ca="1" si="2"/>
        <v>37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978</v>
      </c>
      <c r="BU13" s="103">
        <v>8</v>
      </c>
      <c r="BV13" s="104" t="str">
        <f t="shared" si="13"/>
        <v>Matěj Pěnička</v>
      </c>
      <c r="BW13" s="102">
        <f t="shared" si="14"/>
        <v>8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394</v>
      </c>
      <c r="T14" s="102" t="s">
        <v>64</v>
      </c>
      <c r="U14" s="102">
        <v>7</v>
      </c>
      <c r="V14" s="102">
        <v>0</v>
      </c>
      <c r="W14" s="102">
        <v>0</v>
      </c>
      <c r="X14" s="102">
        <v>0</v>
      </c>
      <c r="Y14" s="102">
        <v>4</v>
      </c>
      <c r="Z14" s="102">
        <v>4</v>
      </c>
      <c r="AA14" s="102">
        <v>0</v>
      </c>
      <c r="AB14" s="102">
        <v>6</v>
      </c>
      <c r="AC14" s="102" t="str">
        <f t="shared" ca="1" si="0"/>
        <v>ANO</v>
      </c>
      <c r="AG14" s="121" t="s">
        <v>414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149</v>
      </c>
      <c r="AQ14" s="123">
        <v>186</v>
      </c>
      <c r="AR14" s="123">
        <v>88</v>
      </c>
      <c r="AS14" s="126" t="s">
        <v>364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979</v>
      </c>
      <c r="BU14" s="103">
        <v>7</v>
      </c>
      <c r="BV14" s="104" t="str">
        <f t="shared" si="13"/>
        <v>Jakub Bína</v>
      </c>
      <c r="BW14" s="102">
        <f t="shared" si="14"/>
        <v>7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407</v>
      </c>
      <c r="U15" s="102">
        <v>7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7</v>
      </c>
      <c r="AC15" s="102" t="str">
        <f t="shared" ca="1" si="0"/>
        <v>NE</v>
      </c>
      <c r="AG15" s="121" t="s">
        <v>415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149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873</v>
      </c>
      <c r="BU15" s="103">
        <v>6</v>
      </c>
      <c r="BV15" s="104" t="str">
        <f t="shared" si="13"/>
        <v>Martin Tokoš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404</v>
      </c>
      <c r="U16" s="102">
        <v>7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416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427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875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U17" s="102">
        <v>7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0</v>
      </c>
      <c r="AB17" s="102">
        <v>6</v>
      </c>
      <c r="AC17" s="102" t="str">
        <f t="shared" ca="1" si="0"/>
        <v>ANO</v>
      </c>
      <c r="AG17" s="121" t="s">
        <v>122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272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443</v>
      </c>
      <c r="BU17" s="103">
        <v>6</v>
      </c>
      <c r="BV17" s="104" t="str">
        <f t="shared" si="13"/>
        <v>Lukáš Bauer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397</v>
      </c>
      <c r="T18" s="102" t="s">
        <v>119</v>
      </c>
      <c r="U18" s="102">
        <v>5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1</v>
      </c>
      <c r="AC18" s="102" t="str">
        <f t="shared" ca="1" si="0"/>
        <v>ANO</v>
      </c>
      <c r="AG18" s="121" t="s">
        <v>393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166</v>
      </c>
      <c r="AP18" s="125" t="s">
        <v>27</v>
      </c>
      <c r="AQ18" s="123">
        <v>181</v>
      </c>
      <c r="AR18" s="123">
        <v>76</v>
      </c>
      <c r="AS18" s="126" t="s">
        <v>428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444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MB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870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230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426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408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417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149</v>
      </c>
      <c r="AQ20" s="123">
        <v>182</v>
      </c>
      <c r="AR20" s="123">
        <v>71</v>
      </c>
      <c r="AS20" s="126" t="s">
        <v>429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403</v>
      </c>
      <c r="T21" s="102" t="s">
        <v>117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400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364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7 OZ, 7 (1+6), +3 ±</v>
      </c>
      <c r="AY21" s="129" t="str">
        <f t="shared" ca="1" si="2"/>
        <v>190 OZ, 190 (88+102)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T22" s="102" t="s">
        <v>119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402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316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5 OZ, 4 (2+2), +2 ±</v>
      </c>
      <c r="AY22" s="129" t="str">
        <f t="shared" ca="1" si="2"/>
        <v>146 OZ, 192 (103+89)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980</v>
      </c>
      <c r="BU22" s="103">
        <v>6</v>
      </c>
      <c r="BV22" s="104" t="str">
        <f t="shared" si="13"/>
        <v>Dominik Beneš</v>
      </c>
      <c r="BW22" s="102">
        <f t="shared" si="14"/>
        <v>6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118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241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1264</v>
      </c>
      <c r="BU23" s="103">
        <v>6</v>
      </c>
      <c r="BV23" s="104" t="str">
        <f t="shared" si="13"/>
        <v>Patrik Suchánek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418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149</v>
      </c>
      <c r="AQ24" s="123">
        <v>192</v>
      </c>
      <c r="AR24" s="123">
        <v>90</v>
      </c>
      <c r="AS24" s="126" t="s">
        <v>430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1265</v>
      </c>
      <c r="BU24" s="103">
        <v>5</v>
      </c>
      <c r="BV24" s="104" t="str">
        <f t="shared" si="13"/>
        <v>Jiří Curney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392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149</v>
      </c>
      <c r="AQ25" s="123">
        <v>183</v>
      </c>
      <c r="AR25" s="123">
        <v>76</v>
      </c>
      <c r="AS25" s="126" t="s">
        <v>431</v>
      </c>
      <c r="AT25" s="123">
        <v>1998</v>
      </c>
      <c r="AU25" s="127">
        <f ca="1">IF(AG25&lt;&gt;"",IF(AH25&lt;&gt;"",INT((TODAY()-AH25)/365),"?"),"")</f>
        <v>31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7 OZ, 8 (6+2), +8 ±</v>
      </c>
      <c r="AY25" s="129" t="str">
        <f t="shared" ca="1" si="16"/>
        <v>240 OZ, 303 (189+114)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1266</v>
      </c>
      <c r="BU25" s="103">
        <v>4</v>
      </c>
      <c r="BV25" s="104" t="str">
        <f t="shared" si="13"/>
        <v>Adam Hemerka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399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149</v>
      </c>
      <c r="AQ26" s="123">
        <v>181</v>
      </c>
      <c r="AR26" s="123">
        <v>85</v>
      </c>
      <c r="AS26" s="126" t="s">
        <v>431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7 OZ, 6 (2+4), +6 ±</v>
      </c>
      <c r="AY26" s="129" t="str">
        <f t="shared" ca="1" si="16"/>
        <v>225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1267</v>
      </c>
      <c r="BU26" s="103">
        <v>4</v>
      </c>
      <c r="BV26" s="104" t="str">
        <f t="shared" si="13"/>
        <v>Jakub Gruber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408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241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981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419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149</v>
      </c>
      <c r="AQ28" s="123"/>
      <c r="AR28" s="123"/>
      <c r="AS28" s="126" t="s">
        <v>241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982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405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149</v>
      </c>
      <c r="AQ29" s="123">
        <v>186</v>
      </c>
      <c r="AR29" s="123">
        <v>78</v>
      </c>
      <c r="AS29" s="126" t="s">
        <v>426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2 (1+1), +6 ±</v>
      </c>
      <c r="AY29" s="129" t="str">
        <f t="shared" ca="1" si="16"/>
        <v>129 OZ, 45 (19+26)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983</v>
      </c>
      <c r="BU29" s="103">
        <v>4</v>
      </c>
      <c r="BV29" s="104" t="str">
        <f t="shared" si="13"/>
        <v>Adam Hemerka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MB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397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149</v>
      </c>
      <c r="AQ30" s="123">
        <v>185</v>
      </c>
      <c r="AR30" s="123">
        <v>71</v>
      </c>
      <c r="AS30" s="126" t="s">
        <v>426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5 OZ, 1 (1+0), +1 ±</v>
      </c>
      <c r="AY30" s="129" t="str">
        <f t="shared" ca="1" si="16"/>
        <v>30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984</v>
      </c>
      <c r="BU30" s="103">
        <v>4</v>
      </c>
      <c r="BV30" s="104" t="str">
        <f t="shared" si="13"/>
        <v>Daniel Šebek</v>
      </c>
      <c r="BW30" s="102">
        <f t="shared" si="14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985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403</v>
      </c>
      <c r="T45" s="102">
        <v>7</v>
      </c>
      <c r="U45" s="112">
        <v>423.2</v>
      </c>
      <c r="V45" s="102">
        <v>6</v>
      </c>
      <c r="W45" s="102">
        <v>23</v>
      </c>
      <c r="X45" s="102">
        <v>0</v>
      </c>
      <c r="Y45" s="102">
        <v>100</v>
      </c>
      <c r="Z45" s="102">
        <v>0</v>
      </c>
      <c r="AA45" s="102">
        <v>1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3.2608695652173916</v>
      </c>
      <c r="AF45" s="112">
        <f>IF(S45&lt;&gt;"",IF(Y45&gt;0,(AB45/Y45)*100,"-"),"")</f>
        <v>77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408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76" priority="12" stopIfTrue="1" operator="equal">
      <formula>"OTR"</formula>
    </cfRule>
    <cfRule type="cellIs" dxfId="375" priority="13" stopIfTrue="1" operator="equal">
      <formula>"PAR"</formula>
    </cfRule>
    <cfRule type="cellIs" dxfId="374" priority="14" stopIfTrue="1" operator="equal">
      <formula>"CLP"</formula>
    </cfRule>
    <cfRule type="cellIs" dxfId="373" priority="15" stopIfTrue="1" operator="equal">
      <formula>"HAT"</formula>
    </cfRule>
    <cfRule type="cellIs" dxfId="372" priority="16" stopIfTrue="1" operator="equal">
      <formula>"LIB"</formula>
    </cfRule>
    <cfRule type="cellIs" dxfId="371" priority="17" stopIfTrue="1" operator="equal">
      <formula>"BA"</formula>
    </cfRule>
    <cfRule type="cellIs" dxfId="370" priority="18" stopIfTrue="1" operator="equal">
      <formula>"SPA"</formula>
    </cfRule>
    <cfRule type="cellIs" dxfId="369" priority="19" stopIfTrue="1" operator="equal">
      <formula>"OST"</formula>
    </cfRule>
    <cfRule type="cellIs" dxfId="368" priority="20" stopIfTrue="1" operator="equal">
      <formula>"BOH"</formula>
    </cfRule>
    <cfRule type="cellIs" dxfId="367" priority="21" stopIfTrue="1" operator="equal">
      <formula>"TAT"</formula>
    </cfRule>
    <cfRule type="cellIs" dxfId="366" priority="22" stopIfTrue="1" operator="equal">
      <formula>"MB"</formula>
    </cfRule>
    <cfRule type="cellIs" dxfId="365" priority="23" stopIfTrue="1" operator="equal">
      <formula>"VIT"</formula>
    </cfRule>
    <cfRule type="cellIs" dxfId="364" priority="24" stopIfTrue="1" operator="equal">
      <formula>"CHO"</formula>
    </cfRule>
    <cfRule type="cellIs" dxfId="363" priority="25" stopIfTrue="1" operator="equal">
      <formula>"SKV"</formula>
    </cfRule>
  </conditionalFormatting>
  <conditionalFormatting sqref="H19:K20">
    <cfRule type="cellIs" dxfId="362" priority="40" stopIfTrue="1" operator="equal">
      <formula>"OTR"</formula>
    </cfRule>
    <cfRule type="cellIs" dxfId="361" priority="41" stopIfTrue="1" operator="equal">
      <formula>"PAR"</formula>
    </cfRule>
    <cfRule type="cellIs" dxfId="360" priority="42" stopIfTrue="1" operator="equal">
      <formula>"CLP"</formula>
    </cfRule>
    <cfRule type="cellIs" dxfId="359" priority="43" stopIfTrue="1" operator="equal">
      <formula>"HAT"</formula>
    </cfRule>
    <cfRule type="cellIs" dxfId="358" priority="44" stopIfTrue="1" operator="equal">
      <formula>"LIB"</formula>
    </cfRule>
    <cfRule type="cellIs" dxfId="357" priority="45" stopIfTrue="1" operator="equal">
      <formula>"BA"</formula>
    </cfRule>
    <cfRule type="cellIs" dxfId="356" priority="46" stopIfTrue="1" operator="equal">
      <formula>"SPA"</formula>
    </cfRule>
    <cfRule type="cellIs" dxfId="355" priority="47" stopIfTrue="1" operator="equal">
      <formula>"OST"</formula>
    </cfRule>
    <cfRule type="cellIs" dxfId="354" priority="48" stopIfTrue="1" operator="equal">
      <formula>"BOH"</formula>
    </cfRule>
    <cfRule type="cellIs" dxfId="353" priority="49" stopIfTrue="1" operator="equal">
      <formula>"TAT"</formula>
    </cfRule>
    <cfRule type="cellIs" dxfId="352" priority="50" stopIfTrue="1" operator="equal">
      <formula>"MB"</formula>
    </cfRule>
    <cfRule type="cellIs" dxfId="351" priority="51" stopIfTrue="1" operator="equal">
      <formula>"VIT"</formula>
    </cfRule>
    <cfRule type="cellIs" dxfId="350" priority="52" stopIfTrue="1" operator="equal">
      <formula>"CHO"</formula>
    </cfRule>
    <cfRule type="cellIs" dxfId="349" priority="53" stopIfTrue="1" operator="equal">
      <formula>"SKV"</formula>
    </cfRule>
  </conditionalFormatting>
  <conditionalFormatting sqref="H8:K9">
    <cfRule type="cellIs" dxfId="348" priority="26" stopIfTrue="1" operator="equal">
      <formula>"OTR"</formula>
    </cfRule>
    <cfRule type="cellIs" dxfId="347" priority="27" stopIfTrue="1" operator="equal">
      <formula>"PAR"</formula>
    </cfRule>
    <cfRule type="cellIs" dxfId="346" priority="28" stopIfTrue="1" operator="equal">
      <formula>"CLP"</formula>
    </cfRule>
    <cfRule type="cellIs" dxfId="345" priority="29" stopIfTrue="1" operator="equal">
      <formula>"HAT"</formula>
    </cfRule>
    <cfRule type="cellIs" dxfId="344" priority="30" stopIfTrue="1" operator="equal">
      <formula>"LIB"</formula>
    </cfRule>
    <cfRule type="cellIs" dxfId="343" priority="31" stopIfTrue="1" operator="equal">
      <formula>"BA"</formula>
    </cfRule>
    <cfRule type="cellIs" dxfId="342" priority="32" stopIfTrue="1" operator="equal">
      <formula>"SPA"</formula>
    </cfRule>
    <cfRule type="cellIs" dxfId="341" priority="33" stopIfTrue="1" operator="equal">
      <formula>"OST"</formula>
    </cfRule>
    <cfRule type="cellIs" dxfId="340" priority="34" stopIfTrue="1" operator="equal">
      <formula>"BOH"</formula>
    </cfRule>
    <cfRule type="cellIs" dxfId="339" priority="35" stopIfTrue="1" operator="equal">
      <formula>"TAT"</formula>
    </cfRule>
    <cfRule type="cellIs" dxfId="338" priority="36" stopIfTrue="1" operator="equal">
      <formula>"MB"</formula>
    </cfRule>
    <cfRule type="cellIs" dxfId="337" priority="37" stopIfTrue="1" operator="equal">
      <formula>"VIT"</formula>
    </cfRule>
    <cfRule type="cellIs" dxfId="336" priority="38" stopIfTrue="1" operator="equal">
      <formula>"CHO"</formula>
    </cfRule>
    <cfRule type="cellIs" dxfId="335" priority="39" stopIfTrue="1" operator="equal">
      <formula>"SKV"</formula>
    </cfRule>
  </conditionalFormatting>
  <conditionalFormatting sqref="S2:S42">
    <cfRule type="expression" dxfId="334" priority="10" stopIfTrue="1">
      <formula>IFERROR(IF(VLOOKUP($S2,OFFSET($AG$2,,,COUNTIF($AG$2:$AG$50,"?*")),1,FALSE)&lt;&gt;0,1,0),0)&gt;0</formula>
    </cfRule>
  </conditionalFormatting>
  <conditionalFormatting sqref="S2:S42">
    <cfRule type="expression" dxfId="333" priority="11">
      <formula>IFERROR(IF(VLOOKUP($S2,OFFSET($AG$2,,,COUNTIF($AG$2:$AG$50,"?*")),1,FALSE)&lt;&gt;0,1,0),0)=0</formula>
    </cfRule>
  </conditionalFormatting>
  <conditionalFormatting sqref="S45:S50">
    <cfRule type="expression" dxfId="332" priority="9">
      <formula>IFERROR(IF(VLOOKUP($S45,OFFSET($AG$2,,,COUNTIF($AG$2:$AG$50,"?*")),1,FALSE)&lt;&gt;0,1,0),0)&gt;0</formula>
    </cfRule>
  </conditionalFormatting>
  <conditionalFormatting sqref="S45:S50">
    <cfRule type="expression" dxfId="331" priority="8">
      <formula>IFERROR(IF(VLOOKUP($S45,OFFSET($AG$2,,,COUNTIF($AG$2:$AG$50,"?*")),1,FALSE)&lt;&gt;0,1,0),0)=0</formula>
    </cfRule>
  </conditionalFormatting>
  <conditionalFormatting sqref="AG2:AG50">
    <cfRule type="expression" dxfId="330" priority="5" stopIfTrue="1">
      <formula>OR($AH2="",$AI2="",$AJ2="",$AK2="",$AL2="",$AM2="",$AN2="",$AQ2="",$AR2="",$AS2="",$AT2="")</formula>
    </cfRule>
    <cfRule type="expression" dxfId="329" priority="6" stopIfTrue="1">
      <formula>IFERROR(IF(VLOOKUP($AG2,OFFSET($S$2,,,COUNTIF($S$2:$S$42,"?*")),1,FALSE)&lt;&gt;0,1,0),0)=0</formula>
    </cfRule>
    <cfRule type="expression" dxfId="328" priority="7">
      <formula>IFERROR(IF(VLOOKUP($AG2,OFFSET($S$2,,,COUNTIF($S$2:$S$42,"?*")),1,FALSE)&lt;&gt;0,1,0),0)&gt;0</formula>
    </cfRule>
  </conditionalFormatting>
  <conditionalFormatting sqref="AG2:AK50 AM2:BC50">
    <cfRule type="expression" dxfId="327" priority="4">
      <formula>AND($AG2&lt;&gt;"",MOD(ROW($AG2),2)=0)</formula>
    </cfRule>
  </conditionalFormatting>
  <conditionalFormatting sqref="BN2:BR11">
    <cfRule type="expression" dxfId="326" priority="3">
      <formula>AND($BN2&lt;&gt;"",MOD(ROW($BN2),2)=0)</formula>
    </cfRule>
  </conditionalFormatting>
  <conditionalFormatting sqref="AL2:AL50">
    <cfRule type="expression" dxfId="325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754</v>
      </c>
      <c r="U2" s="102">
        <v>7</v>
      </c>
      <c r="V2" s="102">
        <v>11</v>
      </c>
      <c r="W2" s="102">
        <v>4</v>
      </c>
      <c r="X2" s="102">
        <v>0</v>
      </c>
      <c r="Y2" s="102">
        <v>6</v>
      </c>
      <c r="Z2" s="102">
        <v>17</v>
      </c>
      <c r="AA2" s="102">
        <v>0</v>
      </c>
      <c r="AB2" s="102">
        <v>15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4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768</v>
      </c>
      <c r="BU2" s="103">
        <v>17</v>
      </c>
      <c r="BV2" s="104" t="str">
        <f>IFERROR(RIGHT(BT2,LEN(BT2)-SEARCH(" ",BT2)),"")</f>
        <v>Wojciech Malajka</v>
      </c>
      <c r="BW2" s="102">
        <f>IF(BT2&lt;&gt;0,_xlfn.NUMBERVALUE(BU2,","),"")</f>
        <v>17</v>
      </c>
      <c r="BX2" s="379" t="s">
        <v>211</v>
      </c>
      <c r="BY2" s="103" t="s">
        <v>795</v>
      </c>
      <c r="BZ2" s="103" t="s">
        <v>898</v>
      </c>
      <c r="CA2" s="115" t="s">
        <v>1275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755</v>
      </c>
      <c r="T3" s="102" t="s">
        <v>119</v>
      </c>
      <c r="U3" s="102">
        <v>7</v>
      </c>
      <c r="V3" s="102">
        <v>6</v>
      </c>
      <c r="W3" s="102">
        <v>3</v>
      </c>
      <c r="X3" s="102">
        <v>0</v>
      </c>
      <c r="Y3" s="102">
        <v>9</v>
      </c>
      <c r="Z3" s="102">
        <v>15</v>
      </c>
      <c r="AA3" s="102">
        <v>0</v>
      </c>
      <c r="AB3" s="102">
        <v>2</v>
      </c>
      <c r="AC3" s="102" t="str">
        <f t="shared" ca="1" si="0"/>
        <v>ANO</v>
      </c>
      <c r="AG3" s="121" t="s">
        <v>516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7 OZ, 5 (5+0), +12 ±</v>
      </c>
      <c r="AY3" s="129" t="str">
        <f t="shared" ca="1" si="2"/>
        <v>7 OZ, 5 (5+0)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988</v>
      </c>
      <c r="BU3" s="103">
        <v>15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15</v>
      </c>
      <c r="BX3" s="379"/>
      <c r="BY3" s="103" t="s">
        <v>1188</v>
      </c>
      <c r="BZ3" s="103" t="s">
        <v>958</v>
      </c>
      <c r="CA3" s="115" t="s">
        <v>1276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356</v>
      </c>
      <c r="T4" s="102" t="s">
        <v>64</v>
      </c>
      <c r="U4" s="102">
        <v>7</v>
      </c>
      <c r="V4" s="102">
        <v>4</v>
      </c>
      <c r="W4" s="102">
        <v>0</v>
      </c>
      <c r="X4" s="102">
        <v>0</v>
      </c>
      <c r="Y4" s="102">
        <v>10</v>
      </c>
      <c r="Z4" s="102">
        <v>14</v>
      </c>
      <c r="AA4" s="102">
        <v>0</v>
      </c>
      <c r="AB4" s="102">
        <v>13</v>
      </c>
      <c r="AC4" s="102" t="str">
        <f t="shared" ca="1" si="0"/>
        <v>ANO</v>
      </c>
      <c r="AG4" s="121" t="s">
        <v>763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7 OZ, 1 (0+1), -4 ±</v>
      </c>
      <c r="AY4" s="129" t="str">
        <f t="shared" ca="1" si="2"/>
        <v>7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825</v>
      </c>
      <c r="BU4" s="103">
        <v>14</v>
      </c>
      <c r="BV4" s="104" t="str">
        <f t="shared" si="13"/>
        <v>Šimon Kuczera</v>
      </c>
      <c r="BW4" s="102">
        <f t="shared" si="14"/>
        <v>14</v>
      </c>
      <c r="BX4" s="379"/>
      <c r="BY4" s="103" t="s">
        <v>207</v>
      </c>
      <c r="BZ4" s="103" t="s">
        <v>900</v>
      </c>
      <c r="CA4" s="115" t="s">
        <v>986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756</v>
      </c>
      <c r="T5" s="102" t="s">
        <v>119</v>
      </c>
      <c r="U5" s="102">
        <v>6</v>
      </c>
      <c r="V5" s="102">
        <v>5</v>
      </c>
      <c r="W5" s="102">
        <v>1</v>
      </c>
      <c r="X5" s="102">
        <v>0</v>
      </c>
      <c r="Y5" s="102">
        <v>8</v>
      </c>
      <c r="Z5" s="102">
        <v>13</v>
      </c>
      <c r="AA5" s="102">
        <v>0</v>
      </c>
      <c r="AB5" s="102">
        <v>16</v>
      </c>
      <c r="AC5" s="102" t="str">
        <f t="shared" ca="1" si="0"/>
        <v>ANO</v>
      </c>
      <c r="AG5" s="121" t="s">
        <v>765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6 OZ, 1 (1+0), -4 ±</v>
      </c>
      <c r="AY5" s="129" t="str">
        <f t="shared" ca="1" si="2"/>
        <v>6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989</v>
      </c>
      <c r="BU5" s="103">
        <v>13</v>
      </c>
      <c r="BV5" s="104" t="str">
        <f t="shared" si="13"/>
        <v>Lukáš Pešat</v>
      </c>
      <c r="BW5" s="102">
        <f t="shared" si="14"/>
        <v>13</v>
      </c>
      <c r="BX5" s="379"/>
      <c r="BY5" s="103" t="s">
        <v>206</v>
      </c>
      <c r="BZ5" s="103" t="s">
        <v>960</v>
      </c>
      <c r="CA5" s="115" t="s">
        <v>987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757</v>
      </c>
      <c r="U6" s="102">
        <v>7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2</v>
      </c>
      <c r="AC6" s="102" t="str">
        <f t="shared" ca="1" si="0"/>
        <v>ANO</v>
      </c>
      <c r="AG6" s="121" t="s">
        <v>757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7 OZ, 8 (6+2), +2 ±</v>
      </c>
      <c r="AY6" s="129" t="str">
        <f t="shared" ca="1" si="2"/>
        <v>7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990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79"/>
      <c r="BY6" s="103" t="s">
        <v>851</v>
      </c>
      <c r="BZ6" s="103" t="s">
        <v>954</v>
      </c>
      <c r="CA6" s="115" t="s">
        <v>807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516</v>
      </c>
      <c r="T7" s="102" t="s">
        <v>119</v>
      </c>
      <c r="U7" s="102">
        <v>7</v>
      </c>
      <c r="V7" s="102">
        <v>5</v>
      </c>
      <c r="W7" s="102">
        <v>0</v>
      </c>
      <c r="X7" s="102">
        <v>0</v>
      </c>
      <c r="Y7" s="102">
        <v>0</v>
      </c>
      <c r="Z7" s="102">
        <v>5</v>
      </c>
      <c r="AA7" s="102">
        <v>2</v>
      </c>
      <c r="AB7" s="102">
        <v>12</v>
      </c>
      <c r="AC7" s="102" t="str">
        <f t="shared" ca="1" si="0"/>
        <v>ANO</v>
      </c>
      <c r="AG7" s="121" t="s">
        <v>353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769</v>
      </c>
      <c r="BU7" s="103" t="s">
        <v>1268</v>
      </c>
      <c r="BV7" s="104" t="str">
        <f t="shared" si="13"/>
        <v>Jan Binder</v>
      </c>
      <c r="BW7" s="112">
        <f t="shared" si="14"/>
        <v>4.4800000000000004</v>
      </c>
      <c r="BX7" s="379" t="s">
        <v>212</v>
      </c>
      <c r="BY7" s="103" t="s">
        <v>906</v>
      </c>
      <c r="BZ7" s="103" t="s">
        <v>946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99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766</v>
      </c>
      <c r="U8" s="102">
        <v>7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0</v>
      </c>
      <c r="AC8" s="102" t="str">
        <f t="shared" ca="1" si="0"/>
        <v>ANO</v>
      </c>
      <c r="AG8" s="121" t="s">
        <v>758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7 OZ, 0 (0+0), -4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823</v>
      </c>
      <c r="BU8" s="103" t="s">
        <v>199</v>
      </c>
      <c r="BV8" s="104" t="str">
        <f t="shared" si="13"/>
        <v>Martin Janík</v>
      </c>
      <c r="BW8" s="112">
        <f t="shared" si="14"/>
        <v>0</v>
      </c>
      <c r="BX8" s="379"/>
      <c r="BY8" s="103" t="s">
        <v>908</v>
      </c>
      <c r="BZ8" s="103" t="s">
        <v>905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767</v>
      </c>
      <c r="U9" s="102">
        <v>7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12</v>
      </c>
      <c r="AC9" s="102" t="str">
        <f t="shared" ca="1" si="0"/>
        <v>ANO</v>
      </c>
      <c r="AG9" s="121" t="s">
        <v>767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7 OZ, 3 (1+2), +12 ±</v>
      </c>
      <c r="AY9" s="129" t="str">
        <f t="shared" ca="1" si="2"/>
        <v>7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824</v>
      </c>
      <c r="BU9" s="103" t="s">
        <v>991</v>
      </c>
      <c r="BV9" s="104" t="str">
        <f t="shared" si="13"/>
        <v>Jan Klinka</v>
      </c>
      <c r="BW9" s="112">
        <f t="shared" si="14"/>
        <v>7.17</v>
      </c>
      <c r="BX9" s="379"/>
      <c r="BY9" s="103" t="s">
        <v>938</v>
      </c>
      <c r="BZ9" s="103" t="s">
        <v>907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762</v>
      </c>
      <c r="T10" s="102" t="s">
        <v>64</v>
      </c>
      <c r="U10" s="102">
        <v>7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760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1223</v>
      </c>
      <c r="BZ10" s="103" t="s">
        <v>909</v>
      </c>
      <c r="CA10" s="115" t="s">
        <v>205</v>
      </c>
    </row>
    <row r="11" spans="1:79" ht="15" customHeight="1" thickTop="1" thickBot="1" x14ac:dyDescent="0.25">
      <c r="R11" s="13"/>
      <c r="S11" s="110" t="s">
        <v>765</v>
      </c>
      <c r="U11" s="102">
        <v>6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356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7 OZ, 14 (4+10), +13 ±</v>
      </c>
      <c r="AY11" s="129" t="str">
        <f t="shared" ca="1" si="2"/>
        <v>7 OZ, 14 (4+10)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1277</v>
      </c>
      <c r="BZ11" s="103" t="s">
        <v>936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763</v>
      </c>
      <c r="U12" s="102">
        <v>7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762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768</v>
      </c>
      <c r="BU12" s="103">
        <v>11</v>
      </c>
      <c r="BV12" s="104" t="str">
        <f t="shared" si="13"/>
        <v>Wojciech Malajka</v>
      </c>
      <c r="BW12" s="102">
        <f t="shared" si="14"/>
        <v>11</v>
      </c>
      <c r="BX12" s="120" t="s">
        <v>210</v>
      </c>
      <c r="BY12" s="100" t="s">
        <v>1278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1274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754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7 OZ, 17 (11+6), +15 ±</v>
      </c>
      <c r="AY13" s="129" t="str">
        <f t="shared" ca="1" si="2"/>
        <v>7 OZ, 17 (11+6)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771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817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756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6 OZ, 13 (5+8), +16 ±</v>
      </c>
      <c r="AY14" s="129" t="str">
        <f t="shared" ca="1" si="2"/>
        <v>6 OZ, 13 (5+8)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1269</v>
      </c>
      <c r="BU14" s="103">
        <v>6</v>
      </c>
      <c r="BV14" s="104" t="str">
        <f t="shared" si="13"/>
        <v>Michal Sládek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818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-1</v>
      </c>
      <c r="AC15" s="102" t="str">
        <f t="shared" ca="1" si="0"/>
        <v>NE</v>
      </c>
      <c r="AG15" s="121" t="s">
        <v>761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7 OZ, 0 (0+0), -3 ±</v>
      </c>
      <c r="AY15" s="129" t="str">
        <f t="shared" ca="1" si="2"/>
        <v>7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1270</v>
      </c>
      <c r="BU15" s="103">
        <v>5</v>
      </c>
      <c r="BV15" s="104" t="str">
        <f t="shared" si="13"/>
        <v>Ladislav Gál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760</v>
      </c>
      <c r="T16" s="102" t="s">
        <v>117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7 OZ, 15 (6+9), +2 ±</v>
      </c>
      <c r="AY16" s="129" t="str">
        <f t="shared" ca="1" si="2"/>
        <v>7 OZ, 15 (6+9)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1271</v>
      </c>
      <c r="BU16" s="103">
        <v>5</v>
      </c>
      <c r="BV16" s="104" t="str">
        <f t="shared" si="13"/>
        <v>Lukáš Pešat</v>
      </c>
      <c r="BW16" s="102">
        <f t="shared" si="14"/>
        <v>5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353</v>
      </c>
      <c r="T17" s="102" t="s">
        <v>119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766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7 OZ, 4 (2+2), 0 ±</v>
      </c>
      <c r="AY17" s="129" t="str">
        <f t="shared" ca="1" si="2"/>
        <v>7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769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819</v>
      </c>
      <c r="T18" s="102" t="s">
        <v>119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764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770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OST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820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NE</v>
      </c>
      <c r="AG19" s="121" t="s">
        <v>536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5 OZ, 0 (0+0), -2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822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536</v>
      </c>
      <c r="T20" s="102" t="s">
        <v>64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758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1272</v>
      </c>
      <c r="BU22" s="103">
        <v>10</v>
      </c>
      <c r="BV22" s="104" t="str">
        <f t="shared" si="13"/>
        <v>Šimon Kuczera</v>
      </c>
      <c r="BW22" s="102">
        <f t="shared" si="14"/>
        <v>10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761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-3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988</v>
      </c>
      <c r="BU23" s="103">
        <v>9</v>
      </c>
      <c r="BV23" s="104" t="str">
        <f t="shared" si="13"/>
        <v>Michal Sládek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759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876</v>
      </c>
      <c r="BU24" s="103">
        <v>8</v>
      </c>
      <c r="BV24" s="104" t="str">
        <f t="shared" si="13"/>
        <v>Lukáš Pešat</v>
      </c>
      <c r="BW24" s="102">
        <f t="shared" si="14"/>
        <v>8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826</v>
      </c>
      <c r="BU25" s="103">
        <v>6</v>
      </c>
      <c r="BV25" s="104" t="str">
        <f t="shared" si="13"/>
        <v>Wojciech Malajka</v>
      </c>
      <c r="BW25" s="102">
        <f t="shared" si="14"/>
        <v>6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990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992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771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993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OST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994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1273</v>
      </c>
      <c r="BU31" s="103">
        <v>2</v>
      </c>
      <c r="BV31" s="104" t="str">
        <f t="shared" si="13"/>
        <v>Ladislav Gál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759</v>
      </c>
      <c r="T45" s="102">
        <v>7</v>
      </c>
      <c r="U45" s="112">
        <v>402.14</v>
      </c>
      <c r="V45" s="102">
        <v>3</v>
      </c>
      <c r="W45" s="102">
        <v>30</v>
      </c>
      <c r="X45" s="102">
        <v>0</v>
      </c>
      <c r="Y45" s="102">
        <v>148</v>
      </c>
      <c r="Z45" s="102">
        <v>0</v>
      </c>
      <c r="AA45" s="102">
        <v>4</v>
      </c>
      <c r="AB45" s="102">
        <v>118</v>
      </c>
      <c r="AC45" s="102">
        <v>0</v>
      </c>
      <c r="AD45" s="102">
        <v>2</v>
      </c>
      <c r="AE45" s="112">
        <f>IF(S45&lt;&gt;"",IF(T45&gt;0,W45/(U45/60),0),"")</f>
        <v>4.4760531158303083</v>
      </c>
      <c r="AF45" s="112">
        <f>IF(S45&lt;&gt;"",IF(Y45&gt;0,(AB45/Y45)*100,"-"),"")</f>
        <v>79.729729729729726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817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760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24" priority="11" stopIfTrue="1" operator="equal">
      <formula>"OTR"</formula>
    </cfRule>
    <cfRule type="cellIs" dxfId="323" priority="12" stopIfTrue="1" operator="equal">
      <formula>"PAR"</formula>
    </cfRule>
    <cfRule type="cellIs" dxfId="322" priority="13" stopIfTrue="1" operator="equal">
      <formula>"CLP"</formula>
    </cfRule>
    <cfRule type="cellIs" dxfId="321" priority="14" stopIfTrue="1" operator="equal">
      <formula>"HAT"</formula>
    </cfRule>
    <cfRule type="cellIs" dxfId="320" priority="15" stopIfTrue="1" operator="equal">
      <formula>"LIB"</formula>
    </cfRule>
    <cfRule type="cellIs" dxfId="319" priority="16" stopIfTrue="1" operator="equal">
      <formula>"BA"</formula>
    </cfRule>
    <cfRule type="cellIs" dxfId="318" priority="17" stopIfTrue="1" operator="equal">
      <formula>"SPA"</formula>
    </cfRule>
    <cfRule type="cellIs" dxfId="317" priority="18" stopIfTrue="1" operator="equal">
      <formula>"OST"</formula>
    </cfRule>
    <cfRule type="cellIs" dxfId="316" priority="19" stopIfTrue="1" operator="equal">
      <formula>"BOH"</formula>
    </cfRule>
    <cfRule type="cellIs" dxfId="315" priority="20" stopIfTrue="1" operator="equal">
      <formula>"TAT"</formula>
    </cfRule>
    <cfRule type="cellIs" dxfId="314" priority="21" stopIfTrue="1" operator="equal">
      <formula>"MB"</formula>
    </cfRule>
    <cfRule type="cellIs" dxfId="313" priority="22" stopIfTrue="1" operator="equal">
      <formula>"VIT"</formula>
    </cfRule>
    <cfRule type="cellIs" dxfId="312" priority="23" stopIfTrue="1" operator="equal">
      <formula>"CHO"</formula>
    </cfRule>
    <cfRule type="cellIs" dxfId="311" priority="24" stopIfTrue="1" operator="equal">
      <formula>"SKV"</formula>
    </cfRule>
  </conditionalFormatting>
  <conditionalFormatting sqref="H19:K20">
    <cfRule type="cellIs" dxfId="310" priority="39" stopIfTrue="1" operator="equal">
      <formula>"OTR"</formula>
    </cfRule>
    <cfRule type="cellIs" dxfId="309" priority="40" stopIfTrue="1" operator="equal">
      <formula>"PAR"</formula>
    </cfRule>
    <cfRule type="cellIs" dxfId="308" priority="41" stopIfTrue="1" operator="equal">
      <formula>"CLP"</formula>
    </cfRule>
    <cfRule type="cellIs" dxfId="307" priority="42" stopIfTrue="1" operator="equal">
      <formula>"HAT"</formula>
    </cfRule>
    <cfRule type="cellIs" dxfId="306" priority="43" stopIfTrue="1" operator="equal">
      <formula>"LIB"</formula>
    </cfRule>
    <cfRule type="cellIs" dxfId="305" priority="44" stopIfTrue="1" operator="equal">
      <formula>"BA"</formula>
    </cfRule>
    <cfRule type="cellIs" dxfId="304" priority="45" stopIfTrue="1" operator="equal">
      <formula>"SPA"</formula>
    </cfRule>
    <cfRule type="cellIs" dxfId="303" priority="46" stopIfTrue="1" operator="equal">
      <formula>"OST"</formula>
    </cfRule>
    <cfRule type="cellIs" dxfId="302" priority="47" stopIfTrue="1" operator="equal">
      <formula>"BOH"</formula>
    </cfRule>
    <cfRule type="cellIs" dxfId="301" priority="48" stopIfTrue="1" operator="equal">
      <formula>"TAT"</formula>
    </cfRule>
    <cfRule type="cellIs" dxfId="300" priority="49" stopIfTrue="1" operator="equal">
      <formula>"MB"</formula>
    </cfRule>
    <cfRule type="cellIs" dxfId="299" priority="50" stopIfTrue="1" operator="equal">
      <formula>"VIT"</formula>
    </cfRule>
    <cfRule type="cellIs" dxfId="298" priority="51" stopIfTrue="1" operator="equal">
      <formula>"CHO"</formula>
    </cfRule>
    <cfRule type="cellIs" dxfId="297" priority="52" stopIfTrue="1" operator="equal">
      <formula>"SKV"</formula>
    </cfRule>
  </conditionalFormatting>
  <conditionalFormatting sqref="H8:K9">
    <cfRule type="cellIs" dxfId="296" priority="25" stopIfTrue="1" operator="equal">
      <formula>"OTR"</formula>
    </cfRule>
    <cfRule type="cellIs" dxfId="295" priority="26" stopIfTrue="1" operator="equal">
      <formula>"PAR"</formula>
    </cfRule>
    <cfRule type="cellIs" dxfId="294" priority="27" stopIfTrue="1" operator="equal">
      <formula>"CLP"</formula>
    </cfRule>
    <cfRule type="cellIs" dxfId="293" priority="28" stopIfTrue="1" operator="equal">
      <formula>"HAT"</formula>
    </cfRule>
    <cfRule type="cellIs" dxfId="292" priority="29" stopIfTrue="1" operator="equal">
      <formula>"LIB"</formula>
    </cfRule>
    <cfRule type="cellIs" dxfId="291" priority="30" stopIfTrue="1" operator="equal">
      <formula>"BA"</formula>
    </cfRule>
    <cfRule type="cellIs" dxfId="290" priority="31" stopIfTrue="1" operator="equal">
      <formula>"SPA"</formula>
    </cfRule>
    <cfRule type="cellIs" dxfId="289" priority="32" stopIfTrue="1" operator="equal">
      <formula>"OST"</formula>
    </cfRule>
    <cfRule type="cellIs" dxfId="288" priority="33" stopIfTrue="1" operator="equal">
      <formula>"BOH"</formula>
    </cfRule>
    <cfRule type="cellIs" dxfId="287" priority="34" stopIfTrue="1" operator="equal">
      <formula>"TAT"</formula>
    </cfRule>
    <cfRule type="cellIs" dxfId="286" priority="35" stopIfTrue="1" operator="equal">
      <formula>"MB"</formula>
    </cfRule>
    <cfRule type="cellIs" dxfId="285" priority="36" stopIfTrue="1" operator="equal">
      <formula>"VIT"</formula>
    </cfRule>
    <cfRule type="cellIs" dxfId="284" priority="37" stopIfTrue="1" operator="equal">
      <formula>"CHO"</formula>
    </cfRule>
    <cfRule type="cellIs" dxfId="283" priority="38" stopIfTrue="1" operator="equal">
      <formula>"SKV"</formula>
    </cfRule>
  </conditionalFormatting>
  <conditionalFormatting sqref="S2:S42">
    <cfRule type="expression" dxfId="282" priority="9" stopIfTrue="1">
      <formula>IFERROR(IF(VLOOKUP($S2,OFFSET($AG$2,,,COUNTIF($AG$2:$AG$50,"?*")),1,FALSE)&lt;&gt;0,1,0),0)&gt;0</formula>
    </cfRule>
  </conditionalFormatting>
  <conditionalFormatting sqref="S2:S42">
    <cfRule type="expression" dxfId="281" priority="10">
      <formula>IFERROR(IF(VLOOKUP($S2,OFFSET($AG$2,,,COUNTIF($AG$2:$AG$50,"?*")),1,FALSE)&lt;&gt;0,1,0),0)=0</formula>
    </cfRule>
  </conditionalFormatting>
  <conditionalFormatting sqref="S45:S50">
    <cfRule type="expression" dxfId="280" priority="8">
      <formula>IFERROR(IF(VLOOKUP($S45,OFFSET($AG$2,,,COUNTIF($AG$2:$AG$50,"?*")),1,FALSE)&lt;&gt;0,1,0),0)&gt;0</formula>
    </cfRule>
  </conditionalFormatting>
  <conditionalFormatting sqref="S45:S50">
    <cfRule type="expression" dxfId="279" priority="7">
      <formula>IFERROR(IF(VLOOKUP($S45,OFFSET($AG$2,,,COUNTIF($AG$2:$AG$50,"?*")),1,FALSE)&lt;&gt;0,1,0),0)=0</formula>
    </cfRule>
  </conditionalFormatting>
  <conditionalFormatting sqref="AG2:AG50">
    <cfRule type="expression" dxfId="278" priority="4" stopIfTrue="1">
      <formula>OR($AH2="",$AI2="",$AJ2="",$AK2="",$AL2="",$AM2="",$AN2="",$AQ2="",$AR2="",$AS2="",$AT2="")</formula>
    </cfRule>
    <cfRule type="expression" dxfId="277" priority="5" stopIfTrue="1">
      <formula>IFERROR(IF(VLOOKUP($AG2,OFFSET($S$2,,,COUNTIF($S$2:$S$42,"?*")),1,FALSE)&lt;&gt;0,1,0),0)=0</formula>
    </cfRule>
    <cfRule type="expression" dxfId="276" priority="6">
      <formula>IFERROR(IF(VLOOKUP($AG2,OFFSET($S$2,,,COUNTIF($S$2:$S$42,"?*")),1,FALSE)&lt;&gt;0,1,0),0)&gt;0</formula>
    </cfRule>
  </conditionalFormatting>
  <conditionalFormatting sqref="AG2:AK50 AM2:BC50">
    <cfRule type="expression" dxfId="275" priority="3">
      <formula>AND($AG2&lt;&gt;"",MOD(ROW($AG2),2)=0)</formula>
    </cfRule>
  </conditionalFormatting>
  <conditionalFormatting sqref="BN2:BR11">
    <cfRule type="expression" dxfId="274" priority="2">
      <formula>AND($BN2&lt;&gt;"",MOD(ROW($BN2),2)=0)</formula>
    </cfRule>
  </conditionalFormatting>
  <conditionalFormatting sqref="AL2:AL50">
    <cfRule type="expression" dxfId="27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496</v>
      </c>
      <c r="T2" s="102" t="s">
        <v>119</v>
      </c>
      <c r="U2" s="102">
        <v>6</v>
      </c>
      <c r="V2" s="102">
        <v>7</v>
      </c>
      <c r="W2" s="102">
        <v>2</v>
      </c>
      <c r="X2" s="102">
        <v>0</v>
      </c>
      <c r="Y2" s="102">
        <v>5</v>
      </c>
      <c r="Z2" s="102">
        <v>12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515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537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556</v>
      </c>
      <c r="BO2" s="122">
        <v>27314</v>
      </c>
      <c r="BP2" s="131" t="s">
        <v>256</v>
      </c>
      <c r="BQ2" s="132"/>
      <c r="BR2" s="127">
        <f ca="1">IF(BN2&lt;&gt;"",IF(BO2&lt;&gt;"",INT((TODAY()-BO2)/365),"?"),"")</f>
        <v>47</v>
      </c>
      <c r="BS2" s="380" t="s">
        <v>36</v>
      </c>
      <c r="BT2" s="104" t="s">
        <v>559</v>
      </c>
      <c r="BU2" s="103">
        <v>12</v>
      </c>
      <c r="BV2" s="104" t="str">
        <f>IFERROR(RIGHT(BT2,LEN(BT2)-SEARCH(" ",BT2)),"")</f>
        <v>František Vykopal</v>
      </c>
      <c r="BW2" s="102">
        <f>IF(BT2&lt;&gt;0,_xlfn.NUMBERVALUE(BU2,","),"")</f>
        <v>12</v>
      </c>
      <c r="BX2" s="379" t="s">
        <v>211</v>
      </c>
      <c r="BY2" s="103" t="s">
        <v>263</v>
      </c>
      <c r="BZ2" s="103" t="s">
        <v>997</v>
      </c>
      <c r="CA2" s="115" t="s">
        <v>561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497</v>
      </c>
      <c r="U3" s="102">
        <v>6</v>
      </c>
      <c r="V3" s="102">
        <v>4</v>
      </c>
      <c r="W3" s="102">
        <v>1</v>
      </c>
      <c r="X3" s="102">
        <v>0</v>
      </c>
      <c r="Y3" s="102">
        <v>7</v>
      </c>
      <c r="Z3" s="102">
        <v>11</v>
      </c>
      <c r="AA3" s="102">
        <v>4</v>
      </c>
      <c r="AB3" s="102">
        <v>-2</v>
      </c>
      <c r="AC3" s="102" t="str">
        <f t="shared" ca="1" si="0"/>
        <v>NE</v>
      </c>
      <c r="AG3" s="121" t="s">
        <v>513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149</v>
      </c>
      <c r="AQ3" s="123">
        <v>177</v>
      </c>
      <c r="AR3" s="123">
        <v>70</v>
      </c>
      <c r="AS3" s="126" t="s">
        <v>538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6 OZ, 2 (0+2), -8 ±</v>
      </c>
      <c r="AY3" s="129" t="str">
        <f t="shared" ca="1" si="2"/>
        <v>54 OZ, 22 (9+13)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557</v>
      </c>
      <c r="BO3" s="122">
        <v>33731</v>
      </c>
      <c r="BP3" s="131" t="s">
        <v>257</v>
      </c>
      <c r="BQ3" s="132"/>
      <c r="BR3" s="127">
        <f t="shared" ref="BR3:BR11" ca="1" si="12">IF(BN3&lt;&gt;"",IF(BO3&lt;&gt;"",INT((TODAY()-BO3)/365),"?"),"")</f>
        <v>29</v>
      </c>
      <c r="BS3" s="380"/>
      <c r="BT3" s="104" t="s">
        <v>880</v>
      </c>
      <c r="BU3" s="103">
        <v>11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11</v>
      </c>
      <c r="BX3" s="379"/>
      <c r="BY3" s="103" t="s">
        <v>207</v>
      </c>
      <c r="BZ3" s="103" t="s">
        <v>926</v>
      </c>
      <c r="CA3" s="115" t="s">
        <v>995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503</v>
      </c>
      <c r="T4" s="102" t="s">
        <v>119</v>
      </c>
      <c r="U4" s="102">
        <v>6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0</v>
      </c>
      <c r="AB4" s="102">
        <v>-10</v>
      </c>
      <c r="AC4" s="102" t="str">
        <f t="shared" ca="1" si="0"/>
        <v>ANO</v>
      </c>
      <c r="AG4" s="121" t="s">
        <v>516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149</v>
      </c>
      <c r="AQ4" s="123">
        <v>177</v>
      </c>
      <c r="AR4" s="123">
        <v>77</v>
      </c>
      <c r="AS4" s="126" t="s">
        <v>539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558</v>
      </c>
      <c r="BO4" s="122">
        <v>25991</v>
      </c>
      <c r="BP4" s="131" t="s">
        <v>192</v>
      </c>
      <c r="BQ4" s="132"/>
      <c r="BR4" s="127">
        <f t="shared" ca="1" si="12"/>
        <v>50</v>
      </c>
      <c r="BS4" s="380"/>
      <c r="BT4" s="104" t="s">
        <v>998</v>
      </c>
      <c r="BU4" s="103">
        <v>7</v>
      </c>
      <c r="BV4" s="104" t="str">
        <f t="shared" si="13"/>
        <v>Lukáš Petřík</v>
      </c>
      <c r="BW4" s="102">
        <f t="shared" si="14"/>
        <v>7</v>
      </c>
      <c r="BX4" s="379"/>
      <c r="BY4" s="103" t="s">
        <v>262</v>
      </c>
      <c r="BZ4" s="103" t="s">
        <v>935</v>
      </c>
      <c r="CA4" s="115" t="s">
        <v>996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500</v>
      </c>
      <c r="U5" s="102">
        <v>6</v>
      </c>
      <c r="V5" s="102">
        <v>5</v>
      </c>
      <c r="W5" s="102">
        <v>0</v>
      </c>
      <c r="X5" s="102">
        <v>0</v>
      </c>
      <c r="Y5" s="102">
        <v>1</v>
      </c>
      <c r="Z5" s="102">
        <v>6</v>
      </c>
      <c r="AA5" s="102">
        <v>2</v>
      </c>
      <c r="AB5" s="102">
        <v>-2</v>
      </c>
      <c r="AC5" s="102" t="str">
        <f t="shared" ca="1" si="0"/>
        <v>ANO</v>
      </c>
      <c r="AG5" s="121" t="s">
        <v>517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149</v>
      </c>
      <c r="AQ5" s="123">
        <v>193</v>
      </c>
      <c r="AR5" s="123">
        <v>77</v>
      </c>
      <c r="AS5" s="126" t="s">
        <v>540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999</v>
      </c>
      <c r="BU5" s="103">
        <v>6</v>
      </c>
      <c r="BV5" s="104" t="str">
        <f t="shared" si="13"/>
        <v>Peter Nehila</v>
      </c>
      <c r="BW5" s="102">
        <f t="shared" si="14"/>
        <v>6</v>
      </c>
      <c r="BX5" s="379"/>
      <c r="BY5" s="103" t="s">
        <v>851</v>
      </c>
      <c r="BZ5" s="103" t="s">
        <v>946</v>
      </c>
      <c r="CA5" s="115" t="s">
        <v>834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506</v>
      </c>
      <c r="T6" s="102" t="s">
        <v>119</v>
      </c>
      <c r="U6" s="102">
        <v>6</v>
      </c>
      <c r="V6" s="102">
        <v>3</v>
      </c>
      <c r="W6" s="102">
        <v>0</v>
      </c>
      <c r="X6" s="102">
        <v>0</v>
      </c>
      <c r="Y6" s="102">
        <v>1</v>
      </c>
      <c r="Z6" s="102">
        <v>4</v>
      </c>
      <c r="AA6" s="102">
        <v>0</v>
      </c>
      <c r="AB6" s="102">
        <v>-7</v>
      </c>
      <c r="AC6" s="102" t="str">
        <f t="shared" ca="1" si="0"/>
        <v>ANO</v>
      </c>
      <c r="AG6" s="121" t="s">
        <v>512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149</v>
      </c>
      <c r="AQ6" s="123">
        <v>180</v>
      </c>
      <c r="AR6" s="123">
        <v>80</v>
      </c>
      <c r="AS6" s="126" t="s">
        <v>538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1281</v>
      </c>
      <c r="BU6" s="103">
        <v>4</v>
      </c>
      <c r="BV6" s="104" t="str">
        <f t="shared" si="13"/>
        <v>Pavel Jurčík</v>
      </c>
      <c r="BW6" s="102">
        <f t="shared" si="14"/>
        <v>4</v>
      </c>
      <c r="BX6" s="379"/>
      <c r="BY6" s="103" t="s">
        <v>204</v>
      </c>
      <c r="BZ6" s="103" t="s">
        <v>971</v>
      </c>
      <c r="CA6" s="115" t="s">
        <v>807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499</v>
      </c>
      <c r="T7" s="102" t="s">
        <v>119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0</v>
      </c>
      <c r="AB7" s="102">
        <v>-7</v>
      </c>
      <c r="AC7" s="102" t="str">
        <f t="shared" ca="1" si="0"/>
        <v>NE</v>
      </c>
      <c r="AG7" s="121" t="s">
        <v>501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149</v>
      </c>
      <c r="AQ7" s="123">
        <v>174</v>
      </c>
      <c r="AR7" s="123">
        <v>73</v>
      </c>
      <c r="AS7" s="126" t="s">
        <v>541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1000</v>
      </c>
      <c r="BU7" s="103" t="s">
        <v>1282</v>
      </c>
      <c r="BV7" s="104" t="str">
        <f t="shared" si="13"/>
        <v>Adam Kohút</v>
      </c>
      <c r="BW7" s="112">
        <f t="shared" si="14"/>
        <v>6.31</v>
      </c>
      <c r="BX7" s="379" t="s">
        <v>212</v>
      </c>
      <c r="BY7" s="103" t="s">
        <v>1106</v>
      </c>
      <c r="BZ7" s="103" t="s">
        <v>925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100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498</v>
      </c>
      <c r="T8" s="102" t="s">
        <v>119</v>
      </c>
      <c r="U8" s="102">
        <v>6</v>
      </c>
      <c r="V8" s="102">
        <v>2</v>
      </c>
      <c r="W8" s="102">
        <v>1</v>
      </c>
      <c r="X8" s="102">
        <v>0</v>
      </c>
      <c r="Y8" s="102">
        <v>0</v>
      </c>
      <c r="Z8" s="102">
        <v>2</v>
      </c>
      <c r="AA8" s="102">
        <v>2</v>
      </c>
      <c r="AB8" s="102">
        <v>-9</v>
      </c>
      <c r="AC8" s="102" t="str">
        <f t="shared" ca="1" si="0"/>
        <v>NE</v>
      </c>
      <c r="AG8" s="121" t="s">
        <v>518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149</v>
      </c>
      <c r="AQ8" s="123">
        <v>185</v>
      </c>
      <c r="AR8" s="123">
        <v>75</v>
      </c>
      <c r="AS8" s="126" t="s">
        <v>542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1001</v>
      </c>
      <c r="BU8" s="103" t="s">
        <v>1002</v>
      </c>
      <c r="BV8" s="104" t="str">
        <f t="shared" si="13"/>
        <v>Kevin Majrich</v>
      </c>
      <c r="BW8" s="112">
        <f t="shared" si="14"/>
        <v>8.09</v>
      </c>
      <c r="BX8" s="379"/>
      <c r="BY8" s="103" t="s">
        <v>906</v>
      </c>
      <c r="BZ8" s="103" t="s">
        <v>958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501</v>
      </c>
      <c r="T9" s="102" t="s">
        <v>119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519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149</v>
      </c>
      <c r="AQ9" s="123">
        <v>193</v>
      </c>
      <c r="AR9" s="123">
        <v>90</v>
      </c>
      <c r="AS9" s="126" t="s">
        <v>543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1003</v>
      </c>
      <c r="BU9" s="103" t="s">
        <v>1004</v>
      </c>
      <c r="BV9" s="104" t="str">
        <f t="shared" si="13"/>
        <v>Miroslav Steiger</v>
      </c>
      <c r="BW9" s="112">
        <f t="shared" si="14"/>
        <v>11.1</v>
      </c>
      <c r="BX9" s="379"/>
      <c r="BY9" s="103" t="s">
        <v>908</v>
      </c>
      <c r="BZ9" s="103" t="s">
        <v>957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T10" s="102" t="s">
        <v>119</v>
      </c>
      <c r="U10" s="102">
        <v>4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-2</v>
      </c>
      <c r="AC10" s="102" t="str">
        <f t="shared" ca="1" si="0"/>
        <v>ANO</v>
      </c>
      <c r="AG10" s="121" t="s">
        <v>354</v>
      </c>
      <c r="AH10" s="122"/>
      <c r="AI10" s="123"/>
      <c r="AJ10" s="123"/>
      <c r="AK10" s="123"/>
      <c r="AL10" s="124">
        <f>IF(AG10&lt;&gt;"",AJ10+AK10,"")</f>
        <v>0</v>
      </c>
      <c r="AM10" s="123" t="s">
        <v>303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938</v>
      </c>
      <c r="BZ10" s="103" t="s">
        <v>955</v>
      </c>
      <c r="CA10" s="115" t="s">
        <v>205</v>
      </c>
    </row>
    <row r="11" spans="1:79" ht="15" customHeight="1" thickTop="1" thickBot="1" x14ac:dyDescent="0.25">
      <c r="R11" s="13"/>
      <c r="S11" s="110" t="s">
        <v>513</v>
      </c>
      <c r="T11" s="102" t="s">
        <v>119</v>
      </c>
      <c r="U11" s="102">
        <v>6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-8</v>
      </c>
      <c r="AC11" s="102" t="str">
        <f t="shared" ca="1" si="0"/>
        <v>ANO</v>
      </c>
      <c r="AG11" s="121" t="s">
        <v>520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149</v>
      </c>
      <c r="AQ11" s="123">
        <v>188</v>
      </c>
      <c r="AR11" s="123">
        <v>78</v>
      </c>
      <c r="AS11" s="126" t="s">
        <v>538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1099</v>
      </c>
      <c r="BZ11" s="103" t="s">
        <v>954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505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-10</v>
      </c>
      <c r="AC12" s="102" t="str">
        <f t="shared" ca="1" si="0"/>
        <v>NE</v>
      </c>
      <c r="AG12" s="121" t="s">
        <v>506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544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6 OZ, 4 (3+1), -7 ±</v>
      </c>
      <c r="AY12" s="129" t="str">
        <f t="shared" ca="1" si="2"/>
        <v>147 OZ, 65 (44+21)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559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210</v>
      </c>
      <c r="BY12" s="100" t="s">
        <v>1280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502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-5</v>
      </c>
      <c r="AC13" s="102" t="str">
        <f t="shared" ca="1" si="0"/>
        <v>NE</v>
      </c>
      <c r="AG13" s="121" t="s">
        <v>521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149</v>
      </c>
      <c r="AQ13" s="123">
        <v>172</v>
      </c>
      <c r="AR13" s="123">
        <v>67</v>
      </c>
      <c r="AS13" s="126" t="s">
        <v>543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1283</v>
      </c>
      <c r="BU13" s="103">
        <v>5</v>
      </c>
      <c r="BV13" s="104" t="str">
        <f t="shared" si="13"/>
        <v>Peter Nehila</v>
      </c>
      <c r="BW13" s="102">
        <f t="shared" si="14"/>
        <v>5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509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1</v>
      </c>
      <c r="AC14" s="102" t="str">
        <f t="shared" ca="1" si="0"/>
        <v>ANO</v>
      </c>
      <c r="AG14" s="121" t="s">
        <v>522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149</v>
      </c>
      <c r="AQ14" s="123">
        <v>181</v>
      </c>
      <c r="AR14" s="123">
        <v>80</v>
      </c>
      <c r="AS14" s="126" t="s">
        <v>545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1284</v>
      </c>
      <c r="BU14" s="103">
        <v>4</v>
      </c>
      <c r="BV14" s="104" t="str">
        <f t="shared" si="13"/>
        <v>Ronald Gašparík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1279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-1</v>
      </c>
      <c r="AC15" s="102" t="str">
        <f t="shared" ca="1" si="0"/>
        <v>NE</v>
      </c>
      <c r="AG15" s="121" t="s">
        <v>401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149</v>
      </c>
      <c r="AQ15" s="123">
        <v>185</v>
      </c>
      <c r="AR15" s="123">
        <v>77</v>
      </c>
      <c r="AS15" s="126" t="s">
        <v>153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1285</v>
      </c>
      <c r="BU15" s="103">
        <v>3</v>
      </c>
      <c r="BV15" s="104" t="str">
        <f t="shared" si="13"/>
        <v>Lukáš Petřík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512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523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149</v>
      </c>
      <c r="AQ16" s="123">
        <v>196</v>
      </c>
      <c r="AR16" s="123">
        <v>91</v>
      </c>
      <c r="AS16" s="126" t="s">
        <v>543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1281</v>
      </c>
      <c r="BU16" s="103">
        <v>3</v>
      </c>
      <c r="BV16" s="104" t="str">
        <f t="shared" si="13"/>
        <v>Pavel Jurčík</v>
      </c>
      <c r="BW16" s="102">
        <f t="shared" si="14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1005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524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546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878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1006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510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166</v>
      </c>
      <c r="AP18" s="125" t="s">
        <v>27</v>
      </c>
      <c r="AQ18" s="123">
        <v>181</v>
      </c>
      <c r="AR18" s="123">
        <v>72</v>
      </c>
      <c r="AS18" s="126" t="s">
        <v>427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6 OZ, 0 (0+0), -9 ±</v>
      </c>
      <c r="AY18" s="129" t="str">
        <f t="shared" ca="1" si="2"/>
        <v>94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879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OTR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1007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-8</v>
      </c>
      <c r="AC19" s="102" t="str">
        <f t="shared" ca="1" si="0"/>
        <v>NE</v>
      </c>
      <c r="AG19" s="121" t="s">
        <v>525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1003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507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547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509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149</v>
      </c>
      <c r="AQ21" s="123">
        <v>182</v>
      </c>
      <c r="AR21" s="123">
        <v>74</v>
      </c>
      <c r="AS21" s="126" t="s">
        <v>548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511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526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149</v>
      </c>
      <c r="AQ22" s="123">
        <v>182</v>
      </c>
      <c r="AR22" s="123">
        <v>79</v>
      </c>
      <c r="AS22" s="126" t="s">
        <v>543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827</v>
      </c>
      <c r="BU22" s="103">
        <v>7</v>
      </c>
      <c r="BV22" s="104" t="str">
        <f t="shared" si="13"/>
        <v>Ronald Gašparík</v>
      </c>
      <c r="BW22" s="102">
        <f t="shared" si="14"/>
        <v>7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508</v>
      </c>
      <c r="T23" s="102" t="s">
        <v>119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ANO</v>
      </c>
      <c r="AG23" s="121" t="s">
        <v>500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149</v>
      </c>
      <c r="AQ23" s="123">
        <v>179</v>
      </c>
      <c r="AR23" s="123">
        <v>77</v>
      </c>
      <c r="AS23" s="126" t="s">
        <v>549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6 OZ, 6 (5+1), -2 ±</v>
      </c>
      <c r="AY23" s="129" t="str">
        <f t="shared" ca="1" si="2"/>
        <v>68 OZ, 39 (24+15)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828</v>
      </c>
      <c r="BU23" s="103">
        <v>5</v>
      </c>
      <c r="BV23" s="104" t="str">
        <f t="shared" si="13"/>
        <v>František Vykopal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507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503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149</v>
      </c>
      <c r="AQ24" s="123">
        <v>192</v>
      </c>
      <c r="AR24" s="123">
        <v>81</v>
      </c>
      <c r="AS24" s="126" t="s">
        <v>550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7 (3+4), -10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312 OZ, 269 (124+145)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998</v>
      </c>
      <c r="BU24" s="103">
        <v>4</v>
      </c>
      <c r="BV24" s="104" t="str">
        <f t="shared" si="13"/>
        <v>Lukáš Petřík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510</v>
      </c>
      <c r="T25" s="102" t="s">
        <v>64</v>
      </c>
      <c r="U25" s="102">
        <v>6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-9</v>
      </c>
      <c r="AC25" s="102" t="str">
        <f t="shared" ca="1" si="0"/>
        <v>ANO</v>
      </c>
      <c r="AG25" s="121" t="s">
        <v>527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149</v>
      </c>
      <c r="AQ25" s="123">
        <v>187</v>
      </c>
      <c r="AR25" s="123">
        <v>78</v>
      </c>
      <c r="AS25" s="126" t="s">
        <v>543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877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528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551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1286</v>
      </c>
      <c r="BU26" s="103">
        <v>2</v>
      </c>
      <c r="BV26" s="104" t="str">
        <f t="shared" si="13"/>
        <v>Tomáš Sovják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529</v>
      </c>
      <c r="AH27" s="122"/>
      <c r="AI27" s="123"/>
      <c r="AJ27" s="123"/>
      <c r="AK27" s="123"/>
      <c r="AL27" s="124">
        <f>IF(AG27&lt;&gt;"",AJ27+AK27,"")</f>
        <v>0</v>
      </c>
      <c r="AM27" s="123" t="s">
        <v>303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560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530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149</v>
      </c>
      <c r="AQ28" s="123">
        <v>190</v>
      </c>
      <c r="AR28" s="123">
        <v>82</v>
      </c>
      <c r="AS28" s="126" t="s">
        <v>543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4 OZ, 2 (0+2), -2 ±</v>
      </c>
      <c r="AY28" s="129" t="str">
        <f t="shared" ca="1" si="16"/>
        <v>213 OZ, 172 (107+65)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880</v>
      </c>
      <c r="BU28" s="103">
        <v>4</v>
      </c>
      <c r="BV28" s="104" t="str">
        <f t="shared" si="13"/>
        <v>Ronald Gašparík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531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149</v>
      </c>
      <c r="AQ29" s="123">
        <v>185</v>
      </c>
      <c r="AR29" s="123">
        <v>78</v>
      </c>
      <c r="AS29" s="126" t="s">
        <v>552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1287</v>
      </c>
      <c r="BU29" s="103">
        <v>2</v>
      </c>
      <c r="BV29" s="104" t="str">
        <f t="shared" si="13"/>
        <v>David Medek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OTR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532</v>
      </c>
      <c r="AH30" s="122"/>
      <c r="AI30" s="123"/>
      <c r="AJ30" s="123"/>
      <c r="AK30" s="123"/>
      <c r="AL30" s="124">
        <f>IF(AG30&lt;&gt;"",AJ30+AK30,"")</f>
        <v>0</v>
      </c>
      <c r="AM30" s="123" t="s">
        <v>303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1288</v>
      </c>
      <c r="BU30" s="103">
        <v>2</v>
      </c>
      <c r="BV30" s="104" t="str">
        <f t="shared" si="13"/>
        <v>Martin Ležatka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508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149</v>
      </c>
      <c r="AQ31" s="123">
        <v>184</v>
      </c>
      <c r="AR31" s="123">
        <v>72</v>
      </c>
      <c r="AS31" s="126" t="s">
        <v>543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1289</v>
      </c>
      <c r="BU31" s="103">
        <v>2</v>
      </c>
      <c r="BV31" s="104" t="str">
        <f t="shared" si="13"/>
        <v>Peter Nehila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533</v>
      </c>
      <c r="AH32" s="122"/>
      <c r="AI32" s="123"/>
      <c r="AJ32" s="123"/>
      <c r="AK32" s="123"/>
      <c r="AL32" s="124">
        <f>IF(AG32&lt;&gt;"",AJ32+AK32,"")</f>
        <v>0</v>
      </c>
      <c r="AM32" s="123" t="s">
        <v>303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534</v>
      </c>
      <c r="AH33" s="122"/>
      <c r="AI33" s="123"/>
      <c r="AJ33" s="123"/>
      <c r="AK33" s="123"/>
      <c r="AL33" s="124">
        <f>IF(AG33&lt;&gt;"",AJ33+AK33,"")</f>
        <v>0</v>
      </c>
      <c r="AM33" s="123" t="s">
        <v>303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496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553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6 OZ, 12 (7+5),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105 OZ, 82 (48+34)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 t="s">
        <v>535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554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 t="s">
        <v>536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149</v>
      </c>
      <c r="AQ36" s="123">
        <v>188</v>
      </c>
      <c r="AR36" s="123">
        <v>85</v>
      </c>
      <c r="AS36" s="126" t="s">
        <v>555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507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511</v>
      </c>
      <c r="T46" s="102">
        <v>4</v>
      </c>
      <c r="U46" s="112">
        <v>237.68</v>
      </c>
      <c r="V46" s="102">
        <v>0</v>
      </c>
      <c r="W46" s="102">
        <v>25</v>
      </c>
      <c r="X46" s="102">
        <v>0</v>
      </c>
      <c r="Y46" s="102">
        <v>82</v>
      </c>
      <c r="Z46" s="102">
        <v>0</v>
      </c>
      <c r="AA46" s="102">
        <v>4</v>
      </c>
      <c r="AB46" s="102">
        <v>57</v>
      </c>
      <c r="AC46" s="102">
        <v>0</v>
      </c>
      <c r="AD46" s="102">
        <v>0</v>
      </c>
      <c r="AE46" s="112">
        <f t="shared" ref="AE46:AE50" si="23">IF(S46&lt;&gt;"",IF(T46&gt;0,W46/(U46/60),0),"")</f>
        <v>6.3110063951531465</v>
      </c>
      <c r="AF46" s="112">
        <f t="shared" ref="AF46:AF50" si="24">IF(S46&lt;&gt;"",IF(Y46&gt;0,(AB46/Y46)*100,"-"),"")</f>
        <v>69.512195121951208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1005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72" priority="12" stopIfTrue="1" operator="equal">
      <formula>"OTR"</formula>
    </cfRule>
    <cfRule type="cellIs" dxfId="271" priority="13" stopIfTrue="1" operator="equal">
      <formula>"PAR"</formula>
    </cfRule>
    <cfRule type="cellIs" dxfId="270" priority="14" stopIfTrue="1" operator="equal">
      <formula>"CLP"</formula>
    </cfRule>
    <cfRule type="cellIs" dxfId="269" priority="15" stopIfTrue="1" operator="equal">
      <formula>"HAT"</formula>
    </cfRule>
    <cfRule type="cellIs" dxfId="268" priority="16" stopIfTrue="1" operator="equal">
      <formula>"LIB"</formula>
    </cfRule>
    <cfRule type="cellIs" dxfId="267" priority="17" stopIfTrue="1" operator="equal">
      <formula>"BA"</formula>
    </cfRule>
    <cfRule type="cellIs" dxfId="266" priority="18" stopIfTrue="1" operator="equal">
      <formula>"SPA"</formula>
    </cfRule>
    <cfRule type="cellIs" dxfId="265" priority="19" stopIfTrue="1" operator="equal">
      <formula>"OST"</formula>
    </cfRule>
    <cfRule type="cellIs" dxfId="264" priority="20" stopIfTrue="1" operator="equal">
      <formula>"BOH"</formula>
    </cfRule>
    <cfRule type="cellIs" dxfId="263" priority="21" stopIfTrue="1" operator="equal">
      <formula>"TAT"</formula>
    </cfRule>
    <cfRule type="cellIs" dxfId="262" priority="22" stopIfTrue="1" operator="equal">
      <formula>"MB"</formula>
    </cfRule>
    <cfRule type="cellIs" dxfId="261" priority="23" stopIfTrue="1" operator="equal">
      <formula>"VIT"</formula>
    </cfRule>
    <cfRule type="cellIs" dxfId="260" priority="24" stopIfTrue="1" operator="equal">
      <formula>"CHO"</formula>
    </cfRule>
    <cfRule type="cellIs" dxfId="259" priority="25" stopIfTrue="1" operator="equal">
      <formula>"SKV"</formula>
    </cfRule>
  </conditionalFormatting>
  <conditionalFormatting sqref="H19:K20">
    <cfRule type="cellIs" dxfId="258" priority="40" stopIfTrue="1" operator="equal">
      <formula>"OTR"</formula>
    </cfRule>
    <cfRule type="cellIs" dxfId="257" priority="41" stopIfTrue="1" operator="equal">
      <formula>"PAR"</formula>
    </cfRule>
    <cfRule type="cellIs" dxfId="256" priority="42" stopIfTrue="1" operator="equal">
      <formula>"CLP"</formula>
    </cfRule>
    <cfRule type="cellIs" dxfId="255" priority="43" stopIfTrue="1" operator="equal">
      <formula>"HAT"</formula>
    </cfRule>
    <cfRule type="cellIs" dxfId="254" priority="44" stopIfTrue="1" operator="equal">
      <formula>"LIB"</formula>
    </cfRule>
    <cfRule type="cellIs" dxfId="253" priority="45" stopIfTrue="1" operator="equal">
      <formula>"BA"</formula>
    </cfRule>
    <cfRule type="cellIs" dxfId="252" priority="46" stopIfTrue="1" operator="equal">
      <formula>"SPA"</formula>
    </cfRule>
    <cfRule type="cellIs" dxfId="251" priority="47" stopIfTrue="1" operator="equal">
      <formula>"OST"</formula>
    </cfRule>
    <cfRule type="cellIs" dxfId="250" priority="48" stopIfTrue="1" operator="equal">
      <formula>"BOH"</formula>
    </cfRule>
    <cfRule type="cellIs" dxfId="249" priority="49" stopIfTrue="1" operator="equal">
      <formula>"TAT"</formula>
    </cfRule>
    <cfRule type="cellIs" dxfId="248" priority="50" stopIfTrue="1" operator="equal">
      <formula>"MB"</formula>
    </cfRule>
    <cfRule type="cellIs" dxfId="247" priority="51" stopIfTrue="1" operator="equal">
      <formula>"VIT"</formula>
    </cfRule>
    <cfRule type="cellIs" dxfId="246" priority="52" stopIfTrue="1" operator="equal">
      <formula>"CHO"</formula>
    </cfRule>
    <cfRule type="cellIs" dxfId="245" priority="53" stopIfTrue="1" operator="equal">
      <formula>"SKV"</formula>
    </cfRule>
  </conditionalFormatting>
  <conditionalFormatting sqref="H8:K9">
    <cfRule type="cellIs" dxfId="244" priority="26" stopIfTrue="1" operator="equal">
      <formula>"OTR"</formula>
    </cfRule>
    <cfRule type="cellIs" dxfId="243" priority="27" stopIfTrue="1" operator="equal">
      <formula>"PAR"</formula>
    </cfRule>
    <cfRule type="cellIs" dxfId="242" priority="28" stopIfTrue="1" operator="equal">
      <formula>"CLP"</formula>
    </cfRule>
    <cfRule type="cellIs" dxfId="241" priority="29" stopIfTrue="1" operator="equal">
      <formula>"HAT"</formula>
    </cfRule>
    <cfRule type="cellIs" dxfId="240" priority="30" stopIfTrue="1" operator="equal">
      <formula>"LIB"</formula>
    </cfRule>
    <cfRule type="cellIs" dxfId="239" priority="31" stopIfTrue="1" operator="equal">
      <formula>"BA"</formula>
    </cfRule>
    <cfRule type="cellIs" dxfId="238" priority="32" stopIfTrue="1" operator="equal">
      <formula>"SPA"</formula>
    </cfRule>
    <cfRule type="cellIs" dxfId="237" priority="33" stopIfTrue="1" operator="equal">
      <formula>"OST"</formula>
    </cfRule>
    <cfRule type="cellIs" dxfId="236" priority="34" stopIfTrue="1" operator="equal">
      <formula>"BOH"</formula>
    </cfRule>
    <cfRule type="cellIs" dxfId="235" priority="35" stopIfTrue="1" operator="equal">
      <formula>"TAT"</formula>
    </cfRule>
    <cfRule type="cellIs" dxfId="234" priority="36" stopIfTrue="1" operator="equal">
      <formula>"MB"</formula>
    </cfRule>
    <cfRule type="cellIs" dxfId="233" priority="37" stopIfTrue="1" operator="equal">
      <formula>"VIT"</formula>
    </cfRule>
    <cfRule type="cellIs" dxfId="232" priority="38" stopIfTrue="1" operator="equal">
      <formula>"CHO"</formula>
    </cfRule>
    <cfRule type="cellIs" dxfId="231" priority="39" stopIfTrue="1" operator="equal">
      <formula>"SKV"</formula>
    </cfRule>
  </conditionalFormatting>
  <conditionalFormatting sqref="S2:S42">
    <cfRule type="expression" dxfId="230" priority="10" stopIfTrue="1">
      <formula>IFERROR(IF(VLOOKUP($S2,OFFSET($AG$2,,,COUNTIF($AG$2:$AG$50,"?*")),1,FALSE)&lt;&gt;0,1,0),0)&gt;0</formula>
    </cfRule>
  </conditionalFormatting>
  <conditionalFormatting sqref="S2:S42">
    <cfRule type="expression" dxfId="229" priority="11">
      <formula>IFERROR(IF(VLOOKUP($S2,OFFSET($AG$2,,,COUNTIF($AG$2:$AG$50,"?*")),1,FALSE)&lt;&gt;0,1,0),0)=0</formula>
    </cfRule>
  </conditionalFormatting>
  <conditionalFormatting sqref="S45:S50">
    <cfRule type="expression" dxfId="228" priority="9">
      <formula>IFERROR(IF(VLOOKUP($S45,OFFSET($AG$2,,,COUNTIF($AG$2:$AG$50,"?*")),1,FALSE)&lt;&gt;0,1,0),0)&gt;0</formula>
    </cfRule>
  </conditionalFormatting>
  <conditionalFormatting sqref="S45:S50">
    <cfRule type="expression" dxfId="227" priority="8">
      <formula>IFERROR(IF(VLOOKUP($S45,OFFSET($AG$2,,,COUNTIF($AG$2:$AG$50,"?*")),1,FALSE)&lt;&gt;0,1,0),0)=0</formula>
    </cfRule>
  </conditionalFormatting>
  <conditionalFormatting sqref="AG2:AG50">
    <cfRule type="expression" dxfId="226" priority="5" stopIfTrue="1">
      <formula>OR($AH2="",$AI2="",$AJ2="",$AK2="",$AL2="",$AM2="",$AN2="",$AQ2="",$AR2="",$AS2="",$AT2="")</formula>
    </cfRule>
    <cfRule type="expression" dxfId="225" priority="6" stopIfTrue="1">
      <formula>IFERROR(IF(VLOOKUP($AG2,OFFSET($S$2,,,COUNTIF($S$2:$S$42,"?*")),1,FALSE)&lt;&gt;0,1,0),0)=0</formula>
    </cfRule>
    <cfRule type="expression" dxfId="224" priority="7">
      <formula>IFERROR(IF(VLOOKUP($AG2,OFFSET($S$2,,,COUNTIF($S$2:$S$42,"?*")),1,FALSE)&lt;&gt;0,1,0),0)&gt;0</formula>
    </cfRule>
  </conditionalFormatting>
  <conditionalFormatting sqref="AG2:AK50 AM2:BC50">
    <cfRule type="expression" dxfId="223" priority="4">
      <formula>AND($AG2&lt;&gt;"",MOD(ROW($AG2),2)=0)</formula>
    </cfRule>
  </conditionalFormatting>
  <conditionalFormatting sqref="BN2:BR11">
    <cfRule type="expression" dxfId="222" priority="3">
      <formula>AND($BN2&lt;&gt;"",MOD(ROW($BN2),2)=0)</formula>
    </cfRule>
  </conditionalFormatting>
  <conditionalFormatting sqref="AL2:AL50">
    <cfRule type="expression" dxfId="22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781</v>
      </c>
      <c r="T2" s="102" t="s">
        <v>119</v>
      </c>
      <c r="U2" s="102">
        <v>7</v>
      </c>
      <c r="V2" s="102">
        <v>6</v>
      </c>
      <c r="W2" s="102">
        <v>1</v>
      </c>
      <c r="X2" s="102">
        <v>0</v>
      </c>
      <c r="Y2" s="102">
        <v>3</v>
      </c>
      <c r="Z2" s="102">
        <v>9</v>
      </c>
      <c r="AA2" s="102">
        <v>4</v>
      </c>
      <c r="AB2" s="102">
        <v>-3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786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1292</v>
      </c>
      <c r="BU2" s="103">
        <v>9</v>
      </c>
      <c r="BV2" s="104" t="str">
        <f>IFERROR(RIGHT(BT2,LEN(BT2)-SEARCH(" ",BT2)),"")</f>
        <v>Ivo Teichman</v>
      </c>
      <c r="BW2" s="102">
        <f>IF(BT2&lt;&gt;0,_xlfn.NUMBERVALUE(BU2,","),"")</f>
        <v>9</v>
      </c>
      <c r="BX2" s="379" t="s">
        <v>211</v>
      </c>
      <c r="BY2" s="103" t="s">
        <v>795</v>
      </c>
      <c r="BZ2" s="103" t="s">
        <v>920</v>
      </c>
      <c r="CA2" s="115" t="s">
        <v>1290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775</v>
      </c>
      <c r="U3" s="102">
        <v>6</v>
      </c>
      <c r="V3" s="102">
        <v>4</v>
      </c>
      <c r="W3" s="102">
        <v>1</v>
      </c>
      <c r="X3" s="102">
        <v>0</v>
      </c>
      <c r="Y3" s="102">
        <v>3</v>
      </c>
      <c r="Z3" s="102">
        <v>7</v>
      </c>
      <c r="AA3" s="102">
        <v>0</v>
      </c>
      <c r="AB3" s="102">
        <v>-14</v>
      </c>
      <c r="AC3" s="102" t="str">
        <f t="shared" ca="1" si="0"/>
        <v>ANO</v>
      </c>
      <c r="AG3" s="121" t="s">
        <v>779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1293</v>
      </c>
      <c r="BU3" s="103">
        <v>7</v>
      </c>
      <c r="BV3" s="104" t="str">
        <f t="shared" ref="BV3:BV31" si="13">IFERROR(RIGHT(BT3,LEN(BT3)-SEARCH(" ",BT3)),"")</f>
        <v>Adam Šmíd</v>
      </c>
      <c r="BW3" s="102">
        <f t="shared" ref="BW3:BW31" si="14">IF(BT3&lt;&gt;0,_xlfn.NUMBERVALUE(BU3,","),"")</f>
        <v>7</v>
      </c>
      <c r="BX3" s="379"/>
      <c r="BY3" s="103" t="s">
        <v>263</v>
      </c>
      <c r="BZ3" s="103" t="s">
        <v>935</v>
      </c>
      <c r="CA3" s="115" t="s">
        <v>813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636</v>
      </c>
      <c r="U4" s="102">
        <v>7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0</v>
      </c>
      <c r="AB4" s="102">
        <v>-11</v>
      </c>
      <c r="AC4" s="102" t="str">
        <f t="shared" ca="1" si="0"/>
        <v>ANO</v>
      </c>
      <c r="AG4" s="121" t="s">
        <v>784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5 P</v>
      </c>
      <c r="AY4" s="129" t="str">
        <f t="shared" ca="1" si="2"/>
        <v>6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882</v>
      </c>
      <c r="BU4" s="103">
        <v>7</v>
      </c>
      <c r="BV4" s="104" t="str">
        <f t="shared" si="13"/>
        <v>Matyáš Velc</v>
      </c>
      <c r="BW4" s="102">
        <f t="shared" si="14"/>
        <v>7</v>
      </c>
      <c r="BX4" s="379"/>
      <c r="BY4" s="103" t="s">
        <v>207</v>
      </c>
      <c r="BZ4" s="103" t="s">
        <v>957</v>
      </c>
      <c r="CA4" s="115" t="s">
        <v>835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783</v>
      </c>
      <c r="T5" s="102" t="s">
        <v>119</v>
      </c>
      <c r="U5" s="102">
        <v>7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2</v>
      </c>
      <c r="AB5" s="102">
        <v>-12</v>
      </c>
      <c r="AC5" s="102" t="str">
        <f t="shared" ca="1" si="0"/>
        <v>ANO</v>
      </c>
      <c r="AG5" s="121" t="s">
        <v>774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7 OZ, 2 (2+0), -9 ±</v>
      </c>
      <c r="AY5" s="129" t="str">
        <f t="shared" ca="1" si="2"/>
        <v>7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881</v>
      </c>
      <c r="BU5" s="103">
        <v>7</v>
      </c>
      <c r="BV5" s="104" t="str">
        <f t="shared" si="13"/>
        <v>Přemek Pakosta</v>
      </c>
      <c r="BW5" s="102">
        <f t="shared" si="14"/>
        <v>7</v>
      </c>
      <c r="BX5" s="379"/>
      <c r="BY5" s="103" t="s">
        <v>262</v>
      </c>
      <c r="BZ5" s="103" t="s">
        <v>958</v>
      </c>
      <c r="CA5" s="115" t="s">
        <v>213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787</v>
      </c>
      <c r="T6" s="102" t="s">
        <v>119</v>
      </c>
      <c r="U6" s="102">
        <v>3</v>
      </c>
      <c r="V6" s="102">
        <v>3</v>
      </c>
      <c r="W6" s="102">
        <v>1</v>
      </c>
      <c r="X6" s="102">
        <v>0</v>
      </c>
      <c r="Y6" s="102">
        <v>1</v>
      </c>
      <c r="Z6" s="102">
        <v>4</v>
      </c>
      <c r="AA6" s="102">
        <v>0</v>
      </c>
      <c r="AB6" s="102">
        <v>-8</v>
      </c>
      <c r="AC6" s="102" t="str">
        <f t="shared" ca="1" si="0"/>
        <v>ANO</v>
      </c>
      <c r="AG6" s="121" t="s">
        <v>780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7 OZ, 0 (0+0), -1 ±</v>
      </c>
      <c r="AY6" s="129" t="str">
        <f t="shared" ca="1" si="2"/>
        <v>7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1294</v>
      </c>
      <c r="BU6" s="103">
        <v>4</v>
      </c>
      <c r="BV6" s="104" t="str">
        <f t="shared" si="13"/>
        <v>Jan Savický</v>
      </c>
      <c r="BW6" s="102">
        <f t="shared" si="14"/>
        <v>4</v>
      </c>
      <c r="BX6" s="379"/>
      <c r="BY6" s="103" t="s">
        <v>851</v>
      </c>
      <c r="BZ6" s="103" t="s">
        <v>924</v>
      </c>
      <c r="CA6" s="115" t="s">
        <v>835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779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-7</v>
      </c>
      <c r="AC7" s="102" t="str">
        <f t="shared" ca="1" si="0"/>
        <v>ANO</v>
      </c>
      <c r="AG7" s="121" t="s">
        <v>740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7 OZ, 3 (1+2), -9 ±</v>
      </c>
      <c r="AY7" s="129" t="str">
        <f t="shared" ca="1" si="2"/>
        <v>7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788</v>
      </c>
      <c r="BU7" s="103" t="s">
        <v>1295</v>
      </c>
      <c r="BV7" s="104" t="str">
        <f t="shared" si="13"/>
        <v>Martin Haleš</v>
      </c>
      <c r="BW7" s="112">
        <f t="shared" si="14"/>
        <v>8.24</v>
      </c>
      <c r="BX7" s="379" t="s">
        <v>212</v>
      </c>
      <c r="BY7" s="103" t="s">
        <v>906</v>
      </c>
      <c r="BZ7" s="103" t="s">
        <v>933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778</v>
      </c>
      <c r="U8" s="102">
        <v>7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785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1111</v>
      </c>
      <c r="BU8" s="103" t="s">
        <v>1296</v>
      </c>
      <c r="BV8" s="104" t="str">
        <f t="shared" si="13"/>
        <v>Matěj Denemark</v>
      </c>
      <c r="BW8" s="112">
        <f t="shared" si="14"/>
        <v>4.07</v>
      </c>
      <c r="BX8" s="379"/>
      <c r="BY8" s="103" t="s">
        <v>1258</v>
      </c>
      <c r="BZ8" s="103" t="s">
        <v>997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776</v>
      </c>
      <c r="U9" s="102">
        <v>7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4</v>
      </c>
      <c r="AB9" s="102">
        <v>-12</v>
      </c>
      <c r="AC9" s="102" t="str">
        <f t="shared" ca="1" si="0"/>
        <v>ANO</v>
      </c>
      <c r="AG9" s="121" t="s">
        <v>783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7 OZ, 7 (2+5), -12 ±</v>
      </c>
      <c r="AY9" s="129" t="str">
        <f t="shared" ca="1" si="2"/>
        <v>7 OZ, 7 (2+5)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1112</v>
      </c>
      <c r="BU9" s="103" t="s">
        <v>1009</v>
      </c>
      <c r="BV9" s="104" t="str">
        <f t="shared" si="13"/>
        <v>Karel Aubus</v>
      </c>
      <c r="BW9" s="112">
        <f t="shared" si="14"/>
        <v>5.12</v>
      </c>
      <c r="BX9" s="379"/>
      <c r="BY9" s="103" t="s">
        <v>938</v>
      </c>
      <c r="BZ9" s="103" t="s">
        <v>937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740</v>
      </c>
      <c r="U10" s="102">
        <v>7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4</v>
      </c>
      <c r="AB10" s="102">
        <v>-9</v>
      </c>
      <c r="AC10" s="102" t="str">
        <f t="shared" ca="1" si="0"/>
        <v>ANO</v>
      </c>
      <c r="AG10" s="121" t="s">
        <v>777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7 OZ, 0 (0+0), -9 ±</v>
      </c>
      <c r="AY10" s="129" t="str">
        <f t="shared" ca="1" si="2"/>
        <v>7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971</v>
      </c>
      <c r="CA10" s="115" t="s">
        <v>205</v>
      </c>
    </row>
    <row r="11" spans="1:79" ht="15" customHeight="1" thickTop="1" thickBot="1" x14ac:dyDescent="0.25">
      <c r="R11" s="13"/>
      <c r="S11" s="110" t="s">
        <v>772</v>
      </c>
      <c r="U11" s="102">
        <v>6</v>
      </c>
      <c r="V11" s="102">
        <v>0</v>
      </c>
      <c r="W11" s="102">
        <v>0</v>
      </c>
      <c r="X11" s="102">
        <v>0</v>
      </c>
      <c r="Y11" s="102">
        <v>3</v>
      </c>
      <c r="Z11" s="102">
        <v>3</v>
      </c>
      <c r="AA11" s="102">
        <v>0</v>
      </c>
      <c r="AB11" s="102">
        <v>-1</v>
      </c>
      <c r="AC11" s="102" t="str">
        <f t="shared" ca="1" si="0"/>
        <v>ANO</v>
      </c>
      <c r="AG11" s="121" t="s">
        <v>772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6 OZ, 3 (0+3), -1 ±</v>
      </c>
      <c r="AY11" s="129" t="str">
        <f t="shared" ca="1" si="2"/>
        <v>6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1221</v>
      </c>
      <c r="BZ11" s="103" t="s">
        <v>960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774</v>
      </c>
      <c r="T12" s="102" t="s">
        <v>64</v>
      </c>
      <c r="U12" s="102">
        <v>7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2</v>
      </c>
      <c r="AB12" s="102">
        <v>-9</v>
      </c>
      <c r="AC12" s="102" t="str">
        <f t="shared" ca="1" si="0"/>
        <v>ANO</v>
      </c>
      <c r="AG12" s="121" t="s">
        <v>776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7 OZ, 3 (1+2), -12 ±</v>
      </c>
      <c r="AY12" s="129" t="str">
        <f t="shared" ca="1" si="2"/>
        <v>7 OZ, 3 (1+2)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1292</v>
      </c>
      <c r="BU12" s="103">
        <v>6</v>
      </c>
      <c r="BV12" s="104" t="str">
        <f t="shared" si="13"/>
        <v>Ivo Teichman</v>
      </c>
      <c r="BW12" s="102">
        <f t="shared" si="14"/>
        <v>6</v>
      </c>
      <c r="BX12" s="120" t="s">
        <v>210</v>
      </c>
      <c r="BY12" s="100" t="s">
        <v>1291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782</v>
      </c>
      <c r="U13" s="102">
        <v>7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-10</v>
      </c>
      <c r="AC13" s="102" t="str">
        <f t="shared" ca="1" si="0"/>
        <v>ANO</v>
      </c>
      <c r="AG13" s="121" t="s">
        <v>773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7 OZ, 1 (1+0), -9 ±</v>
      </c>
      <c r="AY13" s="129" t="str">
        <f t="shared" ca="1" si="2"/>
        <v>7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1293</v>
      </c>
      <c r="BU13" s="103">
        <v>4</v>
      </c>
      <c r="BV13" s="104" t="str">
        <f t="shared" si="13"/>
        <v>Adam Šmíd</v>
      </c>
      <c r="BW13" s="102">
        <f t="shared" si="14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773</v>
      </c>
      <c r="U14" s="102">
        <v>7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-9</v>
      </c>
      <c r="AC14" s="102" t="str">
        <f t="shared" ca="1" si="0"/>
        <v>ANO</v>
      </c>
      <c r="AG14" s="121" t="s">
        <v>787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843</v>
      </c>
      <c r="BU14" s="103">
        <v>3</v>
      </c>
      <c r="BV14" s="104" t="str">
        <f t="shared" si="13"/>
        <v>Jan Savický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1011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782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7 OZ, 1 (1+0), -10 ±</v>
      </c>
      <c r="AY15" s="129" t="str">
        <f t="shared" ca="1" si="2"/>
        <v>7 OZ, 1 (1+0)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1297</v>
      </c>
      <c r="BU15" s="103">
        <v>3</v>
      </c>
      <c r="BV15" s="104" t="str">
        <f t="shared" si="13"/>
        <v>Matyáš Velc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785</v>
      </c>
      <c r="T16" s="102" t="s">
        <v>119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-2</v>
      </c>
      <c r="AC16" s="102" t="str">
        <f t="shared" ca="1" si="0"/>
        <v>ANO</v>
      </c>
      <c r="AG16" s="121" t="s">
        <v>775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6 OZ, 7 (4+3), -14 ±</v>
      </c>
      <c r="AY16" s="129" t="str">
        <f t="shared" ca="1" si="2"/>
        <v>6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1008</v>
      </c>
      <c r="BU16" s="103">
        <v>2</v>
      </c>
      <c r="BV16" s="104" t="str">
        <f t="shared" si="13"/>
        <v>David Žáček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786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781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7 OZ, 9 (6+3), -3 ±</v>
      </c>
      <c r="AY17" s="129" t="str">
        <f t="shared" ca="1" si="2"/>
        <v>7 OZ, 9 (6+3)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788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841</v>
      </c>
      <c r="T18" s="102" t="s">
        <v>64</v>
      </c>
      <c r="U18" s="102">
        <v>6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-5</v>
      </c>
      <c r="AC18" s="102" t="str">
        <f t="shared" ca="1" si="0"/>
        <v>NE</v>
      </c>
      <c r="AG18" s="121" t="s">
        <v>636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7 OZ, 7 (3+4), -11 ±</v>
      </c>
      <c r="AY18" s="129" t="str">
        <f t="shared" ca="1" si="2"/>
        <v>7 OZ, 7 (3+4)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789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PAR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842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-6</v>
      </c>
      <c r="AC19" s="102" t="str">
        <f t="shared" ca="1" si="0"/>
        <v>NE</v>
      </c>
      <c r="AG19" s="121" t="s">
        <v>778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7 OZ, 3 (2+1), -5 ±</v>
      </c>
      <c r="AY19" s="129" t="str">
        <f t="shared" ca="1" si="2"/>
        <v>7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1010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777</v>
      </c>
      <c r="T21" s="102" t="s">
        <v>119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-9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780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1298</v>
      </c>
      <c r="BU22" s="103">
        <v>5</v>
      </c>
      <c r="BV22" s="104" t="str">
        <f t="shared" si="13"/>
        <v>Přemek Pakosta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790</v>
      </c>
      <c r="BU23" s="103">
        <v>4</v>
      </c>
      <c r="BV23" s="104" t="str">
        <f t="shared" si="13"/>
        <v>Matyáš Velc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1299</v>
      </c>
      <c r="BU24" s="103">
        <v>3</v>
      </c>
      <c r="BV24" s="104" t="str">
        <f t="shared" si="13"/>
        <v>Adam Šmíd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1300</v>
      </c>
      <c r="BU25" s="103">
        <v>3</v>
      </c>
      <c r="BV25" s="104" t="str">
        <f t="shared" si="13"/>
        <v>David Petržela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1301</v>
      </c>
      <c r="BU26" s="103">
        <v>3</v>
      </c>
      <c r="BV26" s="104" t="str">
        <f t="shared" si="13"/>
        <v>Ivo Teichman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1292</v>
      </c>
      <c r="BU27" s="103">
        <v>4</v>
      </c>
      <c r="BV27" s="104" t="str">
        <f t="shared" si="13"/>
        <v>Ivo Teichman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1302</v>
      </c>
      <c r="BU28" s="103">
        <v>4</v>
      </c>
      <c r="BV28" s="104" t="str">
        <f t="shared" si="13"/>
        <v>Lukáš Kučera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1303</v>
      </c>
      <c r="BU29" s="103">
        <v>4</v>
      </c>
      <c r="BV29" s="104" t="str">
        <f t="shared" si="13"/>
        <v>Lukáš Prix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PAR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1304</v>
      </c>
      <c r="BU30" s="103">
        <v>2</v>
      </c>
      <c r="BV30" s="104" t="str">
        <f t="shared" si="13"/>
        <v>David Žáček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1305</v>
      </c>
      <c r="BU31" s="103">
        <v>2</v>
      </c>
      <c r="BV31" s="104" t="str">
        <f t="shared" si="13"/>
        <v>Patrik Petr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784</v>
      </c>
      <c r="T45" s="102">
        <v>6</v>
      </c>
      <c r="U45" s="112">
        <v>276.55</v>
      </c>
      <c r="V45" s="102">
        <v>1</v>
      </c>
      <c r="W45" s="102">
        <v>38</v>
      </c>
      <c r="X45" s="102">
        <v>0</v>
      </c>
      <c r="Y45" s="102">
        <v>150</v>
      </c>
      <c r="Z45" s="102">
        <v>0</v>
      </c>
      <c r="AA45" s="102">
        <v>5</v>
      </c>
      <c r="AB45" s="102">
        <v>112</v>
      </c>
      <c r="AC45" s="102">
        <v>0</v>
      </c>
      <c r="AD45" s="102">
        <v>0</v>
      </c>
      <c r="AE45" s="112">
        <f>IF(S45&lt;&gt;"",IF(T45&gt;0,W45/(U45/60),0),"")</f>
        <v>8.2444404266859515</v>
      </c>
      <c r="AF45" s="112">
        <f>IF(S45&lt;&gt;"",IF(Y45&gt;0,(AB45/Y45)*100,"-"),"")</f>
        <v>74.666666666666671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1011</v>
      </c>
      <c r="T46" s="102">
        <v>1</v>
      </c>
      <c r="U46" s="112">
        <v>58.93</v>
      </c>
      <c r="V46" s="102">
        <v>0</v>
      </c>
      <c r="W46" s="102">
        <v>4</v>
      </c>
      <c r="X46" s="102">
        <v>0</v>
      </c>
      <c r="Y46" s="102">
        <v>37</v>
      </c>
      <c r="Z46" s="102">
        <v>0</v>
      </c>
      <c r="AA46" s="102">
        <v>1</v>
      </c>
      <c r="AB46" s="102">
        <v>33</v>
      </c>
      <c r="AC46" s="102">
        <v>0</v>
      </c>
      <c r="AD46" s="102">
        <v>0</v>
      </c>
      <c r="AE46" s="112">
        <f t="shared" ref="AE46:AE50" si="25">IF(S46&lt;&gt;"",IF(T46&gt;0,W46/(U46/60),0),"")</f>
        <v>4.0726285423383679</v>
      </c>
      <c r="AF46" s="112">
        <f t="shared" ref="AF46:AF50" si="26">IF(S46&lt;&gt;"",IF(Y46&gt;0,(AB46/Y46)*100,"-"),"")</f>
        <v>89.189189189189193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786</v>
      </c>
      <c r="T47" s="102">
        <v>2</v>
      </c>
      <c r="U47" s="112">
        <v>82.1</v>
      </c>
      <c r="V47" s="102">
        <v>0</v>
      </c>
      <c r="W47" s="102">
        <v>7</v>
      </c>
      <c r="X47" s="102">
        <v>0</v>
      </c>
      <c r="Y47" s="102">
        <v>34</v>
      </c>
      <c r="Z47" s="102">
        <v>0</v>
      </c>
      <c r="AA47" s="102">
        <v>2</v>
      </c>
      <c r="AB47" s="102">
        <v>27</v>
      </c>
      <c r="AC47" s="102">
        <v>0</v>
      </c>
      <c r="AD47" s="102">
        <v>0</v>
      </c>
      <c r="AE47" s="112">
        <f t="shared" si="25"/>
        <v>5.1157125456760051</v>
      </c>
      <c r="AF47" s="112">
        <f t="shared" si="26"/>
        <v>79.411764705882348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20" priority="11" stopIfTrue="1" operator="equal">
      <formula>"OTR"</formula>
    </cfRule>
    <cfRule type="cellIs" dxfId="219" priority="12" stopIfTrue="1" operator="equal">
      <formula>"PAR"</formula>
    </cfRule>
    <cfRule type="cellIs" dxfId="218" priority="13" stopIfTrue="1" operator="equal">
      <formula>"CLP"</formula>
    </cfRule>
    <cfRule type="cellIs" dxfId="217" priority="14" stopIfTrue="1" operator="equal">
      <formula>"HAT"</formula>
    </cfRule>
    <cfRule type="cellIs" dxfId="216" priority="15" stopIfTrue="1" operator="equal">
      <formula>"LIB"</formula>
    </cfRule>
    <cfRule type="cellIs" dxfId="215" priority="16" stopIfTrue="1" operator="equal">
      <formula>"BA"</formula>
    </cfRule>
    <cfRule type="cellIs" dxfId="214" priority="17" stopIfTrue="1" operator="equal">
      <formula>"SPA"</formula>
    </cfRule>
    <cfRule type="cellIs" dxfId="213" priority="18" stopIfTrue="1" operator="equal">
      <formula>"OST"</formula>
    </cfRule>
    <cfRule type="cellIs" dxfId="212" priority="19" stopIfTrue="1" operator="equal">
      <formula>"BOH"</formula>
    </cfRule>
    <cfRule type="cellIs" dxfId="211" priority="20" stopIfTrue="1" operator="equal">
      <formula>"TAT"</formula>
    </cfRule>
    <cfRule type="cellIs" dxfId="210" priority="21" stopIfTrue="1" operator="equal">
      <formula>"MB"</formula>
    </cfRule>
    <cfRule type="cellIs" dxfId="209" priority="22" stopIfTrue="1" operator="equal">
      <formula>"VIT"</formula>
    </cfRule>
    <cfRule type="cellIs" dxfId="208" priority="23" stopIfTrue="1" operator="equal">
      <formula>"CHO"</formula>
    </cfRule>
    <cfRule type="cellIs" dxfId="207" priority="24" stopIfTrue="1" operator="equal">
      <formula>"SKV"</formula>
    </cfRule>
  </conditionalFormatting>
  <conditionalFormatting sqref="H19:K20">
    <cfRule type="cellIs" dxfId="206" priority="39" stopIfTrue="1" operator="equal">
      <formula>"OTR"</formula>
    </cfRule>
    <cfRule type="cellIs" dxfId="205" priority="40" stopIfTrue="1" operator="equal">
      <formula>"PAR"</formula>
    </cfRule>
    <cfRule type="cellIs" dxfId="204" priority="41" stopIfTrue="1" operator="equal">
      <formula>"CLP"</formula>
    </cfRule>
    <cfRule type="cellIs" dxfId="203" priority="42" stopIfTrue="1" operator="equal">
      <formula>"HAT"</formula>
    </cfRule>
    <cfRule type="cellIs" dxfId="202" priority="43" stopIfTrue="1" operator="equal">
      <formula>"LIB"</formula>
    </cfRule>
    <cfRule type="cellIs" dxfId="201" priority="44" stopIfTrue="1" operator="equal">
      <formula>"BA"</formula>
    </cfRule>
    <cfRule type="cellIs" dxfId="200" priority="45" stopIfTrue="1" operator="equal">
      <formula>"SPA"</formula>
    </cfRule>
    <cfRule type="cellIs" dxfId="199" priority="46" stopIfTrue="1" operator="equal">
      <formula>"OST"</formula>
    </cfRule>
    <cfRule type="cellIs" dxfId="198" priority="47" stopIfTrue="1" operator="equal">
      <formula>"BOH"</formula>
    </cfRule>
    <cfRule type="cellIs" dxfId="197" priority="48" stopIfTrue="1" operator="equal">
      <formula>"TAT"</formula>
    </cfRule>
    <cfRule type="cellIs" dxfId="196" priority="49" stopIfTrue="1" operator="equal">
      <formula>"MB"</formula>
    </cfRule>
    <cfRule type="cellIs" dxfId="195" priority="50" stopIfTrue="1" operator="equal">
      <formula>"VIT"</formula>
    </cfRule>
    <cfRule type="cellIs" dxfId="194" priority="51" stopIfTrue="1" operator="equal">
      <formula>"CHO"</formula>
    </cfRule>
    <cfRule type="cellIs" dxfId="193" priority="52" stopIfTrue="1" operator="equal">
      <formula>"SKV"</formula>
    </cfRule>
  </conditionalFormatting>
  <conditionalFormatting sqref="H8:K9">
    <cfRule type="cellIs" dxfId="192" priority="25" stopIfTrue="1" operator="equal">
      <formula>"OTR"</formula>
    </cfRule>
    <cfRule type="cellIs" dxfId="191" priority="26" stopIfTrue="1" operator="equal">
      <formula>"PAR"</formula>
    </cfRule>
    <cfRule type="cellIs" dxfId="190" priority="27" stopIfTrue="1" operator="equal">
      <formula>"CLP"</formula>
    </cfRule>
    <cfRule type="cellIs" dxfId="189" priority="28" stopIfTrue="1" operator="equal">
      <formula>"HAT"</formula>
    </cfRule>
    <cfRule type="cellIs" dxfId="188" priority="29" stopIfTrue="1" operator="equal">
      <formula>"LIB"</formula>
    </cfRule>
    <cfRule type="cellIs" dxfId="187" priority="30" stopIfTrue="1" operator="equal">
      <formula>"BA"</formula>
    </cfRule>
    <cfRule type="cellIs" dxfId="186" priority="31" stopIfTrue="1" operator="equal">
      <formula>"SPA"</formula>
    </cfRule>
    <cfRule type="cellIs" dxfId="185" priority="32" stopIfTrue="1" operator="equal">
      <formula>"OST"</formula>
    </cfRule>
    <cfRule type="cellIs" dxfId="184" priority="33" stopIfTrue="1" operator="equal">
      <formula>"BOH"</formula>
    </cfRule>
    <cfRule type="cellIs" dxfId="183" priority="34" stopIfTrue="1" operator="equal">
      <formula>"TAT"</formula>
    </cfRule>
    <cfRule type="cellIs" dxfId="182" priority="35" stopIfTrue="1" operator="equal">
      <formula>"MB"</formula>
    </cfRule>
    <cfRule type="cellIs" dxfId="181" priority="36" stopIfTrue="1" operator="equal">
      <formula>"VIT"</formula>
    </cfRule>
    <cfRule type="cellIs" dxfId="180" priority="37" stopIfTrue="1" operator="equal">
      <formula>"CHO"</formula>
    </cfRule>
    <cfRule type="cellIs" dxfId="179" priority="38" stopIfTrue="1" operator="equal">
      <formula>"SKV"</formula>
    </cfRule>
  </conditionalFormatting>
  <conditionalFormatting sqref="S2:S42">
    <cfRule type="expression" dxfId="178" priority="9" stopIfTrue="1">
      <formula>IFERROR(IF(VLOOKUP($S2,OFFSET($AG$2,,,COUNTIF($AG$2:$AG$50,"?*")),1,FALSE)&lt;&gt;0,1,0),0)&gt;0</formula>
    </cfRule>
  </conditionalFormatting>
  <conditionalFormatting sqref="S2:S42">
    <cfRule type="expression" dxfId="177" priority="10">
      <formula>IFERROR(IF(VLOOKUP($S2,OFFSET($AG$2,,,COUNTIF($AG$2:$AG$50,"?*")),1,FALSE)&lt;&gt;0,1,0),0)=0</formula>
    </cfRule>
  </conditionalFormatting>
  <conditionalFormatting sqref="S45:S50">
    <cfRule type="expression" dxfId="176" priority="8">
      <formula>IFERROR(IF(VLOOKUP($S45,OFFSET($AG$2,,,COUNTIF($AG$2:$AG$50,"?*")),1,FALSE)&lt;&gt;0,1,0),0)&gt;0</formula>
    </cfRule>
  </conditionalFormatting>
  <conditionalFormatting sqref="S45:S50">
    <cfRule type="expression" dxfId="175" priority="7">
      <formula>IFERROR(IF(VLOOKUP($S45,OFFSET($AG$2,,,COUNTIF($AG$2:$AG$50,"?*")),1,FALSE)&lt;&gt;0,1,0),0)=0</formula>
    </cfRule>
  </conditionalFormatting>
  <conditionalFormatting sqref="AG2:AG50">
    <cfRule type="expression" dxfId="174" priority="4" stopIfTrue="1">
      <formula>OR($AH2="",$AI2="",$AJ2="",$AK2="",$AL2="",$AM2="",$AN2="",$AQ2="",$AR2="",$AS2="",$AT2="")</formula>
    </cfRule>
    <cfRule type="expression" dxfId="173" priority="5" stopIfTrue="1">
      <formula>IFERROR(IF(VLOOKUP($AG2,OFFSET($S$2,,,COUNTIF($S$2:$S$42,"?*")),1,FALSE)&lt;&gt;0,1,0),0)=0</formula>
    </cfRule>
    <cfRule type="expression" dxfId="172" priority="6">
      <formula>IFERROR(IF(VLOOKUP($AG2,OFFSET($S$2,,,COUNTIF($S$2:$S$42,"?*")),1,FALSE)&lt;&gt;0,1,0),0)&gt;0</formula>
    </cfRule>
  </conditionalFormatting>
  <conditionalFormatting sqref="AG2:AK50 AM2:BC50">
    <cfRule type="expression" dxfId="171" priority="3">
      <formula>AND($AG2&lt;&gt;"",MOD(ROW($AG2),2)=0)</formula>
    </cfRule>
  </conditionalFormatting>
  <conditionalFormatting sqref="BN2:BR11">
    <cfRule type="expression" dxfId="170" priority="2">
      <formula>AND($BN2&lt;&gt;"",MOD(ROW($BN2),2)=0)</formula>
    </cfRule>
  </conditionalFormatting>
  <conditionalFormatting sqref="AL2:AL50">
    <cfRule type="expression" dxfId="169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608</v>
      </c>
      <c r="T2" s="102" t="s">
        <v>119</v>
      </c>
      <c r="U2" s="102">
        <v>7</v>
      </c>
      <c r="V2" s="102">
        <v>7</v>
      </c>
      <c r="W2" s="102">
        <v>3</v>
      </c>
      <c r="X2" s="102">
        <v>0</v>
      </c>
      <c r="Y2" s="102">
        <v>6</v>
      </c>
      <c r="Z2" s="102">
        <v>13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627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149</v>
      </c>
      <c r="AQ2" s="123">
        <v>173</v>
      </c>
      <c r="AR2" s="123">
        <v>62</v>
      </c>
      <c r="AS2" s="126" t="s">
        <v>639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653</v>
      </c>
      <c r="BO2" s="122">
        <v>29384</v>
      </c>
      <c r="BP2" s="131" t="s">
        <v>256</v>
      </c>
      <c r="BQ2" s="132" t="s">
        <v>654</v>
      </c>
      <c r="BR2" s="127">
        <f ca="1">IF(BN2&lt;&gt;"",IF(BO2&lt;&gt;"",INT((TODAY()-BO2)/365),"?"),"")</f>
        <v>41</v>
      </c>
      <c r="BS2" s="380" t="s">
        <v>36</v>
      </c>
      <c r="BT2" s="104" t="s">
        <v>661</v>
      </c>
      <c r="BU2" s="103">
        <v>13</v>
      </c>
      <c r="BV2" s="104" t="str">
        <f>IFERROR(RIGHT(BT2,LEN(BT2)-SEARCH(" ",BT2)),"")</f>
        <v>Lukáš Ujhélyi</v>
      </c>
      <c r="BW2" s="102">
        <f>IF(BT2&lt;&gt;0,_xlfn.NUMBERVALUE(BU2,","),"")</f>
        <v>13</v>
      </c>
      <c r="BX2" s="379" t="s">
        <v>211</v>
      </c>
      <c r="BY2" s="103" t="s">
        <v>795</v>
      </c>
      <c r="BZ2" s="103" t="s">
        <v>935</v>
      </c>
      <c r="CA2" s="115" t="s">
        <v>1306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609</v>
      </c>
      <c r="U3" s="102">
        <v>7</v>
      </c>
      <c r="V3" s="102">
        <v>6</v>
      </c>
      <c r="W3" s="102">
        <v>0</v>
      </c>
      <c r="X3" s="102">
        <v>0</v>
      </c>
      <c r="Y3" s="102">
        <v>7</v>
      </c>
      <c r="Z3" s="102">
        <v>13</v>
      </c>
      <c r="AA3" s="102">
        <v>2</v>
      </c>
      <c r="AB3" s="102">
        <v>12</v>
      </c>
      <c r="AC3" s="102" t="str">
        <f t="shared" ca="1" si="0"/>
        <v>ANO</v>
      </c>
      <c r="AG3" s="121" t="s">
        <v>613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640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7 OZ, 5 (2+3), +8 ±</v>
      </c>
      <c r="AY3" s="129" t="str">
        <f t="shared" ca="1" si="2"/>
        <v>134 OZ, 31 (11+20)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655</v>
      </c>
      <c r="BO3" s="122">
        <v>31166</v>
      </c>
      <c r="BP3" s="131" t="s">
        <v>257</v>
      </c>
      <c r="BQ3" s="132" t="s">
        <v>656</v>
      </c>
      <c r="BR3" s="127">
        <f t="shared" ref="BR3:BR11" ca="1" si="12">IF(BN3&lt;&gt;"",IF(BO3&lt;&gt;"",INT((TODAY()-BO3)/365),"?"),"")</f>
        <v>36</v>
      </c>
      <c r="BS3" s="380"/>
      <c r="BT3" s="104" t="s">
        <v>662</v>
      </c>
      <c r="BU3" s="103">
        <v>13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13</v>
      </c>
      <c r="BX3" s="379"/>
      <c r="BY3" s="103" t="s">
        <v>263</v>
      </c>
      <c r="BZ3" s="103" t="s">
        <v>954</v>
      </c>
      <c r="CA3" s="115" t="s">
        <v>1307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610</v>
      </c>
      <c r="U4" s="102">
        <v>7</v>
      </c>
      <c r="V4" s="102">
        <v>6</v>
      </c>
      <c r="W4" s="102">
        <v>1</v>
      </c>
      <c r="X4" s="102">
        <v>0</v>
      </c>
      <c r="Y4" s="102">
        <v>5</v>
      </c>
      <c r="Z4" s="102">
        <v>11</v>
      </c>
      <c r="AA4" s="102">
        <v>4</v>
      </c>
      <c r="AB4" s="102">
        <v>12</v>
      </c>
      <c r="AC4" s="102" t="str">
        <f t="shared" ca="1" si="0"/>
        <v>ANO</v>
      </c>
      <c r="AG4" s="121" t="s">
        <v>395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149</v>
      </c>
      <c r="AQ4" s="123">
        <v>185</v>
      </c>
      <c r="AR4" s="123">
        <v>75</v>
      </c>
      <c r="AS4" s="126" t="s">
        <v>271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657</v>
      </c>
      <c r="BO4" s="122">
        <v>32564</v>
      </c>
      <c r="BP4" s="131" t="s">
        <v>257</v>
      </c>
      <c r="BQ4" s="132" t="s">
        <v>658</v>
      </c>
      <c r="BR4" s="127">
        <f t="shared" ca="1" si="12"/>
        <v>32</v>
      </c>
      <c r="BS4" s="380"/>
      <c r="BT4" s="104" t="s">
        <v>1309</v>
      </c>
      <c r="BU4" s="103">
        <v>11</v>
      </c>
      <c r="BV4" s="104" t="str">
        <f t="shared" si="13"/>
        <v>Mikuláš Krbec</v>
      </c>
      <c r="BW4" s="102">
        <f t="shared" si="14"/>
        <v>11</v>
      </c>
      <c r="BX4" s="379"/>
      <c r="BY4" s="103" t="s">
        <v>207</v>
      </c>
      <c r="BZ4" s="103" t="s">
        <v>904</v>
      </c>
      <c r="CA4" s="115" t="s">
        <v>834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612</v>
      </c>
      <c r="U5" s="102">
        <v>7</v>
      </c>
      <c r="V5" s="102">
        <v>4</v>
      </c>
      <c r="W5" s="102">
        <v>0</v>
      </c>
      <c r="X5" s="102">
        <v>0</v>
      </c>
      <c r="Y5" s="102">
        <v>5</v>
      </c>
      <c r="Z5" s="102">
        <v>9</v>
      </c>
      <c r="AA5" s="102">
        <v>2</v>
      </c>
      <c r="AB5" s="102">
        <v>5</v>
      </c>
      <c r="AC5" s="102" t="str">
        <f t="shared" ca="1" si="0"/>
        <v>ANO</v>
      </c>
      <c r="AG5" s="121" t="s">
        <v>623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641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3 P</v>
      </c>
      <c r="AY5" s="129" t="str">
        <f t="shared" ca="1" si="2"/>
        <v>213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659</v>
      </c>
      <c r="BO5" s="122">
        <v>33689</v>
      </c>
      <c r="BP5" s="131" t="s">
        <v>442</v>
      </c>
      <c r="BQ5" s="132"/>
      <c r="BR5" s="127">
        <f t="shared" ca="1" si="12"/>
        <v>29</v>
      </c>
      <c r="BS5" s="380"/>
      <c r="BT5" s="104" t="s">
        <v>663</v>
      </c>
      <c r="BU5" s="103">
        <v>9</v>
      </c>
      <c r="BV5" s="104" t="str">
        <f t="shared" si="13"/>
        <v>Jakub Kolstrunk</v>
      </c>
      <c r="BW5" s="102">
        <f t="shared" si="14"/>
        <v>9</v>
      </c>
      <c r="BX5" s="379"/>
      <c r="BY5" s="103" t="s">
        <v>262</v>
      </c>
      <c r="BZ5" s="103" t="s">
        <v>971</v>
      </c>
      <c r="CA5" s="115" t="s">
        <v>1016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611</v>
      </c>
      <c r="T6" s="102" t="s">
        <v>119</v>
      </c>
      <c r="U6" s="102">
        <v>7</v>
      </c>
      <c r="V6" s="102">
        <v>3</v>
      </c>
      <c r="W6" s="102">
        <v>1</v>
      </c>
      <c r="X6" s="102">
        <v>0</v>
      </c>
      <c r="Y6" s="102">
        <v>6</v>
      </c>
      <c r="Z6" s="102">
        <v>9</v>
      </c>
      <c r="AA6" s="102">
        <v>2</v>
      </c>
      <c r="AB6" s="102">
        <v>11</v>
      </c>
      <c r="AC6" s="102" t="str">
        <f t="shared" ca="1" si="0"/>
        <v>ANO</v>
      </c>
      <c r="AG6" s="121" t="s">
        <v>615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149</v>
      </c>
      <c r="AQ6" s="123">
        <v>185</v>
      </c>
      <c r="AR6" s="123">
        <v>79</v>
      </c>
      <c r="AS6" s="126" t="s">
        <v>642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7 OZ, 7 (5+2), 0 ±</v>
      </c>
      <c r="AY6" s="129" t="str">
        <f t="shared" ca="1" si="2"/>
        <v>59 OZ, 53 (30+23)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660</v>
      </c>
      <c r="BO6" s="122">
        <v>35048</v>
      </c>
      <c r="BP6" s="131" t="s">
        <v>192</v>
      </c>
      <c r="BQ6" s="132" t="s">
        <v>654</v>
      </c>
      <c r="BR6" s="127">
        <f t="shared" ca="1" si="12"/>
        <v>25</v>
      </c>
      <c r="BS6" s="380"/>
      <c r="BT6" s="104" t="s">
        <v>664</v>
      </c>
      <c r="BU6" s="103">
        <v>9</v>
      </c>
      <c r="BV6" s="104" t="str">
        <f t="shared" si="13"/>
        <v>Marek Zouzal</v>
      </c>
      <c r="BW6" s="102">
        <f t="shared" si="14"/>
        <v>9</v>
      </c>
      <c r="BX6" s="379"/>
      <c r="BY6" s="103" t="s">
        <v>851</v>
      </c>
      <c r="BZ6" s="103" t="s">
        <v>937</v>
      </c>
      <c r="CA6" s="115" t="s">
        <v>806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615</v>
      </c>
      <c r="U7" s="102">
        <v>7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0</v>
      </c>
      <c r="AC7" s="102" t="str">
        <f t="shared" ca="1" si="0"/>
        <v>ANO</v>
      </c>
      <c r="AG7" s="121" t="s">
        <v>628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665</v>
      </c>
      <c r="BU7" s="103" t="s">
        <v>1310</v>
      </c>
      <c r="BV7" s="104" t="str">
        <f t="shared" si="13"/>
        <v>Martin Beneš</v>
      </c>
      <c r="BW7" s="112">
        <f t="shared" si="14"/>
        <v>5.74</v>
      </c>
      <c r="BX7" s="379" t="s">
        <v>212</v>
      </c>
      <c r="BY7" s="103" t="s">
        <v>928</v>
      </c>
      <c r="BZ7" s="103" t="s">
        <v>925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101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613</v>
      </c>
      <c r="T8" s="102" t="s">
        <v>64</v>
      </c>
      <c r="U8" s="102">
        <v>7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2</v>
      </c>
      <c r="AB8" s="102">
        <v>8</v>
      </c>
      <c r="AC8" s="102" t="str">
        <f t="shared" ca="1" si="0"/>
        <v>ANO</v>
      </c>
      <c r="AG8" s="121" t="s">
        <v>629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643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883</v>
      </c>
      <c r="BU8" s="103" t="s">
        <v>388</v>
      </c>
      <c r="BV8" s="104" t="str">
        <f t="shared" si="13"/>
        <v>Viktor Hejna</v>
      </c>
      <c r="BW8" s="112">
        <f t="shared" si="14"/>
        <v>4</v>
      </c>
      <c r="BX8" s="379"/>
      <c r="BY8" s="103" t="s">
        <v>908</v>
      </c>
      <c r="BZ8" s="103" t="s">
        <v>924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624</v>
      </c>
      <c r="T9" s="102" t="s">
        <v>64</v>
      </c>
      <c r="U9" s="102">
        <v>7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2</v>
      </c>
      <c r="AB9" s="102">
        <v>8</v>
      </c>
      <c r="AC9" s="102" t="str">
        <f t="shared" ca="1" si="0"/>
        <v>ANO</v>
      </c>
      <c r="AG9" s="121" t="s">
        <v>616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166</v>
      </c>
      <c r="AP9" s="125" t="s">
        <v>149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7 OZ, 3 (2+1), -8 ±</v>
      </c>
      <c r="AY9" s="129" t="str">
        <f t="shared" ca="1" si="2"/>
        <v>295 OZ, 290 (157+133)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938</v>
      </c>
      <c r="BZ9" s="103" t="s">
        <v>923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617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5</v>
      </c>
      <c r="AC10" s="102" t="str">
        <f t="shared" ca="1" si="0"/>
        <v>ANO</v>
      </c>
      <c r="AG10" s="121" t="s">
        <v>625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7 OZ, 0 (0+0), -6 ±</v>
      </c>
      <c r="AY10" s="129" t="str">
        <f t="shared" ca="1" si="2"/>
        <v>33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1099</v>
      </c>
      <c r="BZ10" s="103" t="s">
        <v>903</v>
      </c>
      <c r="CA10" s="115" t="s">
        <v>205</v>
      </c>
    </row>
    <row r="11" spans="1:79" ht="15" customHeight="1" thickTop="1" thickBot="1" x14ac:dyDescent="0.25">
      <c r="R11" s="13"/>
      <c r="S11" s="110" t="s">
        <v>626</v>
      </c>
      <c r="T11" s="102" t="s">
        <v>64</v>
      </c>
      <c r="U11" s="102">
        <v>7</v>
      </c>
      <c r="V11" s="102">
        <v>2</v>
      </c>
      <c r="W11" s="102">
        <v>0</v>
      </c>
      <c r="X11" s="102">
        <v>0</v>
      </c>
      <c r="Y11" s="102">
        <v>1</v>
      </c>
      <c r="Z11" s="102">
        <v>3</v>
      </c>
      <c r="AA11" s="102">
        <v>4</v>
      </c>
      <c r="AB11" s="102">
        <v>5</v>
      </c>
      <c r="AC11" s="102" t="str">
        <f t="shared" ca="1" si="0"/>
        <v>ANO</v>
      </c>
      <c r="AG11" s="121" t="s">
        <v>609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149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7 OZ, 13 (6+7), +12 ±</v>
      </c>
      <c r="AY11" s="129" t="str">
        <f t="shared" ca="1" si="2"/>
        <v>76 OZ, 74 (39+35)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1189</v>
      </c>
      <c r="BZ11" s="103" t="s">
        <v>955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616</v>
      </c>
      <c r="T12" s="102" t="s">
        <v>64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</v>
      </c>
      <c r="AB12" s="102">
        <v>-8</v>
      </c>
      <c r="AC12" s="102" t="str">
        <f t="shared" ca="1" si="0"/>
        <v>ANO</v>
      </c>
      <c r="AG12" s="121" t="s">
        <v>620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149</v>
      </c>
      <c r="AQ12" s="123">
        <v>186</v>
      </c>
      <c r="AR12" s="123">
        <v>89</v>
      </c>
      <c r="AS12" s="126" t="s">
        <v>644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7 OZ, 2 (1+1), +1 ±</v>
      </c>
      <c r="AY12" s="129" t="str">
        <f t="shared" ca="1" si="2"/>
        <v>116 OZ, 61 (35+26)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661</v>
      </c>
      <c r="BU12" s="103">
        <v>7</v>
      </c>
      <c r="BV12" s="104" t="str">
        <f t="shared" si="13"/>
        <v>Lukáš Ujhélyi</v>
      </c>
      <c r="BW12" s="102">
        <f t="shared" si="14"/>
        <v>7</v>
      </c>
      <c r="BX12" s="120" t="s">
        <v>210</v>
      </c>
      <c r="BY12" s="100" t="s">
        <v>1308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620</v>
      </c>
      <c r="T13" s="102" t="s">
        <v>119</v>
      </c>
      <c r="U13" s="102">
        <v>7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1</v>
      </c>
      <c r="AC13" s="102" t="str">
        <f t="shared" ca="1" si="0"/>
        <v>ANO</v>
      </c>
      <c r="AG13" s="121" t="s">
        <v>612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149</v>
      </c>
      <c r="AQ13" s="123">
        <v>189</v>
      </c>
      <c r="AR13" s="123">
        <v>86</v>
      </c>
      <c r="AS13" s="126" t="s">
        <v>271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7 OZ, 9 (4+5), +5 ±</v>
      </c>
      <c r="AY13" s="129" t="str">
        <f t="shared" ca="1" si="2"/>
        <v>95 OZ, 92 (64+28)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662</v>
      </c>
      <c r="BU13" s="103">
        <v>6</v>
      </c>
      <c r="BV13" s="104" t="str">
        <f t="shared" si="13"/>
        <v>Josef Juha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631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-8</v>
      </c>
      <c r="AC14" s="102" t="str">
        <f t="shared" ca="1" si="0"/>
        <v>ANO</v>
      </c>
      <c r="AG14" s="121" t="s">
        <v>630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303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1309</v>
      </c>
      <c r="BU14" s="103">
        <v>6</v>
      </c>
      <c r="BV14" s="104" t="str">
        <f t="shared" si="13"/>
        <v>Mikuláš Krbec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619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-5</v>
      </c>
      <c r="AC15" s="102" t="str">
        <f t="shared" ca="1" si="0"/>
        <v>ANO</v>
      </c>
      <c r="AG15" s="121" t="s">
        <v>631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645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6 OZ, 1 (1+0), -8 ±</v>
      </c>
      <c r="AY15" s="129" t="str">
        <f t="shared" ca="1" si="2"/>
        <v>54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1311</v>
      </c>
      <c r="BU15" s="103">
        <v>5</v>
      </c>
      <c r="BV15" s="104" t="str">
        <f t="shared" si="13"/>
        <v>Matěj Čermák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1015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-3</v>
      </c>
      <c r="AC16" s="102" t="str">
        <f t="shared" ca="1" si="0"/>
        <v>NE</v>
      </c>
      <c r="AG16" s="121" t="s">
        <v>610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149</v>
      </c>
      <c r="AQ16" s="123">
        <v>189</v>
      </c>
      <c r="AR16" s="123">
        <v>87</v>
      </c>
      <c r="AS16" s="126" t="s">
        <v>646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7 OZ, 11 (6+5), +12 ±</v>
      </c>
      <c r="AY16" s="129" t="str">
        <f t="shared" ca="1" si="2"/>
        <v>106 OZ, 153 (61+92)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1312</v>
      </c>
      <c r="BU16" s="103">
        <v>4</v>
      </c>
      <c r="BV16" s="104" t="str">
        <f t="shared" si="13"/>
        <v>Jakub Kolstrunk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614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624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149</v>
      </c>
      <c r="AQ17" s="123">
        <v>184</v>
      </c>
      <c r="AR17" s="123">
        <v>74</v>
      </c>
      <c r="AS17" s="126" t="s">
        <v>315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7 OZ, 4 (2+2), +8 ±</v>
      </c>
      <c r="AY17" s="129" t="str">
        <f t="shared" ca="1" si="2"/>
        <v>348 OZ, 320 (143+177)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665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621</v>
      </c>
      <c r="T18" s="102" t="s">
        <v>64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621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149</v>
      </c>
      <c r="AQ18" s="123">
        <v>179</v>
      </c>
      <c r="AR18" s="123">
        <v>78</v>
      </c>
      <c r="AS18" s="126" t="s">
        <v>245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5 OZ, 0 (0+0), 0 ±</v>
      </c>
      <c r="AY18" s="129" t="str">
        <f t="shared" ca="1" si="2"/>
        <v>220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883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SPA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622</v>
      </c>
      <c r="U19" s="102">
        <v>7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-10</v>
      </c>
      <c r="AC19" s="102" t="str">
        <f t="shared" ca="1" si="0"/>
        <v>NE</v>
      </c>
      <c r="AG19" s="121" t="s">
        <v>632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625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619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645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6 OZ, 1 (0+1), -5 ±</v>
      </c>
      <c r="AY20" s="129" t="str">
        <f t="shared" ca="1" si="2"/>
        <v>72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618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633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647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623</v>
      </c>
      <c r="T22" s="102" t="s">
        <v>117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617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149</v>
      </c>
      <c r="AQ22" s="123">
        <v>191</v>
      </c>
      <c r="AR22" s="123">
        <v>87</v>
      </c>
      <c r="AS22" s="126" t="s">
        <v>648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7 OZ, 4 (2+2), +5 ±</v>
      </c>
      <c r="AY22" s="129" t="str">
        <f t="shared" ca="1" si="2"/>
        <v>151 OZ, 99 (45+54)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1313</v>
      </c>
      <c r="BU22" s="103">
        <v>7</v>
      </c>
      <c r="BV22" s="104" t="str">
        <f t="shared" si="13"/>
        <v>Josef Juha</v>
      </c>
      <c r="BW22" s="102">
        <f t="shared" si="14"/>
        <v>7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634</v>
      </c>
      <c r="AH23" s="122"/>
      <c r="AI23" s="123"/>
      <c r="AJ23" s="123"/>
      <c r="AK23" s="123"/>
      <c r="AL23" s="124">
        <f>IF(AG23&lt;&gt;"",AJ23+AK23,"")</f>
        <v>0</v>
      </c>
      <c r="AM23" s="123" t="s">
        <v>303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1314</v>
      </c>
      <c r="BU23" s="103">
        <v>6</v>
      </c>
      <c r="BV23" s="104" t="str">
        <f t="shared" si="13"/>
        <v>Lukáš Ujhélyi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635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649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1013</v>
      </c>
      <c r="BU24" s="103">
        <v>6</v>
      </c>
      <c r="BV24" s="104" t="str">
        <f t="shared" si="13"/>
        <v>Marek Zouzal</v>
      </c>
      <c r="BW24" s="102">
        <f t="shared" si="14"/>
        <v>6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636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149</v>
      </c>
      <c r="AQ25" s="123">
        <v>181</v>
      </c>
      <c r="AR25" s="123">
        <v>76</v>
      </c>
      <c r="AS25" s="126" t="s">
        <v>650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663</v>
      </c>
      <c r="BU25" s="103">
        <v>5</v>
      </c>
      <c r="BV25" s="104" t="str">
        <f t="shared" si="13"/>
        <v>Jakub Kolstrunk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637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149</v>
      </c>
      <c r="AQ26" s="123">
        <v>190</v>
      </c>
      <c r="AR26" s="123">
        <v>77</v>
      </c>
      <c r="AS26" s="126" t="s">
        <v>651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1014</v>
      </c>
      <c r="BU26" s="103">
        <v>5</v>
      </c>
      <c r="BV26" s="104" t="str">
        <f t="shared" si="13"/>
        <v>Mikuláš Krbec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626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149</v>
      </c>
      <c r="AQ27" s="123">
        <v>192</v>
      </c>
      <c r="AR27" s="123">
        <v>86</v>
      </c>
      <c r="AS27" s="126" t="s">
        <v>429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7 OZ, 3 (2+1), +5 ±</v>
      </c>
      <c r="AY27" s="129" t="str">
        <f t="shared" ca="1" si="16"/>
        <v>133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1315</v>
      </c>
      <c r="BU27" s="103">
        <v>4</v>
      </c>
      <c r="BV27" s="104" t="str">
        <f t="shared" si="13"/>
        <v>Michal Zeman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638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652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1012</v>
      </c>
      <c r="BU28" s="103">
        <v>4</v>
      </c>
      <c r="BV28" s="104" t="str">
        <f t="shared" si="13"/>
        <v>Mikuláš Krbec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611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149</v>
      </c>
      <c r="AQ29" s="123">
        <v>173</v>
      </c>
      <c r="AR29" s="123">
        <v>64</v>
      </c>
      <c r="AS29" s="126" t="s">
        <v>245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9 (3+6), +11 ±</v>
      </c>
      <c r="AY29" s="129" t="str">
        <f t="shared" ca="1" si="16"/>
        <v>146 OZ, 145 (66+79)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1316</v>
      </c>
      <c r="BU29" s="103">
        <v>2</v>
      </c>
      <c r="BV29" s="104" t="str">
        <f t="shared" si="13"/>
        <v>Adam Kuchynka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SPA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1317</v>
      </c>
      <c r="BU30" s="103">
        <v>2</v>
      </c>
      <c r="BV30" s="104" t="str">
        <f t="shared" si="13"/>
        <v>Dominik Bartoš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1312</v>
      </c>
      <c r="BU31" s="103">
        <v>2</v>
      </c>
      <c r="BV31" s="104" t="str">
        <f t="shared" si="13"/>
        <v>Jakub Kolstrunk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623</v>
      </c>
      <c r="T45" s="102">
        <v>6</v>
      </c>
      <c r="U45" s="112">
        <v>355.68</v>
      </c>
      <c r="V45" s="102">
        <v>3</v>
      </c>
      <c r="W45" s="102">
        <v>34</v>
      </c>
      <c r="X45" s="102">
        <v>0</v>
      </c>
      <c r="Y45" s="102">
        <v>139</v>
      </c>
      <c r="Z45" s="102">
        <v>0</v>
      </c>
      <c r="AA45" s="102">
        <v>3</v>
      </c>
      <c r="AB45" s="102">
        <v>105</v>
      </c>
      <c r="AC45" s="102">
        <v>0</v>
      </c>
      <c r="AD45" s="102">
        <v>0</v>
      </c>
      <c r="AE45" s="112">
        <f>IF(S45&lt;&gt;"",IF(T45&gt;0,W45/(U45/60),0),"")</f>
        <v>5.7354925775978405</v>
      </c>
      <c r="AF45" s="112">
        <f>IF(S45&lt;&gt;"",IF(Y45&gt;0,(AB45/Y45)*100,"-"),"")</f>
        <v>75.539568345323744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618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68" priority="11" stopIfTrue="1" operator="equal">
      <formula>"OTR"</formula>
    </cfRule>
    <cfRule type="cellIs" dxfId="167" priority="12" stopIfTrue="1" operator="equal">
      <formula>"PAR"</formula>
    </cfRule>
    <cfRule type="cellIs" dxfId="166" priority="13" stopIfTrue="1" operator="equal">
      <formula>"CLP"</formula>
    </cfRule>
    <cfRule type="cellIs" dxfId="165" priority="14" stopIfTrue="1" operator="equal">
      <formula>"HAT"</formula>
    </cfRule>
    <cfRule type="cellIs" dxfId="164" priority="15" stopIfTrue="1" operator="equal">
      <formula>"LIB"</formula>
    </cfRule>
    <cfRule type="cellIs" dxfId="163" priority="16" stopIfTrue="1" operator="equal">
      <formula>"BA"</formula>
    </cfRule>
    <cfRule type="cellIs" dxfId="162" priority="17" stopIfTrue="1" operator="equal">
      <formula>"SPA"</formula>
    </cfRule>
    <cfRule type="cellIs" dxfId="161" priority="18" stopIfTrue="1" operator="equal">
      <formula>"OST"</formula>
    </cfRule>
    <cfRule type="cellIs" dxfId="160" priority="19" stopIfTrue="1" operator="equal">
      <formula>"BOH"</formula>
    </cfRule>
    <cfRule type="cellIs" dxfId="159" priority="20" stopIfTrue="1" operator="equal">
      <formula>"TAT"</formula>
    </cfRule>
    <cfRule type="cellIs" dxfId="158" priority="21" stopIfTrue="1" operator="equal">
      <formula>"MB"</formula>
    </cfRule>
    <cfRule type="cellIs" dxfId="157" priority="22" stopIfTrue="1" operator="equal">
      <formula>"VIT"</formula>
    </cfRule>
    <cfRule type="cellIs" dxfId="156" priority="23" stopIfTrue="1" operator="equal">
      <formula>"CHO"</formula>
    </cfRule>
    <cfRule type="cellIs" dxfId="155" priority="24" stopIfTrue="1" operator="equal">
      <formula>"SKV"</formula>
    </cfRule>
  </conditionalFormatting>
  <conditionalFormatting sqref="H19:K20">
    <cfRule type="cellIs" dxfId="154" priority="39" stopIfTrue="1" operator="equal">
      <formula>"OTR"</formula>
    </cfRule>
    <cfRule type="cellIs" dxfId="153" priority="40" stopIfTrue="1" operator="equal">
      <formula>"PAR"</formula>
    </cfRule>
    <cfRule type="cellIs" dxfId="152" priority="41" stopIfTrue="1" operator="equal">
      <formula>"CLP"</formula>
    </cfRule>
    <cfRule type="cellIs" dxfId="151" priority="42" stopIfTrue="1" operator="equal">
      <formula>"HAT"</formula>
    </cfRule>
    <cfRule type="cellIs" dxfId="150" priority="43" stopIfTrue="1" operator="equal">
      <formula>"LIB"</formula>
    </cfRule>
    <cfRule type="cellIs" dxfId="149" priority="44" stopIfTrue="1" operator="equal">
      <formula>"BA"</formula>
    </cfRule>
    <cfRule type="cellIs" dxfId="148" priority="45" stopIfTrue="1" operator="equal">
      <formula>"SPA"</formula>
    </cfRule>
    <cfRule type="cellIs" dxfId="147" priority="46" stopIfTrue="1" operator="equal">
      <formula>"OST"</formula>
    </cfRule>
    <cfRule type="cellIs" dxfId="146" priority="47" stopIfTrue="1" operator="equal">
      <formula>"BOH"</formula>
    </cfRule>
    <cfRule type="cellIs" dxfId="145" priority="48" stopIfTrue="1" operator="equal">
      <formula>"TAT"</formula>
    </cfRule>
    <cfRule type="cellIs" dxfId="144" priority="49" stopIfTrue="1" operator="equal">
      <formula>"MB"</formula>
    </cfRule>
    <cfRule type="cellIs" dxfId="143" priority="50" stopIfTrue="1" operator="equal">
      <formula>"VIT"</formula>
    </cfRule>
    <cfRule type="cellIs" dxfId="142" priority="51" stopIfTrue="1" operator="equal">
      <formula>"CHO"</formula>
    </cfRule>
    <cfRule type="cellIs" dxfId="141" priority="52" stopIfTrue="1" operator="equal">
      <formula>"SKV"</formula>
    </cfRule>
  </conditionalFormatting>
  <conditionalFormatting sqref="H8:K9">
    <cfRule type="cellIs" dxfId="140" priority="25" stopIfTrue="1" operator="equal">
      <formula>"OTR"</formula>
    </cfRule>
    <cfRule type="cellIs" dxfId="139" priority="26" stopIfTrue="1" operator="equal">
      <formula>"PAR"</formula>
    </cfRule>
    <cfRule type="cellIs" dxfId="138" priority="27" stopIfTrue="1" operator="equal">
      <formula>"CLP"</formula>
    </cfRule>
    <cfRule type="cellIs" dxfId="137" priority="28" stopIfTrue="1" operator="equal">
      <formula>"HAT"</formula>
    </cfRule>
    <cfRule type="cellIs" dxfId="136" priority="29" stopIfTrue="1" operator="equal">
      <formula>"LIB"</formula>
    </cfRule>
    <cfRule type="cellIs" dxfId="135" priority="30" stopIfTrue="1" operator="equal">
      <formula>"BA"</formula>
    </cfRule>
    <cfRule type="cellIs" dxfId="134" priority="31" stopIfTrue="1" operator="equal">
      <formula>"SPA"</formula>
    </cfRule>
    <cfRule type="cellIs" dxfId="133" priority="32" stopIfTrue="1" operator="equal">
      <formula>"OST"</formula>
    </cfRule>
    <cfRule type="cellIs" dxfId="132" priority="33" stopIfTrue="1" operator="equal">
      <formula>"BOH"</formula>
    </cfRule>
    <cfRule type="cellIs" dxfId="131" priority="34" stopIfTrue="1" operator="equal">
      <formula>"TAT"</formula>
    </cfRule>
    <cfRule type="cellIs" dxfId="130" priority="35" stopIfTrue="1" operator="equal">
      <formula>"MB"</formula>
    </cfRule>
    <cfRule type="cellIs" dxfId="129" priority="36" stopIfTrue="1" operator="equal">
      <formula>"VIT"</formula>
    </cfRule>
    <cfRule type="cellIs" dxfId="128" priority="37" stopIfTrue="1" operator="equal">
      <formula>"CHO"</formula>
    </cfRule>
    <cfRule type="cellIs" dxfId="127" priority="38" stopIfTrue="1" operator="equal">
      <formula>"SKV"</formula>
    </cfRule>
  </conditionalFormatting>
  <conditionalFormatting sqref="S2:S42">
    <cfRule type="expression" dxfId="126" priority="9" stopIfTrue="1">
      <formula>IFERROR(IF(VLOOKUP($S2,OFFSET($AG$2,,,COUNTIF($AG$2:$AG$50,"?*")),1,FALSE)&lt;&gt;0,1,0),0)&gt;0</formula>
    </cfRule>
  </conditionalFormatting>
  <conditionalFormatting sqref="S2:S42">
    <cfRule type="expression" dxfId="125" priority="10">
      <formula>IFERROR(IF(VLOOKUP($S2,OFFSET($AG$2,,,COUNTIF($AG$2:$AG$50,"?*")),1,FALSE)&lt;&gt;0,1,0),0)=0</formula>
    </cfRule>
  </conditionalFormatting>
  <conditionalFormatting sqref="S45:S50">
    <cfRule type="expression" dxfId="124" priority="8">
      <formula>IFERROR(IF(VLOOKUP($S45,OFFSET($AG$2,,,COUNTIF($AG$2:$AG$50,"?*")),1,FALSE)&lt;&gt;0,1,0),0)&gt;0</formula>
    </cfRule>
  </conditionalFormatting>
  <conditionalFormatting sqref="S45:S50">
    <cfRule type="expression" dxfId="123" priority="7">
      <formula>IFERROR(IF(VLOOKUP($S45,OFFSET($AG$2,,,COUNTIF($AG$2:$AG$50,"?*")),1,FALSE)&lt;&gt;0,1,0),0)=0</formula>
    </cfRule>
  </conditionalFormatting>
  <conditionalFormatting sqref="AG2:AG50">
    <cfRule type="expression" dxfId="122" priority="4" stopIfTrue="1">
      <formula>OR($AH2="",$AI2="",$AJ2="",$AK2="",$AL2="",$AM2="",$AN2="",$AQ2="",$AR2="",$AS2="",$AT2="")</formula>
    </cfRule>
    <cfRule type="expression" dxfId="121" priority="5" stopIfTrue="1">
      <formula>IFERROR(IF(VLOOKUP($AG2,OFFSET($S$2,,,COUNTIF($S$2:$S$42,"?*")),1,FALSE)&lt;&gt;0,1,0),0)=0</formula>
    </cfRule>
    <cfRule type="expression" dxfId="120" priority="6">
      <formula>IFERROR(IF(VLOOKUP($AG2,OFFSET($S$2,,,COUNTIF($S$2:$S$42,"?*")),1,FALSE)&lt;&gt;0,1,0),0)&gt;0</formula>
    </cfRule>
  </conditionalFormatting>
  <conditionalFormatting sqref="AG2:AK50 AM2:BC50">
    <cfRule type="expression" dxfId="119" priority="3">
      <formula>AND($AG2&lt;&gt;"",MOD(ROW($AG2),2)=0)</formula>
    </cfRule>
  </conditionalFormatting>
  <conditionalFormatting sqref="BN2:BR11">
    <cfRule type="expression" dxfId="118" priority="2">
      <formula>AND($BN2&lt;&gt;"",MOD(ROW($BN2),2)=0)</formula>
    </cfRule>
  </conditionalFormatting>
  <conditionalFormatting sqref="AL2:AL50">
    <cfRule type="expression" dxfId="117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445</v>
      </c>
      <c r="U2" s="102">
        <v>6</v>
      </c>
      <c r="V2" s="102">
        <v>7</v>
      </c>
      <c r="W2" s="102">
        <v>1</v>
      </c>
      <c r="X2" s="102">
        <v>0</v>
      </c>
      <c r="Y2" s="102">
        <v>10</v>
      </c>
      <c r="Z2" s="102">
        <v>17</v>
      </c>
      <c r="AA2" s="102">
        <v>4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454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149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7 (4+3), +9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105 OZ, 91 (63+28)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486</v>
      </c>
      <c r="BO2" s="122">
        <v>29164</v>
      </c>
      <c r="BP2" s="131" t="s">
        <v>191</v>
      </c>
      <c r="BQ2" s="132" t="s">
        <v>487</v>
      </c>
      <c r="BR2" s="127">
        <f ca="1">IF(BN2&lt;&gt;"",IF(BO2&lt;&gt;"",INT((TODAY()-BO2)/365),"?"),"")</f>
        <v>41</v>
      </c>
      <c r="BS2" s="380" t="s">
        <v>36</v>
      </c>
      <c r="BT2" s="104" t="s">
        <v>492</v>
      </c>
      <c r="BU2" s="103">
        <v>17</v>
      </c>
      <c r="BV2" s="104" t="str">
        <f>IFERROR(RIGHT(BT2,LEN(BT2)-SEARCH(" ",BT2)),"")</f>
        <v>Marek Beneš</v>
      </c>
      <c r="BW2" s="102">
        <f>IF(BT2&lt;&gt;0,_xlfn.NUMBERVALUE(BU2,","),"")</f>
        <v>17</v>
      </c>
      <c r="BX2" s="379" t="s">
        <v>211</v>
      </c>
      <c r="BY2" s="103" t="s">
        <v>263</v>
      </c>
      <c r="BZ2" s="103" t="s">
        <v>921</v>
      </c>
      <c r="CA2" s="115" t="s">
        <v>1318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449</v>
      </c>
      <c r="U3" s="102">
        <v>6</v>
      </c>
      <c r="V3" s="102">
        <v>8</v>
      </c>
      <c r="W3" s="102">
        <v>1</v>
      </c>
      <c r="X3" s="102">
        <v>0</v>
      </c>
      <c r="Y3" s="102">
        <v>5</v>
      </c>
      <c r="Z3" s="102">
        <v>13</v>
      </c>
      <c r="AA3" s="102">
        <v>0</v>
      </c>
      <c r="AB3" s="102">
        <v>13</v>
      </c>
      <c r="AC3" s="102" t="str">
        <f t="shared" ca="1" si="0"/>
        <v>NE</v>
      </c>
      <c r="AG3" s="121" t="s">
        <v>465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477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488</v>
      </c>
      <c r="BO3" s="122">
        <v>27190</v>
      </c>
      <c r="BP3" s="131" t="s">
        <v>326</v>
      </c>
      <c r="BQ3" s="132"/>
      <c r="BR3" s="127">
        <f t="shared" ref="BR3:BR11" ca="1" si="12">IF(BN3&lt;&gt;"",IF(BO3&lt;&gt;"",INT((TODAY()-BO3)/365),"?"),"")</f>
        <v>47</v>
      </c>
      <c r="BS3" s="380"/>
      <c r="BT3" s="104" t="s">
        <v>831</v>
      </c>
      <c r="BU3" s="103">
        <v>13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13</v>
      </c>
      <c r="BX3" s="379"/>
      <c r="BY3" s="103" t="s">
        <v>207</v>
      </c>
      <c r="BZ3" s="103" t="s">
        <v>937</v>
      </c>
      <c r="CA3" s="115" t="s">
        <v>834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447</v>
      </c>
      <c r="U4" s="102">
        <v>6</v>
      </c>
      <c r="V4" s="102">
        <v>5</v>
      </c>
      <c r="W4" s="102">
        <v>3</v>
      </c>
      <c r="X4" s="102">
        <v>0</v>
      </c>
      <c r="Y4" s="102">
        <v>5</v>
      </c>
      <c r="Z4" s="102">
        <v>10</v>
      </c>
      <c r="AA4" s="102">
        <v>2</v>
      </c>
      <c r="AB4" s="102">
        <v>14</v>
      </c>
      <c r="AC4" s="102" t="str">
        <f t="shared" ca="1" si="0"/>
        <v>ANO</v>
      </c>
      <c r="AG4" s="121" t="s">
        <v>460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149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6 OZ, 8 (4+4), +8 ±</v>
      </c>
      <c r="AY4" s="129" t="str">
        <f t="shared" ca="1" si="2"/>
        <v>30 OZ, 53 (26+27)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489</v>
      </c>
      <c r="BO4" s="122"/>
      <c r="BP4" s="131" t="s">
        <v>192</v>
      </c>
      <c r="BQ4" s="132"/>
      <c r="BR4" s="127" t="str">
        <f t="shared" ca="1" si="12"/>
        <v>?</v>
      </c>
      <c r="BS4" s="380"/>
      <c r="BT4" s="104" t="s">
        <v>884</v>
      </c>
      <c r="BU4" s="103">
        <v>10</v>
      </c>
      <c r="BV4" s="104" t="str">
        <f t="shared" si="13"/>
        <v>Ondřej Němeček</v>
      </c>
      <c r="BW4" s="102">
        <f t="shared" si="14"/>
        <v>10</v>
      </c>
      <c r="BX4" s="379"/>
      <c r="BY4" s="103" t="s">
        <v>262</v>
      </c>
      <c r="BZ4" s="103" t="s">
        <v>997</v>
      </c>
      <c r="CA4" s="115" t="s">
        <v>1017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452</v>
      </c>
      <c r="T5" s="102" t="s">
        <v>119</v>
      </c>
      <c r="U5" s="102">
        <v>6</v>
      </c>
      <c r="V5" s="102">
        <v>5</v>
      </c>
      <c r="W5" s="102">
        <v>0</v>
      </c>
      <c r="X5" s="102">
        <v>0</v>
      </c>
      <c r="Y5" s="102">
        <v>4</v>
      </c>
      <c r="Z5" s="102">
        <v>9</v>
      </c>
      <c r="AA5" s="102">
        <v>0</v>
      </c>
      <c r="AB5" s="102">
        <v>13</v>
      </c>
      <c r="AC5" s="102" t="str">
        <f t="shared" ca="1" si="0"/>
        <v>ANO</v>
      </c>
      <c r="AG5" s="121" t="s">
        <v>466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478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490</v>
      </c>
      <c r="BO5" s="122"/>
      <c r="BP5" s="131" t="s">
        <v>259</v>
      </c>
      <c r="BQ5" s="132"/>
      <c r="BR5" s="127" t="str">
        <f t="shared" ca="1" si="12"/>
        <v>?</v>
      </c>
      <c r="BS5" s="380"/>
      <c r="BT5" s="104" t="s">
        <v>1018</v>
      </c>
      <c r="BU5" s="103">
        <v>9</v>
      </c>
      <c r="BV5" s="104" t="str">
        <f t="shared" si="13"/>
        <v>Jakub Kolísko</v>
      </c>
      <c r="BW5" s="102">
        <f t="shared" si="14"/>
        <v>9</v>
      </c>
      <c r="BX5" s="379"/>
      <c r="BY5" s="103" t="s">
        <v>851</v>
      </c>
      <c r="BZ5" s="103" t="s">
        <v>933</v>
      </c>
      <c r="CA5" s="115" t="s">
        <v>799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460</v>
      </c>
      <c r="U6" s="102">
        <v>6</v>
      </c>
      <c r="V6" s="102">
        <v>4</v>
      </c>
      <c r="W6" s="102">
        <v>0</v>
      </c>
      <c r="X6" s="102">
        <v>0</v>
      </c>
      <c r="Y6" s="102">
        <v>4</v>
      </c>
      <c r="Z6" s="102">
        <v>8</v>
      </c>
      <c r="AA6" s="102">
        <v>2</v>
      </c>
      <c r="AB6" s="102">
        <v>8</v>
      </c>
      <c r="AC6" s="102" t="str">
        <f t="shared" ca="1" si="0"/>
        <v>ANO</v>
      </c>
      <c r="AG6" s="121" t="s">
        <v>467</v>
      </c>
      <c r="AH6" s="122"/>
      <c r="AI6" s="123"/>
      <c r="AJ6" s="123"/>
      <c r="AK6" s="123"/>
      <c r="AL6" s="124">
        <f>IF(AG6&lt;&gt;"",AJ6+AK6,"")</f>
        <v>0</v>
      </c>
      <c r="AM6" s="123" t="s">
        <v>303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491</v>
      </c>
      <c r="BO6" s="122"/>
      <c r="BP6" s="131" t="s">
        <v>191</v>
      </c>
      <c r="BQ6" s="132"/>
      <c r="BR6" s="127" t="str">
        <f t="shared" ca="1" si="12"/>
        <v>?</v>
      </c>
      <c r="BS6" s="380"/>
      <c r="BT6" s="104" t="s">
        <v>1320</v>
      </c>
      <c r="BU6" s="103">
        <v>8</v>
      </c>
      <c r="BV6" s="104" t="str">
        <f t="shared" si="13"/>
        <v>Matěj Havlas</v>
      </c>
      <c r="BW6" s="102">
        <f t="shared" si="14"/>
        <v>8</v>
      </c>
      <c r="BX6" s="379"/>
      <c r="BY6" s="103" t="s">
        <v>204</v>
      </c>
      <c r="BZ6" s="103" t="s">
        <v>960</v>
      </c>
      <c r="CA6" s="115" t="s">
        <v>799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446</v>
      </c>
      <c r="T7" s="102" t="s">
        <v>119</v>
      </c>
      <c r="U7" s="102">
        <v>6</v>
      </c>
      <c r="V7" s="102">
        <v>3</v>
      </c>
      <c r="W7" s="102">
        <v>2</v>
      </c>
      <c r="X7" s="102">
        <v>0</v>
      </c>
      <c r="Y7" s="102">
        <v>5</v>
      </c>
      <c r="Z7" s="102">
        <v>8</v>
      </c>
      <c r="AA7" s="102">
        <v>2</v>
      </c>
      <c r="AB7" s="102">
        <v>-3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157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493</v>
      </c>
      <c r="BU7" s="103" t="s">
        <v>1321</v>
      </c>
      <c r="BV7" s="104" t="str">
        <f t="shared" si="13"/>
        <v>Lukáš Kříž</v>
      </c>
      <c r="BW7" s="112">
        <f t="shared" si="14"/>
        <v>4.17</v>
      </c>
      <c r="BX7" s="379" t="s">
        <v>212</v>
      </c>
      <c r="BY7" s="103" t="s">
        <v>927</v>
      </c>
      <c r="BZ7" s="103" t="s">
        <v>971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450</v>
      </c>
      <c r="T8" s="102" t="s">
        <v>119</v>
      </c>
      <c r="U8" s="102">
        <v>6</v>
      </c>
      <c r="V8" s="102">
        <v>5</v>
      </c>
      <c r="W8" s="102">
        <v>2</v>
      </c>
      <c r="X8" s="102">
        <v>0</v>
      </c>
      <c r="Y8" s="102">
        <v>2</v>
      </c>
      <c r="Z8" s="102">
        <v>7</v>
      </c>
      <c r="AA8" s="102">
        <v>2</v>
      </c>
      <c r="AB8" s="102">
        <v>2</v>
      </c>
      <c r="AC8" s="102" t="str">
        <f t="shared" ca="1" si="0"/>
        <v>ANO</v>
      </c>
      <c r="AG8" s="121" t="s">
        <v>452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6 OZ, 9 (5+4), +13 ±</v>
      </c>
      <c r="AY8" s="129" t="str">
        <f t="shared" ca="1" si="2"/>
        <v>126 OZ, 101 (61+40)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494</v>
      </c>
      <c r="BU8" s="103" t="s">
        <v>199</v>
      </c>
      <c r="BV8" s="104" t="str">
        <f t="shared" si="13"/>
        <v>Jan Buzík</v>
      </c>
      <c r="BW8" s="112">
        <f t="shared" si="14"/>
        <v>0</v>
      </c>
      <c r="BX8" s="379"/>
      <c r="BY8" s="103" t="s">
        <v>906</v>
      </c>
      <c r="BZ8" s="103" t="s">
        <v>935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448</v>
      </c>
      <c r="U9" s="102">
        <v>6</v>
      </c>
      <c r="V9" s="102">
        <v>4</v>
      </c>
      <c r="W9" s="102">
        <v>0</v>
      </c>
      <c r="X9" s="102">
        <v>0</v>
      </c>
      <c r="Y9" s="102">
        <v>3</v>
      </c>
      <c r="Z9" s="102">
        <v>7</v>
      </c>
      <c r="AA9" s="102">
        <v>2</v>
      </c>
      <c r="AB9" s="102">
        <v>-3</v>
      </c>
      <c r="AC9" s="102" t="str">
        <f t="shared" ca="1" si="0"/>
        <v>ANO</v>
      </c>
      <c r="AG9" s="121" t="s">
        <v>468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166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908</v>
      </c>
      <c r="BZ9" s="103" t="s">
        <v>926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454</v>
      </c>
      <c r="U10" s="102">
        <v>6</v>
      </c>
      <c r="V10" s="102">
        <v>4</v>
      </c>
      <c r="W10" s="102">
        <v>0</v>
      </c>
      <c r="X10" s="102">
        <v>0</v>
      </c>
      <c r="Y10" s="102">
        <v>3</v>
      </c>
      <c r="Z10" s="102">
        <v>7</v>
      </c>
      <c r="AA10" s="102">
        <v>2</v>
      </c>
      <c r="AB10" s="102">
        <v>9</v>
      </c>
      <c r="AC10" s="102" t="str">
        <f t="shared" ca="1" si="0"/>
        <v>ANO</v>
      </c>
      <c r="AG10" s="121" t="s">
        <v>448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149</v>
      </c>
      <c r="AQ10" s="123">
        <v>196</v>
      </c>
      <c r="AR10" s="123">
        <v>92</v>
      </c>
      <c r="AS10" s="126" t="s">
        <v>479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6 OZ, 7 (4+3), -3 ±</v>
      </c>
      <c r="AY10" s="129" t="str">
        <f t="shared" ca="1" si="2"/>
        <v>74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938</v>
      </c>
      <c r="BZ10" s="103" t="s">
        <v>925</v>
      </c>
      <c r="CA10" s="115" t="s">
        <v>205</v>
      </c>
    </row>
    <row r="11" spans="1:79" ht="15" customHeight="1" thickTop="1" thickBot="1" x14ac:dyDescent="0.25">
      <c r="R11" s="13"/>
      <c r="S11" s="110" t="s">
        <v>451</v>
      </c>
      <c r="T11" s="102" t="s">
        <v>64</v>
      </c>
      <c r="U11" s="102">
        <v>6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10</v>
      </c>
      <c r="AC11" s="102" t="str">
        <f t="shared" ca="1" si="0"/>
        <v>ANO</v>
      </c>
      <c r="AG11" s="121" t="s">
        <v>453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480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6 V, 0 P</v>
      </c>
      <c r="AY11" s="129" t="str">
        <f t="shared" ca="1" si="2"/>
        <v>42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1099</v>
      </c>
      <c r="BZ11" s="103" t="s">
        <v>924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459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3</v>
      </c>
      <c r="AC12" s="102" t="str">
        <f t="shared" ca="1" si="0"/>
        <v>ANO</v>
      </c>
      <c r="AG12" s="121" t="s">
        <v>469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149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1322</v>
      </c>
      <c r="BU12" s="103">
        <v>8</v>
      </c>
      <c r="BV12" s="104" t="str">
        <f t="shared" si="13"/>
        <v>David Šimek</v>
      </c>
      <c r="BW12" s="102">
        <f t="shared" si="14"/>
        <v>8</v>
      </c>
      <c r="BX12" s="120" t="s">
        <v>210</v>
      </c>
      <c r="BY12" s="100" t="s">
        <v>1319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463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4</v>
      </c>
      <c r="AB13" s="102">
        <v>-5</v>
      </c>
      <c r="AC13" s="102" t="str">
        <f t="shared" ca="1" si="0"/>
        <v>NE</v>
      </c>
      <c r="AG13" s="121" t="s">
        <v>450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6 OZ, 7 (5+2), +2 ±</v>
      </c>
      <c r="AY13" s="129" t="str">
        <f t="shared" ca="1" si="2"/>
        <v>144 OZ, 174 (93+81)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1323</v>
      </c>
      <c r="BU13" s="103">
        <v>7</v>
      </c>
      <c r="BV13" s="104" t="str">
        <f t="shared" si="13"/>
        <v>Marek Beneš</v>
      </c>
      <c r="BW13" s="102">
        <f t="shared" si="14"/>
        <v>7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464</v>
      </c>
      <c r="T14" s="102" t="s">
        <v>64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10</v>
      </c>
      <c r="AC14" s="102" t="str">
        <f t="shared" ca="1" si="0"/>
        <v>ANO</v>
      </c>
      <c r="AG14" s="121" t="s">
        <v>456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149</v>
      </c>
      <c r="AQ14" s="123">
        <v>172</v>
      </c>
      <c r="AR14" s="123">
        <v>72</v>
      </c>
      <c r="AS14" s="126" t="s">
        <v>477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6 OZ, 1 (0+1), +8 ±</v>
      </c>
      <c r="AY14" s="129" t="str">
        <f t="shared" ca="1" si="2"/>
        <v>133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1324</v>
      </c>
      <c r="BU14" s="103">
        <v>5</v>
      </c>
      <c r="BV14" s="104" t="str">
        <f t="shared" si="13"/>
        <v>Jakub Kolísko</v>
      </c>
      <c r="BW14" s="102">
        <f t="shared" si="14"/>
        <v>5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455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470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149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1022</v>
      </c>
      <c r="BU15" s="103">
        <v>5</v>
      </c>
      <c r="BV15" s="104" t="str">
        <f t="shared" si="13"/>
        <v>Milan Meliš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456</v>
      </c>
      <c r="T16" s="102" t="s">
        <v>64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8</v>
      </c>
      <c r="AC16" s="102" t="str">
        <f t="shared" ca="1" si="0"/>
        <v>ANO</v>
      </c>
      <c r="AG16" s="121" t="s">
        <v>447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6 OZ, 10 (5+5), +14 ±</v>
      </c>
      <c r="AY16" s="129" t="str">
        <f t="shared" ca="1" si="2"/>
        <v>79 OZ, 93 (39+54)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1023</v>
      </c>
      <c r="BU16" s="103">
        <v>5</v>
      </c>
      <c r="BV16" s="104" t="str">
        <f t="shared" si="13"/>
        <v>Ondřej Němeček</v>
      </c>
      <c r="BW16" s="102">
        <f t="shared" si="14"/>
        <v>5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1025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432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149</v>
      </c>
      <c r="AQ17" s="123">
        <v>175</v>
      </c>
      <c r="AR17" s="123">
        <v>74</v>
      </c>
      <c r="AS17" s="126" t="s">
        <v>481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493</v>
      </c>
      <c r="BU17" s="103">
        <v>6</v>
      </c>
      <c r="BV17" s="104" t="str">
        <f t="shared" si="13"/>
        <v>Lukáš Kříž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1026</v>
      </c>
      <c r="T18" s="102" t="s">
        <v>119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451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149</v>
      </c>
      <c r="AQ18" s="123">
        <v>178</v>
      </c>
      <c r="AR18" s="123">
        <v>65</v>
      </c>
      <c r="AS18" s="126" t="s">
        <v>313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6 OZ, 3 (1+2), +10 ±</v>
      </c>
      <c r="AY18" s="129" t="str">
        <f t="shared" ca="1" si="2"/>
        <v>94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494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TAT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1024</v>
      </c>
      <c r="T19" s="102" t="s">
        <v>119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471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149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1</v>
      </c>
      <c r="AC20" s="102" t="str">
        <f t="shared" ca="1" si="0"/>
        <v>ANO</v>
      </c>
      <c r="AG20" s="121" t="s">
        <v>455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149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830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472</v>
      </c>
      <c r="AH21" s="122"/>
      <c r="AI21" s="123"/>
      <c r="AJ21" s="123"/>
      <c r="AK21" s="123"/>
      <c r="AL21" s="124">
        <f>IF(AG21&lt;&gt;"",AJ21+AK21,"")</f>
        <v>0</v>
      </c>
      <c r="AM21" s="123" t="s">
        <v>303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458</v>
      </c>
      <c r="T22" s="102" t="s">
        <v>119</v>
      </c>
      <c r="U22" s="102">
        <v>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NE</v>
      </c>
      <c r="AG22" s="121" t="s">
        <v>473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149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492</v>
      </c>
      <c r="BU22" s="103">
        <v>10</v>
      </c>
      <c r="BV22" s="104" t="str">
        <f t="shared" si="13"/>
        <v>Marek Beneš</v>
      </c>
      <c r="BW22" s="102">
        <f t="shared" si="14"/>
        <v>10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457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459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149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4 OZ, 1 (1+0), +3 ±</v>
      </c>
      <c r="AY23" s="129" t="str">
        <f t="shared" ca="1" si="2"/>
        <v>62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831</v>
      </c>
      <c r="BU23" s="103">
        <v>5</v>
      </c>
      <c r="BV23" s="104" t="str">
        <f t="shared" si="13"/>
        <v>David Šimek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453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462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149</v>
      </c>
      <c r="AQ24" s="123">
        <v>179</v>
      </c>
      <c r="AR24" s="123">
        <v>80</v>
      </c>
      <c r="AS24" s="126" t="s">
        <v>482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98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1019</v>
      </c>
      <c r="BU24" s="103">
        <v>5</v>
      </c>
      <c r="BV24" s="104" t="str">
        <f t="shared" si="13"/>
        <v>Martin Šindelář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462</v>
      </c>
      <c r="T25" s="102" t="s">
        <v>64</v>
      </c>
      <c r="U25" s="102">
        <v>6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-5</v>
      </c>
      <c r="AC25" s="102" t="str">
        <f t="shared" ca="1" si="0"/>
        <v>ANO</v>
      </c>
      <c r="AG25" s="121" t="s">
        <v>446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149</v>
      </c>
      <c r="AQ25" s="123">
        <v>185</v>
      </c>
      <c r="AR25" s="123">
        <v>83</v>
      </c>
      <c r="AS25" s="126" t="s">
        <v>313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6 OZ, 8 (3+5), -3 ±</v>
      </c>
      <c r="AY25" s="129" t="str">
        <f t="shared" ca="1" si="16"/>
        <v>106 OZ, 141 (73+68)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1020</v>
      </c>
      <c r="BU25" s="103">
        <v>5</v>
      </c>
      <c r="BV25" s="104" t="str">
        <f t="shared" si="13"/>
        <v>Ondřej Němeček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474</v>
      </c>
      <c r="AH26" s="122"/>
      <c r="AI26" s="123"/>
      <c r="AJ26" s="123"/>
      <c r="AK26" s="123"/>
      <c r="AL26" s="124">
        <f>IF(AG26&lt;&gt;"",AJ26+AK26,"")</f>
        <v>0</v>
      </c>
      <c r="AM26" s="123" t="s">
        <v>303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1021</v>
      </c>
      <c r="BU26" s="103">
        <v>4</v>
      </c>
      <c r="BV26" s="104" t="str">
        <f t="shared" si="13"/>
        <v>Jakub Kolísko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461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149</v>
      </c>
      <c r="AQ27" s="123">
        <v>185</v>
      </c>
      <c r="AR27" s="123">
        <v>90</v>
      </c>
      <c r="AS27" s="126" t="s">
        <v>483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492</v>
      </c>
      <c r="BU27" s="103">
        <v>4</v>
      </c>
      <c r="BV27" s="104" t="str">
        <f t="shared" si="13"/>
        <v>Marek Beneš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464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149</v>
      </c>
      <c r="AQ28" s="123">
        <v>180</v>
      </c>
      <c r="AR28" s="123">
        <v>70</v>
      </c>
      <c r="AS28" s="126" t="s">
        <v>484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6 OZ, 1 (1+0), +10 ±</v>
      </c>
      <c r="AY28" s="129" t="str">
        <f t="shared" ca="1" si="16"/>
        <v>125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1325</v>
      </c>
      <c r="BU28" s="103">
        <v>4</v>
      </c>
      <c r="BV28" s="104" t="str">
        <f t="shared" si="13"/>
        <v>Martin Čermák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475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303</v>
      </c>
      <c r="AN29" s="123">
        <v>50</v>
      </c>
      <c r="AO29" s="125"/>
      <c r="AP29" s="125" t="s">
        <v>149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1326</v>
      </c>
      <c r="BU29" s="103">
        <v>2</v>
      </c>
      <c r="BV29" s="104" t="str">
        <f t="shared" si="13"/>
        <v>Jonáš Kreysa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TAT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476</v>
      </c>
      <c r="AH30" s="122"/>
      <c r="AI30" s="123"/>
      <c r="AJ30" s="123"/>
      <c r="AK30" s="123"/>
      <c r="AL30" s="124">
        <f>IF(AG30&lt;&gt;"",AJ30+AK30,"")</f>
        <v>0</v>
      </c>
      <c r="AM30" s="123" t="s">
        <v>303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1327</v>
      </c>
      <c r="BU30" s="103">
        <v>2</v>
      </c>
      <c r="BV30" s="104" t="str">
        <f t="shared" si="13"/>
        <v>Martin Šindelář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344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149</v>
      </c>
      <c r="AQ31" s="123">
        <v>183</v>
      </c>
      <c r="AR31" s="123">
        <v>81</v>
      </c>
      <c r="AS31" s="126" t="s">
        <v>485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1320</v>
      </c>
      <c r="BU31" s="103">
        <v>2</v>
      </c>
      <c r="BV31" s="104" t="str">
        <f t="shared" si="13"/>
        <v>Matěj Havlas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453</v>
      </c>
      <c r="T45" s="102">
        <v>6</v>
      </c>
      <c r="U45" s="112">
        <v>360</v>
      </c>
      <c r="V45" s="102">
        <v>6</v>
      </c>
      <c r="W45" s="102">
        <v>25</v>
      </c>
      <c r="X45" s="102">
        <v>0</v>
      </c>
      <c r="Y45" s="102">
        <v>120</v>
      </c>
      <c r="Z45" s="102">
        <v>0</v>
      </c>
      <c r="AA45" s="102">
        <v>0</v>
      </c>
      <c r="AB45" s="102">
        <v>95</v>
      </c>
      <c r="AC45" s="102">
        <v>0</v>
      </c>
      <c r="AD45" s="102">
        <v>0</v>
      </c>
      <c r="AE45" s="112">
        <f>IF(S45&lt;&gt;"",IF(T45&gt;0,W45/(U45/60),0),"")</f>
        <v>4.166666666666667</v>
      </c>
      <c r="AF45" s="112">
        <f>IF(S45&lt;&gt;"",IF(Y45&gt;0,(AB45/Y45)*100,"-"),"")</f>
        <v>79.166666666666657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457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16" priority="12" stopIfTrue="1" operator="equal">
      <formula>"OTR"</formula>
    </cfRule>
    <cfRule type="cellIs" dxfId="115" priority="13" stopIfTrue="1" operator="equal">
      <formula>"PAR"</formula>
    </cfRule>
    <cfRule type="cellIs" dxfId="114" priority="14" stopIfTrue="1" operator="equal">
      <formula>"CLP"</formula>
    </cfRule>
    <cfRule type="cellIs" dxfId="113" priority="15" stopIfTrue="1" operator="equal">
      <formula>"HAT"</formula>
    </cfRule>
    <cfRule type="cellIs" dxfId="112" priority="16" stopIfTrue="1" operator="equal">
      <formula>"LIB"</formula>
    </cfRule>
    <cfRule type="cellIs" dxfId="111" priority="17" stopIfTrue="1" operator="equal">
      <formula>"BA"</formula>
    </cfRule>
    <cfRule type="cellIs" dxfId="110" priority="18" stopIfTrue="1" operator="equal">
      <formula>"SPA"</formula>
    </cfRule>
    <cfRule type="cellIs" dxfId="109" priority="19" stopIfTrue="1" operator="equal">
      <formula>"OST"</formula>
    </cfRule>
    <cfRule type="cellIs" dxfId="108" priority="20" stopIfTrue="1" operator="equal">
      <formula>"BOH"</formula>
    </cfRule>
    <cfRule type="cellIs" dxfId="107" priority="21" stopIfTrue="1" operator="equal">
      <formula>"TAT"</formula>
    </cfRule>
    <cfRule type="cellIs" dxfId="106" priority="22" stopIfTrue="1" operator="equal">
      <formula>"MB"</formula>
    </cfRule>
    <cfRule type="cellIs" dxfId="105" priority="23" stopIfTrue="1" operator="equal">
      <formula>"VIT"</formula>
    </cfRule>
    <cfRule type="cellIs" dxfId="104" priority="24" stopIfTrue="1" operator="equal">
      <formula>"CHO"</formula>
    </cfRule>
    <cfRule type="cellIs" dxfId="103" priority="25" stopIfTrue="1" operator="equal">
      <formula>"SKV"</formula>
    </cfRule>
  </conditionalFormatting>
  <conditionalFormatting sqref="H19:K20">
    <cfRule type="cellIs" dxfId="102" priority="40" stopIfTrue="1" operator="equal">
      <formula>"OTR"</formula>
    </cfRule>
    <cfRule type="cellIs" dxfId="101" priority="41" stopIfTrue="1" operator="equal">
      <formula>"PAR"</formula>
    </cfRule>
    <cfRule type="cellIs" dxfId="100" priority="42" stopIfTrue="1" operator="equal">
      <formula>"CLP"</formula>
    </cfRule>
    <cfRule type="cellIs" dxfId="99" priority="43" stopIfTrue="1" operator="equal">
      <formula>"HAT"</formula>
    </cfRule>
    <cfRule type="cellIs" dxfId="98" priority="44" stopIfTrue="1" operator="equal">
      <formula>"LIB"</formula>
    </cfRule>
    <cfRule type="cellIs" dxfId="97" priority="45" stopIfTrue="1" operator="equal">
      <formula>"BA"</formula>
    </cfRule>
    <cfRule type="cellIs" dxfId="96" priority="46" stopIfTrue="1" operator="equal">
      <formula>"SPA"</formula>
    </cfRule>
    <cfRule type="cellIs" dxfId="95" priority="47" stopIfTrue="1" operator="equal">
      <formula>"OST"</formula>
    </cfRule>
    <cfRule type="cellIs" dxfId="94" priority="48" stopIfTrue="1" operator="equal">
      <formula>"BOH"</formula>
    </cfRule>
    <cfRule type="cellIs" dxfId="93" priority="49" stopIfTrue="1" operator="equal">
      <formula>"TAT"</formula>
    </cfRule>
    <cfRule type="cellIs" dxfId="92" priority="50" stopIfTrue="1" operator="equal">
      <formula>"MB"</formula>
    </cfRule>
    <cfRule type="cellIs" dxfId="91" priority="51" stopIfTrue="1" operator="equal">
      <formula>"VIT"</formula>
    </cfRule>
    <cfRule type="cellIs" dxfId="90" priority="52" stopIfTrue="1" operator="equal">
      <formula>"CHO"</formula>
    </cfRule>
    <cfRule type="cellIs" dxfId="89" priority="53" stopIfTrue="1" operator="equal">
      <formula>"SKV"</formula>
    </cfRule>
  </conditionalFormatting>
  <conditionalFormatting sqref="H8:K9">
    <cfRule type="cellIs" dxfId="88" priority="26" stopIfTrue="1" operator="equal">
      <formula>"OTR"</formula>
    </cfRule>
    <cfRule type="cellIs" dxfId="87" priority="27" stopIfTrue="1" operator="equal">
      <formula>"PAR"</formula>
    </cfRule>
    <cfRule type="cellIs" dxfId="86" priority="28" stopIfTrue="1" operator="equal">
      <formula>"CLP"</formula>
    </cfRule>
    <cfRule type="cellIs" dxfId="85" priority="29" stopIfTrue="1" operator="equal">
      <formula>"HAT"</formula>
    </cfRule>
    <cfRule type="cellIs" dxfId="84" priority="30" stopIfTrue="1" operator="equal">
      <formula>"LIB"</formula>
    </cfRule>
    <cfRule type="cellIs" dxfId="83" priority="31" stopIfTrue="1" operator="equal">
      <formula>"BA"</formula>
    </cfRule>
    <cfRule type="cellIs" dxfId="82" priority="32" stopIfTrue="1" operator="equal">
      <formula>"SPA"</formula>
    </cfRule>
    <cfRule type="cellIs" dxfId="81" priority="33" stopIfTrue="1" operator="equal">
      <formula>"OST"</formula>
    </cfRule>
    <cfRule type="cellIs" dxfId="80" priority="34" stopIfTrue="1" operator="equal">
      <formula>"BOH"</formula>
    </cfRule>
    <cfRule type="cellIs" dxfId="79" priority="35" stopIfTrue="1" operator="equal">
      <formula>"TAT"</formula>
    </cfRule>
    <cfRule type="cellIs" dxfId="78" priority="36" stopIfTrue="1" operator="equal">
      <formula>"MB"</formula>
    </cfRule>
    <cfRule type="cellIs" dxfId="77" priority="37" stopIfTrue="1" operator="equal">
      <formula>"VIT"</formula>
    </cfRule>
    <cfRule type="cellIs" dxfId="76" priority="38" stopIfTrue="1" operator="equal">
      <formula>"CHO"</formula>
    </cfRule>
    <cfRule type="cellIs" dxfId="75" priority="39" stopIfTrue="1" operator="equal">
      <formula>"SKV"</formula>
    </cfRule>
  </conditionalFormatting>
  <conditionalFormatting sqref="S2:S42">
    <cfRule type="expression" dxfId="74" priority="10" stopIfTrue="1">
      <formula>IFERROR(IF(VLOOKUP($S2,OFFSET($AG$2,,,COUNTIF($AG$2:$AG$50,"?*")),1,FALSE)&lt;&gt;0,1,0),0)&gt;0</formula>
    </cfRule>
  </conditionalFormatting>
  <conditionalFormatting sqref="S2:S42">
    <cfRule type="expression" dxfId="73" priority="11">
      <formula>IFERROR(IF(VLOOKUP($S2,OFFSET($AG$2,,,COUNTIF($AG$2:$AG$50,"?*")),1,FALSE)&lt;&gt;0,1,0),0)=0</formula>
    </cfRule>
  </conditionalFormatting>
  <conditionalFormatting sqref="S45:S50">
    <cfRule type="expression" dxfId="72" priority="9">
      <formula>IFERROR(IF(VLOOKUP($S45,OFFSET($AG$2,,,COUNTIF($AG$2:$AG$50,"?*")),1,FALSE)&lt;&gt;0,1,0),0)&gt;0</formula>
    </cfRule>
  </conditionalFormatting>
  <conditionalFormatting sqref="S45:S50">
    <cfRule type="expression" dxfId="71" priority="8">
      <formula>IFERROR(IF(VLOOKUP($S45,OFFSET($AG$2,,,COUNTIF($AG$2:$AG$50,"?*")),1,FALSE)&lt;&gt;0,1,0),0)=0</formula>
    </cfRule>
  </conditionalFormatting>
  <conditionalFormatting sqref="AG2:AG50">
    <cfRule type="expression" dxfId="70" priority="5" stopIfTrue="1">
      <formula>OR($AH2="",$AI2="",$AJ2="",$AK2="",$AL2="",$AM2="",$AN2="",$AQ2="",$AR2="",$AS2="",$AT2="")</formula>
    </cfRule>
    <cfRule type="expression" dxfId="69" priority="6" stopIfTrue="1">
      <formula>IFERROR(IF(VLOOKUP($AG2,OFFSET($S$2,,,COUNTIF($S$2:$S$42,"?*")),1,FALSE)&lt;&gt;0,1,0),0)=0</formula>
    </cfRule>
    <cfRule type="expression" dxfId="68" priority="7">
      <formula>IFERROR(IF(VLOOKUP($AG2,OFFSET($S$2,,,COUNTIF($S$2:$S$42,"?*")),1,FALSE)&lt;&gt;0,1,0),0)&gt;0</formula>
    </cfRule>
  </conditionalFormatting>
  <conditionalFormatting sqref="AG2:AK50 AM2:BC50">
    <cfRule type="expression" dxfId="67" priority="4">
      <formula>AND($AG2&lt;&gt;"",MOD(ROW($AG2),2)=0)</formula>
    </cfRule>
  </conditionalFormatting>
  <conditionalFormatting sqref="BN2:BR11">
    <cfRule type="expression" dxfId="66" priority="3">
      <formula>AND($BN2&lt;&gt;"",MOD(ROW($BN2),2)=0)</formula>
    </cfRule>
  </conditionalFormatting>
  <conditionalFormatting sqref="AL2:AL50">
    <cfRule type="expression" dxfId="6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333</v>
      </c>
      <c r="T2" s="102" t="s">
        <v>119</v>
      </c>
      <c r="U2" s="102">
        <v>7</v>
      </c>
      <c r="V2" s="102">
        <v>14</v>
      </c>
      <c r="W2" s="102">
        <v>2</v>
      </c>
      <c r="X2" s="102">
        <v>0</v>
      </c>
      <c r="Y2" s="102">
        <v>6</v>
      </c>
      <c r="Z2" s="102">
        <v>20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350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149</v>
      </c>
      <c r="AQ2" s="123">
        <v>179</v>
      </c>
      <c r="AR2" s="123">
        <v>76</v>
      </c>
      <c r="AS2" s="126" t="s">
        <v>363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5 (4+1), +15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134 OZ, 96 (42+54)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379</v>
      </c>
      <c r="BO2" s="122">
        <v>31830</v>
      </c>
      <c r="BP2" s="131" t="s">
        <v>256</v>
      </c>
      <c r="BQ2" s="132" t="s">
        <v>380</v>
      </c>
      <c r="BR2" s="127">
        <f ca="1">IF(BN2&lt;&gt;"",IF(BO2&lt;&gt;"",INT((TODAY()-BO2)/365),"?"),"")</f>
        <v>34</v>
      </c>
      <c r="BS2" s="380" t="s">
        <v>36</v>
      </c>
      <c r="BT2" s="104" t="s">
        <v>386</v>
      </c>
      <c r="BU2" s="103">
        <v>20</v>
      </c>
      <c r="BV2" s="104" t="str">
        <f>IFERROR(RIGHT(BT2,LEN(BT2)-SEARCH(" ",BT2)),"")</f>
        <v>Adam Delong</v>
      </c>
      <c r="BW2" s="102">
        <f>IF(BT2&lt;&gt;0,_xlfn.NUMBERVALUE(BU2,","),"")</f>
        <v>20</v>
      </c>
      <c r="BX2" s="379" t="s">
        <v>211</v>
      </c>
      <c r="BY2" s="103" t="s">
        <v>872</v>
      </c>
      <c r="BZ2" s="103" t="s">
        <v>958</v>
      </c>
      <c r="CA2" s="115" t="s">
        <v>799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336</v>
      </c>
      <c r="T3" s="102" t="s">
        <v>119</v>
      </c>
      <c r="U3" s="102">
        <v>7</v>
      </c>
      <c r="V3" s="102">
        <v>5</v>
      </c>
      <c r="W3" s="102">
        <v>0</v>
      </c>
      <c r="X3" s="102">
        <v>0</v>
      </c>
      <c r="Y3" s="102">
        <v>11</v>
      </c>
      <c r="Z3" s="102">
        <v>16</v>
      </c>
      <c r="AA3" s="102">
        <v>0</v>
      </c>
      <c r="AB3" s="102">
        <v>13</v>
      </c>
      <c r="AC3" s="102" t="str">
        <f t="shared" ca="1" si="0"/>
        <v>ANO</v>
      </c>
      <c r="AG3" s="121" t="s">
        <v>340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149</v>
      </c>
      <c r="AQ3" s="123">
        <v>183</v>
      </c>
      <c r="AR3" s="123">
        <v>72</v>
      </c>
      <c r="AS3" s="126" t="s">
        <v>364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7 OZ, 11 (9+2), +9 ±</v>
      </c>
      <c r="AY3" s="129" t="str">
        <f t="shared" ca="1" si="2"/>
        <v>177 OZ, 166 (131+35)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381</v>
      </c>
      <c r="BO3" s="122">
        <v>33988</v>
      </c>
      <c r="BP3" s="131" t="s">
        <v>257</v>
      </c>
      <c r="BQ3" s="132"/>
      <c r="BR3" s="127">
        <f t="shared" ref="BR3:BR11" ca="1" si="12">IF(BN3&lt;&gt;"",IF(BO3&lt;&gt;"",INT((TODAY()-BO3)/365),"?"),"")</f>
        <v>28</v>
      </c>
      <c r="BS3" s="380"/>
      <c r="BT3" s="104" t="s">
        <v>1030</v>
      </c>
      <c r="BU3" s="103">
        <v>16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16</v>
      </c>
      <c r="BX3" s="379"/>
      <c r="BY3" s="103" t="s">
        <v>1188</v>
      </c>
      <c r="BZ3" s="103" t="s">
        <v>971</v>
      </c>
      <c r="CA3" s="115" t="s">
        <v>930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337</v>
      </c>
      <c r="T4" s="102" t="s">
        <v>119</v>
      </c>
      <c r="U4" s="102">
        <v>7</v>
      </c>
      <c r="V4" s="102">
        <v>5</v>
      </c>
      <c r="W4" s="102">
        <v>0</v>
      </c>
      <c r="X4" s="102">
        <v>0</v>
      </c>
      <c r="Y4" s="102">
        <v>9</v>
      </c>
      <c r="Z4" s="102">
        <v>14</v>
      </c>
      <c r="AA4" s="102">
        <v>2</v>
      </c>
      <c r="AB4" s="102">
        <v>13</v>
      </c>
      <c r="AC4" s="102" t="str">
        <f t="shared" ca="1" si="0"/>
        <v>ANO</v>
      </c>
      <c r="AG4" s="121" t="s">
        <v>335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149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7 OZ, 6 (4+2), +9 ±</v>
      </c>
      <c r="AY4" s="129" t="str">
        <f t="shared" ca="1" si="2"/>
        <v>71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382</v>
      </c>
      <c r="BO4" s="122">
        <v>35289</v>
      </c>
      <c r="BP4" s="131" t="s">
        <v>383</v>
      </c>
      <c r="BQ4" s="132"/>
      <c r="BR4" s="127">
        <f t="shared" ca="1" si="12"/>
        <v>25</v>
      </c>
      <c r="BS4" s="380"/>
      <c r="BT4" s="104" t="s">
        <v>1046</v>
      </c>
      <c r="BU4" s="103">
        <v>14</v>
      </c>
      <c r="BV4" s="104" t="str">
        <f t="shared" si="13"/>
        <v>Marek Matejčík</v>
      </c>
      <c r="BW4" s="102">
        <f t="shared" si="14"/>
        <v>14</v>
      </c>
      <c r="BX4" s="379"/>
      <c r="BY4" s="103" t="s">
        <v>207</v>
      </c>
      <c r="BZ4" s="103" t="s">
        <v>936</v>
      </c>
      <c r="CA4" s="115" t="s">
        <v>1028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334</v>
      </c>
      <c r="T5" s="102" t="s">
        <v>119</v>
      </c>
      <c r="U5" s="102">
        <v>7</v>
      </c>
      <c r="V5" s="102">
        <v>9</v>
      </c>
      <c r="W5" s="102">
        <v>1</v>
      </c>
      <c r="X5" s="102">
        <v>0</v>
      </c>
      <c r="Y5" s="102">
        <v>4</v>
      </c>
      <c r="Z5" s="102">
        <v>13</v>
      </c>
      <c r="AA5" s="102">
        <v>2</v>
      </c>
      <c r="AB5" s="102">
        <v>11</v>
      </c>
      <c r="AC5" s="102" t="str">
        <f t="shared" ca="1" si="0"/>
        <v>ANO</v>
      </c>
      <c r="AG5" s="121" t="s">
        <v>333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149</v>
      </c>
      <c r="AQ5" s="123">
        <v>183</v>
      </c>
      <c r="AR5" s="123">
        <v>75</v>
      </c>
      <c r="AS5" s="126" t="s">
        <v>365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7 OZ, 20 (14+6), +13 ±</v>
      </c>
      <c r="AY5" s="129" t="str">
        <f t="shared" ca="1" si="2"/>
        <v>148 OZ, 239 (136+103)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384</v>
      </c>
      <c r="BO5" s="122">
        <v>24331</v>
      </c>
      <c r="BP5" s="131" t="s">
        <v>383</v>
      </c>
      <c r="BQ5" s="132"/>
      <c r="BR5" s="127">
        <f t="shared" ca="1" si="12"/>
        <v>55</v>
      </c>
      <c r="BS5" s="380"/>
      <c r="BT5" s="104" t="s">
        <v>1328</v>
      </c>
      <c r="BU5" s="103">
        <v>13</v>
      </c>
      <c r="BV5" s="104" t="str">
        <f t="shared" si="13"/>
        <v>Rostislav Gattnar</v>
      </c>
      <c r="BW5" s="102">
        <f t="shared" si="14"/>
        <v>13</v>
      </c>
      <c r="BX5" s="379"/>
      <c r="BY5" s="103" t="s">
        <v>262</v>
      </c>
      <c r="BZ5" s="103" t="s">
        <v>909</v>
      </c>
      <c r="CA5" s="115" t="s">
        <v>1029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340</v>
      </c>
      <c r="T6" s="102" t="s">
        <v>119</v>
      </c>
      <c r="U6" s="102">
        <v>7</v>
      </c>
      <c r="V6" s="102">
        <v>9</v>
      </c>
      <c r="W6" s="102">
        <v>0</v>
      </c>
      <c r="X6" s="102">
        <v>0</v>
      </c>
      <c r="Y6" s="102">
        <v>2</v>
      </c>
      <c r="Z6" s="102">
        <v>11</v>
      </c>
      <c r="AA6" s="102">
        <v>2</v>
      </c>
      <c r="AB6" s="102">
        <v>9</v>
      </c>
      <c r="AC6" s="102" t="str">
        <f t="shared" ca="1" si="0"/>
        <v>ANO</v>
      </c>
      <c r="AG6" s="121" t="s">
        <v>334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364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7 OZ, 13 (9+4), +11 ±</v>
      </c>
      <c r="AY6" s="129" t="str">
        <f t="shared" ca="1" si="2"/>
        <v>78 OZ, 86 (54+32)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385</v>
      </c>
      <c r="BO6" s="122">
        <v>31439</v>
      </c>
      <c r="BP6" s="131" t="s">
        <v>192</v>
      </c>
      <c r="BQ6" s="132"/>
      <c r="BR6" s="127">
        <f t="shared" ca="1" si="12"/>
        <v>35</v>
      </c>
      <c r="BS6" s="380"/>
      <c r="BT6" s="104" t="s">
        <v>389</v>
      </c>
      <c r="BU6" s="103">
        <v>11</v>
      </c>
      <c r="BV6" s="104" t="str">
        <f t="shared" si="13"/>
        <v>Marek Bräuer</v>
      </c>
      <c r="BW6" s="102">
        <f t="shared" si="14"/>
        <v>11</v>
      </c>
      <c r="BX6" s="379"/>
      <c r="BY6" s="103" t="s">
        <v>851</v>
      </c>
      <c r="BZ6" s="103" t="s">
        <v>903</v>
      </c>
      <c r="CA6" s="115" t="s">
        <v>886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338</v>
      </c>
      <c r="T7" s="102" t="s">
        <v>119</v>
      </c>
      <c r="U7" s="102">
        <v>6</v>
      </c>
      <c r="V7" s="102">
        <v>3</v>
      </c>
      <c r="W7" s="102">
        <v>0</v>
      </c>
      <c r="X7" s="102">
        <v>0</v>
      </c>
      <c r="Y7" s="102">
        <v>6</v>
      </c>
      <c r="Z7" s="102">
        <v>9</v>
      </c>
      <c r="AA7" s="102">
        <v>0</v>
      </c>
      <c r="AB7" s="102">
        <v>9</v>
      </c>
      <c r="AC7" s="102" t="str">
        <f t="shared" ca="1" si="0"/>
        <v>NE</v>
      </c>
      <c r="AG7" s="121" t="s">
        <v>352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149</v>
      </c>
      <c r="AQ7" s="123">
        <v>182</v>
      </c>
      <c r="AR7" s="123">
        <v>81</v>
      </c>
      <c r="AS7" s="126" t="s">
        <v>366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387</v>
      </c>
      <c r="BU7" s="103" t="s">
        <v>1329</v>
      </c>
      <c r="BV7" s="104" t="str">
        <f t="shared" si="13"/>
        <v>Denis Jasiok</v>
      </c>
      <c r="BW7" s="112">
        <f t="shared" si="14"/>
        <v>3.64</v>
      </c>
      <c r="BX7" s="379" t="s">
        <v>212</v>
      </c>
      <c r="BY7" s="103" t="s">
        <v>906</v>
      </c>
      <c r="BZ7" s="103" t="s">
        <v>955</v>
      </c>
      <c r="CA7" s="115" t="s">
        <v>205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96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339</v>
      </c>
      <c r="U8" s="102">
        <v>7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2</v>
      </c>
      <c r="AB8" s="102">
        <v>9</v>
      </c>
      <c r="AC8" s="102" t="str">
        <f t="shared" ca="1" si="0"/>
        <v>NE</v>
      </c>
      <c r="AG8" s="121" t="s">
        <v>343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149</v>
      </c>
      <c r="AQ8" s="123">
        <v>189</v>
      </c>
      <c r="AR8" s="123">
        <v>80</v>
      </c>
      <c r="AS8" s="126" t="s">
        <v>367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7 OZ, 3 (1+2), +6 ±</v>
      </c>
      <c r="AY8" s="129" t="str">
        <f t="shared" ca="1" si="2"/>
        <v>58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1032</v>
      </c>
      <c r="BU8" s="103" t="s">
        <v>199</v>
      </c>
      <c r="BV8" s="104" t="str">
        <f t="shared" si="13"/>
        <v>Michael Chalupecký</v>
      </c>
      <c r="BW8" s="112">
        <f t="shared" si="14"/>
        <v>0</v>
      </c>
      <c r="BX8" s="379"/>
      <c r="BY8" s="103" t="s">
        <v>908</v>
      </c>
      <c r="BZ8" s="103" t="s">
        <v>954</v>
      </c>
      <c r="CA8" s="115" t="s">
        <v>205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341</v>
      </c>
      <c r="T9" s="102" t="s">
        <v>64</v>
      </c>
      <c r="U9" s="102">
        <v>6</v>
      </c>
      <c r="V9" s="102">
        <v>4</v>
      </c>
      <c r="W9" s="102">
        <v>2</v>
      </c>
      <c r="X9" s="102">
        <v>0</v>
      </c>
      <c r="Y9" s="102">
        <v>2</v>
      </c>
      <c r="Z9" s="102">
        <v>6</v>
      </c>
      <c r="AA9" s="102">
        <v>0</v>
      </c>
      <c r="AB9" s="102">
        <v>8</v>
      </c>
      <c r="AC9" s="102" t="str">
        <f t="shared" ca="1" si="0"/>
        <v>ANO</v>
      </c>
      <c r="AG9" s="121" t="s">
        <v>341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364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6 OZ, 6 (4+2), +8 ±</v>
      </c>
      <c r="AY9" s="129" t="str">
        <f t="shared" ca="1" si="2"/>
        <v>196 OZ, 167 (81+86)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1033</v>
      </c>
      <c r="BU9" s="103" t="s">
        <v>199</v>
      </c>
      <c r="BV9" s="104" t="str">
        <f t="shared" si="13"/>
        <v>Michal Bartoň</v>
      </c>
      <c r="BW9" s="112">
        <f t="shared" si="14"/>
        <v>0</v>
      </c>
      <c r="BX9" s="379"/>
      <c r="BY9" s="103" t="s">
        <v>938</v>
      </c>
      <c r="BZ9" s="103" t="s">
        <v>933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335</v>
      </c>
      <c r="T10" s="102" t="s">
        <v>119</v>
      </c>
      <c r="U10" s="102">
        <v>7</v>
      </c>
      <c r="V10" s="102">
        <v>4</v>
      </c>
      <c r="W10" s="102">
        <v>0</v>
      </c>
      <c r="X10" s="102">
        <v>0</v>
      </c>
      <c r="Y10" s="102">
        <v>2</v>
      </c>
      <c r="Z10" s="102">
        <v>6</v>
      </c>
      <c r="AA10" s="102">
        <v>2</v>
      </c>
      <c r="AB10" s="102">
        <v>9</v>
      </c>
      <c r="AC10" s="102" t="str">
        <f t="shared" ca="1" si="0"/>
        <v>ANO</v>
      </c>
      <c r="AG10" s="121" t="s">
        <v>353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149</v>
      </c>
      <c r="AQ10" s="123">
        <v>178</v>
      </c>
      <c r="AR10" s="123">
        <v>70</v>
      </c>
      <c r="AS10" s="126" t="s">
        <v>308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T10" s="104" t="s">
        <v>1034</v>
      </c>
      <c r="BU10" s="103" t="s">
        <v>199</v>
      </c>
      <c r="BV10" s="104" t="str">
        <f t="shared" si="13"/>
        <v>Petr Maláč</v>
      </c>
      <c r="BW10" s="112">
        <f t="shared" si="14"/>
        <v>0</v>
      </c>
      <c r="BX10" s="379"/>
      <c r="BY10" s="103" t="s">
        <v>1099</v>
      </c>
      <c r="BZ10" s="103" t="s">
        <v>997</v>
      </c>
      <c r="CA10" s="115" t="s">
        <v>205</v>
      </c>
    </row>
    <row r="11" spans="1:79" ht="15" customHeight="1" thickTop="1" thickBot="1" x14ac:dyDescent="0.25">
      <c r="R11" s="13"/>
      <c r="S11" s="110" t="s">
        <v>344</v>
      </c>
      <c r="U11" s="102">
        <v>7</v>
      </c>
      <c r="V11" s="102">
        <v>1</v>
      </c>
      <c r="W11" s="102">
        <v>0</v>
      </c>
      <c r="X11" s="102">
        <v>1</v>
      </c>
      <c r="Y11" s="102">
        <v>5</v>
      </c>
      <c r="Z11" s="102">
        <v>6</v>
      </c>
      <c r="AA11" s="102">
        <v>0</v>
      </c>
      <c r="AB11" s="102">
        <v>9</v>
      </c>
      <c r="AC11" s="102" t="str">
        <f t="shared" ca="1" si="0"/>
        <v>NE</v>
      </c>
      <c r="AG11" s="121" t="s">
        <v>354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149</v>
      </c>
      <c r="AQ11" s="123">
        <v>193</v>
      </c>
      <c r="AR11" s="123">
        <v>89</v>
      </c>
      <c r="AS11" s="126" t="s">
        <v>368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T11" s="104" t="s">
        <v>1035</v>
      </c>
      <c r="BU11" s="103" t="s">
        <v>1330</v>
      </c>
      <c r="BV11" s="104" t="str">
        <f t="shared" si="13"/>
        <v>Lukáš Souček</v>
      </c>
      <c r="BW11" s="112">
        <f t="shared" si="14"/>
        <v>3.5</v>
      </c>
      <c r="BX11" s="379"/>
      <c r="BY11" s="103" t="s">
        <v>1189</v>
      </c>
      <c r="BZ11" s="103" t="s">
        <v>937</v>
      </c>
      <c r="CA11" s="115" t="s">
        <v>205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350</v>
      </c>
      <c r="T12" s="102" t="s">
        <v>119</v>
      </c>
      <c r="U12" s="102">
        <v>7</v>
      </c>
      <c r="V12" s="102">
        <v>4</v>
      </c>
      <c r="W12" s="102">
        <v>0</v>
      </c>
      <c r="X12" s="102">
        <v>0</v>
      </c>
      <c r="Y12" s="102">
        <v>1</v>
      </c>
      <c r="Z12" s="102">
        <v>5</v>
      </c>
      <c r="AA12" s="102">
        <v>2</v>
      </c>
      <c r="AB12" s="102">
        <v>15</v>
      </c>
      <c r="AC12" s="102" t="str">
        <f t="shared" ca="1" si="0"/>
        <v>ANO</v>
      </c>
      <c r="AG12" s="121" t="s">
        <v>347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369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4 V, 1 P</v>
      </c>
      <c r="AY12" s="129" t="str">
        <f t="shared" ca="1" si="2"/>
        <v>11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386</v>
      </c>
      <c r="BU12" s="103">
        <v>14</v>
      </c>
      <c r="BV12" s="104" t="str">
        <f t="shared" si="13"/>
        <v>Adam Delong</v>
      </c>
      <c r="BW12" s="102">
        <f t="shared" si="14"/>
        <v>14</v>
      </c>
      <c r="BX12" s="120" t="s">
        <v>210</v>
      </c>
      <c r="BY12" s="100" t="s">
        <v>1334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343</v>
      </c>
      <c r="T13" s="102" t="s">
        <v>64</v>
      </c>
      <c r="U13" s="102">
        <v>7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2</v>
      </c>
      <c r="AB13" s="102">
        <v>6</v>
      </c>
      <c r="AC13" s="102" t="str">
        <f t="shared" ca="1" si="0"/>
        <v>ANO</v>
      </c>
      <c r="AG13" s="121" t="s">
        <v>355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370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1045</v>
      </c>
      <c r="BU13" s="103">
        <v>9</v>
      </c>
      <c r="BV13" s="104" t="str">
        <f t="shared" si="13"/>
        <v>Marek Bräuer</v>
      </c>
      <c r="BW13" s="102">
        <f t="shared" si="14"/>
        <v>9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342</v>
      </c>
      <c r="T14" s="102" t="s">
        <v>119</v>
      </c>
      <c r="U14" s="102">
        <v>7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0</v>
      </c>
      <c r="AB14" s="102">
        <v>11</v>
      </c>
      <c r="AC14" s="102" t="str">
        <f t="shared" ca="1" si="0"/>
        <v>ANO</v>
      </c>
      <c r="AG14" s="121" t="s">
        <v>351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371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7 OZ, 2 (0+2), +6 ±</v>
      </c>
      <c r="AY14" s="129" t="str">
        <f t="shared" ca="1" si="2"/>
        <v>26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887</v>
      </c>
      <c r="BU14" s="103">
        <v>9</v>
      </c>
      <c r="BV14" s="104" t="str">
        <f t="shared" si="13"/>
        <v>Rostislav Gattnar</v>
      </c>
      <c r="BW14" s="102">
        <f t="shared" si="14"/>
        <v>9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832</v>
      </c>
      <c r="U15" s="102">
        <v>6</v>
      </c>
      <c r="V15" s="102">
        <v>0</v>
      </c>
      <c r="W15" s="102">
        <v>0</v>
      </c>
      <c r="X15" s="102">
        <v>0</v>
      </c>
      <c r="Y15" s="102">
        <v>3</v>
      </c>
      <c r="Z15" s="102">
        <v>3</v>
      </c>
      <c r="AA15" s="102">
        <v>0</v>
      </c>
      <c r="AB15" s="102">
        <v>1</v>
      </c>
      <c r="AC15" s="102" t="str">
        <f t="shared" ca="1" si="0"/>
        <v>NE</v>
      </c>
      <c r="AG15" s="121" t="s">
        <v>356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372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1031</v>
      </c>
      <c r="BU15" s="103">
        <v>5</v>
      </c>
      <c r="BV15" s="104" t="str">
        <f t="shared" si="13"/>
        <v>Marek Matejčík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351</v>
      </c>
      <c r="T16" s="102" t="s">
        <v>64</v>
      </c>
      <c r="U16" s="102">
        <v>7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ANO</v>
      </c>
      <c r="AG16" s="121" t="s">
        <v>357</v>
      </c>
      <c r="AH16" s="122"/>
      <c r="AI16" s="123"/>
      <c r="AJ16" s="123"/>
      <c r="AK16" s="123"/>
      <c r="AL16" s="124">
        <f>IF(AG16&lt;&gt;"",AJ16+AK16,"")</f>
        <v>0</v>
      </c>
      <c r="AM16" s="123" t="s">
        <v>303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1331</v>
      </c>
      <c r="BU16" s="103">
        <v>5</v>
      </c>
      <c r="BV16" s="104" t="str">
        <f t="shared" si="13"/>
        <v>Martin Gattnar</v>
      </c>
      <c r="BW16" s="102">
        <f t="shared" si="14"/>
        <v>5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345</v>
      </c>
      <c r="T17" s="102" t="s">
        <v>119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348</v>
      </c>
      <c r="AH17" s="122"/>
      <c r="AI17" s="123"/>
      <c r="AJ17" s="123"/>
      <c r="AK17" s="123"/>
      <c r="AL17" s="124">
        <f>IF(AG17&lt;&gt;"",AJ17+AK17,"")</f>
        <v>0</v>
      </c>
      <c r="AM17" s="123" t="s">
        <v>303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387</v>
      </c>
      <c r="BU17" s="103">
        <v>4</v>
      </c>
      <c r="BV17" s="104" t="str">
        <f t="shared" si="13"/>
        <v>Denis Jasiok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346</v>
      </c>
      <c r="T18" s="102" t="s">
        <v>64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6</v>
      </c>
      <c r="AC18" s="102" t="str">
        <f t="shared" ca="1" si="0"/>
        <v>ANO</v>
      </c>
      <c r="AG18" s="121" t="s">
        <v>337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149</v>
      </c>
      <c r="AQ18" s="123">
        <v>168</v>
      </c>
      <c r="AR18" s="123">
        <v>69</v>
      </c>
      <c r="AS18" s="126" t="s">
        <v>364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7 OZ, 14 (5+9), +13 ±</v>
      </c>
      <c r="AY18" s="129" t="str">
        <f t="shared" ca="1" si="2"/>
        <v>212 OZ, 245 (127+118)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1037</v>
      </c>
      <c r="BU18" s="103">
        <v>2</v>
      </c>
      <c r="BV18" s="104" t="str">
        <f t="shared" si="13"/>
        <v>Lukáš Souček</v>
      </c>
      <c r="BW18" s="102">
        <f t="shared" si="14"/>
        <v>2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VIT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1027</v>
      </c>
      <c r="T19" s="102" t="s">
        <v>117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358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1038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885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346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149</v>
      </c>
      <c r="AQ20" s="123">
        <v>179</v>
      </c>
      <c r="AR20" s="123">
        <v>69</v>
      </c>
      <c r="AS20" s="126" t="s">
        <v>373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5 OZ, 1 (0+1), +6 ±</v>
      </c>
      <c r="AY20" s="129" t="str">
        <f t="shared" ca="1" si="2"/>
        <v>144 OZ, 41 (10+31)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T20" s="104" t="s">
        <v>1039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348</v>
      </c>
      <c r="T21" s="102" t="s">
        <v>117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342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149</v>
      </c>
      <c r="AQ21" s="123">
        <v>186</v>
      </c>
      <c r="AR21" s="123">
        <v>70</v>
      </c>
      <c r="AS21" s="126" t="s">
        <v>374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7 OZ, 3 (1+2), +11 ±</v>
      </c>
      <c r="AY21" s="129" t="str">
        <f t="shared" ca="1" si="2"/>
        <v>49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T21" s="104" t="s">
        <v>1040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349</v>
      </c>
      <c r="T22" s="102" t="s">
        <v>119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359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166</v>
      </c>
      <c r="AP22" s="125" t="s">
        <v>149</v>
      </c>
      <c r="AQ22" s="123">
        <v>186</v>
      </c>
      <c r="AR22" s="123">
        <v>80</v>
      </c>
      <c r="AS22" s="126" t="s">
        <v>364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1041</v>
      </c>
      <c r="BU22" s="103">
        <v>11</v>
      </c>
      <c r="BV22" s="104" t="str">
        <f t="shared" si="13"/>
        <v>Matyáš Šindler</v>
      </c>
      <c r="BW22" s="102">
        <f t="shared" si="14"/>
        <v>11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360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360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375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2 V, 0 P</v>
      </c>
      <c r="AY23" s="129" t="str">
        <f t="shared" ca="1" si="2"/>
        <v>147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833</v>
      </c>
      <c r="BU23" s="103">
        <v>9</v>
      </c>
      <c r="BV23" s="104" t="str">
        <f t="shared" si="13"/>
        <v>Marek Matejčík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347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361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1042</v>
      </c>
      <c r="BU24" s="103">
        <v>6</v>
      </c>
      <c r="BV24" s="104" t="str">
        <f t="shared" si="13"/>
        <v>Adam Delong</v>
      </c>
      <c r="BW24" s="102">
        <f t="shared" si="14"/>
        <v>6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349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149</v>
      </c>
      <c r="AQ25" s="123">
        <v>182</v>
      </c>
      <c r="AR25" s="123">
        <v>78</v>
      </c>
      <c r="AS25" s="126" t="s">
        <v>366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1043</v>
      </c>
      <c r="BU25" s="103">
        <v>6</v>
      </c>
      <c r="BV25" s="104" t="str">
        <f t="shared" si="13"/>
        <v>Adam Zubek</v>
      </c>
      <c r="BW25" s="102">
        <f t="shared" si="14"/>
        <v>6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336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149</v>
      </c>
      <c r="AQ26" s="123">
        <v>186</v>
      </c>
      <c r="AR26" s="123">
        <v>81</v>
      </c>
      <c r="AS26" s="126" t="s">
        <v>377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7 OZ, 16 (5+11), +13 ±</v>
      </c>
      <c r="AY26" s="129" t="str">
        <f t="shared" ca="1" si="16"/>
        <v>91 OZ, 137 (41+96)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1044</v>
      </c>
      <c r="BU26" s="103">
        <v>5</v>
      </c>
      <c r="BV26" s="104" t="str">
        <f t="shared" si="13"/>
        <v>Ondřej Vítovec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345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149</v>
      </c>
      <c r="AQ27" s="123">
        <v>179</v>
      </c>
      <c r="AR27" s="123">
        <v>76</v>
      </c>
      <c r="AS27" s="126" t="s">
        <v>308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4 OZ, 1 (0+1), +1 ±</v>
      </c>
      <c r="AY27" s="129" t="str">
        <f t="shared" ca="1" si="16"/>
        <v>183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1332</v>
      </c>
      <c r="BU27" s="103">
        <v>2</v>
      </c>
      <c r="BV27" s="104" t="str">
        <f t="shared" si="13"/>
        <v>Filip Čonka-Skyba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362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149</v>
      </c>
      <c r="AQ28" s="123"/>
      <c r="AR28" s="123"/>
      <c r="AS28" s="126" t="s">
        <v>378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1333</v>
      </c>
      <c r="BU28" s="103">
        <v>2</v>
      </c>
      <c r="BV28" s="104" t="str">
        <f t="shared" si="13"/>
        <v>Jiří Besta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1036</v>
      </c>
      <c r="BU29" s="103">
        <v>2</v>
      </c>
      <c r="BV29" s="104" t="str">
        <f t="shared" si="13"/>
        <v>Marek Bräuer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VIT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1031</v>
      </c>
      <c r="BU30" s="103">
        <v>2</v>
      </c>
      <c r="BV30" s="104" t="str">
        <f t="shared" si="13"/>
        <v>Marek Matejčík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1331</v>
      </c>
      <c r="BU31" s="103">
        <v>2</v>
      </c>
      <c r="BV31" s="104" t="str">
        <f t="shared" si="13"/>
        <v>Martin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347</v>
      </c>
      <c r="T45" s="102">
        <v>5</v>
      </c>
      <c r="U45" s="112">
        <v>296.5</v>
      </c>
      <c r="V45" s="102">
        <v>4</v>
      </c>
      <c r="W45" s="102">
        <v>18</v>
      </c>
      <c r="X45" s="102">
        <v>0</v>
      </c>
      <c r="Y45" s="102">
        <v>100</v>
      </c>
      <c r="Z45" s="102">
        <v>0</v>
      </c>
      <c r="AA45" s="102">
        <v>1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3.642495784148398</v>
      </c>
      <c r="AF45" s="112">
        <f>IF(S45&lt;&gt;"",IF(Y45&gt;0,(AB45/Y45)*100,"-"),"")</f>
        <v>82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38</v>
      </c>
      <c r="Z46" s="102">
        <v>0</v>
      </c>
      <c r="AA46" s="102">
        <v>0</v>
      </c>
      <c r="AB46" s="102">
        <v>31</v>
      </c>
      <c r="AC46" s="102">
        <v>0</v>
      </c>
      <c r="AD46" s="102">
        <v>0</v>
      </c>
      <c r="AE46" s="112">
        <f t="shared" ref="AE46:AE50" si="23">IF(S46&lt;&gt;"",IF(T46&gt;0,W46/(U46/60),0),"")</f>
        <v>3.5</v>
      </c>
      <c r="AF46" s="112">
        <f t="shared" ref="AF46:AF50" si="24">IF(S46&lt;&gt;"",IF(Y46&gt;0,(AB46/Y46)*100,"-"),"")</f>
        <v>81.578947368421055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348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 t="s">
        <v>885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 t="s">
        <v>1027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4" priority="12" stopIfTrue="1" operator="equal">
      <formula>"OTR"</formula>
    </cfRule>
    <cfRule type="cellIs" dxfId="63" priority="13" stopIfTrue="1" operator="equal">
      <formula>"PAR"</formula>
    </cfRule>
    <cfRule type="cellIs" dxfId="62" priority="14" stopIfTrue="1" operator="equal">
      <formula>"CLP"</formula>
    </cfRule>
    <cfRule type="cellIs" dxfId="61" priority="15" stopIfTrue="1" operator="equal">
      <formula>"HAT"</formula>
    </cfRule>
    <cfRule type="cellIs" dxfId="60" priority="16" stopIfTrue="1" operator="equal">
      <formula>"LIB"</formula>
    </cfRule>
    <cfRule type="cellIs" dxfId="59" priority="17" stopIfTrue="1" operator="equal">
      <formula>"BA"</formula>
    </cfRule>
    <cfRule type="cellIs" dxfId="58" priority="18" stopIfTrue="1" operator="equal">
      <formula>"SPA"</formula>
    </cfRule>
    <cfRule type="cellIs" dxfId="57" priority="19" stopIfTrue="1" operator="equal">
      <formula>"OST"</formula>
    </cfRule>
    <cfRule type="cellIs" dxfId="56" priority="20" stopIfTrue="1" operator="equal">
      <formula>"BOH"</formula>
    </cfRule>
    <cfRule type="cellIs" dxfId="55" priority="21" stopIfTrue="1" operator="equal">
      <formula>"TAT"</formula>
    </cfRule>
    <cfRule type="cellIs" dxfId="54" priority="22" stopIfTrue="1" operator="equal">
      <formula>"MB"</formula>
    </cfRule>
    <cfRule type="cellIs" dxfId="53" priority="23" stopIfTrue="1" operator="equal">
      <formula>"VIT"</formula>
    </cfRule>
    <cfRule type="cellIs" dxfId="52" priority="24" stopIfTrue="1" operator="equal">
      <formula>"CHO"</formula>
    </cfRule>
    <cfRule type="cellIs" dxfId="51" priority="25" stopIfTrue="1" operator="equal">
      <formula>"SKV"</formula>
    </cfRule>
  </conditionalFormatting>
  <conditionalFormatting sqref="H19:K20">
    <cfRule type="cellIs" dxfId="50" priority="40" stopIfTrue="1" operator="equal">
      <formula>"OTR"</formula>
    </cfRule>
    <cfRule type="cellIs" dxfId="49" priority="41" stopIfTrue="1" operator="equal">
      <formula>"PAR"</formula>
    </cfRule>
    <cfRule type="cellIs" dxfId="48" priority="42" stopIfTrue="1" operator="equal">
      <formula>"CLP"</formula>
    </cfRule>
    <cfRule type="cellIs" dxfId="47" priority="43" stopIfTrue="1" operator="equal">
      <formula>"HAT"</formula>
    </cfRule>
    <cfRule type="cellIs" dxfId="46" priority="44" stopIfTrue="1" operator="equal">
      <formula>"LIB"</formula>
    </cfRule>
    <cfRule type="cellIs" dxfId="45" priority="45" stopIfTrue="1" operator="equal">
      <formula>"BA"</formula>
    </cfRule>
    <cfRule type="cellIs" dxfId="44" priority="46" stopIfTrue="1" operator="equal">
      <formula>"SPA"</formula>
    </cfRule>
    <cfRule type="cellIs" dxfId="43" priority="47" stopIfTrue="1" operator="equal">
      <formula>"OST"</formula>
    </cfRule>
    <cfRule type="cellIs" dxfId="42" priority="48" stopIfTrue="1" operator="equal">
      <formula>"BOH"</formula>
    </cfRule>
    <cfRule type="cellIs" dxfId="41" priority="49" stopIfTrue="1" operator="equal">
      <formula>"TAT"</formula>
    </cfRule>
    <cfRule type="cellIs" dxfId="40" priority="50" stopIfTrue="1" operator="equal">
      <formula>"MB"</formula>
    </cfRule>
    <cfRule type="cellIs" dxfId="39" priority="51" stopIfTrue="1" operator="equal">
      <formula>"VIT"</formula>
    </cfRule>
    <cfRule type="cellIs" dxfId="38" priority="52" stopIfTrue="1" operator="equal">
      <formula>"CHO"</formula>
    </cfRule>
    <cfRule type="cellIs" dxfId="37" priority="53" stopIfTrue="1" operator="equal">
      <formula>"SKV"</formula>
    </cfRule>
  </conditionalFormatting>
  <conditionalFormatting sqref="H8:K9">
    <cfRule type="cellIs" dxfId="36" priority="26" stopIfTrue="1" operator="equal">
      <formula>"OTR"</formula>
    </cfRule>
    <cfRule type="cellIs" dxfId="35" priority="27" stopIfTrue="1" operator="equal">
      <formula>"PAR"</formula>
    </cfRule>
    <cfRule type="cellIs" dxfId="34" priority="28" stopIfTrue="1" operator="equal">
      <formula>"CLP"</formula>
    </cfRule>
    <cfRule type="cellIs" dxfId="33" priority="29" stopIfTrue="1" operator="equal">
      <formula>"HAT"</formula>
    </cfRule>
    <cfRule type="cellIs" dxfId="32" priority="30" stopIfTrue="1" operator="equal">
      <formula>"LIB"</formula>
    </cfRule>
    <cfRule type="cellIs" dxfId="31" priority="31" stopIfTrue="1" operator="equal">
      <formula>"BA"</formula>
    </cfRule>
    <cfRule type="cellIs" dxfId="30" priority="32" stopIfTrue="1" operator="equal">
      <formula>"SPA"</formula>
    </cfRule>
    <cfRule type="cellIs" dxfId="29" priority="33" stopIfTrue="1" operator="equal">
      <formula>"OST"</formula>
    </cfRule>
    <cfRule type="cellIs" dxfId="28" priority="34" stopIfTrue="1" operator="equal">
      <formula>"BOH"</formula>
    </cfRule>
    <cfRule type="cellIs" dxfId="27" priority="35" stopIfTrue="1" operator="equal">
      <formula>"TAT"</formula>
    </cfRule>
    <cfRule type="cellIs" dxfId="26" priority="36" stopIfTrue="1" operator="equal">
      <formula>"MB"</formula>
    </cfRule>
    <cfRule type="cellIs" dxfId="25" priority="37" stopIfTrue="1" operator="equal">
      <formula>"VIT"</formula>
    </cfRule>
    <cfRule type="cellIs" dxfId="24" priority="38" stopIfTrue="1" operator="equal">
      <formula>"CHO"</formula>
    </cfRule>
    <cfRule type="cellIs" dxfId="23" priority="39" stopIfTrue="1" operator="equal">
      <formula>"SKV"</formula>
    </cfRule>
  </conditionalFormatting>
  <conditionalFormatting sqref="S2:S42">
    <cfRule type="expression" dxfId="22" priority="10" stopIfTrue="1">
      <formula>IFERROR(IF(VLOOKUP($S2,OFFSET($AG$2,,,COUNTIF($AG$2:$AG$50,"?*")),1,FALSE)&lt;&gt;0,1,0),0)&gt;0</formula>
    </cfRule>
  </conditionalFormatting>
  <conditionalFormatting sqref="S2:S42">
    <cfRule type="expression" dxfId="21" priority="11">
      <formula>IFERROR(IF(VLOOKUP($S2,OFFSET($AG$2,,,COUNTIF($AG$2:$AG$50,"?*")),1,FALSE)&lt;&gt;0,1,0),0)=0</formula>
    </cfRule>
  </conditionalFormatting>
  <conditionalFormatting sqref="S45:S50">
    <cfRule type="expression" dxfId="20" priority="9">
      <formula>IFERROR(IF(VLOOKUP($S45,OFFSET($AG$2,,,COUNTIF($AG$2:$AG$50,"?*")),1,FALSE)&lt;&gt;0,1,0),0)&gt;0</formula>
    </cfRule>
  </conditionalFormatting>
  <conditionalFormatting sqref="S45:S50">
    <cfRule type="expression" dxfId="19" priority="8">
      <formula>IFERROR(IF(VLOOKUP($S45,OFFSET($AG$2,,,COUNTIF($AG$2:$AG$50,"?*")),1,FALSE)&lt;&gt;0,1,0),0)=0</formula>
    </cfRule>
  </conditionalFormatting>
  <conditionalFormatting sqref="AG2:AG50">
    <cfRule type="expression" dxfId="18" priority="5" stopIfTrue="1">
      <formula>OR($AH2="",$AI2="",$AJ2="",$AK2="",$AL2="",$AM2="",$AN2="",$AQ2="",$AR2="",$AS2="",$AT2="")</formula>
    </cfRule>
    <cfRule type="expression" dxfId="17" priority="6" stopIfTrue="1">
      <formula>IFERROR(IF(VLOOKUP($AG2,OFFSET($S$2,,,COUNTIF($S$2:$S$42,"?*")),1,FALSE)&lt;&gt;0,1,0),0)=0</formula>
    </cfRule>
    <cfRule type="expression" dxfId="16" priority="7">
      <formula>IFERROR(IF(VLOOKUP($AG2,OFFSET($S$2,,,COUNTIF($S$2:$S$42,"?*")),1,FALSE)&lt;&gt;0,1,0),0)&gt;0</formula>
    </cfRule>
  </conditionalFormatting>
  <conditionalFormatting sqref="AG2:AK50 AM2:BC50">
    <cfRule type="expression" dxfId="15" priority="4">
      <formula>AND($AG2&lt;&gt;"",MOD(ROW($AG2),2)=0)</formula>
    </cfRule>
  </conditionalFormatting>
  <conditionalFormatting sqref="BN2:BR11">
    <cfRule type="expression" dxfId="14" priority="3">
      <formula>AND($BN2&lt;&gt;"",MOD(ROW($BN2),2)=0)</formula>
    </cfRule>
  </conditionalFormatting>
  <conditionalFormatting sqref="AL2:AL50">
    <cfRule type="expression" dxfId="1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2021-10-02T11:06:36Z</cp:lastPrinted>
  <dcterms:created xsi:type="dcterms:W3CDTF">2021-09-13T20:56:50Z</dcterms:created>
  <dcterms:modified xsi:type="dcterms:W3CDTF">2021-10-10T13:56:15Z</dcterms:modified>
</cp:coreProperties>
</file>