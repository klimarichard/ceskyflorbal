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xr:revisionPtr revIDLastSave="0" documentId="13_ncr:1_{976062E1-D67B-47EA-8FB9-0297E931A690}" xr6:coauthVersionLast="47" xr6:coauthVersionMax="47" xr10:uidLastSave="{00000000-0000-0000-0000-000000000000}"/>
  <workbookProtection lockStructure="1"/>
  <bookViews>
    <workbookView xWindow="-120" yWindow="-120" windowWidth="29040" windowHeight="15840" firstSheet="1" activeTab="1" xr2:uid="{00000000-000D-0000-FFFF-FFFF00000000}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priprava_BA!$S$2:$AB$26</definedName>
    <definedName name="BOH_bestof" localSheetId="8">priprava_BOH!$BT$2:$BU$31</definedName>
    <definedName name="BOH_goalies" localSheetId="8">priprava_BOH!$S$45:$AD$47</definedName>
    <definedName name="BOH_matches" localSheetId="8">priprava_BOH!$BY$2:$CA$12</definedName>
    <definedName name="BOH_players" localSheetId="8">priprava_BOH!$S$2:$AB$28</definedName>
    <definedName name="CLP_bestof" localSheetId="9">priprava_CLP!$BT$2:$BU$31</definedName>
    <definedName name="CLP_goalies" localSheetId="9">priprava_CLP!$S$45:$AD$47</definedName>
    <definedName name="CLP_matches" localSheetId="9">priprava_CLP!$BY$2:$CA$12</definedName>
    <definedName name="CLP_players" localSheetId="9">priprava_CLP!$S$2:$AB$26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priprava_HAT!$S$2:$AB$26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priprava_CHO!$S$2:$AB$29</definedName>
    <definedName name="league_table" localSheetId="1">tabulka!$W$2:$AZ$15</definedName>
    <definedName name="LIB_bestof" localSheetId="12">priprava_LIB!$BT$2:$BU$31</definedName>
    <definedName name="LIB_goalies" localSheetId="12">priprava_LIB!$S$45:$AD$48</definedName>
    <definedName name="LIB_matches" localSheetId="12">priprava_LIB!$BY$2:$CA$12</definedName>
    <definedName name="LIB_players" localSheetId="12">priprava_LIB!$S$2:$AB$26</definedName>
    <definedName name="MB_bestof" localSheetId="13">priprava_MB!$BT$2:$BU$31</definedName>
    <definedName name="MB_goalies" localSheetId="13">priprava_MB!$S$45:$AD$47</definedName>
    <definedName name="MB_matches" localSheetId="13">priprava_MB!$BY$2:$CA$12</definedName>
    <definedName name="MB_players" localSheetId="13">priprava_MB!$S$2:$AB$23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priprava_OST!$S$2:$AB$26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priprava_SKV!$S$2:$AB$26</definedName>
    <definedName name="SPA_bestof" localSheetId="17">priprava_SPA!$BT$2:$BU$31</definedName>
    <definedName name="SPA_goalies" localSheetId="17">priprava_SPA!$S$45:$AD$47</definedName>
    <definedName name="SPA_matches" localSheetId="17">priprava_SPA!$BY$2:$CA$12</definedName>
    <definedName name="SPA_players" localSheetId="17">priprava_SPA!$S$2:$AB$24</definedName>
    <definedName name="TAT_bestof" localSheetId="18">priprava_TAT!$BT$2:$BU$31</definedName>
    <definedName name="TAT_goalies" localSheetId="18">priprava_TAT!$S$45:$AD$47</definedName>
    <definedName name="TAT_matches" localSheetId="18">priprava_TAT!$BY$2:$CA$12</definedName>
    <definedName name="TAT_players" localSheetId="18">priprava_TAT!$S$2:$AB$29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9" i="3" l="1"/>
  <c r="D40" i="3"/>
  <c r="D41" i="3"/>
  <c r="D42" i="3"/>
  <c r="B39" i="3"/>
  <c r="B40" i="3"/>
  <c r="B41" i="3"/>
  <c r="B42" i="3"/>
  <c r="Z31" i="3"/>
  <c r="D36" i="3" s="1"/>
  <c r="Z32" i="3"/>
  <c r="D37" i="3" s="1"/>
  <c r="Z33" i="3"/>
  <c r="D38" i="3" s="1"/>
  <c r="Z34" i="3"/>
  <c r="Z35" i="3"/>
  <c r="Z36" i="3"/>
  <c r="Z37" i="3"/>
  <c r="Z30" i="3"/>
  <c r="D35" i="3" s="1"/>
  <c r="X31" i="3"/>
  <c r="B36" i="3" s="1"/>
  <c r="X32" i="3"/>
  <c r="B37" i="3" s="1"/>
  <c r="X33" i="3"/>
  <c r="B38" i="3" s="1"/>
  <c r="X34" i="3"/>
  <c r="X35" i="3"/>
  <c r="X36" i="3"/>
  <c r="X37" i="3"/>
  <c r="X30" i="3"/>
  <c r="B35" i="3" s="1"/>
  <c r="R42" i="11"/>
  <c r="R38" i="11"/>
  <c r="Q44" i="11"/>
  <c r="N44" i="11"/>
  <c r="J44" i="11"/>
  <c r="K43" i="11"/>
  <c r="J43" i="11"/>
  <c r="Q40" i="11"/>
  <c r="N40" i="11"/>
  <c r="J40" i="11"/>
  <c r="K39" i="11"/>
  <c r="J39" i="11"/>
  <c r="H46" i="3" l="1"/>
  <c r="B47" i="3"/>
  <c r="F47" i="3" s="1"/>
  <c r="B46" i="3"/>
  <c r="G46" i="3" s="1"/>
  <c r="F34" i="3"/>
  <c r="B34" i="3"/>
  <c r="D46" i="3" l="1"/>
  <c r="E46" i="3"/>
  <c r="I46" i="3"/>
  <c r="F46" i="3"/>
  <c r="E47" i="3"/>
  <c r="D47" i="3"/>
  <c r="I47" i="3"/>
  <c r="G47" i="3"/>
  <c r="H47" i="3"/>
  <c r="R42" i="14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36" i="11"/>
  <c r="N36" i="11"/>
  <c r="J36" i="11"/>
  <c r="R34" i="11"/>
  <c r="Q34" i="11"/>
  <c r="F20" i="11"/>
  <c r="D20" i="11"/>
  <c r="A20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16" i="19"/>
  <c r="G8" i="19"/>
  <c r="A13" i="19"/>
  <c r="G20" i="19"/>
  <c r="G18" i="19"/>
  <c r="G9" i="19"/>
  <c r="A4" i="19" l="1"/>
  <c r="G4" i="19"/>
  <c r="X16" i="3"/>
  <c r="AB16" i="3"/>
  <c r="AC16" i="3"/>
  <c r="X17" i="3"/>
  <c r="AB17" i="3"/>
  <c r="AC17" i="3"/>
  <c r="X18" i="3"/>
  <c r="AB18" i="3"/>
  <c r="AC18" i="3"/>
  <c r="X19" i="3"/>
  <c r="AB19" i="3"/>
  <c r="AC19" i="3"/>
  <c r="G25" i="19"/>
  <c r="G29" i="19"/>
  <c r="D13" i="19"/>
  <c r="G10" i="19"/>
  <c r="A14" i="19"/>
  <c r="A15" i="19"/>
  <c r="L20" i="19"/>
  <c r="H20" i="19"/>
  <c r="I8" i="19"/>
  <c r="E13" i="19"/>
  <c r="H8" i="19"/>
  <c r="L16" i="19"/>
  <c r="G23" i="19"/>
  <c r="A18" i="19"/>
  <c r="A23" i="19"/>
  <c r="A11" i="19"/>
  <c r="H18" i="19"/>
  <c r="A9" i="19"/>
  <c r="G15" i="19"/>
  <c r="G26" i="19"/>
  <c r="G17" i="19"/>
  <c r="I16" i="19"/>
  <c r="K8" i="19"/>
  <c r="A31" i="19"/>
  <c r="F13" i="19"/>
  <c r="G13" i="19"/>
  <c r="G24" i="19"/>
  <c r="K18" i="19"/>
  <c r="G21" i="19"/>
  <c r="K20" i="19"/>
  <c r="I9" i="19"/>
  <c r="G31" i="19"/>
  <c r="A25" i="19"/>
  <c r="G22" i="19"/>
  <c r="A12" i="19"/>
  <c r="A10" i="19"/>
  <c r="H9" i="19"/>
  <c r="J18" i="19"/>
  <c r="B13" i="19"/>
  <c r="L9" i="19"/>
  <c r="K16" i="19"/>
  <c r="A16" i="19"/>
  <c r="A22" i="19"/>
  <c r="I20" i="19"/>
  <c r="J20" i="19"/>
  <c r="G19" i="19"/>
  <c r="A30" i="19"/>
  <c r="G27" i="19"/>
  <c r="I18" i="19"/>
  <c r="A21" i="19"/>
  <c r="G30" i="19"/>
  <c r="A19" i="19"/>
  <c r="A29" i="19"/>
  <c r="K9" i="19"/>
  <c r="A8" i="19"/>
  <c r="A24" i="19"/>
  <c r="H16" i="19"/>
  <c r="J9" i="19"/>
  <c r="A27" i="19"/>
  <c r="G12" i="19"/>
  <c r="G11" i="19"/>
  <c r="J8" i="19"/>
  <c r="A17" i="19"/>
  <c r="J16" i="19"/>
  <c r="C13" i="19"/>
  <c r="G14" i="19"/>
  <c r="L18" i="19"/>
  <c r="A20" i="19"/>
  <c r="A26" i="19"/>
  <c r="L8" i="19"/>
  <c r="K45" i="3" l="1"/>
  <c r="O45" i="3"/>
  <c r="P45" i="3"/>
  <c r="K46" i="3"/>
  <c r="O46" i="3"/>
  <c r="P46" i="3"/>
  <c r="K47" i="3"/>
  <c r="O47" i="3"/>
  <c r="P47" i="3"/>
  <c r="K48" i="3"/>
  <c r="O48" i="3"/>
  <c r="P48" i="3"/>
  <c r="D23" i="19"/>
  <c r="L24" i="19"/>
  <c r="C30" i="19"/>
  <c r="K15" i="19"/>
  <c r="D30" i="19"/>
  <c r="L30" i="19"/>
  <c r="L23" i="19"/>
  <c r="L13" i="19"/>
  <c r="B25" i="19"/>
  <c r="I15" i="19"/>
  <c r="E16" i="19"/>
  <c r="E12" i="19"/>
  <c r="D14" i="19"/>
  <c r="L17" i="19"/>
  <c r="B18" i="19"/>
  <c r="F22" i="19"/>
  <c r="B26" i="19"/>
  <c r="F16" i="19"/>
  <c r="B11" i="19"/>
  <c r="C19" i="19"/>
  <c r="B16" i="19"/>
  <c r="F26" i="19"/>
  <c r="C17" i="19"/>
  <c r="E17" i="19"/>
  <c r="F25" i="19"/>
  <c r="F23" i="19"/>
  <c r="B21" i="19"/>
  <c r="E25" i="19"/>
  <c r="C18" i="19"/>
  <c r="C16" i="19"/>
  <c r="I29" i="19"/>
  <c r="J12" i="19"/>
  <c r="B8" i="19"/>
  <c r="K19" i="19"/>
  <c r="H11" i="19"/>
  <c r="K30" i="19"/>
  <c r="I30" i="19"/>
  <c r="I19" i="19"/>
  <c r="J10" i="19"/>
  <c r="F29" i="19"/>
  <c r="J24" i="19"/>
  <c r="C8" i="19"/>
  <c r="E14" i="19"/>
  <c r="K12" i="19"/>
  <c r="H31" i="19"/>
  <c r="C21" i="19"/>
  <c r="E11" i="19"/>
  <c r="E10" i="19"/>
  <c r="K29" i="19"/>
  <c r="J14" i="19"/>
  <c r="H10" i="19"/>
  <c r="D11" i="19"/>
  <c r="F15" i="19"/>
  <c r="D22" i="19"/>
  <c r="D16" i="19"/>
  <c r="F9" i="19"/>
  <c r="D29" i="19"/>
  <c r="H19" i="19"/>
  <c r="J26" i="19"/>
  <c r="I31" i="19"/>
  <c r="B22" i="19"/>
  <c r="D9" i="19"/>
  <c r="K11" i="19"/>
  <c r="C11" i="19"/>
  <c r="I25" i="19"/>
  <c r="L10" i="19"/>
  <c r="E8" i="19"/>
  <c r="H15" i="19"/>
  <c r="J15" i="19"/>
  <c r="D20" i="19"/>
  <c r="L26" i="19"/>
  <c r="I13" i="19"/>
  <c r="H13" i="19"/>
  <c r="K27" i="19"/>
  <c r="F19" i="19"/>
  <c r="J17" i="19"/>
  <c r="L29" i="19"/>
  <c r="E20" i="19"/>
  <c r="B14" i="19"/>
  <c r="E18" i="19"/>
  <c r="D8" i="19"/>
  <c r="H26" i="19"/>
  <c r="F27" i="19"/>
  <c r="L21" i="19"/>
  <c r="F12" i="19"/>
  <c r="I22" i="19"/>
  <c r="J27" i="19"/>
  <c r="I26" i="19"/>
  <c r="B27" i="19"/>
  <c r="B20" i="19"/>
  <c r="D21" i="19"/>
  <c r="F17" i="19"/>
  <c r="L19" i="19"/>
  <c r="D15" i="19"/>
  <c r="K21" i="19"/>
  <c r="K14" i="19"/>
  <c r="I10" i="19"/>
  <c r="F31" i="19"/>
  <c r="H24" i="19"/>
  <c r="L15" i="19"/>
  <c r="K23" i="19"/>
  <c r="E22" i="19"/>
  <c r="E26" i="19"/>
  <c r="L12" i="19"/>
  <c r="E29" i="19"/>
  <c r="L25" i="19"/>
  <c r="H29" i="19"/>
  <c r="F21" i="19"/>
  <c r="I17" i="19"/>
  <c r="K31" i="19"/>
  <c r="E21" i="19"/>
  <c r="J23" i="19"/>
  <c r="B10" i="19"/>
  <c r="F20" i="19"/>
  <c r="I12" i="19"/>
  <c r="D18" i="19"/>
  <c r="F18" i="19"/>
  <c r="J19" i="19"/>
  <c r="E31" i="19"/>
  <c r="H14" i="19"/>
  <c r="D19" i="19"/>
  <c r="C22" i="19"/>
  <c r="E30" i="19"/>
  <c r="H21" i="19"/>
  <c r="B15" i="19"/>
  <c r="F14" i="19"/>
  <c r="J29" i="19"/>
  <c r="H30" i="19"/>
  <c r="J31" i="19"/>
  <c r="J22" i="19"/>
  <c r="C15" i="19"/>
  <c r="F11" i="19"/>
  <c r="D24" i="19"/>
  <c r="E9" i="19"/>
  <c r="H12" i="19"/>
  <c r="H22" i="19"/>
  <c r="C20" i="19"/>
  <c r="B29" i="19"/>
  <c r="D31" i="19"/>
  <c r="B31" i="19"/>
  <c r="L14" i="19"/>
  <c r="C26" i="19"/>
  <c r="L27" i="19"/>
  <c r="K24" i="19"/>
  <c r="J30" i="19"/>
  <c r="J21" i="19"/>
  <c r="B24" i="19"/>
  <c r="B23" i="19"/>
  <c r="I24" i="19"/>
  <c r="I11" i="19"/>
  <c r="L11" i="19"/>
  <c r="B30" i="19"/>
  <c r="K17" i="19"/>
  <c r="H23" i="19"/>
  <c r="I23" i="19"/>
  <c r="D25" i="19"/>
  <c r="E24" i="19"/>
  <c r="E27" i="19"/>
  <c r="C27" i="19"/>
  <c r="H25" i="19"/>
  <c r="F10" i="19"/>
  <c r="J11" i="19"/>
  <c r="D26" i="19"/>
  <c r="I27" i="19"/>
  <c r="H27" i="19"/>
  <c r="B12" i="19"/>
  <c r="C14" i="19"/>
  <c r="K10" i="19"/>
  <c r="B19" i="19"/>
  <c r="I21" i="19"/>
  <c r="C12" i="19"/>
  <c r="B9" i="19"/>
  <c r="D12" i="19"/>
  <c r="J13" i="19"/>
  <c r="I14" i="19"/>
  <c r="C10" i="19"/>
  <c r="J25" i="19"/>
  <c r="L22" i="19"/>
  <c r="C24" i="19"/>
  <c r="F8" i="19"/>
  <c r="C25" i="19"/>
  <c r="D17" i="19"/>
  <c r="L31" i="19"/>
  <c r="E19" i="19"/>
  <c r="C31" i="19"/>
  <c r="K25" i="19"/>
  <c r="C29" i="19"/>
  <c r="F24" i="19"/>
  <c r="E23" i="19"/>
  <c r="C23" i="19"/>
  <c r="F30" i="19"/>
  <c r="D10" i="19"/>
  <c r="C9" i="19"/>
  <c r="E15" i="19"/>
  <c r="D27" i="19"/>
  <c r="K13" i="19"/>
  <c r="K22" i="19"/>
  <c r="B17" i="19"/>
  <c r="H17" i="19"/>
  <c r="K26" i="19"/>
  <c r="AC5" i="3" l="1"/>
  <c r="AC6" i="3"/>
  <c r="AC7" i="3"/>
  <c r="AC8" i="3"/>
  <c r="AC9" i="3"/>
  <c r="AC10" i="3"/>
  <c r="AC11" i="3"/>
  <c r="AC12" i="3"/>
  <c r="AC13" i="3"/>
  <c r="AC14" i="3"/>
  <c r="AC15" i="3"/>
  <c r="P44" i="3" s="1"/>
  <c r="AC4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X39" i="18"/>
  <c r="AW39" i="18"/>
  <c r="AV39" i="18"/>
  <c r="AU39" i="18"/>
  <c r="AL39" i="18"/>
  <c r="AY39" i="18" s="1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X38" i="18"/>
  <c r="AW38" i="18"/>
  <c r="AV38" i="18"/>
  <c r="AU38" i="18"/>
  <c r="AL38" i="18"/>
  <c r="AY38" i="18" s="1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AX22" i="18"/>
  <c r="AV4" i="18"/>
  <c r="AU4" i="18"/>
  <c r="AL4" i="18"/>
  <c r="AY22" i="18" s="1"/>
  <c r="AC22" i="18"/>
  <c r="BW21" i="18"/>
  <c r="BV21" i="18"/>
  <c r="BF21" i="18"/>
  <c r="BD21" i="18"/>
  <c r="AX21" i="18"/>
  <c r="AV8" i="18"/>
  <c r="AU8" i="18"/>
  <c r="AL8" i="18"/>
  <c r="AC21" i="18"/>
  <c r="BW20" i="18"/>
  <c r="BV20" i="18"/>
  <c r="BF20" i="18"/>
  <c r="BD20" i="18"/>
  <c r="AX20" i="18"/>
  <c r="AV17" i="18"/>
  <c r="AU17" i="18"/>
  <c r="AL17" i="18"/>
  <c r="AC20" i="18"/>
  <c r="R20" i="18"/>
  <c r="P20" i="18"/>
  <c r="M20" i="18"/>
  <c r="BW19" i="18"/>
  <c r="BV19" i="18"/>
  <c r="BF19" i="18"/>
  <c r="BD19" i="18"/>
  <c r="AX19" i="18"/>
  <c r="AV16" i="18"/>
  <c r="AU16" i="18"/>
  <c r="AL16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10" i="18"/>
  <c r="AU10" i="18"/>
  <c r="AL10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5" i="18"/>
  <c r="AU5" i="18"/>
  <c r="AL5" i="18"/>
  <c r="AC16" i="18"/>
  <c r="J16" i="18"/>
  <c r="G16" i="18"/>
  <c r="BW15" i="18"/>
  <c r="BV15" i="18"/>
  <c r="BF15" i="18"/>
  <c r="BD15" i="18"/>
  <c r="AX15" i="18"/>
  <c r="AV11" i="18"/>
  <c r="AU11" i="18"/>
  <c r="AL11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8" i="18"/>
  <c r="AU18" i="18"/>
  <c r="AL18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20" i="18"/>
  <c r="AU20" i="18"/>
  <c r="AL20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7" i="18"/>
  <c r="AU7" i="18"/>
  <c r="AL7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9" i="18"/>
  <c r="AU9" i="18"/>
  <c r="AL9" i="18"/>
  <c r="AY10" i="18" s="1"/>
  <c r="AC10" i="18"/>
  <c r="BW9" i="18"/>
  <c r="BV9" i="18"/>
  <c r="BR9" i="18"/>
  <c r="BF9" i="18"/>
  <c r="BD9" i="18"/>
  <c r="AX9" i="18"/>
  <c r="AV22" i="18"/>
  <c r="AU22" i="18"/>
  <c r="AL22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2" i="18"/>
  <c r="AU12" i="18"/>
  <c r="AL12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4" i="18"/>
  <c r="AU14" i="18"/>
  <c r="AL14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9" i="18"/>
  <c r="AU19" i="18"/>
  <c r="AL19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21" i="18"/>
  <c r="AU21" i="18"/>
  <c r="AL21" i="18"/>
  <c r="AC5" i="18"/>
  <c r="J5" i="18"/>
  <c r="G5" i="18"/>
  <c r="BW4" i="18"/>
  <c r="BV4" i="18"/>
  <c r="BR4" i="18"/>
  <c r="BF4" i="18"/>
  <c r="BD4" i="18"/>
  <c r="AX4" i="18"/>
  <c r="AV6" i="18"/>
  <c r="AU6" i="18"/>
  <c r="AL6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5" i="18"/>
  <c r="AU15" i="18"/>
  <c r="AL15" i="18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3" i="18"/>
  <c r="AU13" i="18"/>
  <c r="AL13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X50" i="17"/>
  <c r="AW50" i="17"/>
  <c r="AV50" i="17"/>
  <c r="AU50" i="17"/>
  <c r="AL50" i="17"/>
  <c r="AY50" i="17" s="1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X49" i="17"/>
  <c r="AW49" i="17"/>
  <c r="AV49" i="17"/>
  <c r="AU49" i="17"/>
  <c r="AL49" i="17"/>
  <c r="AY49" i="17" s="1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X46" i="17"/>
  <c r="AW46" i="17"/>
  <c r="AV46" i="17"/>
  <c r="AU46" i="17"/>
  <c r="AL46" i="17"/>
  <c r="AY46" i="17" s="1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X41" i="17"/>
  <c r="AW41" i="17"/>
  <c r="AV41" i="17"/>
  <c r="AU41" i="17"/>
  <c r="AL41" i="17"/>
  <c r="AY41" i="17" s="1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X38" i="17"/>
  <c r="AW38" i="17"/>
  <c r="AV38" i="17"/>
  <c r="AU38" i="17"/>
  <c r="AL38" i="17"/>
  <c r="AY38" i="17" s="1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X46" i="16"/>
  <c r="AW46" i="16"/>
  <c r="AV46" i="16"/>
  <c r="AU46" i="16"/>
  <c r="AL46" i="16"/>
  <c r="AY46" i="16" s="1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X43" i="16"/>
  <c r="AW43" i="16"/>
  <c r="AV43" i="16"/>
  <c r="AU43" i="16"/>
  <c r="AL43" i="16"/>
  <c r="AY43" i="16" s="1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X42" i="16"/>
  <c r="AW42" i="16"/>
  <c r="AV42" i="16"/>
  <c r="AU42" i="16"/>
  <c r="AL42" i="16"/>
  <c r="AY42" i="16" s="1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X37" i="16"/>
  <c r="AW37" i="16"/>
  <c r="AV37" i="16"/>
  <c r="AU37" i="16"/>
  <c r="AL37" i="16"/>
  <c r="AY37" i="16" s="1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X47" i="15"/>
  <c r="AW47" i="15"/>
  <c r="AV47" i="15"/>
  <c r="AU47" i="15"/>
  <c r="AL47" i="15"/>
  <c r="AY47" i="15" s="1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X44" i="15"/>
  <c r="AW44" i="15"/>
  <c r="AV44" i="15"/>
  <c r="AU44" i="15"/>
  <c r="AL44" i="15"/>
  <c r="AY44" i="15" s="1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X41" i="15"/>
  <c r="AW41" i="15"/>
  <c r="AV41" i="15"/>
  <c r="AU41" i="15"/>
  <c r="AL41" i="15"/>
  <c r="AY41" i="15" s="1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X36" i="15"/>
  <c r="AW36" i="15"/>
  <c r="AV36" i="15"/>
  <c r="AU36" i="15"/>
  <c r="AL36" i="15"/>
  <c r="AY36" i="15" s="1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X35" i="15"/>
  <c r="AW35" i="15"/>
  <c r="AV35" i="15"/>
  <c r="AU35" i="15"/>
  <c r="AL35" i="15"/>
  <c r="AY35" i="15" s="1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X46" i="14"/>
  <c r="AW46" i="14"/>
  <c r="AV46" i="14"/>
  <c r="AU46" i="14"/>
  <c r="AL46" i="14"/>
  <c r="AY46" i="14" s="1"/>
  <c r="AF46" i="14"/>
  <c r="AE46" i="14"/>
  <c r="C37" i="14" s="1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F36" i="14" s="1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X42" i="14"/>
  <c r="AW42" i="14"/>
  <c r="AV42" i="14"/>
  <c r="AU42" i="14"/>
  <c r="AL42" i="14"/>
  <c r="AY42" i="14" s="1"/>
  <c r="AC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K4" i="14" s="1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Q2" i="14" s="1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E7" i="14" s="1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Q7" i="14"/>
  <c r="N7" i="14"/>
  <c r="M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N2" i="14"/>
  <c r="M2" i="14"/>
  <c r="B2" i="14"/>
  <c r="A2" i="14"/>
  <c r="R1" i="14"/>
  <c r="Q1" i="14"/>
  <c r="F1" i="14"/>
  <c r="E1" i="14"/>
  <c r="AY20" i="18" l="1"/>
  <c r="AY21" i="18"/>
  <c r="BE22" i="18"/>
  <c r="BE21" i="18"/>
  <c r="F42" i="14"/>
  <c r="AY3" i="18"/>
  <c r="AY7" i="15"/>
  <c r="A8" i="14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BE12" i="18"/>
  <c r="AW14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8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4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7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X50" i="12"/>
  <c r="AW50" i="12"/>
  <c r="AV50" i="12"/>
  <c r="AU50" i="12"/>
  <c r="AL50" i="12"/>
  <c r="AY50" i="12" s="1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B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F42" i="11" s="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F36" i="11" s="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X44" i="11"/>
  <c r="AW44" i="11"/>
  <c r="AV44" i="11"/>
  <c r="AU44" i="11"/>
  <c r="AL44" i="11"/>
  <c r="AY44" i="11" s="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D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D38" i="11"/>
  <c r="AX38" i="11"/>
  <c r="AV2" i="11"/>
  <c r="E24" i="11" s="1"/>
  <c r="AU2" i="11"/>
  <c r="D24" i="11" s="1"/>
  <c r="AL2" i="11"/>
  <c r="AC38" i="11"/>
  <c r="Q38" i="11"/>
  <c r="F38" i="11"/>
  <c r="D38" i="11"/>
  <c r="A38" i="11"/>
  <c r="BF37" i="11"/>
  <c r="BD37" i="11"/>
  <c r="AX37" i="11"/>
  <c r="AV25" i="11"/>
  <c r="AU25" i="11"/>
  <c r="J26" i="11" s="1"/>
  <c r="AL25" i="11"/>
  <c r="AC37" i="11"/>
  <c r="C37" i="11"/>
  <c r="A37" i="11"/>
  <c r="BF36" i="11"/>
  <c r="BD36" i="11"/>
  <c r="AX36" i="11"/>
  <c r="AV27" i="11"/>
  <c r="Q24" i="11" s="1"/>
  <c r="AU27" i="11"/>
  <c r="P24" i="11" s="1"/>
  <c r="AL27" i="11"/>
  <c r="AY36" i="11" s="1"/>
  <c r="AC36" i="11"/>
  <c r="D36" i="11"/>
  <c r="A36" i="11"/>
  <c r="BF35" i="11"/>
  <c r="BD35" i="11"/>
  <c r="AX35" i="11"/>
  <c r="AV22" i="11"/>
  <c r="N43" i="11" s="1"/>
  <c r="AU22" i="11"/>
  <c r="M43" i="11" s="1"/>
  <c r="AL22" i="11"/>
  <c r="AC35" i="11"/>
  <c r="K35" i="11"/>
  <c r="J35" i="11"/>
  <c r="B35" i="11"/>
  <c r="A35" i="11"/>
  <c r="BF34" i="11"/>
  <c r="BD34" i="11"/>
  <c r="AX34" i="11"/>
  <c r="AV33" i="11"/>
  <c r="AU33" i="11"/>
  <c r="AC34" i="11"/>
  <c r="F34" i="11"/>
  <c r="E34" i="11"/>
  <c r="BF33" i="11"/>
  <c r="BD33" i="11"/>
  <c r="AX33" i="11"/>
  <c r="AV3" i="11"/>
  <c r="Q18" i="11" s="1"/>
  <c r="AU3" i="11"/>
  <c r="P18" i="11" s="1"/>
  <c r="AL3" i="11"/>
  <c r="AC33" i="11"/>
  <c r="BF32" i="11"/>
  <c r="BD32" i="11"/>
  <c r="AX32" i="11"/>
  <c r="AV13" i="11"/>
  <c r="AU13" i="11"/>
  <c r="J15" i="11" s="1"/>
  <c r="AL13" i="11"/>
  <c r="AC32" i="11"/>
  <c r="BW31" i="11"/>
  <c r="BV31" i="11"/>
  <c r="BF31" i="11"/>
  <c r="BD31" i="11"/>
  <c r="AX31" i="11"/>
  <c r="AV24" i="11"/>
  <c r="E2" i="11" s="1"/>
  <c r="AU24" i="11"/>
  <c r="D2" i="11" s="1"/>
  <c r="AL24" i="1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8" i="11"/>
  <c r="AU38" i="11"/>
  <c r="AC30" i="11"/>
  <c r="H30" i="11"/>
  <c r="BW29" i="11"/>
  <c r="BV29" i="11"/>
  <c r="BF29" i="11"/>
  <c r="BD29" i="11"/>
  <c r="AX29" i="11"/>
  <c r="AV37" i="11"/>
  <c r="AU37" i="11"/>
  <c r="AY29" i="11"/>
  <c r="AC29" i="11"/>
  <c r="N29" i="11"/>
  <c r="M29" i="11"/>
  <c r="B29" i="11"/>
  <c r="A29" i="11"/>
  <c r="BW28" i="11"/>
  <c r="BV28" i="11"/>
  <c r="BF28" i="11"/>
  <c r="BD28" i="11"/>
  <c r="AX28" i="11"/>
  <c r="AV36" i="11"/>
  <c r="AU36" i="1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35" i="11"/>
  <c r="AU35" i="11"/>
  <c r="AY27" i="11"/>
  <c r="AC27" i="11"/>
  <c r="BW26" i="11"/>
  <c r="BV26" i="11"/>
  <c r="BF26" i="11"/>
  <c r="BD26" i="11"/>
  <c r="AX26" i="11"/>
  <c r="AV34" i="11"/>
  <c r="AU34" i="11"/>
  <c r="AC26" i="11"/>
  <c r="R26" i="11"/>
  <c r="P26" i="11"/>
  <c r="M26" i="11"/>
  <c r="K26" i="11"/>
  <c r="H26" i="11"/>
  <c r="G26" i="11"/>
  <c r="F26" i="11"/>
  <c r="D26" i="11"/>
  <c r="A26" i="11"/>
  <c r="BW25" i="11"/>
  <c r="BV25" i="11"/>
  <c r="BF25" i="11"/>
  <c r="BD25" i="11"/>
  <c r="AX25" i="11"/>
  <c r="AV4" i="11"/>
  <c r="N39" i="11" s="1"/>
  <c r="AU4" i="11"/>
  <c r="M39" i="11" s="1"/>
  <c r="AC25" i="11"/>
  <c r="L25" i="11"/>
  <c r="K25" i="11"/>
  <c r="BW24" i="11"/>
  <c r="BV24" i="11"/>
  <c r="BF24" i="11"/>
  <c r="BD24" i="11"/>
  <c r="AX24" i="11"/>
  <c r="AV28" i="11"/>
  <c r="Q7" i="11" s="1"/>
  <c r="AU28" i="11"/>
  <c r="P7" i="11" s="1"/>
  <c r="AC24" i="11"/>
  <c r="N24" i="11"/>
  <c r="M24" i="11"/>
  <c r="B24" i="11"/>
  <c r="A24" i="11"/>
  <c r="BW23" i="11"/>
  <c r="BV23" i="11"/>
  <c r="BF23" i="11"/>
  <c r="BD23" i="11"/>
  <c r="AX23" i="11"/>
  <c r="AV26" i="11"/>
  <c r="E13" i="11" s="1"/>
  <c r="AU26" i="11"/>
  <c r="D13" i="11" s="1"/>
  <c r="AL26" i="11"/>
  <c r="AY26" i="11" s="1"/>
  <c r="AC23" i="11"/>
  <c r="R23" i="11"/>
  <c r="Q23" i="11"/>
  <c r="F23" i="11"/>
  <c r="E23" i="11"/>
  <c r="BW22" i="11"/>
  <c r="BV22" i="11"/>
  <c r="BF22" i="11"/>
  <c r="BD22" i="11"/>
  <c r="AX22" i="11"/>
  <c r="AV29" i="11"/>
  <c r="Q29" i="11" s="1"/>
  <c r="AU29" i="11"/>
  <c r="P29" i="11" s="1"/>
  <c r="AC22" i="11"/>
  <c r="BW21" i="11"/>
  <c r="BV21" i="11"/>
  <c r="BF21" i="11"/>
  <c r="BD21" i="11"/>
  <c r="AX21" i="11"/>
  <c r="P43" i="11" s="1"/>
  <c r="AV23" i="11"/>
  <c r="AU23" i="11"/>
  <c r="AL23" i="11"/>
  <c r="AY22" i="11" s="1"/>
  <c r="AC21" i="11"/>
  <c r="BW20" i="11"/>
  <c r="BV20" i="11"/>
  <c r="BF20" i="11"/>
  <c r="BD20" i="11"/>
  <c r="AX20" i="11"/>
  <c r="AV21" i="11"/>
  <c r="AU21" i="11"/>
  <c r="AL21" i="11"/>
  <c r="AC20" i="11"/>
  <c r="R20" i="11"/>
  <c r="P20" i="11"/>
  <c r="M20" i="11"/>
  <c r="BW19" i="11"/>
  <c r="BV19" i="11"/>
  <c r="BF19" i="11"/>
  <c r="BD19" i="11"/>
  <c r="AX19" i="11"/>
  <c r="AV20" i="11"/>
  <c r="AU20" i="11"/>
  <c r="AL20" i="11"/>
  <c r="AC19" i="11"/>
  <c r="H19" i="11"/>
  <c r="BW18" i="11"/>
  <c r="BV18" i="11"/>
  <c r="BF18" i="11"/>
  <c r="BD18" i="11"/>
  <c r="AX18" i="11"/>
  <c r="AV19" i="11"/>
  <c r="E7" i="11" s="1"/>
  <c r="AU19" i="11"/>
  <c r="D7" i="11" s="1"/>
  <c r="AL19" i="11"/>
  <c r="AC18" i="11"/>
  <c r="N18" i="11"/>
  <c r="M18" i="11"/>
  <c r="B18" i="11"/>
  <c r="A18" i="11"/>
  <c r="BW17" i="11"/>
  <c r="BV17" i="11"/>
  <c r="BF17" i="11"/>
  <c r="BD17" i="11"/>
  <c r="AX17" i="11"/>
  <c r="AV18" i="11"/>
  <c r="N35" i="11" s="1"/>
  <c r="AU18" i="11"/>
  <c r="M35" i="11" s="1"/>
  <c r="AL18" i="1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30" i="11"/>
  <c r="AU30" i="11"/>
  <c r="AC16" i="11"/>
  <c r="BW15" i="11"/>
  <c r="BV15" i="11"/>
  <c r="BF15" i="11"/>
  <c r="BD15" i="11"/>
  <c r="AX15" i="11"/>
  <c r="AV17" i="11"/>
  <c r="AU17" i="11"/>
  <c r="AL17" i="11"/>
  <c r="AC15" i="11"/>
  <c r="R15" i="11"/>
  <c r="P15" i="11"/>
  <c r="M15" i="11"/>
  <c r="K15" i="11"/>
  <c r="H15" i="11"/>
  <c r="G15" i="11"/>
  <c r="F15" i="11"/>
  <c r="D15" i="11"/>
  <c r="A15" i="11"/>
  <c r="BW14" i="11"/>
  <c r="BV14" i="11"/>
  <c r="BF14" i="11"/>
  <c r="BD14" i="11"/>
  <c r="AX14" i="11"/>
  <c r="AV16" i="11"/>
  <c r="AU16" i="11"/>
  <c r="AL16" i="11"/>
  <c r="AC14" i="11"/>
  <c r="L14" i="11"/>
  <c r="K14" i="11"/>
  <c r="BW13" i="11"/>
  <c r="BV13" i="11"/>
  <c r="BF13" i="11"/>
  <c r="BD13" i="11"/>
  <c r="AX13" i="11"/>
  <c r="AV15" i="11"/>
  <c r="AU15" i="11"/>
  <c r="AL15" i="11"/>
  <c r="AC13" i="11"/>
  <c r="N13" i="11"/>
  <c r="M13" i="11"/>
  <c r="B13" i="11"/>
  <c r="A13" i="11"/>
  <c r="BW12" i="11"/>
  <c r="BV12" i="11"/>
  <c r="BF12" i="11"/>
  <c r="BD12" i="11"/>
  <c r="AX12" i="11"/>
  <c r="AV31" i="11"/>
  <c r="AU31" i="11"/>
  <c r="AC12" i="11"/>
  <c r="R12" i="11"/>
  <c r="Q12" i="11"/>
  <c r="F12" i="11"/>
  <c r="E12" i="11"/>
  <c r="BW11" i="11"/>
  <c r="BV11" i="11"/>
  <c r="BR11" i="11"/>
  <c r="BF11" i="11"/>
  <c r="BD11" i="11"/>
  <c r="AX11" i="11"/>
  <c r="AV32" i="11"/>
  <c r="E35" i="11" s="1"/>
  <c r="AU32" i="11"/>
  <c r="D35" i="11" s="1"/>
  <c r="AC11" i="11"/>
  <c r="BW10" i="11"/>
  <c r="BV10" i="11"/>
  <c r="BR10" i="11"/>
  <c r="BF10" i="11"/>
  <c r="BD10" i="11"/>
  <c r="AX10" i="11"/>
  <c r="AV14" i="11"/>
  <c r="E41" i="11" s="1"/>
  <c r="AU14" i="11"/>
  <c r="D41" i="11" s="1"/>
  <c r="AL14" i="11"/>
  <c r="AC10" i="11"/>
  <c r="BW9" i="11"/>
  <c r="BV9" i="11"/>
  <c r="BR9" i="11"/>
  <c r="BF9" i="11"/>
  <c r="BD9" i="11"/>
  <c r="AX9" i="11"/>
  <c r="AV12" i="11"/>
  <c r="AU12" i="11"/>
  <c r="AL12" i="1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11" i="11"/>
  <c r="K4" i="11" s="1"/>
  <c r="AU11" i="11"/>
  <c r="J4" i="11" s="1"/>
  <c r="AL11" i="11"/>
  <c r="AC8" i="11"/>
  <c r="BW7" i="11"/>
  <c r="BV7" i="11"/>
  <c r="BR7" i="11"/>
  <c r="BF7" i="11"/>
  <c r="BD7" i="11"/>
  <c r="AX7" i="11"/>
  <c r="AV10" i="11"/>
  <c r="AU10" i="11"/>
  <c r="AL10" i="11"/>
  <c r="AC7" i="11"/>
  <c r="N7" i="11"/>
  <c r="M7" i="11"/>
  <c r="B7" i="11"/>
  <c r="A7" i="11"/>
  <c r="BW6" i="11"/>
  <c r="BV6" i="11"/>
  <c r="BR6" i="11"/>
  <c r="BF6" i="11"/>
  <c r="BD6" i="11"/>
  <c r="AX6" i="11"/>
  <c r="AV9" i="11"/>
  <c r="E18" i="11" s="1"/>
  <c r="AU9" i="11"/>
  <c r="D18" i="11" s="1"/>
  <c r="AL9" i="11"/>
  <c r="AC6" i="11"/>
  <c r="R6" i="11"/>
  <c r="Q6" i="11"/>
  <c r="L6" i="11"/>
  <c r="J6" i="11"/>
  <c r="G6" i="11"/>
  <c r="F6" i="11"/>
  <c r="E6" i="11"/>
  <c r="BW5" i="11"/>
  <c r="BV5" i="11"/>
  <c r="BR5" i="11"/>
  <c r="J48" i="11" s="1"/>
  <c r="BF5" i="11"/>
  <c r="BD5" i="11"/>
  <c r="AX5" i="11"/>
  <c r="AV8" i="11"/>
  <c r="AU8" i="11"/>
  <c r="AL8" i="11"/>
  <c r="AC5" i="11"/>
  <c r="BW4" i="11"/>
  <c r="BV4" i="11"/>
  <c r="BR4" i="11"/>
  <c r="BF4" i="11"/>
  <c r="BD4" i="11"/>
  <c r="AX4" i="11"/>
  <c r="AV7" i="11"/>
  <c r="E29" i="11" s="1"/>
  <c r="AU7" i="11"/>
  <c r="D29" i="11" s="1"/>
  <c r="AL7" i="11"/>
  <c r="AC4" i="11"/>
  <c r="R4" i="11"/>
  <c r="P4" i="11"/>
  <c r="M4" i="11"/>
  <c r="H4" i="11"/>
  <c r="G4" i="11"/>
  <c r="F4" i="11"/>
  <c r="D4" i="11"/>
  <c r="A4" i="11"/>
  <c r="BW3" i="11"/>
  <c r="BV3" i="11"/>
  <c r="BR3" i="11"/>
  <c r="BF3" i="11"/>
  <c r="BD3" i="11"/>
  <c r="AX3" i="11"/>
  <c r="M19" i="11" s="1"/>
  <c r="AV6" i="11"/>
  <c r="Q13" i="11" s="1"/>
  <c r="AU6" i="11"/>
  <c r="P13" i="11" s="1"/>
  <c r="AL6" i="11"/>
  <c r="AY3" i="11" s="1"/>
  <c r="P19" i="11" s="1"/>
  <c r="AC3" i="11"/>
  <c r="L3" i="11"/>
  <c r="K3" i="11"/>
  <c r="BW2" i="11"/>
  <c r="BV2" i="11"/>
  <c r="BR2" i="11"/>
  <c r="A48" i="11" s="1"/>
  <c r="BF2" i="11"/>
  <c r="BD2" i="11"/>
  <c r="AX2" i="11"/>
  <c r="A25" i="11" s="1"/>
  <c r="AV5" i="11"/>
  <c r="Q2" i="11" s="1"/>
  <c r="AU5" i="11"/>
  <c r="P2" i="11" s="1"/>
  <c r="AL5" i="11"/>
  <c r="AC2" i="11"/>
  <c r="N2" i="11"/>
  <c r="M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Y9" i="6" s="1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Y17" i="6" s="1"/>
  <c r="AL18" i="6"/>
  <c r="AL19" i="6"/>
  <c r="AL20" i="6"/>
  <c r="AY20" i="6" s="1"/>
  <c r="AL21" i="6"/>
  <c r="AL22" i="6"/>
  <c r="AY22" i="6" s="1"/>
  <c r="AL23" i="6"/>
  <c r="AL24" i="6"/>
  <c r="AY24" i="6" s="1"/>
  <c r="AL25" i="6"/>
  <c r="AY25" i="6" s="1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Y13" i="7" s="1"/>
  <c r="AL14" i="7"/>
  <c r="AL15" i="7"/>
  <c r="AL16" i="7"/>
  <c r="AY16" i="7" s="1"/>
  <c r="AL17" i="7"/>
  <c r="AL18" i="7"/>
  <c r="AY18" i="7" s="1"/>
  <c r="AL19" i="7"/>
  <c r="AL20" i="7"/>
  <c r="AY20" i="7" s="1"/>
  <c r="AL21" i="7"/>
  <c r="AY21" i="7" s="1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4" i="8"/>
  <c r="AL5" i="8"/>
  <c r="AL8" i="8"/>
  <c r="AL9" i="8"/>
  <c r="AY9" i="8" s="1"/>
  <c r="AL11" i="8"/>
  <c r="AL12" i="8"/>
  <c r="AY10" i="8" s="1"/>
  <c r="AL14" i="8"/>
  <c r="AL15" i="8"/>
  <c r="AL16" i="8"/>
  <c r="AY16" i="8" s="1"/>
  <c r="AL17" i="8"/>
  <c r="AL18" i="8"/>
  <c r="AL21" i="8"/>
  <c r="AL22" i="8"/>
  <c r="AL23" i="8"/>
  <c r="AY25" i="8" s="1"/>
  <c r="AL24" i="8"/>
  <c r="AY24" i="8" s="1"/>
  <c r="AL25" i="8"/>
  <c r="AL26" i="8"/>
  <c r="AY28" i="8" s="1"/>
  <c r="AY32" i="8"/>
  <c r="AY33" i="8"/>
  <c r="AY34" i="8"/>
  <c r="AY35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Y50" i="8" s="1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Y13" i="9" s="1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Y21" i="9" s="1"/>
  <c r="AL22" i="9"/>
  <c r="AL23" i="9"/>
  <c r="AL24" i="9"/>
  <c r="AL25" i="9"/>
  <c r="AL26" i="9"/>
  <c r="AY26" i="9" s="1"/>
  <c r="AL27" i="9"/>
  <c r="AY27" i="9" s="1"/>
  <c r="AL28" i="9"/>
  <c r="AY28" i="9" s="1"/>
  <c r="AL29" i="9"/>
  <c r="AY29" i="9" s="1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Y38" i="10" s="1"/>
  <c r="AL39" i="10"/>
  <c r="AL40" i="10"/>
  <c r="AY40" i="10" s="1"/>
  <c r="AL41" i="10"/>
  <c r="AY41" i="10" s="1"/>
  <c r="AL42" i="10"/>
  <c r="AY42" i="10" s="1"/>
  <c r="AL43" i="10"/>
  <c r="AY43" i="10" s="1"/>
  <c r="AL44" i="10"/>
  <c r="AY44" i="10" s="1"/>
  <c r="AL45" i="10"/>
  <c r="AY45" i="10" s="1"/>
  <c r="AL46" i="10"/>
  <c r="AY46" i="10" s="1"/>
  <c r="AL47" i="10"/>
  <c r="AY47" i="10" s="1"/>
  <c r="AL48" i="10"/>
  <c r="AY48" i="10" s="1"/>
  <c r="AL49" i="10"/>
  <c r="AY49" i="10" s="1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D37" i="8"/>
  <c r="AX37" i="8"/>
  <c r="AV37" i="8"/>
  <c r="AU37" i="8"/>
  <c r="AY37" i="8"/>
  <c r="AC37" i="8"/>
  <c r="E37" i="8"/>
  <c r="C37" i="8"/>
  <c r="A37" i="8"/>
  <c r="BF36" i="8"/>
  <c r="BD36" i="8"/>
  <c r="AY36" i="8"/>
  <c r="AX36" i="8"/>
  <c r="AV36" i="8"/>
  <c r="AU36" i="8"/>
  <c r="AC36" i="8"/>
  <c r="F36" i="8"/>
  <c r="D36" i="8"/>
  <c r="B36" i="8"/>
  <c r="A36" i="8"/>
  <c r="BF35" i="8"/>
  <c r="BD35" i="8"/>
  <c r="AX35" i="8"/>
  <c r="AV35" i="8"/>
  <c r="AU35" i="8"/>
  <c r="AC35" i="8"/>
  <c r="N35" i="8"/>
  <c r="M35" i="8"/>
  <c r="E35" i="8"/>
  <c r="D35" i="8"/>
  <c r="A35" i="8"/>
  <c r="BF34" i="8"/>
  <c r="BD34" i="8"/>
  <c r="AX34" i="8"/>
  <c r="AV34" i="8"/>
  <c r="AU34" i="8"/>
  <c r="AC34" i="8"/>
  <c r="E34" i="8"/>
  <c r="BF33" i="8"/>
  <c r="BD33" i="8"/>
  <c r="AX33" i="8"/>
  <c r="AV33" i="8"/>
  <c r="AU33" i="8"/>
  <c r="AC33" i="8"/>
  <c r="BF32" i="8"/>
  <c r="BD32" i="8"/>
  <c r="AX32" i="8"/>
  <c r="AV32" i="8"/>
  <c r="AU32" i="8"/>
  <c r="AC32" i="8"/>
  <c r="BW31" i="8"/>
  <c r="BV31" i="8"/>
  <c r="BF31" i="8"/>
  <c r="BD31" i="8"/>
  <c r="AX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6" i="8"/>
  <c r="AU26" i="8"/>
  <c r="AC28" i="8"/>
  <c r="Q28" i="8"/>
  <c r="L28" i="8"/>
  <c r="J28" i="8"/>
  <c r="G28" i="8"/>
  <c r="E28" i="8"/>
  <c r="BW27" i="8"/>
  <c r="BV27" i="8"/>
  <c r="BF27" i="8"/>
  <c r="BD27" i="8"/>
  <c r="AX27" i="8"/>
  <c r="AV25" i="8"/>
  <c r="AU25" i="8"/>
  <c r="AY27" i="8"/>
  <c r="AC27" i="8"/>
  <c r="J27" i="8"/>
  <c r="G27" i="8"/>
  <c r="BW26" i="8"/>
  <c r="BV26" i="8"/>
  <c r="BF26" i="8"/>
  <c r="BD26" i="8"/>
  <c r="AX26" i="8"/>
  <c r="AV24" i="8"/>
  <c r="AU24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3" i="8"/>
  <c r="AU23" i="8"/>
  <c r="AC25" i="8"/>
  <c r="P25" i="8"/>
  <c r="M25" i="8"/>
  <c r="K25" i="8"/>
  <c r="D25" i="8"/>
  <c r="A25" i="8"/>
  <c r="BW24" i="8"/>
  <c r="BV24" i="8"/>
  <c r="BF24" i="8"/>
  <c r="BD24" i="8"/>
  <c r="AX24" i="8"/>
  <c r="AV27" i="8"/>
  <c r="AU27" i="8"/>
  <c r="AC24" i="8"/>
  <c r="Q24" i="8"/>
  <c r="P24" i="8"/>
  <c r="E24" i="8"/>
  <c r="D24" i="8"/>
  <c r="BW23" i="8"/>
  <c r="BV23" i="8"/>
  <c r="BF23" i="8"/>
  <c r="BD23" i="8"/>
  <c r="AX23" i="8"/>
  <c r="AV28" i="8"/>
  <c r="AU28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19" i="8"/>
  <c r="AU19" i="8"/>
  <c r="AC20" i="8"/>
  <c r="R20" i="8"/>
  <c r="P20" i="8"/>
  <c r="M20" i="8"/>
  <c r="BW19" i="8"/>
  <c r="BV19" i="8"/>
  <c r="BF19" i="8"/>
  <c r="BD19" i="8"/>
  <c r="AX19" i="8"/>
  <c r="AV18" i="8"/>
  <c r="AU18" i="8"/>
  <c r="AY19" i="8"/>
  <c r="AC19" i="8"/>
  <c r="P19" i="8"/>
  <c r="M19" i="8"/>
  <c r="H19" i="8"/>
  <c r="BW18" i="8"/>
  <c r="BV18" i="8"/>
  <c r="BF18" i="8"/>
  <c r="BD18" i="8"/>
  <c r="AX18" i="8"/>
  <c r="AV17" i="8"/>
  <c r="AU17" i="8"/>
  <c r="AC18" i="8"/>
  <c r="Q18" i="8"/>
  <c r="P18" i="8"/>
  <c r="BW17" i="8"/>
  <c r="BV17" i="8"/>
  <c r="BF17" i="8"/>
  <c r="BD17" i="8"/>
  <c r="AX17" i="8"/>
  <c r="AV13" i="8"/>
  <c r="AU13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7" i="8"/>
  <c r="AU7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4" i="8"/>
  <c r="AU14" i="8"/>
  <c r="AY13" i="8"/>
  <c r="AC13" i="8"/>
  <c r="Q13" i="8"/>
  <c r="P13" i="8"/>
  <c r="E13" i="8"/>
  <c r="D13" i="8"/>
  <c r="BW12" i="8"/>
  <c r="BV12" i="8"/>
  <c r="BF12" i="8"/>
  <c r="BD12" i="8"/>
  <c r="AX12" i="8"/>
  <c r="AV3" i="8"/>
  <c r="AU3" i="8"/>
  <c r="AC12" i="8"/>
  <c r="Q12" i="8"/>
  <c r="E12" i="8"/>
  <c r="BW11" i="8"/>
  <c r="BV11" i="8"/>
  <c r="BR11" i="8"/>
  <c r="BF11" i="8"/>
  <c r="BD11" i="8"/>
  <c r="AX11" i="8"/>
  <c r="AV20" i="8"/>
  <c r="AU20" i="8"/>
  <c r="AY11" i="8"/>
  <c r="AC11" i="8"/>
  <c r="BW10" i="8"/>
  <c r="BV10" i="8"/>
  <c r="BR10" i="8"/>
  <c r="BF10" i="8"/>
  <c r="BD10" i="8"/>
  <c r="AX10" i="8"/>
  <c r="AV12" i="8"/>
  <c r="AU12" i="8"/>
  <c r="AC10" i="8"/>
  <c r="BW9" i="8"/>
  <c r="BV9" i="8"/>
  <c r="BR9" i="8"/>
  <c r="BF9" i="8"/>
  <c r="BD9" i="8"/>
  <c r="AX9" i="8"/>
  <c r="AV10" i="8"/>
  <c r="AU10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11" i="8"/>
  <c r="AU11" i="8"/>
  <c r="AC8" i="8"/>
  <c r="P8" i="8"/>
  <c r="M8" i="8"/>
  <c r="D8" i="8"/>
  <c r="A8" i="8"/>
  <c r="BW7" i="8"/>
  <c r="BV7" i="8"/>
  <c r="BR7" i="8"/>
  <c r="BF7" i="8"/>
  <c r="BD7" i="8"/>
  <c r="AX7" i="8"/>
  <c r="AV9" i="8"/>
  <c r="AU9" i="8"/>
  <c r="AY7" i="8"/>
  <c r="AC7" i="8"/>
  <c r="Q7" i="8"/>
  <c r="P7" i="8"/>
  <c r="E7" i="8"/>
  <c r="D7" i="8"/>
  <c r="BW6" i="8"/>
  <c r="BV6" i="8"/>
  <c r="BR6" i="8"/>
  <c r="BF6" i="8"/>
  <c r="BD6" i="8"/>
  <c r="AX6" i="8"/>
  <c r="AV8" i="8"/>
  <c r="AU8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6" i="8"/>
  <c r="AU6" i="8"/>
  <c r="AC5" i="8"/>
  <c r="J5" i="8"/>
  <c r="G5" i="8"/>
  <c r="BW4" i="8"/>
  <c r="BV4" i="8"/>
  <c r="BR4" i="8"/>
  <c r="BF4" i="8"/>
  <c r="BD4" i="8"/>
  <c r="AX4" i="8"/>
  <c r="AV5" i="8"/>
  <c r="AU5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4" i="8"/>
  <c r="AU4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K8" i="5"/>
  <c r="B8" i="5"/>
  <c r="M8" i="5"/>
  <c r="G8" i="5"/>
  <c r="I8" i="5"/>
  <c r="C8" i="5"/>
  <c r="N8" i="5"/>
  <c r="J8" i="5"/>
  <c r="E8" i="5"/>
  <c r="D8" i="5"/>
  <c r="L8" i="5"/>
  <c r="B3" i="5"/>
  <c r="H8" i="5"/>
  <c r="F8" i="5"/>
  <c r="O8" i="5"/>
  <c r="AW12" i="18" l="1"/>
  <c r="AY8" i="8"/>
  <c r="AY4" i="8"/>
  <c r="AY23" i="8"/>
  <c r="AY18" i="8"/>
  <c r="AY2" i="11"/>
  <c r="D25" i="11" s="1"/>
  <c r="AY5" i="8"/>
  <c r="AY12" i="8"/>
  <c r="AY17" i="8"/>
  <c r="AY26" i="8"/>
  <c r="AY13" i="11"/>
  <c r="BE35" i="8"/>
  <c r="BG35" i="8" s="1"/>
  <c r="BH35" i="8" s="1"/>
  <c r="BI35" i="8" s="1"/>
  <c r="BJ35" i="8" s="1"/>
  <c r="BK35" i="8" s="1"/>
  <c r="BL35" i="8" s="1"/>
  <c r="BM35" i="8" s="1"/>
  <c r="BE36" i="8"/>
  <c r="BE37" i="8"/>
  <c r="BE33" i="8"/>
  <c r="BG33" i="8" s="1"/>
  <c r="BH33" i="8" s="1"/>
  <c r="BI33" i="8" s="1"/>
  <c r="BJ33" i="8" s="1"/>
  <c r="BK33" i="8" s="1"/>
  <c r="BL33" i="8" s="1"/>
  <c r="BM33" i="8" s="1"/>
  <c r="BE34" i="8"/>
  <c r="BG34" i="8" s="1"/>
  <c r="BH34" i="8" s="1"/>
  <c r="BI34" i="8" s="1"/>
  <c r="BJ34" i="8" s="1"/>
  <c r="BK34" i="8" s="1"/>
  <c r="BL34" i="8" s="1"/>
  <c r="BM34" i="8" s="1"/>
  <c r="A30" i="11"/>
  <c r="BE32" i="8"/>
  <c r="BE31" i="8"/>
  <c r="BG31" i="8" s="1"/>
  <c r="BH31" i="8" s="1"/>
  <c r="BI31" i="8" s="1"/>
  <c r="BJ31" i="8" s="1"/>
  <c r="BK31" i="8" s="1"/>
  <c r="BL31" i="8" s="1"/>
  <c r="BM31" i="8" s="1"/>
  <c r="A3" i="11"/>
  <c r="A14" i="11"/>
  <c r="G16" i="11"/>
  <c r="M8" i="11"/>
  <c r="A19" i="11"/>
  <c r="G5" i="11"/>
  <c r="B36" i="11"/>
  <c r="A8" i="11"/>
  <c r="M14" i="11"/>
  <c r="P25" i="11"/>
  <c r="B42" i="11"/>
  <c r="P39" i="11"/>
  <c r="M25" i="11"/>
  <c r="M30" i="11"/>
  <c r="AY17" i="11"/>
  <c r="M3" i="11"/>
  <c r="AY23" i="11"/>
  <c r="P35" i="11"/>
  <c r="G27" i="11"/>
  <c r="AY6" i="11"/>
  <c r="AY14" i="11"/>
  <c r="E43" i="11" s="1"/>
  <c r="AY25" i="11"/>
  <c r="D14" i="11" s="1"/>
  <c r="AY16" i="11"/>
  <c r="AY15" i="11"/>
  <c r="BE34" i="11"/>
  <c r="BG34" i="11" s="1"/>
  <c r="AY4" i="11"/>
  <c r="AY5" i="11"/>
  <c r="AY18" i="11"/>
  <c r="AY19" i="11"/>
  <c r="AY20" i="11"/>
  <c r="AY24" i="11"/>
  <c r="AY30" i="11"/>
  <c r="AY32" i="11"/>
  <c r="AY34" i="11"/>
  <c r="AY37" i="11"/>
  <c r="AY38" i="11"/>
  <c r="AY8" i="11"/>
  <c r="AY9" i="11"/>
  <c r="AY11" i="11"/>
  <c r="AY21" i="11"/>
  <c r="K44" i="11" s="1"/>
  <c r="AY28" i="11"/>
  <c r="P30" i="11" s="1"/>
  <c r="BE38" i="11"/>
  <c r="BG38" i="11" s="1"/>
  <c r="BH38" i="11" s="1"/>
  <c r="BI38" i="11" s="1"/>
  <c r="BJ38" i="11" s="1"/>
  <c r="BK38" i="11" s="1"/>
  <c r="BL38" i="11" s="1"/>
  <c r="BM38" i="11" s="1"/>
  <c r="AY7" i="11"/>
  <c r="AY10" i="11"/>
  <c r="AY12" i="11"/>
  <c r="AY31" i="11"/>
  <c r="AY33" i="11"/>
  <c r="AY35" i="11"/>
  <c r="BE37" i="11"/>
  <c r="BG37" i="11" s="1"/>
  <c r="BH37" i="11" s="1"/>
  <c r="BI37" i="11" s="1"/>
  <c r="BJ37" i="11" s="1"/>
  <c r="BK37" i="11" s="1"/>
  <c r="BL37" i="11" s="1"/>
  <c r="BM37" i="11" s="1"/>
  <c r="BE36" i="11"/>
  <c r="BG36" i="11" s="1"/>
  <c r="BH36" i="11" s="1"/>
  <c r="BI36" i="11" s="1"/>
  <c r="BJ36" i="11" s="1"/>
  <c r="BK36" i="11" s="1"/>
  <c r="BL36" i="11" s="1"/>
  <c r="BM36" i="11" s="1"/>
  <c r="BE33" i="11"/>
  <c r="BG33" i="11" s="1"/>
  <c r="K36" i="14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5" i="18"/>
  <c r="AW10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22" i="18"/>
  <c r="BG9" i="18"/>
  <c r="BH9" i="18" s="1"/>
  <c r="BI9" i="18" s="1"/>
  <c r="BJ9" i="18" s="1"/>
  <c r="BK9" i="18" s="1"/>
  <c r="BL9" i="18" s="1"/>
  <c r="BM9" i="18" s="1"/>
  <c r="AW20" i="18"/>
  <c r="AW18" i="18"/>
  <c r="AW16" i="18"/>
  <c r="AW6" i="18"/>
  <c r="AW9" i="18"/>
  <c r="AW13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5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21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9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17" i="18"/>
  <c r="AW11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BE12" i="11"/>
  <c r="BE17" i="1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BE21" i="11"/>
  <c r="BE30" i="11"/>
  <c r="AW38" i="11" s="1"/>
  <c r="BE14" i="11"/>
  <c r="BE9" i="11"/>
  <c r="BE2" i="11"/>
  <c r="BE11" i="11"/>
  <c r="BG11" i="11" s="1"/>
  <c r="BE24" i="11"/>
  <c r="BG24" i="11" s="1"/>
  <c r="BH24" i="11" s="1"/>
  <c r="BI24" i="11" s="1"/>
  <c r="BJ24" i="11" s="1"/>
  <c r="BK24" i="11" s="1"/>
  <c r="BL24" i="11" s="1"/>
  <c r="BM24" i="11" s="1"/>
  <c r="BE29" i="11"/>
  <c r="BE15" i="11"/>
  <c r="BE18" i="11"/>
  <c r="BE32" i="11"/>
  <c r="BE35" i="11"/>
  <c r="BE6" i="11"/>
  <c r="BE3" i="11"/>
  <c r="AW3" i="11" s="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BE28" i="8"/>
  <c r="BE5" i="8"/>
  <c r="BE17" i="8"/>
  <c r="BE24" i="8"/>
  <c r="BE11" i="8"/>
  <c r="BG11" i="8" s="1"/>
  <c r="BE30" i="8"/>
  <c r="BE12" i="8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J16" i="11" l="1"/>
  <c r="AW3" i="8"/>
  <c r="AW17" i="8"/>
  <c r="AW13" i="8"/>
  <c r="AW6" i="8"/>
  <c r="AW35" i="8"/>
  <c r="AW34" i="8"/>
  <c r="BG36" i="8"/>
  <c r="BH36" i="8" s="1"/>
  <c r="BI36" i="8" s="1"/>
  <c r="BJ36" i="8" s="1"/>
  <c r="BK36" i="8" s="1"/>
  <c r="BL36" i="8" s="1"/>
  <c r="BM36" i="8" s="1"/>
  <c r="AW33" i="8"/>
  <c r="BG37" i="8"/>
  <c r="BH37" i="8" s="1"/>
  <c r="BI37" i="8" s="1"/>
  <c r="BJ37" i="8" s="1"/>
  <c r="BK37" i="8" s="1"/>
  <c r="BL37" i="8" s="1"/>
  <c r="BM37" i="8" s="1"/>
  <c r="J27" i="11"/>
  <c r="BG32" i="8"/>
  <c r="BH32" i="8" s="1"/>
  <c r="BI32" i="8" s="1"/>
  <c r="BJ32" i="8" s="1"/>
  <c r="BK32" i="8" s="1"/>
  <c r="BL32" i="8" s="1"/>
  <c r="BM32" i="8" s="1"/>
  <c r="AW31" i="8"/>
  <c r="E37" i="11"/>
  <c r="K40" i="11"/>
  <c r="AW5" i="11"/>
  <c r="J5" i="11"/>
  <c r="D19" i="11"/>
  <c r="P14" i="11"/>
  <c r="D3" i="11"/>
  <c r="K36" i="11"/>
  <c r="D8" i="11"/>
  <c r="D30" i="11"/>
  <c r="P3" i="11"/>
  <c r="P8" i="11"/>
  <c r="AW27" i="11"/>
  <c r="AW36" i="11"/>
  <c r="AW37" i="11"/>
  <c r="AW18" i="11"/>
  <c r="AW16" i="11"/>
  <c r="AW31" i="11"/>
  <c r="AW20" i="11"/>
  <c r="AW8" i="11"/>
  <c r="AW2" i="11"/>
  <c r="AW23" i="11"/>
  <c r="AW7" i="11"/>
  <c r="AW25" i="11"/>
  <c r="BH31" i="14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BG12" i="1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AW21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32" i="11"/>
  <c r="BG9" i="11"/>
  <c r="AW26" i="11"/>
  <c r="BG21" i="11"/>
  <c r="BH21" i="11" s="1"/>
  <c r="BI21" i="11" s="1"/>
  <c r="BJ21" i="11" s="1"/>
  <c r="BK21" i="11" s="1"/>
  <c r="BL21" i="11" s="1"/>
  <c r="BM21" i="11" s="1"/>
  <c r="AW22" i="11"/>
  <c r="BG35" i="11"/>
  <c r="BH35" i="11" s="1"/>
  <c r="BI35" i="11" s="1"/>
  <c r="BJ35" i="11" s="1"/>
  <c r="BK35" i="11" s="1"/>
  <c r="BL35" i="11" s="1"/>
  <c r="BM35" i="11" s="1"/>
  <c r="BG26" i="11"/>
  <c r="BH26" i="11" s="1"/>
  <c r="BI26" i="11" s="1"/>
  <c r="BJ26" i="11" s="1"/>
  <c r="BK26" i="11" s="1"/>
  <c r="BL26" i="11" s="1"/>
  <c r="BM26" i="11" s="1"/>
  <c r="AW13" i="11"/>
  <c r="BG32" i="11"/>
  <c r="AW14" i="11"/>
  <c r="BG10" i="11"/>
  <c r="AW29" i="11"/>
  <c r="BG22" i="11"/>
  <c r="BH22" i="11" s="1"/>
  <c r="BI22" i="11" s="1"/>
  <c r="BJ22" i="11" s="1"/>
  <c r="BK22" i="11" s="1"/>
  <c r="BL22" i="11" s="1"/>
  <c r="BM22" i="11" s="1"/>
  <c r="AW19" i="11"/>
  <c r="BG18" i="11"/>
  <c r="BH18" i="11" s="1"/>
  <c r="BI18" i="11" s="1"/>
  <c r="BJ18" i="11" s="1"/>
  <c r="BK18" i="11" s="1"/>
  <c r="BL18" i="11" s="1"/>
  <c r="BM18" i="11" s="1"/>
  <c r="AW17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BG31" i="11"/>
  <c r="BH31" i="11" s="1"/>
  <c r="BI31" i="11" s="1"/>
  <c r="BJ31" i="11" s="1"/>
  <c r="BK31" i="11" s="1"/>
  <c r="BL31" i="11" s="1"/>
  <c r="BM31" i="11" s="1"/>
  <c r="AW24" i="11"/>
  <c r="BG16" i="11"/>
  <c r="BH16" i="11" s="1"/>
  <c r="BI16" i="11" s="1"/>
  <c r="BJ16" i="11" s="1"/>
  <c r="BK16" i="11" s="1"/>
  <c r="BL16" i="11" s="1"/>
  <c r="BM16" i="11" s="1"/>
  <c r="AW30" i="11"/>
  <c r="BG3" i="11"/>
  <c r="AW15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10" i="11"/>
  <c r="AW9" i="11"/>
  <c r="BG6" i="1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8" i="8"/>
  <c r="AW19" i="8"/>
  <c r="AW28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G12" i="8"/>
  <c r="BH12" i="8" s="1"/>
  <c r="BI12" i="8" s="1"/>
  <c r="BJ12" i="8" s="1"/>
  <c r="BK12" i="8" s="1"/>
  <c r="BL12" i="8" s="1"/>
  <c r="BM12" i="8" s="1"/>
  <c r="AW18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15" i="8"/>
  <c r="BG15" i="8"/>
  <c r="BH15" i="8" s="1"/>
  <c r="BI15" i="8" s="1"/>
  <c r="BJ15" i="8" s="1"/>
  <c r="BK15" i="8" s="1"/>
  <c r="BL15" i="8" s="1"/>
  <c r="BM15" i="8" s="1"/>
  <c r="AW7" i="8"/>
  <c r="BG14" i="8"/>
  <c r="BH14" i="8" s="1"/>
  <c r="BI14" i="8" s="1"/>
  <c r="BJ14" i="8" s="1"/>
  <c r="BK14" i="8" s="1"/>
  <c r="BL14" i="8" s="1"/>
  <c r="BM14" i="8" s="1"/>
  <c r="AW5" i="8"/>
  <c r="BG4" i="8"/>
  <c r="BH4" i="8" s="1"/>
  <c r="BI4" i="8" s="1"/>
  <c r="BJ4" i="8" s="1"/>
  <c r="BK4" i="8" s="1"/>
  <c r="BL4" i="8" s="1"/>
  <c r="BM4" i="8" s="1"/>
  <c r="BG10" i="8"/>
  <c r="AW10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4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4" i="8"/>
  <c r="AW16" i="8"/>
  <c r="BG16" i="8"/>
  <c r="BH16" i="8" s="1"/>
  <c r="BI16" i="8" s="1"/>
  <c r="BJ16" i="8" s="1"/>
  <c r="BK16" i="8" s="1"/>
  <c r="BL16" i="8" s="1"/>
  <c r="BM16" i="8" s="1"/>
  <c r="BG26" i="8"/>
  <c r="BH26" i="8" s="1"/>
  <c r="BI26" i="8" s="1"/>
  <c r="BJ26" i="8" s="1"/>
  <c r="BK26" i="8" s="1"/>
  <c r="BL26" i="8" s="1"/>
  <c r="BM26" i="8" s="1"/>
  <c r="AW11" i="8"/>
  <c r="BG8" i="8"/>
  <c r="BH8" i="8" s="1"/>
  <c r="BI8" i="8" s="1"/>
  <c r="BJ8" i="8" s="1"/>
  <c r="BK8" i="8" s="1"/>
  <c r="BL8" i="8" s="1"/>
  <c r="BM8" i="8" s="1"/>
  <c r="BG25" i="8"/>
  <c r="BH25" i="8" s="1"/>
  <c r="BI25" i="8" s="1"/>
  <c r="BJ25" i="8" s="1"/>
  <c r="BK25" i="8" s="1"/>
  <c r="BL25" i="8" s="1"/>
  <c r="BM25" i="8" s="1"/>
  <c r="BG22" i="8"/>
  <c r="BH22" i="8" s="1"/>
  <c r="BI22" i="8" s="1"/>
  <c r="BJ22" i="8" s="1"/>
  <c r="BK22" i="8" s="1"/>
  <c r="BL22" i="8" s="1"/>
  <c r="BM22" i="8" s="1"/>
  <c r="AW9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H24" i="8" l="1"/>
  <c r="BH29" i="8"/>
  <c r="BI29" i="8" s="1"/>
  <c r="AW32" i="8"/>
  <c r="AW36" i="8"/>
  <c r="AW37" i="8"/>
  <c r="AW24" i="8"/>
  <c r="AW22" i="8"/>
  <c r="AW23" i="8"/>
  <c r="AW25" i="8"/>
  <c r="AW30" i="8"/>
  <c r="AW26" i="8"/>
  <c r="BH10" i="11"/>
  <c r="BI10" i="11" s="1"/>
  <c r="BJ10" i="11" s="1"/>
  <c r="BK10" i="11" s="1"/>
  <c r="BL10" i="11" s="1"/>
  <c r="BM10" i="11" s="1"/>
  <c r="BH32" i="11"/>
  <c r="BH33" i="11"/>
  <c r="AW35" i="11"/>
  <c r="BH6" i="11"/>
  <c r="BI6" i="11" s="1"/>
  <c r="BH11" i="11"/>
  <c r="BI11" i="11" s="1"/>
  <c r="BJ11" i="11" s="1"/>
  <c r="BK11" i="11" s="1"/>
  <c r="BL11" i="11" s="1"/>
  <c r="BM11" i="11" s="1"/>
  <c r="BH12" i="11"/>
  <c r="BI12" i="11" s="1"/>
  <c r="BJ12" i="11" s="1"/>
  <c r="BK12" i="11" s="1"/>
  <c r="BL12" i="11" s="1"/>
  <c r="BM12" i="11" s="1"/>
  <c r="BH5" i="11"/>
  <c r="BI5" i="11" s="1"/>
  <c r="BH3" i="11"/>
  <c r="BH34" i="11"/>
  <c r="BI30" i="14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I24" i="8" l="1"/>
  <c r="BJ24" i="8" s="1"/>
  <c r="BK24" i="8" s="1"/>
  <c r="BI33" i="11"/>
  <c r="BI32" i="11"/>
  <c r="BJ32" i="11" s="1"/>
  <c r="BK32" i="11" s="1"/>
  <c r="BI34" i="11"/>
  <c r="BI3" i="11"/>
  <c r="BJ31" i="14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12" i="11"/>
  <c r="BI8" i="11"/>
  <c r="BJ8" i="11" s="1"/>
  <c r="BK8" i="11" s="1"/>
  <c r="BL8" i="11" s="1"/>
  <c r="BM8" i="11" s="1"/>
  <c r="AW11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J29" i="8" l="1"/>
  <c r="BJ33" i="11"/>
  <c r="BJ6" i="11"/>
  <c r="BK6" i="11" s="1"/>
  <c r="BJ5" i="11"/>
  <c r="BK5" i="11" s="1"/>
  <c r="BJ3" i="11"/>
  <c r="BJ34" i="11"/>
  <c r="BK30" i="14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20" i="8"/>
  <c r="BK10" i="8"/>
  <c r="BL10" i="8" s="1"/>
  <c r="BM10" i="8" s="1"/>
  <c r="AW12" i="8"/>
  <c r="BK29" i="8" l="1"/>
  <c r="BK33" i="11"/>
  <c r="BL33" i="11" s="1"/>
  <c r="BM33" i="11" s="1"/>
  <c r="BK34" i="11"/>
  <c r="BL5" i="11" s="1"/>
  <c r="BM5" i="11" s="1"/>
  <c r="BK3" i="11"/>
  <c r="AW23" i="14"/>
  <c r="AW26" i="14"/>
  <c r="BL8" i="9"/>
  <c r="BM8" i="9" s="1"/>
  <c r="BK8" i="10"/>
  <c r="BL8" i="10" s="1"/>
  <c r="BM8" i="10" s="1"/>
  <c r="BK9" i="10"/>
  <c r="BL9" i="9"/>
  <c r="BL29" i="8" l="1"/>
  <c r="BL24" i="8"/>
  <c r="BL32" i="11"/>
  <c r="AW4" i="11"/>
  <c r="BL6" i="11"/>
  <c r="BM6" i="11" s="1"/>
  <c r="BL34" i="11"/>
  <c r="BL3" i="11"/>
  <c r="BM3" i="11" s="1"/>
  <c r="AW8" i="9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N4" i="5"/>
  <c r="C4" i="5"/>
  <c r="M4" i="5"/>
  <c r="B6" i="5"/>
  <c r="D4" i="5"/>
  <c r="N6" i="5"/>
  <c r="I4" i="5"/>
  <c r="B4" i="5"/>
  <c r="O6" i="5"/>
  <c r="I6" i="5"/>
  <c r="C6" i="5"/>
  <c r="M6" i="5"/>
  <c r="H6" i="5"/>
  <c r="L4" i="5"/>
  <c r="L6" i="5"/>
  <c r="O4" i="5"/>
  <c r="J6" i="5"/>
  <c r="E4" i="5"/>
  <c r="K6" i="5"/>
  <c r="F4" i="5"/>
  <c r="K4" i="5"/>
  <c r="F6" i="5"/>
  <c r="H4" i="5"/>
  <c r="G6" i="5"/>
  <c r="G4" i="5"/>
  <c r="D6" i="5"/>
  <c r="J4" i="5"/>
  <c r="E6" i="5"/>
  <c r="BM24" i="8" l="1"/>
  <c r="AW27" i="8"/>
  <c r="BM29" i="8"/>
  <c r="AW29" i="8" s="1"/>
  <c r="BM32" i="11"/>
  <c r="AW28" i="11" s="1"/>
  <c r="BM34" i="11"/>
  <c r="AW34" i="11" s="1"/>
  <c r="AW33" i="11"/>
  <c r="AW6" i="11"/>
  <c r="AW9" i="10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F36" i="4" s="1"/>
  <c r="AE45" i="4"/>
  <c r="C37" i="4" s="1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A37" i="4"/>
  <c r="BF36" i="4"/>
  <c r="BD36" i="4"/>
  <c r="AY36" i="4"/>
  <c r="AX36" i="4"/>
  <c r="AV36" i="4"/>
  <c r="AU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AX21" i="4"/>
  <c r="AV26" i="4"/>
  <c r="Q13" i="4" s="1"/>
  <c r="AU26" i="4"/>
  <c r="P13" i="4" s="1"/>
  <c r="BW20" i="4"/>
  <c r="BV20" i="4"/>
  <c r="BF20" i="4"/>
  <c r="BD20" i="4"/>
  <c r="AY20" i="4"/>
  <c r="P3" i="4" s="1"/>
  <c r="AX20" i="4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Q2" i="4" s="1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E2" i="4"/>
  <c r="Q1" i="4"/>
  <c r="E1" i="4"/>
  <c r="K50" i="1"/>
  <c r="K48" i="1"/>
  <c r="B48" i="1"/>
  <c r="C7" i="5"/>
  <c r="H5" i="5"/>
  <c r="I2" i="5"/>
  <c r="J7" i="5"/>
  <c r="J3" i="5"/>
  <c r="F7" i="5"/>
  <c r="E7" i="5"/>
  <c r="K7" i="5"/>
  <c r="L3" i="5"/>
  <c r="M2" i="5"/>
  <c r="F2" i="5"/>
  <c r="O3" i="5"/>
  <c r="I5" i="5"/>
  <c r="N5" i="5"/>
  <c r="G7" i="5"/>
  <c r="N7" i="5"/>
  <c r="N2" i="5"/>
  <c r="D3" i="5"/>
  <c r="I7" i="5"/>
  <c r="K3" i="5"/>
  <c r="M3" i="5"/>
  <c r="C5" i="5"/>
  <c r="L7" i="5"/>
  <c r="C3" i="5"/>
  <c r="O7" i="5"/>
  <c r="J2" i="5"/>
  <c r="H2" i="5"/>
  <c r="H7" i="5"/>
  <c r="D2" i="5"/>
  <c r="E3" i="5"/>
  <c r="B5" i="5"/>
  <c r="D7" i="5"/>
  <c r="M5" i="5"/>
  <c r="K5" i="5"/>
  <c r="I3" i="5"/>
  <c r="F3" i="5"/>
  <c r="K2" i="5"/>
  <c r="M7" i="5"/>
  <c r="O5" i="5"/>
  <c r="O2" i="5"/>
  <c r="L5" i="5"/>
  <c r="N3" i="5"/>
  <c r="J5" i="5"/>
  <c r="C2" i="5"/>
  <c r="G3" i="5"/>
  <c r="H3" i="5"/>
  <c r="L2" i="5"/>
  <c r="B7" i="5"/>
  <c r="D5" i="5"/>
  <c r="G2" i="5"/>
  <c r="G5" i="5"/>
  <c r="E5" i="5"/>
  <c r="F5" i="5"/>
  <c r="E2" i="5"/>
  <c r="B2" i="5"/>
  <c r="M3" i="4" l="1"/>
  <c r="P25" i="4"/>
  <c r="M25" i="4"/>
  <c r="M35" i="4"/>
  <c r="C43" i="4"/>
  <c r="J16" i="4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X5" i="1"/>
  <c r="AX6" i="1"/>
  <c r="AX7" i="1"/>
  <c r="AX8" i="1"/>
  <c r="AX9" i="1"/>
  <c r="AX11" i="1"/>
  <c r="AX14" i="1"/>
  <c r="AX16" i="1"/>
  <c r="AX17" i="1"/>
  <c r="AX18" i="1"/>
  <c r="AX19" i="1"/>
  <c r="AX20" i="1"/>
  <c r="AX22" i="1"/>
  <c r="AX24" i="1"/>
  <c r="AX26" i="1"/>
  <c r="AX27" i="1"/>
  <c r="AX28" i="1"/>
  <c r="AX29" i="1"/>
  <c r="AX30" i="1"/>
  <c r="AX31" i="1"/>
  <c r="AX32" i="1"/>
  <c r="AX15" i="1"/>
  <c r="AX33" i="1"/>
  <c r="AX21" i="1"/>
  <c r="AX23" i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AY5" i="1"/>
  <c r="AY6" i="1"/>
  <c r="AY7" i="1"/>
  <c r="AY8" i="1"/>
  <c r="AY9" i="1"/>
  <c r="AY11" i="1"/>
  <c r="AY14" i="1"/>
  <c r="AY16" i="1"/>
  <c r="AY17" i="1"/>
  <c r="AY18" i="1"/>
  <c r="AY19" i="1"/>
  <c r="AY20" i="1"/>
  <c r="AY22" i="1"/>
  <c r="AY24" i="1"/>
  <c r="AY26" i="1"/>
  <c r="AY27" i="1"/>
  <c r="AY28" i="1"/>
  <c r="AY29" i="1"/>
  <c r="AY30" i="1"/>
  <c r="AY31" i="1"/>
  <c r="AY32" i="1"/>
  <c r="AY15" i="1"/>
  <c r="AY33" i="1"/>
  <c r="AY25" i="1"/>
  <c r="AY21" i="1"/>
  <c r="AY23" i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AV4" i="1"/>
  <c r="AV5" i="1"/>
  <c r="E2" i="1" s="1"/>
  <c r="AV6" i="1"/>
  <c r="AV7" i="1"/>
  <c r="AV8" i="1"/>
  <c r="AV9" i="1"/>
  <c r="AV11" i="1"/>
  <c r="AV14" i="1"/>
  <c r="E13" i="1" s="1"/>
  <c r="AV15" i="1"/>
  <c r="AV27" i="1"/>
  <c r="AV16" i="1"/>
  <c r="AV17" i="1"/>
  <c r="AV18" i="1"/>
  <c r="E35" i="1" s="1"/>
  <c r="AV20" i="1"/>
  <c r="AV22" i="1"/>
  <c r="Q2" i="1" s="1"/>
  <c r="AV24" i="1"/>
  <c r="AV25" i="1"/>
  <c r="E41" i="1" s="1"/>
  <c r="AV26" i="1"/>
  <c r="AV29" i="1"/>
  <c r="AV30" i="1"/>
  <c r="AV31" i="1"/>
  <c r="AV32" i="1"/>
  <c r="AV28" i="1"/>
  <c r="AV33" i="1"/>
  <c r="AV23" i="1"/>
  <c r="Q7" i="1" s="1"/>
  <c r="AV19" i="1"/>
  <c r="N35" i="1" s="1"/>
  <c r="AV21" i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AU5" i="1"/>
  <c r="AU6" i="1"/>
  <c r="AU7" i="1"/>
  <c r="AU8" i="1"/>
  <c r="AU9" i="1"/>
  <c r="AU11" i="1"/>
  <c r="AU14" i="1"/>
  <c r="AU15" i="1"/>
  <c r="AU27" i="1"/>
  <c r="AU16" i="1"/>
  <c r="AU17" i="1"/>
  <c r="AU18" i="1"/>
  <c r="AU20" i="1"/>
  <c r="AU22" i="1"/>
  <c r="AU24" i="1"/>
  <c r="AU25" i="1"/>
  <c r="AU26" i="1"/>
  <c r="AU29" i="1"/>
  <c r="AU30" i="1"/>
  <c r="AU31" i="1"/>
  <c r="AU32" i="1"/>
  <c r="AU28" i="1"/>
  <c r="AU33" i="1"/>
  <c r="AU23" i="1"/>
  <c r="AU19" i="1"/>
  <c r="M35" i="1" s="1"/>
  <c r="AU21" i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J12" i="3"/>
  <c r="J14" i="3"/>
  <c r="J11" i="3"/>
  <c r="J15" i="3"/>
  <c r="E14" i="3"/>
  <c r="N11" i="3"/>
  <c r="M29" i="3"/>
  <c r="A12" i="3"/>
  <c r="P29" i="3"/>
  <c r="E12" i="3"/>
  <c r="N14" i="3"/>
  <c r="E15" i="3"/>
  <c r="M30" i="3"/>
  <c r="P30" i="3"/>
  <c r="G29" i="3"/>
  <c r="D29" i="3"/>
  <c r="N12" i="3"/>
  <c r="G28" i="3"/>
  <c r="J13" i="3"/>
  <c r="G30" i="3"/>
  <c r="A11" i="3"/>
  <c r="A15" i="3"/>
  <c r="E11" i="3"/>
  <c r="A14" i="3"/>
  <c r="D28" i="3"/>
  <c r="E13" i="3"/>
  <c r="D30" i="3"/>
  <c r="N15" i="3"/>
  <c r="N13" i="3"/>
  <c r="L8" i="3"/>
  <c r="A13" i="3"/>
  <c r="C8" i="3"/>
  <c r="K36" i="1" l="1"/>
  <c r="P35" i="1"/>
  <c r="Q29" i="1"/>
  <c r="E7" i="1"/>
  <c r="Q24" i="1"/>
  <c r="E18" i="1"/>
  <c r="M19" i="1"/>
  <c r="D30" i="1"/>
  <c r="M8" i="1"/>
  <c r="E29" i="1"/>
  <c r="Q18" i="1"/>
  <c r="K26" i="1"/>
  <c r="E24" i="1"/>
  <c r="P29" i="1"/>
  <c r="N43" i="1"/>
  <c r="K4" i="1"/>
  <c r="P24" i="1"/>
  <c r="P30" i="1"/>
  <c r="A25" i="1"/>
  <c r="P25" i="1"/>
  <c r="M30" i="1"/>
  <c r="D29" i="1"/>
  <c r="A30" i="1"/>
  <c r="D25" i="1"/>
  <c r="M25" i="1"/>
  <c r="G27" i="1"/>
  <c r="D24" i="1"/>
  <c r="P19" i="1"/>
  <c r="D18" i="1"/>
  <c r="P18" i="1"/>
  <c r="A19" i="1"/>
  <c r="D19" i="1"/>
  <c r="D7" i="1"/>
  <c r="A8" i="1"/>
  <c r="D8" i="1"/>
  <c r="J15" i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5" i="3"/>
  <c r="O34" i="3" s="1"/>
  <c r="AB6" i="3"/>
  <c r="O35" i="3" s="1"/>
  <c r="AB7" i="3"/>
  <c r="O36" i="3" s="1"/>
  <c r="AB8" i="3"/>
  <c r="O37" i="3" s="1"/>
  <c r="AB9" i="3"/>
  <c r="O38" i="3" s="1"/>
  <c r="AB10" i="3"/>
  <c r="O39" i="3" s="1"/>
  <c r="AB11" i="3"/>
  <c r="O40" i="3" s="1"/>
  <c r="AB12" i="3"/>
  <c r="O41" i="3" s="1"/>
  <c r="AB13" i="3"/>
  <c r="O42" i="3" s="1"/>
  <c r="AB14" i="3"/>
  <c r="O43" i="3" s="1"/>
  <c r="AB15" i="3"/>
  <c r="O44" i="3" s="1"/>
  <c r="AB4" i="3"/>
  <c r="O33" i="3" s="1"/>
  <c r="X5" i="3"/>
  <c r="K34" i="3" s="1"/>
  <c r="X6" i="3"/>
  <c r="K35" i="3" s="1"/>
  <c r="X7" i="3"/>
  <c r="K36" i="3" s="1"/>
  <c r="X8" i="3"/>
  <c r="K37" i="3" s="1"/>
  <c r="X9" i="3"/>
  <c r="K38" i="3" s="1"/>
  <c r="X10" i="3"/>
  <c r="K39" i="3" s="1"/>
  <c r="X11" i="3"/>
  <c r="K40" i="3" s="1"/>
  <c r="X12" i="3"/>
  <c r="K41" i="3" s="1"/>
  <c r="X13" i="3"/>
  <c r="K42" i="3" s="1"/>
  <c r="X14" i="3"/>
  <c r="K43" i="3" s="1"/>
  <c r="X15" i="3"/>
  <c r="K44" i="3" s="1"/>
  <c r="X4" i="3"/>
  <c r="K33" i="3" s="1"/>
  <c r="G50" i="3"/>
  <c r="P26" i="3"/>
  <c r="G12" i="3"/>
  <c r="M23" i="3"/>
  <c r="P14" i="3"/>
  <c r="P12" i="3"/>
  <c r="C12" i="3"/>
  <c r="L11" i="3"/>
  <c r="C11" i="3"/>
  <c r="G14" i="3"/>
  <c r="C15" i="3"/>
  <c r="M26" i="3"/>
  <c r="G11" i="3"/>
  <c r="M22" i="3"/>
  <c r="P13" i="3"/>
  <c r="L13" i="3"/>
  <c r="G15" i="3"/>
  <c r="P22" i="3"/>
  <c r="P15" i="3"/>
  <c r="L15" i="3"/>
  <c r="G13" i="3"/>
  <c r="P11" i="3"/>
  <c r="J28" i="3"/>
  <c r="P23" i="3"/>
  <c r="C14" i="3"/>
  <c r="L14" i="3"/>
  <c r="J30" i="3"/>
  <c r="J23" i="3"/>
  <c r="C13" i="3"/>
  <c r="L12" i="3"/>
  <c r="F42" i="1" l="1"/>
  <c r="BG5" i="2"/>
  <c r="BG9" i="2"/>
  <c r="BG13" i="2"/>
  <c r="BH3" i="2"/>
  <c r="BH7" i="2"/>
  <c r="BH11" i="2"/>
  <c r="BH15" i="2"/>
  <c r="BI6" i="2"/>
  <c r="BI10" i="2"/>
  <c r="BI14" i="2"/>
  <c r="BH6" i="2"/>
  <c r="BI5" i="2"/>
  <c r="BG6" i="2"/>
  <c r="BG10" i="2"/>
  <c r="BG14" i="2"/>
  <c r="BH4" i="2"/>
  <c r="BH8" i="2"/>
  <c r="BH12" i="2"/>
  <c r="BH2" i="2"/>
  <c r="BI7" i="2"/>
  <c r="BI11" i="2"/>
  <c r="BI15" i="2"/>
  <c r="BI2" i="2"/>
  <c r="BG4" i="2"/>
  <c r="BD12" i="2" s="1"/>
  <c r="P6" i="3" s="1"/>
  <c r="BG12" i="2"/>
  <c r="BG2" i="2"/>
  <c r="BH14" i="2"/>
  <c r="BI13" i="2"/>
  <c r="BG3" i="2"/>
  <c r="BG7" i="2"/>
  <c r="BG11" i="2"/>
  <c r="BG15" i="2"/>
  <c r="BH5" i="2"/>
  <c r="BH9" i="2"/>
  <c r="BH13" i="2"/>
  <c r="BI4" i="2"/>
  <c r="BI8" i="2"/>
  <c r="BI12" i="2"/>
  <c r="BG8" i="2"/>
  <c r="BH10" i="2"/>
  <c r="BI9" i="2"/>
  <c r="BI3" i="2"/>
  <c r="BF6" i="2" s="1"/>
  <c r="BC2" i="2"/>
  <c r="C43" i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18" i="1"/>
  <c r="AW12" i="1"/>
  <c r="AW10" i="1"/>
  <c r="AW11" i="1"/>
  <c r="AW17" i="1"/>
  <c r="AW14" i="1"/>
  <c r="AW19" i="1"/>
  <c r="AW20" i="1"/>
  <c r="AW16" i="1"/>
  <c r="AW21" i="1"/>
  <c r="AW15" i="1"/>
  <c r="AW22" i="1"/>
  <c r="BG33" i="1"/>
  <c r="AW13" i="1"/>
  <c r="BG34" i="1"/>
  <c r="BG25" i="1"/>
  <c r="BG26" i="1"/>
  <c r="AW28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C3" i="2"/>
  <c r="BC10" i="2"/>
  <c r="BC13" i="2"/>
  <c r="BC9" i="2"/>
  <c r="BC5" i="2"/>
  <c r="BC14" i="2"/>
  <c r="BC6" i="2"/>
  <c r="BC12" i="2"/>
  <c r="BC8" i="2"/>
  <c r="BC4" i="2"/>
  <c r="BC15" i="2"/>
  <c r="A5" i="3" s="1"/>
  <c r="BC11" i="2"/>
  <c r="BC7" i="2"/>
  <c r="O23" i="3"/>
  <c r="L30" i="3"/>
  <c r="G19" i="3"/>
  <c r="O26" i="3"/>
  <c r="A30" i="3"/>
  <c r="O22" i="3"/>
  <c r="R22" i="3"/>
  <c r="R23" i="3"/>
  <c r="L23" i="3"/>
  <c r="R26" i="3"/>
  <c r="L28" i="3"/>
  <c r="BE9" i="2" l="1"/>
  <c r="BE7" i="2"/>
  <c r="BD9" i="2"/>
  <c r="BD15" i="2"/>
  <c r="G6" i="3" s="1"/>
  <c r="BE4" i="2"/>
  <c r="BF9" i="2"/>
  <c r="BE14" i="2"/>
  <c r="BH24" i="1"/>
  <c r="BI24" i="1" s="1"/>
  <c r="BF11" i="2"/>
  <c r="BD13" i="2"/>
  <c r="BF4" i="2"/>
  <c r="BD8" i="2"/>
  <c r="BF2" i="2"/>
  <c r="BD6" i="2"/>
  <c r="BF5" i="2"/>
  <c r="BE3" i="2"/>
  <c r="BD3" i="2"/>
  <c r="BE2" i="2"/>
  <c r="BF7" i="2"/>
  <c r="BE5" i="2"/>
  <c r="BE6" i="2"/>
  <c r="BF14" i="2"/>
  <c r="BE12" i="2"/>
  <c r="BD10" i="2"/>
  <c r="BF8" i="2"/>
  <c r="BE15" i="2"/>
  <c r="H6" i="3" s="1"/>
  <c r="BD7" i="2"/>
  <c r="BF3" i="2"/>
  <c r="BD5" i="2"/>
  <c r="BF10" i="2"/>
  <c r="BE8" i="2"/>
  <c r="BD14" i="2"/>
  <c r="BE10" i="2"/>
  <c r="BF13" i="2"/>
  <c r="BE11" i="2"/>
  <c r="BD11" i="2"/>
  <c r="BF12" i="2"/>
  <c r="R6" i="3" s="1"/>
  <c r="BD4" i="2"/>
  <c r="BF15" i="2"/>
  <c r="I6" i="3" s="1"/>
  <c r="BE13" i="2"/>
  <c r="BD2" i="2"/>
  <c r="Q6" i="3"/>
  <c r="J5" i="3"/>
  <c r="BI25" i="4"/>
  <c r="AW25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BH26" i="1"/>
  <c r="BH2" i="1"/>
  <c r="BI2" i="1" s="1"/>
  <c r="H30" i="1"/>
  <c r="H19" i="1"/>
  <c r="J22" i="3"/>
  <c r="J20" i="3"/>
  <c r="J26" i="3"/>
  <c r="J21" i="3"/>
  <c r="D21" i="3"/>
  <c r="I19" i="3"/>
  <c r="J29" i="3"/>
  <c r="J27" i="3"/>
  <c r="M19" i="3"/>
  <c r="A27" i="3"/>
  <c r="A22" i="3"/>
  <c r="M20" i="3"/>
  <c r="P21" i="3"/>
  <c r="A20" i="3"/>
  <c r="P19" i="3"/>
  <c r="D20" i="3"/>
  <c r="C30" i="3"/>
  <c r="G23" i="3"/>
  <c r="P20" i="3"/>
  <c r="M21" i="3"/>
  <c r="G20" i="3"/>
  <c r="A21" i="3"/>
  <c r="J19" i="3"/>
  <c r="AW24" i="1" l="1"/>
  <c r="AW23" i="1"/>
  <c r="BI30" i="1"/>
  <c r="BI32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A26" i="3"/>
  <c r="A29" i="3"/>
  <c r="C22" i="3"/>
  <c r="L21" i="3"/>
  <c r="D22" i="3"/>
  <c r="F21" i="3"/>
  <c r="D23" i="3"/>
  <c r="F20" i="3"/>
  <c r="D26" i="3"/>
  <c r="R21" i="3"/>
  <c r="O21" i="3"/>
  <c r="G21" i="3"/>
  <c r="I20" i="3"/>
  <c r="L20" i="3"/>
  <c r="A28" i="3"/>
  <c r="G22" i="3"/>
  <c r="A23" i="3"/>
  <c r="L22" i="3"/>
  <c r="O20" i="3"/>
  <c r="G26" i="3"/>
  <c r="D19" i="3"/>
  <c r="L29" i="3"/>
  <c r="R20" i="3"/>
  <c r="I23" i="3"/>
  <c r="O19" i="3"/>
  <c r="C20" i="3"/>
  <c r="R19" i="3"/>
  <c r="C21" i="3"/>
  <c r="A19" i="3"/>
  <c r="C27" i="3"/>
  <c r="L19" i="3"/>
  <c r="L27" i="3"/>
  <c r="L26" i="3"/>
  <c r="BJ17" i="1" l="1"/>
  <c r="BK25" i="4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I21" i="3"/>
  <c r="I22" i="3"/>
  <c r="F23" i="3"/>
  <c r="C28" i="3"/>
  <c r="I26" i="3"/>
  <c r="F26" i="3"/>
  <c r="C26" i="3"/>
  <c r="C29" i="3"/>
  <c r="F19" i="3"/>
  <c r="C23" i="3"/>
  <c r="C19" i="3"/>
  <c r="F22" i="3"/>
  <c r="BK17" i="1" l="1"/>
  <c r="BL17" i="1" s="1"/>
  <c r="BM17" i="1" s="1"/>
  <c r="BK29" i="1"/>
  <c r="BL29" i="1" s="1"/>
  <c r="BM29" i="1" s="1"/>
  <c r="AW29" i="1" s="1"/>
  <c r="BL27" i="4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6" i="1"/>
  <c r="BM26" i="1" s="1"/>
  <c r="P27" i="3"/>
  <c r="P28" i="3"/>
  <c r="M28" i="3"/>
  <c r="M27" i="3"/>
  <c r="AW27" i="1" l="1"/>
  <c r="BM30" i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7" i="3"/>
  <c r="R28" i="3"/>
  <c r="O28" i="3"/>
  <c r="R27" i="3"/>
  <c r="BM31" i="1" l="1"/>
  <c r="AW31" i="1" s="1"/>
  <c r="BM32" i="1"/>
  <c r="AW32" i="1" s="1"/>
  <c r="BM33" i="1"/>
  <c r="AW33" i="1" s="1"/>
  <c r="BM21" i="1"/>
  <c r="AW26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xr16:uid="{00000000-0015-0000-FFFF-FFFF01000000}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xr16:uid="{00000000-0015-0000-FFFF-FFFF03000000}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xr16:uid="{00000000-0015-0000-FFFF-FFFF04000000}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xr16:uid="{00000000-0015-0000-FFFF-FFFF05000000}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xr16:uid="{00000000-0015-0000-FFFF-FFFF07000000}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xr16:uid="{00000000-0015-0000-FFFF-FFFF08000000}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xr16:uid="{00000000-0015-0000-FFFF-FFFF09000000}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0A000000}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xr16:uid="{00000000-0015-0000-FFFF-FFFF0B000000}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xr16:uid="{00000000-0015-0000-FFFF-FFFF0C000000}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xr16:uid="{00000000-0015-0000-FFFF-FFFF0D000000}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0E000000}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xr16:uid="{00000000-0015-0000-FFFF-FFFF0F000000}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xr16:uid="{00000000-0015-0000-FFFF-FFFF10000000}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xr16:uid="{00000000-0015-0000-FFFF-FFFF11000000}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12000000}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xr16:uid="{00000000-0015-0000-FFFF-FFFF13000000}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xr16:uid="{00000000-0015-0000-FFFF-FFFF14000000}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xr16:uid="{00000000-0015-0000-FFFF-FFFF15000000}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xr16:uid="{00000000-0015-0000-FFFF-FFFF16000000}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17000000}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xr16:uid="{00000000-0015-0000-FFFF-FFFF18000000}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xr16:uid="{00000000-0015-0000-FFFF-FFFF19000000}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xr16:uid="{00000000-0015-0000-FFFF-FFFF1A000000}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1B000000}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xr16:uid="{00000000-0015-0000-FFFF-FFFF1C000000}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xr16:uid="{00000000-0015-0000-FFFF-FFFF1D000000}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xr16:uid="{00000000-0015-0000-FFFF-FFFF1E000000}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1F000000}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xr16:uid="{00000000-0015-0000-FFFF-FFFF20000000}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xr16:uid="{00000000-0015-0000-FFFF-FFFF21000000}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xr16:uid="{00000000-0015-0000-FFFF-FFFF22000000}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23000000}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xr16:uid="{00000000-0015-0000-FFFF-FFFF24000000}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xr16:uid="{00000000-0015-0000-FFFF-FFFF25000000}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xr16:uid="{00000000-0015-0000-FFFF-FFFF26000000}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27000000}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xr16:uid="{00000000-0015-0000-FFFF-FFFF28000000}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xr16:uid="{00000000-0015-0000-FFFF-FFFF29000000}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xr16:uid="{00000000-0015-0000-FFFF-FFFF2A000000}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2B000000}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xr16:uid="{00000000-0015-0000-FFFF-FFFF2C000000}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xr16:uid="{00000000-0015-0000-FFFF-FFFF2D000000}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xr16:uid="{00000000-0015-0000-FFFF-FFFF2E000000}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2F000000}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xr16:uid="{00000000-0015-0000-FFFF-FFFF30000000}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xr16:uid="{00000000-0015-0000-FFFF-FFFF31000000}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xr16:uid="{00000000-0015-0000-FFFF-FFFF32000000}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33000000}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xr16:uid="{00000000-0015-0000-FFFF-FFFF34000000}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xr16:uid="{00000000-0015-0000-FFFF-FFFF35000000}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xr16:uid="{00000000-0015-0000-FFFF-FFFF36000000}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37000000}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xr16:uid="{00000000-0015-0000-FFFF-FFFF38000000}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<sst xmlns="http://schemas.openxmlformats.org/spreadsheetml/2006/main" count="4405" uniqueCount="1480">
  <si>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</si>
  <si>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</si>
  <si>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</si>
  <si>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</si>
  <si>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</si>
  <si>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</si>
  <si>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</si>
  <si>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</si>
  <si>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</si>
  <si>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</si>
  <si>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</si>
  <si>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</si>
  <si>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</si>
  <si>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</si>
  <si>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</si>
  <si>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</si>
  <si>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</si>
  <si>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</si>
  <si>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</si>
  <si>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</si>
  <si>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</si>
  <si>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</si>
  <si>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</si>
  <si>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</si>
  <si>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</si>
  <si>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</si>
  <si>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</si>
  <si>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</si>
  <si>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</si>
  <si>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</si>
  <si>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</si>
  <si>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</si>
  <si>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</si>
  <si>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</si>
  <si>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</si>
  <si>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</si>
  <si>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</si>
  <si>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</si>
  <si>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</si>
  <si>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</si>
  <si>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</si>
  <si>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</si>
  <si>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B</t>
  </si>
  <si>
    <t>Vzájemná bilance</t>
  </si>
  <si>
    <t>Minulé vzájemné zápasy</t>
  </si>
  <si>
    <t>Soupeři</t>
  </si>
  <si>
    <t>Datum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</si>
  <si>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</si>
  <si>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</si>
  <si>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</si>
  <si>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</si>
  <si>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</si>
  <si>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</si>
  <si>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</si>
  <si>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</si>
  <si>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</si>
  <si>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</si>
  <si>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</si>
  <si>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</si>
  <si>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</si>
  <si>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</si>
  <si>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</si>
  <si>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</si>
  <si>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</si>
  <si>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</si>
  <si>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</si>
  <si>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</si>
  <si>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</si>
  <si>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</si>
  <si>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</si>
  <si>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</si>
  <si>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</si>
  <si>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</si>
  <si>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</si>
  <si>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</si>
  <si>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</si>
  <si>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</si>
  <si>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</si>
  <si>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</si>
  <si>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</si>
  <si>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</si>
  <si>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</si>
  <si>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</si>
  <si>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</si>
  <si>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</si>
  <si>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</si>
  <si>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</si>
  <si>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</si>
  <si>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</si>
  <si>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</si>
  <si>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</si>
  <si>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</si>
  <si>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</si>
  <si>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</si>
  <si>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</si>
  <si>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</si>
  <si>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</si>
  <si>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</si>
  <si>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</si>
  <si>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</si>
  <si>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</si>
  <si>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</si>
  <si>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</si>
  <si>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pořadí v lize: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</si>
  <si>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</si>
  <si>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</si>
  <si>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</si>
  <si>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</si>
  <si>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</si>
  <si>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</si>
  <si>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</si>
  <si>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</si>
  <si>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</si>
  <si>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</si>
  <si>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</si>
  <si>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</si>
  <si>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</si>
  <si>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</si>
  <si>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</si>
  <si>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</si>
  <si>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</si>
  <si>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</si>
  <si>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</si>
  <si>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</si>
  <si>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</si>
  <si>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</si>
  <si>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</si>
  <si>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</si>
  <si>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</si>
  <si>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</si>
  <si>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</si>
  <si>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</si>
  <si>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</si>
  <si>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</si>
  <si>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</si>
  <si>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</si>
  <si>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</si>
  <si>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</si>
  <si>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</si>
  <si>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</si>
  <si>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</si>
  <si>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</si>
  <si>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</si>
  <si>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</si>
  <si>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</si>
  <si>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</si>
  <si>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Lukáš Lanc</t>
  </si>
  <si>
    <t>SC Sportcentrum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</si>
  <si>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</si>
  <si>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</si>
  <si>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</si>
  <si>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</si>
  <si>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</si>
  <si>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</si>
  <si>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</si>
  <si>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</si>
  <si>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</si>
  <si>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</si>
  <si>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</si>
  <si>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</si>
  <si>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</si>
  <si>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</si>
  <si>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</si>
  <si>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</si>
  <si>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</si>
  <si>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</si>
  <si>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</si>
  <si>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</si>
  <si>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</si>
  <si>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</si>
  <si>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</si>
  <si>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</si>
  <si>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</si>
  <si>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</si>
  <si>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</si>
  <si>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</si>
  <si>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</si>
  <si>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</si>
  <si>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</si>
  <si>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</si>
  <si>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</si>
  <si>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</si>
  <si>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</si>
  <si>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</si>
  <si>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</si>
  <si>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</si>
  <si>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</si>
  <si>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</si>
  <si>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-:-</t>
  </si>
  <si>
    <t>Typ</t>
  </si>
  <si>
    <t>Soupeř</t>
  </si>
  <si>
    <t>Série</t>
  </si>
  <si>
    <t>Posledních 5 zápasů</t>
  </si>
  <si>
    <t>Příštích 5 zápasů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</si>
  <si>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</si>
  <si>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</si>
  <si>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</si>
  <si>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</si>
  <si>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</si>
  <si>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</si>
  <si>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</si>
  <si>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</si>
  <si>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</si>
  <si>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</si>
  <si>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</si>
  <si>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</si>
  <si>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</si>
  <si>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</si>
  <si>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</si>
  <si>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</si>
  <si>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</si>
  <si>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</si>
  <si>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</si>
  <si>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</si>
  <si>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</si>
  <si>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</si>
  <si>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</si>
  <si>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</si>
  <si>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</si>
  <si>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</si>
  <si>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</si>
  <si>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</si>
  <si>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</si>
  <si>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</si>
  <si>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</si>
  <si>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</si>
  <si>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</si>
  <si>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</si>
  <si>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</si>
  <si>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</si>
  <si>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</si>
  <si>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</si>
  <si>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</si>
  <si>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</si>
  <si>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</si>
  <si>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</si>
  <si>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</si>
  <si>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</si>
  <si>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</si>
  <si>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</si>
  <si>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</si>
  <si>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</si>
  <si>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</si>
  <si>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</si>
  <si>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</si>
  <si>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</si>
  <si>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</si>
  <si>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</si>
  <si>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</si>
  <si>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</si>
  <si>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</si>
  <si>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</si>
  <si>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</si>
  <si>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</si>
  <si>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</si>
  <si>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</si>
  <si>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</si>
  <si>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</si>
  <si>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</si>
  <si>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</si>
  <si>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</si>
  <si>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</si>
  <si>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</si>
  <si>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</si>
  <si>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</si>
  <si>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</si>
  <si>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</si>
  <si>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</si>
  <si>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</si>
  <si>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</si>
  <si>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</si>
  <si>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</si>
  <si>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</si>
  <si>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</si>
  <si>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</si>
  <si>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</si>
  <si>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</si>
  <si>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</si>
  <si>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</si>
  <si>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</si>
  <si>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</si>
  <si>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</si>
  <si>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</si>
  <si>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</si>
  <si>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</si>
  <si>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</si>
  <si>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</si>
  <si>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</si>
  <si>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</si>
  <si>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</si>
  <si>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</si>
  <si>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</si>
  <si>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</si>
  <si>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</si>
  <si>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</si>
  <si>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</si>
  <si>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</si>
  <si>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</si>
  <si>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</si>
  <si>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</si>
  <si>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</si>
  <si>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</si>
  <si>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</si>
  <si>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</si>
  <si>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</si>
  <si>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</si>
  <si>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</si>
  <si>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</si>
  <si>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</si>
  <si>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</si>
  <si>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</si>
  <si>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</si>
  <si>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</si>
  <si>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</si>
  <si>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</si>
  <si>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</si>
  <si>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</si>
  <si>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</si>
  <si>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</si>
  <si>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</si>
  <si>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</si>
  <si>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</si>
  <si>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</si>
  <si>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</si>
  <si>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</si>
  <si>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</si>
  <si>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</si>
  <si>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</si>
  <si>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</si>
  <si>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</si>
  <si>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</si>
  <si>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</si>
  <si>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</si>
  <si>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</si>
  <si>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</si>
  <si>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</si>
  <si>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</si>
  <si>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</si>
  <si>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</si>
  <si>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</si>
  <si>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</si>
  <si>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</si>
  <si>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</si>
  <si>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</si>
  <si>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</si>
  <si>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</si>
  <si>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</si>
  <si>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</si>
  <si>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</si>
  <si>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</si>
  <si>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</si>
  <si>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</si>
  <si>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</si>
  <si>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</si>
  <si>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</si>
  <si>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</si>
  <si>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</si>
  <si>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</si>
  <si>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</si>
  <si>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</si>
  <si>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</si>
  <si>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</si>
  <si>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</si>
  <si>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</si>
  <si>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</si>
  <si>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</si>
  <si>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</si>
  <si>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</si>
  <si>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</si>
  <si>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</si>
  <si>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</si>
  <si>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</si>
  <si>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</si>
  <si>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</si>
  <si>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</si>
  <si>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</si>
  <si>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</si>
  <si>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</si>
  <si>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</si>
  <si>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</si>
  <si>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</si>
  <si>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</si>
  <si>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</si>
  <si>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</si>
  <si>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</si>
  <si>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</si>
  <si>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</si>
  <si>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</si>
  <si>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Daniel Goll</t>
  </si>
  <si>
    <t>Adam Hemerka</t>
  </si>
  <si>
    <t>Filip Kučera</t>
  </si>
  <si>
    <t>Marek Macík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</si>
  <si>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</si>
  <si>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</si>
  <si>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</si>
  <si>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</si>
  <si>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</si>
  <si>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</si>
  <si>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</si>
  <si>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</si>
  <si>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</si>
  <si>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</si>
  <si>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</si>
  <si>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</si>
  <si>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</si>
  <si>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</si>
  <si>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</si>
  <si>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</si>
  <si>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</si>
  <si>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</si>
  <si>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</si>
  <si>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</si>
  <si>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</si>
  <si>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</si>
  <si>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</si>
  <si>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</si>
  <si>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</si>
  <si>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</si>
  <si>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</si>
  <si>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</si>
  <si>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</si>
  <si>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</si>
  <si>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</si>
  <si>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</si>
  <si>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</si>
  <si>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</si>
  <si>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</si>
  <si>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</si>
  <si>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</si>
  <si>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</si>
  <si>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</si>
  <si>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</si>
  <si>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</si>
  <si>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</si>
  <si>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</si>
  <si>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</si>
  <si>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</si>
  <si>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</si>
  <si>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</si>
  <si>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</si>
  <si>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</si>
  <si>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</si>
  <si>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</si>
  <si>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</si>
  <si>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</si>
  <si>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</si>
  <si>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</si>
  <si>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</si>
  <si>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</si>
  <si>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</si>
  <si>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</si>
  <si>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</si>
  <si>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</si>
  <si>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</si>
  <si>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</si>
  <si>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</si>
  <si>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</si>
  <si>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</si>
  <si>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</si>
  <si>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</si>
  <si>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</si>
  <si>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</si>
  <si>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</si>
  <si>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</si>
  <si>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</si>
  <si>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</si>
  <si>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</si>
  <si>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</si>
  <si>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</si>
  <si>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</si>
  <si>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</si>
  <si>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</si>
  <si>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</si>
  <si>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</si>
  <si>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</si>
  <si>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</si>
  <si>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</si>
  <si>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</si>
  <si>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</si>
  <si>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</si>
  <si>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</si>
  <si>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</si>
  <si>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</si>
  <si>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</si>
  <si>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</si>
  <si>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</si>
  <si>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</si>
  <si>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</si>
  <si>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</si>
  <si>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</si>
  <si>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</si>
  <si>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</si>
  <si>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</si>
  <si>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</si>
  <si>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</si>
  <si>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</si>
  <si>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</si>
  <si>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</si>
  <si>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</si>
  <si>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</si>
  <si>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</si>
  <si>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</si>
  <si>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</si>
  <si>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</si>
  <si>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</si>
  <si>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</si>
  <si>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</si>
  <si>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</si>
  <si>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</si>
  <si>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</si>
  <si>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</si>
  <si>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</si>
  <si>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</si>
  <si>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</si>
  <si>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</si>
  <si>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</si>
  <si>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</si>
  <si>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</si>
  <si>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</si>
  <si>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</si>
  <si>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</si>
  <si>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</si>
  <si>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</si>
  <si>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</si>
  <si>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</si>
  <si>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</si>
  <si>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</si>
  <si>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</si>
  <si>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</si>
  <si>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</si>
  <si>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</si>
  <si>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</si>
  <si>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</si>
  <si>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</si>
  <si>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</si>
  <si>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</si>
  <si>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</si>
  <si>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</si>
  <si>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</si>
  <si>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</si>
  <si>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</si>
  <si>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</si>
  <si>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</si>
  <si>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</si>
  <si>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</si>
  <si>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</si>
  <si>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</si>
  <si>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</si>
  <si>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</si>
  <si>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</si>
  <si>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</si>
  <si>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</si>
  <si>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</si>
  <si>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</si>
  <si>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</si>
  <si>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Kryštof Krbec</t>
  </si>
  <si>
    <t>Tomáš Otcovský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</si>
  <si>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</si>
  <si>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</si>
  <si>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</si>
  <si>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</si>
  <si>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</si>
  <si>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</si>
  <si>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</si>
  <si>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</si>
  <si>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</si>
  <si>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</si>
  <si>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</si>
  <si>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</si>
  <si>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</si>
  <si>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</si>
  <si>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</si>
  <si>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</si>
  <si>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</si>
  <si>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</si>
  <si>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</si>
  <si>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</si>
  <si>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</si>
  <si>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</si>
  <si>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</si>
  <si>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</si>
  <si>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</si>
  <si>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</si>
  <si>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</si>
  <si>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</si>
  <si>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</si>
  <si>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</si>
  <si>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</si>
  <si>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</si>
  <si>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</si>
  <si>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</si>
  <si>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</si>
  <si>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</si>
  <si>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</si>
  <si>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</si>
  <si>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</si>
  <si>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</si>
  <si>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</si>
  <si>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</si>
  <si>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</si>
  <si>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</si>
  <si>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</si>
  <si>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</si>
  <si>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</si>
  <si>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</si>
  <si>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</si>
  <si>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</si>
  <si>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</si>
  <si>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</si>
  <si>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</si>
  <si>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</si>
  <si>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</si>
  <si>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</si>
  <si>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</si>
  <si>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</si>
  <si>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</si>
  <si>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</si>
  <si>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</si>
  <si>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</si>
  <si>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</si>
  <si>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</si>
  <si>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</si>
  <si>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</si>
  <si>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</si>
  <si>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</si>
  <si>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</si>
  <si>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</si>
  <si>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</si>
  <si>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</si>
  <si>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</si>
  <si>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</si>
  <si>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</si>
  <si>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</si>
  <si>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</si>
  <si>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1. Martin Beneš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</si>
  <si>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</si>
  <si>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</si>
  <si>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</si>
  <si>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</si>
  <si>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</si>
  <si>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</si>
  <si>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</si>
  <si>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</si>
  <si>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</si>
  <si>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</si>
  <si>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</si>
  <si>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</si>
  <si>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</si>
  <si>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</si>
  <si>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</si>
  <si>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</si>
  <si>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</si>
  <si>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</si>
  <si>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</si>
  <si>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</si>
  <si>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</si>
  <si>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</si>
  <si>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</si>
  <si>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</si>
  <si>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</si>
  <si>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</si>
  <si>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</si>
  <si>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</si>
  <si>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</si>
  <si>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</si>
  <si>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</si>
  <si>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</si>
  <si>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</si>
  <si>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</si>
  <si>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</si>
  <si>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</si>
  <si>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</si>
  <si>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</si>
  <si>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</si>
  <si>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</si>
  <si>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</si>
  <si>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</si>
  <si>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</si>
  <si>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</si>
  <si>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</si>
  <si>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</si>
  <si>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</si>
  <si>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</si>
  <si>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</si>
  <si>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</si>
  <si>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</si>
  <si>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</si>
  <si>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</si>
  <si>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</si>
  <si>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</si>
  <si>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</si>
  <si>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</si>
  <si>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</si>
  <si>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</si>
  <si>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</si>
  <si>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</si>
  <si>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</si>
  <si>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</si>
  <si>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</si>
  <si>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</si>
  <si>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</si>
  <si>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</si>
  <si>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</si>
  <si>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</si>
  <si>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</si>
  <si>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</si>
  <si>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</si>
  <si>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</si>
  <si>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</si>
  <si>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</si>
  <si>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</si>
  <si>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</si>
  <si>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</si>
  <si>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</si>
  <si>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</si>
  <si>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</si>
  <si>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</si>
  <si>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</si>
  <si>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</si>
  <si>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</si>
  <si>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</si>
  <si>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</si>
  <si>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</si>
  <si>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</si>
  <si>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</si>
  <si>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</si>
  <si>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</si>
  <si>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</si>
  <si>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</si>
  <si>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</si>
  <si>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</si>
  <si>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</si>
  <si>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</si>
  <si>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</si>
  <si>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Jan Binder</t>
  </si>
  <si>
    <t>2. Jan Klinka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</si>
  <si>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</si>
  <si>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</si>
  <si>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</si>
  <si>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</si>
  <si>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</si>
  <si>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</si>
  <si>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</si>
  <si>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</si>
  <si>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</si>
  <si>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</si>
  <si>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</si>
  <si>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</si>
  <si>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</si>
  <si>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</si>
  <si>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</si>
  <si>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</si>
  <si>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</si>
  <si>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</si>
  <si>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SKF Draci 99 Liberec</t>
  </si>
  <si>
    <t>Jiří Buchta</t>
  </si>
  <si>
    <t>FBC Panthers Liberec</t>
  </si>
  <si>
    <t>1:8</t>
  </si>
  <si>
    <t>8. 10.</t>
  </si>
  <si>
    <t>1. Karel Šantora</t>
  </si>
  <si>
    <t>2. Petr Musil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</si>
  <si>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</si>
  <si>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</si>
  <si>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</si>
  <si>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</si>
  <si>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</si>
  <si>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</si>
  <si>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</si>
  <si>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</si>
  <si>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4:6</t>
  </si>
  <si>
    <t>1. Marek Vávra</t>
  </si>
  <si>
    <t>3. Mikuláš Komárek</t>
  </si>
  <si>
    <t>Lukáš Kafka</t>
  </si>
  <si>
    <t>Jakub Levínský</t>
  </si>
  <si>
    <t>2:4</t>
  </si>
  <si>
    <t>2. Prokop Ferdan</t>
  </si>
  <si>
    <t>2. Jakub Levínský</t>
  </si>
  <si>
    <t>3. Jan Král</t>
  </si>
  <si>
    <t>Martin Janík</t>
  </si>
  <si>
    <t>Adam Mikoláš</t>
  </si>
  <si>
    <t>Martin Sedláček</t>
  </si>
  <si>
    <t>Petr Vítovec</t>
  </si>
  <si>
    <t>3. Martin Janík</t>
  </si>
  <si>
    <t>2. Martin Janík</t>
  </si>
  <si>
    <t>3. Jan Klinka</t>
  </si>
  <si>
    <t>4. Wojciech Malajka</t>
  </si>
  <si>
    <t>1. Ronald Gašparík</t>
  </si>
  <si>
    <t>4:2</t>
  </si>
  <si>
    <t>Lukáš Macháček</t>
  </si>
  <si>
    <t>2. David Šimek</t>
  </si>
  <si>
    <t>Adam Palčinský</t>
  </si>
  <si>
    <t>8:4</t>
  </si>
  <si>
    <t>4:8</t>
  </si>
  <si>
    <t>Hráči</t>
  </si>
  <si>
    <t>Trenéři</t>
  </si>
  <si>
    <t>Matyáš Kůra</t>
  </si>
  <si>
    <t>1. René Slezák</t>
  </si>
  <si>
    <t>Lukáš Slabý</t>
  </si>
  <si>
    <t>Petr Křinka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</si>
  <si>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</si>
  <si>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</si>
  <si>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</si>
  <si>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</si>
  <si>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</si>
  <si>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</si>
  <si>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</si>
  <si>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2:7</t>
  </si>
  <si>
    <t>5. Jakub Hromada</t>
  </si>
  <si>
    <t>9:6</t>
  </si>
  <si>
    <t>4. Jan Malič</t>
  </si>
  <si>
    <t>1. Lukáš Chyna</t>
  </si>
  <si>
    <t>2. Ivan Ponomarev</t>
  </si>
  <si>
    <t>3. René Slezák</t>
  </si>
  <si>
    <t>6:9</t>
  </si>
  <si>
    <t>7:2</t>
  </si>
  <si>
    <t>Michal Fišera</t>
  </si>
  <si>
    <t>4. 10.</t>
  </si>
  <si>
    <t>4. Martin Tokoš</t>
  </si>
  <si>
    <t>2. Ronald Gašparík</t>
  </si>
  <si>
    <t>4. Přemek Pakosta</t>
  </si>
  <si>
    <t>3. Matyáš Velc</t>
  </si>
  <si>
    <t>2. Viktor Hejna</t>
  </si>
  <si>
    <t>3. Ondřej Němeček</t>
  </si>
  <si>
    <t>Michal Bartoň</t>
  </si>
  <si>
    <t>3. Rostislav Gattnar</t>
  </si>
  <si>
    <t>8:5</t>
  </si>
  <si>
    <t>Taifun Moskva</t>
  </si>
  <si>
    <t>Pitbulls Kolín</t>
  </si>
  <si>
    <t>Polsko</t>
  </si>
  <si>
    <t>4. Ondřej Stuchlík</t>
  </si>
  <si>
    <t>5. Vojtěch Klápa</t>
  </si>
  <si>
    <t>BA (d)</t>
  </si>
  <si>
    <t>CHO (h)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</si>
  <si>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</si>
  <si>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</si>
  <si>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</si>
  <si>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</si>
  <si>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</si>
  <si>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</si>
  <si>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</si>
  <si>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</si>
  <si>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</si>
  <si>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</si>
  <si>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4. Tomáš Hanák</t>
  </si>
  <si>
    <t>2. Jakub Boček</t>
  </si>
  <si>
    <t>4. Matěj Boček</t>
  </si>
  <si>
    <t>SKV (h)</t>
  </si>
  <si>
    <t>SPA (d)</t>
  </si>
  <si>
    <t>MB (h)</t>
  </si>
  <si>
    <t>OTR (d)</t>
  </si>
  <si>
    <t>HAT (h)</t>
  </si>
  <si>
    <t>VIT (d)</t>
  </si>
  <si>
    <t>11. 10.</t>
  </si>
  <si>
    <t>23. 10.</t>
  </si>
  <si>
    <t>4:9</t>
  </si>
  <si>
    <t>3. Jakub Buršík</t>
  </si>
  <si>
    <t>4. Karel Petrák</t>
  </si>
  <si>
    <t>OST (d)</t>
  </si>
  <si>
    <t>BOH (h)</t>
  </si>
  <si>
    <t>OTR (h)</t>
  </si>
  <si>
    <t>CHO (d)</t>
  </si>
  <si>
    <t>28. 10.</t>
  </si>
  <si>
    <t>4. Jaromír Ekl</t>
  </si>
  <si>
    <t>2. Daniel Štěrba</t>
  </si>
  <si>
    <t>1. Tomáš Novák</t>
  </si>
  <si>
    <t>PAR (h)</t>
  </si>
  <si>
    <t>2. Tomáš Brom</t>
  </si>
  <si>
    <t>4. Marek Fuchs</t>
  </si>
  <si>
    <t>TAT (h)</t>
  </si>
  <si>
    <t>SKV (d)</t>
  </si>
  <si>
    <t>SPA (h)</t>
  </si>
  <si>
    <t>MB (d)</t>
  </si>
  <si>
    <t>9. 10.</t>
  </si>
  <si>
    <t>CLP (h)</t>
  </si>
  <si>
    <t>2. Petr Majer</t>
  </si>
  <si>
    <t>5,64</t>
  </si>
  <si>
    <t>4. Martin Skřivánek</t>
  </si>
  <si>
    <t>3. Karel Pergler</t>
  </si>
  <si>
    <t>Marek Matoušek</t>
  </si>
  <si>
    <t>Matěj Netrefa</t>
  </si>
  <si>
    <t>BA (h)</t>
  </si>
  <si>
    <t>5. Jakub Kopecký</t>
  </si>
  <si>
    <t>9:4</t>
  </si>
  <si>
    <t>1. Jiří Curney</t>
  </si>
  <si>
    <t>2. Matěj Pěnička</t>
  </si>
  <si>
    <t>3. Jakub Bína</t>
  </si>
  <si>
    <t>5. Daniel Chatrný</t>
  </si>
  <si>
    <t>LIB (h)</t>
  </si>
  <si>
    <t>1. Adam Kohút</t>
  </si>
  <si>
    <t>2. Kevin Majrich</t>
  </si>
  <si>
    <t>8,09</t>
  </si>
  <si>
    <t>3. Miroslav Steiger</t>
  </si>
  <si>
    <t>Miroslav Steiger</t>
  </si>
  <si>
    <t>Marek Maťcha</t>
  </si>
  <si>
    <t>Samuel Kelemen</t>
  </si>
  <si>
    <t>5. David Žáček</t>
  </si>
  <si>
    <t>5,12</t>
  </si>
  <si>
    <t>3. Matěj Denemark</t>
  </si>
  <si>
    <t>Matěj Denemark</t>
  </si>
  <si>
    <t>2. Mikuláš Krbec</t>
  </si>
  <si>
    <t>Adam Kuchynka</t>
  </si>
  <si>
    <t>4. Jakub Kolísko</t>
  </si>
  <si>
    <t>3. Martin Šindelář</t>
  </si>
  <si>
    <t>4. Ondřej Němeček</t>
  </si>
  <si>
    <t>5. Ondřej Němeček</t>
  </si>
  <si>
    <t>Vojtěch Kún</t>
  </si>
  <si>
    <t>Tomáš Kuchyňa</t>
  </si>
  <si>
    <t>Vojtěch Panuška</t>
  </si>
  <si>
    <t>Michael Chalupecký</t>
  </si>
  <si>
    <t>2. Matyáš Šindler</t>
  </si>
  <si>
    <t>4. Marek Matejčík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</si>
  <si>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</si>
  <si>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</si>
  <si>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</si>
  <si>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</si>
  <si>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</si>
  <si>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</si>
  <si>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4. Adam Zubek</t>
  </si>
  <si>
    <t>5. Ondřej Vítovec</t>
  </si>
  <si>
    <t>2. Marek Bräuer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</si>
  <si>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</si>
  <si>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</si>
  <si>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</si>
  <si>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</si>
  <si>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</si>
  <si>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</si>
  <si>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</si>
  <si>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</si>
  <si>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</si>
  <si>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</si>
  <si>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</si>
  <si>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</si>
  <si>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</si>
  <si>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</si>
  <si>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</si>
  <si>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</si>
  <si>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</si>
  <si>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</si>
  <si>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</si>
  <si>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</si>
  <si>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</si>
  <si>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</si>
  <si>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</si>
  <si>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</si>
  <si>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</si>
  <si>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</si>
  <si>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</si>
  <si>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</si>
  <si>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</si>
  <si>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</si>
  <si>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</si>
  <si>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</si>
  <si>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</si>
  <si>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</si>
  <si>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</si>
  <si>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</si>
  <si>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</si>
  <si>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</si>
  <si>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</si>
  <si>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</si>
  <si>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</si>
  <si>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</si>
  <si>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</si>
  <si>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</si>
  <si>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</si>
  <si>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</si>
  <si>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</si>
  <si>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</si>
  <si>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</si>
  <si>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</si>
  <si>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</si>
  <si>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</si>
  <si>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31. 10.</t>
  </si>
  <si>
    <t>1. Ondřej Kopič</t>
  </si>
  <si>
    <t>2. Radek Krajcigr</t>
  </si>
  <si>
    <t>4. Milan Tichý</t>
  </si>
  <si>
    <t>18. 10.</t>
  </si>
  <si>
    <t>2. Šimon Stránský</t>
  </si>
  <si>
    <t>1. Prokop Ferdan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</si>
  <si>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</si>
  <si>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</si>
  <si>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</si>
  <si>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</si>
  <si>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</si>
  <si>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</si>
  <si>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</si>
  <si>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</si>
  <si>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</si>
  <si>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</si>
  <si>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</si>
  <si>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</si>
  <si>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</si>
  <si>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</si>
  <si>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</si>
  <si>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</si>
  <si>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</si>
  <si>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</si>
  <si>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</si>
  <si>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</si>
  <si>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</si>
  <si>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</si>
  <si>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</si>
  <si>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</si>
  <si>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</si>
  <si>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</si>
  <si>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</si>
  <si>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</si>
  <si>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</si>
  <si>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</si>
  <si>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</si>
  <si>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</si>
  <si>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</si>
  <si>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</si>
  <si>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</si>
  <si>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</si>
  <si>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</si>
  <si>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</si>
  <si>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</si>
  <si>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</si>
  <si>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</si>
  <si>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</si>
  <si>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</si>
  <si>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</si>
  <si>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</si>
  <si>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</si>
  <si>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</si>
  <si>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</si>
  <si>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</si>
  <si>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</si>
  <si>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</si>
  <si>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</si>
  <si>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</si>
  <si>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</si>
  <si>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</si>
  <si>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</si>
  <si>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</si>
  <si>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</si>
  <si>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</si>
  <si>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</si>
  <si>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</si>
  <si>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</si>
  <si>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</si>
  <si>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</si>
  <si>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</si>
  <si>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</si>
  <si>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</si>
  <si>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</si>
  <si>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</si>
  <si>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</si>
  <si>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</si>
  <si>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jediná účast v PO (19/20)</t>
  </si>
  <si>
    <t>6:5</t>
  </si>
  <si>
    <t>2. 10.</t>
  </si>
  <si>
    <t>7. 11.</t>
  </si>
  <si>
    <t>3. Ivan Pergler</t>
  </si>
  <si>
    <t>5. Jan Procházka</t>
  </si>
  <si>
    <t>4. Jan Fiala</t>
  </si>
  <si>
    <t>4. Ivan Pergler</t>
  </si>
  <si>
    <t>Lukáš Blaszczyk</t>
  </si>
  <si>
    <t>2. Filip Forman</t>
  </si>
  <si>
    <t>2. Ondřej Kopič</t>
  </si>
  <si>
    <t>3. Milan Tichý</t>
  </si>
  <si>
    <t>5. Jakub Karel</t>
  </si>
  <si>
    <t>6. 11.</t>
  </si>
  <si>
    <t>7,42</t>
  </si>
  <si>
    <t>9,09</t>
  </si>
  <si>
    <t>5. Jakub Procházka</t>
  </si>
  <si>
    <t>Adam Pospíchal</t>
  </si>
  <si>
    <t>7:3</t>
  </si>
  <si>
    <t>5:4</t>
  </si>
  <si>
    <t>1. Karel Hodík</t>
  </si>
  <si>
    <t>2. Vojtěch Šimůnek</t>
  </si>
  <si>
    <t>1. Michal Strnad</t>
  </si>
  <si>
    <t>4. Mikuláš Komárek</t>
  </si>
  <si>
    <t>5. Vojtěch Wiener</t>
  </si>
  <si>
    <t>3:7</t>
  </si>
  <si>
    <t>25. 10.</t>
  </si>
  <si>
    <t>2. Patrik Suchánek</t>
  </si>
  <si>
    <t>3. Jiří Curney</t>
  </si>
  <si>
    <t>4. Adam Hemerka</t>
  </si>
  <si>
    <t>3. Michal Sládek</t>
  </si>
  <si>
    <t>4. Ladislav Gál</t>
  </si>
  <si>
    <t>5. Lukáš Pešat</t>
  </si>
  <si>
    <t>Richard Pum</t>
  </si>
  <si>
    <t>4:5</t>
  </si>
  <si>
    <t>8. 11.</t>
  </si>
  <si>
    <t>Jakub Grich</t>
  </si>
  <si>
    <t>2. Peter Nehila</t>
  </si>
  <si>
    <t>3. Ronald Gašparík</t>
  </si>
  <si>
    <t>4. Lukáš Petřík</t>
  </si>
  <si>
    <t>5. Tomáš Sovják</t>
  </si>
  <si>
    <t>5:6</t>
  </si>
  <si>
    <t>5. Jan Savický</t>
  </si>
  <si>
    <t>4. Matyáš Velc</t>
  </si>
  <si>
    <t>3. Adam Šmíd</t>
  </si>
  <si>
    <t>5:8</t>
  </si>
  <si>
    <t>3. Mikuláš Krbec</t>
  </si>
  <si>
    <t>5. Jakub Kolstrunk</t>
  </si>
  <si>
    <t>1. Michal Zeman</t>
  </si>
  <si>
    <t>1. David Šimek</t>
  </si>
  <si>
    <t>2. Marek Beneš</t>
  </si>
  <si>
    <t>3,50</t>
  </si>
  <si>
    <t>Snipers Bratislava</t>
  </si>
  <si>
    <t>ŠK Seahorses Bratislava</t>
  </si>
  <si>
    <t>6:2</t>
  </si>
  <si>
    <t>Historické statistiky v ZČ</t>
  </si>
  <si>
    <t>V+VP</t>
  </si>
  <si>
    <t>P+PP</t>
  </si>
  <si>
    <t>V+VP%</t>
  </si>
  <si>
    <t>TÝM</t>
  </si>
  <si>
    <t>Historické statistiky z databáze</t>
  </si>
  <si>
    <t>Stará Bělá</t>
  </si>
  <si>
    <t>auditor, hodně pracovitý</t>
  </si>
  <si>
    <t>kapitán týmu od 19/20</t>
  </si>
  <si>
    <t>řezník</t>
  </si>
  <si>
    <t>Ing. na ČZU</t>
  </si>
  <si>
    <t>učitel na základní škole (dějepis)</t>
  </si>
  <si>
    <t>mladší bratr Filipa Bílka</t>
  </si>
  <si>
    <t>chytrý člověk</t>
  </si>
  <si>
    <t>ČVUT FEL</t>
  </si>
  <si>
    <t>žil a hrál ve Švýcarsku</t>
  </si>
  <si>
    <t>Bc. na UK FSV</t>
  </si>
  <si>
    <t>juniorský mistr světa (2019)</t>
  </si>
  <si>
    <t>studuje soukromou VŠ</t>
  </si>
  <si>
    <t>pracuje v Multisportu</t>
  </si>
  <si>
    <t>vystudovaná Ped. fakulta UK</t>
  </si>
  <si>
    <t>kromě gólů umí i dobře bránit</t>
  </si>
  <si>
    <t>služebně nejstarší kouč v lize</t>
  </si>
  <si>
    <t>od 12/13</t>
  </si>
  <si>
    <t>zranění Krbec, Kuncman, Zezulka</t>
  </si>
  <si>
    <t>Steller, Gajdoš, Tomčo, Batkovič ze SVK</t>
  </si>
  <si>
    <t>1. lajna 38 gólů z 50</t>
  </si>
  <si>
    <t>20/21 77 přesilovek, 36 gólů</t>
  </si>
  <si>
    <t>odchody Pěnička, Šárka, Krebner</t>
  </si>
  <si>
    <t>6 výher ze 7 zápasů</t>
  </si>
  <si>
    <t>Petrák (+23), Forman, Buršík (+22)</t>
  </si>
  <si>
    <t>návrat Cabejška zpět</t>
  </si>
  <si>
    <t>odchody Kopecký, M. Forman</t>
  </si>
  <si>
    <t>Jozef Grega asistent trenéra (SVK)</t>
  </si>
  <si>
    <t>Malič (+21), Šebek (+20), Pešat (OST/+16)</t>
  </si>
  <si>
    <t>9:8</t>
  </si>
  <si>
    <t>10. 10.</t>
  </si>
  <si>
    <t>15. 11.</t>
  </si>
  <si>
    <t>17. 11.</t>
  </si>
  <si>
    <t>21. 11.</t>
  </si>
  <si>
    <t>P - P - P - P - V - V - P - P - P - V</t>
  </si>
  <si>
    <t>2. Jan Fiala</t>
  </si>
  <si>
    <t>3. Vojtěch Klápa</t>
  </si>
  <si>
    <t>5. Zbyněk Stuchlík</t>
  </si>
  <si>
    <t>6,43</t>
  </si>
  <si>
    <t>8,11</t>
  </si>
  <si>
    <t>2. Vojtěch Klápa</t>
  </si>
  <si>
    <t>1. Ondřej Stuchlík</t>
  </si>
  <si>
    <t>3. Štěpán Čuda</t>
  </si>
  <si>
    <t>4. Zbyněk Stuchlík</t>
  </si>
  <si>
    <t>5. Daniel Cabejšek</t>
  </si>
  <si>
    <t>Štěpán Kostrhún</t>
  </si>
  <si>
    <t>Jakub Kocourek</t>
  </si>
  <si>
    <t>9:7</t>
  </si>
  <si>
    <t>8:7p</t>
  </si>
  <si>
    <t>14. 11.</t>
  </si>
  <si>
    <t>20. 11.</t>
  </si>
  <si>
    <t>22. 11.</t>
  </si>
  <si>
    <t>V - PP - P - V - P - P - P - V - VP - V</t>
  </si>
  <si>
    <t>2. Tomáš Hanák</t>
  </si>
  <si>
    <t>3. Matěj Boček</t>
  </si>
  <si>
    <t>5. Radek Hanák</t>
  </si>
  <si>
    <t>4,50</t>
  </si>
  <si>
    <t>7,27</t>
  </si>
  <si>
    <t>3. Jakub Hromada</t>
  </si>
  <si>
    <t>5. Martin Obuškevič</t>
  </si>
  <si>
    <t>1. Matěj Boček</t>
  </si>
  <si>
    <t>3. Jakub Renčín</t>
  </si>
  <si>
    <t>1. Vojtěch Novotný</t>
  </si>
  <si>
    <t>2. Matouš Burian</t>
  </si>
  <si>
    <t>3. Jakub Boček</t>
  </si>
  <si>
    <t>5. Matěj Boček</t>
  </si>
  <si>
    <t>Peter Hrabčák</t>
  </si>
  <si>
    <t>6:3</t>
  </si>
  <si>
    <t>V - V - V - P - V - V - V - P - V - P</t>
  </si>
  <si>
    <t>3. Karel Petrák</t>
  </si>
  <si>
    <t>5. Patrik Šebek</t>
  </si>
  <si>
    <t>4,23</t>
  </si>
  <si>
    <t>2. Jakub Zavřel</t>
  </si>
  <si>
    <t>3. Tomáš Hyršl</t>
  </si>
  <si>
    <t>5,62</t>
  </si>
  <si>
    <t>2. Jan Malič</t>
  </si>
  <si>
    <t>Daniel Jukl</t>
  </si>
  <si>
    <t>Jaroslav Jaroš</t>
  </si>
  <si>
    <t>7:9</t>
  </si>
  <si>
    <t>7:12</t>
  </si>
  <si>
    <t>11:9</t>
  </si>
  <si>
    <t>P - P - P - VP - P - P - V - P - P - P</t>
  </si>
  <si>
    <t>3. Štěpán Slaný</t>
  </si>
  <si>
    <t>4. Radek Krajcigr</t>
  </si>
  <si>
    <t>5. Jaromír Ekl</t>
  </si>
  <si>
    <t>7,71</t>
  </si>
  <si>
    <t>7,77</t>
  </si>
  <si>
    <t>3. Daniel Jukl</t>
  </si>
  <si>
    <t>15,00</t>
  </si>
  <si>
    <t>2. Štěpán Slaný</t>
  </si>
  <si>
    <t>1. Jakub Jirsa</t>
  </si>
  <si>
    <t>5. Šimon Hronek</t>
  </si>
  <si>
    <t>1. Zdeněk Raška</t>
  </si>
  <si>
    <t>6,90</t>
  </si>
  <si>
    <t>2. Filip Létal</t>
  </si>
  <si>
    <t>3. Ondřej Kolajta</t>
  </si>
  <si>
    <t>3. Marek Fuchs</t>
  </si>
  <si>
    <t>4. Lukáš Jalový</t>
  </si>
  <si>
    <t>5. Matěj Kostka</t>
  </si>
  <si>
    <t>2. Jiří Juhaňák</t>
  </si>
  <si>
    <t>3. Lukáš Vlach</t>
  </si>
  <si>
    <t>4. Tomáš Brom</t>
  </si>
  <si>
    <t>5. David Sládeček</t>
  </si>
  <si>
    <t>1. Matěj Hronek</t>
  </si>
  <si>
    <t>2. René Slezák</t>
  </si>
  <si>
    <t>3. Lukáš Lhota</t>
  </si>
  <si>
    <t>Martin Umlášek</t>
  </si>
  <si>
    <t>Jiří Hájek</t>
  </si>
  <si>
    <t>Nikolas Zouhar</t>
  </si>
  <si>
    <t>Štěpán Musil</t>
  </si>
  <si>
    <t>2:5</t>
  </si>
  <si>
    <t>2:6</t>
  </si>
  <si>
    <t>1:12</t>
  </si>
  <si>
    <t>26. 11.</t>
  </si>
  <si>
    <t>P - P - P - PP - P - P - P - P - V - P</t>
  </si>
  <si>
    <t>13:2</t>
  </si>
  <si>
    <t>7:8p</t>
  </si>
  <si>
    <t>12:7</t>
  </si>
  <si>
    <t>PP - P - V - P - V - V - V - V - PP - V</t>
  </si>
  <si>
    <t>3. Tom Ondrušek</t>
  </si>
  <si>
    <t>5. Daniel Eremiáš</t>
  </si>
  <si>
    <t>5,42</t>
  </si>
  <si>
    <t>1,58</t>
  </si>
  <si>
    <t>4. Daniel Eremiáš</t>
  </si>
  <si>
    <t>5. Tom Ondrušek</t>
  </si>
  <si>
    <t>5. Jiří Bauer</t>
  </si>
  <si>
    <t>3. Jiří Bauer</t>
  </si>
  <si>
    <t>5. Matěj Netrefa</t>
  </si>
  <si>
    <t>P - V - P - VP - V - V - P - P - V - V</t>
  </si>
  <si>
    <t>1. Šimon Stránský</t>
  </si>
  <si>
    <t>3. Radek Valeš</t>
  </si>
  <si>
    <t>4. Filip Smutný</t>
  </si>
  <si>
    <t>5,50</t>
  </si>
  <si>
    <t>2. Daniel Mück</t>
  </si>
  <si>
    <t>4. Jakub Levínský</t>
  </si>
  <si>
    <t>2. Filip Smutný</t>
  </si>
  <si>
    <t>4. Prokop Ferdan</t>
  </si>
  <si>
    <t>3. Daniel Mück</t>
  </si>
  <si>
    <t>4. Jan Král</t>
  </si>
  <si>
    <t>2. Jan Světlík</t>
  </si>
  <si>
    <t>3. Jan Baudisch</t>
  </si>
  <si>
    <t>4. Vojtěch Janeček</t>
  </si>
  <si>
    <t>Jakub Mádlo</t>
  </si>
  <si>
    <t>Lukáš Macháč</t>
  </si>
  <si>
    <t>Dominik Hanuš</t>
  </si>
  <si>
    <t>12:1</t>
  </si>
  <si>
    <t>VP - VP - V - V - V - P - V - V - V - V</t>
  </si>
  <si>
    <t>5. Daniel Šebek</t>
  </si>
  <si>
    <t>2,98</t>
  </si>
  <si>
    <t>2. Dominik Hanuš</t>
  </si>
  <si>
    <t>3. Ondřej Tomšík</t>
  </si>
  <si>
    <t>1,00</t>
  </si>
  <si>
    <t>1. Matěj Pěnička</t>
  </si>
  <si>
    <t>2. Jakub Bína</t>
  </si>
  <si>
    <t>5. Tadeáš Chroust</t>
  </si>
  <si>
    <t>3. Dominik Hanuš</t>
  </si>
  <si>
    <t>2. Dominik Beneš</t>
  </si>
  <si>
    <t>3. Patrik Suchánek</t>
  </si>
  <si>
    <t>4. Milan Tomašík</t>
  </si>
  <si>
    <t>5. Adam Hemerka</t>
  </si>
  <si>
    <t>1. Martin Tokoš</t>
  </si>
  <si>
    <t>3. Miroslav Fořt</t>
  </si>
  <si>
    <t>Jiří Šebesta</t>
  </si>
  <si>
    <t>Lukáš Svačinka</t>
  </si>
  <si>
    <t>3:6</t>
  </si>
  <si>
    <t>7:5</t>
  </si>
  <si>
    <t>V - P - V - PP - P - P - V - P - P - V</t>
  </si>
  <si>
    <t>1. Michal Sládek</t>
  </si>
  <si>
    <t>2. Lukáš Pešat</t>
  </si>
  <si>
    <t>3. Wojciech Malajka</t>
  </si>
  <si>
    <t>4. Šimon Kuczera</t>
  </si>
  <si>
    <t>4,97</t>
  </si>
  <si>
    <t>4,37</t>
  </si>
  <si>
    <t>5,01</t>
  </si>
  <si>
    <t>2. Wojciech Malajka</t>
  </si>
  <si>
    <t>3. Daniel Chatrný</t>
  </si>
  <si>
    <t>1. Lukáš Pešat</t>
  </si>
  <si>
    <t>2. Šimon Kuczera</t>
  </si>
  <si>
    <t>5. Šimon Soukup</t>
  </si>
  <si>
    <t>1. Daniel Chatrný</t>
  </si>
  <si>
    <t>2. Denis Zimmer</t>
  </si>
  <si>
    <t>3. Ladislav Gál</t>
  </si>
  <si>
    <t>4. Marcel Jakubec</t>
  </si>
  <si>
    <t>5. Vojtěch Repček</t>
  </si>
  <si>
    <t>3. Peter Nehila</t>
  </si>
  <si>
    <t>6,03</t>
  </si>
  <si>
    <t>11,35</t>
  </si>
  <si>
    <t>4. Jakub Grich</t>
  </si>
  <si>
    <t>5. Lukáš Petřík</t>
  </si>
  <si>
    <t>2. Lukáš Petřík</t>
  </si>
  <si>
    <t>3. Tomáš Sovják</t>
  </si>
  <si>
    <t>4. František Vykopal</t>
  </si>
  <si>
    <t>5. David Ležatka</t>
  </si>
  <si>
    <t>1. Martin Ležatka</t>
  </si>
  <si>
    <t>2. Tomáš Sovják</t>
  </si>
  <si>
    <t>3. Jiří Halama</t>
  </si>
  <si>
    <t>4. Josef Štourač</t>
  </si>
  <si>
    <t>5. Ronald Gašparík</t>
  </si>
  <si>
    <t>8:9</t>
  </si>
  <si>
    <t>4:5p</t>
  </si>
  <si>
    <t>9:11</t>
  </si>
  <si>
    <t>P - V - P - P - P - P - V - P - PP - P</t>
  </si>
  <si>
    <t>2:13</t>
  </si>
  <si>
    <t>1:16</t>
  </si>
  <si>
    <t>V - P - P - P - P - P - P - V - P - P</t>
  </si>
  <si>
    <t>1. Adam Šmíd</t>
  </si>
  <si>
    <t>2. Ivo Teichman</t>
  </si>
  <si>
    <t>7,79</t>
  </si>
  <si>
    <t>7,32</t>
  </si>
  <si>
    <t>10,14</t>
  </si>
  <si>
    <t>4. Jan Savický</t>
  </si>
  <si>
    <t>2. Přemek Pakosta</t>
  </si>
  <si>
    <t>3. Ivo Teichman</t>
  </si>
  <si>
    <t>5. David Petržela</t>
  </si>
  <si>
    <t>1. Vojtěch Klein</t>
  </si>
  <si>
    <t>2. Lukáš Prix</t>
  </si>
  <si>
    <t>4. Ivo Teichman</t>
  </si>
  <si>
    <t>5. Lukáš Kučera</t>
  </si>
  <si>
    <t>Roman Nový</t>
  </si>
  <si>
    <t>Adam Šimek</t>
  </si>
  <si>
    <t>5:4p</t>
  </si>
  <si>
    <t>V - V - V - V - P - P - V - V - VP - P</t>
  </si>
  <si>
    <t>4. Marek Zouzal</t>
  </si>
  <si>
    <t>2. Roman Nový</t>
  </si>
  <si>
    <t>3. Viktor Hejna</t>
  </si>
  <si>
    <t>3. Roman Nový</t>
  </si>
  <si>
    <t>1. Marek Zouzal</t>
  </si>
  <si>
    <t>3. Jakub Kolstrunk</t>
  </si>
  <si>
    <t>4. Josef Juha</t>
  </si>
  <si>
    <t>5. Lukáš Ujhélyi</t>
  </si>
  <si>
    <t>3. Josef Juha</t>
  </si>
  <si>
    <t>4. Kristián Kozák</t>
  </si>
  <si>
    <t>Adam Kučera</t>
  </si>
  <si>
    <t>Filip Eliáš</t>
  </si>
  <si>
    <t>5:2</t>
  </si>
  <si>
    <t>16:1</t>
  </si>
  <si>
    <t>V - V - V - V - V - V - V - V - P - V</t>
  </si>
  <si>
    <t>5. Martin Šindelář</t>
  </si>
  <si>
    <t>3,96</t>
  </si>
  <si>
    <t>1,50</t>
  </si>
  <si>
    <t>3. Tomáš Jurco</t>
  </si>
  <si>
    <t>3,59</t>
  </si>
  <si>
    <t>3. Matěj Havlas</t>
  </si>
  <si>
    <t>5. Petr Brautferger</t>
  </si>
  <si>
    <t>2. Jakub Kolísko</t>
  </si>
  <si>
    <t>5. David Šimek</t>
  </si>
  <si>
    <t>1. Matěj Havlas</t>
  </si>
  <si>
    <t>2. Jonáš Kreysa</t>
  </si>
  <si>
    <t>3. Marek Beneš</t>
  </si>
  <si>
    <t>4. Martin Čermák</t>
  </si>
  <si>
    <t>Jan Slaběňák</t>
  </si>
  <si>
    <t>4:7</t>
  </si>
  <si>
    <t>P - V - V - V - V - V - P - V - V - P</t>
  </si>
  <si>
    <t>4,03</t>
  </si>
  <si>
    <t>2. Rostislav Gattnar</t>
  </si>
  <si>
    <t>4. Matyáš Šindler</t>
  </si>
  <si>
    <t>5. Jiří Besta</t>
  </si>
  <si>
    <t>2. Adam Delong</t>
  </si>
  <si>
    <t>1. Jiří Besta</t>
  </si>
  <si>
    <t>4. Adam Delong</t>
  </si>
  <si>
    <t>5. Filip Čonka-Skyba</t>
  </si>
  <si>
    <t>Pořadí</t>
  </si>
  <si>
    <t>Pořadí P%</t>
  </si>
  <si>
    <t>Pořadí O%</t>
  </si>
  <si>
    <t>Pořadí TM</t>
  </si>
  <si>
    <t>Florbal Náchod</t>
  </si>
  <si>
    <t>reprezentační jednička</t>
  </si>
  <si>
    <t>začínal v SKV</t>
  </si>
  <si>
    <t>MS 2018 - 4. místo</t>
  </si>
  <si>
    <t>Grünenmatt, Liberec, Tatran</t>
  </si>
  <si>
    <t>MS 2012 (7.), MS 2014 (3.)</t>
  </si>
  <si>
    <t>MS 2016 (4.), MS 2018 (4.)</t>
  </si>
  <si>
    <t>Helsingborg, Dalen</t>
  </si>
  <si>
    <t>odchovanec Vítkovic</t>
  </si>
  <si>
    <t>v MB od 19/20</t>
  </si>
  <si>
    <t>začínal v SKV, v MB od 16/17</t>
  </si>
  <si>
    <t>funkce sportovního manažera</t>
  </si>
  <si>
    <t>Kladno, Tatran, Future, SKV</t>
  </si>
  <si>
    <t>aktuálně v repre (asi i na MS)</t>
  </si>
  <si>
    <t>dříve útočník, nyní obránce</t>
  </si>
  <si>
    <t>Otrokovice, Bulldogs Brno</t>
  </si>
  <si>
    <t>zlato z MSJ 2019</t>
  </si>
  <si>
    <t>Bohemians, Bulldogs Brno</t>
  </si>
  <si>
    <t>zlato z MSJ 2021</t>
  </si>
  <si>
    <t>aktuálně v repre na EFT</t>
  </si>
  <si>
    <t>v MB v průběhu sezony 20/21</t>
  </si>
  <si>
    <t>Hattrick Brno, EräViikingit (Fin.)</t>
  </si>
  <si>
    <t>aktuálně v repre ne EFT</t>
  </si>
  <si>
    <t>MS 2010 (3.), MS 2012 (7.)</t>
  </si>
  <si>
    <t>Helsingborg, Wiler, Grünenmatt</t>
  </si>
  <si>
    <t>v MB od 17/18</t>
  </si>
  <si>
    <t>MS 2014 (3.), MS 2016 (4.)</t>
  </si>
  <si>
    <t>MS 2018 (4.)</t>
  </si>
  <si>
    <t>Linköping, Visby, Dalen, Vítkovice</t>
  </si>
  <si>
    <t>v MB od 13/14</t>
  </si>
  <si>
    <t>Future, Vosy Praha</t>
  </si>
  <si>
    <t>funkcionář klubu</t>
  </si>
  <si>
    <t>poprvé bez bratra Tomáše v MB</t>
  </si>
  <si>
    <t>Pardubice, Havlíčkův Brod</t>
  </si>
  <si>
    <t>do MB přišel ještě v mládeži</t>
  </si>
  <si>
    <t>v MB od 18/19</t>
  </si>
  <si>
    <t>Vítkovice, Chur, Falun, Dalen</t>
  </si>
  <si>
    <t>Jönköping, znovu Vítkovice</t>
  </si>
  <si>
    <t>MS 2016 (4.)</t>
  </si>
  <si>
    <t>Sparta Praha, Ústí</t>
  </si>
  <si>
    <t>aktuálně v repre</t>
  </si>
  <si>
    <t>Ostrava, Chodov, Třinec</t>
  </si>
  <si>
    <t>všemožný rekordman</t>
  </si>
  <si>
    <t>Bohemians, Chodov, Vosy Praha</t>
  </si>
  <si>
    <t>v MB od 15/16</t>
  </si>
  <si>
    <t>Tatran, Future, Havířov</t>
  </si>
  <si>
    <t>MS 2014 (3.)</t>
  </si>
  <si>
    <t>MS 2006 (4.), MS 2008 (4.)</t>
  </si>
  <si>
    <t>43 startů v repre</t>
  </si>
  <si>
    <t>1 zlato - 3 stříbra - 5 bronzů</t>
  </si>
  <si>
    <t>po 18/19 konec kariéry</t>
  </si>
  <si>
    <t>2x mistr ligy 17/18, 20/21</t>
  </si>
  <si>
    <t>obrat proti Otrokovicím</t>
  </si>
  <si>
    <t>dobré přesilovky (4. v lize)</t>
  </si>
  <si>
    <t>ZPREP_pom_STATS_head_to_head</t>
  </si>
  <si>
    <t>TYP</t>
  </si>
  <si>
    <t>BILANCE</t>
  </si>
  <si>
    <t>celkem</t>
  </si>
  <si>
    <t>14 zápasů, 0 - 0 - 0 - 0 - 14, skóre 41:132</t>
  </si>
  <si>
    <t>PO</t>
  </si>
  <si>
    <t>2 zápasy, 0 - 0 - 0 - 0 - 2, skóre 6:26</t>
  </si>
  <si>
    <t>ZČ</t>
  </si>
  <si>
    <t>12 zápasů, 0 - 0 - 0 - 0 - 12, skóre 35:106</t>
  </si>
  <si>
    <t>čtvrtfinále</t>
  </si>
  <si>
    <t>1 série - 0:0, 2 zápasy - 0:2</t>
  </si>
  <si>
    <t>ZPREP_pom_MATCHES_find_previous</t>
  </si>
  <si>
    <t>SKÓRE</t>
  </si>
  <si>
    <t>2020/2021</t>
  </si>
  <si>
    <t>2019/2020</t>
  </si>
  <si>
    <t>2018/2019</t>
  </si>
  <si>
    <t>2015/2016</t>
  </si>
  <si>
    <t>2014/2015</t>
  </si>
  <si>
    <t>2006/2007</t>
  </si>
  <si>
    <t>13:3</t>
  </si>
  <si>
    <t>1:7</t>
  </si>
  <si>
    <t>9:2</t>
  </si>
  <si>
    <t>1:9</t>
  </si>
  <si>
    <t>12:3</t>
  </si>
  <si>
    <t>11:5</t>
  </si>
  <si>
    <t>2:9</t>
  </si>
  <si>
    <t>14:5</t>
  </si>
  <si>
    <t>Převodník minulých vzájemných zápasů z databáze do správného formátu</t>
  </si>
  <si>
    <t>DOMÁCÍ</t>
  </si>
  <si>
    <t>HOSTÉ</t>
  </si>
  <si>
    <t>SEZÓNA</t>
  </si>
  <si>
    <t>Sezóna (Typ)</t>
  </si>
  <si>
    <t>ZPREP_pom_STATS_ZC_find_two_teams</t>
  </si>
  <si>
    <t>Převodník vzájemné bilance z databáze do správného formátu</t>
  </si>
  <si>
    <t>Bilance</t>
  </si>
  <si>
    <t>FBK Orlicko-Třebovsko</t>
  </si>
  <si>
    <t>FBC Hradec Králové</t>
  </si>
  <si>
    <t>1. FBC DDM Děčín</t>
  </si>
  <si>
    <t>TJ Lubná</t>
  </si>
  <si>
    <t>Martin Zozulák</t>
  </si>
  <si>
    <t>Milan Randa</t>
  </si>
  <si>
    <t>Kateřina Levínská</t>
  </si>
  <si>
    <t>Ondřej Almaši</t>
  </si>
  <si>
    <t>Jakub Víšek</t>
  </si>
  <si>
    <t>Florbal Litomyšl</t>
  </si>
  <si>
    <t>FBK Svitavy</t>
  </si>
  <si>
    <t>Orel Rtyně v Podkrkonoší</t>
  </si>
  <si>
    <t>Peaksport Litomyšl</t>
  </si>
  <si>
    <t>Innebandytos Hradec Kr.</t>
  </si>
  <si>
    <t>Orel Přelouč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</si>
</sst>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  <numFmt numFmtId="172" formatCode="0&quot; %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1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3" fillId="0" borderId="0"/>
  </cellStyleXfs>
  <cellXfs count="464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3" fontId="2" fillId="0" borderId="27" xfId="0" applyNumberFormat="1" applyFont="1" applyFill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8" xfId="0" applyNumberFormat="1" applyFont="1" applyFill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2" fontId="1" fillId="0" borderId="95" xfId="0" applyNumberFormat="1" applyFont="1" applyBorder="1" applyAlignment="1">
      <alignment horizontal="center" vertical="center"/>
    </xf>
    <xf numFmtId="2" fontId="8" fillId="0" borderId="80" xfId="0" applyNumberFormat="1" applyFont="1" applyBorder="1" applyAlignment="1">
      <alignment horizontal="center" vertical="center"/>
    </xf>
    <xf numFmtId="2" fontId="1" fillId="0" borderId="96" xfId="0" applyNumberFormat="1" applyFont="1" applyBorder="1" applyAlignment="1">
      <alignment horizontal="center" vertical="center"/>
    </xf>
    <xf numFmtId="3" fontId="2" fillId="0" borderId="34" xfId="0" applyNumberFormat="1" applyFont="1" applyFill="1" applyBorder="1" applyAlignment="1">
      <alignment horizontal="center" vertical="center"/>
    </xf>
    <xf numFmtId="3" fontId="2" fillId="0" borderId="16" xfId="0" applyNumberFormat="1" applyFont="1" applyFill="1" applyBorder="1" applyAlignment="1">
      <alignment horizontal="center" vertical="center"/>
    </xf>
    <xf numFmtId="0" fontId="2" fillId="0" borderId="102" xfId="0" applyFont="1" applyBorder="1" applyAlignment="1" applyProtection="1">
      <alignment horizontal="left" vertical="center"/>
      <protection locked="0"/>
    </xf>
    <xf numFmtId="0" fontId="2" fillId="0" borderId="103" xfId="0" applyFont="1" applyBorder="1" applyAlignment="1" applyProtection="1">
      <alignment horizontal="center" vertical="center"/>
      <protection locked="0"/>
    </xf>
    <xf numFmtId="0" fontId="2" fillId="0" borderId="104" xfId="0" applyFont="1" applyBorder="1" applyAlignment="1" applyProtection="1">
      <alignment horizontal="center" vertical="center"/>
      <protection locked="0"/>
    </xf>
    <xf numFmtId="0" fontId="1" fillId="0" borderId="105" xfId="0" applyFont="1" applyBorder="1" applyAlignment="1" applyProtection="1">
      <alignment horizontal="center" vertical="center"/>
      <protection locked="0"/>
    </xf>
    <xf numFmtId="0" fontId="1" fillId="0" borderId="96" xfId="0" applyFont="1" applyBorder="1" applyAlignment="1" applyProtection="1">
      <alignment horizontal="center" vertical="center"/>
      <protection locked="0"/>
    </xf>
    <xf numFmtId="0" fontId="1" fillId="0" borderId="95" xfId="0" applyFont="1" applyBorder="1" applyAlignment="1" applyProtection="1">
      <alignment horizontal="center" vertical="center"/>
      <protection locked="0"/>
    </xf>
    <xf numFmtId="0" fontId="8" fillId="0" borderId="80" xfId="0" applyFont="1" applyBorder="1" applyAlignment="1" applyProtection="1">
      <alignment horizontal="center" vertical="center"/>
      <protection locked="0"/>
    </xf>
    <xf numFmtId="2" fontId="2" fillId="0" borderId="106" xfId="0" applyNumberFormat="1" applyFont="1" applyFill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51" xfId="0" applyFont="1" applyBorder="1" applyAlignment="1" applyProtection="1">
      <alignment horizontal="center" vertical="center"/>
      <protection locked="0"/>
    </xf>
    <xf numFmtId="2" fontId="2" fillId="0" borderId="107" xfId="0" applyNumberFormat="1" applyFont="1" applyFill="1" applyBorder="1" applyAlignment="1" applyProtection="1">
      <alignment horizontal="center" vertical="center"/>
      <protection locked="0"/>
    </xf>
    <xf numFmtId="0" fontId="2" fillId="0" borderId="16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3" fontId="1" fillId="0" borderId="27" xfId="0" applyNumberFormat="1" applyFont="1" applyBorder="1" applyAlignment="1">
      <alignment horizontal="center" vertical="center"/>
    </xf>
    <xf numFmtId="172" fontId="2" fillId="0" borderId="51" xfId="0" applyNumberFormat="1" applyFont="1" applyBorder="1" applyAlignment="1">
      <alignment horizontal="center" vertical="center"/>
    </xf>
    <xf numFmtId="172" fontId="2" fillId="0" borderId="18" xfId="0" applyNumberFormat="1" applyFont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49" fontId="2" fillId="0" borderId="22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 applyProtection="1">
      <alignment horizontal="center" vertical="center"/>
      <protection locked="0"/>
    </xf>
    <xf numFmtId="49" fontId="2" fillId="0" borderId="86" xfId="0" applyNumberFormat="1" applyFont="1" applyFill="1" applyBorder="1" applyAlignment="1" applyProtection="1">
      <alignment horizontal="center" vertical="center"/>
      <protection locked="0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86" xfId="0" applyNumberFormat="1" applyFont="1" applyFill="1" applyBorder="1" applyAlignment="1">
      <alignment horizontal="center" vertical="center"/>
    </xf>
    <xf numFmtId="0" fontId="2" fillId="0" borderId="103" xfId="0" applyFont="1" applyBorder="1" applyAlignment="1">
      <alignment horizontal="center" vertical="center"/>
    </xf>
    <xf numFmtId="0" fontId="2" fillId="0" borderId="104" xfId="0" applyFont="1" applyBorder="1" applyAlignment="1">
      <alignment horizontal="center" vertical="center"/>
    </xf>
    <xf numFmtId="0" fontId="2" fillId="0" borderId="103" xfId="0" applyFont="1" applyBorder="1" applyAlignment="1">
      <alignment horizontal="left" vertical="center"/>
    </xf>
    <xf numFmtId="0" fontId="2" fillId="0" borderId="104" xfId="0" applyFont="1" applyBorder="1" applyAlignment="1">
      <alignment horizontal="left" vertical="center"/>
    </xf>
    <xf numFmtId="0" fontId="2" fillId="0" borderId="103" xfId="0" applyFont="1" applyBorder="1" applyAlignment="1" applyProtection="1">
      <alignment horizontal="left" vertical="center"/>
      <protection locked="0"/>
    </xf>
    <xf numFmtId="0" fontId="1" fillId="0" borderId="76" xfId="0" applyFont="1" applyFill="1" applyBorder="1" applyAlignment="1" applyProtection="1">
      <alignment horizontal="center" vertical="center"/>
      <protection locked="0"/>
    </xf>
    <xf numFmtId="0" fontId="1" fillId="0" borderId="77" xfId="0" applyFont="1" applyFill="1" applyBorder="1" applyAlignment="1" applyProtection="1">
      <alignment horizontal="center" vertical="center"/>
      <protection locked="0"/>
    </xf>
    <xf numFmtId="0" fontId="1" fillId="0" borderId="109" xfId="0" applyFont="1" applyFill="1" applyBorder="1" applyAlignment="1" applyProtection="1">
      <alignment horizontal="center" vertical="center"/>
      <protection locked="0"/>
    </xf>
    <xf numFmtId="0" fontId="1" fillId="0" borderId="78" xfId="0" applyFont="1" applyFill="1" applyBorder="1" applyAlignment="1" applyProtection="1">
      <alignment horizontal="center" vertical="center"/>
      <protection locked="0"/>
    </xf>
    <xf numFmtId="0" fontId="1" fillId="0" borderId="9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13" xfId="0" applyFont="1" applyBorder="1" applyAlignment="1" applyProtection="1">
      <alignment horizontal="left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9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left" vertical="center"/>
      <protection locked="0"/>
    </xf>
    <xf numFmtId="0" fontId="1" fillId="0" borderId="84" xfId="0" applyFont="1" applyBorder="1" applyAlignment="1" applyProtection="1">
      <alignment horizontal="left" vertical="center"/>
      <protection locked="0"/>
    </xf>
    <xf numFmtId="0" fontId="2" fillId="0" borderId="103" xfId="0" applyFont="1" applyBorder="1" applyAlignment="1" applyProtection="1">
      <alignment horizontal="centerContinuous" vertical="center"/>
    </xf>
    <xf numFmtId="0" fontId="2" fillId="0" borderId="0" xfId="0" applyFont="1" applyBorder="1" applyAlignment="1" applyProtection="1">
      <alignment horizontal="centerContinuous" vertical="center"/>
    </xf>
    <xf numFmtId="0" fontId="2" fillId="0" borderId="115" xfId="0" applyFont="1" applyBorder="1" applyAlignment="1" applyProtection="1">
      <alignment horizontal="centerContinuous" vertical="center"/>
    </xf>
    <xf numFmtId="0" fontId="2" fillId="0" borderId="116" xfId="0" applyFont="1" applyBorder="1" applyAlignment="1" applyProtection="1">
      <alignment horizontal="centerContinuous" vertical="center"/>
    </xf>
    <xf numFmtId="0" fontId="2" fillId="0" borderId="114" xfId="0" applyFont="1" applyBorder="1" applyAlignment="1" applyProtection="1">
      <alignment horizontal="left" vertical="center"/>
    </xf>
    <xf numFmtId="0" fontId="2" fillId="0" borderId="112" xfId="0" applyFont="1" applyBorder="1" applyAlignment="1" applyProtection="1">
      <alignment horizontal="left" vertical="center"/>
    </xf>
    <xf numFmtId="0" fontId="2" fillId="0" borderId="35" xfId="0" applyFont="1" applyBorder="1" applyAlignment="1" applyProtection="1">
      <alignment horizontal="left" vertical="center"/>
    </xf>
    <xf numFmtId="0" fontId="2" fillId="0" borderId="29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111" xfId="0" applyFont="1" applyBorder="1" applyAlignment="1" applyProtection="1">
      <alignment horizontal="left" vertical="center"/>
    </xf>
    <xf numFmtId="0" fontId="2" fillId="2" borderId="108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 vertical="center"/>
    </xf>
    <xf numFmtId="0" fontId="2" fillId="2" borderId="35" xfId="0" applyFont="1" applyFill="1" applyBorder="1" applyAlignment="1">
      <alignment horizontal="left" vertical="center"/>
    </xf>
    <xf numFmtId="0" fontId="2" fillId="2" borderId="29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2" fillId="2" borderId="111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10" xfId="0" applyFont="1" applyBorder="1" applyAlignment="1">
      <alignment horizontal="center" vertical="center"/>
    </xf>
    <xf numFmtId="0" fontId="1" fillId="2" borderId="117" xfId="0" applyFont="1" applyFill="1" applyBorder="1" applyAlignment="1">
      <alignment horizontal="center" vertical="center"/>
    </xf>
    <xf numFmtId="0" fontId="1" fillId="2" borderId="96" xfId="0" applyFont="1" applyFill="1" applyBorder="1" applyAlignment="1">
      <alignment horizontal="center" vertical="center"/>
    </xf>
    <xf numFmtId="0" fontId="1" fillId="2" borderId="115" xfId="0" applyFont="1" applyFill="1" applyBorder="1" applyAlignment="1">
      <alignment horizontal="center" vertical="center"/>
    </xf>
    <xf numFmtId="0" fontId="1" fillId="2" borderId="116" xfId="0" applyFont="1" applyFill="1" applyBorder="1" applyAlignment="1">
      <alignment horizontal="center" vertical="center"/>
    </xf>
    <xf numFmtId="0" fontId="2" fillId="2" borderId="7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2" fontId="2" fillId="0" borderId="98" xfId="0" applyNumberFormat="1" applyFont="1" applyFill="1" applyBorder="1" applyAlignment="1">
      <alignment horizontal="center" vertical="center"/>
    </xf>
    <xf numFmtId="2" fontId="2" fillId="0" borderId="33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1" fillId="0" borderId="94" xfId="0" applyNumberFormat="1" applyFont="1" applyFill="1" applyBorder="1" applyAlignment="1">
      <alignment horizontal="center" vertical="center"/>
    </xf>
    <xf numFmtId="2" fontId="1" fillId="0" borderId="97" xfId="0" applyNumberFormat="1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7" fillId="0" borderId="28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center" vertical="center"/>
    </xf>
    <xf numFmtId="2" fontId="7" fillId="0" borderId="33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center" vertical="center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2" fontId="2" fillId="0" borderId="12" xfId="0" applyNumberFormat="1" applyFont="1" applyFill="1" applyBorder="1" applyAlignment="1" applyProtection="1">
      <alignment horizontal="left" vertical="center"/>
    </xf>
    <xf numFmtId="2" fontId="2" fillId="0" borderId="13" xfId="0" applyNumberFormat="1" applyFont="1" applyFill="1" applyBorder="1" applyAlignment="1" applyProtection="1">
      <alignment horizontal="left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7" fillId="0" borderId="12" xfId="0" applyNumberFormat="1" applyFont="1" applyFill="1" applyBorder="1" applyAlignment="1" applyProtection="1">
      <alignment horizontal="left" vertical="center"/>
    </xf>
    <xf numFmtId="2" fontId="7" fillId="0" borderId="13" xfId="0" applyNumberFormat="1" applyFont="1" applyFill="1" applyBorder="1" applyAlignment="1" applyProtection="1">
      <alignment horizontal="left" vertical="center"/>
    </xf>
    <xf numFmtId="2" fontId="7" fillId="0" borderId="27" xfId="0" applyNumberFormat="1" applyFont="1" applyFill="1" applyBorder="1" applyAlignment="1" applyProtection="1">
      <alignment horizontal="left" vertical="center"/>
    </xf>
    <xf numFmtId="2" fontId="7" fillId="0" borderId="18" xfId="0" applyNumberFormat="1" applyFont="1" applyFill="1" applyBorder="1" applyAlignment="1" applyProtection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Alignment="1">
      <alignment horizontal="center" vertical="center" wrapText="1"/>
    </xf>
    <xf numFmtId="0" fontId="15" fillId="0" borderId="0" xfId="1" applyFont="1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Normální" xfId="0" builtinId="0"/>
    <cellStyle name="Normální 2" xfId="1" xr:uid="{00000000-0005-0000-0000-000001000000}"/>
  </cellStyles>
  <dxfs count="920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eague_table" growShrinkType="overwriteClear" adjustColumnWidth="0" connectionId="21" xr16:uid="{00000000-0016-0000-0100-000000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goalies" growShrinkType="overwriteClear" adjustColumnWidth="0" connectionId="43" xr16:uid="{00000000-0016-0000-0600-000004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players" growShrinkType="overwriteClear" adjustColumnWidth="0" connectionId="45" xr16:uid="{00000000-0016-0000-0600-000003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matches" growShrinkType="overwriteClear" adjustColumnWidth="0" connectionId="44" xr16:uid="{00000000-0016-0000-0600-000002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KV_bestof_1" growShrinkType="overwriteClear" adjustColumnWidth="0" connectionId="42" xr16:uid="{00000000-0016-0000-0600-000001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goalies" growShrinkType="overwriteClear" adjustColumnWidth="0" connectionId="2" xr16:uid="{00000000-0016-0000-0700-000006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players" growShrinkType="overwriteClear" adjustColumnWidth="0" connectionId="4" xr16:uid="{00000000-0016-0000-0700-000005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matches" growShrinkType="overwriteClear" adjustColumnWidth="0" connectionId="3" xr16:uid="{00000000-0016-0000-0700-000008000000}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_bestof" growShrinkType="overwriteClear" adjustColumnWidth="0" connectionId="1" xr16:uid="{00000000-0016-0000-0700-000007000000}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players" growShrinkType="overwriteClear" adjustColumnWidth="0" connectionId="8" xr16:uid="{00000000-0016-0000-0800-00000C000000}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matches" growShrinkType="overwriteClear" adjustColumnWidth="0" connectionId="7" xr16:uid="{00000000-0016-0000-0800-00000B000000}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bestof" growShrinkType="overwriteClear" adjustColumnWidth="0" connectionId="5" xr16:uid="{00000000-0016-0000-0800-00000A000000}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OH_goalies" growShrinkType="overwriteClear" adjustColumnWidth="0" connectionId="6" xr16:uid="{00000000-0016-0000-0800-000009000000}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matches" growShrinkType="overwriteClear" adjustColumnWidth="0" connectionId="11" xr16:uid="{00000000-0016-0000-0900-00000F000000}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bestof" growShrinkType="overwriteClear" adjustColumnWidth="0" connectionId="9" xr16:uid="{00000000-0016-0000-0900-00000E000000}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goalies" growShrinkType="overwriteClear" adjustColumnWidth="0" connectionId="10" xr16:uid="{00000000-0016-0000-0900-00000D000000}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P_players" growShrinkType="overwriteClear" adjustColumnWidth="0" connectionId="12" xr16:uid="{00000000-0016-0000-0900-000010000000}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players" growShrinkType="overwriteClear" adjustColumnWidth="0" connectionId="16" xr16:uid="{00000000-0016-0000-0A00-000011000000}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matches" growShrinkType="overwriteClear" adjustColumnWidth="0" connectionId="15" xr16:uid="{00000000-0016-0000-0A00-000014000000}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bestof" growShrinkType="overwriteClear" adjustColumnWidth="0" connectionId="13" xr16:uid="{00000000-0016-0000-0A00-000013000000}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AT_goalies" growShrinkType="overwriteClear" adjustColumnWidth="0" connectionId="14" xr16:uid="{00000000-0016-0000-0A00-000012000000}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bestof" growShrinkType="overwriteClear" adjustColumnWidth="0" connectionId="17" xr16:uid="{00000000-0016-0000-0B00-000018000000}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goalies" growShrinkType="overwriteClear" adjustColumnWidth="0" connectionId="18" xr16:uid="{00000000-0016-0000-0B00-000017000000}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players_1" growShrinkType="overwriteClear" adjustColumnWidth="0" connectionId="20" xr16:uid="{00000000-0016-0000-0B00-000016000000}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HO_matches_1" growShrinkType="overwriteClear" adjustColumnWidth="0" connectionId="19" xr16:uid="{00000000-0016-0000-0B00-000015000000}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matches" growShrinkType="overwriteClear" adjustColumnWidth="0" connectionId="24" xr16:uid="{00000000-0016-0000-0C00-00001A000000}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bestof" growShrinkType="overwriteClear" adjustColumnWidth="0" connectionId="22" xr16:uid="{00000000-0016-0000-0C00-000019000000}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goalies" growShrinkType="overwriteClear" adjustColumnWidth="0" connectionId="23" xr16:uid="{00000000-0016-0000-0C00-00001C000000}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B_players" growShrinkType="overwriteClear" adjustColumnWidth="0" connectionId="25" xr16:uid="{00000000-0016-0000-0C00-00001B000000}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players" growShrinkType="overwriteClear" adjustColumnWidth="0" connectionId="29" xr16:uid="{00000000-0016-0000-0D00-000020000000}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matches" growShrinkType="overwriteClear" adjustColumnWidth="0" connectionId="28" xr16:uid="{00000000-0016-0000-0D00-00001F000000}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bestof" growShrinkType="overwriteClear" adjustColumnWidth="0" connectionId="26" xr16:uid="{00000000-0016-0000-0D00-00001E000000}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B_goalies" growShrinkType="overwriteClear" adjustColumnWidth="0" connectionId="27" xr16:uid="{00000000-0016-0000-0D00-00001D000000}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matches" growShrinkType="overwriteClear" adjustColumnWidth="0" connectionId="32" xr16:uid="{00000000-0016-0000-0E00-000023000000}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bestof" growShrinkType="overwriteClear" adjustColumnWidth="0" connectionId="30" xr16:uid="{00000000-0016-0000-0E00-000022000000}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goalies" growShrinkType="overwriteClear" adjustColumnWidth="0" connectionId="31" xr16:uid="{00000000-0016-0000-0E00-000021000000}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ST_players" growShrinkType="overwriteClear" adjustColumnWidth="0" connectionId="33" xr16:uid="{00000000-0016-0000-0E00-000024000000}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players" growShrinkType="overwriteClear" adjustColumnWidth="0" connectionId="37" xr16:uid="{00000000-0016-0000-0F00-000025000000}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matches" growShrinkType="overwriteClear" adjustColumnWidth="0" connectionId="36" xr16:uid="{00000000-0016-0000-0F00-000028000000}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bestof" growShrinkType="overwriteClear" adjustColumnWidth="0" connectionId="34" xr16:uid="{00000000-0016-0000-0F00-000027000000}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TR_goalies" growShrinkType="overwriteClear" adjustColumnWidth="0" connectionId="35" xr16:uid="{00000000-0016-0000-0F00-000026000000}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bestof" growShrinkType="overwriteClear" adjustColumnWidth="0" connectionId="38" xr16:uid="{00000000-0016-0000-1000-00002C000000}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goalies" growShrinkType="overwriteClear" adjustColumnWidth="0" connectionId="39" xr16:uid="{00000000-0016-0000-1000-00002B000000}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players" growShrinkType="overwriteClear" adjustColumnWidth="0" connectionId="41" xr16:uid="{00000000-0016-0000-1000-00002A000000}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AR_matches" growShrinkType="overwriteClear" adjustColumnWidth="0" connectionId="40" xr16:uid="{00000000-0016-0000-1000-000029000000}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goalies" growShrinkType="overwriteClear" adjustColumnWidth="0" connectionId="47" xr16:uid="{00000000-0016-0000-1100-00002E000000}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players" growShrinkType="overwriteClear" adjustColumnWidth="0" connectionId="49" xr16:uid="{00000000-0016-0000-1100-00002D000000}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matches" growShrinkType="overwriteClear" adjustColumnWidth="0" connectionId="48" xr16:uid="{00000000-0016-0000-1100-000030000000}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PA_bestof" growShrinkType="overwriteClear" adjustColumnWidth="0" connectionId="46" xr16:uid="{00000000-0016-0000-1100-00002F000000}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players" growShrinkType="overwriteClear" adjustColumnWidth="0" connectionId="53" xr16:uid="{00000000-0016-0000-1200-000034000000}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matches" growShrinkType="overwriteClear" adjustColumnWidth="0" connectionId="52" xr16:uid="{00000000-0016-0000-1200-000033000000}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bestof" growShrinkType="overwriteClear" adjustColumnWidth="0" connectionId="50" xr16:uid="{00000000-0016-0000-1200-000032000000}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T_goalies" growShrinkType="overwriteClear" adjustColumnWidth="0" connectionId="51" xr16:uid="{00000000-0016-0000-1200-000031000000}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matches" growShrinkType="overwriteClear" adjustColumnWidth="0" connectionId="56" xr16:uid="{00000000-0016-0000-1300-000037000000}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bestof" growShrinkType="overwriteClear" adjustColumnWidth="0" connectionId="54" xr16:uid="{00000000-0016-0000-1300-000036000000}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goalies" growShrinkType="overwriteClear" adjustColumnWidth="0" connectionId="55" xr16:uid="{00000000-0016-0000-1300-000035000000}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IT_players" growShrinkType="overwriteClear" adjustColumnWidth="0" connectionId="57" xr16:uid="{00000000-0016-0000-1300-000038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91</v>
      </c>
      <c r="D1" s="63" t="s">
        <v>92</v>
      </c>
      <c r="E1" s="63" t="s">
        <v>96</v>
      </c>
      <c r="F1" s="63" t="s">
        <v>97</v>
      </c>
      <c r="G1" s="63" t="s">
        <v>24</v>
      </c>
      <c r="H1" s="63" t="s">
        <v>99</v>
      </c>
      <c r="I1" s="63" t="s">
        <v>23</v>
      </c>
      <c r="J1" s="63" t="s">
        <v>93</v>
      </c>
      <c r="K1" s="63" t="s">
        <v>94</v>
      </c>
      <c r="L1" s="63" t="s">
        <v>98</v>
      </c>
      <c r="M1" s="63" t="s">
        <v>95</v>
      </c>
      <c r="N1" s="63" t="s">
        <v>88</v>
      </c>
      <c r="O1" s="63" t="s">
        <v>90</v>
      </c>
    </row>
    <row r="2" spans="1:15" s="71" customFormat="1" x14ac:dyDescent="0.25">
      <c r="A2" s="108" t="s">
        <v>243</v>
      </c>
      <c r="B2" s="71">
        <f ca="1">IFERROR(COUNTIF(INDIRECT("priprava_" &amp; B$1 &amp; "!$S$2:$S$42"),"?*"),"")</f>
        <v>25</v>
      </c>
      <c r="C2" s="71">
        <f ca="1">IFERROR(COUNTIF(INDIRECT("priprava_" &amp; C$1 &amp; "!$S$2:$S$42"),"?*"),"")</f>
        <v>25</v>
      </c>
      <c r="D2" s="71">
        <f t="shared" ref="D2:O2" ca="1" si="0">IFERROR(COUNTIF(INDIRECT("priprava_" &amp; D$1 &amp; "!$S$2:$S$42"),"?*"),"")</f>
        <v>27</v>
      </c>
      <c r="E2" s="71">
        <f t="shared" ca="1" si="0"/>
        <v>25</v>
      </c>
      <c r="F2" s="71">
        <f t="shared" ca="1" si="0"/>
        <v>25</v>
      </c>
      <c r="G2" s="71">
        <f t="shared" ca="1" si="0"/>
        <v>28</v>
      </c>
      <c r="H2" s="71">
        <f t="shared" ca="1" si="0"/>
        <v>25</v>
      </c>
      <c r="I2" s="71">
        <f t="shared" ca="1" si="0"/>
        <v>22</v>
      </c>
      <c r="J2" s="71">
        <f t="shared" ca="1" si="0"/>
        <v>25</v>
      </c>
      <c r="K2" s="71">
        <f t="shared" ca="1" si="0"/>
        <v>24</v>
      </c>
      <c r="L2" s="71">
        <f t="shared" ca="1" si="0"/>
        <v>21</v>
      </c>
      <c r="M2" s="71">
        <f t="shared" ca="1" si="0"/>
        <v>23</v>
      </c>
      <c r="N2" s="71">
        <f t="shared" ca="1" si="0"/>
        <v>28</v>
      </c>
      <c r="O2" s="71">
        <f t="shared" ca="1" si="0"/>
        <v>25</v>
      </c>
    </row>
    <row r="3" spans="1:15" s="71" customFormat="1" x14ac:dyDescent="0.25">
      <c r="A3" s="108" t="s">
        <v>248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5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244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5</v>
      </c>
      <c r="D4" s="71">
        <f t="shared" ca="1" si="2"/>
        <v>3</v>
      </c>
      <c r="E4" s="71">
        <f t="shared" ca="1" si="2"/>
        <v>2</v>
      </c>
      <c r="F4" s="71">
        <f t="shared" ca="1" si="2"/>
        <v>6</v>
      </c>
      <c r="G4" s="71">
        <f t="shared" ca="1" si="2"/>
        <v>7</v>
      </c>
      <c r="H4" s="71">
        <f t="shared" ca="1" si="2"/>
        <v>2</v>
      </c>
      <c r="I4" s="71">
        <f t="shared" ca="1" si="2"/>
        <v>0</v>
      </c>
      <c r="J4" s="71">
        <f t="shared" ca="1" si="2"/>
        <v>7</v>
      </c>
      <c r="K4" s="71">
        <f t="shared" ca="1" si="2"/>
        <v>12</v>
      </c>
      <c r="L4" s="71">
        <f t="shared" ca="1" si="2"/>
        <v>0</v>
      </c>
      <c r="M4" s="71">
        <f t="shared" ca="1" si="2"/>
        <v>7</v>
      </c>
      <c r="N4" s="71">
        <f t="shared" ca="1" si="2"/>
        <v>11</v>
      </c>
      <c r="O4" s="71">
        <f t="shared" ca="1" si="2"/>
        <v>7</v>
      </c>
    </row>
    <row r="5" spans="1:15" s="71" customFormat="1" x14ac:dyDescent="0.25">
      <c r="A5" s="108" t="s">
        <v>245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0</v>
      </c>
      <c r="E5" s="71">
        <f t="shared" ca="1" si="3"/>
        <v>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246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0</v>
      </c>
      <c r="E6" s="106">
        <f t="shared" ca="1" si="4"/>
        <v>1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247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9.5</v>
      </c>
      <c r="E7" s="106">
        <f t="shared" ca="1" si="5"/>
        <v>1.5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</v>
      </c>
      <c r="J7" s="106">
        <f t="shared" ca="1" si="5"/>
        <v>18</v>
      </c>
      <c r="K7" s="106">
        <f t="shared" ca="1" si="5"/>
        <v>6.5</v>
      </c>
      <c r="L7" s="106">
        <f t="shared" ca="1" si="5"/>
        <v>1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534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>
        <f t="shared" ca="1" si="6"/>
        <v>0</v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919" priority="14" stopIfTrue="1" operator="greaterThan">
      <formula>40</formula>
    </cfRule>
    <cfRule type="cellIs" dxfId="918" priority="15" stopIfTrue="1" operator="between">
      <formula>35</formula>
      <formula>40</formula>
    </cfRule>
    <cfRule type="cellIs" dxfId="917" priority="16" operator="lessThan">
      <formula>35</formula>
    </cfRule>
  </conditionalFormatting>
  <conditionalFormatting sqref="B3:O3">
    <cfRule type="cellIs" dxfId="916" priority="1" stopIfTrue="1" operator="greaterThan">
      <formula>9</formula>
    </cfRule>
    <cfRule type="cellIs" dxfId="915" priority="11" stopIfTrue="1" operator="between">
      <formula>7</formula>
      <formula>9</formula>
    </cfRule>
    <cfRule type="cellIs" dxfId="914" priority="12" stopIfTrue="1" operator="equal">
      <formula>0</formula>
    </cfRule>
    <cfRule type="cellIs" dxfId="913" priority="13" operator="lessThan">
      <formula>7</formula>
    </cfRule>
  </conditionalFormatting>
  <conditionalFormatting sqref="B5:O7">
    <cfRule type="cellIs" dxfId="912" priority="7" stopIfTrue="1" operator="greaterThan">
      <formula>6</formula>
    </cfRule>
    <cfRule type="cellIs" dxfId="911" priority="8" stopIfTrue="1" operator="between">
      <formula>4</formula>
      <formula>6</formula>
    </cfRule>
    <cfRule type="cellIs" dxfId="910" priority="9" stopIfTrue="1" operator="between">
      <formula>1</formula>
      <formula>3</formula>
    </cfRule>
    <cfRule type="cellIs" dxfId="909" priority="10" operator="lessThan">
      <formula>1</formula>
    </cfRule>
  </conditionalFormatting>
  <conditionalFormatting sqref="B4:O4">
    <cfRule type="cellIs" dxfId="908" priority="4" stopIfTrue="1" operator="greaterThan">
      <formula>2</formula>
    </cfRule>
    <cfRule type="cellIs" dxfId="907" priority="5" stopIfTrue="1" operator="between">
      <formula>1</formula>
      <formula>2</formula>
    </cfRule>
    <cfRule type="cellIs" dxfId="906" priority="6" operator="lessThan">
      <formula>1</formula>
    </cfRule>
  </conditionalFormatting>
  <conditionalFormatting sqref="B8:O8">
    <cfRule type="cellIs" dxfId="905" priority="2" stopIfTrue="1" operator="greaterThan">
      <formula>0</formula>
    </cfRule>
    <cfRule type="cellIs" dxfId="904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1"/>
  <dimension ref="A1:BI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8" width="9.140625" style="3" hidden="1" customWidth="1"/>
    <col min="59" max="61" width="0" style="62" hidden="1" customWidth="1"/>
    <col min="62" max="16384" width="9.140625" style="3"/>
  </cols>
  <sheetData>
    <row r="1" spans="1:61" ht="24" customHeight="1" thickTop="1" thickBot="1" x14ac:dyDescent="0.3">
      <c r="A1" s="65" t="s">
        <v>47</v>
      </c>
      <c r="B1" s="66" t="s">
        <v>48</v>
      </c>
      <c r="C1" s="75" t="s">
        <v>49</v>
      </c>
      <c r="D1" s="75" t="s">
        <v>26</v>
      </c>
      <c r="E1" s="75" t="s">
        <v>50</v>
      </c>
      <c r="F1" s="75" t="s">
        <v>51</v>
      </c>
      <c r="G1" s="75" t="s">
        <v>27</v>
      </c>
      <c r="H1" s="77" t="s">
        <v>42</v>
      </c>
      <c r="I1" s="75" t="s">
        <v>52</v>
      </c>
      <c r="J1" s="75" t="s">
        <v>53</v>
      </c>
      <c r="K1" s="75" t="s">
        <v>54</v>
      </c>
      <c r="L1" s="75" t="s">
        <v>51</v>
      </c>
      <c r="M1" s="75" t="s">
        <v>55</v>
      </c>
      <c r="N1" s="75" t="s">
        <v>56</v>
      </c>
      <c r="O1" s="74" t="s">
        <v>57</v>
      </c>
      <c r="P1" s="75" t="s">
        <v>58</v>
      </c>
      <c r="Q1" s="75" t="s">
        <v>59</v>
      </c>
      <c r="R1" s="75" t="s">
        <v>60</v>
      </c>
      <c r="S1" s="74" t="s">
        <v>61</v>
      </c>
      <c r="T1" s="75" t="s">
        <v>31</v>
      </c>
      <c r="U1" s="75" t="s">
        <v>62</v>
      </c>
      <c r="V1" s="73" t="s">
        <v>63</v>
      </c>
      <c r="W1" s="69" t="s">
        <v>86</v>
      </c>
      <c r="X1" s="71" t="s">
        <v>78</v>
      </c>
      <c r="Y1" s="71" t="s">
        <v>26</v>
      </c>
      <c r="Z1" s="71" t="s">
        <v>50</v>
      </c>
      <c r="AA1" s="71" t="s">
        <v>51</v>
      </c>
      <c r="AB1" s="71" t="s">
        <v>27</v>
      </c>
      <c r="AC1" s="71" t="s">
        <v>42</v>
      </c>
      <c r="AD1" s="71" t="s">
        <v>52</v>
      </c>
      <c r="AE1" s="71" t="s">
        <v>53</v>
      </c>
      <c r="AF1" s="71" t="s">
        <v>54</v>
      </c>
      <c r="AG1" s="71" t="s">
        <v>51</v>
      </c>
      <c r="AH1" s="71" t="s">
        <v>55</v>
      </c>
      <c r="AI1" s="71" t="s">
        <v>56</v>
      </c>
      <c r="AJ1" s="70" t="s">
        <v>57</v>
      </c>
      <c r="AK1" s="71" t="s">
        <v>58</v>
      </c>
      <c r="AL1" s="71" t="s">
        <v>59</v>
      </c>
      <c r="AM1" s="71" t="s">
        <v>60</v>
      </c>
      <c r="AN1" s="70" t="s">
        <v>61</v>
      </c>
      <c r="AO1" s="71">
        <v>2</v>
      </c>
      <c r="AP1" s="71">
        <v>5</v>
      </c>
      <c r="AQ1" s="71">
        <v>10</v>
      </c>
      <c r="AR1" s="71" t="s">
        <v>80</v>
      </c>
      <c r="AS1" s="71" t="s">
        <v>81</v>
      </c>
      <c r="AT1" s="71" t="s">
        <v>82</v>
      </c>
      <c r="AU1" s="71" t="s">
        <v>31</v>
      </c>
      <c r="AV1" s="71" t="s">
        <v>62</v>
      </c>
      <c r="AW1" s="70" t="s">
        <v>63</v>
      </c>
      <c r="AX1" s="71" t="s">
        <v>83</v>
      </c>
      <c r="AY1" s="71" t="s">
        <v>84</v>
      </c>
      <c r="AZ1" s="71" t="s">
        <v>85</v>
      </c>
      <c r="BA1" s="3" t="s">
        <v>86</v>
      </c>
      <c r="BB1" s="62" t="s">
        <v>87</v>
      </c>
      <c r="BC1" s="62" t="s">
        <v>1372</v>
      </c>
      <c r="BD1" s="62" t="s">
        <v>1373</v>
      </c>
      <c r="BE1" s="62" t="s">
        <v>1374</v>
      </c>
      <c r="BF1" s="62" t="s">
        <v>1375</v>
      </c>
      <c r="BG1" s="62" t="s">
        <v>100</v>
      </c>
      <c r="BH1" s="62" t="s">
        <v>101</v>
      </c>
      <c r="BI1" s="62" t="s">
        <v>102</v>
      </c>
    </row>
    <row r="2" spans="1:61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11</v>
      </c>
      <c r="D2" s="76">
        <f t="shared" si="0"/>
        <v>10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30</v>
      </c>
      <c r="I2" s="76">
        <f t="shared" si="0"/>
        <v>87</v>
      </c>
      <c r="J2" s="76">
        <f t="shared" si="0"/>
        <v>42</v>
      </c>
      <c r="K2" s="76">
        <f t="shared" si="0"/>
        <v>45</v>
      </c>
      <c r="L2" s="76">
        <f t="shared" si="0"/>
        <v>26</v>
      </c>
      <c r="M2" s="76">
        <f t="shared" si="0"/>
        <v>13</v>
      </c>
      <c r="N2" s="76">
        <f t="shared" si="0"/>
        <v>1</v>
      </c>
      <c r="O2" s="67">
        <f t="shared" si="0"/>
        <v>50</v>
      </c>
      <c r="P2" s="76">
        <f t="shared" si="0"/>
        <v>18</v>
      </c>
      <c r="Q2" s="76">
        <f t="shared" si="0"/>
        <v>5</v>
      </c>
      <c r="R2" s="76">
        <f t="shared" si="0"/>
        <v>3</v>
      </c>
      <c r="S2" s="67">
        <f t="shared" si="0"/>
        <v>72.22</v>
      </c>
      <c r="T2" s="76">
        <f>AU2</f>
        <v>38</v>
      </c>
      <c r="U2" s="76">
        <f t="shared" ref="U2:V2" si="1">AV2</f>
        <v>314</v>
      </c>
      <c r="V2" s="68">
        <f t="shared" si="1"/>
        <v>27.71</v>
      </c>
      <c r="W2" s="72" t="s">
        <v>64</v>
      </c>
      <c r="X2" s="71">
        <v>11</v>
      </c>
      <c r="Y2" s="71">
        <v>10</v>
      </c>
      <c r="Z2" s="71">
        <v>0</v>
      </c>
      <c r="AA2" s="71">
        <v>0</v>
      </c>
      <c r="AB2" s="71">
        <v>1</v>
      </c>
      <c r="AC2" s="71">
        <v>30</v>
      </c>
      <c r="AD2" s="71">
        <v>87</v>
      </c>
      <c r="AE2" s="71">
        <v>42</v>
      </c>
      <c r="AF2" s="71">
        <v>45</v>
      </c>
      <c r="AG2" s="71">
        <v>26</v>
      </c>
      <c r="AH2" s="71">
        <v>13</v>
      </c>
      <c r="AI2" s="71">
        <v>1</v>
      </c>
      <c r="AJ2" s="70">
        <v>50</v>
      </c>
      <c r="AK2" s="71">
        <v>18</v>
      </c>
      <c r="AL2" s="71">
        <v>5</v>
      </c>
      <c r="AM2" s="71">
        <v>3</v>
      </c>
      <c r="AN2" s="70">
        <v>72.22</v>
      </c>
      <c r="AO2" s="71">
        <v>19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38</v>
      </c>
      <c r="AV2" s="71">
        <v>314</v>
      </c>
      <c r="AW2" s="70">
        <v>27.71</v>
      </c>
      <c r="AX2" s="71">
        <v>909</v>
      </c>
      <c r="AY2" s="71">
        <v>1073</v>
      </c>
      <c r="AZ2" s="71">
        <v>180</v>
      </c>
      <c r="BA2" s="3" t="s">
        <v>66</v>
      </c>
      <c r="BB2" s="62" t="s">
        <v>90</v>
      </c>
      <c r="BC2" s="62">
        <f>MATCH(BA2,$B$2:$B$15,0)</f>
        <v>3</v>
      </c>
      <c r="BD2" s="62" t="str">
        <f t="shared" ref="BD2:BD15" si="2">CONCATENATE(IF(COUNTIF($BG$2:$BG$15,_xlfn.RANK.EQ(VLOOKUP(BA2,$B$2:$V$16,14,FALSE),$O$2:$O$15,0))=1,_xlfn.RANK.EQ(VLOOKUP(BA2,$B$2:$V$16,14,FALSE),$O$2:$O$15,0),CONCATENATE(_xlfn.RANK.EQ(VLOOKUP(BA2,$B$2:$V$16,14,FALSE),$O$2:$O$15,0),".-",_xlfn.RANK.EQ(VLOOKUP(BA2,$B$2:$V$16,14,FALSE),$O$2:$O$15,0)+COUNTIF($BG$2:$BG$15,_xlfn.RANK.EQ(VLOOKUP(BA2,$B$2:$V$16,14,FALSE),$O$2:$O$15,0)))),".")</f>
        <v>5.</v>
      </c>
      <c r="BE2" s="62" t="str">
        <f>CONCATENATE(IF(COUNTIF($BH$2:$BH$15,_xlfn.RANK.EQ(VLOOKUP(BA2,$B$2:$V$16,18,FALSE),$S$2:$S$15,0))=1,_xlfn.RANK.EQ(VLOOKUP(BA2,$B$2:$V$16,18,FALSE),$S$2:$S$15,0),CONCATENATE(_xlfn.RANK.EQ(VLOOKUP(BA2,$B$2:$V$16,18,FALSE),$S$2:$S$15,0),".-",_xlfn.RANK.EQ(VLOOKUP(BA2,$B$2:$V$16,18,FALSE),$S$2:$S$15,0)+COUNTIF($BH$2:$BH$15,_xlfn.RANK.EQ(VLOOKUP(BA2,$B$2:$V$16,18,FALSE),$S$2:$S$15,0)))),".")</f>
        <v>3.</v>
      </c>
      <c r="BF2" s="62" t="str">
        <f>CONCATENATE(IF(COUNTIF($BI$2:$BI$15,_xlfn.RANK.EQ(VLOOKUP(BA2,$B$2:$V$16,19,FALSE),$T$2:$T$15,1))=1,_xlfn.RANK.EQ(VLOOKUP(BA2,$B$2:$V$16,19,FALSE),$T$2:$T$15,1),CONCATENATE(_xlfn.RANK.EQ(VLOOKUP(BA2,$B$2:$V$16,19,FALSE),$T$2:$T$15,1),".-",_xlfn.RANK.EQ(VLOOKUP(BA2,$B$2:$V$16,19,FALSE),$T$2:$T$15,1)+COUNTIF($BI$2:$BI$15,_xlfn.RANK.EQ(VLOOKUP(BA2,$B$2:$V$16,19,FALSE),$T$2:$T$15,1)))),".")</f>
        <v>1.</v>
      </c>
      <c r="BG2" s="62">
        <f>_xlfn.RANK.EQ(VLOOKUP(BA2,$B$2:$V$15,14,FALSE),$O$2:$O$15,0)</f>
        <v>5</v>
      </c>
      <c r="BH2" s="62">
        <f>_xlfn.RANK.EQ(VLOOKUP(BA2,$B$2:$V$15,18,FALSE),$S$2:$S$15,0)</f>
        <v>3</v>
      </c>
      <c r="BI2" s="62">
        <f>_xlfn.RANK.EQ(VLOOKUP(BA2,$B$2:$V$16,19,FALSE),$T$2:$T$15,1)</f>
        <v>1</v>
      </c>
    </row>
    <row r="3" spans="1:61" ht="24" customHeight="1" x14ac:dyDescent="0.25">
      <c r="A3" s="138">
        <v>2</v>
      </c>
      <c r="B3" s="25" t="str">
        <f t="shared" ref="B3:B15" si="3">W3</f>
        <v>Předvýběr.CZ Florbal MB</v>
      </c>
      <c r="C3" s="76">
        <f t="shared" ref="C3:C15" si="4">X3</f>
        <v>11</v>
      </c>
      <c r="D3" s="76">
        <f t="shared" ref="D3:D15" si="5">Y3</f>
        <v>8</v>
      </c>
      <c r="E3" s="76">
        <f t="shared" ref="E3:E15" si="6">Z3</f>
        <v>2</v>
      </c>
      <c r="F3" s="76">
        <f t="shared" ref="F3:F15" si="7">AA3</f>
        <v>0</v>
      </c>
      <c r="G3" s="76">
        <f t="shared" ref="G3:G15" si="8">AB3</f>
        <v>1</v>
      </c>
      <c r="H3" s="78">
        <f t="shared" ref="H3:H15" si="9">AC3</f>
        <v>28</v>
      </c>
      <c r="I3" s="76">
        <f t="shared" ref="I3:I15" si="10">AD3</f>
        <v>84</v>
      </c>
      <c r="J3" s="76">
        <f t="shared" ref="J3:J15" si="11">AE3</f>
        <v>32</v>
      </c>
      <c r="K3" s="76">
        <f t="shared" ref="K3:K15" si="12">AF3</f>
        <v>52</v>
      </c>
      <c r="L3" s="76">
        <f t="shared" ref="L3:L15" si="13">AG3</f>
        <v>14</v>
      </c>
      <c r="M3" s="76">
        <f t="shared" ref="M3:M15" si="14">AH3</f>
        <v>5</v>
      </c>
      <c r="N3" s="76">
        <f t="shared" ref="N3:N15" si="15">AI3</f>
        <v>1</v>
      </c>
      <c r="O3" s="67">
        <f t="shared" ref="O3:O15" si="16">AJ3</f>
        <v>35.71</v>
      </c>
      <c r="P3" s="76">
        <f t="shared" ref="P3:P15" si="17">AK3</f>
        <v>18</v>
      </c>
      <c r="Q3" s="76">
        <f t="shared" ref="Q3:Q15" si="18">AL3</f>
        <v>3</v>
      </c>
      <c r="R3" s="76">
        <f t="shared" ref="R3:R15" si="19">AM3</f>
        <v>0</v>
      </c>
      <c r="S3" s="67">
        <f t="shared" ref="S3:S15" si="20">AN3</f>
        <v>83.33</v>
      </c>
      <c r="T3" s="76">
        <f t="shared" ref="T3:T15" si="21">AU3</f>
        <v>38</v>
      </c>
      <c r="U3" s="76">
        <f t="shared" ref="U3:U15" si="22">AV3</f>
        <v>291</v>
      </c>
      <c r="V3" s="68">
        <f t="shared" ref="V3:V15" si="23">AW3</f>
        <v>28.87</v>
      </c>
      <c r="W3" s="72" t="s">
        <v>65</v>
      </c>
      <c r="X3" s="71">
        <v>11</v>
      </c>
      <c r="Y3" s="71">
        <v>8</v>
      </c>
      <c r="Z3" s="71">
        <v>2</v>
      </c>
      <c r="AA3" s="71">
        <v>0</v>
      </c>
      <c r="AB3" s="71">
        <v>1</v>
      </c>
      <c r="AC3" s="71">
        <v>28</v>
      </c>
      <c r="AD3" s="71">
        <v>84</v>
      </c>
      <c r="AE3" s="71">
        <v>32</v>
      </c>
      <c r="AF3" s="71">
        <v>52</v>
      </c>
      <c r="AG3" s="71">
        <v>14</v>
      </c>
      <c r="AH3" s="71">
        <v>5</v>
      </c>
      <c r="AI3" s="71">
        <v>1</v>
      </c>
      <c r="AJ3" s="70">
        <v>35.71</v>
      </c>
      <c r="AK3" s="71">
        <v>18</v>
      </c>
      <c r="AL3" s="71">
        <v>3</v>
      </c>
      <c r="AM3" s="71">
        <v>0</v>
      </c>
      <c r="AN3" s="70">
        <v>83.33</v>
      </c>
      <c r="AO3" s="71">
        <v>19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38</v>
      </c>
      <c r="AV3" s="71">
        <v>291</v>
      </c>
      <c r="AW3" s="70">
        <v>28.87</v>
      </c>
      <c r="AX3" s="71">
        <v>1465</v>
      </c>
      <c r="AY3" s="71">
        <v>728</v>
      </c>
      <c r="AZ3" s="71">
        <v>199</v>
      </c>
      <c r="BA3" s="3" t="s">
        <v>72</v>
      </c>
      <c r="BB3" s="62" t="s">
        <v>95</v>
      </c>
      <c r="BC3" s="62">
        <f t="shared" ref="BC3:BC15" si="24">MATCH(BA3,$B$2:$B$15,0)</f>
        <v>6</v>
      </c>
      <c r="BD3" s="62" t="str">
        <f t="shared" si="2"/>
        <v>10.</v>
      </c>
      <c r="BE3" s="62" t="str">
        <f t="shared" ref="BE3:BE15" si="25">CONCATENATE(IF(COUNTIF($BH$2:$BH$15,_xlfn.RANK.EQ(VLOOKUP(BA3,$B$2:$V$16,18,FALSE),$S$2:$S$15,0))=1,_xlfn.RANK.EQ(VLOOKUP(BA3,$B$2:$V$16,18,FALSE),$S$2:$S$15,0),CONCATENATE(_xlfn.RANK.EQ(VLOOKUP(BA3,$B$2:$V$16,18,FALSE),$S$2:$S$15,0),".-",_xlfn.RANK.EQ(VLOOKUP(BA3,$B$2:$V$16,18,FALSE),$S$2:$S$15,0)+COUNTIF($BH$2:$BH$15,_xlfn.RANK.EQ(VLOOKUP(BA3,$B$2:$V$16,18,FALSE),$S$2:$S$15,0)))),".")</f>
        <v>10.</v>
      </c>
      <c r="BF3" s="62" t="str">
        <f t="shared" ref="BF3:BF15" si="26">CONCATENATE(IF(COUNTIF($BI$2:$BI$15,_xlfn.RANK.EQ(VLOOKUP(BA3,$B$2:$V$16,19,FALSE),$T$2:$T$15,1))=1,_xlfn.RANK.EQ(VLOOKUP(BA3,$B$2:$V$16,19,FALSE),$T$2:$T$15,1),CONCATENATE(_xlfn.RANK.EQ(VLOOKUP(BA3,$B$2:$V$16,19,FALSE),$T$2:$T$15,1),".-",_xlfn.RANK.EQ(VLOOKUP(BA3,$B$2:$V$16,19,FALSE),$T$2:$T$15,1)+COUNTIF($BI$2:$BI$15,_xlfn.RANK.EQ(VLOOKUP(BA3,$B$2:$V$16,19,FALSE),$T$2:$T$15,1)))),".")</f>
        <v>10.-12.</v>
      </c>
      <c r="BG3" s="62">
        <f t="shared" ref="BG3:BG15" si="27">_xlfn.RANK.EQ(VLOOKUP(BA3,$B$2:$V$15,14,FALSE),$O$2:$O$15,0)</f>
        <v>10</v>
      </c>
      <c r="BH3" s="62">
        <f t="shared" ref="BH3:BH15" si="28">_xlfn.RANK.EQ(VLOOKUP(BA3,$B$2:$V$15,18,FALSE),$S$2:$S$15,0)</f>
        <v>10</v>
      </c>
      <c r="BI3" s="62">
        <f>_xlfn.RANK.EQ(VLOOKUP(BA3,$B$2:$V$16,19,FALSE),$T$2:$T$15,1)</f>
        <v>10</v>
      </c>
    </row>
    <row r="4" spans="1:61" ht="24" customHeight="1" x14ac:dyDescent="0.25">
      <c r="A4" s="138">
        <v>3</v>
      </c>
      <c r="B4" s="25" t="str">
        <f t="shared" si="3"/>
        <v>1. SC TEMPISH Vítkovice</v>
      </c>
      <c r="C4" s="76">
        <f t="shared" si="4"/>
        <v>11</v>
      </c>
      <c r="D4" s="76">
        <f t="shared" si="5"/>
        <v>8</v>
      </c>
      <c r="E4" s="76">
        <f t="shared" si="6"/>
        <v>0</v>
      </c>
      <c r="F4" s="76">
        <f t="shared" si="7"/>
        <v>0</v>
      </c>
      <c r="G4" s="76">
        <f t="shared" si="8"/>
        <v>3</v>
      </c>
      <c r="H4" s="78">
        <f t="shared" si="9"/>
        <v>24</v>
      </c>
      <c r="I4" s="76">
        <f t="shared" si="10"/>
        <v>90</v>
      </c>
      <c r="J4" s="76">
        <f t="shared" si="11"/>
        <v>48</v>
      </c>
      <c r="K4" s="76">
        <f t="shared" si="12"/>
        <v>42</v>
      </c>
      <c r="L4" s="76">
        <f t="shared" si="13"/>
        <v>15</v>
      </c>
      <c r="M4" s="76">
        <f t="shared" si="14"/>
        <v>7</v>
      </c>
      <c r="N4" s="76">
        <f t="shared" si="15"/>
        <v>0</v>
      </c>
      <c r="O4" s="67">
        <f t="shared" si="16"/>
        <v>46.67</v>
      </c>
      <c r="P4" s="76">
        <f t="shared" si="17"/>
        <v>10</v>
      </c>
      <c r="Q4" s="76">
        <f t="shared" si="18"/>
        <v>2</v>
      </c>
      <c r="R4" s="76">
        <f t="shared" si="19"/>
        <v>1</v>
      </c>
      <c r="S4" s="67">
        <f t="shared" si="20"/>
        <v>80</v>
      </c>
      <c r="T4" s="76">
        <f t="shared" si="21"/>
        <v>22</v>
      </c>
      <c r="U4" s="76">
        <f t="shared" si="22"/>
        <v>305</v>
      </c>
      <c r="V4" s="68">
        <f t="shared" si="23"/>
        <v>29.51</v>
      </c>
      <c r="W4" s="72" t="s">
        <v>66</v>
      </c>
      <c r="X4" s="71">
        <v>11</v>
      </c>
      <c r="Y4" s="71">
        <v>8</v>
      </c>
      <c r="Z4" s="71">
        <v>0</v>
      </c>
      <c r="AA4" s="71">
        <v>0</v>
      </c>
      <c r="AB4" s="71">
        <v>3</v>
      </c>
      <c r="AC4" s="71">
        <v>24</v>
      </c>
      <c r="AD4" s="71">
        <v>90</v>
      </c>
      <c r="AE4" s="71">
        <v>48</v>
      </c>
      <c r="AF4" s="71">
        <v>42</v>
      </c>
      <c r="AG4" s="71">
        <v>15</v>
      </c>
      <c r="AH4" s="71">
        <v>7</v>
      </c>
      <c r="AI4" s="71">
        <v>0</v>
      </c>
      <c r="AJ4" s="70">
        <v>46.67</v>
      </c>
      <c r="AK4" s="71">
        <v>10</v>
      </c>
      <c r="AL4" s="71">
        <v>2</v>
      </c>
      <c r="AM4" s="71">
        <v>1</v>
      </c>
      <c r="AN4" s="70">
        <v>80</v>
      </c>
      <c r="AO4" s="71">
        <v>11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22</v>
      </c>
      <c r="AV4" s="71">
        <v>305</v>
      </c>
      <c r="AW4" s="70">
        <v>29.51</v>
      </c>
      <c r="AX4" s="71">
        <v>863</v>
      </c>
      <c r="AY4" s="71">
        <v>1200</v>
      </c>
      <c r="AZ4" s="71">
        <v>188</v>
      </c>
      <c r="BA4" s="3" t="s">
        <v>67</v>
      </c>
      <c r="BB4" s="62" t="s">
        <v>91</v>
      </c>
      <c r="BC4" s="62">
        <f t="shared" si="24"/>
        <v>7</v>
      </c>
      <c r="BD4" s="62" t="str">
        <f t="shared" si="2"/>
        <v>3.</v>
      </c>
      <c r="BE4" s="62" t="str">
        <f t="shared" si="25"/>
        <v>6.</v>
      </c>
      <c r="BF4" s="62" t="str">
        <f t="shared" si="26"/>
        <v>13.</v>
      </c>
      <c r="BG4" s="62">
        <f t="shared" si="27"/>
        <v>3</v>
      </c>
      <c r="BH4" s="62">
        <f t="shared" si="28"/>
        <v>6</v>
      </c>
      <c r="BI4" s="62">
        <f t="shared" ref="BI4:BI15" si="29">_xlfn.RANK.EQ(VLOOKUP(BA4,$B$2:$V$16,19,FALSE),$T$2:$T$15,1)</f>
        <v>13</v>
      </c>
    </row>
    <row r="5" spans="1:61" ht="24" customHeight="1" x14ac:dyDescent="0.25">
      <c r="A5" s="138">
        <v>4</v>
      </c>
      <c r="B5" s="25" t="str">
        <f t="shared" si="3"/>
        <v>FbŠ Bohemians</v>
      </c>
      <c r="C5" s="76">
        <f t="shared" si="4"/>
        <v>11</v>
      </c>
      <c r="D5" s="76">
        <f t="shared" si="5"/>
        <v>8</v>
      </c>
      <c r="E5" s="76">
        <f t="shared" si="6"/>
        <v>0</v>
      </c>
      <c r="F5" s="76">
        <f t="shared" si="7"/>
        <v>0</v>
      </c>
      <c r="G5" s="76">
        <f t="shared" si="8"/>
        <v>3</v>
      </c>
      <c r="H5" s="78">
        <f t="shared" si="9"/>
        <v>24</v>
      </c>
      <c r="I5" s="76">
        <f t="shared" si="10"/>
        <v>68</v>
      </c>
      <c r="J5" s="76">
        <f t="shared" si="11"/>
        <v>53</v>
      </c>
      <c r="K5" s="76">
        <f t="shared" si="12"/>
        <v>15</v>
      </c>
      <c r="L5" s="76">
        <f t="shared" si="13"/>
        <v>34</v>
      </c>
      <c r="M5" s="76">
        <f t="shared" si="14"/>
        <v>9</v>
      </c>
      <c r="N5" s="76">
        <f t="shared" si="15"/>
        <v>2</v>
      </c>
      <c r="O5" s="67">
        <f t="shared" si="16"/>
        <v>26.47</v>
      </c>
      <c r="P5" s="76">
        <f t="shared" si="17"/>
        <v>16</v>
      </c>
      <c r="Q5" s="76">
        <f t="shared" si="18"/>
        <v>4</v>
      </c>
      <c r="R5" s="76">
        <f t="shared" si="19"/>
        <v>0</v>
      </c>
      <c r="S5" s="67">
        <f t="shared" si="20"/>
        <v>75</v>
      </c>
      <c r="T5" s="76">
        <f t="shared" si="21"/>
        <v>34</v>
      </c>
      <c r="U5" s="76">
        <f t="shared" si="22"/>
        <v>307</v>
      </c>
      <c r="V5" s="68">
        <f t="shared" si="23"/>
        <v>22.15</v>
      </c>
      <c r="W5" s="72" t="s">
        <v>68</v>
      </c>
      <c r="X5" s="71">
        <v>11</v>
      </c>
      <c r="Y5" s="71">
        <v>8</v>
      </c>
      <c r="Z5" s="71">
        <v>0</v>
      </c>
      <c r="AA5" s="71">
        <v>0</v>
      </c>
      <c r="AB5" s="71">
        <v>3</v>
      </c>
      <c r="AC5" s="71">
        <v>24</v>
      </c>
      <c r="AD5" s="71">
        <v>68</v>
      </c>
      <c r="AE5" s="71">
        <v>53</v>
      </c>
      <c r="AF5" s="71">
        <v>15</v>
      </c>
      <c r="AG5" s="71">
        <v>34</v>
      </c>
      <c r="AH5" s="71">
        <v>9</v>
      </c>
      <c r="AI5" s="71">
        <v>2</v>
      </c>
      <c r="AJ5" s="70">
        <v>26.47</v>
      </c>
      <c r="AK5" s="71">
        <v>16</v>
      </c>
      <c r="AL5" s="71">
        <v>4</v>
      </c>
      <c r="AM5" s="71">
        <v>0</v>
      </c>
      <c r="AN5" s="70">
        <v>75</v>
      </c>
      <c r="AO5" s="71">
        <v>17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34</v>
      </c>
      <c r="AV5" s="71">
        <v>307</v>
      </c>
      <c r="AW5" s="70">
        <v>22.15</v>
      </c>
      <c r="AX5" s="71">
        <v>1175</v>
      </c>
      <c r="AY5" s="71">
        <v>769</v>
      </c>
      <c r="AZ5" s="71">
        <v>177</v>
      </c>
      <c r="BA5" s="3" t="s">
        <v>70</v>
      </c>
      <c r="BB5" s="62" t="s">
        <v>24</v>
      </c>
      <c r="BC5" s="62">
        <f t="shared" si="24"/>
        <v>5</v>
      </c>
      <c r="BD5" s="62" t="str">
        <f t="shared" si="2"/>
        <v>7.</v>
      </c>
      <c r="BE5" s="62" t="str">
        <f t="shared" si="25"/>
        <v>7.</v>
      </c>
      <c r="BF5" s="62" t="str">
        <f t="shared" si="26"/>
        <v>9.</v>
      </c>
      <c r="BG5" s="62">
        <f t="shared" si="27"/>
        <v>7</v>
      </c>
      <c r="BH5" s="62">
        <f t="shared" si="28"/>
        <v>7</v>
      </c>
      <c r="BI5" s="62">
        <f t="shared" si="29"/>
        <v>9</v>
      </c>
    </row>
    <row r="6" spans="1:61" ht="24" customHeight="1" x14ac:dyDescent="0.25">
      <c r="A6" s="138">
        <v>5</v>
      </c>
      <c r="B6" s="25" t="str">
        <f t="shared" si="3"/>
        <v>FAT PIPE FLORBAL CHODOV</v>
      </c>
      <c r="C6" s="76">
        <f t="shared" si="4"/>
        <v>11</v>
      </c>
      <c r="D6" s="76">
        <f t="shared" si="5"/>
        <v>7</v>
      </c>
      <c r="E6" s="76">
        <f t="shared" si="6"/>
        <v>0</v>
      </c>
      <c r="F6" s="76">
        <f t="shared" si="7"/>
        <v>2</v>
      </c>
      <c r="G6" s="76">
        <f t="shared" si="8"/>
        <v>2</v>
      </c>
      <c r="H6" s="78">
        <f t="shared" si="9"/>
        <v>23</v>
      </c>
      <c r="I6" s="76">
        <f t="shared" si="10"/>
        <v>84</v>
      </c>
      <c r="J6" s="76">
        <f t="shared" si="11"/>
        <v>61</v>
      </c>
      <c r="K6" s="76">
        <f t="shared" si="12"/>
        <v>23</v>
      </c>
      <c r="L6" s="76">
        <f t="shared" si="13"/>
        <v>25</v>
      </c>
      <c r="M6" s="76">
        <f t="shared" si="14"/>
        <v>10</v>
      </c>
      <c r="N6" s="76">
        <f t="shared" si="15"/>
        <v>0</v>
      </c>
      <c r="O6" s="67">
        <f t="shared" si="16"/>
        <v>40</v>
      </c>
      <c r="P6" s="76">
        <f t="shared" si="17"/>
        <v>23</v>
      </c>
      <c r="Q6" s="76">
        <f t="shared" si="18"/>
        <v>9</v>
      </c>
      <c r="R6" s="76">
        <f t="shared" si="19"/>
        <v>3</v>
      </c>
      <c r="S6" s="67">
        <f t="shared" si="20"/>
        <v>60.87</v>
      </c>
      <c r="T6" s="76">
        <f t="shared" si="21"/>
        <v>46</v>
      </c>
      <c r="U6" s="76">
        <f t="shared" si="22"/>
        <v>309</v>
      </c>
      <c r="V6" s="68">
        <f t="shared" si="23"/>
        <v>27.18</v>
      </c>
      <c r="W6" s="72" t="s">
        <v>70</v>
      </c>
      <c r="X6" s="71">
        <v>11</v>
      </c>
      <c r="Y6" s="71">
        <v>7</v>
      </c>
      <c r="Z6" s="71">
        <v>0</v>
      </c>
      <c r="AA6" s="71">
        <v>2</v>
      </c>
      <c r="AB6" s="71">
        <v>2</v>
      </c>
      <c r="AC6" s="71">
        <v>23</v>
      </c>
      <c r="AD6" s="71">
        <v>84</v>
      </c>
      <c r="AE6" s="71">
        <v>61</v>
      </c>
      <c r="AF6" s="71">
        <v>23</v>
      </c>
      <c r="AG6" s="71">
        <v>25</v>
      </c>
      <c r="AH6" s="71">
        <v>10</v>
      </c>
      <c r="AI6" s="71">
        <v>0</v>
      </c>
      <c r="AJ6" s="70">
        <v>40</v>
      </c>
      <c r="AK6" s="71">
        <v>23</v>
      </c>
      <c r="AL6" s="71">
        <v>9</v>
      </c>
      <c r="AM6" s="71">
        <v>3</v>
      </c>
      <c r="AN6" s="70">
        <v>60.87</v>
      </c>
      <c r="AO6" s="71">
        <v>23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46</v>
      </c>
      <c r="AV6" s="71">
        <v>309</v>
      </c>
      <c r="AW6" s="70">
        <v>27.18</v>
      </c>
      <c r="AX6" s="71">
        <v>746</v>
      </c>
      <c r="AY6" s="71">
        <v>946</v>
      </c>
      <c r="AZ6" s="71">
        <v>154</v>
      </c>
      <c r="BA6" s="3" t="s">
        <v>73</v>
      </c>
      <c r="BB6" s="62" t="s">
        <v>96</v>
      </c>
      <c r="BC6" s="62">
        <f t="shared" si="24"/>
        <v>13</v>
      </c>
      <c r="BD6" s="62" t="str">
        <f t="shared" si="2"/>
        <v>6.</v>
      </c>
      <c r="BE6" s="62" t="str">
        <f t="shared" si="25"/>
        <v>14.</v>
      </c>
      <c r="BF6" s="62" t="str">
        <f t="shared" si="26"/>
        <v>14.</v>
      </c>
      <c r="BG6" s="62">
        <f t="shared" si="27"/>
        <v>6</v>
      </c>
      <c r="BH6" s="62">
        <f t="shared" si="28"/>
        <v>14</v>
      </c>
      <c r="BI6" s="62">
        <f t="shared" si="29"/>
        <v>14</v>
      </c>
    </row>
    <row r="7" spans="1:61" ht="24" customHeight="1" x14ac:dyDescent="0.25">
      <c r="A7" s="138">
        <v>6</v>
      </c>
      <c r="B7" s="25" t="str">
        <f t="shared" si="3"/>
        <v>ACEMA Sparta Praha</v>
      </c>
      <c r="C7" s="76">
        <f t="shared" si="4"/>
        <v>11</v>
      </c>
      <c r="D7" s="76">
        <f t="shared" si="5"/>
        <v>6</v>
      </c>
      <c r="E7" s="76">
        <f t="shared" si="6"/>
        <v>1</v>
      </c>
      <c r="F7" s="76">
        <f t="shared" si="7"/>
        <v>0</v>
      </c>
      <c r="G7" s="76">
        <f t="shared" si="8"/>
        <v>4</v>
      </c>
      <c r="H7" s="78">
        <f t="shared" si="9"/>
        <v>20</v>
      </c>
      <c r="I7" s="76">
        <f t="shared" si="10"/>
        <v>64</v>
      </c>
      <c r="J7" s="76">
        <f t="shared" si="11"/>
        <v>58</v>
      </c>
      <c r="K7" s="76">
        <f t="shared" si="12"/>
        <v>6</v>
      </c>
      <c r="L7" s="76">
        <f t="shared" si="13"/>
        <v>16</v>
      </c>
      <c r="M7" s="76">
        <f t="shared" si="14"/>
        <v>5</v>
      </c>
      <c r="N7" s="76">
        <f t="shared" si="15"/>
        <v>0</v>
      </c>
      <c r="O7" s="67">
        <f t="shared" si="16"/>
        <v>31.25</v>
      </c>
      <c r="P7" s="76">
        <f t="shared" si="17"/>
        <v>22</v>
      </c>
      <c r="Q7" s="76">
        <f t="shared" si="18"/>
        <v>10</v>
      </c>
      <c r="R7" s="76">
        <f t="shared" si="19"/>
        <v>1</v>
      </c>
      <c r="S7" s="67">
        <f t="shared" si="20"/>
        <v>54.55</v>
      </c>
      <c r="T7" s="76">
        <f t="shared" si="21"/>
        <v>48</v>
      </c>
      <c r="U7" s="76">
        <f t="shared" si="22"/>
        <v>270</v>
      </c>
      <c r="V7" s="68">
        <f t="shared" si="23"/>
        <v>23.7</v>
      </c>
      <c r="W7" s="72" t="s">
        <v>72</v>
      </c>
      <c r="X7" s="71">
        <v>11</v>
      </c>
      <c r="Y7" s="71">
        <v>6</v>
      </c>
      <c r="Z7" s="71">
        <v>1</v>
      </c>
      <c r="AA7" s="71">
        <v>0</v>
      </c>
      <c r="AB7" s="71">
        <v>4</v>
      </c>
      <c r="AC7" s="71">
        <v>20</v>
      </c>
      <c r="AD7" s="71">
        <v>64</v>
      </c>
      <c r="AE7" s="71">
        <v>58</v>
      </c>
      <c r="AF7" s="71">
        <v>6</v>
      </c>
      <c r="AG7" s="71">
        <v>16</v>
      </c>
      <c r="AH7" s="71">
        <v>5</v>
      </c>
      <c r="AI7" s="71">
        <v>0</v>
      </c>
      <c r="AJ7" s="70">
        <v>31.25</v>
      </c>
      <c r="AK7" s="71">
        <v>22</v>
      </c>
      <c r="AL7" s="71">
        <v>10</v>
      </c>
      <c r="AM7" s="71">
        <v>1</v>
      </c>
      <c r="AN7" s="70">
        <v>54.55</v>
      </c>
      <c r="AO7" s="71">
        <v>24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48</v>
      </c>
      <c r="AV7" s="71">
        <v>270</v>
      </c>
      <c r="AW7" s="70">
        <v>23.7</v>
      </c>
      <c r="AX7" s="71">
        <v>1624</v>
      </c>
      <c r="AY7" s="71">
        <v>1135</v>
      </c>
      <c r="AZ7" s="71">
        <v>251</v>
      </c>
      <c r="BA7" s="3" t="s">
        <v>69</v>
      </c>
      <c r="BB7" s="62" t="s">
        <v>93</v>
      </c>
      <c r="BC7" s="62">
        <f t="shared" si="24"/>
        <v>9</v>
      </c>
      <c r="BD7" s="62" t="str">
        <f t="shared" si="2"/>
        <v>1.</v>
      </c>
      <c r="BE7" s="62" t="str">
        <f t="shared" si="25"/>
        <v>2.</v>
      </c>
      <c r="BF7" s="62" t="str">
        <f t="shared" si="26"/>
        <v>5.-9.</v>
      </c>
      <c r="BG7" s="62">
        <f t="shared" si="27"/>
        <v>1</v>
      </c>
      <c r="BH7" s="62">
        <f t="shared" si="28"/>
        <v>2</v>
      </c>
      <c r="BI7" s="62">
        <f t="shared" si="29"/>
        <v>5</v>
      </c>
    </row>
    <row r="8" spans="1:61" ht="24" customHeight="1" x14ac:dyDescent="0.25">
      <c r="A8" s="138">
        <v>7</v>
      </c>
      <c r="B8" s="25" t="str">
        <f t="shared" si="3"/>
        <v>BLACK ANGELS</v>
      </c>
      <c r="C8" s="76">
        <f t="shared" si="4"/>
        <v>11</v>
      </c>
      <c r="D8" s="76">
        <f t="shared" si="5"/>
        <v>5</v>
      </c>
      <c r="E8" s="76">
        <f t="shared" si="6"/>
        <v>1</v>
      </c>
      <c r="F8" s="76">
        <f t="shared" si="7"/>
        <v>1</v>
      </c>
      <c r="G8" s="76">
        <f t="shared" si="8"/>
        <v>4</v>
      </c>
      <c r="H8" s="78">
        <f t="shared" si="9"/>
        <v>18</v>
      </c>
      <c r="I8" s="76">
        <f t="shared" si="10"/>
        <v>68</v>
      </c>
      <c r="J8" s="76">
        <f t="shared" si="11"/>
        <v>64</v>
      </c>
      <c r="K8" s="76">
        <f t="shared" si="12"/>
        <v>4</v>
      </c>
      <c r="L8" s="76">
        <f t="shared" si="13"/>
        <v>27</v>
      </c>
      <c r="M8" s="76">
        <f t="shared" si="14"/>
        <v>13</v>
      </c>
      <c r="N8" s="76">
        <f t="shared" si="15"/>
        <v>0</v>
      </c>
      <c r="O8" s="67">
        <f t="shared" si="16"/>
        <v>48.15</v>
      </c>
      <c r="P8" s="76">
        <f t="shared" si="17"/>
        <v>27</v>
      </c>
      <c r="Q8" s="76">
        <f t="shared" si="18"/>
        <v>8</v>
      </c>
      <c r="R8" s="76">
        <f t="shared" si="19"/>
        <v>0</v>
      </c>
      <c r="S8" s="67">
        <f t="shared" si="20"/>
        <v>70.37</v>
      </c>
      <c r="T8" s="76">
        <f t="shared" si="21"/>
        <v>56</v>
      </c>
      <c r="U8" s="76">
        <f t="shared" si="22"/>
        <v>251</v>
      </c>
      <c r="V8" s="68">
        <f t="shared" si="23"/>
        <v>27.09</v>
      </c>
      <c r="W8" s="72" t="s">
        <v>67</v>
      </c>
      <c r="X8" s="71">
        <v>11</v>
      </c>
      <c r="Y8" s="71">
        <v>5</v>
      </c>
      <c r="Z8" s="71">
        <v>1</v>
      </c>
      <c r="AA8" s="71">
        <v>1</v>
      </c>
      <c r="AB8" s="71">
        <v>4</v>
      </c>
      <c r="AC8" s="71">
        <v>18</v>
      </c>
      <c r="AD8" s="71">
        <v>68</v>
      </c>
      <c r="AE8" s="71">
        <v>64</v>
      </c>
      <c r="AF8" s="71">
        <v>4</v>
      </c>
      <c r="AG8" s="71">
        <v>27</v>
      </c>
      <c r="AH8" s="71">
        <v>13</v>
      </c>
      <c r="AI8" s="71">
        <v>0</v>
      </c>
      <c r="AJ8" s="70">
        <v>48.15</v>
      </c>
      <c r="AK8" s="71">
        <v>27</v>
      </c>
      <c r="AL8" s="71">
        <v>8</v>
      </c>
      <c r="AM8" s="71">
        <v>0</v>
      </c>
      <c r="AN8" s="70">
        <v>70.37</v>
      </c>
      <c r="AO8" s="71">
        <v>28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56</v>
      </c>
      <c r="AV8" s="71">
        <v>251</v>
      </c>
      <c r="AW8" s="70">
        <v>27.09</v>
      </c>
      <c r="AX8" s="71">
        <v>705</v>
      </c>
      <c r="AY8" s="71">
        <v>1025</v>
      </c>
      <c r="AZ8" s="71">
        <v>157</v>
      </c>
      <c r="BA8" s="3" t="s">
        <v>76</v>
      </c>
      <c r="BB8" s="62" t="s">
        <v>99</v>
      </c>
      <c r="BC8" s="62">
        <f t="shared" si="24"/>
        <v>8</v>
      </c>
      <c r="BD8" s="62" t="str">
        <f t="shared" si="2"/>
        <v>11.</v>
      </c>
      <c r="BE8" s="62" t="str">
        <f t="shared" si="25"/>
        <v>11.-13.</v>
      </c>
      <c r="BF8" s="62" t="str">
        <f t="shared" si="26"/>
        <v>4.</v>
      </c>
      <c r="BG8" s="62">
        <f t="shared" si="27"/>
        <v>11</v>
      </c>
      <c r="BH8" s="62">
        <f t="shared" si="28"/>
        <v>11</v>
      </c>
      <c r="BI8" s="62">
        <f t="shared" si="29"/>
        <v>4</v>
      </c>
    </row>
    <row r="9" spans="1:61" ht="24" customHeight="1" x14ac:dyDescent="0.25">
      <c r="A9" s="138">
        <v>8</v>
      </c>
      <c r="B9" s="25" t="str">
        <f t="shared" si="3"/>
        <v>FBC Liberec</v>
      </c>
      <c r="C9" s="76">
        <f t="shared" si="4"/>
        <v>11</v>
      </c>
      <c r="D9" s="76">
        <f t="shared" si="5"/>
        <v>5</v>
      </c>
      <c r="E9" s="76">
        <f t="shared" si="6"/>
        <v>1</v>
      </c>
      <c r="F9" s="76">
        <f t="shared" si="7"/>
        <v>0</v>
      </c>
      <c r="G9" s="76">
        <f t="shared" si="8"/>
        <v>5</v>
      </c>
      <c r="H9" s="78">
        <f t="shared" si="9"/>
        <v>17</v>
      </c>
      <c r="I9" s="76">
        <f t="shared" si="10"/>
        <v>61</v>
      </c>
      <c r="J9" s="76">
        <f t="shared" si="11"/>
        <v>64</v>
      </c>
      <c r="K9" s="76">
        <f t="shared" si="12"/>
        <v>-3</v>
      </c>
      <c r="L9" s="76">
        <f t="shared" si="13"/>
        <v>13</v>
      </c>
      <c r="M9" s="76">
        <f t="shared" si="14"/>
        <v>4</v>
      </c>
      <c r="N9" s="76">
        <f t="shared" si="15"/>
        <v>0</v>
      </c>
      <c r="O9" s="67">
        <f t="shared" si="16"/>
        <v>30.77</v>
      </c>
      <c r="P9" s="76">
        <f t="shared" si="17"/>
        <v>18</v>
      </c>
      <c r="Q9" s="76">
        <f t="shared" si="18"/>
        <v>9</v>
      </c>
      <c r="R9" s="76">
        <f t="shared" si="19"/>
        <v>0</v>
      </c>
      <c r="S9" s="67">
        <f t="shared" si="20"/>
        <v>50</v>
      </c>
      <c r="T9" s="76">
        <f t="shared" si="21"/>
        <v>36</v>
      </c>
      <c r="U9" s="76">
        <f t="shared" si="22"/>
        <v>201</v>
      </c>
      <c r="V9" s="68">
        <f t="shared" si="23"/>
        <v>30.35</v>
      </c>
      <c r="W9" s="72" t="s">
        <v>76</v>
      </c>
      <c r="X9" s="71">
        <v>11</v>
      </c>
      <c r="Y9" s="71">
        <v>5</v>
      </c>
      <c r="Z9" s="71">
        <v>1</v>
      </c>
      <c r="AA9" s="71">
        <v>0</v>
      </c>
      <c r="AB9" s="71">
        <v>5</v>
      </c>
      <c r="AC9" s="71">
        <v>17</v>
      </c>
      <c r="AD9" s="71">
        <v>61</v>
      </c>
      <c r="AE9" s="71">
        <v>64</v>
      </c>
      <c r="AF9" s="71">
        <v>-3</v>
      </c>
      <c r="AG9" s="71">
        <v>13</v>
      </c>
      <c r="AH9" s="71">
        <v>4</v>
      </c>
      <c r="AI9" s="71">
        <v>0</v>
      </c>
      <c r="AJ9" s="70">
        <v>30.77</v>
      </c>
      <c r="AK9" s="71">
        <v>18</v>
      </c>
      <c r="AL9" s="71">
        <v>9</v>
      </c>
      <c r="AM9" s="71">
        <v>0</v>
      </c>
      <c r="AN9" s="70">
        <v>50</v>
      </c>
      <c r="AO9" s="71">
        <v>18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36</v>
      </c>
      <c r="AV9" s="71">
        <v>201</v>
      </c>
      <c r="AW9" s="70">
        <v>30.35</v>
      </c>
      <c r="AX9" s="71">
        <v>622</v>
      </c>
      <c r="AY9" s="71">
        <v>1161</v>
      </c>
      <c r="AZ9" s="71">
        <v>162</v>
      </c>
      <c r="BA9" s="3" t="s">
        <v>68</v>
      </c>
      <c r="BB9" s="62" t="s">
        <v>92</v>
      </c>
      <c r="BC9" s="62">
        <f t="shared" si="24"/>
        <v>4</v>
      </c>
      <c r="BD9" s="62" t="str">
        <f t="shared" si="2"/>
        <v>12.</v>
      </c>
      <c r="BE9" s="62" t="str">
        <f t="shared" si="25"/>
        <v>4.</v>
      </c>
      <c r="BF9" s="62" t="str">
        <f t="shared" si="26"/>
        <v>3.</v>
      </c>
      <c r="BG9" s="62">
        <f t="shared" si="27"/>
        <v>12</v>
      </c>
      <c r="BH9" s="62">
        <f t="shared" si="28"/>
        <v>4</v>
      </c>
      <c r="BI9" s="62">
        <f t="shared" si="29"/>
        <v>3</v>
      </c>
    </row>
    <row r="10" spans="1:61" ht="24" customHeight="1" x14ac:dyDescent="0.25">
      <c r="A10" s="138">
        <v>9</v>
      </c>
      <c r="B10" s="25" t="str">
        <f t="shared" si="3"/>
        <v>FBC ČPP OSTRAVA</v>
      </c>
      <c r="C10" s="76">
        <f t="shared" si="4"/>
        <v>11</v>
      </c>
      <c r="D10" s="76">
        <f t="shared" si="5"/>
        <v>5</v>
      </c>
      <c r="E10" s="76">
        <f t="shared" si="6"/>
        <v>0</v>
      </c>
      <c r="F10" s="76">
        <f t="shared" si="7"/>
        <v>1</v>
      </c>
      <c r="G10" s="76">
        <f t="shared" si="8"/>
        <v>5</v>
      </c>
      <c r="H10" s="78">
        <f t="shared" si="9"/>
        <v>16</v>
      </c>
      <c r="I10" s="76">
        <f t="shared" si="10"/>
        <v>63</v>
      </c>
      <c r="J10" s="76">
        <f t="shared" si="11"/>
        <v>59</v>
      </c>
      <c r="K10" s="76">
        <f t="shared" si="12"/>
        <v>4</v>
      </c>
      <c r="L10" s="76">
        <f t="shared" si="13"/>
        <v>18</v>
      </c>
      <c r="M10" s="76">
        <f t="shared" si="14"/>
        <v>12</v>
      </c>
      <c r="N10" s="76">
        <f t="shared" si="15"/>
        <v>0</v>
      </c>
      <c r="O10" s="67">
        <f t="shared" si="16"/>
        <v>66.67</v>
      </c>
      <c r="P10" s="76">
        <f t="shared" si="17"/>
        <v>17</v>
      </c>
      <c r="Q10" s="76">
        <f t="shared" si="18"/>
        <v>3</v>
      </c>
      <c r="R10" s="76">
        <f t="shared" si="19"/>
        <v>0</v>
      </c>
      <c r="S10" s="67">
        <f t="shared" si="20"/>
        <v>82.35</v>
      </c>
      <c r="T10" s="76">
        <f t="shared" si="21"/>
        <v>38</v>
      </c>
      <c r="U10" s="76">
        <f t="shared" si="22"/>
        <v>237</v>
      </c>
      <c r="V10" s="68">
        <f t="shared" si="23"/>
        <v>26.58</v>
      </c>
      <c r="W10" s="72" t="s">
        <v>69</v>
      </c>
      <c r="X10" s="71">
        <v>11</v>
      </c>
      <c r="Y10" s="71">
        <v>5</v>
      </c>
      <c r="Z10" s="71">
        <v>0</v>
      </c>
      <c r="AA10" s="71">
        <v>1</v>
      </c>
      <c r="AB10" s="71">
        <v>5</v>
      </c>
      <c r="AC10" s="71">
        <v>16</v>
      </c>
      <c r="AD10" s="71">
        <v>63</v>
      </c>
      <c r="AE10" s="71">
        <v>59</v>
      </c>
      <c r="AF10" s="71">
        <v>4</v>
      </c>
      <c r="AG10" s="71">
        <v>18</v>
      </c>
      <c r="AH10" s="71">
        <v>12</v>
      </c>
      <c r="AI10" s="71">
        <v>0</v>
      </c>
      <c r="AJ10" s="70">
        <v>66.67</v>
      </c>
      <c r="AK10" s="71">
        <v>17</v>
      </c>
      <c r="AL10" s="71">
        <v>3</v>
      </c>
      <c r="AM10" s="71">
        <v>0</v>
      </c>
      <c r="AN10" s="70">
        <v>82.35</v>
      </c>
      <c r="AO10" s="71">
        <v>19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38</v>
      </c>
      <c r="AV10" s="71">
        <v>237</v>
      </c>
      <c r="AW10" s="70">
        <v>26.58</v>
      </c>
      <c r="AX10" s="71">
        <v>664</v>
      </c>
      <c r="AY10" s="71">
        <v>1324</v>
      </c>
      <c r="AZ10" s="71">
        <v>181</v>
      </c>
      <c r="BA10" s="3" t="s">
        <v>74</v>
      </c>
      <c r="BB10" s="62" t="s">
        <v>97</v>
      </c>
      <c r="BC10" s="62">
        <f t="shared" si="24"/>
        <v>14</v>
      </c>
      <c r="BD10" s="62" t="str">
        <f t="shared" si="2"/>
        <v>9.</v>
      </c>
      <c r="BE10" s="62" t="str">
        <f t="shared" si="25"/>
        <v>11.-13.</v>
      </c>
      <c r="BF10" s="62" t="str">
        <f t="shared" si="26"/>
        <v>12.</v>
      </c>
      <c r="BG10" s="62">
        <f t="shared" si="27"/>
        <v>9</v>
      </c>
      <c r="BH10" s="62">
        <f t="shared" si="28"/>
        <v>11</v>
      </c>
      <c r="BI10" s="62">
        <f t="shared" si="29"/>
        <v>12</v>
      </c>
    </row>
    <row r="11" spans="1:61" ht="24" customHeight="1" x14ac:dyDescent="0.25">
      <c r="A11" s="138">
        <v>10</v>
      </c>
      <c r="B11" s="25" t="str">
        <f t="shared" si="3"/>
        <v>TJ Sokol Královské Vinohrady</v>
      </c>
      <c r="C11" s="76">
        <f t="shared" si="4"/>
        <v>11</v>
      </c>
      <c r="D11" s="76">
        <f t="shared" si="5"/>
        <v>3</v>
      </c>
      <c r="E11" s="76">
        <f t="shared" si="6"/>
        <v>0</v>
      </c>
      <c r="F11" s="76">
        <f t="shared" si="7"/>
        <v>0</v>
      </c>
      <c r="G11" s="76">
        <f t="shared" si="8"/>
        <v>8</v>
      </c>
      <c r="H11" s="78">
        <f t="shared" si="9"/>
        <v>9</v>
      </c>
      <c r="I11" s="76">
        <f t="shared" si="10"/>
        <v>50</v>
      </c>
      <c r="J11" s="76">
        <f t="shared" si="11"/>
        <v>81</v>
      </c>
      <c r="K11" s="76">
        <f t="shared" si="12"/>
        <v>-31</v>
      </c>
      <c r="L11" s="76">
        <f t="shared" si="13"/>
        <v>25</v>
      </c>
      <c r="M11" s="76">
        <f t="shared" si="14"/>
        <v>12</v>
      </c>
      <c r="N11" s="76">
        <f t="shared" si="15"/>
        <v>2</v>
      </c>
      <c r="O11" s="67">
        <f t="shared" si="16"/>
        <v>48</v>
      </c>
      <c r="P11" s="76">
        <f t="shared" si="17"/>
        <v>18</v>
      </c>
      <c r="Q11" s="76">
        <f t="shared" si="18"/>
        <v>10</v>
      </c>
      <c r="R11" s="76">
        <f t="shared" si="19"/>
        <v>0</v>
      </c>
      <c r="S11" s="67">
        <f t="shared" si="20"/>
        <v>44.44</v>
      </c>
      <c r="T11" s="76">
        <f t="shared" si="21"/>
        <v>48</v>
      </c>
      <c r="U11" s="76">
        <f t="shared" si="22"/>
        <v>220</v>
      </c>
      <c r="V11" s="68">
        <f t="shared" si="23"/>
        <v>22.73</v>
      </c>
      <c r="W11" s="72" t="s">
        <v>77</v>
      </c>
      <c r="X11" s="71">
        <v>11</v>
      </c>
      <c r="Y11" s="71">
        <v>3</v>
      </c>
      <c r="Z11" s="71">
        <v>0</v>
      </c>
      <c r="AA11" s="71">
        <v>0</v>
      </c>
      <c r="AB11" s="71">
        <v>8</v>
      </c>
      <c r="AC11" s="71">
        <v>9</v>
      </c>
      <c r="AD11" s="71">
        <v>50</v>
      </c>
      <c r="AE11" s="71">
        <v>81</v>
      </c>
      <c r="AF11" s="71">
        <v>-31</v>
      </c>
      <c r="AG11" s="71">
        <v>25</v>
      </c>
      <c r="AH11" s="71">
        <v>12</v>
      </c>
      <c r="AI11" s="71">
        <v>2</v>
      </c>
      <c r="AJ11" s="70">
        <v>48</v>
      </c>
      <c r="AK11" s="71">
        <v>18</v>
      </c>
      <c r="AL11" s="71">
        <v>10</v>
      </c>
      <c r="AM11" s="71">
        <v>0</v>
      </c>
      <c r="AN11" s="70">
        <v>44.44</v>
      </c>
      <c r="AO11" s="71">
        <v>19</v>
      </c>
      <c r="AP11" s="71">
        <v>0</v>
      </c>
      <c r="AQ11" s="71">
        <v>1</v>
      </c>
      <c r="AR11" s="71">
        <v>0</v>
      </c>
      <c r="AS11" s="71">
        <v>0</v>
      </c>
      <c r="AT11" s="71">
        <v>0</v>
      </c>
      <c r="AU11" s="71">
        <v>48</v>
      </c>
      <c r="AV11" s="71">
        <v>220</v>
      </c>
      <c r="AW11" s="70">
        <v>22.73</v>
      </c>
      <c r="AX11" s="71">
        <v>690</v>
      </c>
      <c r="AY11" s="71">
        <v>457</v>
      </c>
      <c r="AZ11" s="71">
        <v>104</v>
      </c>
      <c r="BA11" s="3" t="s">
        <v>71</v>
      </c>
      <c r="BB11" s="62" t="s">
        <v>94</v>
      </c>
      <c r="BC11" s="62">
        <f t="shared" si="24"/>
        <v>11</v>
      </c>
      <c r="BD11" s="62" t="str">
        <f t="shared" si="2"/>
        <v>14.</v>
      </c>
      <c r="BE11" s="62" t="str">
        <f t="shared" si="25"/>
        <v>8.</v>
      </c>
      <c r="BF11" s="62" t="str">
        <f t="shared" si="26"/>
        <v>2.</v>
      </c>
      <c r="BG11" s="62">
        <f t="shared" si="27"/>
        <v>14</v>
      </c>
      <c r="BH11" s="62">
        <f t="shared" si="28"/>
        <v>8</v>
      </c>
      <c r="BI11" s="62">
        <f t="shared" si="29"/>
        <v>2</v>
      </c>
    </row>
    <row r="12" spans="1:61" ht="24" customHeight="1" x14ac:dyDescent="0.25">
      <c r="A12" s="138">
        <v>11</v>
      </c>
      <c r="B12" s="25" t="str">
        <f t="shared" si="3"/>
        <v>Navláčil PANTHERS OTROKOVICE</v>
      </c>
      <c r="C12" s="76">
        <f t="shared" si="4"/>
        <v>11</v>
      </c>
      <c r="D12" s="76">
        <f t="shared" si="5"/>
        <v>2</v>
      </c>
      <c r="E12" s="76">
        <f t="shared" si="6"/>
        <v>0</v>
      </c>
      <c r="F12" s="76">
        <f t="shared" si="7"/>
        <v>1</v>
      </c>
      <c r="G12" s="76">
        <f t="shared" si="8"/>
        <v>8</v>
      </c>
      <c r="H12" s="78">
        <f t="shared" si="9"/>
        <v>7</v>
      </c>
      <c r="I12" s="76">
        <f t="shared" si="10"/>
        <v>58</v>
      </c>
      <c r="J12" s="76">
        <f t="shared" si="11"/>
        <v>79</v>
      </c>
      <c r="K12" s="76">
        <f t="shared" si="12"/>
        <v>-21</v>
      </c>
      <c r="L12" s="76">
        <f t="shared" si="13"/>
        <v>23</v>
      </c>
      <c r="M12" s="76">
        <f t="shared" si="14"/>
        <v>5</v>
      </c>
      <c r="N12" s="76">
        <f t="shared" si="15"/>
        <v>0</v>
      </c>
      <c r="O12" s="67">
        <f t="shared" si="16"/>
        <v>21.74</v>
      </c>
      <c r="P12" s="76">
        <f t="shared" si="17"/>
        <v>16</v>
      </c>
      <c r="Q12" s="76">
        <f t="shared" si="18"/>
        <v>7</v>
      </c>
      <c r="R12" s="76">
        <f t="shared" si="19"/>
        <v>0</v>
      </c>
      <c r="S12" s="67">
        <f t="shared" si="20"/>
        <v>56.25</v>
      </c>
      <c r="T12" s="76">
        <f t="shared" si="21"/>
        <v>32</v>
      </c>
      <c r="U12" s="76">
        <f t="shared" si="22"/>
        <v>228</v>
      </c>
      <c r="V12" s="68">
        <f t="shared" si="23"/>
        <v>25.44</v>
      </c>
      <c r="W12" s="72" t="s">
        <v>71</v>
      </c>
      <c r="X12" s="71">
        <v>11</v>
      </c>
      <c r="Y12" s="71">
        <v>2</v>
      </c>
      <c r="Z12" s="71">
        <v>0</v>
      </c>
      <c r="AA12" s="71">
        <v>1</v>
      </c>
      <c r="AB12" s="71">
        <v>8</v>
      </c>
      <c r="AC12" s="71">
        <v>7</v>
      </c>
      <c r="AD12" s="71">
        <v>58</v>
      </c>
      <c r="AE12" s="71">
        <v>79</v>
      </c>
      <c r="AF12" s="71">
        <v>-21</v>
      </c>
      <c r="AG12" s="71">
        <v>23</v>
      </c>
      <c r="AH12" s="71">
        <v>5</v>
      </c>
      <c r="AI12" s="71">
        <v>0</v>
      </c>
      <c r="AJ12" s="70">
        <v>21.74</v>
      </c>
      <c r="AK12" s="71">
        <v>16</v>
      </c>
      <c r="AL12" s="71">
        <v>7</v>
      </c>
      <c r="AM12" s="71">
        <v>0</v>
      </c>
      <c r="AN12" s="70">
        <v>56.25</v>
      </c>
      <c r="AO12" s="71">
        <v>16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32</v>
      </c>
      <c r="AV12" s="71">
        <v>228</v>
      </c>
      <c r="AW12" s="70">
        <v>25.44</v>
      </c>
      <c r="AX12" s="71">
        <v>966</v>
      </c>
      <c r="AY12" s="71">
        <v>1118</v>
      </c>
      <c r="AZ12" s="71">
        <v>189</v>
      </c>
      <c r="BA12" s="3" t="s">
        <v>65</v>
      </c>
      <c r="BB12" s="62" t="s">
        <v>23</v>
      </c>
      <c r="BC12" s="62">
        <f t="shared" si="24"/>
        <v>2</v>
      </c>
      <c r="BD12" s="62" t="str">
        <f t="shared" si="2"/>
        <v>8.</v>
      </c>
      <c r="BE12" s="62" t="str">
        <f t="shared" si="25"/>
        <v>1.</v>
      </c>
      <c r="BF12" s="62" t="str">
        <f t="shared" si="26"/>
        <v>5.-9.</v>
      </c>
      <c r="BG12" s="62">
        <f t="shared" si="27"/>
        <v>8</v>
      </c>
      <c r="BH12" s="62">
        <f t="shared" si="28"/>
        <v>1</v>
      </c>
      <c r="BI12" s="62">
        <f t="shared" si="29"/>
        <v>5</v>
      </c>
    </row>
    <row r="13" spans="1:61" ht="24" customHeight="1" x14ac:dyDescent="0.25">
      <c r="A13" s="138">
        <v>12</v>
      </c>
      <c r="B13" s="25" t="str">
        <f t="shared" si="3"/>
        <v>SOKOLI Pardubice</v>
      </c>
      <c r="C13" s="76">
        <f t="shared" si="4"/>
        <v>11</v>
      </c>
      <c r="D13" s="76">
        <f t="shared" si="5"/>
        <v>2</v>
      </c>
      <c r="E13" s="76">
        <f t="shared" si="6"/>
        <v>0</v>
      </c>
      <c r="F13" s="76">
        <f t="shared" si="7"/>
        <v>0</v>
      </c>
      <c r="G13" s="76">
        <f t="shared" si="8"/>
        <v>9</v>
      </c>
      <c r="H13" s="78">
        <f t="shared" si="9"/>
        <v>6</v>
      </c>
      <c r="I13" s="76">
        <f t="shared" si="10"/>
        <v>43</v>
      </c>
      <c r="J13" s="76">
        <f t="shared" si="11"/>
        <v>94</v>
      </c>
      <c r="K13" s="76">
        <f t="shared" si="12"/>
        <v>-51</v>
      </c>
      <c r="L13" s="76">
        <f t="shared" si="13"/>
        <v>12</v>
      </c>
      <c r="M13" s="76">
        <f t="shared" si="14"/>
        <v>3</v>
      </c>
      <c r="N13" s="76">
        <f t="shared" si="15"/>
        <v>1</v>
      </c>
      <c r="O13" s="67">
        <f t="shared" si="16"/>
        <v>25</v>
      </c>
      <c r="P13" s="76">
        <f t="shared" si="17"/>
        <v>18</v>
      </c>
      <c r="Q13" s="76">
        <f t="shared" si="18"/>
        <v>8</v>
      </c>
      <c r="R13" s="76">
        <f t="shared" si="19"/>
        <v>0</v>
      </c>
      <c r="S13" s="67">
        <f t="shared" si="20"/>
        <v>55.56</v>
      </c>
      <c r="T13" s="76">
        <f t="shared" si="21"/>
        <v>38</v>
      </c>
      <c r="U13" s="76">
        <f t="shared" si="22"/>
        <v>224</v>
      </c>
      <c r="V13" s="68">
        <f t="shared" si="23"/>
        <v>19.2</v>
      </c>
      <c r="W13" s="72" t="s">
        <v>75</v>
      </c>
      <c r="X13" s="71">
        <v>11</v>
      </c>
      <c r="Y13" s="71">
        <v>2</v>
      </c>
      <c r="Z13" s="71">
        <v>0</v>
      </c>
      <c r="AA13" s="71">
        <v>0</v>
      </c>
      <c r="AB13" s="71">
        <v>9</v>
      </c>
      <c r="AC13" s="71">
        <v>6</v>
      </c>
      <c r="AD13" s="71">
        <v>43</v>
      </c>
      <c r="AE13" s="71">
        <v>94</v>
      </c>
      <c r="AF13" s="71">
        <v>-51</v>
      </c>
      <c r="AG13" s="71">
        <v>12</v>
      </c>
      <c r="AH13" s="71">
        <v>3</v>
      </c>
      <c r="AI13" s="71">
        <v>1</v>
      </c>
      <c r="AJ13" s="70">
        <v>25</v>
      </c>
      <c r="AK13" s="71">
        <v>18</v>
      </c>
      <c r="AL13" s="71">
        <v>8</v>
      </c>
      <c r="AM13" s="71">
        <v>0</v>
      </c>
      <c r="AN13" s="70">
        <v>55.56</v>
      </c>
      <c r="AO13" s="71">
        <v>19</v>
      </c>
      <c r="AP13" s="71">
        <v>0</v>
      </c>
      <c r="AQ13" s="71">
        <v>0</v>
      </c>
      <c r="AR13" s="71">
        <v>0</v>
      </c>
      <c r="AS13" s="71">
        <v>0</v>
      </c>
      <c r="AT13" s="71">
        <v>0</v>
      </c>
      <c r="AU13" s="71">
        <v>38</v>
      </c>
      <c r="AV13" s="71">
        <v>224</v>
      </c>
      <c r="AW13" s="70">
        <v>19.2</v>
      </c>
      <c r="AX13" s="71">
        <v>951</v>
      </c>
      <c r="AY13" s="71">
        <v>1097</v>
      </c>
      <c r="AZ13" s="71">
        <v>186</v>
      </c>
      <c r="BA13" s="3" t="s">
        <v>75</v>
      </c>
      <c r="BB13" s="62" t="s">
        <v>98</v>
      </c>
      <c r="BC13" s="62">
        <f t="shared" si="24"/>
        <v>12</v>
      </c>
      <c r="BD13" s="62" t="str">
        <f t="shared" si="2"/>
        <v>13.</v>
      </c>
      <c r="BE13" s="62" t="str">
        <f t="shared" si="25"/>
        <v>9.</v>
      </c>
      <c r="BF13" s="62" t="str">
        <f t="shared" si="26"/>
        <v>5.-9.</v>
      </c>
      <c r="BG13" s="62">
        <f t="shared" si="27"/>
        <v>13</v>
      </c>
      <c r="BH13" s="62">
        <f t="shared" si="28"/>
        <v>9</v>
      </c>
      <c r="BI13" s="62">
        <f t="shared" si="29"/>
        <v>5</v>
      </c>
    </row>
    <row r="14" spans="1:61" ht="24" customHeight="1" x14ac:dyDescent="0.25">
      <c r="A14" s="138">
        <v>13</v>
      </c>
      <c r="B14" s="25" t="str">
        <f t="shared" si="3"/>
        <v>FBC 4CLEAN Česká Lípa</v>
      </c>
      <c r="C14" s="76">
        <f t="shared" si="4"/>
        <v>11</v>
      </c>
      <c r="D14" s="76">
        <f t="shared" si="5"/>
        <v>1</v>
      </c>
      <c r="E14" s="76">
        <f t="shared" si="6"/>
        <v>1</v>
      </c>
      <c r="F14" s="76">
        <f t="shared" si="7"/>
        <v>0</v>
      </c>
      <c r="G14" s="76">
        <f t="shared" si="8"/>
        <v>9</v>
      </c>
      <c r="H14" s="78">
        <f t="shared" si="9"/>
        <v>5</v>
      </c>
      <c r="I14" s="76">
        <f t="shared" si="10"/>
        <v>58</v>
      </c>
      <c r="J14" s="76">
        <f t="shared" si="11"/>
        <v>96</v>
      </c>
      <c r="K14" s="76">
        <f t="shared" si="12"/>
        <v>-38</v>
      </c>
      <c r="L14" s="76">
        <f t="shared" si="13"/>
        <v>14</v>
      </c>
      <c r="M14" s="76">
        <f t="shared" si="14"/>
        <v>6</v>
      </c>
      <c r="N14" s="76">
        <f t="shared" si="15"/>
        <v>0</v>
      </c>
      <c r="O14" s="67">
        <f t="shared" si="16"/>
        <v>42.86</v>
      </c>
      <c r="P14" s="76">
        <f t="shared" si="17"/>
        <v>32</v>
      </c>
      <c r="Q14" s="76">
        <f t="shared" si="18"/>
        <v>19</v>
      </c>
      <c r="R14" s="76">
        <f t="shared" si="19"/>
        <v>1</v>
      </c>
      <c r="S14" s="67">
        <f t="shared" si="20"/>
        <v>40.619999999999997</v>
      </c>
      <c r="T14" s="76">
        <f t="shared" si="21"/>
        <v>87</v>
      </c>
      <c r="U14" s="76">
        <f t="shared" si="22"/>
        <v>267</v>
      </c>
      <c r="V14" s="68">
        <f t="shared" si="23"/>
        <v>21.72</v>
      </c>
      <c r="W14" s="72" t="s">
        <v>73</v>
      </c>
      <c r="X14" s="71">
        <v>11</v>
      </c>
      <c r="Y14" s="71">
        <v>1</v>
      </c>
      <c r="Z14" s="71">
        <v>1</v>
      </c>
      <c r="AA14" s="71">
        <v>0</v>
      </c>
      <c r="AB14" s="71">
        <v>9</v>
      </c>
      <c r="AC14" s="71">
        <v>5</v>
      </c>
      <c r="AD14" s="71">
        <v>58</v>
      </c>
      <c r="AE14" s="71">
        <v>96</v>
      </c>
      <c r="AF14" s="71">
        <v>-38</v>
      </c>
      <c r="AG14" s="71">
        <v>14</v>
      </c>
      <c r="AH14" s="71">
        <v>6</v>
      </c>
      <c r="AI14" s="71">
        <v>0</v>
      </c>
      <c r="AJ14" s="70">
        <v>42.86</v>
      </c>
      <c r="AK14" s="71">
        <v>32</v>
      </c>
      <c r="AL14" s="71">
        <v>19</v>
      </c>
      <c r="AM14" s="71">
        <v>1</v>
      </c>
      <c r="AN14" s="70">
        <v>40.619999999999997</v>
      </c>
      <c r="AO14" s="71">
        <v>31</v>
      </c>
      <c r="AP14" s="71">
        <v>1</v>
      </c>
      <c r="AQ14" s="71">
        <v>0</v>
      </c>
      <c r="AR14" s="71">
        <v>1</v>
      </c>
      <c r="AS14" s="71">
        <v>0</v>
      </c>
      <c r="AT14" s="71">
        <v>0</v>
      </c>
      <c r="AU14" s="71">
        <v>87</v>
      </c>
      <c r="AV14" s="71">
        <v>267</v>
      </c>
      <c r="AW14" s="70">
        <v>21.72</v>
      </c>
      <c r="AX14" s="71">
        <v>1117</v>
      </c>
      <c r="AY14" s="71">
        <v>905</v>
      </c>
      <c r="AZ14" s="71">
        <v>184</v>
      </c>
      <c r="BA14" s="3" t="s">
        <v>64</v>
      </c>
      <c r="BB14" s="62" t="s">
        <v>88</v>
      </c>
      <c r="BC14" s="62">
        <f t="shared" si="24"/>
        <v>1</v>
      </c>
      <c r="BD14" s="62" t="str">
        <f t="shared" si="2"/>
        <v>2.</v>
      </c>
      <c r="BE14" s="62" t="str">
        <f t="shared" si="25"/>
        <v>5.</v>
      </c>
      <c r="BF14" s="62" t="str">
        <f t="shared" si="26"/>
        <v>5.-9.</v>
      </c>
      <c r="BG14" s="62">
        <f t="shared" si="27"/>
        <v>2</v>
      </c>
      <c r="BH14" s="62">
        <f t="shared" si="28"/>
        <v>5</v>
      </c>
      <c r="BI14" s="62">
        <f t="shared" si="29"/>
        <v>5</v>
      </c>
    </row>
    <row r="15" spans="1:61" ht="24" customHeight="1" thickBot="1" x14ac:dyDescent="0.3">
      <c r="A15" s="139">
        <v>14</v>
      </c>
      <c r="B15" s="134" t="str">
        <f t="shared" si="3"/>
        <v>FBŠ Hummel Hattrick Brno</v>
      </c>
      <c r="C15" s="135">
        <f t="shared" si="4"/>
        <v>11</v>
      </c>
      <c r="D15" s="135">
        <f t="shared" si="5"/>
        <v>1</v>
      </c>
      <c r="E15" s="135">
        <f t="shared" si="6"/>
        <v>0</v>
      </c>
      <c r="F15" s="135">
        <f t="shared" si="7"/>
        <v>1</v>
      </c>
      <c r="G15" s="135">
        <f t="shared" si="8"/>
        <v>9</v>
      </c>
      <c r="H15" s="79">
        <f t="shared" si="9"/>
        <v>4</v>
      </c>
      <c r="I15" s="135">
        <f t="shared" si="10"/>
        <v>39</v>
      </c>
      <c r="J15" s="135">
        <f t="shared" si="11"/>
        <v>86</v>
      </c>
      <c r="K15" s="135">
        <f t="shared" si="12"/>
        <v>-47</v>
      </c>
      <c r="L15" s="135">
        <f t="shared" si="13"/>
        <v>15</v>
      </c>
      <c r="M15" s="135">
        <f t="shared" si="14"/>
        <v>5</v>
      </c>
      <c r="N15" s="135">
        <f t="shared" si="15"/>
        <v>2</v>
      </c>
      <c r="O15" s="136">
        <f t="shared" si="16"/>
        <v>33.33</v>
      </c>
      <c r="P15" s="135">
        <f t="shared" si="17"/>
        <v>24</v>
      </c>
      <c r="Q15" s="135">
        <f t="shared" si="18"/>
        <v>12</v>
      </c>
      <c r="R15" s="135">
        <f t="shared" si="19"/>
        <v>0</v>
      </c>
      <c r="S15" s="136">
        <f t="shared" si="20"/>
        <v>50</v>
      </c>
      <c r="T15" s="135">
        <f t="shared" si="21"/>
        <v>53</v>
      </c>
      <c r="U15" s="135">
        <f t="shared" si="22"/>
        <v>197</v>
      </c>
      <c r="V15" s="137">
        <f t="shared" si="23"/>
        <v>19.8</v>
      </c>
      <c r="W15" s="72" t="s">
        <v>74</v>
      </c>
      <c r="X15" s="71">
        <v>11</v>
      </c>
      <c r="Y15" s="71">
        <v>1</v>
      </c>
      <c r="Z15" s="71">
        <v>0</v>
      </c>
      <c r="AA15" s="71">
        <v>1</v>
      </c>
      <c r="AB15" s="71">
        <v>9</v>
      </c>
      <c r="AC15" s="71">
        <v>4</v>
      </c>
      <c r="AD15" s="71">
        <v>39</v>
      </c>
      <c r="AE15" s="71">
        <v>86</v>
      </c>
      <c r="AF15" s="71">
        <v>-47</v>
      </c>
      <c r="AG15" s="71">
        <v>15</v>
      </c>
      <c r="AH15" s="71">
        <v>5</v>
      </c>
      <c r="AI15" s="71">
        <v>2</v>
      </c>
      <c r="AJ15" s="70">
        <v>33.33</v>
      </c>
      <c r="AK15" s="71">
        <v>24</v>
      </c>
      <c r="AL15" s="71">
        <v>12</v>
      </c>
      <c r="AM15" s="71">
        <v>0</v>
      </c>
      <c r="AN15" s="70">
        <v>50</v>
      </c>
      <c r="AO15" s="71">
        <v>24</v>
      </c>
      <c r="AP15" s="71">
        <v>1</v>
      </c>
      <c r="AQ15" s="71">
        <v>0</v>
      </c>
      <c r="AR15" s="71">
        <v>0</v>
      </c>
      <c r="AS15" s="71">
        <v>0</v>
      </c>
      <c r="AT15" s="71">
        <v>0</v>
      </c>
      <c r="AU15" s="71">
        <v>53</v>
      </c>
      <c r="AV15" s="71">
        <v>197</v>
      </c>
      <c r="AW15" s="70">
        <v>19.8</v>
      </c>
      <c r="AX15" s="71">
        <v>1016</v>
      </c>
      <c r="AY15" s="71">
        <v>575</v>
      </c>
      <c r="AZ15" s="71">
        <v>145</v>
      </c>
      <c r="BA15" s="3" t="s">
        <v>77</v>
      </c>
      <c r="BB15" s="62" t="s">
        <v>5</v>
      </c>
      <c r="BC15" s="62">
        <f t="shared" si="24"/>
        <v>10</v>
      </c>
      <c r="BD15" s="62" t="str">
        <f t="shared" si="2"/>
        <v>4.</v>
      </c>
      <c r="BE15" s="62" t="str">
        <f t="shared" si="25"/>
        <v>13.</v>
      </c>
      <c r="BF15" s="62" t="str">
        <f t="shared" si="26"/>
        <v>10.-12.</v>
      </c>
      <c r="BG15" s="62">
        <f t="shared" si="27"/>
        <v>4</v>
      </c>
      <c r="BH15" s="62">
        <f t="shared" si="28"/>
        <v>13</v>
      </c>
      <c r="BI15" s="62">
        <f t="shared" si="29"/>
        <v>10</v>
      </c>
    </row>
    <row r="16" spans="1:61" ht="15" thickTop="1" x14ac:dyDescent="0.25"/>
  </sheetData>
  <sheetProtection sheet="1" objects="1" scenarios="1" selectLockedCells="1"/>
  <sortState xmlns:xlrd2="http://schemas.microsoft.com/office/spreadsheetml/2017/richdata2" ref="AG2:AW15">
    <sortCondition ref="AW2"/>
  </sortState>
  <conditionalFormatting sqref="A2:G15 I2:V15">
    <cfRule type="expression" dxfId="903" priority="20">
      <formula>MOD(ROW($A2),2)=1</formula>
    </cfRule>
  </conditionalFormatting>
  <conditionalFormatting sqref="A2:A15">
    <cfRule type="cellIs" dxfId="902" priority="1" operator="between">
      <formula>1</formula>
      <formula>6</formula>
    </cfRule>
    <cfRule type="cellIs" dxfId="901" priority="18" operator="between">
      <formula>7</formula>
      <formula>10</formula>
    </cfRule>
    <cfRule type="cellIs" dxfId="900" priority="19" operator="greaterThanOrEqual">
      <formula>11</formula>
    </cfRule>
  </conditionalFormatting>
  <conditionalFormatting sqref="I2:I15">
    <cfRule type="top10" dxfId="899" priority="16" bottom="1" rank="1"/>
    <cfRule type="top10" dxfId="898" priority="17" rank="1"/>
  </conditionalFormatting>
  <conditionalFormatting sqref="J2:J15">
    <cfRule type="top10" dxfId="897" priority="14" bottom="1" rank="1"/>
    <cfRule type="top10" dxfId="896" priority="15" rank="1"/>
  </conditionalFormatting>
  <conditionalFormatting sqref="K2:K15">
    <cfRule type="top10" dxfId="895" priority="12" bottom="1" rank="1"/>
    <cfRule type="top10" dxfId="894" priority="13" rank="1"/>
  </conditionalFormatting>
  <conditionalFormatting sqref="O2:O15">
    <cfRule type="top10" dxfId="893" priority="10" bottom="1" rank="1"/>
    <cfRule type="top10" dxfId="892" priority="11" rank="1"/>
  </conditionalFormatting>
  <conditionalFormatting sqref="S2:S15">
    <cfRule type="top10" dxfId="891" priority="8" bottom="1" rank="1"/>
    <cfRule type="top10" dxfId="890" priority="9" rank="1"/>
  </conditionalFormatting>
  <conditionalFormatting sqref="T2:T15">
    <cfRule type="top10" dxfId="889" priority="6" bottom="1" rank="1"/>
    <cfRule type="top10" dxfId="888" priority="7" rank="1"/>
  </conditionalFormatting>
  <conditionalFormatting sqref="U2:U15">
    <cfRule type="top10" dxfId="887" priority="4" bottom="1" rank="1"/>
    <cfRule type="top10" dxfId="886" priority="5" rank="1"/>
  </conditionalFormatting>
  <conditionalFormatting sqref="V2:V15">
    <cfRule type="top10" dxfId="885" priority="2" bottom="1" rank="1"/>
    <cfRule type="top10" dxfId="884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x14ac:dyDescent="0.25">
      <c r="A1" s="388" t="s">
        <v>5</v>
      </c>
      <c r="B1" s="388"/>
      <c r="C1" s="388"/>
      <c r="D1" s="388"/>
      <c r="E1" s="388"/>
      <c r="F1" s="388"/>
      <c r="G1" s="388"/>
      <c r="H1" s="388"/>
      <c r="I1" s="388"/>
      <c r="J1" s="388" t="s">
        <v>23</v>
      </c>
      <c r="K1" s="388"/>
      <c r="L1" s="388"/>
      <c r="M1" s="388"/>
      <c r="N1" s="388"/>
      <c r="O1" s="388"/>
      <c r="P1" s="388"/>
      <c r="Q1" s="388"/>
      <c r="R1" s="388"/>
      <c r="S1" s="278" t="s">
        <v>1457</v>
      </c>
      <c r="T1" s="279"/>
      <c r="U1" s="279"/>
      <c r="V1" s="279"/>
      <c r="W1" s="279"/>
      <c r="X1" s="279"/>
      <c r="Y1" s="279"/>
      <c r="Z1" s="279"/>
      <c r="AA1" s="279"/>
      <c r="AB1" s="279"/>
      <c r="AC1" s="279"/>
      <c r="AD1" s="279"/>
      <c r="AE1" s="280"/>
    </row>
    <row r="2" spans="1:31" ht="15" customHeight="1" thickBot="1" x14ac:dyDescent="0.3">
      <c r="A2" s="389"/>
      <c r="B2" s="389"/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195" t="s">
        <v>1441</v>
      </c>
      <c r="T2" s="226"/>
      <c r="U2" s="226"/>
      <c r="V2" s="226"/>
      <c r="W2" s="226"/>
      <c r="X2" s="224"/>
      <c r="Y2" s="224"/>
      <c r="Z2" s="224"/>
      <c r="AA2" s="224"/>
      <c r="AB2" s="224"/>
      <c r="AC2" s="224"/>
      <c r="AD2" s="224"/>
      <c r="AE2" s="225"/>
    </row>
    <row r="3" spans="1:31" ht="15" customHeight="1" thickTop="1" thickBot="1" x14ac:dyDescent="0.3">
      <c r="A3" s="390" t="str">
        <f>INDEX(tabulka!$BA$2:$BA$15,MATCH($A$1,tabulka!$BB$2:$BB$15,0))</f>
        <v>TJ Sokol Královské Vinohrady</v>
      </c>
      <c r="B3" s="390"/>
      <c r="C3" s="390"/>
      <c r="D3" s="390"/>
      <c r="E3" s="390"/>
      <c r="F3" s="390"/>
      <c r="G3" s="390"/>
      <c r="H3" s="390"/>
      <c r="I3" s="390"/>
      <c r="J3" s="390" t="str">
        <f>INDEX(tabulka!$BA$2:$BA$15,MATCH($J$1,tabulka!$BB$2:$BB$15,0))</f>
        <v>Předvýběr.CZ Florbal MB</v>
      </c>
      <c r="K3" s="390"/>
      <c r="L3" s="390"/>
      <c r="M3" s="390"/>
      <c r="N3" s="390"/>
      <c r="O3" s="390"/>
      <c r="P3" s="390"/>
      <c r="Q3" s="390"/>
      <c r="R3" s="390"/>
      <c r="S3" s="227" t="s">
        <v>1458</v>
      </c>
      <c r="T3" s="228" t="s">
        <v>1459</v>
      </c>
      <c r="U3" s="228" t="s">
        <v>1442</v>
      </c>
      <c r="V3" s="229" t="s">
        <v>1460</v>
      </c>
      <c r="W3" s="230" t="s">
        <v>1431</v>
      </c>
      <c r="X3" s="345" t="s">
        <v>45</v>
      </c>
      <c r="Y3" s="346"/>
      <c r="Z3" s="346"/>
      <c r="AA3" s="346"/>
      <c r="AB3" s="64" t="s">
        <v>28</v>
      </c>
      <c r="AC3" s="346" t="s">
        <v>1461</v>
      </c>
      <c r="AD3" s="346"/>
      <c r="AE3" s="347"/>
    </row>
    <row r="4" spans="1:31" ht="15" customHeight="1" thickTop="1" thickBot="1" x14ac:dyDescent="0.3">
      <c r="A4" s="353" t="s">
        <v>25</v>
      </c>
      <c r="B4" s="354"/>
      <c r="C4" s="28" t="s">
        <v>26</v>
      </c>
      <c r="D4" s="28" t="s">
        <v>27</v>
      </c>
      <c r="E4" s="354" t="s">
        <v>28</v>
      </c>
      <c r="F4" s="354"/>
      <c r="G4" s="28" t="s">
        <v>29</v>
      </c>
      <c r="H4" s="28" t="s">
        <v>30</v>
      </c>
      <c r="I4" s="29" t="s">
        <v>31</v>
      </c>
      <c r="J4" s="360" t="s">
        <v>25</v>
      </c>
      <c r="K4" s="361"/>
      <c r="L4" s="30" t="s">
        <v>26</v>
      </c>
      <c r="M4" s="30" t="s">
        <v>27</v>
      </c>
      <c r="N4" s="361" t="s">
        <v>28</v>
      </c>
      <c r="O4" s="361"/>
      <c r="P4" s="30" t="s">
        <v>29</v>
      </c>
      <c r="Q4" s="30" t="s">
        <v>30</v>
      </c>
      <c r="R4" s="174" t="s">
        <v>31</v>
      </c>
      <c r="S4" s="154" t="s">
        <v>5</v>
      </c>
      <c r="T4" s="155" t="s">
        <v>23</v>
      </c>
      <c r="U4" s="216" t="s">
        <v>1075</v>
      </c>
      <c r="V4" s="156" t="s">
        <v>1443</v>
      </c>
      <c r="W4" s="157" t="s">
        <v>1437</v>
      </c>
      <c r="X4" s="307" t="str">
        <f>IF(S4&lt;&gt;"",CONCATENATE(S4, " - ",T4),"")</f>
        <v>SKV - MB</v>
      </c>
      <c r="Y4" s="307"/>
      <c r="Z4" s="307"/>
      <c r="AA4" s="268"/>
      <c r="AB4" s="219" t="str">
        <f>IF(U4&lt;&gt;"",U4,"")</f>
        <v>3:7</v>
      </c>
      <c r="AC4" s="306" t="str">
        <f>IF(AND(V4&lt;&gt;"",W4&lt;&gt;""),CONCATENATE(V4," (",W4,")"),IF(V4&lt;&gt;"",V4,""))</f>
        <v>2020/2021 (ZČ)</v>
      </c>
      <c r="AD4" s="307"/>
      <c r="AE4" s="308"/>
    </row>
    <row r="5" spans="1:31" ht="15" customHeight="1" thickBot="1" x14ac:dyDescent="0.3">
      <c r="A5" s="395" t="str">
        <f>IFERROR(CONCATENATE(VLOOKUP($A$1,tabulka!$BB$2:$BF$15,2,FALSE),". místo"),"")</f>
        <v>10. místo</v>
      </c>
      <c r="B5" s="396"/>
      <c r="C5" s="31">
        <f>IFERROR(VLOOKUP($A$3,tabulka!$B$2:$V$15,3,FALSE)+VLOOKUP($A$3,tabulka!$B$2:$V$15,4,FALSE),"")</f>
        <v>3</v>
      </c>
      <c r="D5" s="32">
        <f>IFERROR(VLOOKUP($A$3,tabulka!$B$2:$V$15,5,FALSE)+VLOOKUP($A$3,tabulka!$B$2:$V$15,6,FALSE),"")</f>
        <v>8</v>
      </c>
      <c r="E5" s="396" t="str">
        <f>IFERROR(CONCATENATE(VLOOKUP($A$3,tabulka!$B$2:$V$15,8,FALSE),":",VLOOKUP($A$3,tabulka!$B$2:$V$15,9,FALSE)),"")</f>
        <v>50:81</v>
      </c>
      <c r="F5" s="396"/>
      <c r="G5" s="82">
        <f>IFERROR(VLOOKUP($A$3,tabulka!$B$2:$V$15,14,FALSE),"")</f>
        <v>48</v>
      </c>
      <c r="H5" s="82">
        <f>IFERROR(VLOOKUP($A$3,tabulka!$B$2:$V$15,18,FALSE),"")</f>
        <v>44.44</v>
      </c>
      <c r="I5" s="33">
        <f>IFERROR(VLOOKUP($A$3,tabulka!$B$2:$V$15,19,FALSE),"")</f>
        <v>48</v>
      </c>
      <c r="J5" s="397" t="str">
        <f>IFERROR(CONCATENATE(VLOOKUP($J$1,tabulka!$BB$2:$BF$15,2,FALSE),". místo"),"")</f>
        <v>2. místo</v>
      </c>
      <c r="K5" s="398"/>
      <c r="L5" s="34">
        <f>IFERROR(VLOOKUP($J$3,tabulka!$B$2:$V$15,3,FALSE)+VLOOKUP($J$3,tabulka!$B$2:$V$15,4,FALSE),"")</f>
        <v>10</v>
      </c>
      <c r="M5" s="35">
        <f>IFERROR(VLOOKUP($J$3,tabulka!$B$2:$V$15,5,FALSE)+VLOOKUP($J$3,tabulka!$B$2:$V$15,6,FALSE),"")</f>
        <v>1</v>
      </c>
      <c r="N5" s="398" t="str">
        <f>IFERROR(CONCATENATE(VLOOKUP($J$3,tabulka!$B$2:$V$15,8,FALSE),":",VLOOKUP($J$3,tabulka!$B$2:$V$15,9,FALSE)),"")</f>
        <v>84:32</v>
      </c>
      <c r="O5" s="398"/>
      <c r="P5" s="83">
        <f>IFERROR(VLOOKUP($J$3,tabulka!$B$2:$V$15,14,FALSE),"")</f>
        <v>35.71</v>
      </c>
      <c r="Q5" s="83">
        <f>IFERROR(VLOOKUP($J$3,tabulka!$B$2:$V$15,18,FALSE),"")</f>
        <v>83.33</v>
      </c>
      <c r="R5" s="175">
        <f>IFERROR(VLOOKUP($J$3,tabulka!$B$2:$V$15,19,FALSE),"")</f>
        <v>38</v>
      </c>
      <c r="S5" s="158" t="s">
        <v>23</v>
      </c>
      <c r="T5" s="159" t="s">
        <v>5</v>
      </c>
      <c r="U5" s="217" t="s">
        <v>814</v>
      </c>
      <c r="V5" s="160" t="s">
        <v>1443</v>
      </c>
      <c r="W5" s="161" t="s">
        <v>1437</v>
      </c>
      <c r="X5" s="310" t="str">
        <f t="shared" ref="X5:X15" si="0">IF(S5&lt;&gt;"",CONCATENATE(S5, " - ",T5),"")</f>
        <v>MB - SKV</v>
      </c>
      <c r="Y5" s="310"/>
      <c r="Z5" s="310"/>
      <c r="AA5" s="251"/>
      <c r="AB5" s="220" t="str">
        <f t="shared" ref="AB5:AB15" si="1">IF(U5&lt;&gt;"",U5,"")</f>
        <v>7:2</v>
      </c>
      <c r="AC5" s="309" t="str">
        <f t="shared" ref="AC5:AC15" si="2">IF(AND(V5&lt;&gt;"",W5&lt;&gt;""),CONCATENATE(V5," (",W5,")"),IF(V5&lt;&gt;"",V5,""))</f>
        <v>2020/2021 (ZČ)</v>
      </c>
      <c r="AD5" s="310"/>
      <c r="AE5" s="311"/>
    </row>
    <row r="6" spans="1:31" ht="15" customHeight="1" thickTop="1" x14ac:dyDescent="0.25">
      <c r="A6" s="26"/>
      <c r="B6" s="26"/>
      <c r="C6" s="26"/>
      <c r="D6" s="26"/>
      <c r="E6" s="312" t="s">
        <v>103</v>
      </c>
      <c r="F6" s="312"/>
      <c r="G6" s="36" t="str">
        <f>IFERROR(VLOOKUP($A$1,tabulka!$BB$2:$BF$15,3,FALSE),"")</f>
        <v>4.</v>
      </c>
      <c r="H6" s="36" t="str">
        <f>IFERROR(VLOOKUP($A$1,tabulka!$BB$2:$BF$15,4,FALSE),"")</f>
        <v>13.</v>
      </c>
      <c r="I6" s="36" t="str">
        <f>IFERROR(VLOOKUP($A$1,tabulka!$BB$2:$BF$15,5,FALSE),"")</f>
        <v>10.-12.</v>
      </c>
      <c r="J6" s="26"/>
      <c r="K6" s="26"/>
      <c r="L6" s="26"/>
      <c r="N6" s="312" t="s">
        <v>103</v>
      </c>
      <c r="O6" s="312"/>
      <c r="P6" s="36" t="str">
        <f>IFERROR(VLOOKUP($J$1,tabulka!$BB$2:$BF$15,3,FALSE),"")</f>
        <v>8.</v>
      </c>
      <c r="Q6" s="36" t="str">
        <f>IFERROR(VLOOKUP($J$1,tabulka!$BB$2:$BF$15,4,FALSE),"")</f>
        <v>1.</v>
      </c>
      <c r="R6" s="36" t="str">
        <f>IFERROR(VLOOKUP($J$1,tabulka!$BB$2:$BF$15,5,FALSE),"")</f>
        <v>5.-9.</v>
      </c>
      <c r="S6" s="158" t="s">
        <v>23</v>
      </c>
      <c r="T6" s="159" t="s">
        <v>5</v>
      </c>
      <c r="U6" s="217" t="s">
        <v>1449</v>
      </c>
      <c r="V6" s="160" t="s">
        <v>1444</v>
      </c>
      <c r="W6" s="161" t="s">
        <v>1435</v>
      </c>
      <c r="X6" s="310" t="str">
        <f t="shared" si="0"/>
        <v>MB - SKV</v>
      </c>
      <c r="Y6" s="310"/>
      <c r="Z6" s="310"/>
      <c r="AA6" s="251"/>
      <c r="AB6" s="220" t="str">
        <f t="shared" si="1"/>
        <v>13:3</v>
      </c>
      <c r="AC6" s="309" t="str">
        <f t="shared" si="2"/>
        <v>2019/2020 (PO)</v>
      </c>
      <c r="AD6" s="310"/>
      <c r="AE6" s="311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58" t="s">
        <v>23</v>
      </c>
      <c r="T7" s="159" t="s">
        <v>5</v>
      </c>
      <c r="U7" s="217" t="s">
        <v>1449</v>
      </c>
      <c r="V7" s="160" t="s">
        <v>1444</v>
      </c>
      <c r="W7" s="161" t="s">
        <v>1435</v>
      </c>
      <c r="X7" s="310" t="str">
        <f t="shared" si="0"/>
        <v>MB - SKV</v>
      </c>
      <c r="Y7" s="310"/>
      <c r="Z7" s="310"/>
      <c r="AA7" s="251"/>
      <c r="AB7" s="220" t="str">
        <f t="shared" si="1"/>
        <v>13:3</v>
      </c>
      <c r="AC7" s="309" t="str">
        <f t="shared" si="2"/>
        <v>2019/2020 (PO)</v>
      </c>
      <c r="AD7" s="310"/>
      <c r="AE7" s="311"/>
    </row>
    <row r="8" spans="1:31" ht="15" customHeight="1" thickTop="1" thickBot="1" x14ac:dyDescent="0.3">
      <c r="A8" s="399" t="s">
        <v>32</v>
      </c>
      <c r="B8" s="400"/>
      <c r="C8" s="401" t="str">
        <f ca="1">IFERROR(IF(INDIRECT("priprava_" &amp; A1 &amp; "!BY12")&lt;&gt;0,INDIRECT("priprava_" &amp; A1 &amp; "!BY12"),""),"")</f>
        <v>P - P - P - P - V - V - P - P - P - V</v>
      </c>
      <c r="D8" s="401"/>
      <c r="E8" s="401"/>
      <c r="F8" s="401"/>
      <c r="G8" s="401"/>
      <c r="H8" s="402"/>
      <c r="I8" s="25"/>
      <c r="J8" s="403" t="s">
        <v>32</v>
      </c>
      <c r="K8" s="404"/>
      <c r="L8" s="405" t="str">
        <f ca="1">IFERROR(IF(INDIRECT("priprava_" &amp; J1 &amp; "!BY12")&lt;&gt;0,INDIRECT("priprava_" &amp; J1 &amp; "!BY12"),""),"")</f>
        <v>VP - VP - V - V - V - P - V - V - V - V</v>
      </c>
      <c r="M8" s="405"/>
      <c r="N8" s="405"/>
      <c r="O8" s="405"/>
      <c r="P8" s="405"/>
      <c r="Q8" s="406"/>
      <c r="R8" s="25"/>
      <c r="S8" s="158" t="s">
        <v>5</v>
      </c>
      <c r="T8" s="159" t="s">
        <v>23</v>
      </c>
      <c r="U8" s="217" t="s">
        <v>1450</v>
      </c>
      <c r="V8" s="160" t="s">
        <v>1444</v>
      </c>
      <c r="W8" s="161" t="s">
        <v>1437</v>
      </c>
      <c r="X8" s="310" t="str">
        <f t="shared" si="0"/>
        <v>SKV - MB</v>
      </c>
      <c r="Y8" s="310"/>
      <c r="Z8" s="310"/>
      <c r="AA8" s="251"/>
      <c r="AB8" s="220" t="str">
        <f t="shared" si="1"/>
        <v>1:7</v>
      </c>
      <c r="AC8" s="309" t="str">
        <f t="shared" si="2"/>
        <v>2019/2020 (ZČ)</v>
      </c>
      <c r="AD8" s="310"/>
      <c r="AE8" s="311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58" t="s">
        <v>23</v>
      </c>
      <c r="T9" s="159" t="s">
        <v>5</v>
      </c>
      <c r="U9" s="217" t="s">
        <v>1451</v>
      </c>
      <c r="V9" s="160" t="s">
        <v>1444</v>
      </c>
      <c r="W9" s="161" t="s">
        <v>1437</v>
      </c>
      <c r="X9" s="310" t="str">
        <f t="shared" si="0"/>
        <v>MB - SKV</v>
      </c>
      <c r="Y9" s="310"/>
      <c r="Z9" s="310"/>
      <c r="AA9" s="251"/>
      <c r="AB9" s="220" t="str">
        <f t="shared" si="1"/>
        <v>9:2</v>
      </c>
      <c r="AC9" s="309" t="str">
        <f t="shared" si="2"/>
        <v>2019/2020 (ZČ)</v>
      </c>
      <c r="AD9" s="310"/>
      <c r="AE9" s="311"/>
    </row>
    <row r="10" spans="1:31" ht="15" customHeight="1" thickTop="1" thickBot="1" x14ac:dyDescent="0.3">
      <c r="A10" s="353" t="s">
        <v>33</v>
      </c>
      <c r="B10" s="354"/>
      <c r="C10" s="354"/>
      <c r="D10" s="359"/>
      <c r="E10" s="358" t="s">
        <v>34</v>
      </c>
      <c r="F10" s="354"/>
      <c r="G10" s="354"/>
      <c r="H10" s="359"/>
      <c r="I10" s="25"/>
      <c r="J10" s="353" t="s">
        <v>33</v>
      </c>
      <c r="K10" s="354"/>
      <c r="L10" s="354"/>
      <c r="M10" s="359"/>
      <c r="N10" s="358" t="s">
        <v>34</v>
      </c>
      <c r="O10" s="354"/>
      <c r="P10" s="354"/>
      <c r="Q10" s="359"/>
      <c r="R10" s="37"/>
      <c r="S10" s="158" t="s">
        <v>5</v>
      </c>
      <c r="T10" s="159" t="s">
        <v>23</v>
      </c>
      <c r="U10" s="217" t="s">
        <v>1452</v>
      </c>
      <c r="V10" s="160" t="s">
        <v>1445</v>
      </c>
      <c r="W10" s="161" t="s">
        <v>1437</v>
      </c>
      <c r="X10" s="310" t="str">
        <f t="shared" si="0"/>
        <v>SKV - MB</v>
      </c>
      <c r="Y10" s="310"/>
      <c r="Z10" s="310"/>
      <c r="AA10" s="251"/>
      <c r="AB10" s="220" t="str">
        <f t="shared" si="1"/>
        <v>1:9</v>
      </c>
      <c r="AC10" s="309" t="str">
        <f t="shared" si="2"/>
        <v>2018/2019 (ZČ)</v>
      </c>
      <c r="AD10" s="310"/>
      <c r="AE10" s="311"/>
    </row>
    <row r="11" spans="1:31" ht="15" customHeight="1" x14ac:dyDescent="0.25">
      <c r="A11" s="407" t="str">
        <f ca="1">IFERROR(IF(INDIRECT("priprava_" &amp; A$1 &amp; "!BZ2")&lt;&gt;"",INDIRECT("priprava_" &amp; A$1 &amp; "!BZ2"),""),"")</f>
        <v>OTR (h)</v>
      </c>
      <c r="B11" s="324"/>
      <c r="C11" s="408" t="str">
        <f ca="1">IFERROR(IF(A11&lt;&gt;"",INDIRECT("priprava_" &amp; A$1 &amp; "!CA2"),""),"")</f>
        <v>9:8</v>
      </c>
      <c r="D11" s="409"/>
      <c r="E11" s="323" t="str">
        <f ca="1">IFERROR(IF(INDIRECT("priprava_" &amp; A$1 &amp; "!BZ7")&lt;&gt;"",INDIRECT("priprava_" &amp; A$1 &amp; "!BZ7"),""),"")</f>
        <v>MB (d)</v>
      </c>
      <c r="F11" s="324"/>
      <c r="G11" s="408" t="str">
        <f ca="1">IFERROR(IF(E11&lt;&gt;"",INDIRECT("priprava_" &amp; A$1 &amp; "!BY7"),""),"")</f>
        <v>31. 10.</v>
      </c>
      <c r="H11" s="409"/>
      <c r="I11" s="25"/>
      <c r="J11" s="407" t="str">
        <f ca="1">IFERROR(IF(INDIRECT("priprava_" &amp; J$1 &amp; "!BZ2")&lt;&gt;"",INDIRECT("priprava_" &amp; J$1 &amp; "!BZ2"),""),"")</f>
        <v>SPA (d)</v>
      </c>
      <c r="K11" s="324"/>
      <c r="L11" s="408" t="str">
        <f ca="1">IFERROR(IF(J11&lt;&gt;"",INDIRECT("priprava_" &amp; J$1 &amp; "!CA2"),""),"")</f>
        <v>7:2</v>
      </c>
      <c r="M11" s="409"/>
      <c r="N11" s="323" t="str">
        <f ca="1">IFERROR(IF(INDIRECT("priprava_" &amp; J$1 &amp; "!BZ7")&lt;&gt;"",INDIRECT("priprava_" &amp; J$1 &amp; "!BZ7"),""),"")</f>
        <v>SKV (h)</v>
      </c>
      <c r="O11" s="324"/>
      <c r="P11" s="408" t="str">
        <f ca="1">IFERROR(IF(N11&lt;&gt;"",INDIRECT("priprava_" &amp; J$1 &amp; "!BY7"),""),"")</f>
        <v>31. 10.</v>
      </c>
      <c r="Q11" s="409"/>
      <c r="R11" s="38"/>
      <c r="S11" s="158" t="s">
        <v>23</v>
      </c>
      <c r="T11" s="159" t="s">
        <v>5</v>
      </c>
      <c r="U11" s="217" t="s">
        <v>1453</v>
      </c>
      <c r="V11" s="160" t="s">
        <v>1445</v>
      </c>
      <c r="W11" s="161" t="s">
        <v>1437</v>
      </c>
      <c r="X11" s="310" t="str">
        <f t="shared" si="0"/>
        <v>MB - SKV</v>
      </c>
      <c r="Y11" s="310"/>
      <c r="Z11" s="310"/>
      <c r="AA11" s="251"/>
      <c r="AB11" s="220" t="str">
        <f t="shared" si="1"/>
        <v>12:3</v>
      </c>
      <c r="AC11" s="309" t="str">
        <f t="shared" si="2"/>
        <v>2018/2019 (ZČ)</v>
      </c>
      <c r="AD11" s="310"/>
      <c r="AE11" s="311"/>
    </row>
    <row r="12" spans="1:31" ht="15" customHeight="1" x14ac:dyDescent="0.25">
      <c r="A12" s="386" t="str">
        <f ca="1">IFERROR(IF(INDIRECT("priprava_" &amp; A$1 &amp; "!BZ3")&lt;&gt;"",INDIRECT("priprava_" &amp; A$1 &amp; "!BZ3"),""),"")</f>
        <v>HAT (d)</v>
      </c>
      <c r="B12" s="385"/>
      <c r="C12" s="383" t="str">
        <f ca="1">IFERROR(IF(A12&lt;&gt;"",INDIRECT("priprava_" &amp; A$1 &amp; "!CA3"),""),"")</f>
        <v>5:6</v>
      </c>
      <c r="D12" s="384"/>
      <c r="E12" s="251" t="str">
        <f ca="1">IFERROR(IF(INDIRECT("priprava_" &amp; A$1 &amp; "!BZ8")&lt;&gt;"",INDIRECT("priprava_" &amp; A$1 &amp; "!BZ8"),""),"")</f>
        <v>SPA (h)</v>
      </c>
      <c r="F12" s="385"/>
      <c r="G12" s="383" t="str">
        <f ca="1">IFERROR(IF(E12&lt;&gt;"",INDIRECT("priprava_" &amp; A$1 &amp; "!BY8"),""),"")</f>
        <v>7. 11.</v>
      </c>
      <c r="H12" s="384"/>
      <c r="I12" s="26"/>
      <c r="J12" s="386" t="str">
        <f ca="1">IFERROR(IF(INDIRECT("priprava_" &amp; J$1 &amp; "!BZ3")&lt;&gt;"",INDIRECT("priprava_" &amp; J$1 &amp; "!BZ3"),""),"")</f>
        <v>CLP (d)</v>
      </c>
      <c r="K12" s="385"/>
      <c r="L12" s="383" t="str">
        <f ca="1">IFERROR(IF(J12&lt;&gt;"",INDIRECT("priprava_" &amp; J$1 &amp; "!CA3"),""),"")</f>
        <v>7:3</v>
      </c>
      <c r="M12" s="384"/>
      <c r="N12" s="251" t="str">
        <f ca="1">IFERROR(IF(INDIRECT("priprava_" &amp; J$1 &amp; "!BZ8")&lt;&gt;"",INDIRECT("priprava_" &amp; J$1 &amp; "!BZ8"),""),"")</f>
        <v>TAT (d)</v>
      </c>
      <c r="O12" s="385"/>
      <c r="P12" s="383" t="str">
        <f ca="1">IFERROR(IF(N12&lt;&gt;"",INDIRECT("priprava_" &amp; J$1 &amp; "!BY8"),""),"")</f>
        <v>6. 11.</v>
      </c>
      <c r="Q12" s="384"/>
      <c r="R12" s="25"/>
      <c r="S12" s="158" t="s">
        <v>23</v>
      </c>
      <c r="T12" s="159" t="s">
        <v>5</v>
      </c>
      <c r="U12" s="217" t="s">
        <v>1454</v>
      </c>
      <c r="V12" s="160" t="s">
        <v>1446</v>
      </c>
      <c r="W12" s="161" t="s">
        <v>1437</v>
      </c>
      <c r="X12" s="310" t="str">
        <f t="shared" si="0"/>
        <v>MB - SKV</v>
      </c>
      <c r="Y12" s="310"/>
      <c r="Z12" s="310"/>
      <c r="AA12" s="251"/>
      <c r="AB12" s="220" t="str">
        <f t="shared" si="1"/>
        <v>11:5</v>
      </c>
      <c r="AC12" s="309" t="str">
        <f t="shared" si="2"/>
        <v>2015/2016 (ZČ)</v>
      </c>
      <c r="AD12" s="310"/>
      <c r="AE12" s="311"/>
    </row>
    <row r="13" spans="1:31" ht="15" customHeight="1" x14ac:dyDescent="0.25">
      <c r="A13" s="387" t="str">
        <f ca="1">IFERROR(IF(INDIRECT("priprava_" &amp; A$1 &amp; "!BZ4")&lt;&gt;"",INDIRECT("priprava_" &amp; A$1 &amp; "!BZ4"),""),"")</f>
        <v>VIT (h)</v>
      </c>
      <c r="B13" s="320"/>
      <c r="C13" s="321" t="str">
        <f ca="1">IFERROR(IF(A13&lt;&gt;"",INDIRECT("priprava_" &amp; A$1 &amp; "!CA4"),""),"")</f>
        <v>4:9</v>
      </c>
      <c r="D13" s="322"/>
      <c r="E13" s="319" t="str">
        <f ca="1">IFERROR(IF(INDIRECT("priprava_" &amp; A$1 &amp; "!BZ9")&lt;&gt;"",INDIRECT("priprava_" &amp; A$1 &amp; "!BZ9"),""),"")</f>
        <v>TAT (h)</v>
      </c>
      <c r="F13" s="320"/>
      <c r="G13" s="321" t="str">
        <f ca="1">IFERROR(IF(E13&lt;&gt;"",INDIRECT("priprava_" &amp; A$1 &amp; "!BY9"),""),"")</f>
        <v>15. 11.</v>
      </c>
      <c r="H13" s="322"/>
      <c r="I13" s="25"/>
      <c r="J13" s="387" t="str">
        <f ca="1">IFERROR(IF(INDIRECT("priprava_" &amp; J$1 &amp; "!BZ4")&lt;&gt;"",INDIRECT("priprava_" &amp; J$1 &amp; "!BZ4"),""),"")</f>
        <v>OTR (h)</v>
      </c>
      <c r="K13" s="320"/>
      <c r="L13" s="321" t="str">
        <f ca="1">IFERROR(IF(J13&lt;&gt;"",INDIRECT("priprava_" &amp; J$1 &amp; "!CA4"),""),"")</f>
        <v>7:2</v>
      </c>
      <c r="M13" s="322"/>
      <c r="N13" s="319" t="str">
        <f ca="1">IFERROR(IF(INDIRECT("priprava_" &amp; J$1 &amp; "!BZ9")&lt;&gt;"",INDIRECT("priprava_" &amp; J$1 &amp; "!BZ9"),""),"")</f>
        <v>LIB (h)</v>
      </c>
      <c r="O13" s="320"/>
      <c r="P13" s="321" t="str">
        <f ca="1">IFERROR(IF(N13&lt;&gt;"",INDIRECT("priprava_" &amp; J$1 &amp; "!BY9"),""),"")</f>
        <v>14. 11.</v>
      </c>
      <c r="Q13" s="322"/>
      <c r="R13" s="27"/>
      <c r="S13" s="158" t="s">
        <v>5</v>
      </c>
      <c r="T13" s="159" t="s">
        <v>23</v>
      </c>
      <c r="U13" s="217" t="s">
        <v>813</v>
      </c>
      <c r="V13" s="160" t="s">
        <v>1446</v>
      </c>
      <c r="W13" s="161" t="s">
        <v>1437</v>
      </c>
      <c r="X13" s="310" t="str">
        <f t="shared" si="0"/>
        <v>SKV - MB</v>
      </c>
      <c r="Y13" s="310"/>
      <c r="Z13" s="310"/>
      <c r="AA13" s="251"/>
      <c r="AB13" s="220" t="str">
        <f t="shared" si="1"/>
        <v>6:9</v>
      </c>
      <c r="AC13" s="309" t="str">
        <f t="shared" si="2"/>
        <v>2015/2016 (ZČ)</v>
      </c>
      <c r="AD13" s="310"/>
      <c r="AE13" s="311"/>
    </row>
    <row r="14" spans="1:31" ht="15" customHeight="1" x14ac:dyDescent="0.25">
      <c r="A14" s="386" t="str">
        <f ca="1">IFERROR(IF(INDIRECT("priprava_" &amp; A$1 &amp; "!BZ5")&lt;&gt;"",INDIRECT("priprava_" &amp; A$1 &amp; "!BZ5"),""),"")</f>
        <v>BOH (d)</v>
      </c>
      <c r="B14" s="385"/>
      <c r="C14" s="383" t="str">
        <f ca="1">IFERROR(IF(A14&lt;&gt;"",INDIRECT("priprava_" &amp; A$1 &amp; "!CA5"),""),"")</f>
        <v>4:6</v>
      </c>
      <c r="D14" s="384"/>
      <c r="E14" s="251" t="str">
        <f ca="1">IFERROR(IF(INDIRECT("priprava_" &amp; A$1 &amp; "!BZ10")&lt;&gt;"",INDIRECT("priprava_" &amp; A$1 &amp; "!BZ10"),""),"")</f>
        <v>OST (d)</v>
      </c>
      <c r="F14" s="385"/>
      <c r="G14" s="383" t="str">
        <f ca="1">IFERROR(IF(E14&lt;&gt;"",INDIRECT("priprava_" &amp; A$1 &amp; "!BY10"),""),"")</f>
        <v>17. 11.</v>
      </c>
      <c r="H14" s="384"/>
      <c r="I14" s="26"/>
      <c r="J14" s="386" t="str">
        <f ca="1">IFERROR(IF(INDIRECT("priprava_" &amp; J$1 &amp; "!BZ5")&lt;&gt;"",INDIRECT("priprava_" &amp; J$1 &amp; "!BZ5"),""),"")</f>
        <v>HAT (d)</v>
      </c>
      <c r="K14" s="385"/>
      <c r="L14" s="383" t="str">
        <f ca="1">IFERROR(IF(J14&lt;&gt;"",INDIRECT("priprava_" &amp; J$1 &amp; "!CA5"),""),"")</f>
        <v>12:1</v>
      </c>
      <c r="M14" s="384"/>
      <c r="N14" s="251" t="str">
        <f ca="1">IFERROR(IF(INDIRECT("priprava_" &amp; J$1 &amp; "!BZ10")&lt;&gt;"",INDIRECT("priprava_" &amp; J$1 &amp; "!BZ10"),""),"")</f>
        <v>CHO (d)</v>
      </c>
      <c r="O14" s="385"/>
      <c r="P14" s="383" t="str">
        <f ca="1">IFERROR(IF(N14&lt;&gt;"",INDIRECT("priprava_" &amp; J$1 &amp; "!BY10"),""),"")</f>
        <v>17. 11.</v>
      </c>
      <c r="Q14" s="384"/>
      <c r="R14" s="25"/>
      <c r="S14" s="158" t="s">
        <v>5</v>
      </c>
      <c r="T14" s="159" t="s">
        <v>23</v>
      </c>
      <c r="U14" s="217" t="s">
        <v>1455</v>
      </c>
      <c r="V14" s="160" t="s">
        <v>1447</v>
      </c>
      <c r="W14" s="161" t="s">
        <v>1437</v>
      </c>
      <c r="X14" s="310" t="str">
        <f t="shared" si="0"/>
        <v>SKV - MB</v>
      </c>
      <c r="Y14" s="310"/>
      <c r="Z14" s="310"/>
      <c r="AA14" s="251"/>
      <c r="AB14" s="220" t="str">
        <f t="shared" si="1"/>
        <v>2:9</v>
      </c>
      <c r="AC14" s="309" t="str">
        <f t="shared" si="2"/>
        <v>2014/2015 (ZČ)</v>
      </c>
      <c r="AD14" s="310"/>
      <c r="AE14" s="311"/>
    </row>
    <row r="15" spans="1:31" ht="15" customHeight="1" thickBot="1" x14ac:dyDescent="0.3">
      <c r="A15" s="334" t="str">
        <f ca="1">IFERROR(IF(INDIRECT("priprava_" &amp; A$1 &amp; "!BZ6")&lt;&gt;"",INDIRECT("priprava_" &amp; A$1 &amp; "!BZ6"),""),"")</f>
        <v>PAR (d)</v>
      </c>
      <c r="B15" s="333"/>
      <c r="C15" s="317" t="str">
        <f ca="1">IFERROR(IF(A15&lt;&gt;"",INDIRECT("priprava_" &amp; A$1 &amp; "!CA6"),""),"")</f>
        <v>6:5</v>
      </c>
      <c r="D15" s="318"/>
      <c r="E15" s="332" t="str">
        <f ca="1">IFERROR(IF(INDIRECT("priprava_" &amp; A$1 &amp; "!BZ11")&lt;&gt;"",INDIRECT("priprava_" &amp; A$1 &amp; "!BZ11"),""),"")</f>
        <v>LIB (h)</v>
      </c>
      <c r="F15" s="333"/>
      <c r="G15" s="317" t="str">
        <f ca="1">IFERROR(IF(E15&lt;&gt;"",INDIRECT("priprava_" &amp; A$1 &amp; "!BY11"),""),"")</f>
        <v>21. 11.</v>
      </c>
      <c r="H15" s="318"/>
      <c r="I15" s="25"/>
      <c r="J15" s="334" t="str">
        <f ca="1">IFERROR(IF(INDIRECT("priprava_" &amp; J$1 &amp; "!BZ6")&lt;&gt;"",INDIRECT("priprava_" &amp; J$1 &amp; "!BZ6"),""),"")</f>
        <v>VIT (h)</v>
      </c>
      <c r="K15" s="333"/>
      <c r="L15" s="317" t="str">
        <f ca="1">IFERROR(IF(J15&lt;&gt;"",INDIRECT("priprava_" &amp; J$1 &amp; "!CA6"),""),"")</f>
        <v>4:6</v>
      </c>
      <c r="M15" s="318"/>
      <c r="N15" s="332" t="str">
        <f ca="1">IFERROR(IF(INDIRECT("priprava_" &amp; J$1 &amp; "!BZ11")&lt;&gt;"",INDIRECT("priprava_" &amp; J$1 &amp; "!BZ11"),""),"")</f>
        <v>BA (h)</v>
      </c>
      <c r="O15" s="333"/>
      <c r="P15" s="317" t="str">
        <f ca="1">IFERROR(IF(N15&lt;&gt;"",INDIRECT("priprava_" &amp; J$1 &amp; "!BY11"),""),"")</f>
        <v>20. 11.</v>
      </c>
      <c r="Q15" s="318"/>
      <c r="R15" s="25"/>
      <c r="S15" s="158" t="s">
        <v>23</v>
      </c>
      <c r="T15" s="159" t="s">
        <v>5</v>
      </c>
      <c r="U15" s="217" t="s">
        <v>1456</v>
      </c>
      <c r="V15" s="160" t="s">
        <v>1447</v>
      </c>
      <c r="W15" s="161" t="s">
        <v>1437</v>
      </c>
      <c r="X15" s="310" t="str">
        <f t="shared" si="0"/>
        <v>MB - SKV</v>
      </c>
      <c r="Y15" s="310"/>
      <c r="Z15" s="310"/>
      <c r="AA15" s="251"/>
      <c r="AB15" s="220" t="str">
        <f t="shared" si="1"/>
        <v>14:5</v>
      </c>
      <c r="AC15" s="309" t="str">
        <f t="shared" si="2"/>
        <v>2014/2015 (ZČ)</v>
      </c>
      <c r="AD15" s="310"/>
      <c r="AE15" s="311"/>
    </row>
    <row r="16" spans="1:31" ht="15" customHeight="1" thickTop="1" x14ac:dyDescent="0.25">
      <c r="R16" s="37"/>
      <c r="S16" s="158" t="s">
        <v>5</v>
      </c>
      <c r="T16" s="159" t="s">
        <v>23</v>
      </c>
      <c r="U16" s="217" t="s">
        <v>1221</v>
      </c>
      <c r="V16" s="160" t="s">
        <v>1448</v>
      </c>
      <c r="W16" s="161" t="s">
        <v>1437</v>
      </c>
      <c r="X16" s="310" t="str">
        <f t="shared" ref="X16:X19" si="3">IF(S16&lt;&gt;"",CONCATENATE(S16, " - ",T16),"")</f>
        <v>SKV - MB</v>
      </c>
      <c r="Y16" s="310"/>
      <c r="Z16" s="310"/>
      <c r="AA16" s="251"/>
      <c r="AB16" s="220" t="str">
        <f t="shared" ref="AB16:AB19" si="4">IF(U16&lt;&gt;"",U16,"")</f>
        <v>2:5</v>
      </c>
      <c r="AC16" s="309" t="str">
        <f t="shared" ref="AC16:AC19" si="5">IF(AND(V16&lt;&gt;"",W16&lt;&gt;""),CONCATENATE(V16," (",W16,")"),IF(V16&lt;&gt;"",V16,""))</f>
        <v>2006/2007 (ZČ)</v>
      </c>
      <c r="AD16" s="310"/>
      <c r="AE16" s="311"/>
    </row>
    <row r="17" spans="1:31" ht="15" customHeight="1" thickBot="1" x14ac:dyDescent="0.3">
      <c r="A17" s="352" t="s">
        <v>35</v>
      </c>
      <c r="B17" s="352"/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352"/>
      <c r="R17" s="352"/>
      <c r="S17" s="158" t="s">
        <v>23</v>
      </c>
      <c r="T17" s="159" t="s">
        <v>5</v>
      </c>
      <c r="U17" s="217" t="s">
        <v>1068</v>
      </c>
      <c r="V17" s="160" t="s">
        <v>1448</v>
      </c>
      <c r="W17" s="161" t="s">
        <v>1437</v>
      </c>
      <c r="X17" s="310" t="str">
        <f t="shared" si="3"/>
        <v>MB - SKV</v>
      </c>
      <c r="Y17" s="310"/>
      <c r="Z17" s="310"/>
      <c r="AA17" s="251"/>
      <c r="AB17" s="220" t="str">
        <f t="shared" si="4"/>
        <v>7:3</v>
      </c>
      <c r="AC17" s="309" t="str">
        <f t="shared" si="5"/>
        <v>2006/2007 (ZČ)</v>
      </c>
      <c r="AD17" s="310"/>
      <c r="AE17" s="311"/>
    </row>
    <row r="18" spans="1:31" ht="15" customHeight="1" thickTop="1" thickBot="1" x14ac:dyDescent="0.3">
      <c r="A18" s="353" t="s">
        <v>36</v>
      </c>
      <c r="B18" s="354"/>
      <c r="C18" s="355"/>
      <c r="D18" s="356" t="s">
        <v>37</v>
      </c>
      <c r="E18" s="354"/>
      <c r="F18" s="357"/>
      <c r="G18" s="358" t="s">
        <v>38</v>
      </c>
      <c r="H18" s="354"/>
      <c r="I18" s="359"/>
      <c r="J18" s="360" t="s">
        <v>36</v>
      </c>
      <c r="K18" s="361"/>
      <c r="L18" s="362"/>
      <c r="M18" s="363" t="s">
        <v>37</v>
      </c>
      <c r="N18" s="361"/>
      <c r="O18" s="364"/>
      <c r="P18" s="365" t="s">
        <v>38</v>
      </c>
      <c r="Q18" s="361"/>
      <c r="R18" s="366"/>
      <c r="S18" s="158"/>
      <c r="T18" s="159"/>
      <c r="U18" s="217"/>
      <c r="V18" s="160"/>
      <c r="W18" s="161"/>
      <c r="X18" s="310" t="str">
        <f t="shared" si="3"/>
        <v/>
      </c>
      <c r="Y18" s="310"/>
      <c r="Z18" s="310"/>
      <c r="AA18" s="251"/>
      <c r="AB18" s="220" t="str">
        <f t="shared" si="4"/>
        <v/>
      </c>
      <c r="AC18" s="309" t="str">
        <f t="shared" si="5"/>
        <v/>
      </c>
      <c r="AD18" s="310"/>
      <c r="AE18" s="311"/>
    </row>
    <row r="19" spans="1:31" ht="15" customHeight="1" thickBot="1" x14ac:dyDescent="0.3">
      <c r="A19" s="377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378"/>
      <c r="C19" s="39">
        <f ca="1">IFERROR(IF(A19&lt;&gt;"",INDIRECT("priprava_" &amp; A$1 &amp; "!BW2"),""),"")</f>
        <v>22</v>
      </c>
      <c r="D19" s="379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378"/>
      <c r="F19" s="39">
        <f ca="1">IFERROR(IF(D19&lt;&gt;"",INDIRECT("priprava_" &amp; A$1 &amp; "!BW12"),""),"")</f>
        <v>12</v>
      </c>
      <c r="G19" s="379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Kopecký</v>
      </c>
      <c r="H19" s="378"/>
      <c r="I19" s="39">
        <f ca="1">IFERROR(IF(G19&lt;&gt;"",INDIRECT("priprava_" &amp; A$1 &amp; "!BW22"),""),"")</f>
        <v>10</v>
      </c>
      <c r="J19" s="380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Curney</v>
      </c>
      <c r="K19" s="381"/>
      <c r="L19" s="40">
        <f ca="1">IFERROR(IF(J19&lt;&gt;"",INDIRECT("priprava_" &amp; J$1 &amp; "!BW2"),""),"")</f>
        <v>22</v>
      </c>
      <c r="M19" s="382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Pěnička</v>
      </c>
      <c r="N19" s="381"/>
      <c r="O19" s="40">
        <f ca="1">IFERROR(IF(M19&lt;&gt;"",INDIRECT("priprava_" &amp; J$1 &amp; "!BW12"),""),"")</f>
        <v>12</v>
      </c>
      <c r="P19" s="382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Curney</v>
      </c>
      <c r="Q19" s="381"/>
      <c r="R19" s="41">
        <f ca="1">IFERROR(IF(P19&lt;&gt;"",INDIRECT("priprava_" &amp; J$1 &amp; "!BW22"),""),"")</f>
        <v>12</v>
      </c>
      <c r="S19" s="162"/>
      <c r="T19" s="163"/>
      <c r="U19" s="218"/>
      <c r="V19" s="164"/>
      <c r="W19" s="165"/>
      <c r="X19" s="391" t="str">
        <f t="shared" si="3"/>
        <v/>
      </c>
      <c r="Y19" s="391"/>
      <c r="Z19" s="391"/>
      <c r="AA19" s="392"/>
      <c r="AB19" s="221" t="str">
        <f t="shared" si="4"/>
        <v/>
      </c>
      <c r="AC19" s="393" t="str">
        <f t="shared" si="5"/>
        <v/>
      </c>
      <c r="AD19" s="391"/>
      <c r="AE19" s="394"/>
    </row>
    <row r="20" spans="1:31" ht="15" customHeight="1" thickTop="1" thickBot="1" x14ac:dyDescent="0.3">
      <c r="A20" s="335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Fiala</v>
      </c>
      <c r="B20" s="336"/>
      <c r="C20" s="42">
        <f ca="1">IFERROR(IF(A20&lt;&gt;"",INDIRECT("priprava_" &amp; A$1 &amp; "!BW3"),""),"")</f>
        <v>14</v>
      </c>
      <c r="D20" s="337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Klápa</v>
      </c>
      <c r="E20" s="336"/>
      <c r="F20" s="43">
        <f ca="1">IFERROR(IF(D20&lt;&gt;"",INDIRECT("priprava_" &amp; A$1 &amp; "!BW13"),""),"")</f>
        <v>8</v>
      </c>
      <c r="G20" s="338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336"/>
      <c r="I20" s="44">
        <f ca="1">IFERROR(IF(G20&lt;&gt;"",INDIRECT("priprava_" &amp; A$1 &amp; "!BW23"),""),"")</f>
        <v>8</v>
      </c>
      <c r="J20" s="339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Pěnička</v>
      </c>
      <c r="K20" s="340"/>
      <c r="L20" s="45">
        <f ca="1">IFERROR(IF(J20&lt;&gt;"",INDIRECT("priprava_" &amp; J$1 &amp; "!BW3"),""),"")</f>
        <v>15</v>
      </c>
      <c r="M20" s="341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Bína</v>
      </c>
      <c r="N20" s="340"/>
      <c r="O20" s="46">
        <f ca="1">IFERROR(IF(M20&lt;&gt;"",INDIRECT("priprava_" &amp; J$1 &amp; "!BW13"),""),"")</f>
        <v>11</v>
      </c>
      <c r="P20" s="342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Beneš</v>
      </c>
      <c r="Q20" s="340"/>
      <c r="R20" s="47">
        <f ca="1">IFERROR(IF(P20&lt;&gt;"",INDIRECT("priprava_" &amp; J$1 &amp; "!BW23"),""),"")</f>
        <v>8</v>
      </c>
    </row>
    <row r="21" spans="1:31" ht="15" customHeight="1" thickTop="1" x14ac:dyDescent="0.25">
      <c r="A21" s="335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336"/>
      <c r="C21" s="42">
        <f ca="1">IFERROR(IF(A21&lt;&gt;"",INDIRECT("priprava_" &amp; A$1 &amp; "!BW4"),""),"")</f>
        <v>12</v>
      </c>
      <c r="D21" s="337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Pergler</v>
      </c>
      <c r="E21" s="336"/>
      <c r="F21" s="43">
        <f ca="1">IFERROR(IF(D21&lt;&gt;"",INDIRECT("priprava_" &amp; A$1 &amp; "!BW14"),""),"")</f>
        <v>6</v>
      </c>
      <c r="G21" s="338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Pergler</v>
      </c>
      <c r="H21" s="336"/>
      <c r="I21" s="44">
        <f ca="1">IFERROR(IF(G21&lt;&gt;"",INDIRECT("priprava_" &amp; A$1 &amp; "!BW24"),""),"")</f>
        <v>6</v>
      </c>
      <c r="J21" s="339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Bína</v>
      </c>
      <c r="K21" s="340"/>
      <c r="L21" s="45">
        <f ca="1">IFERROR(IF(J21&lt;&gt;"",INDIRECT("priprava_" &amp; J$1 &amp; "!BW4"),""),"")</f>
        <v>13</v>
      </c>
      <c r="M21" s="341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Curney</v>
      </c>
      <c r="N21" s="340"/>
      <c r="O21" s="46">
        <f ca="1">IFERROR(IF(M21&lt;&gt;"",INDIRECT("priprava_" &amp; J$1 &amp; "!BW14"),""),"")</f>
        <v>10</v>
      </c>
      <c r="P21" s="342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Suchánek</v>
      </c>
      <c r="Q21" s="340"/>
      <c r="R21" s="47">
        <f ca="1">IFERROR(IF(P21&lt;&gt;"",INDIRECT("priprava_" &amp; J$1 &amp; "!BW24"),""),"")</f>
        <v>7</v>
      </c>
      <c r="Y21" s="278" t="s">
        <v>1110</v>
      </c>
      <c r="Z21" s="279"/>
      <c r="AA21" s="279"/>
      <c r="AB21" s="279"/>
      <c r="AC21" s="279"/>
      <c r="AD21" s="279"/>
      <c r="AE21" s="280"/>
    </row>
    <row r="22" spans="1:31" ht="15" customHeight="1" thickBot="1" x14ac:dyDescent="0.3">
      <c r="A22" s="335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Pergler</v>
      </c>
      <c r="B22" s="336"/>
      <c r="C22" s="42">
        <f ca="1">IFERROR(IF(A22&lt;&gt;"",INDIRECT("priprava_" &amp; A$1 &amp; "!BW5"),""),"")</f>
        <v>12</v>
      </c>
      <c r="D22" s="337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Fiala</v>
      </c>
      <c r="E22" s="336"/>
      <c r="F22" s="43">
        <f ca="1">IFERROR(IF(D22&lt;&gt;"",INDIRECT("priprava_" &amp; A$1 &amp; "!BW15"),""),"")</f>
        <v>6</v>
      </c>
      <c r="G22" s="338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Stuchlík O.</v>
      </c>
      <c r="H22" s="336"/>
      <c r="I22" s="44">
        <f ca="1">IFERROR(IF(G22&lt;&gt;"",INDIRECT("priprava_" &amp; A$1 &amp; "!BW25"),""),"")</f>
        <v>5</v>
      </c>
      <c r="J22" s="339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Tokoš</v>
      </c>
      <c r="K22" s="340"/>
      <c r="L22" s="45">
        <f ca="1">IFERROR(IF(J22&lt;&gt;"",INDIRECT("priprava_" &amp; J$1 &amp; "!BW5"),""),"")</f>
        <v>12</v>
      </c>
      <c r="M22" s="341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Tokoš</v>
      </c>
      <c r="N22" s="340"/>
      <c r="O22" s="46">
        <f ca="1">IFERROR(IF(M22&lt;&gt;"",INDIRECT("priprava_" &amp; J$1 &amp; "!BW15"),""),"")</f>
        <v>8</v>
      </c>
      <c r="P22" s="342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Tomašík</v>
      </c>
      <c r="Q22" s="340"/>
      <c r="R22" s="47">
        <f ca="1">IFERROR(IF(P22&lt;&gt;"",INDIRECT("priprava_" &amp; J$1 &amp; "!BW25"),""),"")</f>
        <v>6</v>
      </c>
      <c r="Y22" s="195" t="s">
        <v>1462</v>
      </c>
      <c r="Z22" s="196"/>
      <c r="AA22" s="196"/>
      <c r="AB22" s="196"/>
      <c r="AC22" s="196"/>
      <c r="AD22" s="196"/>
      <c r="AE22" s="197"/>
    </row>
    <row r="23" spans="1:31" ht="15" customHeight="1" thickBot="1" x14ac:dyDescent="0.3">
      <c r="A23" s="325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Stuchlík Z.</v>
      </c>
      <c r="B23" s="326"/>
      <c r="C23" s="48">
        <f ca="1">IFERROR(IF(A23&lt;&gt;"",INDIRECT("priprava_" &amp; A$1 &amp; "!BW6"),""),"")</f>
        <v>6</v>
      </c>
      <c r="D23" s="327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Procházka</v>
      </c>
      <c r="E23" s="326"/>
      <c r="F23" s="49">
        <f ca="1">IFERROR(IF(D23&lt;&gt;"",INDIRECT("priprava_" &amp; A$1 &amp; "!BW16"),""),"")</f>
        <v>5</v>
      </c>
      <c r="G23" s="328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Klápa</v>
      </c>
      <c r="H23" s="326"/>
      <c r="I23" s="50">
        <f ca="1">IFERROR(IF(G23&lt;&gt;"",INDIRECT("priprava_" &amp; A$1 &amp; "!BW26"),""),"")</f>
        <v>4</v>
      </c>
      <c r="J23" s="329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Šebek</v>
      </c>
      <c r="K23" s="330"/>
      <c r="L23" s="51">
        <f ca="1">IFERROR(IF(J23&lt;&gt;"",INDIRECT("priprava_" &amp; J$1 &amp; "!BW6"),""),"")</f>
        <v>11</v>
      </c>
      <c r="M23" s="331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Chroust</v>
      </c>
      <c r="N23" s="330"/>
      <c r="O23" s="52">
        <f ca="1">IFERROR(IF(M23&lt;&gt;"",INDIRECT("priprava_" &amp; J$1 &amp; "!BW16"),""),"")</f>
        <v>7</v>
      </c>
      <c r="P23" s="351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Hemerka</v>
      </c>
      <c r="Q23" s="330"/>
      <c r="R23" s="53">
        <f ca="1">IFERROR(IF(P23&lt;&gt;"",INDIRECT("priprava_" &amp; J$1 &amp; "!BW26"),""),"")</f>
        <v>5</v>
      </c>
      <c r="Y23" s="198" t="s">
        <v>1109</v>
      </c>
      <c r="Z23" s="199" t="s">
        <v>78</v>
      </c>
      <c r="AA23" s="200" t="s">
        <v>1106</v>
      </c>
      <c r="AB23" s="200" t="s">
        <v>122</v>
      </c>
      <c r="AC23" s="200" t="s">
        <v>1107</v>
      </c>
      <c r="AD23" s="200" t="s">
        <v>42</v>
      </c>
      <c r="AE23" s="201" t="s">
        <v>1108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  <c r="Y24" s="202" t="s">
        <v>23</v>
      </c>
      <c r="Z24" s="203">
        <v>401</v>
      </c>
      <c r="AA24" s="204">
        <v>306</v>
      </c>
      <c r="AB24" s="204">
        <v>2</v>
      </c>
      <c r="AC24" s="204">
        <v>93</v>
      </c>
      <c r="AD24" s="204">
        <v>904</v>
      </c>
      <c r="AE24" s="205">
        <v>76</v>
      </c>
    </row>
    <row r="25" spans="1:31" ht="15" customHeight="1" thickTop="1" thickBot="1" x14ac:dyDescent="0.3">
      <c r="A25" s="353" t="s">
        <v>39</v>
      </c>
      <c r="B25" s="354"/>
      <c r="C25" s="355"/>
      <c r="D25" s="356" t="s">
        <v>40</v>
      </c>
      <c r="E25" s="354"/>
      <c r="F25" s="357"/>
      <c r="G25" s="358" t="s">
        <v>41</v>
      </c>
      <c r="H25" s="354"/>
      <c r="I25" s="359"/>
      <c r="J25" s="360" t="s">
        <v>39</v>
      </c>
      <c r="K25" s="361"/>
      <c r="L25" s="362"/>
      <c r="M25" s="363" t="s">
        <v>40</v>
      </c>
      <c r="N25" s="361"/>
      <c r="O25" s="364"/>
      <c r="P25" s="365" t="s">
        <v>41</v>
      </c>
      <c r="Q25" s="361"/>
      <c r="R25" s="366"/>
      <c r="Y25" s="206" t="s">
        <v>5</v>
      </c>
      <c r="Z25" s="207">
        <v>155</v>
      </c>
      <c r="AA25" s="208">
        <v>34</v>
      </c>
      <c r="AB25" s="208">
        <v>1</v>
      </c>
      <c r="AC25" s="208">
        <v>120</v>
      </c>
      <c r="AD25" s="208">
        <v>104</v>
      </c>
      <c r="AE25" s="209">
        <v>22</v>
      </c>
    </row>
    <row r="26" spans="1:31" ht="15" customHeight="1" thickBot="1" x14ac:dyDescent="0.3">
      <c r="A26" s="377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Stuchlík O.</v>
      </c>
      <c r="B26" s="378"/>
      <c r="C26" s="39">
        <f ca="1">IFERROR(IF(A26&lt;&gt;"",INDIRECT("priprava_" &amp; A$1 &amp; "!BW27"),""),"")</f>
        <v>14</v>
      </c>
      <c r="D26" s="379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378"/>
      <c r="F26" s="54">
        <f ca="1">IFERROR(IF(D26&lt;&gt;"",INDIRECT("priprava_" &amp; A$1 &amp; "!BW7"),""),"")</f>
        <v>6.43</v>
      </c>
      <c r="G26" s="379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378"/>
      <c r="I26" s="39">
        <f ca="1">IFERROR(IF(G26&lt;&gt;"",INDIRECT("priprava_" &amp; A$1 &amp; "!BW17"),""),"")</f>
        <v>2</v>
      </c>
      <c r="J26" s="380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Tokoš</v>
      </c>
      <c r="K26" s="381"/>
      <c r="L26" s="40">
        <f ca="1">IFERROR(IF(J26&lt;&gt;"",INDIRECT("priprava_" &amp; J$1 &amp; "!BW27"),""),"")</f>
        <v>10</v>
      </c>
      <c r="M26" s="382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Bauer</v>
      </c>
      <c r="N26" s="381"/>
      <c r="O26" s="55">
        <f ca="1">IFERROR(IF(M26&lt;&gt;"",INDIRECT("priprava_" &amp; J$1 &amp; "!BW7"),""),"")</f>
        <v>2.98</v>
      </c>
      <c r="P26" s="382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Bauer</v>
      </c>
      <c r="Q26" s="381"/>
      <c r="R26" s="41">
        <f ca="1">IFERROR(IF(P26&lt;&gt;"",INDIRECT("priprava_" &amp; J$1 &amp; "!BW17"),""),"")</f>
        <v>9</v>
      </c>
    </row>
    <row r="27" spans="1:31" ht="15" customHeight="1" thickTop="1" x14ac:dyDescent="0.25">
      <c r="A27" s="335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Fiala</v>
      </c>
      <c r="B27" s="336"/>
      <c r="C27" s="42">
        <f ca="1">IFERROR(IF(A27&lt;&gt;"",INDIRECT("priprava_" &amp; A$1 &amp; "!BW28"),""),"")</f>
        <v>6</v>
      </c>
      <c r="D27" s="337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336"/>
      <c r="F27" s="56">
        <f ca="1">IFERROR(IF(D27&lt;&gt;"",INDIRECT("priprava_" &amp; A$1 &amp; "!BW8"),""),"")</f>
        <v>8.11</v>
      </c>
      <c r="G27" s="338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336"/>
      <c r="I27" s="44">
        <f ca="1">IFERROR(IF(G27&lt;&gt;"",INDIRECT("priprava_" &amp; A$1 &amp; "!BW18"),""),"")</f>
        <v>1</v>
      </c>
      <c r="J27" s="339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Suchánek</v>
      </c>
      <c r="K27" s="340"/>
      <c r="L27" s="45">
        <f ca="1">IFERROR(IF(J27&lt;&gt;"",INDIRECT("priprava_" &amp; J$1 &amp; "!BW28"),""),"")</f>
        <v>8</v>
      </c>
      <c r="M27" s="341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Hanuš</v>
      </c>
      <c r="N27" s="340"/>
      <c r="O27" s="57">
        <f ca="1">IFERROR(IF(M27&lt;&gt;"",INDIRECT("priprava_" &amp; J$1 &amp; "!BW8"),""),"")</f>
        <v>0</v>
      </c>
      <c r="P27" s="342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Tomšík</v>
      </c>
      <c r="Q27" s="340"/>
      <c r="R27" s="215">
        <f ca="1">IFERROR(IF(P27&lt;&gt;"",INDIRECT("priprava_" &amp; J$1 &amp; "!BW18"),""),"")</f>
        <v>1</v>
      </c>
      <c r="S27" s="260" t="s">
        <v>1463</v>
      </c>
      <c r="T27" s="261"/>
      <c r="U27" s="261"/>
      <c r="V27" s="261"/>
      <c r="W27" s="261"/>
      <c r="X27" s="261"/>
      <c r="Y27" s="261"/>
      <c r="Z27" s="261"/>
      <c r="AA27" s="261"/>
      <c r="AB27" s="261"/>
      <c r="AC27" s="261"/>
      <c r="AD27" s="261"/>
      <c r="AE27" s="262"/>
    </row>
    <row r="28" spans="1:31" ht="15" customHeight="1" thickBot="1" x14ac:dyDescent="0.3">
      <c r="A28" s="335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Čuda</v>
      </c>
      <c r="B28" s="336"/>
      <c r="C28" s="42">
        <f ca="1">IFERROR(IF(A28&lt;&gt;"",INDIRECT("priprava_" &amp; A$1 &amp; "!BW29"),""),"")</f>
        <v>6</v>
      </c>
      <c r="D28" s="337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336"/>
      <c r="F28" s="56" t="str">
        <f ca="1">IFERROR(IF(D28&lt;&gt;"",INDIRECT("priprava_" &amp; A$1 &amp; "!BW9"),""),"")</f>
        <v/>
      </c>
      <c r="G28" s="338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336"/>
      <c r="I28" s="44" t="str">
        <f ca="1">IFERROR(IF(G28&lt;&gt;"",INDIRECT("priprava_" &amp; A$1 &amp; "!BW19"),""),"")</f>
        <v/>
      </c>
      <c r="J28" s="339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Fořt</v>
      </c>
      <c r="K28" s="340"/>
      <c r="L28" s="45">
        <f ca="1">IFERROR(IF(J28&lt;&gt;"",INDIRECT("priprava_" &amp; J$1 &amp; "!BW29"),""),"")</f>
        <v>6</v>
      </c>
      <c r="M28" s="341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>Tomšík</v>
      </c>
      <c r="N28" s="340"/>
      <c r="O28" s="57">
        <f ca="1">IFERROR(IF(M28&lt;&gt;"",INDIRECT("priprava_" &amp; J$1 &amp; "!BW9"),""),"")</f>
        <v>1</v>
      </c>
      <c r="P28" s="342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>Hanuš</v>
      </c>
      <c r="Q28" s="340"/>
      <c r="R28" s="215">
        <f ca="1">IFERROR(IF(P28&lt;&gt;"",INDIRECT("priprava_" &amp; J$1 &amp; "!BW19"),""),"")</f>
        <v>0</v>
      </c>
      <c r="S28" s="195" t="s">
        <v>1430</v>
      </c>
      <c r="T28" s="196"/>
      <c r="U28" s="240"/>
      <c r="V28" s="241"/>
      <c r="W28" s="240"/>
      <c r="X28" s="222"/>
      <c r="Y28" s="222"/>
      <c r="Z28" s="222"/>
      <c r="AA28" s="222"/>
      <c r="AB28" s="222"/>
      <c r="AC28" s="222"/>
      <c r="AD28" s="222"/>
      <c r="AE28" s="223"/>
    </row>
    <row r="29" spans="1:31" ht="15" customHeight="1" thickBot="1" x14ac:dyDescent="0.3">
      <c r="A29" s="335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Z.</v>
      </c>
      <c r="B29" s="336"/>
      <c r="C29" s="42">
        <f ca="1">IFERROR(IF(A29&lt;&gt;"",INDIRECT("priprava_" &amp; A$1 &amp; "!BW30"),""),"")</f>
        <v>4</v>
      </c>
      <c r="D29" s="337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336"/>
      <c r="F29" s="56" t="str">
        <f ca="1">IFERROR(IF(D29&lt;&gt;"",INDIRECT("priprava_" &amp; A$1 &amp; "!BW10"),""),"")</f>
        <v/>
      </c>
      <c r="G29" s="338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336"/>
      <c r="I29" s="44" t="str">
        <f ca="1">IFERROR(IF(G29&lt;&gt;"",INDIRECT("priprava_" &amp; A$1 &amp; "!BW20"),""),"")</f>
        <v/>
      </c>
      <c r="J29" s="339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Hemerka</v>
      </c>
      <c r="K29" s="340"/>
      <c r="L29" s="45">
        <f ca="1">IFERROR(IF(J29&lt;&gt;"",INDIRECT("priprava_" &amp; J$1 &amp; "!BW30"),""),"")</f>
        <v>4</v>
      </c>
      <c r="M29" s="341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340"/>
      <c r="O29" s="57" t="str">
        <f ca="1">IFERROR(IF(M29&lt;&gt;"",INDIRECT("priprava_" &amp; J$1 &amp; "!BW10"),""),"")</f>
        <v/>
      </c>
      <c r="P29" s="342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340"/>
      <c r="R29" s="215" t="str">
        <f ca="1">IFERROR(IF(P29&lt;&gt;"",INDIRECT("priprava_" &amp; J$1 &amp; "!BW20"),""),"")</f>
        <v/>
      </c>
      <c r="S29" s="231" t="s">
        <v>1431</v>
      </c>
      <c r="T29" s="239" t="s">
        <v>1432</v>
      </c>
      <c r="U29" s="242"/>
      <c r="V29" s="242"/>
      <c r="W29" s="243"/>
      <c r="X29" s="263" t="s">
        <v>189</v>
      </c>
      <c r="Y29" s="264"/>
      <c r="Z29" s="265" t="s">
        <v>1464</v>
      </c>
      <c r="AA29" s="265"/>
      <c r="AB29" s="265"/>
      <c r="AC29" s="265"/>
      <c r="AD29" s="265"/>
      <c r="AE29" s="266"/>
    </row>
    <row r="30" spans="1:31" ht="15" customHeight="1" thickBot="1" x14ac:dyDescent="0.3">
      <c r="A30" s="325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Cabejšek</v>
      </c>
      <c r="B30" s="326"/>
      <c r="C30" s="48">
        <f ca="1">IFERROR(IF(A30&lt;&gt;"",INDIRECT("priprava_" &amp; A$1 &amp; "!BW31"),""),"")</f>
        <v>2</v>
      </c>
      <c r="D30" s="327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326"/>
      <c r="F30" s="58" t="str">
        <f ca="1">IFERROR(IF(D30&lt;&gt;"",INDIRECT("priprava_" &amp; A$1 &amp; "!BW11"),""),"")</f>
        <v/>
      </c>
      <c r="G30" s="328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326"/>
      <c r="I30" s="50" t="str">
        <f ca="1">IFERROR(IF(G30&lt;&gt;"",INDIRECT("priprava_" &amp; A$1 &amp; "!BW21"),""),"")</f>
        <v/>
      </c>
      <c r="J30" s="329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Šebek</v>
      </c>
      <c r="K30" s="330"/>
      <c r="L30" s="51">
        <f ca="1">IFERROR(IF(J30&lt;&gt;"",INDIRECT("priprava_" &amp; J$1 &amp; "!BW31"),""),"")</f>
        <v>4</v>
      </c>
      <c r="M30" s="331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330"/>
      <c r="O30" s="59" t="str">
        <f ca="1">IFERROR(IF(M30&lt;&gt;"",INDIRECT("priprava_" &amp; J$1 &amp; "!BW11"),""),"")</f>
        <v/>
      </c>
      <c r="P30" s="351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330"/>
      <c r="R30" s="51" t="str">
        <f ca="1">IFERROR(IF(P30&lt;&gt;"",INDIRECT("priprava_" &amp; J$1 &amp; "!BW21"),""),"")</f>
        <v/>
      </c>
      <c r="S30" s="232" t="s">
        <v>1433</v>
      </c>
      <c r="T30" s="233" t="s">
        <v>1434</v>
      </c>
      <c r="U30" s="244"/>
      <c r="V30" s="244"/>
      <c r="W30" s="245"/>
      <c r="X30" s="267" t="str">
        <f>IF(S30&lt;&gt;"",S30,"")</f>
        <v>celkem</v>
      </c>
      <c r="Y30" s="268"/>
      <c r="Z30" s="254" t="str">
        <f>IF(T30&lt;&gt;"",T30,"")</f>
        <v>14 zápasů, 0 - 0 - 0 - 0 - 14, skóre 41:132</v>
      </c>
      <c r="AA30" s="254"/>
      <c r="AB30" s="254"/>
      <c r="AC30" s="254"/>
      <c r="AD30" s="254"/>
      <c r="AE30" s="255"/>
    </row>
    <row r="31" spans="1:31" ht="15" customHeight="1" thickTop="1" thickBot="1" x14ac:dyDescent="0.3">
      <c r="S31" s="234" t="s">
        <v>1435</v>
      </c>
      <c r="T31" s="235" t="s">
        <v>1436</v>
      </c>
      <c r="U31" s="246"/>
      <c r="V31" s="246"/>
      <c r="W31" s="247"/>
      <c r="X31" s="250" t="str">
        <f t="shared" ref="X31:X37" si="6">IF(S31&lt;&gt;"",S31,"")</f>
        <v>PO</v>
      </c>
      <c r="Y31" s="251"/>
      <c r="Z31" s="256" t="str">
        <f t="shared" ref="Z31:Z37" si="7">IF(T31&lt;&gt;"",T31,"")</f>
        <v>2 zápasy, 0 - 0 - 0 - 0 - 2, skóre 6:26</v>
      </c>
      <c r="AA31" s="256"/>
      <c r="AB31" s="256"/>
      <c r="AC31" s="256"/>
      <c r="AD31" s="256"/>
      <c r="AE31" s="257"/>
    </row>
    <row r="32" spans="1:31" ht="15" customHeight="1" thickTop="1" thickBot="1" x14ac:dyDescent="0.3">
      <c r="I32" s="140"/>
      <c r="J32" s="140"/>
      <c r="K32" s="348" t="s">
        <v>44</v>
      </c>
      <c r="L32" s="349"/>
      <c r="M32" s="349"/>
      <c r="N32" s="349"/>
      <c r="O32" s="349"/>
      <c r="P32" s="349"/>
      <c r="Q32" s="349"/>
      <c r="R32" s="350"/>
      <c r="S32" s="234" t="s">
        <v>1437</v>
      </c>
      <c r="T32" s="235" t="s">
        <v>1438</v>
      </c>
      <c r="U32" s="246"/>
      <c r="V32" s="246"/>
      <c r="W32" s="247"/>
      <c r="X32" s="250" t="str">
        <f t="shared" si="6"/>
        <v>ZČ</v>
      </c>
      <c r="Y32" s="251"/>
      <c r="Z32" s="256" t="str">
        <f t="shared" si="7"/>
        <v>12 zápasů, 0 - 0 - 0 - 0 - 12, skóre 35:106</v>
      </c>
      <c r="AA32" s="256"/>
      <c r="AB32" s="256"/>
      <c r="AC32" s="256"/>
      <c r="AD32" s="256"/>
      <c r="AE32" s="257"/>
    </row>
    <row r="33" spans="1:31" ht="15" customHeight="1" thickTop="1" thickBot="1" x14ac:dyDescent="0.3">
      <c r="B33" s="297" t="s">
        <v>43</v>
      </c>
      <c r="C33" s="298"/>
      <c r="D33" s="298"/>
      <c r="E33" s="298"/>
      <c r="F33" s="298"/>
      <c r="G33" s="298"/>
      <c r="H33" s="298"/>
      <c r="I33" s="299"/>
      <c r="J33" s="141"/>
      <c r="K33" s="295" t="str">
        <f t="shared" ref="K33:K48" si="8">X4</f>
        <v>SKV - MB</v>
      </c>
      <c r="L33" s="296"/>
      <c r="M33" s="296"/>
      <c r="N33" s="296"/>
      <c r="O33" s="142" t="str">
        <f t="shared" ref="O33:O48" si="9">AB4</f>
        <v>3:7</v>
      </c>
      <c r="P33" s="313" t="str">
        <f t="shared" ref="P33:P48" si="10">AC4</f>
        <v>2020/2021 (ZČ)</v>
      </c>
      <c r="Q33" s="296"/>
      <c r="R33" s="314"/>
      <c r="S33" s="234" t="s">
        <v>1439</v>
      </c>
      <c r="T33" s="235" t="s">
        <v>1440</v>
      </c>
      <c r="U33" s="246"/>
      <c r="V33" s="246"/>
      <c r="W33" s="247"/>
      <c r="X33" s="250" t="str">
        <f t="shared" si="6"/>
        <v>čtvrtfinále</v>
      </c>
      <c r="Y33" s="251"/>
      <c r="Z33" s="256" t="str">
        <f t="shared" si="7"/>
        <v>1 série - 0:0, 2 zápasy - 0:2</v>
      </c>
      <c r="AA33" s="256"/>
      <c r="AB33" s="256"/>
      <c r="AC33" s="256"/>
      <c r="AD33" s="256"/>
      <c r="AE33" s="257"/>
    </row>
    <row r="34" spans="1:31" ht="15" customHeight="1" x14ac:dyDescent="0.25">
      <c r="B34" s="289" t="str">
        <f>$A$1</f>
        <v>SKV</v>
      </c>
      <c r="C34" s="290"/>
      <c r="D34" s="290"/>
      <c r="E34" s="291"/>
      <c r="F34" s="292" t="str">
        <f>$J$1</f>
        <v>MB</v>
      </c>
      <c r="G34" s="293"/>
      <c r="H34" s="293"/>
      <c r="I34" s="294"/>
      <c r="J34" s="141"/>
      <c r="K34" s="300" t="str">
        <f t="shared" si="8"/>
        <v>MB - SKV</v>
      </c>
      <c r="L34" s="301"/>
      <c r="M34" s="301"/>
      <c r="N34" s="301"/>
      <c r="O34" s="143" t="str">
        <f t="shared" si="9"/>
        <v>7:2</v>
      </c>
      <c r="P34" s="315" t="str">
        <f t="shared" si="10"/>
        <v>2020/2021 (ZČ)</v>
      </c>
      <c r="Q34" s="301"/>
      <c r="R34" s="316"/>
      <c r="S34" s="234"/>
      <c r="T34" s="235"/>
      <c r="U34" s="246"/>
      <c r="V34" s="246"/>
      <c r="W34" s="247"/>
      <c r="X34" s="250" t="str">
        <f t="shared" si="6"/>
        <v/>
      </c>
      <c r="Y34" s="251"/>
      <c r="Z34" s="256" t="str">
        <f t="shared" si="7"/>
        <v/>
      </c>
      <c r="AA34" s="256"/>
      <c r="AB34" s="256"/>
      <c r="AC34" s="256"/>
      <c r="AD34" s="256"/>
      <c r="AE34" s="257"/>
    </row>
    <row r="35" spans="1:31" ht="15" customHeight="1" x14ac:dyDescent="0.25">
      <c r="B35" s="284" t="str">
        <f>X30</f>
        <v>celkem</v>
      </c>
      <c r="C35" s="282" t="s">
        <v>1433</v>
      </c>
      <c r="D35" s="343" t="str">
        <f>Z30</f>
        <v>14 zápasů, 0 - 0 - 0 - 0 - 14, skóre 41:132</v>
      </c>
      <c r="E35" s="343"/>
      <c r="F35" s="343"/>
      <c r="G35" s="343"/>
      <c r="H35" s="343"/>
      <c r="I35" s="344"/>
      <c r="J35" s="144"/>
      <c r="K35" s="300" t="str">
        <f t="shared" si="8"/>
        <v>MB - SKV</v>
      </c>
      <c r="L35" s="301"/>
      <c r="M35" s="301"/>
      <c r="N35" s="301"/>
      <c r="O35" s="143" t="str">
        <f t="shared" si="9"/>
        <v>13:3</v>
      </c>
      <c r="P35" s="315" t="str">
        <f t="shared" si="10"/>
        <v>2019/2020 (PO)</v>
      </c>
      <c r="Q35" s="301"/>
      <c r="R35" s="316"/>
      <c r="S35" s="236"/>
      <c r="T35" s="235"/>
      <c r="U35" s="246"/>
      <c r="V35" s="246"/>
      <c r="W35" s="247"/>
      <c r="X35" s="250" t="str">
        <f t="shared" si="6"/>
        <v/>
      </c>
      <c r="Y35" s="251"/>
      <c r="Z35" s="256" t="str">
        <f t="shared" si="7"/>
        <v/>
      </c>
      <c r="AA35" s="256"/>
      <c r="AB35" s="256"/>
      <c r="AC35" s="256"/>
      <c r="AD35" s="256"/>
      <c r="AE35" s="257"/>
    </row>
    <row r="36" spans="1:31" ht="15" customHeight="1" x14ac:dyDescent="0.25">
      <c r="B36" s="284" t="str">
        <f t="shared" ref="B36:B42" si="11">X31</f>
        <v>PO</v>
      </c>
      <c r="C36" s="282" t="s">
        <v>1433</v>
      </c>
      <c r="D36" s="343" t="str">
        <f t="shared" ref="D36:D42" si="12">Z31</f>
        <v>2 zápasy, 0 - 0 - 0 - 0 - 2, skóre 6:26</v>
      </c>
      <c r="E36" s="343"/>
      <c r="F36" s="343"/>
      <c r="G36" s="343"/>
      <c r="H36" s="343"/>
      <c r="I36" s="344"/>
      <c r="J36" s="144"/>
      <c r="K36" s="284" t="str">
        <f t="shared" si="8"/>
        <v>MB - SKV</v>
      </c>
      <c r="L36" s="282"/>
      <c r="M36" s="282"/>
      <c r="N36" s="282"/>
      <c r="O36" s="145" t="str">
        <f t="shared" si="9"/>
        <v>13:3</v>
      </c>
      <c r="P36" s="281" t="str">
        <f t="shared" si="10"/>
        <v>2019/2020 (PO)</v>
      </c>
      <c r="Q36" s="282"/>
      <c r="R36" s="283"/>
      <c r="S36" s="234"/>
      <c r="T36" s="235"/>
      <c r="U36" s="246"/>
      <c r="V36" s="246"/>
      <c r="W36" s="247"/>
      <c r="X36" s="250" t="str">
        <f t="shared" si="6"/>
        <v/>
      </c>
      <c r="Y36" s="251"/>
      <c r="Z36" s="256" t="str">
        <f t="shared" si="7"/>
        <v/>
      </c>
      <c r="AA36" s="256"/>
      <c r="AB36" s="256"/>
      <c r="AC36" s="256"/>
      <c r="AD36" s="256"/>
      <c r="AE36" s="257"/>
    </row>
    <row r="37" spans="1:31" ht="15" customHeight="1" thickBot="1" x14ac:dyDescent="0.3">
      <c r="B37" s="284" t="str">
        <f t="shared" si="11"/>
        <v>ZČ</v>
      </c>
      <c r="C37" s="282" t="s">
        <v>1433</v>
      </c>
      <c r="D37" s="343" t="str">
        <f t="shared" si="12"/>
        <v>12 zápasů, 0 - 0 - 0 - 0 - 12, skóre 35:106</v>
      </c>
      <c r="E37" s="343"/>
      <c r="F37" s="343"/>
      <c r="G37" s="343"/>
      <c r="H37" s="343"/>
      <c r="I37" s="344"/>
      <c r="J37" s="144"/>
      <c r="K37" s="284" t="str">
        <f t="shared" si="8"/>
        <v>SKV - MB</v>
      </c>
      <c r="L37" s="282"/>
      <c r="M37" s="282"/>
      <c r="N37" s="282"/>
      <c r="O37" s="145" t="str">
        <f t="shared" si="9"/>
        <v>1:7</v>
      </c>
      <c r="P37" s="281" t="str">
        <f t="shared" si="10"/>
        <v>2019/2020 (ZČ)</v>
      </c>
      <c r="Q37" s="282"/>
      <c r="R37" s="283"/>
      <c r="S37" s="237"/>
      <c r="T37" s="238"/>
      <c r="U37" s="248"/>
      <c r="V37" s="248"/>
      <c r="W37" s="249"/>
      <c r="X37" s="252" t="str">
        <f t="shared" si="6"/>
        <v/>
      </c>
      <c r="Y37" s="253"/>
      <c r="Z37" s="258" t="str">
        <f t="shared" si="7"/>
        <v/>
      </c>
      <c r="AA37" s="258"/>
      <c r="AB37" s="258"/>
      <c r="AC37" s="258"/>
      <c r="AD37" s="258"/>
      <c r="AE37" s="259"/>
    </row>
    <row r="38" spans="1:31" ht="15" customHeight="1" thickTop="1" x14ac:dyDescent="0.25">
      <c r="B38" s="284" t="str">
        <f t="shared" si="11"/>
        <v>čtvrtfinále</v>
      </c>
      <c r="C38" s="282" t="s">
        <v>1433</v>
      </c>
      <c r="D38" s="343" t="str">
        <f t="shared" si="12"/>
        <v>1 série - 0:0, 2 zápasy - 0:2</v>
      </c>
      <c r="E38" s="343"/>
      <c r="F38" s="343"/>
      <c r="G38" s="343"/>
      <c r="H38" s="343"/>
      <c r="I38" s="344"/>
      <c r="J38" s="146"/>
      <c r="K38" s="369" t="str">
        <f t="shared" si="8"/>
        <v>MB - SKV</v>
      </c>
      <c r="L38" s="370"/>
      <c r="M38" s="370"/>
      <c r="N38" s="370"/>
      <c r="O38" s="147" t="str">
        <f t="shared" si="9"/>
        <v>9:2</v>
      </c>
      <c r="P38" s="371" t="str">
        <f t="shared" si="10"/>
        <v>2019/2020 (ZČ)</v>
      </c>
      <c r="Q38" s="370"/>
      <c r="R38" s="372"/>
    </row>
    <row r="39" spans="1:31" ht="15" customHeight="1" x14ac:dyDescent="0.25">
      <c r="B39" s="284" t="str">
        <f t="shared" si="11"/>
        <v/>
      </c>
      <c r="C39" s="282" t="s">
        <v>1433</v>
      </c>
      <c r="D39" s="343" t="str">
        <f t="shared" si="12"/>
        <v/>
      </c>
      <c r="E39" s="343"/>
      <c r="F39" s="343"/>
      <c r="G39" s="343"/>
      <c r="H39" s="343"/>
      <c r="I39" s="344"/>
      <c r="J39" s="146"/>
      <c r="K39" s="284" t="str">
        <f t="shared" si="8"/>
        <v>SKV - MB</v>
      </c>
      <c r="L39" s="282"/>
      <c r="M39" s="282"/>
      <c r="N39" s="282"/>
      <c r="O39" s="145" t="str">
        <f t="shared" si="9"/>
        <v>1:9</v>
      </c>
      <c r="P39" s="281" t="str">
        <f t="shared" si="10"/>
        <v>2018/2019 (ZČ)</v>
      </c>
      <c r="Q39" s="282"/>
      <c r="R39" s="283"/>
    </row>
    <row r="40" spans="1:31" ht="15" customHeight="1" x14ac:dyDescent="0.25">
      <c r="B40" s="285" t="str">
        <f t="shared" si="11"/>
        <v/>
      </c>
      <c r="C40" s="286" t="s">
        <v>1433</v>
      </c>
      <c r="D40" s="373" t="str">
        <f t="shared" si="12"/>
        <v/>
      </c>
      <c r="E40" s="373"/>
      <c r="F40" s="373"/>
      <c r="G40" s="373"/>
      <c r="H40" s="373"/>
      <c r="I40" s="374"/>
      <c r="J40" s="144"/>
      <c r="K40" s="284" t="str">
        <f t="shared" si="8"/>
        <v>MB - SKV</v>
      </c>
      <c r="L40" s="282"/>
      <c r="M40" s="282"/>
      <c r="N40" s="282"/>
      <c r="O40" s="145" t="str">
        <f t="shared" si="9"/>
        <v>12:3</v>
      </c>
      <c r="P40" s="281" t="str">
        <f t="shared" si="10"/>
        <v>2018/2019 (ZČ)</v>
      </c>
      <c r="Q40" s="282"/>
      <c r="R40" s="283"/>
    </row>
    <row r="41" spans="1:31" ht="15" customHeight="1" x14ac:dyDescent="0.25">
      <c r="B41" s="284" t="str">
        <f t="shared" si="11"/>
        <v/>
      </c>
      <c r="C41" s="282" t="s">
        <v>1433</v>
      </c>
      <c r="D41" s="343" t="str">
        <f t="shared" si="12"/>
        <v/>
      </c>
      <c r="E41" s="343"/>
      <c r="F41" s="343"/>
      <c r="G41" s="343"/>
      <c r="H41" s="343"/>
      <c r="I41" s="344"/>
      <c r="J41" s="144"/>
      <c r="K41" s="369" t="str">
        <f t="shared" si="8"/>
        <v>MB - SKV</v>
      </c>
      <c r="L41" s="370"/>
      <c r="M41" s="370"/>
      <c r="N41" s="370"/>
      <c r="O41" s="147" t="str">
        <f t="shared" si="9"/>
        <v>11:5</v>
      </c>
      <c r="P41" s="371" t="str">
        <f t="shared" si="10"/>
        <v>2015/2016 (ZČ)</v>
      </c>
      <c r="Q41" s="370"/>
      <c r="R41" s="372"/>
    </row>
    <row r="42" spans="1:31" ht="15" customHeight="1" thickBot="1" x14ac:dyDescent="0.3">
      <c r="B42" s="287" t="str">
        <f t="shared" si="11"/>
        <v/>
      </c>
      <c r="C42" s="288" t="s">
        <v>1433</v>
      </c>
      <c r="D42" s="375" t="str">
        <f t="shared" si="12"/>
        <v/>
      </c>
      <c r="E42" s="375"/>
      <c r="F42" s="375"/>
      <c r="G42" s="375"/>
      <c r="H42" s="375"/>
      <c r="I42" s="376"/>
      <c r="J42" s="144"/>
      <c r="K42" s="284" t="str">
        <f t="shared" si="8"/>
        <v>SKV - MB</v>
      </c>
      <c r="L42" s="282"/>
      <c r="M42" s="282"/>
      <c r="N42" s="282"/>
      <c r="O42" s="145" t="str">
        <f t="shared" si="9"/>
        <v>6:9</v>
      </c>
      <c r="P42" s="281" t="str">
        <f t="shared" si="10"/>
        <v>2015/2016 (ZČ)</v>
      </c>
      <c r="Q42" s="282"/>
      <c r="R42" s="283"/>
    </row>
    <row r="43" spans="1:31" ht="15" customHeight="1" thickTop="1" thickBot="1" x14ac:dyDescent="0.3">
      <c r="I43" s="144"/>
      <c r="J43" s="144"/>
      <c r="K43" s="284" t="str">
        <f t="shared" si="8"/>
        <v>SKV - MB</v>
      </c>
      <c r="L43" s="282"/>
      <c r="M43" s="282"/>
      <c r="N43" s="282"/>
      <c r="O43" s="145" t="str">
        <f t="shared" si="9"/>
        <v>2:9</v>
      </c>
      <c r="P43" s="281" t="str">
        <f t="shared" si="10"/>
        <v>2014/2015 (ZČ)</v>
      </c>
      <c r="Q43" s="282"/>
      <c r="R43" s="283"/>
    </row>
    <row r="44" spans="1:31" ht="15" customHeight="1" thickTop="1" thickBot="1" x14ac:dyDescent="0.3">
      <c r="B44" s="275" t="s">
        <v>1105</v>
      </c>
      <c r="C44" s="276"/>
      <c r="D44" s="276"/>
      <c r="E44" s="276"/>
      <c r="F44" s="276"/>
      <c r="G44" s="276"/>
      <c r="H44" s="276"/>
      <c r="I44" s="277"/>
      <c r="J44" s="144"/>
      <c r="K44" s="284" t="str">
        <f t="shared" si="8"/>
        <v>MB - SKV</v>
      </c>
      <c r="L44" s="282"/>
      <c r="M44" s="282"/>
      <c r="N44" s="282"/>
      <c r="O44" s="145" t="str">
        <f t="shared" si="9"/>
        <v>14:5</v>
      </c>
      <c r="P44" s="281" t="str">
        <f t="shared" si="10"/>
        <v>2014/2015 (ZČ)</v>
      </c>
      <c r="Q44" s="282"/>
      <c r="R44" s="283"/>
    </row>
    <row r="45" spans="1:31" ht="15" customHeight="1" thickBot="1" x14ac:dyDescent="0.3">
      <c r="A45" s="144"/>
      <c r="B45" s="273" t="s">
        <v>86</v>
      </c>
      <c r="C45" s="274"/>
      <c r="D45" s="192" t="s">
        <v>78</v>
      </c>
      <c r="E45" s="190" t="s">
        <v>1106</v>
      </c>
      <c r="F45" s="190" t="s">
        <v>122</v>
      </c>
      <c r="G45" s="190" t="s">
        <v>1107</v>
      </c>
      <c r="H45" s="190" t="s">
        <v>42</v>
      </c>
      <c r="I45" s="191" t="s">
        <v>1108</v>
      </c>
      <c r="J45" s="144"/>
      <c r="K45" s="284" t="str">
        <f t="shared" si="8"/>
        <v>SKV - MB</v>
      </c>
      <c r="L45" s="282"/>
      <c r="M45" s="282"/>
      <c r="N45" s="282"/>
      <c r="O45" s="145" t="str">
        <f t="shared" si="9"/>
        <v>2:5</v>
      </c>
      <c r="P45" s="281" t="str">
        <f t="shared" si="10"/>
        <v>2006/2007 (ZČ)</v>
      </c>
      <c r="Q45" s="282"/>
      <c r="R45" s="283"/>
    </row>
    <row r="46" spans="1:31" ht="15" customHeight="1" x14ac:dyDescent="0.25">
      <c r="A46" s="140"/>
      <c r="B46" s="269" t="str">
        <f>$A$1</f>
        <v>SKV</v>
      </c>
      <c r="C46" s="270"/>
      <c r="D46" s="193">
        <f>VLOOKUP($B46,$Y$24:$AE$25,2,FALSE)</f>
        <v>155</v>
      </c>
      <c r="E46" s="188">
        <f>VLOOKUP($B46,$Y$24:$AE$25,3,FALSE)</f>
        <v>34</v>
      </c>
      <c r="F46" s="189">
        <f>VLOOKUP($B46,$Y$24:$AE$25,4,FALSE)</f>
        <v>1</v>
      </c>
      <c r="G46" s="189">
        <f>VLOOKUP($B46,$Y$24:$AE$25,5,FALSE)</f>
        <v>120</v>
      </c>
      <c r="H46" s="211">
        <f>VLOOKUP($B46,$Y$24:$AE$25,6,FALSE)</f>
        <v>104</v>
      </c>
      <c r="I46" s="213">
        <f>VLOOKUP($B46,$Y$24:$AE$25,7,FALSE)</f>
        <v>22</v>
      </c>
      <c r="J46" s="144"/>
      <c r="K46" s="284" t="str">
        <f t="shared" si="8"/>
        <v>MB - SKV</v>
      </c>
      <c r="L46" s="282"/>
      <c r="M46" s="282"/>
      <c r="N46" s="282"/>
      <c r="O46" s="145" t="str">
        <f t="shared" si="9"/>
        <v>7:3</v>
      </c>
      <c r="P46" s="281" t="str">
        <f t="shared" si="10"/>
        <v>2006/2007 (ZČ)</v>
      </c>
      <c r="Q46" s="282"/>
      <c r="R46" s="283"/>
    </row>
    <row r="47" spans="1:31" ht="15" customHeight="1" thickBot="1" x14ac:dyDescent="0.3">
      <c r="A47" s="140"/>
      <c r="B47" s="271" t="str">
        <f>$J$1</f>
        <v>MB</v>
      </c>
      <c r="C47" s="272"/>
      <c r="D47" s="194">
        <f>VLOOKUP($B47,$Y$24:$AE$25,2,FALSE)</f>
        <v>401</v>
      </c>
      <c r="E47" s="186">
        <f>VLOOKUP($B47,$Y$24:$AE$25,3,FALSE)</f>
        <v>306</v>
      </c>
      <c r="F47" s="187">
        <f>VLOOKUP($B47,$Y$24:$AE$25,4,FALSE)</f>
        <v>2</v>
      </c>
      <c r="G47" s="187">
        <f>VLOOKUP($B47,$Y$24:$AE$25,5,FALSE)</f>
        <v>93</v>
      </c>
      <c r="H47" s="212">
        <f>VLOOKUP($B47,$Y$24:$AE$25,6,FALSE)</f>
        <v>904</v>
      </c>
      <c r="I47" s="214">
        <f>VLOOKUP($B47,$Y$24:$AE$25,7,FALSE)</f>
        <v>76</v>
      </c>
      <c r="J47" s="144"/>
      <c r="K47" s="284" t="str">
        <f t="shared" si="8"/>
        <v/>
      </c>
      <c r="L47" s="282"/>
      <c r="M47" s="282"/>
      <c r="N47" s="282"/>
      <c r="O47" s="145" t="str">
        <f t="shared" si="9"/>
        <v/>
      </c>
      <c r="P47" s="281" t="str">
        <f t="shared" si="10"/>
        <v/>
      </c>
      <c r="Q47" s="282"/>
      <c r="R47" s="283"/>
    </row>
    <row r="48" spans="1:31" ht="15" customHeight="1" thickTop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302" t="str">
        <f t="shared" si="8"/>
        <v/>
      </c>
      <c r="L48" s="303"/>
      <c r="M48" s="303"/>
      <c r="N48" s="303"/>
      <c r="O48" s="148" t="str">
        <f t="shared" si="9"/>
        <v/>
      </c>
      <c r="P48" s="304" t="str">
        <f t="shared" si="10"/>
        <v/>
      </c>
      <c r="Q48" s="303"/>
      <c r="R48" s="305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367">
        <f ca="1">TODAY()</f>
        <v>44503</v>
      </c>
      <c r="H50" s="368"/>
      <c r="I50" s="368"/>
      <c r="J50" s="368"/>
      <c r="K50" s="368"/>
      <c r="L50" s="368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47">
    <mergeCell ref="X16:AA16"/>
    <mergeCell ref="AC16:AE16"/>
    <mergeCell ref="X17:AA17"/>
    <mergeCell ref="AC17:AE17"/>
    <mergeCell ref="X18:AA18"/>
    <mergeCell ref="AC18:AE18"/>
    <mergeCell ref="X19:AA19"/>
    <mergeCell ref="AC19:AE19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  <mergeCell ref="G13:H13"/>
    <mergeCell ref="J13:K13"/>
    <mergeCell ref="L13:M13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A19:B19"/>
    <mergeCell ref="D19:E19"/>
    <mergeCell ref="G19:H19"/>
    <mergeCell ref="J19:K19"/>
    <mergeCell ref="M19:N19"/>
    <mergeCell ref="P19:Q19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A21:B21"/>
    <mergeCell ref="D21:E21"/>
    <mergeCell ref="G21:H21"/>
    <mergeCell ref="J21:K21"/>
    <mergeCell ref="M21:N21"/>
    <mergeCell ref="P21:Q21"/>
    <mergeCell ref="A20:B20"/>
    <mergeCell ref="D20:E20"/>
    <mergeCell ref="G20:H20"/>
    <mergeCell ref="J20:K20"/>
    <mergeCell ref="M20:N20"/>
    <mergeCell ref="P20:Q20"/>
    <mergeCell ref="A23:B23"/>
    <mergeCell ref="D23:E23"/>
    <mergeCell ref="G23:H23"/>
    <mergeCell ref="J23:K23"/>
    <mergeCell ref="M23:N23"/>
    <mergeCell ref="P23:Q23"/>
    <mergeCell ref="A22:B22"/>
    <mergeCell ref="D22:E22"/>
    <mergeCell ref="G22:H22"/>
    <mergeCell ref="J22:K22"/>
    <mergeCell ref="M22:N22"/>
    <mergeCell ref="P22:Q22"/>
    <mergeCell ref="A26:B26"/>
    <mergeCell ref="D26:E26"/>
    <mergeCell ref="G26:H26"/>
    <mergeCell ref="J26:K26"/>
    <mergeCell ref="M26:N26"/>
    <mergeCell ref="P26:Q26"/>
    <mergeCell ref="A25:C25"/>
    <mergeCell ref="D25:F25"/>
    <mergeCell ref="G25:I25"/>
    <mergeCell ref="J25:L25"/>
    <mergeCell ref="M25:O25"/>
    <mergeCell ref="P25:R25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D39:I39"/>
    <mergeCell ref="D40:I40"/>
    <mergeCell ref="D41:I41"/>
    <mergeCell ref="D42:I42"/>
    <mergeCell ref="K45:N45"/>
    <mergeCell ref="S1:AE1"/>
    <mergeCell ref="X3:AA3"/>
    <mergeCell ref="AC3:AE3"/>
    <mergeCell ref="X4:AA4"/>
    <mergeCell ref="X5:AA5"/>
    <mergeCell ref="X6:AA6"/>
    <mergeCell ref="X7:AA7"/>
    <mergeCell ref="X8:AA8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M28:N28"/>
    <mergeCell ref="P28:Q28"/>
    <mergeCell ref="A27:B27"/>
    <mergeCell ref="D27:E27"/>
    <mergeCell ref="X13:AA13"/>
    <mergeCell ref="X14:AA14"/>
    <mergeCell ref="N13:O13"/>
    <mergeCell ref="P13:Q13"/>
    <mergeCell ref="N11:O11"/>
    <mergeCell ref="A30:B30"/>
    <mergeCell ref="D30:E30"/>
    <mergeCell ref="G30:H30"/>
    <mergeCell ref="J30:K30"/>
    <mergeCell ref="M30:N30"/>
    <mergeCell ref="C15:D15"/>
    <mergeCell ref="E15:F15"/>
    <mergeCell ref="G15:H15"/>
    <mergeCell ref="J15:K15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K48:N48"/>
    <mergeCell ref="P48:R48"/>
    <mergeCell ref="AC4:AE4"/>
    <mergeCell ref="AC15:AE15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AC14:AE14"/>
    <mergeCell ref="N6:O6"/>
    <mergeCell ref="P33:R33"/>
    <mergeCell ref="P34:R34"/>
    <mergeCell ref="P35:R35"/>
    <mergeCell ref="L15:M15"/>
    <mergeCell ref="X15:AA15"/>
    <mergeCell ref="X9:AA9"/>
    <mergeCell ref="X10:AA10"/>
    <mergeCell ref="X11:AA11"/>
    <mergeCell ref="X12:AA12"/>
    <mergeCell ref="B47:C47"/>
    <mergeCell ref="B45:C45"/>
    <mergeCell ref="B44:I44"/>
    <mergeCell ref="Y21:AE21"/>
    <mergeCell ref="P45:R45"/>
    <mergeCell ref="K46:N46"/>
    <mergeCell ref="P46:R46"/>
    <mergeCell ref="K47:N47"/>
    <mergeCell ref="P47:R47"/>
    <mergeCell ref="B39:C39"/>
    <mergeCell ref="B40:C40"/>
    <mergeCell ref="B41:C41"/>
    <mergeCell ref="B42:C42"/>
    <mergeCell ref="B34:E34"/>
    <mergeCell ref="F34:I34"/>
    <mergeCell ref="K33:N33"/>
    <mergeCell ref="B33:I33"/>
    <mergeCell ref="B35:C35"/>
    <mergeCell ref="B36:C36"/>
    <mergeCell ref="B37:C37"/>
    <mergeCell ref="B38:C38"/>
    <mergeCell ref="K34:N34"/>
    <mergeCell ref="K35:N35"/>
    <mergeCell ref="D35:I35"/>
    <mergeCell ref="S27:AE27"/>
    <mergeCell ref="X29:Y29"/>
    <mergeCell ref="Z29:AE29"/>
    <mergeCell ref="X30:Y30"/>
    <mergeCell ref="X31:Y31"/>
    <mergeCell ref="X32:Y32"/>
    <mergeCell ref="X33:Y33"/>
    <mergeCell ref="X34:Y34"/>
    <mergeCell ref="B46:C46"/>
    <mergeCell ref="D36:I36"/>
    <mergeCell ref="D37:I37"/>
    <mergeCell ref="D38:I38"/>
    <mergeCell ref="G27:H27"/>
    <mergeCell ref="J27:K27"/>
    <mergeCell ref="M27:N27"/>
    <mergeCell ref="P27:Q27"/>
    <mergeCell ref="X35:Y35"/>
    <mergeCell ref="X36:Y36"/>
    <mergeCell ref="X37:Y37"/>
    <mergeCell ref="Z30:AE30"/>
    <mergeCell ref="Z31:AE31"/>
    <mergeCell ref="Z32:AE32"/>
    <mergeCell ref="Z33:AE33"/>
    <mergeCell ref="Z34:AE34"/>
    <mergeCell ref="Z35:AE35"/>
    <mergeCell ref="Z36:AE36"/>
    <mergeCell ref="Z37:AE37"/>
  </mergeCells>
  <conditionalFormatting sqref="A1:R2">
    <cfRule type="cellIs" dxfId="883" priority="29" stopIfTrue="1" operator="equal">
      <formula>"OTR"</formula>
    </cfRule>
  </conditionalFormatting>
  <conditionalFormatting sqref="A1:R2 B34 F34">
    <cfRule type="cellIs" dxfId="882" priority="30" stopIfTrue="1" operator="equal">
      <formula>"PAR"</formula>
    </cfRule>
    <cfRule type="cellIs" dxfId="881" priority="31" stopIfTrue="1" operator="equal">
      <formula>"CLP"</formula>
    </cfRule>
    <cfRule type="cellIs" dxfId="880" priority="32" stopIfTrue="1" operator="equal">
      <formula>"HAT"</formula>
    </cfRule>
    <cfRule type="cellIs" dxfId="879" priority="33" stopIfTrue="1" operator="equal">
      <formula>"LIB"</formula>
    </cfRule>
    <cfRule type="cellIs" dxfId="878" priority="34" stopIfTrue="1" operator="equal">
      <formula>"BA"</formula>
    </cfRule>
    <cfRule type="cellIs" dxfId="877" priority="35" stopIfTrue="1" operator="equal">
      <formula>"SPA"</formula>
    </cfRule>
    <cfRule type="cellIs" dxfId="876" priority="36" stopIfTrue="1" operator="equal">
      <formula>"OST"</formula>
    </cfRule>
    <cfRule type="cellIs" dxfId="875" priority="37" stopIfTrue="1" operator="equal">
      <formula>"BOH"</formula>
    </cfRule>
    <cfRule type="cellIs" dxfId="874" priority="38" stopIfTrue="1" operator="equal">
      <formula>"TAT"</formula>
    </cfRule>
    <cfRule type="cellIs" dxfId="873" priority="39" stopIfTrue="1" operator="equal">
      <formula>"MB"</formula>
    </cfRule>
    <cfRule type="cellIs" dxfId="872" priority="40" stopIfTrue="1" operator="equal">
      <formula>"VIT"</formula>
    </cfRule>
    <cfRule type="cellIs" dxfId="871" priority="41" stopIfTrue="1" operator="equal">
      <formula>"CHO"</formula>
    </cfRule>
    <cfRule type="cellIs" dxfId="870" priority="42" stopIfTrue="1" operator="equal">
      <formula>"SKV"</formula>
    </cfRule>
  </conditionalFormatting>
  <conditionalFormatting sqref="K33:R48">
    <cfRule type="expression" dxfId="869" priority="28">
      <formula>AND($K33&lt;&gt;"", MOD(ROW($K33),2)=0)</formula>
    </cfRule>
  </conditionalFormatting>
  <conditionalFormatting sqref="B35:I42">
    <cfRule type="expression" dxfId="868" priority="111">
      <formula>AND($B35&lt;&gt;"",MOD(ROW($B35),2)=0)</formula>
    </cfRule>
  </conditionalFormatting>
  <conditionalFormatting sqref="B46:B47">
    <cfRule type="cellIs" dxfId="867" priority="14" stopIfTrue="1" operator="equal">
      <formula>"PAR"</formula>
    </cfRule>
    <cfRule type="cellIs" dxfId="866" priority="15" stopIfTrue="1" operator="equal">
      <formula>"CLP"</formula>
    </cfRule>
    <cfRule type="cellIs" dxfId="865" priority="16" stopIfTrue="1" operator="equal">
      <formula>"HAT"</formula>
    </cfRule>
    <cfRule type="cellIs" dxfId="864" priority="17" stopIfTrue="1" operator="equal">
      <formula>"LIB"</formula>
    </cfRule>
    <cfRule type="cellIs" dxfId="863" priority="18" stopIfTrue="1" operator="equal">
      <formula>"BA"</formula>
    </cfRule>
    <cfRule type="cellIs" dxfId="862" priority="19" stopIfTrue="1" operator="equal">
      <formula>"SPA"</formula>
    </cfRule>
    <cfRule type="cellIs" dxfId="861" priority="20" stopIfTrue="1" operator="equal">
      <formula>"OST"</formula>
    </cfRule>
    <cfRule type="cellIs" dxfId="860" priority="21" stopIfTrue="1" operator="equal">
      <formula>"BOH"</formula>
    </cfRule>
    <cfRule type="cellIs" dxfId="859" priority="22" stopIfTrue="1" operator="equal">
      <formula>"TAT"</formula>
    </cfRule>
    <cfRule type="cellIs" dxfId="858" priority="23" stopIfTrue="1" operator="equal">
      <formula>"MB"</formula>
    </cfRule>
    <cfRule type="cellIs" dxfId="857" priority="24" stopIfTrue="1" operator="equal">
      <formula>"VIT"</formula>
    </cfRule>
    <cfRule type="cellIs" dxfId="856" priority="25" stopIfTrue="1" operator="equal">
      <formula>"CHO"</formula>
    </cfRule>
    <cfRule type="cellIs" dxfId="855" priority="26" stopIfTrue="1" operator="equal">
      <formula>"SKV"</formula>
    </cfRule>
  </conditionalFormatting>
  <conditionalFormatting sqref="Y24:Y25">
    <cfRule type="cellIs" dxfId="854" priority="1" stopIfTrue="1" operator="equal">
      <formula>"PAR"</formula>
    </cfRule>
    <cfRule type="cellIs" dxfId="853" priority="2" stopIfTrue="1" operator="equal">
      <formula>"CLP"</formula>
    </cfRule>
    <cfRule type="cellIs" dxfId="852" priority="3" stopIfTrue="1" operator="equal">
      <formula>"HAT"</formula>
    </cfRule>
    <cfRule type="cellIs" dxfId="851" priority="4" stopIfTrue="1" operator="equal">
      <formula>"LIB"</formula>
    </cfRule>
    <cfRule type="cellIs" dxfId="850" priority="5" stopIfTrue="1" operator="equal">
      <formula>"BA"</formula>
    </cfRule>
    <cfRule type="cellIs" dxfId="849" priority="6" stopIfTrue="1" operator="equal">
      <formula>"SPA"</formula>
    </cfRule>
    <cfRule type="cellIs" dxfId="848" priority="7" stopIfTrue="1" operator="equal">
      <formula>"OST"</formula>
    </cfRule>
    <cfRule type="cellIs" dxfId="847" priority="8" stopIfTrue="1" operator="equal">
      <formula>"BOH"</formula>
    </cfRule>
    <cfRule type="cellIs" dxfId="846" priority="9" stopIfTrue="1" operator="equal">
      <formula>"TAT"</formula>
    </cfRule>
    <cfRule type="cellIs" dxfId="845" priority="10" stopIfTrue="1" operator="equal">
      <formula>"MB"</formula>
    </cfRule>
    <cfRule type="cellIs" dxfId="844" priority="11" stopIfTrue="1" operator="equal">
      <formula>"VIT"</formula>
    </cfRule>
    <cfRule type="cellIs" dxfId="843" priority="12" stopIfTrue="1" operator="equal">
      <formula>"CHO"</formula>
    </cfRule>
    <cfRule type="cellIs" dxfId="842" priority="13" stopIfTrue="1" operator="equal">
      <formula>"SKV"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 xr:uid="{00000000-0002-0000-0200-000000000000}">
          <x14:formula1>
            <xm:f>tabulka!$BB$2:$BB$15</xm:f>
          </x14:formula1>
          <xm:sqref>A1:R2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0" customWidth="1"/>
    <col min="7" max="7" width="21.28515625" style="3" customWidth="1"/>
    <col min="8" max="12" width="21.28515625" style="180" customWidth="1"/>
    <col min="13" max="16384" width="9.140625" style="3"/>
  </cols>
  <sheetData>
    <row r="1" spans="1:12" x14ac:dyDescent="0.25">
      <c r="A1" s="410" t="str">
        <f>prehled!A1</f>
        <v>SKV</v>
      </c>
      <c r="B1" s="410"/>
      <c r="C1" s="410"/>
      <c r="D1" s="410"/>
      <c r="E1" s="410"/>
      <c r="F1" s="410"/>
      <c r="G1" s="410" t="str">
        <f>prehled!J1</f>
        <v>MB</v>
      </c>
      <c r="H1" s="410"/>
      <c r="I1" s="410"/>
      <c r="J1" s="410"/>
      <c r="K1" s="410"/>
      <c r="L1" s="410"/>
    </row>
    <row r="2" spans="1:12" x14ac:dyDescent="0.25">
      <c r="A2" s="410"/>
      <c r="B2" s="410"/>
      <c r="C2" s="410"/>
      <c r="D2" s="410"/>
      <c r="E2" s="410"/>
      <c r="F2" s="410"/>
      <c r="G2" s="410"/>
      <c r="H2" s="410"/>
      <c r="I2" s="410"/>
      <c r="J2" s="410"/>
      <c r="K2" s="410"/>
      <c r="L2" s="410"/>
    </row>
    <row r="3" spans="1:12" s="152" customFormat="1" ht="19.5" x14ac:dyDescent="0.25">
      <c r="A3" s="411" t="s">
        <v>86</v>
      </c>
      <c r="B3" s="411"/>
      <c r="C3" s="411"/>
      <c r="D3" s="411"/>
      <c r="E3" s="411"/>
      <c r="F3" s="411"/>
      <c r="G3" s="411" t="s">
        <v>86</v>
      </c>
      <c r="H3" s="411"/>
      <c r="I3" s="411"/>
      <c r="J3" s="411"/>
      <c r="K3" s="411"/>
      <c r="L3" s="411"/>
    </row>
    <row r="4" spans="1:12" ht="14.25" customHeight="1" x14ac:dyDescent="0.25">
      <c r="A4" s="410" t="str">
        <f>A1</f>
        <v>SKV</v>
      </c>
      <c r="B4" s="182" t="str">
        <f ca="1">IF($A$4&lt;&gt;0,IFERROR(INDEX(zajimavosti_tymy!B:B,MATCH(prehled!$A$3,OFFSET(zajimavosti_tymy!$A$2,,,(COUNTA(zajimavosti_tymy!$A:$A)-1)*3),0)+1),""),"")</f>
        <v>obrat proti Otrokovicím</v>
      </c>
      <c r="C4" s="183" t="str">
        <f ca="1">IF($A$4&lt;&gt;0,IFERROR(INDEX(zajimavosti_tymy!C:C,MATCH(prehled!$A$3,OFFSET(zajimavosti_tymy!$A$2,,,(COUNTA(zajimavosti_tymy!$A:$A)-1)*3),0)+1),""),"")</f>
        <v>dobré přesilovky (4. v lize)</v>
      </c>
      <c r="D4" s="183" t="str">
        <f ca="1">IF($A$4&lt;&gt;0,IFERROR(INDEX(zajimavosti_tymy!D:D,MATCH(prehled!$A$3,OFFSET(zajimavosti_tymy!$A$2,,,(COUNTA(zajimavosti_tymy!$A:$A)-1)*3),0)+1),""),"")</f>
        <v>klub založen 1997</v>
      </c>
      <c r="E4" s="183" t="str">
        <f ca="1">IF($A$4&lt;&gt;0,IFERROR(INDEX(zajimavosti_tymy!E:E,MATCH(prehled!$A$3,OFFSET(zajimavosti_tymy!$A$2,,,(COUNTA(zajimavosti_tymy!$A:$A)-1)*3),0)+1),""),"")</f>
        <v>v sezóně 06/07 poprvé v extralize</v>
      </c>
      <c r="F4" s="184" t="str">
        <f ca="1">IF($A$4&lt;&gt;0,IFERROR(INDEX(zajimavosti_tymy!F:F,MATCH(prehled!$A$3,OFFSET(zajimavosti_tymy!$A$2,,,(COUNTA(zajimavosti_tymy!$A:$A)-1)*3),0)+1),""),"")</f>
        <v>jediná účast v PO (19/20)</v>
      </c>
      <c r="G4" s="410" t="str">
        <f>G1</f>
        <v>MB</v>
      </c>
      <c r="H4" s="182" t="str">
        <f ca="1">IF($G$4&lt;&gt;0,IFERROR(INDEX(zajimavosti_tymy!B:B,MATCH(prehled!$J$3,OFFSET(zajimavosti_tymy!$A$2,,,(COUNTA(zajimavosti_tymy!$A:$A)-1)*3),0)+1),""),"")</f>
        <v>2x mistr ligy 17/18, 20/21</v>
      </c>
      <c r="I4" s="183">
        <f ca="1">IF($G$4&lt;&gt;0,IFERROR(INDEX(zajimavosti_tymy!C:C,MATCH(prehled!$J$3,OFFSET(zajimavosti_tymy!$A$2,,,(COUNTA(zajimavosti_tymy!$A:$A)-1)*3),0)+1),""),"")</f>
        <v>0</v>
      </c>
      <c r="J4" s="183">
        <f ca="1">IF($G$4&lt;&gt;0,IFERROR(INDEX(zajimavosti_tymy!D:D,MATCH(prehled!$J$3,OFFSET(zajimavosti_tymy!$A$2,,,(COUNTA(zajimavosti_tymy!$A:$A)-1)*3),0)+1),""),"")</f>
        <v>0</v>
      </c>
      <c r="K4" s="183">
        <f ca="1">IF($G$4&lt;&gt;0,IFERROR(INDEX(zajimavosti_tymy!E:E,MATCH(prehled!$J$3,OFFSET(zajimavosti_tymy!$A$2,,,(COUNTA(zajimavosti_tymy!$A:$A)-1)*3),0)+1),""),"")</f>
        <v>0</v>
      </c>
      <c r="L4" s="184">
        <f ca="1">IF($G$4&lt;&gt;0,IFERROR(INDEX(zajimavosti_tymy!F:F,MATCH(prehled!$J$3,OFFSET(zajimavosti_tymy!$A$2,,,(COUNTA(zajimavosti_tymy!$A:$A)-1)*3),0)+1),""),"")</f>
        <v>0</v>
      </c>
    </row>
    <row r="5" spans="1:12" ht="14.25" customHeight="1" x14ac:dyDescent="0.25">
      <c r="A5" s="410"/>
      <c r="B5" s="182">
        <f ca="1">IF($A$4&lt;&gt;0,IFERROR(INDEX(zajimavosti_tymy!B:B,MATCH(prehled!$A$3,OFFSET(zajimavosti_tymy!$A$2,,,(COUNTA(zajimavosti_tymy!$A:$A)-1)*3),0)+2),""),"")</f>
        <v>0</v>
      </c>
      <c r="C5" s="183">
        <f ca="1">IF($A$4&lt;&gt;0,IFERROR(INDEX(zajimavosti_tymy!C:C,MATCH(prehled!$A$3,OFFSET(zajimavosti_tymy!$A$2,,,(COUNTA(zajimavosti_tymy!$A:$A)-1)*3),0)+2),""),"")</f>
        <v>0</v>
      </c>
      <c r="D5" s="183">
        <f ca="1">IF($A$4&lt;&gt;0,IFERROR(INDEX(zajimavosti_tymy!D:D,MATCH(prehled!$A$3,OFFSET(zajimavosti_tymy!$A$2,,,(COUNTA(zajimavosti_tymy!$A:$A)-1)*3),0)+2),""),"")</f>
        <v>0</v>
      </c>
      <c r="E5" s="183">
        <f ca="1">IF($A$4&lt;&gt;0,IFERROR(INDEX(zajimavosti_tymy!E:E,MATCH(prehled!$A$3,OFFSET(zajimavosti_tymy!$A$2,,,(COUNTA(zajimavosti_tymy!$A:$A)-1)*3),0)+2),""),"")</f>
        <v>0</v>
      </c>
      <c r="F5" s="184">
        <f ca="1">IF($A$4&lt;&gt;0,IFERROR(INDEX(zajimavosti_tymy!F:F,MATCH(prehled!$A$3,OFFSET(zajimavosti_tymy!$A$2,,,(COUNTA(zajimavosti_tymy!$A:$A)-1)*3),0)+2),""),"")</f>
        <v>0</v>
      </c>
      <c r="G5" s="410"/>
      <c r="H5" s="182">
        <f ca="1">IF($G$4&lt;&gt;0,IFERROR(INDEX(zajimavosti_tymy!B:B,MATCH(prehled!$J$3,OFFSET(zajimavosti_tymy!$A$2,,,(COUNTA(zajimavosti_tymy!$A:$A)-1)*3),0)+2),""),"")</f>
        <v>0</v>
      </c>
      <c r="I5" s="183">
        <f ca="1">IF($G$4&lt;&gt;0,IFERROR(INDEX(zajimavosti_tymy!C:C,MATCH(prehled!$J$3,OFFSET(zajimavosti_tymy!$A$2,,,(COUNTA(zajimavosti_tymy!$A:$A)-1)*3),0)+2),""),"")</f>
        <v>0</v>
      </c>
      <c r="J5" s="183">
        <f ca="1">IF($G$4&lt;&gt;0,IFERROR(INDEX(zajimavosti_tymy!D:D,MATCH(prehled!$J$3,OFFSET(zajimavosti_tymy!$A$2,,,(COUNTA(zajimavosti_tymy!$A:$A)-1)*3),0)+2),""),"")</f>
        <v>0</v>
      </c>
      <c r="K5" s="183">
        <f ca="1">IF($G$4&lt;&gt;0,IFERROR(INDEX(zajimavosti_tymy!E:E,MATCH(prehled!$J$3,OFFSET(zajimavosti_tymy!$A$2,,,(COUNTA(zajimavosti_tymy!$A:$A)-1)*3),0)+2),""),"")</f>
        <v>0</v>
      </c>
      <c r="L5" s="184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410"/>
      <c r="B6" s="182">
        <f ca="1">IF($A$4&lt;&gt;0,IFERROR(INDEX(zajimavosti_tymy!B:B,MATCH(prehled!$A$3,OFFSET(zajimavosti_tymy!$A$2,,,(COUNTA(zajimavosti_tymy!$A:$A)-1)*3),0)+3),""),"")</f>
        <v>0</v>
      </c>
      <c r="C6" s="183">
        <f ca="1">IF($A$4&lt;&gt;0,IFERROR(INDEX(zajimavosti_tymy!C:C,MATCH(prehled!$A$3,OFFSET(zajimavosti_tymy!$A$2,,,(COUNTA(zajimavosti_tymy!$A:$A)-1)*3),0)+3),""),"")</f>
        <v>0</v>
      </c>
      <c r="D6" s="183">
        <f ca="1">IF($A$4&lt;&gt;0,IFERROR(INDEX(zajimavosti_tymy!D:D,MATCH(prehled!$A$3,OFFSET(zajimavosti_tymy!$A$2,,,(COUNTA(zajimavosti_tymy!$A:$A)-1)*3),0)+3),""),"")</f>
        <v>0</v>
      </c>
      <c r="E6" s="183">
        <f ca="1">IF($A$4&lt;&gt;0,IFERROR(INDEX(zajimavosti_tymy!E:E,MATCH(prehled!$A$3,OFFSET(zajimavosti_tymy!$A$2,,,(COUNTA(zajimavosti_tymy!$A:$A)-1)*3),0)+3),""),"")</f>
        <v>0</v>
      </c>
      <c r="F6" s="184">
        <f ca="1">IF($A$4&lt;&gt;0,IFERROR(INDEX(zajimavosti_tymy!F:F,MATCH(prehled!$A$3,OFFSET(zajimavosti_tymy!$A$2,,,(COUNTA(zajimavosti_tymy!$A:$A)-1)*3),0)+3),""),"")</f>
        <v>0</v>
      </c>
      <c r="G6" s="410"/>
      <c r="H6" s="182">
        <f ca="1">IF($G$4&lt;&gt;0,IFERROR(INDEX(zajimavosti_tymy!B:B,MATCH(prehled!$J$3,OFFSET(zajimavosti_tymy!$A$2,,,(COUNTA(zajimavosti_tymy!$A:$A)-1)*3),0)+3),""),"")</f>
        <v>0</v>
      </c>
      <c r="I6" s="183">
        <f ca="1">IF($G$4&lt;&gt;0,IFERROR(INDEX(zajimavosti_tymy!C:C,MATCH(prehled!$J$3,OFFSET(zajimavosti_tymy!$A$2,,,(COUNTA(zajimavosti_tymy!$A:$A)-1)*3),0)+3),""),"")</f>
        <v>0</v>
      </c>
      <c r="J6" s="183">
        <f ca="1">IF($G$4&lt;&gt;0,IFERROR(INDEX(zajimavosti_tymy!D:D,MATCH(prehled!$J$3,OFFSET(zajimavosti_tymy!$A$2,,,(COUNTA(zajimavosti_tymy!$A:$A)-1)*3),0)+3),""),"")</f>
        <v>0</v>
      </c>
      <c r="K6" s="183">
        <f ca="1">IF($G$4&lt;&gt;0,IFERROR(INDEX(zajimavosti_tymy!E:E,MATCH(prehled!$J$3,OFFSET(zajimavosti_tymy!$A$2,,,(COUNTA(zajimavosti_tymy!$A:$A)-1)*3),0)+3),""),"")</f>
        <v>0</v>
      </c>
      <c r="L6" s="184">
        <f ca="1">IF($G$4&lt;&gt;0,IFERROR(INDEX(zajimavosti_tymy!F:F,MATCH(prehled!$J$3,OFFSET(zajimavosti_tymy!$A$2,,,(COUNTA(zajimavosti_tymy!$A:$A)-1)*3),0)+3),""),"")</f>
        <v>0</v>
      </c>
    </row>
    <row r="7" spans="1:12" s="152" customFormat="1" ht="19.5" x14ac:dyDescent="0.25">
      <c r="A7" s="411" t="s">
        <v>793</v>
      </c>
      <c r="B7" s="411"/>
      <c r="C7" s="411"/>
      <c r="D7" s="411"/>
      <c r="E7" s="411"/>
      <c r="F7" s="411"/>
      <c r="G7" s="411" t="s">
        <v>793</v>
      </c>
      <c r="H7" s="411"/>
      <c r="I7" s="411"/>
      <c r="J7" s="411"/>
      <c r="K7" s="411"/>
      <c r="L7" s="411"/>
    </row>
    <row r="8" spans="1:12" x14ac:dyDescent="0.25">
      <c r="A8" s="185" t="str">
        <f ca="1">IF(INDIRECT("priprava_" &amp; A$1 &amp; "!A1")&lt;&gt;0,INDIRECT("priprava_" &amp; A$1 &amp; "!A1"),"")</f>
        <v>Jan Fiala</v>
      </c>
      <c r="B8" s="182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83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83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83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84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85" t="str">
        <f ca="1">IF(INDIRECT("priprava_" &amp; G$1 &amp; "!A1")&lt;&gt;0,INDIRECT("priprava_" &amp; G$1 &amp; "!A1"),"")</f>
        <v/>
      </c>
      <c r="H8" s="183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83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83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83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84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85" t="str">
        <f ca="1">IF(INDIRECT("priprava_" &amp; A$1 &amp; "!M1")&lt;&gt;0,INDIRECT("priprava_" &amp; A$1 &amp; "!M1"),"")</f>
        <v>Jan Procházka</v>
      </c>
      <c r="B9" s="182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183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183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183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84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85" t="str">
        <f ca="1">IF(INDIRECT("priprava_" &amp; G$1 &amp; "!M1")&lt;&gt;0,INDIRECT("priprava_" &amp; G$1 &amp; "!M1"),"")</f>
        <v/>
      </c>
      <c r="H9" s="183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83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83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83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84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85" t="str">
        <f ca="1">IF(INDIRECT("priprava_" &amp; A$1 &amp; "!G3")&lt;&gt;0,INDIRECT("priprava_" &amp; A$1 &amp; "!G3"),"")</f>
        <v>Vojtěch Máca</v>
      </c>
      <c r="B10" s="182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hrál fotbal (brankář)</v>
      </c>
      <c r="C10" s="183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0" s="183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0" s="183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84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85" t="str">
        <f ca="1">IF(INDIRECT("priprava_" &amp; G$1 &amp; "!G3")&lt;&gt;0,INDIRECT("priprava_" &amp; G$1 &amp; "!G3"),"")</f>
        <v/>
      </c>
      <c r="H10" s="183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83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83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83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84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85" t="str">
        <f ca="1">IF(INDIRECT("priprava_" &amp; A$1 &amp; "!A6")&lt;&gt;0,INDIRECT("priprava_" &amp; A$1 &amp; "!A6"),"")</f>
        <v>Ondřej Stuchlík</v>
      </c>
      <c r="B11" s="182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1" s="183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1" s="183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83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84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85" t="str">
        <f ca="1">IF(INDIRECT("priprava_" &amp; G$1 &amp; "!A6")&lt;&gt;0,INDIRECT("priprava_" &amp; G$1 &amp; "!A6"),"")</f>
        <v/>
      </c>
      <c r="H11" s="183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83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83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83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84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85" t="str">
        <f ca="1">IF(INDIRECT("priprava_" &amp; A$1 &amp; "!M6")&lt;&gt;0,INDIRECT("priprava_" &amp; A$1 &amp; "!M6"),"")</f>
        <v>Štěpán Čuda</v>
      </c>
      <c r="B12" s="182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2" s="183" t="str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2" s="183" t="str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2" s="183" t="str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2" s="184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85" t="str">
        <f ca="1">IF(INDIRECT("priprava_" &amp; G$1 &amp; "!M6")&lt;&gt;0,INDIRECT("priprava_" &amp; G$1 &amp; "!M6"),"")</f>
        <v/>
      </c>
      <c r="H12" s="183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83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83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83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84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85" t="str">
        <f ca="1">IF(INDIRECT("priprava_" &amp; A$1 &amp; "!A12")&lt;&gt;0,INDIRECT("priprava_" &amp; A$1 &amp; "!A12"),"")</f>
        <v>Viktor Kopecký</v>
      </c>
      <c r="B13" s="182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3" s="183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3" s="183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3" s="183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84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85" t="str">
        <f ca="1">IF(INDIRECT("priprava_" &amp; G$1 &amp; "!A12")&lt;&gt;0,INDIRECT("priprava_" &amp; G$1 &amp; "!A12"),"")</f>
        <v/>
      </c>
      <c r="H13" s="183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83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83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83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84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85" t="str">
        <f ca="1">IF(INDIRECT("priprava_" &amp; A$1 &amp; "!M12")&lt;&gt;0,INDIRECT("priprava_" &amp; A$1 &amp; "!M12"),"")</f>
        <v>Vojtěch Klápa</v>
      </c>
      <c r="B14" s="182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4" s="183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4" s="183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4" s="183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84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85" t="str">
        <f ca="1">IF(INDIRECT("priprava_" &amp; G$1 &amp; "!M12")&lt;&gt;0,INDIRECT("priprava_" &amp; G$1 &amp; "!M12"),"")</f>
        <v/>
      </c>
      <c r="H14" s="183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83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83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83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84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85" t="str">
        <f ca="1">IF(INDIRECT("priprava_" &amp; A$1 &amp; "!G14")&lt;&gt;0,INDIRECT("priprava_" &amp; A$1 &amp; "!G14"),"")</f>
        <v>Ivan Pergler</v>
      </c>
      <c r="B15" s="182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DDM Modřany -&gt; Vosy Praha</v>
      </c>
      <c r="C15" s="183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pod Berkou ve Spartě</v>
      </c>
      <c r="D15" s="183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Masarykův ČVUT</v>
      </c>
      <c r="E15" s="183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 (Premier League), fifa</v>
      </c>
      <c r="F15" s="184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85" t="str">
        <f ca="1">IF(INDIRECT("priprava_" &amp; G$1 &amp; "!G14")&lt;&gt;0,INDIRECT("priprava_" &amp; G$1 &amp; "!G14"),"")</f>
        <v/>
      </c>
      <c r="H15" s="183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83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83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83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84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85" t="str">
        <f ca="1">IF(INDIRECT("priprava_" &amp; A$1 &amp; "!A17")&lt;&gt;0,INDIRECT("priprava_" &amp; A$1 &amp; "!A17"),"")</f>
        <v>Lukáš Lanc</v>
      </c>
      <c r="B16" s="182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16" s="183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v SKV od 2010</v>
      </c>
      <c r="D16" s="183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cestovatel po světě</v>
      </c>
      <c r="E16" s="183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6" s="184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6" s="185" t="str">
        <f ca="1">IF(INDIRECT("priprava_" &amp; G$1 &amp; "!A17")&lt;&gt;0,INDIRECT("priprava_" &amp; G$1 &amp; "!A17"),"")</f>
        <v/>
      </c>
      <c r="H16" s="183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83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83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83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84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85" t="str">
        <f ca="1">IF(INDIRECT("priprava_" &amp; A$1 &amp; "!M17")&lt;&gt;0,INDIRECT("priprava_" &amp; A$1 &amp; "!M17"),"")</f>
        <v>Petr Hartman</v>
      </c>
      <c r="B17" s="182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17" s="183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17" s="183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17" s="183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7" s="184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7" s="185" t="str">
        <f ca="1">IF(INDIRECT("priprava_" &amp; G$1 &amp; "!M17")&lt;&gt;0,INDIRECT("priprava_" &amp; G$1 &amp; "!M17"),"")</f>
        <v/>
      </c>
      <c r="H17" s="183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83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83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83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84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85" t="str">
        <f ca="1">IF(INDIRECT("priprava_" &amp; A$1 &amp; "!A23")&lt;&gt;0,INDIRECT("priprava_" &amp; A$1 &amp; "!A23"),"")</f>
        <v>Pavel Hájek</v>
      </c>
      <c r="B18" s="182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8" s="183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8" s="183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8" s="183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84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85" t="str">
        <f ca="1">IF(INDIRECT("priprava_" &amp; G$1 &amp; "!A23")&lt;&gt;0,INDIRECT("priprava_" &amp; G$1 &amp; "!A23"),"")</f>
        <v/>
      </c>
      <c r="H18" s="183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83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83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83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84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85" t="str">
        <f ca="1">IF(INDIRECT("priprava_" &amp; A$1 &amp; "!M23")&lt;&gt;0,INDIRECT("priprava_" &amp; A$1 &amp; "!M23"),"")</f>
        <v>Štepán Švejda</v>
      </c>
      <c r="B19" s="182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9" s="183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9" s="183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9" s="183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9" s="184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85" t="str">
        <f ca="1">IF(INDIRECT("priprava_" &amp; G$1 &amp; "!M23")&lt;&gt;0,INDIRECT("priprava_" &amp; G$1 &amp; "!M23"),"")</f>
        <v/>
      </c>
      <c r="H19" s="183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83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83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83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84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85" t="str">
        <f ca="1">IF(INDIRECT("priprava_" &amp; A$1 &amp; "!G25")&lt;&gt;0,INDIRECT("priprava_" &amp; A$1 &amp; "!G25"),"")</f>
        <v>Jan Pinkas</v>
      </c>
      <c r="B20" s="182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0" s="183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20" s="183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20" s="183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20" s="184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85" t="str">
        <f ca="1">IF(INDIRECT("priprava_" &amp; G$1 &amp; "!G25")&lt;&gt;0,INDIRECT("priprava_" &amp; G$1 &amp; "!G25"),"")</f>
        <v/>
      </c>
      <c r="H20" s="183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83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83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83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84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85" t="str">
        <f ca="1">IF(INDIRECT("priprava_" &amp; A$1 &amp; "!A28")&lt;&gt;0,INDIRECT("priprava_" &amp; A$1 &amp; "!A28"),"")</f>
        <v>Oliver Gold</v>
      </c>
      <c r="B21" s="182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21" s="183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21" s="183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21" s="183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84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85" t="str">
        <f ca="1">IF(INDIRECT("priprava_" &amp; G$1 &amp; "!A28")&lt;&gt;0,INDIRECT("priprava_" &amp; G$1 &amp; "!A28"),"")</f>
        <v/>
      </c>
      <c r="H21" s="183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83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83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83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84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85" t="str">
        <f ca="1">IF(INDIRECT("priprava_" &amp; A$1 &amp; "!M28")&lt;&gt;0,INDIRECT("priprava_" &amp; A$1 &amp; "!M28"),"")</f>
        <v>David Ježek</v>
      </c>
      <c r="B22" s="182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2" s="183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2" s="183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2" s="183" t="str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2" s="184" t="str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2" s="185" t="str">
        <f ca="1">IF(INDIRECT("priprava_" &amp; G$1 &amp; "!M28")&lt;&gt;0,INDIRECT("priprava_" &amp; G$1 &amp; "!M28"),"")</f>
        <v/>
      </c>
      <c r="H22" s="183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83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83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83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84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85" t="str">
        <f ca="1">IF(INDIRECT("priprava_" &amp; A$1 &amp; "!J34")&lt;&gt;0,INDIRECT("priprava_" &amp; A$1 &amp; "!J34"),"")</f>
        <v>Marek Paštika</v>
      </c>
      <c r="B23" s="182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3" s="183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3" s="183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3" s="183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84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85" t="str">
        <f ca="1">IF(INDIRECT("priprava_" &amp; G$1 &amp; "!J34")&lt;&gt;0,INDIRECT("priprava_" &amp; G$1 &amp; "!J34"),"")</f>
        <v/>
      </c>
      <c r="H23" s="183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83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83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83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84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85" t="str">
        <f ca="1">IF(INDIRECT("priprava_" &amp; A$1 &amp; "!J38")&lt;&gt;0,INDIRECT("priprava_" &amp; A$1 &amp; "!J38"),"")</f>
        <v>Matěj Horák</v>
      </c>
      <c r="B24" s="182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83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83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83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84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85" t="str">
        <f ca="1">IF(INDIRECT("priprava_" &amp; G$1 &amp; "!J38")&lt;&gt;0,INDIRECT("priprava_" &amp; G$1 &amp; "!J38"),"")</f>
        <v/>
      </c>
      <c r="H24" s="183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83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83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83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84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85" t="str">
        <f ca="1">IF(INDIRECT("priprava_" &amp; A$1 &amp; "!J42")&lt;&gt;0,INDIRECT("priprava_" &amp; A$1 &amp; "!J42"),"")</f>
        <v>Lukáš Gregor</v>
      </c>
      <c r="B25" s="182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19/20 v lize 29 gólů</v>
      </c>
      <c r="C25" s="183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billingový specialista mez. hlas. služ.</v>
      </c>
      <c r="D25" s="183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v MB nejvyšší juniorská liga</v>
      </c>
      <c r="E25" s="183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5" s="184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5" s="185" t="str">
        <f ca="1">IF(INDIRECT("priprava_" &amp; G$1 &amp; "!J42")&lt;&gt;0,INDIRECT("priprava_" &amp; G$1 &amp; "!J42"),"")</f>
        <v/>
      </c>
      <c r="H25" s="183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83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83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83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84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85" t="str">
        <f ca="1">IF(INDIRECT("priprava_" &amp; A$1 &amp; "!A34")&lt;&gt;0,INDIRECT("priprava_" &amp; A$1 &amp; "!A34"),"")</f>
        <v>Petr Musil</v>
      </c>
      <c r="B26" s="182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83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83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83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84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85" t="str">
        <f ca="1">IF(INDIRECT("priprava_" &amp; G$1 &amp; "!A34")&lt;&gt;0,INDIRECT("priprava_" &amp; G$1 &amp; "!A34"),"")</f>
        <v/>
      </c>
      <c r="H26" s="183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83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83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83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84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85" t="str">
        <f ca="1">IF(INDIRECT("priprava_" &amp; A$1 &amp; "!A40")&lt;&gt;0,INDIRECT("priprava_" &amp; A$1 &amp; "!A40"),"")</f>
        <v>Karel Šantora</v>
      </c>
      <c r="B27" s="182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83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83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83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84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85" t="str">
        <f ca="1">IF(INDIRECT("priprava_" &amp; G$1 &amp; "!A40")&lt;&gt;0,INDIRECT("priprava_" &amp; G$1 &amp; "!A40"),"")</f>
        <v/>
      </c>
      <c r="H27" s="183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83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83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83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84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3" customFormat="1" ht="19.5" x14ac:dyDescent="0.25">
      <c r="A28" s="411" t="s">
        <v>794</v>
      </c>
      <c r="B28" s="411"/>
      <c r="C28" s="411"/>
      <c r="D28" s="411"/>
      <c r="E28" s="411"/>
      <c r="F28" s="411"/>
      <c r="G28" s="411" t="s">
        <v>794</v>
      </c>
      <c r="H28" s="411"/>
      <c r="I28" s="411"/>
      <c r="J28" s="411"/>
      <c r="K28" s="411"/>
      <c r="L28" s="411"/>
    </row>
    <row r="29" spans="1:12" x14ac:dyDescent="0.25">
      <c r="A29" s="185" t="str">
        <f ca="1">IF(INDIRECT("priprava_" &amp; A$1 &amp; "!A47")&lt;&gt;0,INDIRECT("priprava_" &amp; A$1 &amp; "!A47"),"")</f>
        <v>Michal Kotlas</v>
      </c>
      <c r="B29" s="183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83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83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83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84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85" t="str">
        <f ca="1">IF(INDIRECT("priprava_" &amp; G$1 &amp; "!A47")&lt;&gt;0,INDIRECT("priprava_" &amp; G$1 &amp; "!A47"),"")</f>
        <v/>
      </c>
      <c r="H29" s="183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83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83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83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84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85" t="str">
        <f ca="1">IF(INDIRECT("priprava_" &amp; A$1 &amp; "!J47")&lt;&gt;0,INDIRECT("priprava_" &amp; A$1 &amp; "!J47"),"")</f>
        <v>David Bouša</v>
      </c>
      <c r="B30" s="183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83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83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83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84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85" t="str">
        <f ca="1">IF(INDIRECT("priprava_" &amp; G$1 &amp; "!J47")&lt;&gt;0,INDIRECT("priprava_" &amp; G$1 &amp; "!J47"),"")</f>
        <v/>
      </c>
      <c r="H30" s="183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83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83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83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84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85" t="str">
        <f ca="1">IF(INDIRECT("priprava_" &amp; A$1 &amp; "!J49")&lt;&gt;0,INDIRECT("priprava_" &amp; A$1 &amp; "!J49"),"")</f>
        <v>Boleslav Kytka</v>
      </c>
      <c r="B31" s="183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83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83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83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84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85" t="str">
        <f ca="1">IF(INDIRECT("priprava_" &amp; G$1 &amp; "!J49")&lt;&gt;0,INDIRECT("priprava_" &amp; G$1 &amp; "!J49"),"")</f>
        <v/>
      </c>
      <c r="H31" s="183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83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83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83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84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1"/>
    </row>
    <row r="33" spans="1:1" x14ac:dyDescent="0.25">
      <c r="A33" s="151"/>
    </row>
    <row r="34" spans="1:1" x14ac:dyDescent="0.25">
      <c r="A34" s="151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41" priority="70" stopIfTrue="1" operator="equal">
      <formula>"OTR"</formula>
    </cfRule>
  </conditionalFormatting>
  <conditionalFormatting sqref="A1:F2">
    <cfRule type="cellIs" dxfId="840" priority="71" stopIfTrue="1" operator="equal">
      <formula>"PAR"</formula>
    </cfRule>
    <cfRule type="cellIs" dxfId="839" priority="72" stopIfTrue="1" operator="equal">
      <formula>"CLP"</formula>
    </cfRule>
    <cfRule type="cellIs" dxfId="838" priority="73" stopIfTrue="1" operator="equal">
      <formula>"HAT"</formula>
    </cfRule>
    <cfRule type="cellIs" dxfId="837" priority="74" stopIfTrue="1" operator="equal">
      <formula>"LIB"</formula>
    </cfRule>
    <cfRule type="cellIs" dxfId="836" priority="75" stopIfTrue="1" operator="equal">
      <formula>"BA"</formula>
    </cfRule>
    <cfRule type="cellIs" dxfId="835" priority="76" stopIfTrue="1" operator="equal">
      <formula>"SPA"</formula>
    </cfRule>
    <cfRule type="cellIs" dxfId="834" priority="77" stopIfTrue="1" operator="equal">
      <formula>"OST"</formula>
    </cfRule>
    <cfRule type="cellIs" dxfId="833" priority="78" stopIfTrue="1" operator="equal">
      <formula>"BOH"</formula>
    </cfRule>
    <cfRule type="cellIs" dxfId="832" priority="79" stopIfTrue="1" operator="equal">
      <formula>"TAT"</formula>
    </cfRule>
    <cfRule type="cellIs" dxfId="831" priority="80" stopIfTrue="1" operator="equal">
      <formula>"MB"</formula>
    </cfRule>
    <cfRule type="cellIs" dxfId="830" priority="81" stopIfTrue="1" operator="equal">
      <formula>"VIT"</formula>
    </cfRule>
    <cfRule type="cellIs" dxfId="829" priority="82" stopIfTrue="1" operator="equal">
      <formula>"CHO"</formula>
    </cfRule>
    <cfRule type="cellIs" dxfId="828" priority="83" stopIfTrue="1" operator="equal">
      <formula>"SKV"</formula>
    </cfRule>
  </conditionalFormatting>
  <conditionalFormatting sqref="G1:L2">
    <cfRule type="cellIs" dxfId="827" priority="56" stopIfTrue="1" operator="equal">
      <formula>"OTR"</formula>
    </cfRule>
  </conditionalFormatting>
  <conditionalFormatting sqref="G1:L2">
    <cfRule type="cellIs" dxfId="826" priority="57" stopIfTrue="1" operator="equal">
      <formula>"PAR"</formula>
    </cfRule>
    <cfRule type="cellIs" dxfId="825" priority="58" stopIfTrue="1" operator="equal">
      <formula>"CLP"</formula>
    </cfRule>
    <cfRule type="cellIs" dxfId="824" priority="59" stopIfTrue="1" operator="equal">
      <formula>"HAT"</formula>
    </cfRule>
    <cfRule type="cellIs" dxfId="823" priority="60" stopIfTrue="1" operator="equal">
      <formula>"LIB"</formula>
    </cfRule>
    <cfRule type="cellIs" dxfId="822" priority="61" stopIfTrue="1" operator="equal">
      <formula>"BA"</formula>
    </cfRule>
    <cfRule type="cellIs" dxfId="821" priority="62" stopIfTrue="1" operator="equal">
      <formula>"SPA"</formula>
    </cfRule>
    <cfRule type="cellIs" dxfId="820" priority="63" stopIfTrue="1" operator="equal">
      <formula>"OST"</formula>
    </cfRule>
    <cfRule type="cellIs" dxfId="819" priority="64" stopIfTrue="1" operator="equal">
      <formula>"BOH"</formula>
    </cfRule>
    <cfRule type="cellIs" dxfId="818" priority="65" stopIfTrue="1" operator="equal">
      <formula>"TAT"</formula>
    </cfRule>
    <cfRule type="cellIs" dxfId="817" priority="66" stopIfTrue="1" operator="equal">
      <formula>"MB"</formula>
    </cfRule>
    <cfRule type="cellIs" dxfId="816" priority="67" stopIfTrue="1" operator="equal">
      <formula>"VIT"</formula>
    </cfRule>
    <cfRule type="cellIs" dxfId="815" priority="68" stopIfTrue="1" operator="equal">
      <formula>"CHO"</formula>
    </cfRule>
    <cfRule type="cellIs" dxfId="814" priority="69" stopIfTrue="1" operator="equal">
      <formula>"SKV"</formula>
    </cfRule>
  </conditionalFormatting>
  <conditionalFormatting sqref="B4:F6">
    <cfRule type="expression" dxfId="813" priority="3">
      <formula>AND($B4&lt;&gt;"",MOD(ROW($B4),2)=0,B4=0)</formula>
    </cfRule>
    <cfRule type="expression" dxfId="812" priority="4">
      <formula>AND($B4&lt;&gt;"",MOD(ROW($B4),2)=1,B4=0)</formula>
    </cfRule>
    <cfRule type="expression" dxfId="811" priority="18">
      <formula>AND($B4&lt;&gt;"",MOD(ROW($B4),2)=0)</formula>
    </cfRule>
    <cfRule type="expression" dxfId="810" priority="55">
      <formula>AND($B4&lt;&gt;"",MOD(ROW($B4),2)=1)</formula>
    </cfRule>
  </conditionalFormatting>
  <conditionalFormatting sqref="A8:F27">
    <cfRule type="expression" dxfId="809" priority="17">
      <formula>AND($A8&lt;&gt;"",MOD(ROW($A8),2)=0)</formula>
    </cfRule>
    <cfRule type="expression" dxfId="808" priority="54">
      <formula>AND($A8&lt;&gt;"",MOD(ROW($A8),2)=1)</formula>
    </cfRule>
  </conditionalFormatting>
  <conditionalFormatting sqref="A29:F31">
    <cfRule type="expression" dxfId="807" priority="16">
      <formula>AND($A29&lt;&gt;"",MOD(ROW($A29),2)=1)</formula>
    </cfRule>
    <cfRule type="expression" dxfId="806" priority="53">
      <formula>AND($A29&lt;&gt;"",MOD(ROW($A29),2)=0)</formula>
    </cfRule>
  </conditionalFormatting>
  <conditionalFormatting sqref="H4:L6">
    <cfRule type="expression" dxfId="805" priority="1">
      <formula>AND($H4&lt;&gt;"",MOD(ROW($H4),2)=0,H4=0)</formula>
    </cfRule>
    <cfRule type="expression" dxfId="804" priority="2">
      <formula>AND($H4&lt;&gt;"",MOD(ROW($H4),2)=1,H4=0)</formula>
    </cfRule>
    <cfRule type="expression" dxfId="803" priority="15">
      <formula>AND($H4&lt;&gt;"",MOD(ROW($H4),2)=0)</formula>
    </cfRule>
    <cfRule type="expression" dxfId="802" priority="52">
      <formula>AND($H4&lt;&gt;"",MOD(ROW($H4),2)=1)</formula>
    </cfRule>
  </conditionalFormatting>
  <conditionalFormatting sqref="G8:L27">
    <cfRule type="expression" dxfId="801" priority="14">
      <formula>AND($G8&lt;&gt;"",MOD(ROW($G8),2)=0)</formula>
    </cfRule>
    <cfRule type="expression" dxfId="800" priority="51">
      <formula>AND($G8&lt;&gt;"",MOD(ROW($G8),2)=1)</formula>
    </cfRule>
  </conditionalFormatting>
  <conditionalFormatting sqref="G29:L31">
    <cfRule type="expression" dxfId="799" priority="13">
      <formula>AND($G29&lt;&gt;"",MOD(ROW($G29),2)=1)</formula>
    </cfRule>
    <cfRule type="expression" dxfId="798" priority="50">
      <formula>AND($G29&lt;&gt;"",MOD(ROW($G29),2)=0)</formula>
    </cfRule>
  </conditionalFormatting>
  <conditionalFormatting sqref="A4">
    <cfRule type="cellIs" dxfId="797" priority="36" stopIfTrue="1" operator="equal">
      <formula>"OTR"</formula>
    </cfRule>
  </conditionalFormatting>
  <conditionalFormatting sqref="A4">
    <cfRule type="cellIs" dxfId="796" priority="37" stopIfTrue="1" operator="equal">
      <formula>"PAR"</formula>
    </cfRule>
    <cfRule type="cellIs" dxfId="795" priority="38" stopIfTrue="1" operator="equal">
      <formula>"CLP"</formula>
    </cfRule>
    <cfRule type="cellIs" dxfId="794" priority="39" stopIfTrue="1" operator="equal">
      <formula>"HAT"</formula>
    </cfRule>
    <cfRule type="cellIs" dxfId="793" priority="40" stopIfTrue="1" operator="equal">
      <formula>"LIB"</formula>
    </cfRule>
    <cfRule type="cellIs" dxfId="792" priority="41" stopIfTrue="1" operator="equal">
      <formula>"BA"</formula>
    </cfRule>
    <cfRule type="cellIs" dxfId="791" priority="42" stopIfTrue="1" operator="equal">
      <formula>"SPA"</formula>
    </cfRule>
    <cfRule type="cellIs" dxfId="790" priority="43" stopIfTrue="1" operator="equal">
      <formula>"OST"</formula>
    </cfRule>
    <cfRule type="cellIs" dxfId="789" priority="44" stopIfTrue="1" operator="equal">
      <formula>"BOH"</formula>
    </cfRule>
    <cfRule type="cellIs" dxfId="788" priority="45" stopIfTrue="1" operator="equal">
      <formula>"TAT"</formula>
    </cfRule>
    <cfRule type="cellIs" dxfId="787" priority="46" stopIfTrue="1" operator="equal">
      <formula>"MB"</formula>
    </cfRule>
    <cfRule type="cellIs" dxfId="786" priority="47" stopIfTrue="1" operator="equal">
      <formula>"VIT"</formula>
    </cfRule>
    <cfRule type="cellIs" dxfId="785" priority="48" stopIfTrue="1" operator="equal">
      <formula>"CHO"</formula>
    </cfRule>
    <cfRule type="cellIs" dxfId="784" priority="49" stopIfTrue="1" operator="equal">
      <formula>"SKV"</formula>
    </cfRule>
  </conditionalFormatting>
  <conditionalFormatting sqref="G4">
    <cfRule type="cellIs" dxfId="783" priority="22" stopIfTrue="1" operator="equal">
      <formula>"OTR"</formula>
    </cfRule>
  </conditionalFormatting>
  <conditionalFormatting sqref="G4">
    <cfRule type="cellIs" dxfId="782" priority="23" stopIfTrue="1" operator="equal">
      <formula>"PAR"</formula>
    </cfRule>
    <cfRule type="cellIs" dxfId="781" priority="24" stopIfTrue="1" operator="equal">
      <formula>"CLP"</formula>
    </cfRule>
    <cfRule type="cellIs" dxfId="780" priority="25" stopIfTrue="1" operator="equal">
      <formula>"HAT"</formula>
    </cfRule>
    <cfRule type="cellIs" dxfId="779" priority="26" stopIfTrue="1" operator="equal">
      <formula>"LIB"</formula>
    </cfRule>
    <cfRule type="cellIs" dxfId="778" priority="27" stopIfTrue="1" operator="equal">
      <formula>"BA"</formula>
    </cfRule>
    <cfRule type="cellIs" dxfId="777" priority="28" stopIfTrue="1" operator="equal">
      <formula>"SPA"</formula>
    </cfRule>
    <cfRule type="cellIs" dxfId="776" priority="29" stopIfTrue="1" operator="equal">
      <formula>"OST"</formula>
    </cfRule>
    <cfRule type="cellIs" dxfId="775" priority="30" stopIfTrue="1" operator="equal">
      <formula>"BOH"</formula>
    </cfRule>
    <cfRule type="cellIs" dxfId="774" priority="31" stopIfTrue="1" operator="equal">
      <formula>"TAT"</formula>
    </cfRule>
    <cfRule type="cellIs" dxfId="773" priority="32" stopIfTrue="1" operator="equal">
      <formula>"MB"</formula>
    </cfRule>
    <cfRule type="cellIs" dxfId="772" priority="33" stopIfTrue="1" operator="equal">
      <formula>"VIT"</formula>
    </cfRule>
    <cfRule type="cellIs" dxfId="771" priority="34" stopIfTrue="1" operator="equal">
      <formula>"CHO"</formula>
    </cfRule>
    <cfRule type="cellIs" dxfId="770" priority="35" stopIfTrue="1" operator="equal">
      <formula>"SKV"</formula>
    </cfRule>
  </conditionalFormatting>
  <conditionalFormatting sqref="I8:L27">
    <cfRule type="expression" dxfId="769" priority="11">
      <formula>AND($G8&lt;&gt;"",MOD(ROW($G8),2)=0,I8=0)</formula>
    </cfRule>
    <cfRule type="expression" dxfId="768" priority="12">
      <formula>AND($G8&lt;&gt;"",MOD(ROW($G8),2)=1,I8=0)</formula>
    </cfRule>
  </conditionalFormatting>
  <conditionalFormatting sqref="I29:L31">
    <cfRule type="expression" dxfId="767" priority="9">
      <formula>AND($G29&lt;&gt;"",MOD(ROW($G29),2)=1,I29=0)</formula>
    </cfRule>
    <cfRule type="expression" dxfId="766" priority="10">
      <formula>AND($G29&lt;&gt;"",MOD(ROW($G29),2)=0,I29=0)</formula>
    </cfRule>
  </conditionalFormatting>
  <conditionalFormatting sqref="C8:F27">
    <cfRule type="expression" dxfId="765" priority="7">
      <formula>AND($A8&lt;&gt;"",MOD(ROW($A8),2)=0,C8=0)</formula>
    </cfRule>
    <cfRule type="expression" dxfId="764" priority="8">
      <formula>AND($A8&lt;&gt;"",MOD(ROW($A8),2)=1,C8=0)</formula>
    </cfRule>
  </conditionalFormatting>
  <conditionalFormatting sqref="C29:F31">
    <cfRule type="expression" dxfId="763" priority="5">
      <formula>AND($A29&lt;&gt;"",MOD(ROW($A29),2)=1,C29)</formula>
    </cfRule>
    <cfRule type="expression" dxfId="762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19"/>
  <dimension ref="A1:H139"/>
  <sheetViews>
    <sheetView topLeftCell="A37" zoomScaleNormal="100" workbookViewId="0">
      <selection activeCell="A72" sqref="A72"/>
    </sheetView>
  </sheetViews>
  <sheetFormatPr defaultColWidth="9.140625" defaultRowHeight="14.25" x14ac:dyDescent="0.25"/>
  <cols>
    <col min="1" max="1" width="21.28515625" style="168" customWidth="1"/>
    <col min="2" max="2" width="8.7109375" style="167" customWidth="1"/>
    <col min="3" max="7" width="21.28515625" style="179" customWidth="1"/>
    <col min="8" max="8" width="17.5703125" style="166" hidden="1" customWidth="1"/>
    <col min="9" max="16384" width="9.140625" style="166"/>
  </cols>
  <sheetData>
    <row r="1" spans="1:8" s="171" customFormat="1" ht="19.5" x14ac:dyDescent="0.25">
      <c r="A1" s="412" t="s">
        <v>805</v>
      </c>
      <c r="B1" s="412"/>
      <c r="C1" s="413" t="s">
        <v>804</v>
      </c>
      <c r="D1" s="413"/>
      <c r="E1" s="413"/>
      <c r="F1" s="413"/>
      <c r="G1" s="413"/>
      <c r="H1" s="171" t="s">
        <v>803</v>
      </c>
    </row>
    <row r="2" spans="1:8" x14ac:dyDescent="0.25">
      <c r="A2" s="169" t="s">
        <v>210</v>
      </c>
      <c r="B2" s="170">
        <v>37276</v>
      </c>
      <c r="C2" s="178" t="s">
        <v>800</v>
      </c>
      <c r="D2" s="178"/>
      <c r="E2" s="178"/>
      <c r="F2" s="178"/>
      <c r="G2" s="178"/>
      <c r="H2" s="166" t="str">
        <f t="shared" ref="H2:H33" si="0">IF(A2&lt;&gt;"",CONCATENATE(A2," (",B2,")"),"")</f>
        <v>Jakub Pařízek (37276)</v>
      </c>
    </row>
    <row r="3" spans="1:8" x14ac:dyDescent="0.25">
      <c r="A3" s="169" t="s">
        <v>146</v>
      </c>
      <c r="B3" s="170">
        <v>32379</v>
      </c>
      <c r="C3" s="178" t="s">
        <v>799</v>
      </c>
      <c r="D3" s="178" t="s">
        <v>921</v>
      </c>
      <c r="E3" s="178" t="s">
        <v>922</v>
      </c>
      <c r="F3" s="178"/>
      <c r="G3" s="178"/>
      <c r="H3" s="166" t="str">
        <f t="shared" si="0"/>
        <v>Lukáš Lanc (32379)</v>
      </c>
    </row>
    <row r="4" spans="1:8" x14ac:dyDescent="0.25">
      <c r="A4" s="169" t="s">
        <v>201</v>
      </c>
      <c r="B4" s="170">
        <v>37818</v>
      </c>
      <c r="C4" s="178" t="s">
        <v>802</v>
      </c>
      <c r="D4" s="178"/>
      <c r="E4" s="178"/>
      <c r="F4" s="178"/>
      <c r="G4" s="178"/>
      <c r="H4" s="166" t="str">
        <f t="shared" si="0"/>
        <v>Šimon Stránský (37818)</v>
      </c>
    </row>
    <row r="5" spans="1:8" x14ac:dyDescent="0.25">
      <c r="A5" s="169" t="s">
        <v>231</v>
      </c>
      <c r="B5" s="170">
        <v>24850</v>
      </c>
      <c r="C5" s="178" t="s">
        <v>801</v>
      </c>
      <c r="D5" s="178"/>
      <c r="E5" s="178"/>
      <c r="F5" s="178"/>
      <c r="G5" s="178"/>
      <c r="H5" s="166" t="str">
        <f t="shared" si="0"/>
        <v>Zdeněk Skružný (24850)</v>
      </c>
    </row>
    <row r="6" spans="1:8" x14ac:dyDescent="0.25">
      <c r="A6" s="169" t="s">
        <v>11</v>
      </c>
      <c r="B6" s="170">
        <v>37000</v>
      </c>
      <c r="C6" s="178" t="s">
        <v>923</v>
      </c>
      <c r="D6" s="178" t="s">
        <v>924</v>
      </c>
      <c r="E6" s="178"/>
      <c r="F6" s="178"/>
      <c r="G6" s="178"/>
      <c r="H6" s="166" t="str">
        <f t="shared" si="0"/>
        <v>Oliver Gold (37000)</v>
      </c>
    </row>
    <row r="7" spans="1:8" x14ac:dyDescent="0.25">
      <c r="A7" s="169" t="s">
        <v>113</v>
      </c>
      <c r="B7" s="170">
        <v>36658</v>
      </c>
      <c r="C7" s="178" t="s">
        <v>966</v>
      </c>
      <c r="D7" s="178" t="s">
        <v>967</v>
      </c>
      <c r="E7" s="178" t="s">
        <v>968</v>
      </c>
      <c r="F7" s="178"/>
      <c r="G7" s="178"/>
      <c r="H7" s="166" t="str">
        <f t="shared" si="0"/>
        <v>Jan Procházka (36658)</v>
      </c>
    </row>
    <row r="8" spans="1:8" x14ac:dyDescent="0.25">
      <c r="A8" s="169" t="s">
        <v>18</v>
      </c>
      <c r="B8" s="170">
        <v>37561</v>
      </c>
      <c r="C8" s="178" t="s">
        <v>925</v>
      </c>
      <c r="D8" s="178" t="s">
        <v>926</v>
      </c>
      <c r="E8" s="178"/>
      <c r="F8" s="178"/>
      <c r="G8" s="178"/>
      <c r="H8" s="166" t="str">
        <f t="shared" si="0"/>
        <v>Matyáš Lorenc (37561)</v>
      </c>
    </row>
    <row r="9" spans="1:8" x14ac:dyDescent="0.25">
      <c r="A9" s="169" t="s">
        <v>4</v>
      </c>
      <c r="B9" s="170">
        <v>36364</v>
      </c>
      <c r="C9" s="178" t="s">
        <v>927</v>
      </c>
      <c r="D9" s="178" t="s">
        <v>928</v>
      </c>
      <c r="E9" s="178" t="s">
        <v>929</v>
      </c>
      <c r="F9" s="178" t="s">
        <v>930</v>
      </c>
      <c r="G9" s="178"/>
      <c r="H9" s="166" t="str">
        <f t="shared" si="0"/>
        <v>Štěpán Čuda (36364)</v>
      </c>
    </row>
    <row r="10" spans="1:8" x14ac:dyDescent="0.25">
      <c r="A10" s="169" t="s">
        <v>15</v>
      </c>
      <c r="B10" s="170">
        <v>35171</v>
      </c>
      <c r="C10" s="178" t="s">
        <v>931</v>
      </c>
      <c r="D10" s="178" t="s">
        <v>932</v>
      </c>
      <c r="E10" s="178" t="s">
        <v>929</v>
      </c>
      <c r="F10" s="178" t="s">
        <v>933</v>
      </c>
      <c r="G10" s="178"/>
      <c r="H10" s="166" t="str">
        <f t="shared" si="0"/>
        <v>Karel Šantora (35171)</v>
      </c>
    </row>
    <row r="11" spans="1:8" x14ac:dyDescent="0.25">
      <c r="A11" s="169" t="s">
        <v>10</v>
      </c>
      <c r="B11" s="170">
        <v>34200</v>
      </c>
      <c r="C11" s="178" t="s">
        <v>934</v>
      </c>
      <c r="D11" s="178"/>
      <c r="E11" s="178"/>
      <c r="F11" s="178"/>
      <c r="G11" s="178"/>
      <c r="H11" s="166" t="str">
        <f t="shared" si="0"/>
        <v>Ondřej Stuchlík (34200)</v>
      </c>
    </row>
    <row r="12" spans="1:8" x14ac:dyDescent="0.25">
      <c r="A12" s="169" t="s">
        <v>109</v>
      </c>
      <c r="B12" s="170">
        <v>36650</v>
      </c>
      <c r="C12" s="178" t="s">
        <v>935</v>
      </c>
      <c r="D12" s="178"/>
      <c r="E12" s="178"/>
      <c r="F12" s="178"/>
      <c r="G12" s="178"/>
      <c r="H12" s="166" t="str">
        <f t="shared" si="0"/>
        <v>Vojtěch Máca (36650)</v>
      </c>
    </row>
    <row r="13" spans="1:8" x14ac:dyDescent="0.25">
      <c r="A13" s="169" t="s">
        <v>19</v>
      </c>
      <c r="B13" s="170">
        <v>37455</v>
      </c>
      <c r="C13" s="178" t="s">
        <v>936</v>
      </c>
      <c r="D13" s="178" t="s">
        <v>937</v>
      </c>
      <c r="E13" s="178" t="s">
        <v>938</v>
      </c>
      <c r="F13" s="178"/>
      <c r="G13" s="178"/>
      <c r="H13" s="166" t="str">
        <f t="shared" si="0"/>
        <v>Marek Paštika (37455)</v>
      </c>
    </row>
    <row r="14" spans="1:8" x14ac:dyDescent="0.25">
      <c r="A14" s="169" t="s">
        <v>104</v>
      </c>
      <c r="B14" s="170">
        <v>34883</v>
      </c>
      <c r="C14" s="178" t="s">
        <v>939</v>
      </c>
      <c r="D14" s="178"/>
      <c r="E14" s="178"/>
      <c r="F14" s="178"/>
      <c r="G14" s="178"/>
      <c r="H14" s="166" t="str">
        <f t="shared" si="0"/>
        <v>Viktor Kopecký (34883)</v>
      </c>
    </row>
    <row r="15" spans="1:8" x14ac:dyDescent="0.25">
      <c r="A15" s="169" t="s">
        <v>14</v>
      </c>
      <c r="B15" s="170">
        <v>33357</v>
      </c>
      <c r="C15" s="178" t="s">
        <v>940</v>
      </c>
      <c r="D15" s="178" t="s">
        <v>941</v>
      </c>
      <c r="E15" s="178" t="s">
        <v>942</v>
      </c>
      <c r="F15" s="178"/>
      <c r="G15" s="178"/>
      <c r="H15" s="166" t="str">
        <f t="shared" si="0"/>
        <v>Petr Hartman (33357)</v>
      </c>
    </row>
    <row r="16" spans="1:8" x14ac:dyDescent="0.25">
      <c r="A16" s="169" t="s">
        <v>17</v>
      </c>
      <c r="B16" s="170">
        <v>37402</v>
      </c>
      <c r="C16" s="178" t="s">
        <v>936</v>
      </c>
      <c r="D16" s="178" t="s">
        <v>938</v>
      </c>
      <c r="E16" s="178" t="s">
        <v>943</v>
      </c>
      <c r="F16" s="178" t="s">
        <v>944</v>
      </c>
      <c r="G16" s="178"/>
      <c r="H16" s="166" t="str">
        <f t="shared" si="0"/>
        <v>Jan Pinkas (37402)</v>
      </c>
    </row>
    <row r="17" spans="1:8" x14ac:dyDescent="0.25">
      <c r="A17" s="169" t="s">
        <v>8</v>
      </c>
      <c r="B17" s="170">
        <v>34105</v>
      </c>
      <c r="C17" s="178" t="s">
        <v>945</v>
      </c>
      <c r="D17" s="178" t="s">
        <v>946</v>
      </c>
      <c r="E17" s="178" t="s">
        <v>947</v>
      </c>
      <c r="F17" s="178"/>
      <c r="G17" s="178"/>
      <c r="H17" s="166" t="str">
        <f t="shared" si="0"/>
        <v>Lukáš Gregor (34105)</v>
      </c>
    </row>
    <row r="18" spans="1:8" x14ac:dyDescent="0.25">
      <c r="A18" s="169" t="s">
        <v>6</v>
      </c>
      <c r="B18" s="170">
        <v>34880</v>
      </c>
      <c r="C18" s="178" t="s">
        <v>931</v>
      </c>
      <c r="D18" s="178" t="s">
        <v>948</v>
      </c>
      <c r="E18" s="178" t="s">
        <v>949</v>
      </c>
      <c r="F18" s="178"/>
      <c r="G18" s="178"/>
      <c r="H18" s="166" t="str">
        <f t="shared" si="0"/>
        <v>Jan Fiala (34880)</v>
      </c>
    </row>
    <row r="19" spans="1:8" x14ac:dyDescent="0.25">
      <c r="A19" s="169" t="s">
        <v>143</v>
      </c>
      <c r="B19" s="170">
        <v>36825</v>
      </c>
      <c r="C19" s="178" t="s">
        <v>950</v>
      </c>
      <c r="D19" s="178" t="s">
        <v>951</v>
      </c>
      <c r="E19" s="178" t="s">
        <v>952</v>
      </c>
      <c r="F19" s="178"/>
      <c r="G19" s="178"/>
      <c r="H19" s="166" t="str">
        <f t="shared" si="0"/>
        <v>Pavel Hájek (36825)</v>
      </c>
    </row>
    <row r="20" spans="1:8" x14ac:dyDescent="0.25">
      <c r="A20" s="168" t="s">
        <v>106</v>
      </c>
      <c r="B20" s="177">
        <v>37297</v>
      </c>
      <c r="C20" s="179" t="s">
        <v>953</v>
      </c>
      <c r="D20" s="179" t="s">
        <v>954</v>
      </c>
      <c r="E20" s="179" t="s">
        <v>955</v>
      </c>
      <c r="H20" s="166" t="str">
        <f t="shared" si="0"/>
        <v>Štepán Švejda (37297)</v>
      </c>
    </row>
    <row r="21" spans="1:8" x14ac:dyDescent="0.25">
      <c r="A21" s="168" t="s">
        <v>9</v>
      </c>
      <c r="B21" s="177">
        <v>34200</v>
      </c>
      <c r="C21" s="179" t="s">
        <v>956</v>
      </c>
      <c r="D21" s="179" t="s">
        <v>957</v>
      </c>
      <c r="E21" s="179" t="s">
        <v>958</v>
      </c>
      <c r="H21" s="166" t="str">
        <f t="shared" si="0"/>
        <v>Zbyněk Stuchlík (34200)</v>
      </c>
    </row>
    <row r="22" spans="1:8" x14ac:dyDescent="0.25">
      <c r="A22" s="168" t="s">
        <v>108</v>
      </c>
      <c r="B22" s="177">
        <v>36551</v>
      </c>
      <c r="C22" s="179" t="s">
        <v>959</v>
      </c>
      <c r="D22" s="179" t="s">
        <v>960</v>
      </c>
      <c r="E22" s="179" t="s">
        <v>961</v>
      </c>
      <c r="F22" s="179" t="s">
        <v>962</v>
      </c>
      <c r="H22" s="166" t="str">
        <f t="shared" si="0"/>
        <v>Ivan Pergler (36551)</v>
      </c>
    </row>
    <row r="23" spans="1:8" x14ac:dyDescent="0.25">
      <c r="A23" s="168" t="s">
        <v>0</v>
      </c>
      <c r="B23" s="177">
        <v>37777</v>
      </c>
      <c r="C23" s="179" t="s">
        <v>963</v>
      </c>
      <c r="D23" s="179" t="s">
        <v>964</v>
      </c>
      <c r="E23" s="179" t="s">
        <v>965</v>
      </c>
      <c r="H23" s="166" t="str">
        <f t="shared" si="0"/>
        <v>Vojtěch Klápa (37777)</v>
      </c>
    </row>
    <row r="24" spans="1:8" x14ac:dyDescent="0.25">
      <c r="A24" s="168" t="s">
        <v>643</v>
      </c>
      <c r="B24" s="177">
        <v>30929</v>
      </c>
      <c r="C24" s="179" t="s">
        <v>979</v>
      </c>
      <c r="D24" s="179" t="s">
        <v>980</v>
      </c>
      <c r="H24" s="166" t="str">
        <f t="shared" si="0"/>
        <v>Ivan Ponomarev (30929)</v>
      </c>
    </row>
    <row r="25" spans="1:8" x14ac:dyDescent="0.25">
      <c r="A25" s="168" t="s">
        <v>652</v>
      </c>
      <c r="B25" s="177">
        <v>35663</v>
      </c>
      <c r="C25" s="179" t="s">
        <v>981</v>
      </c>
      <c r="D25" s="179" t="s">
        <v>982</v>
      </c>
      <c r="H25" s="166" t="str">
        <f t="shared" si="0"/>
        <v>Lukáš Chyna (35663)</v>
      </c>
    </row>
    <row r="26" spans="1:8" x14ac:dyDescent="0.25">
      <c r="A26" s="168" t="s">
        <v>392</v>
      </c>
      <c r="B26" s="177">
        <v>33976</v>
      </c>
      <c r="C26" s="179" t="s">
        <v>983</v>
      </c>
      <c r="D26" s="179" t="s">
        <v>984</v>
      </c>
      <c r="E26" s="179" t="s">
        <v>985</v>
      </c>
      <c r="F26" s="179" t="s">
        <v>986</v>
      </c>
      <c r="H26" s="166" t="str">
        <f t="shared" si="0"/>
        <v>Milan Tichý (33976)</v>
      </c>
    </row>
    <row r="27" spans="1:8" x14ac:dyDescent="0.25">
      <c r="A27" s="168" t="s">
        <v>647</v>
      </c>
      <c r="B27" s="177">
        <v>31959</v>
      </c>
      <c r="C27" s="179" t="s">
        <v>987</v>
      </c>
      <c r="D27" s="179" t="s">
        <v>988</v>
      </c>
      <c r="E27" s="179" t="s">
        <v>989</v>
      </c>
      <c r="F27" s="179" t="s">
        <v>990</v>
      </c>
      <c r="H27" s="166" t="str">
        <f t="shared" si="0"/>
        <v>Lukáš Mlejnek (31959)</v>
      </c>
    </row>
    <row r="28" spans="1:8" x14ac:dyDescent="0.25">
      <c r="A28" s="168" t="s">
        <v>661</v>
      </c>
      <c r="B28" s="177">
        <v>36660</v>
      </c>
      <c r="C28" s="179" t="s">
        <v>991</v>
      </c>
      <c r="D28" s="179" t="s">
        <v>992</v>
      </c>
      <c r="E28" s="179" t="s">
        <v>993</v>
      </c>
      <c r="H28" s="166" t="str">
        <f t="shared" si="0"/>
        <v>Jan Spilka (36660)</v>
      </c>
    </row>
    <row r="29" spans="1:8" x14ac:dyDescent="0.25">
      <c r="A29" s="168" t="s">
        <v>657</v>
      </c>
      <c r="B29" s="177">
        <v>33176</v>
      </c>
      <c r="C29" s="179" t="s">
        <v>994</v>
      </c>
      <c r="D29" s="179" t="s">
        <v>995</v>
      </c>
      <c r="E29" s="179" t="s">
        <v>996</v>
      </c>
      <c r="H29" s="166" t="str">
        <f t="shared" si="0"/>
        <v>Tomáš Kadlec (33176)</v>
      </c>
    </row>
    <row r="30" spans="1:8" x14ac:dyDescent="0.25">
      <c r="A30" s="168" t="s">
        <v>642</v>
      </c>
      <c r="B30" s="177">
        <v>30346</v>
      </c>
      <c r="C30" s="179" t="s">
        <v>997</v>
      </c>
      <c r="D30" s="179" t="s">
        <v>998</v>
      </c>
      <c r="E30" s="179" t="s">
        <v>308</v>
      </c>
      <c r="H30" s="166" t="str">
        <f t="shared" si="0"/>
        <v>Štěpán Slaný (30346)</v>
      </c>
    </row>
    <row r="31" spans="1:8" x14ac:dyDescent="0.25">
      <c r="A31" s="168" t="s">
        <v>640</v>
      </c>
      <c r="B31" s="177">
        <v>35199</v>
      </c>
      <c r="C31" s="179" t="s">
        <v>999</v>
      </c>
      <c r="D31" s="179" t="s">
        <v>1000</v>
      </c>
      <c r="H31" s="166" t="str">
        <f t="shared" si="0"/>
        <v>Daniel Štěrba (35199)</v>
      </c>
    </row>
    <row r="32" spans="1:8" x14ac:dyDescent="0.25">
      <c r="A32" s="168" t="s">
        <v>1001</v>
      </c>
      <c r="B32" s="177">
        <v>35852</v>
      </c>
      <c r="C32" s="179" t="s">
        <v>1002</v>
      </c>
      <c r="D32" s="179" t="s">
        <v>1003</v>
      </c>
      <c r="H32" s="166" t="str">
        <f t="shared" si="0"/>
        <v>Vojtěch Hrůza (35852)</v>
      </c>
    </row>
    <row r="33" spans="1:8" x14ac:dyDescent="0.25">
      <c r="A33" s="168" t="s">
        <v>658</v>
      </c>
      <c r="B33" s="177">
        <v>34046</v>
      </c>
      <c r="C33" s="179" t="s">
        <v>1004</v>
      </c>
      <c r="D33" s="179" t="s">
        <v>1005</v>
      </c>
      <c r="E33" s="179" t="s">
        <v>986</v>
      </c>
      <c r="H33" s="166" t="str">
        <f t="shared" si="0"/>
        <v>Tomáš Novák (34046)</v>
      </c>
    </row>
    <row r="34" spans="1:8" x14ac:dyDescent="0.25">
      <c r="A34" s="168" t="s">
        <v>646</v>
      </c>
      <c r="B34" s="177">
        <v>37722</v>
      </c>
      <c r="C34" s="179" t="s">
        <v>1006</v>
      </c>
      <c r="D34" s="179" t="s">
        <v>1007</v>
      </c>
      <c r="E34" s="179" t="s">
        <v>1008</v>
      </c>
      <c r="H34" s="166" t="str">
        <f t="shared" ref="H34:H65" si="1">IF(A34&lt;&gt;"",CONCATENATE(A34," (",B34,")"),"")</f>
        <v>Antonín Stárek (37722)</v>
      </c>
    </row>
    <row r="35" spans="1:8" x14ac:dyDescent="0.25">
      <c r="A35" s="168" t="s">
        <v>648</v>
      </c>
      <c r="B35" s="177">
        <v>37697</v>
      </c>
      <c r="C35" s="179" t="s">
        <v>1009</v>
      </c>
      <c r="D35" s="179" t="s">
        <v>1010</v>
      </c>
      <c r="H35" s="166" t="str">
        <f t="shared" si="1"/>
        <v>Oliver Brodský (37697)</v>
      </c>
    </row>
    <row r="36" spans="1:8" x14ac:dyDescent="0.25">
      <c r="A36" s="168" t="s">
        <v>644</v>
      </c>
      <c r="B36" s="177">
        <v>35758</v>
      </c>
      <c r="C36" s="179" t="s">
        <v>1011</v>
      </c>
      <c r="D36" s="179" t="s">
        <v>1012</v>
      </c>
      <c r="E36" s="179" t="s">
        <v>1013</v>
      </c>
      <c r="H36" s="166" t="str">
        <f t="shared" si="1"/>
        <v>Jiří Vlček (35758)</v>
      </c>
    </row>
    <row r="37" spans="1:8" x14ac:dyDescent="0.25">
      <c r="A37" s="168" t="s">
        <v>639</v>
      </c>
      <c r="B37" s="177">
        <v>31655</v>
      </c>
      <c r="C37" s="179" t="s">
        <v>1014</v>
      </c>
      <c r="D37" s="179" t="s">
        <v>1015</v>
      </c>
      <c r="E37" s="179" t="s">
        <v>1016</v>
      </c>
      <c r="F37" s="179" t="s">
        <v>1017</v>
      </c>
      <c r="H37" s="166" t="str">
        <f t="shared" si="1"/>
        <v>Marek Dzierža (31655)</v>
      </c>
    </row>
    <row r="38" spans="1:8" x14ac:dyDescent="0.25">
      <c r="A38" s="168" t="s">
        <v>645</v>
      </c>
      <c r="B38" s="177">
        <v>37944</v>
      </c>
      <c r="C38" s="179" t="s">
        <v>1018</v>
      </c>
      <c r="D38" s="179" t="s">
        <v>1019</v>
      </c>
      <c r="E38" s="179" t="s">
        <v>1020</v>
      </c>
      <c r="H38" s="166" t="str">
        <f t="shared" si="1"/>
        <v>Albert Kouba (37944)</v>
      </c>
    </row>
    <row r="39" spans="1:8" x14ac:dyDescent="0.25">
      <c r="A39" s="168" t="s">
        <v>641</v>
      </c>
      <c r="B39" s="177">
        <v>33030</v>
      </c>
      <c r="C39" s="179" t="s">
        <v>1021</v>
      </c>
      <c r="D39" s="179" t="s">
        <v>1022</v>
      </c>
      <c r="E39" s="179" t="s">
        <v>1023</v>
      </c>
      <c r="H39" s="166" t="str">
        <f t="shared" si="1"/>
        <v>Jakub Karel (33030)</v>
      </c>
    </row>
    <row r="40" spans="1:8" x14ac:dyDescent="0.25">
      <c r="A40" s="168" t="s">
        <v>637</v>
      </c>
      <c r="B40" s="177">
        <v>37951</v>
      </c>
      <c r="C40" s="179" t="s">
        <v>1024</v>
      </c>
      <c r="D40" s="179" t="s">
        <v>1025</v>
      </c>
      <c r="E40" s="179" t="s">
        <v>1026</v>
      </c>
      <c r="F40" s="179" t="s">
        <v>1027</v>
      </c>
      <c r="H40" s="166" t="str">
        <f t="shared" si="1"/>
        <v>Ondřej Kopič (37951)</v>
      </c>
    </row>
    <row r="41" spans="1:8" x14ac:dyDescent="0.25">
      <c r="A41" s="168" t="s">
        <v>406</v>
      </c>
      <c r="B41" s="177">
        <v>34592</v>
      </c>
      <c r="C41" s="179" t="s">
        <v>1028</v>
      </c>
      <c r="D41" s="179" t="s">
        <v>1029</v>
      </c>
      <c r="E41" s="179" t="s">
        <v>1030</v>
      </c>
      <c r="F41" s="179" t="s">
        <v>1031</v>
      </c>
      <c r="H41" s="166" t="str">
        <f t="shared" si="1"/>
        <v>Petr Novotný (34592)</v>
      </c>
    </row>
    <row r="42" spans="1:8" x14ac:dyDescent="0.25">
      <c r="A42" s="168" t="s">
        <v>649</v>
      </c>
      <c r="B42" s="177">
        <v>33522</v>
      </c>
      <c r="C42" s="179" t="s">
        <v>1032</v>
      </c>
      <c r="D42" s="179" t="s">
        <v>1033</v>
      </c>
      <c r="E42" s="179" t="s">
        <v>1034</v>
      </c>
      <c r="F42" s="179" t="s">
        <v>1035</v>
      </c>
      <c r="H42" s="166" t="str">
        <f t="shared" si="1"/>
        <v>Jakub Jirsa (33522)</v>
      </c>
    </row>
    <row r="43" spans="1:8" x14ac:dyDescent="0.25">
      <c r="A43" s="168" t="s">
        <v>636</v>
      </c>
      <c r="B43" s="177">
        <v>33970</v>
      </c>
      <c r="C43" s="179" t="s">
        <v>1036</v>
      </c>
      <c r="D43" s="179" t="s">
        <v>1037</v>
      </c>
      <c r="E43" s="179" t="s">
        <v>1038</v>
      </c>
      <c r="H43" s="166" t="str">
        <f t="shared" si="1"/>
        <v>Radek Krajcigr (33970)</v>
      </c>
    </row>
    <row r="44" spans="1:8" x14ac:dyDescent="0.25">
      <c r="A44" s="168" t="s">
        <v>638</v>
      </c>
      <c r="B44" s="177">
        <v>32150</v>
      </c>
      <c r="C44" s="179" t="s">
        <v>1039</v>
      </c>
      <c r="D44" s="179" t="s">
        <v>1040</v>
      </c>
      <c r="E44" s="179" t="s">
        <v>1041</v>
      </c>
      <c r="F44" s="179" t="s">
        <v>986</v>
      </c>
      <c r="H44" s="166" t="str">
        <f t="shared" si="1"/>
        <v>Jaromír Ekl (32150)</v>
      </c>
    </row>
    <row r="45" spans="1:8" x14ac:dyDescent="0.25">
      <c r="A45" s="168" t="s">
        <v>673</v>
      </c>
      <c r="B45" s="177">
        <v>31211</v>
      </c>
      <c r="C45" s="179" t="s">
        <v>1042</v>
      </c>
      <c r="D45" s="179" t="s">
        <v>1043</v>
      </c>
      <c r="E45" s="179" t="s">
        <v>1044</v>
      </c>
      <c r="H45" s="166" t="str">
        <f t="shared" si="1"/>
        <v>David Derka (31211)</v>
      </c>
    </row>
    <row r="46" spans="1:8" x14ac:dyDescent="0.25">
      <c r="A46" s="168" t="s">
        <v>543</v>
      </c>
      <c r="B46" s="177">
        <v>33195</v>
      </c>
      <c r="C46" s="179" t="s">
        <v>1111</v>
      </c>
      <c r="D46" s="179" t="s">
        <v>1112</v>
      </c>
      <c r="E46" s="179" t="s">
        <v>1113</v>
      </c>
      <c r="H46" s="166" t="str">
        <f t="shared" si="1"/>
        <v>Vojtěch Zezulka (33195)</v>
      </c>
    </row>
    <row r="47" spans="1:8" x14ac:dyDescent="0.25">
      <c r="A47" s="168" t="s">
        <v>548</v>
      </c>
      <c r="B47" s="177">
        <v>33767</v>
      </c>
      <c r="C47" s="179" t="s">
        <v>1114</v>
      </c>
      <c r="D47" s="179" t="s">
        <v>1115</v>
      </c>
      <c r="H47" s="166" t="str">
        <f t="shared" si="1"/>
        <v>Pavel Čihák (33767)</v>
      </c>
    </row>
    <row r="48" spans="1:8" x14ac:dyDescent="0.25">
      <c r="A48" s="168" t="s">
        <v>547</v>
      </c>
      <c r="B48" s="177">
        <v>34316</v>
      </c>
      <c r="C48" s="179" t="s">
        <v>1116</v>
      </c>
      <c r="H48" s="166" t="str">
        <f t="shared" si="1"/>
        <v>Marek Ďopan (34316)</v>
      </c>
    </row>
    <row r="49" spans="1:8" x14ac:dyDescent="0.25">
      <c r="A49" s="168" t="s">
        <v>550</v>
      </c>
      <c r="B49" s="177">
        <v>38057</v>
      </c>
      <c r="C49" s="179" t="s">
        <v>1117</v>
      </c>
      <c r="H49" s="166" t="str">
        <f t="shared" si="1"/>
        <v>Vojtěch Bílek (38057)</v>
      </c>
    </row>
    <row r="50" spans="1:8" x14ac:dyDescent="0.25">
      <c r="A50" s="168" t="s">
        <v>541</v>
      </c>
      <c r="B50" s="177">
        <v>37455</v>
      </c>
      <c r="C50" s="179" t="s">
        <v>1118</v>
      </c>
      <c r="D50" s="179" t="s">
        <v>1119</v>
      </c>
      <c r="E50" s="179" t="s">
        <v>1120</v>
      </c>
      <c r="H50" s="166" t="str">
        <f t="shared" si="1"/>
        <v>Matúš Gajdoš (37455)</v>
      </c>
    </row>
    <row r="51" spans="1:8" x14ac:dyDescent="0.25">
      <c r="A51" s="168" t="s">
        <v>552</v>
      </c>
      <c r="B51" s="177">
        <v>36370</v>
      </c>
      <c r="C51" s="179" t="s">
        <v>1121</v>
      </c>
      <c r="H51" s="166" t="str">
        <f t="shared" si="1"/>
        <v>Jan Dobisík (36370)</v>
      </c>
    </row>
    <row r="52" spans="1:8" x14ac:dyDescent="0.25">
      <c r="A52" s="168" t="s">
        <v>536</v>
      </c>
      <c r="B52" s="177">
        <v>36990</v>
      </c>
      <c r="C52" s="179" t="s">
        <v>1122</v>
      </c>
      <c r="D52" s="179" t="s">
        <v>1123</v>
      </c>
      <c r="H52" s="166" t="str">
        <f t="shared" si="1"/>
        <v>Jakub Buršík (36990)</v>
      </c>
    </row>
    <row r="53" spans="1:8" x14ac:dyDescent="0.25">
      <c r="A53" s="168" t="s">
        <v>540</v>
      </c>
      <c r="B53" s="177">
        <v>33400</v>
      </c>
      <c r="C53" s="179" t="s">
        <v>1124</v>
      </c>
      <c r="D53" s="179" t="s">
        <v>1125</v>
      </c>
      <c r="H53" s="166" t="str">
        <f t="shared" si="1"/>
        <v>Adam Růžek (33400)</v>
      </c>
    </row>
    <row r="54" spans="1:8" x14ac:dyDescent="0.25">
      <c r="A54" s="168" t="s">
        <v>535</v>
      </c>
      <c r="B54" s="177">
        <v>37353</v>
      </c>
      <c r="C54" s="179" t="s">
        <v>1126</v>
      </c>
      <c r="H54" s="166" t="str">
        <f t="shared" si="1"/>
        <v>Karel Petrák (37353)</v>
      </c>
    </row>
    <row r="55" spans="1:8" x14ac:dyDescent="0.25">
      <c r="A55" s="168" t="s">
        <v>568</v>
      </c>
      <c r="B55" s="177">
        <v>29350</v>
      </c>
      <c r="C55" s="179" t="s">
        <v>1127</v>
      </c>
      <c r="D55" s="179" t="s">
        <v>1128</v>
      </c>
      <c r="H55" s="166" t="str">
        <f t="shared" si="1"/>
        <v>Michal Jedlička (29350)</v>
      </c>
    </row>
    <row r="56" spans="1:8" x14ac:dyDescent="0.25">
      <c r="A56" s="168" t="s">
        <v>382</v>
      </c>
      <c r="B56" s="177">
        <v>33335</v>
      </c>
      <c r="C56" s="179" t="s">
        <v>1377</v>
      </c>
      <c r="D56" s="179" t="s">
        <v>1378</v>
      </c>
      <c r="E56" s="179" t="s">
        <v>1379</v>
      </c>
      <c r="F56" s="179" t="s">
        <v>1380</v>
      </c>
      <c r="H56" s="166" t="str">
        <f t="shared" si="1"/>
        <v>Lukáš Bauer (33335)</v>
      </c>
    </row>
    <row r="57" spans="1:8" x14ac:dyDescent="0.25">
      <c r="A57" s="168" t="s">
        <v>379</v>
      </c>
      <c r="B57" s="177">
        <v>33193</v>
      </c>
      <c r="C57" s="179" t="s">
        <v>1381</v>
      </c>
      <c r="D57" s="179" t="s">
        <v>1382</v>
      </c>
      <c r="E57" s="179" t="s">
        <v>1383</v>
      </c>
      <c r="F57" s="179" t="s">
        <v>1384</v>
      </c>
      <c r="G57" s="179" t="s">
        <v>1385</v>
      </c>
      <c r="H57" s="166" t="str">
        <f t="shared" si="1"/>
        <v>Patrik Suchánek (33193)</v>
      </c>
    </row>
    <row r="58" spans="1:8" x14ac:dyDescent="0.25">
      <c r="A58" s="168" t="s">
        <v>373</v>
      </c>
      <c r="B58" s="177">
        <v>34602</v>
      </c>
      <c r="C58" s="179" t="s">
        <v>1386</v>
      </c>
      <c r="D58" s="179" t="s">
        <v>1387</v>
      </c>
      <c r="E58" s="179" t="s">
        <v>1388</v>
      </c>
      <c r="F58" s="179" t="s">
        <v>1389</v>
      </c>
      <c r="G58" s="179" t="s">
        <v>1390</v>
      </c>
      <c r="H58" s="166" t="str">
        <f t="shared" si="1"/>
        <v>Jakub Gruber (34602)</v>
      </c>
    </row>
    <row r="59" spans="1:8" x14ac:dyDescent="0.25">
      <c r="A59" s="168" t="s">
        <v>380</v>
      </c>
      <c r="B59" s="177">
        <v>36648</v>
      </c>
      <c r="C59" s="179" t="s">
        <v>1003</v>
      </c>
      <c r="D59" s="179" t="s">
        <v>1391</v>
      </c>
      <c r="E59" s="179" t="s">
        <v>1392</v>
      </c>
      <c r="H59" s="166" t="str">
        <f t="shared" si="1"/>
        <v>Petr Koláčný (36648)</v>
      </c>
    </row>
    <row r="60" spans="1:8" x14ac:dyDescent="0.25">
      <c r="A60" s="168" t="s">
        <v>383</v>
      </c>
      <c r="B60" s="177">
        <v>37578</v>
      </c>
      <c r="C60" s="179" t="s">
        <v>1003</v>
      </c>
      <c r="D60" s="179" t="s">
        <v>1393</v>
      </c>
      <c r="E60" s="179" t="s">
        <v>1394</v>
      </c>
      <c r="F60" s="179" t="s">
        <v>1395</v>
      </c>
      <c r="H60" s="166" t="str">
        <f t="shared" si="1"/>
        <v>Lukáš Punčochář (37578)</v>
      </c>
    </row>
    <row r="61" spans="1:8" x14ac:dyDescent="0.25">
      <c r="A61" s="168" t="s">
        <v>389</v>
      </c>
      <c r="B61" s="177">
        <v>37407</v>
      </c>
      <c r="C61" s="179" t="s">
        <v>1396</v>
      </c>
      <c r="D61" s="179" t="s">
        <v>1397</v>
      </c>
      <c r="E61" s="179" t="s">
        <v>1394</v>
      </c>
      <c r="F61" s="179" t="s">
        <v>1398</v>
      </c>
      <c r="H61" s="166" t="str">
        <f t="shared" si="1"/>
        <v>Adam Hemerka (37407)</v>
      </c>
    </row>
    <row r="62" spans="1:8" x14ac:dyDescent="0.25">
      <c r="A62" s="168" t="s">
        <v>386</v>
      </c>
      <c r="B62" s="177">
        <v>37122</v>
      </c>
      <c r="C62" s="179" t="s">
        <v>1003</v>
      </c>
      <c r="H62" s="166" t="str">
        <f t="shared" si="1"/>
        <v>Miroslav Fořt (37122)</v>
      </c>
    </row>
    <row r="63" spans="1:8" x14ac:dyDescent="0.25">
      <c r="A63" s="168" t="s">
        <v>381</v>
      </c>
      <c r="B63" s="177">
        <v>32590</v>
      </c>
      <c r="C63" s="179" t="s">
        <v>1385</v>
      </c>
      <c r="D63" s="179" t="s">
        <v>1399</v>
      </c>
      <c r="E63" s="179" t="s">
        <v>1382</v>
      </c>
      <c r="F63" s="179" t="s">
        <v>1400</v>
      </c>
      <c r="G63" s="179" t="s">
        <v>149</v>
      </c>
      <c r="H63" s="166" t="str">
        <f t="shared" si="1"/>
        <v>Daniel Šebek (32590)</v>
      </c>
    </row>
    <row r="64" spans="1:8" x14ac:dyDescent="0.25">
      <c r="A64" s="168" t="s">
        <v>378</v>
      </c>
      <c r="B64" s="177">
        <v>32329</v>
      </c>
      <c r="C64" s="179" t="s">
        <v>1401</v>
      </c>
      <c r="D64" s="179" t="s">
        <v>1399</v>
      </c>
      <c r="E64" s="179" t="s">
        <v>1402</v>
      </c>
      <c r="F64" s="179" t="s">
        <v>1403</v>
      </c>
      <c r="G64" s="179" t="s">
        <v>1404</v>
      </c>
      <c r="H64" s="166" t="str">
        <f t="shared" si="1"/>
        <v>Milan Tomašík (32329)</v>
      </c>
    </row>
    <row r="65" spans="1:8" x14ac:dyDescent="0.25">
      <c r="A65" s="168" t="s">
        <v>375</v>
      </c>
      <c r="B65" s="177">
        <v>34634</v>
      </c>
      <c r="C65" s="179" t="s">
        <v>1405</v>
      </c>
      <c r="D65" s="179" t="s">
        <v>1406</v>
      </c>
      <c r="E65" s="179" t="s">
        <v>1407</v>
      </c>
      <c r="F65" s="179" t="s">
        <v>1408</v>
      </c>
      <c r="H65" s="166" t="str">
        <f t="shared" si="1"/>
        <v>Tadeáš Chroust (34634)</v>
      </c>
    </row>
    <row r="66" spans="1:8" x14ac:dyDescent="0.25">
      <c r="A66" s="168" t="s">
        <v>377</v>
      </c>
      <c r="B66" s="177">
        <v>35871</v>
      </c>
      <c r="C66" s="179" t="s">
        <v>1405</v>
      </c>
      <c r="D66" s="179" t="s">
        <v>1409</v>
      </c>
      <c r="E66" s="179" t="s">
        <v>1410</v>
      </c>
      <c r="H66" s="166" t="str">
        <f t="shared" ref="H66:H97" si="2">IF(A66&lt;&gt;"",CONCATENATE(A66," (",B66,")"),"")</f>
        <v>Jakub Bína (35871)</v>
      </c>
    </row>
    <row r="67" spans="1:8" x14ac:dyDescent="0.25">
      <c r="A67" s="168" t="s">
        <v>371</v>
      </c>
      <c r="B67" s="177">
        <v>33157</v>
      </c>
      <c r="C67" s="179" t="s">
        <v>1411</v>
      </c>
      <c r="D67" s="179" t="s">
        <v>1412</v>
      </c>
      <c r="E67" s="179" t="s">
        <v>1413</v>
      </c>
      <c r="F67" s="179" t="s">
        <v>1381</v>
      </c>
      <c r="G67" s="179" t="s">
        <v>1414</v>
      </c>
      <c r="H67" s="166" t="str">
        <f t="shared" si="2"/>
        <v>Martin Tokoš (33157)</v>
      </c>
    </row>
    <row r="68" spans="1:8" x14ac:dyDescent="0.25">
      <c r="A68" s="168" t="s">
        <v>374</v>
      </c>
      <c r="B68" s="177">
        <v>37103</v>
      </c>
      <c r="C68" s="179" t="s">
        <v>1003</v>
      </c>
      <c r="D68" s="179" t="s">
        <v>1415</v>
      </c>
      <c r="E68" s="179" t="s">
        <v>1392</v>
      </c>
      <c r="F68" s="179" t="s">
        <v>1416</v>
      </c>
      <c r="H68" s="166" t="str">
        <f t="shared" si="2"/>
        <v>Dominik Beneš (37103)</v>
      </c>
    </row>
    <row r="69" spans="1:8" x14ac:dyDescent="0.25">
      <c r="A69" s="168" t="s">
        <v>369</v>
      </c>
      <c r="B69" s="177">
        <v>32786</v>
      </c>
      <c r="C69" s="179" t="s">
        <v>1405</v>
      </c>
      <c r="D69" s="179" t="s">
        <v>1417</v>
      </c>
      <c r="E69" s="179" t="s">
        <v>1402</v>
      </c>
      <c r="F69" s="179" t="s">
        <v>1403</v>
      </c>
      <c r="G69" s="179" t="s">
        <v>1418</v>
      </c>
      <c r="H69" s="166" t="str">
        <f t="shared" si="2"/>
        <v>Jiří Curney (32786)</v>
      </c>
    </row>
    <row r="70" spans="1:8" x14ac:dyDescent="0.25">
      <c r="A70" s="168" t="s">
        <v>370</v>
      </c>
      <c r="B70" s="177">
        <v>37358</v>
      </c>
      <c r="C70" s="179" t="s">
        <v>1003</v>
      </c>
      <c r="D70" s="179" t="s">
        <v>1419</v>
      </c>
      <c r="E70" s="179" t="s">
        <v>1394</v>
      </c>
      <c r="H70" s="166" t="str">
        <f t="shared" si="2"/>
        <v>Matěj Pěnička (37358)</v>
      </c>
    </row>
    <row r="71" spans="1:8" x14ac:dyDescent="0.25">
      <c r="A71" s="168" t="s">
        <v>372</v>
      </c>
      <c r="B71" s="177">
        <v>33919</v>
      </c>
      <c r="C71" s="179" t="s">
        <v>1420</v>
      </c>
      <c r="D71" s="179" t="s">
        <v>1421</v>
      </c>
      <c r="E71" s="179" t="s">
        <v>1422</v>
      </c>
      <c r="H71" s="166" t="str">
        <f t="shared" si="2"/>
        <v>Jan Natov (33919)</v>
      </c>
    </row>
    <row r="72" spans="1:8" x14ac:dyDescent="0.25">
      <c r="A72" s="168" t="s">
        <v>406</v>
      </c>
      <c r="B72" s="177">
        <v>30091</v>
      </c>
      <c r="C72" s="179" t="s">
        <v>1423</v>
      </c>
      <c r="D72" s="179" t="s">
        <v>1424</v>
      </c>
      <c r="E72" s="179" t="s">
        <v>1425</v>
      </c>
      <c r="F72" s="179" t="s">
        <v>1426</v>
      </c>
      <c r="H72" s="166" t="str">
        <f t="shared" si="2"/>
        <v>Petr Novotný (30091)</v>
      </c>
    </row>
    <row r="73" spans="1:8" x14ac:dyDescent="0.25">
      <c r="H73" s="166" t="str">
        <f t="shared" si="2"/>
        <v/>
      </c>
    </row>
    <row r="74" spans="1:8" x14ac:dyDescent="0.25">
      <c r="H74" s="166" t="str">
        <f t="shared" si="2"/>
        <v/>
      </c>
    </row>
    <row r="75" spans="1:8" x14ac:dyDescent="0.25">
      <c r="H75" s="166" t="str">
        <f t="shared" si="2"/>
        <v/>
      </c>
    </row>
    <row r="76" spans="1:8" x14ac:dyDescent="0.25">
      <c r="H76" s="166" t="str">
        <f t="shared" si="2"/>
        <v/>
      </c>
    </row>
    <row r="77" spans="1:8" x14ac:dyDescent="0.25">
      <c r="H77" s="166" t="str">
        <f t="shared" si="2"/>
        <v/>
      </c>
    </row>
    <row r="78" spans="1:8" x14ac:dyDescent="0.25">
      <c r="H78" s="166" t="str">
        <f t="shared" si="2"/>
        <v/>
      </c>
    </row>
    <row r="79" spans="1:8" x14ac:dyDescent="0.25">
      <c r="H79" s="166" t="str">
        <f t="shared" si="2"/>
        <v/>
      </c>
    </row>
    <row r="80" spans="1:8" x14ac:dyDescent="0.25">
      <c r="H80" s="166" t="str">
        <f t="shared" si="2"/>
        <v/>
      </c>
    </row>
    <row r="81" spans="8:8" x14ac:dyDescent="0.25">
      <c r="H81" s="166" t="str">
        <f t="shared" si="2"/>
        <v/>
      </c>
    </row>
    <row r="82" spans="8:8" x14ac:dyDescent="0.25">
      <c r="H82" s="166" t="str">
        <f t="shared" si="2"/>
        <v/>
      </c>
    </row>
    <row r="83" spans="8:8" x14ac:dyDescent="0.25">
      <c r="H83" s="166" t="str">
        <f t="shared" si="2"/>
        <v/>
      </c>
    </row>
    <row r="84" spans="8:8" x14ac:dyDescent="0.25">
      <c r="H84" s="166" t="str">
        <f t="shared" si="2"/>
        <v/>
      </c>
    </row>
    <row r="85" spans="8:8" x14ac:dyDescent="0.25">
      <c r="H85" s="166" t="str">
        <f t="shared" si="2"/>
        <v/>
      </c>
    </row>
    <row r="86" spans="8:8" x14ac:dyDescent="0.25">
      <c r="H86" s="166" t="str">
        <f t="shared" si="2"/>
        <v/>
      </c>
    </row>
    <row r="87" spans="8:8" x14ac:dyDescent="0.25">
      <c r="H87" s="166" t="str">
        <f t="shared" si="2"/>
        <v/>
      </c>
    </row>
    <row r="88" spans="8:8" x14ac:dyDescent="0.25">
      <c r="H88" s="166" t="str">
        <f t="shared" si="2"/>
        <v/>
      </c>
    </row>
    <row r="89" spans="8:8" x14ac:dyDescent="0.25">
      <c r="H89" s="166" t="str">
        <f t="shared" si="2"/>
        <v/>
      </c>
    </row>
    <row r="90" spans="8:8" x14ac:dyDescent="0.25">
      <c r="H90" s="166" t="str">
        <f t="shared" si="2"/>
        <v/>
      </c>
    </row>
    <row r="91" spans="8:8" x14ac:dyDescent="0.25">
      <c r="H91" s="166" t="str">
        <f t="shared" si="2"/>
        <v/>
      </c>
    </row>
    <row r="92" spans="8:8" x14ac:dyDescent="0.25">
      <c r="H92" s="166" t="str">
        <f t="shared" si="2"/>
        <v/>
      </c>
    </row>
    <row r="93" spans="8:8" x14ac:dyDescent="0.25">
      <c r="H93" s="166" t="str">
        <f t="shared" si="2"/>
        <v/>
      </c>
    </row>
    <row r="94" spans="8:8" x14ac:dyDescent="0.25">
      <c r="H94" s="166" t="str">
        <f t="shared" si="2"/>
        <v/>
      </c>
    </row>
    <row r="95" spans="8:8" x14ac:dyDescent="0.25">
      <c r="H95" s="166" t="str">
        <f t="shared" si="2"/>
        <v/>
      </c>
    </row>
    <row r="96" spans="8:8" x14ac:dyDescent="0.25">
      <c r="H96" s="166" t="str">
        <f t="shared" si="2"/>
        <v/>
      </c>
    </row>
    <row r="97" spans="8:8" x14ac:dyDescent="0.25">
      <c r="H97" s="166" t="str">
        <f t="shared" si="2"/>
        <v/>
      </c>
    </row>
    <row r="98" spans="8:8" x14ac:dyDescent="0.25">
      <c r="H98" s="166" t="str">
        <f t="shared" ref="H98:H129" si="3">IF(A98&lt;&gt;"",CONCATENATE(A98," (",B98,")"),"")</f>
        <v/>
      </c>
    </row>
    <row r="99" spans="8:8" x14ac:dyDescent="0.25">
      <c r="H99" s="166" t="str">
        <f t="shared" si="3"/>
        <v/>
      </c>
    </row>
    <row r="100" spans="8:8" x14ac:dyDescent="0.25">
      <c r="H100" s="166" t="str">
        <f t="shared" si="3"/>
        <v/>
      </c>
    </row>
    <row r="101" spans="8:8" x14ac:dyDescent="0.25">
      <c r="H101" s="166" t="str">
        <f t="shared" si="3"/>
        <v/>
      </c>
    </row>
    <row r="102" spans="8:8" x14ac:dyDescent="0.25">
      <c r="H102" s="166" t="str">
        <f t="shared" si="3"/>
        <v/>
      </c>
    </row>
    <row r="103" spans="8:8" x14ac:dyDescent="0.25">
      <c r="H103" s="166" t="str">
        <f t="shared" si="3"/>
        <v/>
      </c>
    </row>
    <row r="104" spans="8:8" x14ac:dyDescent="0.25">
      <c r="H104" s="166" t="str">
        <f t="shared" si="3"/>
        <v/>
      </c>
    </row>
    <row r="105" spans="8:8" x14ac:dyDescent="0.25">
      <c r="H105" s="166" t="str">
        <f t="shared" si="3"/>
        <v/>
      </c>
    </row>
    <row r="106" spans="8:8" x14ac:dyDescent="0.25">
      <c r="H106" s="166" t="str">
        <f t="shared" si="3"/>
        <v/>
      </c>
    </row>
    <row r="107" spans="8:8" x14ac:dyDescent="0.25">
      <c r="H107" s="166" t="str">
        <f t="shared" si="3"/>
        <v/>
      </c>
    </row>
    <row r="108" spans="8:8" x14ac:dyDescent="0.25">
      <c r="H108" s="166" t="str">
        <f t="shared" si="3"/>
        <v/>
      </c>
    </row>
    <row r="109" spans="8:8" x14ac:dyDescent="0.25">
      <c r="H109" s="166" t="str">
        <f t="shared" si="3"/>
        <v/>
      </c>
    </row>
    <row r="110" spans="8:8" x14ac:dyDescent="0.25">
      <c r="H110" s="166" t="str">
        <f t="shared" si="3"/>
        <v/>
      </c>
    </row>
    <row r="111" spans="8:8" x14ac:dyDescent="0.25">
      <c r="H111" s="166" t="str">
        <f t="shared" si="3"/>
        <v/>
      </c>
    </row>
    <row r="112" spans="8:8" x14ac:dyDescent="0.25">
      <c r="H112" s="166" t="str">
        <f t="shared" si="3"/>
        <v/>
      </c>
    </row>
    <row r="113" spans="8:8" x14ac:dyDescent="0.25">
      <c r="H113" s="166" t="str">
        <f t="shared" si="3"/>
        <v/>
      </c>
    </row>
    <row r="114" spans="8:8" x14ac:dyDescent="0.25">
      <c r="H114" s="166" t="str">
        <f t="shared" si="3"/>
        <v/>
      </c>
    </row>
    <row r="115" spans="8:8" x14ac:dyDescent="0.25">
      <c r="H115" s="166" t="str">
        <f t="shared" si="3"/>
        <v/>
      </c>
    </row>
    <row r="116" spans="8:8" x14ac:dyDescent="0.25">
      <c r="H116" s="166" t="str">
        <f t="shared" si="3"/>
        <v/>
      </c>
    </row>
    <row r="117" spans="8:8" x14ac:dyDescent="0.25">
      <c r="H117" s="166" t="str">
        <f t="shared" si="3"/>
        <v/>
      </c>
    </row>
    <row r="118" spans="8:8" x14ac:dyDescent="0.25">
      <c r="H118" s="166" t="str">
        <f t="shared" si="3"/>
        <v/>
      </c>
    </row>
    <row r="119" spans="8:8" x14ac:dyDescent="0.25">
      <c r="H119" s="166" t="str">
        <f t="shared" si="3"/>
        <v/>
      </c>
    </row>
    <row r="120" spans="8:8" x14ac:dyDescent="0.25">
      <c r="H120" s="166" t="str">
        <f t="shared" si="3"/>
        <v/>
      </c>
    </row>
    <row r="121" spans="8:8" x14ac:dyDescent="0.25">
      <c r="H121" s="166" t="str">
        <f t="shared" si="3"/>
        <v/>
      </c>
    </row>
    <row r="122" spans="8:8" x14ac:dyDescent="0.25">
      <c r="H122" s="166" t="str">
        <f t="shared" si="3"/>
        <v/>
      </c>
    </row>
    <row r="123" spans="8:8" x14ac:dyDescent="0.25">
      <c r="H123" s="166" t="str">
        <f t="shared" si="3"/>
        <v/>
      </c>
    </row>
    <row r="124" spans="8:8" x14ac:dyDescent="0.25">
      <c r="H124" s="166" t="str">
        <f t="shared" si="3"/>
        <v/>
      </c>
    </row>
    <row r="125" spans="8:8" x14ac:dyDescent="0.25">
      <c r="H125" s="166" t="str">
        <f t="shared" si="3"/>
        <v/>
      </c>
    </row>
    <row r="126" spans="8:8" x14ac:dyDescent="0.25">
      <c r="H126" s="166" t="str">
        <f t="shared" si="3"/>
        <v/>
      </c>
    </row>
    <row r="127" spans="8:8" x14ac:dyDescent="0.25">
      <c r="H127" s="166" t="str">
        <f t="shared" si="3"/>
        <v/>
      </c>
    </row>
    <row r="128" spans="8:8" x14ac:dyDescent="0.25">
      <c r="H128" s="166" t="str">
        <f t="shared" si="3"/>
        <v/>
      </c>
    </row>
    <row r="129" spans="8:8" x14ac:dyDescent="0.25">
      <c r="H129" s="166" t="str">
        <f t="shared" si="3"/>
        <v/>
      </c>
    </row>
    <row r="130" spans="8:8" x14ac:dyDescent="0.25">
      <c r="H130" s="166" t="str">
        <f t="shared" ref="H130:H139" si="4">IF(A130&lt;&gt;"",CONCATENATE(A130," (",B130,")"),"")</f>
        <v/>
      </c>
    </row>
    <row r="131" spans="8:8" x14ac:dyDescent="0.25">
      <c r="H131" s="166" t="str">
        <f t="shared" si="4"/>
        <v/>
      </c>
    </row>
    <row r="132" spans="8:8" x14ac:dyDescent="0.25">
      <c r="H132" s="166" t="str">
        <f t="shared" si="4"/>
        <v/>
      </c>
    </row>
    <row r="133" spans="8:8" x14ac:dyDescent="0.25">
      <c r="H133" s="166" t="str">
        <f t="shared" si="4"/>
        <v/>
      </c>
    </row>
    <row r="134" spans="8:8" x14ac:dyDescent="0.25">
      <c r="H134" s="166" t="str">
        <f t="shared" si="4"/>
        <v/>
      </c>
    </row>
    <row r="135" spans="8:8" x14ac:dyDescent="0.25">
      <c r="H135" s="166" t="str">
        <f t="shared" si="4"/>
        <v/>
      </c>
    </row>
    <row r="136" spans="8:8" x14ac:dyDescent="0.25">
      <c r="H136" s="166" t="str">
        <f t="shared" si="4"/>
        <v/>
      </c>
    </row>
    <row r="137" spans="8:8" x14ac:dyDescent="0.25">
      <c r="H137" s="166" t="str">
        <f t="shared" si="4"/>
        <v/>
      </c>
    </row>
    <row r="138" spans="8:8" x14ac:dyDescent="0.25">
      <c r="H138" s="166" t="str">
        <f t="shared" si="4"/>
        <v/>
      </c>
    </row>
    <row r="139" spans="8:8" x14ac:dyDescent="0.25">
      <c r="H139" s="166" t="str">
        <f t="shared" si="4"/>
        <v/>
      </c>
    </row>
  </sheetData>
  <sheetProtection sheet="1" objects="1" scenarios="1"/>
  <autoFilter ref="A1:H139" xr:uid="{00000000-0009-0000-0000-000004000000}">
    <filterColumn colId="0" showButton="0"/>
    <filterColumn colId="2" showButton="0"/>
    <filterColumn colId="3" showButton="0"/>
    <filterColumn colId="4" showButton="0"/>
    <filterColumn colId="5" showButton="0"/>
    <sortState xmlns:xlrd2="http://schemas.microsoft.com/office/spreadsheetml/2017/richdata2" ref="A2:H139">
      <sortCondition ref="A1:A139"/>
    </sortState>
  </autoFilter>
  <mergeCells count="2">
    <mergeCell ref="A1:B1"/>
    <mergeCell ref="C1:G1"/>
  </mergeCells>
  <conditionalFormatting sqref="C2:G1048576">
    <cfRule type="notContainsBlanks" dxfId="761" priority="2">
      <formula>LEN(TRIM(C2))&gt;0</formula>
    </cfRule>
  </conditionalFormatting>
  <conditionalFormatting sqref="A2:G1048576">
    <cfRule type="expression" dxfId="760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20"/>
  <dimension ref="A1:F16"/>
  <sheetViews>
    <sheetView view="pageLayout" zoomScaleNormal="100" workbookViewId="0">
      <selection activeCell="C3" sqref="C3"/>
    </sheetView>
  </sheetViews>
  <sheetFormatPr defaultRowHeight="16.5" x14ac:dyDescent="0.25"/>
  <cols>
    <col min="1" max="1" width="21.28515625" style="172" customWidth="1"/>
    <col min="2" max="6" width="21.28515625" style="181" customWidth="1"/>
    <col min="7" max="16384" width="9.140625" style="166"/>
  </cols>
  <sheetData>
    <row r="1" spans="1:6" ht="19.5" x14ac:dyDescent="0.25">
      <c r="A1" s="173" t="s">
        <v>86</v>
      </c>
      <c r="B1" s="413" t="s">
        <v>804</v>
      </c>
      <c r="C1" s="413"/>
      <c r="D1" s="413"/>
      <c r="E1" s="413"/>
      <c r="F1" s="413"/>
    </row>
    <row r="2" spans="1:6" ht="14.25" customHeight="1" x14ac:dyDescent="0.25">
      <c r="A2" s="415" t="s">
        <v>77</v>
      </c>
      <c r="B2" s="178" t="s">
        <v>1428</v>
      </c>
      <c r="C2" s="178" t="s">
        <v>1429</v>
      </c>
      <c r="D2" s="178" t="s">
        <v>969</v>
      </c>
      <c r="E2" s="178" t="s">
        <v>970</v>
      </c>
      <c r="F2" s="178" t="s">
        <v>1050</v>
      </c>
    </row>
    <row r="3" spans="1:6" ht="14.25" x14ac:dyDescent="0.25">
      <c r="A3" s="415"/>
      <c r="B3" s="178"/>
      <c r="C3" s="178"/>
      <c r="D3" s="178"/>
      <c r="E3" s="178"/>
      <c r="F3" s="178"/>
    </row>
    <row r="4" spans="1:6" ht="14.25" x14ac:dyDescent="0.25">
      <c r="A4" s="415"/>
      <c r="B4" s="178"/>
      <c r="C4" s="178"/>
      <c r="D4" s="178"/>
      <c r="E4" s="178"/>
      <c r="F4" s="178"/>
    </row>
    <row r="5" spans="1:6" ht="14.25" x14ac:dyDescent="0.25">
      <c r="A5" s="414" t="s">
        <v>76</v>
      </c>
    </row>
    <row r="6" spans="1:6" ht="14.25" x14ac:dyDescent="0.25">
      <c r="A6" s="414"/>
    </row>
    <row r="7" spans="1:6" ht="14.25" x14ac:dyDescent="0.25">
      <c r="A7" s="414"/>
    </row>
    <row r="8" spans="1:6" ht="14.25" x14ac:dyDescent="0.25">
      <c r="A8" s="414" t="s">
        <v>73</v>
      </c>
      <c r="B8" s="181" t="s">
        <v>1045</v>
      </c>
      <c r="C8" s="181" t="s">
        <v>1046</v>
      </c>
      <c r="D8" s="181" t="s">
        <v>1047</v>
      </c>
      <c r="E8" s="181" t="s">
        <v>1048</v>
      </c>
      <c r="F8" s="181" t="s">
        <v>1049</v>
      </c>
    </row>
    <row r="9" spans="1:6" ht="14.25" x14ac:dyDescent="0.25">
      <c r="A9" s="414"/>
    </row>
    <row r="10" spans="1:6" ht="14.25" x14ac:dyDescent="0.25">
      <c r="A10" s="414"/>
    </row>
    <row r="11" spans="1:6" ht="16.5" customHeight="1" x14ac:dyDescent="0.25">
      <c r="A11" s="414" t="s">
        <v>68</v>
      </c>
      <c r="B11" s="181" t="s">
        <v>1129</v>
      </c>
      <c r="C11" s="181" t="s">
        <v>1130</v>
      </c>
      <c r="D11" s="181" t="s">
        <v>1131</v>
      </c>
      <c r="E11" s="181" t="s">
        <v>1132</v>
      </c>
    </row>
    <row r="12" spans="1:6" ht="16.5" customHeight="1" x14ac:dyDescent="0.25">
      <c r="A12" s="414"/>
      <c r="B12" s="181" t="s">
        <v>1133</v>
      </c>
      <c r="C12" s="181" t="s">
        <v>1134</v>
      </c>
      <c r="D12" s="181" t="s">
        <v>1135</v>
      </c>
      <c r="E12" s="181" t="s">
        <v>1136</v>
      </c>
    </row>
    <row r="13" spans="1:6" ht="16.5" customHeight="1" x14ac:dyDescent="0.25">
      <c r="A13" s="414"/>
      <c r="B13" s="181" t="s">
        <v>1137</v>
      </c>
      <c r="C13" s="181" t="s">
        <v>1138</v>
      </c>
      <c r="D13" s="181" t="s">
        <v>1139</v>
      </c>
    </row>
    <row r="14" spans="1:6" ht="16.5" customHeight="1" x14ac:dyDescent="0.25">
      <c r="A14" s="414" t="s">
        <v>65</v>
      </c>
      <c r="B14" s="181" t="s">
        <v>1427</v>
      </c>
    </row>
    <row r="15" spans="1:6" ht="16.5" customHeight="1" x14ac:dyDescent="0.25">
      <c r="A15" s="414"/>
    </row>
    <row r="16" spans="1:6" ht="16.5" customHeight="1" x14ac:dyDescent="0.25">
      <c r="A16" s="414"/>
    </row>
  </sheetData>
  <sheetProtection sheet="1" objects="1" scenarios="1"/>
  <mergeCells count="6">
    <mergeCell ref="A14:A16"/>
    <mergeCell ref="B1:F1"/>
    <mergeCell ref="A2:A4"/>
    <mergeCell ref="A5:A7"/>
    <mergeCell ref="A8:A10"/>
    <mergeCell ref="A11:A13"/>
  </mergeCells>
  <conditionalFormatting sqref="B2:F1048576">
    <cfRule type="expression" dxfId="759" priority="33">
      <formula>AND($B2&lt;&gt;"",MOD(ROW($B2),2)=1)</formula>
    </cfRule>
  </conditionalFormatting>
  <conditionalFormatting sqref="A5:F10 A14:F14 B11:F13 A17:F1048576 B15:F16">
    <cfRule type="expression" dxfId="758" priority="32">
      <formula>AND($A5&lt;&gt;"",MOD(ROW($A5),3)=2)</formula>
    </cfRule>
  </conditionalFormatting>
  <conditionalFormatting sqref="A1:A10 A14 A17:A1048576">
    <cfRule type="cellIs" dxfId="757" priority="18" stopIfTrue="1" operator="equal">
      <formula>"OTR"</formula>
    </cfRule>
    <cfRule type="cellIs" dxfId="756" priority="19" stopIfTrue="1" operator="equal">
      <formula>"PAR"</formula>
    </cfRule>
    <cfRule type="cellIs" dxfId="755" priority="20" stopIfTrue="1" operator="equal">
      <formula>"FBC 4CLEAN Česká Lípa"</formula>
    </cfRule>
    <cfRule type="cellIs" dxfId="754" priority="21" stopIfTrue="1" operator="equal">
      <formula>"HAT"</formula>
    </cfRule>
    <cfRule type="cellIs" dxfId="753" priority="22" stopIfTrue="1" operator="equal">
      <formula>"FBC Liberec"</formula>
    </cfRule>
    <cfRule type="cellIs" dxfId="752" priority="23" stopIfTrue="1" operator="equal">
      <formula>"BA"</formula>
    </cfRule>
    <cfRule type="cellIs" dxfId="751" priority="24" stopIfTrue="1" operator="equal">
      <formula>"SPA"</formula>
    </cfRule>
    <cfRule type="cellIs" dxfId="750" priority="25" stopIfTrue="1" operator="equal">
      <formula>"OST"</formula>
    </cfRule>
    <cfRule type="cellIs" dxfId="749" priority="26" stopIfTrue="1" operator="equal">
      <formula>"BOH"</formula>
    </cfRule>
    <cfRule type="cellIs" dxfId="748" priority="27" stopIfTrue="1" operator="equal">
      <formula>"TAT"</formula>
    </cfRule>
    <cfRule type="cellIs" dxfId="747" priority="28" stopIfTrue="1" operator="equal">
      <formula>"Předvýběr.CZ Florbal MB"</formula>
    </cfRule>
    <cfRule type="cellIs" dxfId="746" priority="29" stopIfTrue="1" operator="equal">
      <formula>"VIT"</formula>
    </cfRule>
    <cfRule type="cellIs" dxfId="745" priority="30" stopIfTrue="1" operator="equal">
      <formula>"CHO"</formula>
    </cfRule>
    <cfRule type="cellIs" dxfId="744" priority="31" stopIfTrue="1" operator="equal">
      <formula>"TJ Sokol Královské Vinohrady"</formula>
    </cfRule>
  </conditionalFormatting>
  <conditionalFormatting sqref="C2:F1048576">
    <cfRule type="notContainsBlanks" dxfId="743" priority="34">
      <formula>LEN(TRIM(C2))&gt;0</formula>
    </cfRule>
  </conditionalFormatting>
  <conditionalFormatting sqref="A2:A10 A14 A17:A1048567">
    <cfRule type="notContainsBlanks" dxfId="742" priority="17">
      <formula>LEN(TRIM(A2))&gt;0</formula>
    </cfRule>
  </conditionalFormatting>
  <conditionalFormatting sqref="A11:A13">
    <cfRule type="expression" dxfId="741" priority="16">
      <formula>AND($A11&lt;&gt;"",MOD(ROW($A11),3)=2)</formula>
    </cfRule>
  </conditionalFormatting>
  <conditionalFormatting sqref="A11:A13">
    <cfRule type="cellIs" dxfId="740" priority="2" stopIfTrue="1" operator="equal">
      <formula>"OTR"</formula>
    </cfRule>
    <cfRule type="cellIs" dxfId="739" priority="3" stopIfTrue="1" operator="equal">
      <formula>"PAR"</formula>
    </cfRule>
    <cfRule type="cellIs" dxfId="738" priority="4" stopIfTrue="1" operator="equal">
      <formula>"FBC 4CLEAN Česká Lípa"</formula>
    </cfRule>
    <cfRule type="cellIs" dxfId="737" priority="5" stopIfTrue="1" operator="equal">
      <formula>"HAT"</formula>
    </cfRule>
    <cfRule type="cellIs" dxfId="736" priority="6" stopIfTrue="1" operator="equal">
      <formula>"FBC Liberec"</formula>
    </cfRule>
    <cfRule type="cellIs" dxfId="735" priority="7" stopIfTrue="1" operator="equal">
      <formula>"BA"</formula>
    </cfRule>
    <cfRule type="cellIs" dxfId="734" priority="8" stopIfTrue="1" operator="equal">
      <formula>"SPA"</formula>
    </cfRule>
    <cfRule type="cellIs" dxfId="733" priority="9" stopIfTrue="1" operator="equal">
      <formula>"OST"</formula>
    </cfRule>
    <cfRule type="cellIs" dxfId="732" priority="10" stopIfTrue="1" operator="equal">
      <formula>"FbŠ Bohemians"</formula>
    </cfRule>
    <cfRule type="cellIs" dxfId="731" priority="11" stopIfTrue="1" operator="equal">
      <formula>"TAT"</formula>
    </cfRule>
    <cfRule type="cellIs" dxfId="730" priority="12" stopIfTrue="1" operator="equal">
      <formula>"MB"</formula>
    </cfRule>
    <cfRule type="cellIs" dxfId="729" priority="13" stopIfTrue="1" operator="equal">
      <formula>"VIT"</formula>
    </cfRule>
    <cfRule type="cellIs" dxfId="728" priority="14" stopIfTrue="1" operator="equal">
      <formula>"CHO"</formula>
    </cfRule>
    <cfRule type="cellIs" dxfId="727" priority="15" stopIfTrue="1" operator="equal">
      <formula>"TJ Sokol Královské Vinohrady"</formula>
    </cfRule>
  </conditionalFormatting>
  <conditionalFormatting sqref="A11:A13">
    <cfRule type="notContainsBlanks" dxfId="726" priority="1">
      <formula>LEN(TRIM(A11))&gt;0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3">
    <tabColor rgb="FFFFFF00"/>
  </sheetPr>
  <dimension ref="A1:CA51"/>
  <sheetViews>
    <sheetView view="pageLayout" topLeftCell="U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 t="s">
        <v>6</v>
      </c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463" t="s">
        <v>1</v>
      </c>
      <c r="I1" s="463"/>
      <c r="J1" s="463"/>
      <c r="K1" s="463"/>
      <c r="M1" s="429" t="s">
        <v>113</v>
      </c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2">
        <f ca="1">IFERROR(IF(VLOOKUP(A1,OFFSET($AG$2,,,COUNTIF($AG$2:$AG$50,"?*"),23),2,FALSE)&lt;&gt;0,YEAR(VLOOKUP(A1,OFFSET($AG$2,,,COUNTIF($AG$2:$AG$50,"?*"),23),2,FALSE)),""),"")</f>
        <v>1995</v>
      </c>
      <c r="C2" s="423"/>
      <c r="D2" s="5">
        <f ca="1">IFERROR(VLOOKUP(A1,OFFSET($AG$2,,,COUNTIF($AG$2:$AG$50,"?*"),23),15,FALSE),"")</f>
        <v>26</v>
      </c>
      <c r="E2" s="424" t="str">
        <f ca="1">IFERROR(VLOOKUP(A1,OFFSET($AG$2,,,COUNTIF($AG$2:$AG$50,"?*"),23),16,FALSE),"")</f>
        <v>183/76</v>
      </c>
      <c r="F2" s="425"/>
      <c r="M2" s="4" t="str">
        <f ca="1">IFERROR(IF(VLOOKUP(M1,OFFSET($AG$2,,,COUNTIF($AG$2:$AG$50,"?*"),23),10,FALSE)&lt;&gt;0,VLOOKUP(M1,OFFSET($AG$2,,,COUNTIF($AG$2:$AG$50,"?*"),23),10,FALSE),""),"")</f>
        <v>L</v>
      </c>
      <c r="N2" s="422">
        <f ca="1">IFERROR(IF(VLOOKUP(M1,OFFSET($AG$2,,,COUNTIF($AG$2:$AG$50,"?*"),23),2,FALSE)&lt;&gt;0,YEAR(VLOOKUP(M1,OFFSET($AG$2,,,COUNTIF($AG$2:$AG$50,"?*"),23),2,FALSE)),""),"")</f>
        <v>2000</v>
      </c>
      <c r="O2" s="423"/>
      <c r="P2" s="6">
        <f ca="1">IFERROR(VLOOKUP(M1,OFFSET($AG$2,,,COUNTIF($AG$2:$AG$50,"?*"),23),15,FALSE),"")</f>
        <v>21</v>
      </c>
      <c r="Q2" s="424" t="str">
        <f ca="1">IFERROR(VLOOKUP(M1,OFFSET($AG$2,,,COUNTIF($AG$2:$AG$50,"?*"),23),16,FALSE),"")</f>
        <v>186/80</v>
      </c>
      <c r="R2" s="425"/>
      <c r="S2" s="110" t="s">
        <v>104</v>
      </c>
      <c r="U2" s="102">
        <v>10</v>
      </c>
      <c r="V2" s="102">
        <v>12</v>
      </c>
      <c r="W2" s="102">
        <v>4</v>
      </c>
      <c r="X2" s="102">
        <v>0</v>
      </c>
      <c r="Y2" s="102">
        <v>10</v>
      </c>
      <c r="Z2" s="102">
        <v>22</v>
      </c>
      <c r="AA2" s="102">
        <v>2</v>
      </c>
      <c r="AB2" s="102">
        <v>-8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137</v>
      </c>
      <c r="AQ2" s="123">
        <v>181</v>
      </c>
      <c r="AR2" s="123">
        <v>78</v>
      </c>
      <c r="AS2" s="126" t="s">
        <v>138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175</v>
      </c>
      <c r="BQ2" s="132" t="s">
        <v>178</v>
      </c>
      <c r="BR2" s="127">
        <f ca="1">IF(BN2&lt;&gt;"",IF(BO2&lt;&gt;"",INT((TODAY()-BO2)/365),"?"),"")</f>
        <v>38</v>
      </c>
      <c r="BS2" s="417" t="s">
        <v>36</v>
      </c>
      <c r="BT2" s="104" t="s">
        <v>182</v>
      </c>
      <c r="BU2" s="103">
        <v>22</v>
      </c>
      <c r="BV2" s="104" t="str">
        <f>IFERROR(RIGHT(BT2,LEN(BT2)-SEARCH(" ",BT2)),"")</f>
        <v>Viktor Kopecký</v>
      </c>
      <c r="BW2" s="102">
        <f>IF(BT2&lt;&gt;0,_xlfn.NUMBERVALUE(BU2,","),"")</f>
        <v>22</v>
      </c>
      <c r="BX2" s="416" t="s">
        <v>192</v>
      </c>
      <c r="BY2" s="103" t="s">
        <v>861</v>
      </c>
      <c r="BZ2" s="103" t="s">
        <v>859</v>
      </c>
      <c r="CA2" s="115" t="s">
        <v>1140</v>
      </c>
    </row>
    <row r="3" spans="1:79" ht="15" customHeight="1" thickTop="1" thickBot="1" x14ac:dyDescent="0.25">
      <c r="A3" s="458" t="str">
        <f ca="1">IFERROR(VLOOKUP(A1,OFFSET($AG$2,,,COUNTIF($AG$2:$AG$50,"?*"),23),18,FALSE),"")</f>
        <v>11 OZ, 14 (6+8), -13 ±</v>
      </c>
      <c r="B3" s="459"/>
      <c r="C3" s="459"/>
      <c r="D3" s="460" t="str">
        <f ca="1">IFERROR(VLOOKUP(A1,OFFSET($AG$2,,,COUNTIF($AG$2:$AG$50,"?*"),23),19,FALSE),"")</f>
        <v>114 OZ, 54 (32+22)</v>
      </c>
      <c r="E3" s="460"/>
      <c r="F3" s="461"/>
      <c r="G3" s="429" t="s">
        <v>109</v>
      </c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78</v>
      </c>
      <c r="M3" s="458" t="str">
        <f ca="1">IFERROR(VLOOKUP(M1,OFFSET($AG$2,,,COUNTIF($AG$2:$AG$50,"?*"),23),18,FALSE),"")</f>
        <v>11 OZ, 5 (5+0), -10 ±</v>
      </c>
      <c r="N3" s="459"/>
      <c r="O3" s="459"/>
      <c r="P3" s="460" t="str">
        <f ca="1">IFERROR(VLOOKUP(M1,OFFSET($AG$2,,,COUNTIF($AG$2:$AG$50,"?*"),23),19,FALSE),"")</f>
        <v>32 OZ, 18 (9+9)</v>
      </c>
      <c r="Q3" s="460"/>
      <c r="R3" s="461"/>
      <c r="S3" s="110" t="s">
        <v>6</v>
      </c>
      <c r="T3" s="102" t="s">
        <v>58</v>
      </c>
      <c r="U3" s="102">
        <v>11</v>
      </c>
      <c r="V3" s="102">
        <v>6</v>
      </c>
      <c r="W3" s="102">
        <v>4</v>
      </c>
      <c r="X3" s="102">
        <v>0</v>
      </c>
      <c r="Y3" s="102">
        <v>8</v>
      </c>
      <c r="Z3" s="102">
        <v>14</v>
      </c>
      <c r="AA3" s="102">
        <v>6</v>
      </c>
      <c r="AB3" s="102">
        <v>-13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137</v>
      </c>
      <c r="AQ3" s="123">
        <v>184</v>
      </c>
      <c r="AR3" s="123">
        <v>81</v>
      </c>
      <c r="AS3" s="126" t="s">
        <v>139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175</v>
      </c>
      <c r="BQ3" s="132" t="s">
        <v>179</v>
      </c>
      <c r="BR3" s="127">
        <f t="shared" ref="BR3:BR11" ca="1" si="13">IF(BN3&lt;&gt;"",IF(BO3&lt;&gt;"",INT((TODAY()-BO3)/365),"?"),"")</f>
        <v>35</v>
      </c>
      <c r="BS3" s="417"/>
      <c r="BT3" s="104" t="s">
        <v>1146</v>
      </c>
      <c r="BU3" s="103">
        <v>14</v>
      </c>
      <c r="BV3" s="104" t="str">
        <f t="shared" ref="BV3:BV31" si="14">IFERROR(RIGHT(BT3,LEN(BT3)-SEARCH(" ",BT3)),"")</f>
        <v>Jan Fiala</v>
      </c>
      <c r="BW3" s="102">
        <f t="shared" ref="BW3:BW31" si="15">IF(BT3&lt;&gt;0,_xlfn.NUMBERVALUE(BU3,","),"")</f>
        <v>14</v>
      </c>
      <c r="BX3" s="416"/>
      <c r="BY3" s="103" t="s">
        <v>841</v>
      </c>
      <c r="BZ3" s="103" t="s">
        <v>842</v>
      </c>
      <c r="CA3" s="115" t="s">
        <v>1091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>Chodov</v>
      </c>
      <c r="B4" s="447"/>
      <c r="C4" s="448"/>
      <c r="D4" s="449">
        <f ca="1">IFERROR(IF(VLOOKUP(A1,OFFSET($AG$2,,,COUNTIF($AG$2:$AG$50,"?*"),23),14,FALSE)&lt;&gt;0,VLOOKUP(A1,OFFSET($AG$2,,,COUNTIF($AG$2:$AG$50,"?*"),23),14,FALSE),"?"),"")</f>
        <v>2006</v>
      </c>
      <c r="E4" s="45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2">
        <f ca="1">IFERROR(IF(VLOOKUP(G3,OFFSET($AG$2,,,COUNTIF($AG$2:$AG$50,"?*"),23),2,FALSE)&lt;&gt;0,YEAR(VLOOKUP(G3,OFFSET($AG$2,,,COUNTIF($AG$2:$AG$50,"?*"),23),2,FALSE)),""),"")</f>
        <v>2000</v>
      </c>
      <c r="I4" s="423"/>
      <c r="J4" s="5">
        <f ca="1">IFERROR(VLOOKUP(G3,OFFSET($AG$2,,,COUNTIF($AG$2:$AG$50,"?*"),23),15,FALSE),"")</f>
        <v>21</v>
      </c>
      <c r="K4" s="424" t="str">
        <f ca="1">IFERROR(VLOOKUP(G3,OFFSET($AG$2,,,COUNTIF($AG$2:$AG$50,"?*"),23),16,FALSE),"")</f>
        <v>191/86</v>
      </c>
      <c r="L4" s="425"/>
      <c r="M4" s="446" t="str">
        <f ca="1">IFERROR(IF(VLOOKUP(M1,OFFSET($AG$2,,,COUNTIF($AG$2:$AG$50,"?*"),23),13,FALSE)&lt;&gt;0,VLOOKUP(M1,OFFSET($AG$2,,,COUNTIF($AG$2:$AG$50,"?*"),23),13,FALSE),"?"),"")</f>
        <v>Slovan J. Hradec</v>
      </c>
      <c r="N4" s="447"/>
      <c r="O4" s="448"/>
      <c r="P4" s="449">
        <f ca="1">IFERROR(IF(VLOOKUP(M1,OFFSET($AG$2,,,COUNTIF($AG$2:$AG$50,"?*"),23),14,FALSE)&lt;&gt;0,VLOOKUP(M1,OFFSET($AG$2,,,COUNTIF($AG$2:$AG$50,"?*"),23),14,FALSE),"?"),"")</f>
        <v>2014</v>
      </c>
      <c r="Q4" s="45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11</v>
      </c>
      <c r="V4" s="102">
        <v>8</v>
      </c>
      <c r="W4" s="102">
        <v>2</v>
      </c>
      <c r="X4" s="102">
        <v>0</v>
      </c>
      <c r="Y4" s="102">
        <v>4</v>
      </c>
      <c r="Z4" s="102">
        <v>12</v>
      </c>
      <c r="AA4" s="102">
        <v>2</v>
      </c>
      <c r="AB4" s="102">
        <v>-14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137</v>
      </c>
      <c r="AQ4" s="123">
        <v>181</v>
      </c>
      <c r="AR4" s="123">
        <v>82</v>
      </c>
      <c r="AS4" s="126" t="s">
        <v>89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11 OZ, 3 (1+2), -9 ±</v>
      </c>
      <c r="AY4" s="129" t="str">
        <f t="shared" ca="1" si="2"/>
        <v>35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174</v>
      </c>
      <c r="BO4" s="122">
        <v>35465</v>
      </c>
      <c r="BP4" s="131" t="s">
        <v>177</v>
      </c>
      <c r="BQ4" s="132" t="s">
        <v>180</v>
      </c>
      <c r="BR4" s="127">
        <f t="shared" ca="1" si="13"/>
        <v>24</v>
      </c>
      <c r="BS4" s="417"/>
      <c r="BT4" s="104" t="s">
        <v>1147</v>
      </c>
      <c r="BU4" s="103">
        <v>12</v>
      </c>
      <c r="BV4" s="104" t="str">
        <f t="shared" si="14"/>
        <v>Vojtěch Klápa</v>
      </c>
      <c r="BW4" s="102">
        <f t="shared" si="15"/>
        <v>12</v>
      </c>
      <c r="BX4" s="416"/>
      <c r="BY4" s="103" t="s">
        <v>839</v>
      </c>
      <c r="BZ4" s="103" t="s">
        <v>840</v>
      </c>
      <c r="CA4" s="115" t="s">
        <v>854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>8 OZ, 3 (1+2), -4 ±</v>
      </c>
      <c r="H5" s="459"/>
      <c r="I5" s="459"/>
      <c r="J5" s="460" t="str">
        <f ca="1">IFERROR(VLOOKUP(G3,OFFSET($AG$2,,,COUNTIF($AG$2:$AG$50,"?*"),23),19,FALSE),"")</f>
        <v>21 OZ, 4 (1+3)</v>
      </c>
      <c r="K5" s="460"/>
      <c r="L5" s="461"/>
      <c r="R5" s="13"/>
      <c r="S5" s="110" t="s">
        <v>108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6</v>
      </c>
      <c r="Z5" s="102">
        <v>12</v>
      </c>
      <c r="AA5" s="102">
        <v>0</v>
      </c>
      <c r="AB5" s="102">
        <v>-13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140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11 OZ, 14 (6+8), -13 ±</v>
      </c>
      <c r="AY5" s="129" t="str">
        <f t="shared" ca="1" si="2"/>
        <v>114 OZ, 54 (32+22)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176</v>
      </c>
      <c r="BQ5" s="132" t="s">
        <v>181</v>
      </c>
      <c r="BR5" s="127">
        <f t="shared" ca="1" si="13"/>
        <v>31</v>
      </c>
      <c r="BS5" s="417"/>
      <c r="BT5" s="104" t="s">
        <v>1057</v>
      </c>
      <c r="BU5" s="103">
        <v>12</v>
      </c>
      <c r="BV5" s="104" t="str">
        <f t="shared" si="14"/>
        <v>Ivan Pergler</v>
      </c>
      <c r="BW5" s="102">
        <f t="shared" si="15"/>
        <v>12</v>
      </c>
      <c r="BX5" s="416"/>
      <c r="BY5" s="103" t="s">
        <v>1141</v>
      </c>
      <c r="BZ5" s="103" t="s">
        <v>838</v>
      </c>
      <c r="CA5" s="115" t="s">
        <v>769</v>
      </c>
    </row>
    <row r="6" spans="1:79" ht="15" customHeight="1" thickTop="1" thickBot="1" x14ac:dyDescent="0.25">
      <c r="A6" s="429" t="s">
        <v>10</v>
      </c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65</v>
      </c>
      <c r="G6" s="446" t="str">
        <f ca="1">IFERROR(IF(VLOOKUP(G3,OFFSET($AG$2,,,COUNTIF($AG$2:$AG$50,"?*"),23),13,FALSE)&lt;&gt;0,VLOOKUP(G3,OFFSET($AG$2,,,COUNTIF($AG$2:$AG$50,"?*"),23),13,FALSE),"?"),"")</f>
        <v>SKV</v>
      </c>
      <c r="H6" s="447"/>
      <c r="I6" s="448"/>
      <c r="J6" s="449">
        <f ca="1">IFERROR(IF(VLOOKUP(G3,OFFSET($AG$2,,,COUNTIF($AG$2:$AG$50,"?*"),23),14,FALSE)&lt;&gt;0,VLOOKUP(G3,OFFSET($AG$2,,,COUNTIF($AG$2:$AG$50,"?*"),23),14,FALSE),"?"),"")</f>
        <v>2014</v>
      </c>
      <c r="K6" s="450"/>
      <c r="L6" s="7">
        <f ca="1">IFERROR(IF(VLOOKUP(G3,OFFSET($AG$2,,,COUNTIF($AG$2:$AG$50,"?*"),23),7,FALSE)&lt;&gt;0,VLOOKUP(G3,OFFSET($AG$2,,,COUNTIF($AG$2:$AG$50,"?*"),23),7,FALSE),"?"),"")</f>
        <v>3</v>
      </c>
      <c r="M6" s="429" t="s">
        <v>4</v>
      </c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47</v>
      </c>
      <c r="S6" s="110" t="s">
        <v>9</v>
      </c>
      <c r="U6" s="102">
        <v>8</v>
      </c>
      <c r="V6" s="102">
        <v>3</v>
      </c>
      <c r="W6" s="102">
        <v>2</v>
      </c>
      <c r="X6" s="102">
        <v>0</v>
      </c>
      <c r="Y6" s="102">
        <v>3</v>
      </c>
      <c r="Z6" s="102">
        <v>6</v>
      </c>
      <c r="AA6" s="102">
        <v>4</v>
      </c>
      <c r="AB6" s="102">
        <v>-8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137</v>
      </c>
      <c r="AQ6" s="123">
        <v>181</v>
      </c>
      <c r="AR6" s="123">
        <v>80</v>
      </c>
      <c r="AS6" s="126" t="s">
        <v>141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10 OZ, 0 (0+0), -11 ±</v>
      </c>
      <c r="AY6" s="129" t="str">
        <f t="shared" ca="1" si="2"/>
        <v>68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755</v>
      </c>
      <c r="BO6" s="122">
        <v>32155</v>
      </c>
      <c r="BP6" s="131" t="s">
        <v>413</v>
      </c>
      <c r="BQ6" s="132" t="s">
        <v>181</v>
      </c>
      <c r="BR6" s="127">
        <f t="shared" ca="1" si="13"/>
        <v>33</v>
      </c>
      <c r="BS6" s="417"/>
      <c r="BT6" s="104" t="s">
        <v>1148</v>
      </c>
      <c r="BU6" s="103">
        <v>6</v>
      </c>
      <c r="BV6" s="104" t="str">
        <f t="shared" si="14"/>
        <v>Zbyněk Stuchlík</v>
      </c>
      <c r="BW6" s="102">
        <f t="shared" si="15"/>
        <v>6</v>
      </c>
      <c r="BX6" s="416"/>
      <c r="BY6" s="103" t="s">
        <v>758</v>
      </c>
      <c r="BZ6" s="103" t="s">
        <v>837</v>
      </c>
      <c r="CA6" s="115" t="s">
        <v>1051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2">
        <f ca="1">IFERROR(IF(VLOOKUP(A6,OFFSET($AG$2,,,COUNTIF($AG$2:$AG$50,"?*"),23),2,FALSE)&lt;&gt;0,YEAR(VLOOKUP(A6,OFFSET($AG$2,,,COUNTIF($AG$2:$AG$50,"?*"),23),2,FALSE)),""),"")</f>
        <v>1993</v>
      </c>
      <c r="C7" s="423"/>
      <c r="D7" s="5">
        <f ca="1">IFERROR(VLOOKUP(A6,OFFSET($AG$2,,,COUNTIF($AG$2:$AG$50,"?*"),23),15,FALSE),"")</f>
        <v>28</v>
      </c>
      <c r="E7" s="424" t="str">
        <f ca="1">IFERROR(VLOOKUP(A6,OFFSET($AG$2,,,COUNTIF($AG$2:$AG$50,"?*"),23),16,FALSE),"")</f>
        <v>169/65</v>
      </c>
      <c r="F7" s="425"/>
      <c r="M7" s="4" t="str">
        <f ca="1">IFERROR(IF(VLOOKUP(M6,OFFSET($AG$2,,,COUNTIF($AG$2:$AG$50,"?*"),23),10,FALSE)&lt;&gt;0,VLOOKUP(M6,OFFSET($AG$2,,,COUNTIF($AG$2:$AG$50,"?*"),23),10,FALSE),""),"")</f>
        <v>L</v>
      </c>
      <c r="N7" s="422">
        <f ca="1">IFERROR(IF(VLOOKUP(M6,OFFSET($AG$2,,,COUNTIF($AG$2:$AG$50,"?*"),23),2,FALSE)&lt;&gt;0,YEAR(VLOOKUP(M6,OFFSET($AG$2,,,COUNTIF($AG$2:$AG$50,"?*"),23),2,FALSE)),""),"")</f>
        <v>1999</v>
      </c>
      <c r="O7" s="423"/>
      <c r="P7" s="6">
        <f ca="1">IFERROR(VLOOKUP(M6,OFFSET($AG$2,,,COUNTIF($AG$2:$AG$50,"?*"),23),15,FALSE),"")</f>
        <v>22</v>
      </c>
      <c r="Q7" s="424" t="str">
        <f ca="1">IFERROR(VLOOKUP(M6,OFFSET($AG$2,,,COUNTIF($AG$2:$AG$50,"?*"),23),16,FALSE),"")</f>
        <v>181/82</v>
      </c>
      <c r="R7" s="425"/>
      <c r="S7" s="110" t="s">
        <v>10</v>
      </c>
      <c r="T7" s="102" t="s">
        <v>58</v>
      </c>
      <c r="U7" s="102">
        <v>10</v>
      </c>
      <c r="V7" s="102">
        <v>1</v>
      </c>
      <c r="W7" s="102">
        <v>0</v>
      </c>
      <c r="X7" s="102">
        <v>0</v>
      </c>
      <c r="Y7" s="102">
        <v>5</v>
      </c>
      <c r="Z7" s="102">
        <v>6</v>
      </c>
      <c r="AA7" s="102">
        <v>14</v>
      </c>
      <c r="AB7" s="102">
        <v>-3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137</v>
      </c>
      <c r="AQ7" s="123">
        <v>180</v>
      </c>
      <c r="AR7" s="123">
        <v>78</v>
      </c>
      <c r="AS7" s="126" t="s">
        <v>142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6 OZ, 2 (1+1), -1 ±</v>
      </c>
      <c r="AY7" s="129" t="str">
        <f t="shared" ca="1" si="2"/>
        <v>167 OZ, 141 (93+48)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17" t="s">
        <v>40</v>
      </c>
      <c r="BT7" s="104" t="s">
        <v>759</v>
      </c>
      <c r="BU7" s="103" t="s">
        <v>1149</v>
      </c>
      <c r="BV7" s="104" t="str">
        <f t="shared" si="14"/>
        <v>Karel Šantora</v>
      </c>
      <c r="BW7" s="112">
        <f t="shared" si="15"/>
        <v>6.43</v>
      </c>
      <c r="BX7" s="416" t="s">
        <v>193</v>
      </c>
      <c r="BY7" s="103" t="s">
        <v>972</v>
      </c>
      <c r="BZ7" s="103" t="s">
        <v>871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>10 OZ, 6 (1+5), -3 ±</v>
      </c>
      <c r="B8" s="459"/>
      <c r="C8" s="459"/>
      <c r="D8" s="460" t="str">
        <f ca="1">IFERROR(VLOOKUP(A6,OFFSET($AG$2,,,COUNTIF($AG$2:$AG$50,"?*"),23),19,FALSE),"")</f>
        <v>119 OZ, 62 (33+29)</v>
      </c>
      <c r="E8" s="460"/>
      <c r="F8" s="461"/>
      <c r="H8" s="462" t="s">
        <v>5</v>
      </c>
      <c r="I8" s="462"/>
      <c r="J8" s="462"/>
      <c r="K8" s="462"/>
      <c r="M8" s="458" t="str">
        <f ca="1">IFERROR(VLOOKUP(M6,OFFSET($AG$2,,,COUNTIF($AG$2:$AG$50,"?*"),23),18,FALSE),"")</f>
        <v>11 OZ, 3 (1+2), -9 ±</v>
      </c>
      <c r="N8" s="459"/>
      <c r="O8" s="459"/>
      <c r="P8" s="460" t="str">
        <f ca="1">IFERROR(VLOOKUP(M6,OFFSET($AG$2,,,COUNTIF($AG$2:$AG$50,"?*"),23),19,FALSE),"")</f>
        <v>35 OZ, 4 (1+3)</v>
      </c>
      <c r="Q8" s="460"/>
      <c r="R8" s="461"/>
      <c r="S8" s="110" t="s">
        <v>113</v>
      </c>
      <c r="T8" s="102" t="s">
        <v>107</v>
      </c>
      <c r="U8" s="102">
        <v>11</v>
      </c>
      <c r="V8" s="102">
        <v>5</v>
      </c>
      <c r="W8" s="102">
        <v>0</v>
      </c>
      <c r="X8" s="102">
        <v>0</v>
      </c>
      <c r="Y8" s="102">
        <v>0</v>
      </c>
      <c r="Z8" s="102">
        <v>5</v>
      </c>
      <c r="AA8" s="102">
        <v>0</v>
      </c>
      <c r="AB8" s="102">
        <v>-10</v>
      </c>
      <c r="AC8" s="102" t="str">
        <f t="shared" ca="1" si="0"/>
        <v>ANO</v>
      </c>
      <c r="AG8" s="121" t="s">
        <v>143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137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6 OZ, 1 (0+1), 0 ±</v>
      </c>
      <c r="AY8" s="129" t="str">
        <f t="shared" ca="1" si="2"/>
        <v>60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17"/>
      <c r="BT8" s="104" t="s">
        <v>760</v>
      </c>
      <c r="BU8" s="103" t="s">
        <v>1150</v>
      </c>
      <c r="BV8" s="104" t="str">
        <f t="shared" si="14"/>
        <v>Petr Musil</v>
      </c>
      <c r="BW8" s="112">
        <f t="shared" si="15"/>
        <v>8.11</v>
      </c>
      <c r="BX8" s="416"/>
      <c r="BY8" s="103" t="s">
        <v>1053</v>
      </c>
      <c r="BZ8" s="103" t="s">
        <v>870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>Lhokamo</v>
      </c>
      <c r="B9" s="447"/>
      <c r="C9" s="448"/>
      <c r="D9" s="449">
        <f ca="1">IFERROR(IF(VLOOKUP(A6,OFFSET($AG$2,,,COUNTIF($AG$2:$AG$50,"?*"),23),14,FALSE)&lt;&gt;0,VLOOKUP(A6,OFFSET($AG$2,,,COUNTIF($AG$2:$AG$50,"?*"),23),14,FALSE),"?"),"")</f>
        <v>2004</v>
      </c>
      <c r="E9" s="450"/>
      <c r="F9" s="7">
        <f ca="1">IFERROR(IF(VLOOKUP(A6,OFFSET($AG$2,,,COUNTIF($AG$2:$AG$50,"?*"),23),7,FALSE)&lt;&gt;0,VLOOKUP(A6,OFFSET($AG$2,,,COUNTIF($AG$2:$AG$50,"?*"),23),7,FALSE),"?"),"")</f>
        <v>7</v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>Bohemians</v>
      </c>
      <c r="N9" s="447"/>
      <c r="O9" s="448"/>
      <c r="P9" s="449">
        <f ca="1">IFERROR(IF(VLOOKUP(M6,OFFSET($AG$2,,,COUNTIF($AG$2:$AG$50,"?*"),23),14,FALSE)&lt;&gt;0,VLOOKUP(M6,OFFSET($AG$2,,,COUNTIF($AG$2:$AG$50,"?*"),23),14,FALSE),"?"),"")</f>
        <v>2009</v>
      </c>
      <c r="Q9" s="450"/>
      <c r="R9" s="7">
        <f ca="1">IFERROR(IF(VLOOKUP(M6,OFFSET($AG$2,,,COUNTIF($AG$2:$AG$50,"?*"),23),7,FALSE)&lt;&gt;0,VLOOKUP(M6,OFFSET($AG$2,,,COUNTIF($AG$2:$AG$50,"?*"),23),7,FALSE),"?"),"")</f>
        <v>2</v>
      </c>
      <c r="S9" s="110" t="s">
        <v>14</v>
      </c>
      <c r="T9" s="102" t="s">
        <v>107</v>
      </c>
      <c r="U9" s="102">
        <v>9</v>
      </c>
      <c r="V9" s="102">
        <v>1</v>
      </c>
      <c r="W9" s="102">
        <v>0</v>
      </c>
      <c r="X9" s="102">
        <v>0</v>
      </c>
      <c r="Y9" s="102">
        <v>3</v>
      </c>
      <c r="Z9" s="102">
        <v>4</v>
      </c>
      <c r="AA9" s="102">
        <v>2</v>
      </c>
      <c r="AB9" s="102">
        <v>-8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137</v>
      </c>
      <c r="AQ9" s="123">
        <v>180</v>
      </c>
      <c r="AR9" s="123">
        <v>78</v>
      </c>
      <c r="AS9" s="126" t="s">
        <v>144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9 OZ, 4 (1+3), -8 ±</v>
      </c>
      <c r="AY9" s="129" t="str">
        <f t="shared" ca="1" si="2"/>
        <v>91 OZ, 71 (46+25)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17"/>
      <c r="BV9" s="104" t="str">
        <f t="shared" si="14"/>
        <v/>
      </c>
      <c r="BW9" s="112" t="str">
        <f t="shared" si="15"/>
        <v/>
      </c>
      <c r="BX9" s="416"/>
      <c r="BY9" s="103" t="s">
        <v>1142</v>
      </c>
      <c r="BZ9" s="103" t="s">
        <v>868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109</v>
      </c>
      <c r="U10" s="102">
        <v>8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-4</v>
      </c>
      <c r="AC10" s="102" t="str">
        <f t="shared" ca="1" si="0"/>
        <v>ANO</v>
      </c>
      <c r="AG10" s="121" t="s">
        <v>112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 t="s">
        <v>27</v>
      </c>
      <c r="AQ10" s="123"/>
      <c r="AR10" s="123"/>
      <c r="AS10" s="126" t="s">
        <v>64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8 OZ, 0 (0+0), -4 ±</v>
      </c>
      <c r="AY10" s="129" t="str">
        <f t="shared" ca="1" si="2"/>
        <v>8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17"/>
      <c r="BV10" s="104" t="str">
        <f t="shared" si="14"/>
        <v/>
      </c>
      <c r="BW10" s="112" t="str">
        <f t="shared" si="15"/>
        <v/>
      </c>
      <c r="BX10" s="416"/>
      <c r="BY10" s="103" t="s">
        <v>1143</v>
      </c>
      <c r="BZ10" s="103" t="s">
        <v>857</v>
      </c>
      <c r="CA10" s="115" t="s">
        <v>188</v>
      </c>
    </row>
    <row r="11" spans="1:79" ht="15" customHeight="1" thickTop="1" thickBot="1" x14ac:dyDescent="0.25">
      <c r="R11" s="13"/>
      <c r="S11" s="110" t="s">
        <v>4</v>
      </c>
      <c r="T11" s="102" t="s">
        <v>58</v>
      </c>
      <c r="U11" s="102">
        <v>11</v>
      </c>
      <c r="V11" s="102">
        <v>1</v>
      </c>
      <c r="W11" s="102">
        <v>0</v>
      </c>
      <c r="X11" s="102">
        <v>0</v>
      </c>
      <c r="Y11" s="102">
        <v>2</v>
      </c>
      <c r="Z11" s="102">
        <v>3</v>
      </c>
      <c r="AA11" s="102">
        <v>6</v>
      </c>
      <c r="AB11" s="102">
        <v>-9</v>
      </c>
      <c r="AC11" s="102" t="str">
        <f t="shared" ca="1" si="0"/>
        <v>ANO</v>
      </c>
      <c r="AG11" s="121" t="s">
        <v>111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137</v>
      </c>
      <c r="AQ11" s="123">
        <v>169</v>
      </c>
      <c r="AR11" s="123">
        <v>70</v>
      </c>
      <c r="AS11" s="126" t="s">
        <v>754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11 OZ, 1 (1+0), -10 ±</v>
      </c>
      <c r="AY11" s="129" t="str">
        <f t="shared" ca="1" si="2"/>
        <v>213 OZ, 68 (37+31)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17"/>
      <c r="BV11" s="104" t="str">
        <f t="shared" si="14"/>
        <v/>
      </c>
      <c r="BW11" s="112" t="str">
        <f t="shared" si="15"/>
        <v/>
      </c>
      <c r="BX11" s="416"/>
      <c r="BY11" s="103" t="s">
        <v>1144</v>
      </c>
      <c r="BZ11" s="103" t="s">
        <v>887</v>
      </c>
      <c r="CA11" s="115" t="s">
        <v>188</v>
      </c>
    </row>
    <row r="12" spans="1:79" ht="15" customHeight="1" thickTop="1" thickBot="1" x14ac:dyDescent="0.25">
      <c r="A12" s="429" t="s">
        <v>104</v>
      </c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463" t="s">
        <v>7</v>
      </c>
      <c r="I12" s="463"/>
      <c r="J12" s="463"/>
      <c r="K12" s="463"/>
      <c r="M12" s="429" t="s">
        <v>0</v>
      </c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146</v>
      </c>
      <c r="U12" s="102">
        <v>8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0</v>
      </c>
      <c r="AB12" s="102">
        <v>-5</v>
      </c>
      <c r="AC12" s="102" t="str">
        <f t="shared" ca="1" si="0"/>
        <v>ANO</v>
      </c>
      <c r="AG12" s="121" t="s">
        <v>114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3 OZ, 1 (0+1), -3 ±</v>
      </c>
      <c r="AY12" s="129" t="str">
        <f t="shared" ca="1" si="2"/>
        <v>3 OZ, 1 (0+1)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17" t="s">
        <v>37</v>
      </c>
      <c r="BT12" s="104" t="s">
        <v>182</v>
      </c>
      <c r="BU12" s="103">
        <v>12</v>
      </c>
      <c r="BV12" s="104" t="str">
        <f t="shared" si="14"/>
        <v>Viktor Kopecký</v>
      </c>
      <c r="BW12" s="102">
        <f t="shared" si="15"/>
        <v>12</v>
      </c>
      <c r="BX12" s="116" t="s">
        <v>191</v>
      </c>
      <c r="BY12" s="100" t="s">
        <v>1145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2">
        <f ca="1">IFERROR(IF(VLOOKUP(A12,OFFSET($AG$2,,,COUNTIF($AG$2:$AG$50,"?*"),23),2,FALSE)&lt;&gt;0,YEAR(VLOOKUP(A12,OFFSET($AG$2,,,COUNTIF($AG$2:$AG$50,"?*"),23),2,FALSE)),""),"")</f>
        <v>1995</v>
      </c>
      <c r="C13" s="423"/>
      <c r="D13" s="5">
        <f ca="1">IFERROR(VLOOKUP(A12,OFFSET($AG$2,,,COUNTIF($AG$2:$AG$50,"?*"),23),15,FALSE),"")</f>
        <v>26</v>
      </c>
      <c r="E13" s="424" t="str">
        <f ca="1">IFERROR(VLOOKUP(A12,OFFSET($AG$2,,,COUNTIF($AG$2:$AG$50,"?*"),23),16,FALSE),"")</f>
        <v>191/78</v>
      </c>
      <c r="F13" s="425"/>
      <c r="M13" s="4" t="str">
        <f ca="1">IFERROR(IF(VLOOKUP(M12,OFFSET($AG$2,,,COUNTIF($AG$2:$AG$50,"?*"),23),10,FALSE)&lt;&gt;0,VLOOKUP(M12,OFFSET($AG$2,,,COUNTIF($AG$2:$AG$50,"?*"),23),10,FALSE),""),"")</f>
        <v>L</v>
      </c>
      <c r="N13" s="422">
        <f ca="1">IFERROR(IF(VLOOKUP(M12,OFFSET($AG$2,,,COUNTIF($AG$2:$AG$50,"?*"),23),2,FALSE)&lt;&gt;0,YEAR(VLOOKUP(M12,OFFSET($AG$2,,,COUNTIF($AG$2:$AG$50,"?*"),23),2,FALSE)),""),"")</f>
        <v>2003</v>
      </c>
      <c r="O13" s="423"/>
      <c r="P13" s="6">
        <f ca="1">IFERROR(VLOOKUP(M12,OFFSET($AG$2,,,COUNTIF($AG$2:$AG$50,"?*"),23),15,FALSE),"")</f>
        <v>18</v>
      </c>
      <c r="Q13" s="424" t="str">
        <f ca="1">IFERROR(VLOOKUP(M12,OFFSET($AG$2,,,COUNTIF($AG$2:$AG$50,"?*"),23),16,FALSE),"")</f>
        <v>185/71</v>
      </c>
      <c r="R13" s="425"/>
      <c r="S13" s="110" t="s">
        <v>8</v>
      </c>
      <c r="T13" s="102" t="s">
        <v>107</v>
      </c>
      <c r="U13" s="102">
        <v>6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0</v>
      </c>
      <c r="AB13" s="102">
        <v>-1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137</v>
      </c>
      <c r="AQ13" s="123">
        <v>185</v>
      </c>
      <c r="AR13" s="123">
        <v>71</v>
      </c>
      <c r="AS13" s="126" t="s">
        <v>145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11 OZ, 12 (8+4), -14 ±</v>
      </c>
      <c r="AY13" s="129" t="str">
        <f t="shared" ca="1" si="2"/>
        <v>31 OZ, 17 (12+5)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17"/>
      <c r="BT13" s="104" t="s">
        <v>1151</v>
      </c>
      <c r="BU13" s="103">
        <v>8</v>
      </c>
      <c r="BV13" s="104" t="str">
        <f t="shared" si="14"/>
        <v>Vojtěch Klápa</v>
      </c>
      <c r="BW13" s="102">
        <f t="shared" si="15"/>
        <v>8</v>
      </c>
    </row>
    <row r="14" spans="1:79" ht="15" customHeight="1" thickTop="1" thickBot="1" x14ac:dyDescent="0.25">
      <c r="A14" s="458" t="str">
        <f ca="1">IFERROR(VLOOKUP(A12,OFFSET($AG$2,,,COUNTIF($AG$2:$AG$50,"?*"),23),18,FALSE),"")</f>
        <v>10 OZ, 22 (12+10), -8 ±</v>
      </c>
      <c r="B14" s="459"/>
      <c r="C14" s="459"/>
      <c r="D14" s="460" t="str">
        <f ca="1">IFERROR(VLOOKUP(A12,OFFSET($AG$2,,,COUNTIF($AG$2:$AG$50,"?*"),23),19,FALSE),"")</f>
        <v>113 OZ, 146 (96+50)</v>
      </c>
      <c r="E14" s="460"/>
      <c r="F14" s="461"/>
      <c r="G14" s="429" t="s">
        <v>108</v>
      </c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84</v>
      </c>
      <c r="M14" s="458" t="str">
        <f ca="1">IFERROR(VLOOKUP(M12,OFFSET($AG$2,,,COUNTIF($AG$2:$AG$50,"?*"),23),18,FALSE),"")</f>
        <v>11 OZ, 12 (8+4), -14 ±</v>
      </c>
      <c r="N14" s="459"/>
      <c r="O14" s="459"/>
      <c r="P14" s="460" t="str">
        <f ca="1">IFERROR(VLOOKUP(M12,OFFSET($AG$2,,,COUNTIF($AG$2:$AG$50,"?*"),23),19,FALSE),"")</f>
        <v>31 OZ, 17 (12+5)</v>
      </c>
      <c r="Q14" s="460"/>
      <c r="R14" s="461"/>
      <c r="S14" s="110" t="s">
        <v>106</v>
      </c>
      <c r="T14" s="102" t="s">
        <v>107</v>
      </c>
      <c r="U14" s="102">
        <v>9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-8</v>
      </c>
      <c r="AC14" s="102" t="str">
        <f t="shared" ca="1" si="0"/>
        <v>ANO</v>
      </c>
      <c r="AG14" s="121" t="s">
        <v>104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137</v>
      </c>
      <c r="AQ14" s="123">
        <v>191</v>
      </c>
      <c r="AR14" s="123">
        <v>78</v>
      </c>
      <c r="AS14" s="126" t="s">
        <v>250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10 OZ, 22 (12+10), -8 ±</v>
      </c>
      <c r="AY14" s="129" t="str">
        <f t="shared" ca="1" si="2"/>
        <v>113 OZ, 146 (96+50)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17"/>
      <c r="BT14" s="104" t="s">
        <v>1054</v>
      </c>
      <c r="BU14" s="103">
        <v>6</v>
      </c>
      <c r="BV14" s="104" t="str">
        <f t="shared" si="14"/>
        <v>Ivan Pergler</v>
      </c>
      <c r="BW14" s="102">
        <f t="shared" si="15"/>
        <v>6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>Florbal Ústí</v>
      </c>
      <c r="B15" s="447"/>
      <c r="C15" s="448"/>
      <c r="D15" s="449">
        <f ca="1">IFERROR(IF(VLOOKUP(A12,OFFSET($AG$2,,,COUNTIF($AG$2:$AG$50,"?*"),23),14,FALSE)&lt;&gt;0,VLOOKUP(A12,OFFSET($AG$2,,,COUNTIF($AG$2:$AG$50,"?*"),23),14,FALSE),"?"),"")</f>
        <v>2008</v>
      </c>
      <c r="E15" s="450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P</v>
      </c>
      <c r="H15" s="422">
        <f ca="1">IFERROR(IF(VLOOKUP(G14,OFFSET($AG$2,,,COUNTIF($AG$2:$AG$50,"?*"),23),2,FALSE)&lt;&gt;0,YEAR(VLOOKUP(G14,OFFSET($AG$2,,,COUNTIF($AG$2:$AG$50,"?*"),23),2,FALSE)),""),"")</f>
        <v>2000</v>
      </c>
      <c r="I15" s="423"/>
      <c r="J15" s="5">
        <f ca="1">IFERROR(VLOOKUP(G14,OFFSET($AG$2,,,COUNTIF($AG$2:$AG$50,"?*"),23),15,FALSE),"")</f>
        <v>21</v>
      </c>
      <c r="K15" s="424" t="str">
        <f ca="1">IFERROR(VLOOKUP(G14,OFFSET($AG$2,,,COUNTIF($AG$2:$AG$50,"?*"),23),16,FALSE),"")</f>
        <v>180/72</v>
      </c>
      <c r="L15" s="425"/>
      <c r="M15" s="446" t="str">
        <f ca="1">IFERROR(IF(VLOOKUP(M12,OFFSET($AG$2,,,COUNTIF($AG$2:$AG$50,"?*"),23),13,FALSE)&lt;&gt;0,VLOOKUP(M12,OFFSET($AG$2,,,COUNTIF($AG$2:$AG$50,"?*"),23),13,FALSE),"?"),"")</f>
        <v>SK Florbal Benešov</v>
      </c>
      <c r="N15" s="447"/>
      <c r="O15" s="448"/>
      <c r="P15" s="449">
        <f ca="1">IFERROR(IF(VLOOKUP(M12,OFFSET($AG$2,,,COUNTIF($AG$2:$AG$50,"?*"),23),14,FALSE)&lt;&gt;0,VLOOKUP(M12,OFFSET($AG$2,,,COUNTIF($AG$2:$AG$50,"?*"),23),14,FALSE),"?"),"")</f>
        <v>2009</v>
      </c>
      <c r="Q15" s="45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146</v>
      </c>
      <c r="AH15" s="122">
        <v>32379</v>
      </c>
      <c r="AI15" s="123">
        <v>96</v>
      </c>
      <c r="AJ15" s="123">
        <v>10</v>
      </c>
      <c r="AK15" s="123">
        <v>8</v>
      </c>
      <c r="AL15" s="124">
        <f>IF(AG15&lt;&gt;"",AJ15+AK15,"")</f>
        <v>18</v>
      </c>
      <c r="AM15" s="123">
        <v>7</v>
      </c>
      <c r="AN15" s="123">
        <v>19</v>
      </c>
      <c r="AO15" s="125" t="s">
        <v>150</v>
      </c>
      <c r="AP15" s="125" t="s">
        <v>27</v>
      </c>
      <c r="AQ15" s="123">
        <v>187</v>
      </c>
      <c r="AR15" s="123">
        <v>92</v>
      </c>
      <c r="AS15" s="126" t="s">
        <v>147</v>
      </c>
      <c r="AT15" s="123">
        <v>2000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187/92</v>
      </c>
      <c r="AW15" s="128" t="str">
        <f ca="1">IF(AG15&lt;&gt;"",IF(BE15=1,BD15,IF(BH15=1,BG15,IF(BJ15=1,BI15,IF(BL15=1,BK15,BM15)))),"")</f>
        <v>Lanc</v>
      </c>
      <c r="AX15" s="129" t="str">
        <f t="shared" ca="1" si="1"/>
        <v>8 OZ, 2 (2+0), -5 ±</v>
      </c>
      <c r="AY15" s="129" t="str">
        <f t="shared" ca="1" si="2"/>
        <v>104 OZ, 20 (12+8)</v>
      </c>
      <c r="AZ15" s="130"/>
      <c r="BA15" s="130"/>
      <c r="BB15" s="130"/>
      <c r="BC15" s="130"/>
      <c r="BD15" s="89" t="str">
        <f t="shared" si="3"/>
        <v>Lanc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17"/>
      <c r="BT15" s="104" t="s">
        <v>1056</v>
      </c>
      <c r="BU15" s="103">
        <v>6</v>
      </c>
      <c r="BV15" s="104" t="str">
        <f t="shared" si="14"/>
        <v>Jan Fiala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>11 OZ, 12 (6+6), -13 ±</v>
      </c>
      <c r="H16" s="459"/>
      <c r="I16" s="459"/>
      <c r="J16" s="460" t="str">
        <f ca="1">IFERROR(VLOOKUP(G14,OFFSET($AG$2,,,COUNTIF($AG$2:$AG$50,"?*"),23),19,FALSE),"")</f>
        <v>23 OZ, 13 (6+7)</v>
      </c>
      <c r="K16" s="460"/>
      <c r="L16" s="461"/>
      <c r="R16" s="13"/>
      <c r="S16" s="110" t="s">
        <v>111</v>
      </c>
      <c r="T16" s="102" t="s">
        <v>58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-10</v>
      </c>
      <c r="AC16" s="102" t="str">
        <f t="shared" ca="1" si="0"/>
        <v>ANO</v>
      </c>
      <c r="AG16" s="121" t="s">
        <v>18</v>
      </c>
      <c r="AH16" s="122">
        <v>37561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88</v>
      </c>
      <c r="AO16" s="125"/>
      <c r="AP16" s="125"/>
      <c r="AQ16" s="123">
        <v>180</v>
      </c>
      <c r="AR16" s="123">
        <v>83</v>
      </c>
      <c r="AS16" s="126" t="s">
        <v>5</v>
      </c>
      <c r="AT16" s="123">
        <v>2011</v>
      </c>
      <c r="AU16" s="127">
        <f ca="1">IF(AG16&lt;&gt;"",IF(AH16&lt;&gt;"",INT((TODAY()-AH16)/365),"?"),"")</f>
        <v>19</v>
      </c>
      <c r="AV16" s="127" t="str">
        <f>IF(AG16&lt;&gt;"",CONCATENATE(IF(AQ16&lt;&gt;"",AQ16,"? "),"/",IF(AR16&lt;&gt;"",AR16," ?")),"")</f>
        <v>180/83</v>
      </c>
      <c r="AW16" s="128" t="str">
        <f ca="1">IF(AG16&lt;&gt;"",IF(BE16=1,BD16,IF(BH16=1,BG16,IF(BJ16=1,BI16,IF(BL16=1,BK16,BM16)))),"")</f>
        <v>Lorenc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Lorenc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17"/>
      <c r="BT16" s="104" t="s">
        <v>1055</v>
      </c>
      <c r="BU16" s="103">
        <v>5</v>
      </c>
      <c r="BV16" s="104" t="str">
        <f t="shared" si="14"/>
        <v>Jan Procházka</v>
      </c>
      <c r="BW16" s="102">
        <f t="shared" si="15"/>
        <v>5</v>
      </c>
    </row>
    <row r="17" spans="1:75" ht="15" customHeight="1" thickTop="1" thickBot="1" x14ac:dyDescent="0.25">
      <c r="A17" s="429" t="s">
        <v>146</v>
      </c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>C</v>
      </c>
      <c r="F17" s="2">
        <f ca="1">IFERROR(IF(VLOOKUP(A17,OFFSET($AG$2,,,COUNTIF($AG$2:$AG$50,"?*"),23),8,FALSE)&lt;&gt;0,VLOOKUP(A17,OFFSET($AG$2,,,COUNTIF($AG$2:$AG$50,"?*"),23),8,FALSE),""),"")</f>
        <v>19</v>
      </c>
      <c r="G17" s="446" t="str">
        <f ca="1">IFERROR(IF(VLOOKUP(G14,OFFSET($AG$2,,,COUNTIF($AG$2:$AG$50,"?*"),23),13,FALSE)&lt;&gt;0,VLOOKUP(G14,OFFSET($AG$2,,,COUNTIF($AG$2:$AG$50,"?*"),23),13,FALSE),"?"),"")</f>
        <v>Vosy Praha</v>
      </c>
      <c r="H17" s="447"/>
      <c r="I17" s="448"/>
      <c r="J17" s="449">
        <f ca="1">IFERROR(IF(VLOOKUP(G14,OFFSET($AG$2,,,COUNTIF($AG$2:$AG$50,"?*"),23),14,FALSE)&lt;&gt;0,VLOOKUP(G14,OFFSET($AG$2,,,COUNTIF($AG$2:$AG$50,"?*"),23),14,FALSE),"?"),"")</f>
        <v>2010</v>
      </c>
      <c r="K17" s="450"/>
      <c r="L17" s="7">
        <f ca="1">IFERROR(IF(VLOOKUP(G14,OFFSET($AG$2,,,COUNTIF($AG$2:$AG$50,"?*"),23),7,FALSE)&lt;&gt;0,VLOOKUP(G14,OFFSET($AG$2,,,COUNTIF($AG$2:$AG$50,"?*"),23),7,FALSE),"?"),"")</f>
        <v>4</v>
      </c>
      <c r="M17" s="429" t="s">
        <v>14</v>
      </c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3</v>
      </c>
      <c r="T17" s="102" t="s">
        <v>58</v>
      </c>
      <c r="U17" s="102">
        <v>3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-5</v>
      </c>
      <c r="AC17" s="102" t="str">
        <f t="shared" ca="1" si="0"/>
        <v>ANO</v>
      </c>
      <c r="AG17" s="121" t="s">
        <v>109</v>
      </c>
      <c r="AH17" s="122">
        <v>36650</v>
      </c>
      <c r="AI17" s="123">
        <v>13</v>
      </c>
      <c r="AJ17" s="123">
        <v>0</v>
      </c>
      <c r="AK17" s="123">
        <v>1</v>
      </c>
      <c r="AL17" s="124">
        <f>IF(AG17&lt;&gt;"",AJ17+AK17,"")</f>
        <v>1</v>
      </c>
      <c r="AM17" s="123">
        <v>3</v>
      </c>
      <c r="AN17" s="123">
        <v>78</v>
      </c>
      <c r="AO17" s="125"/>
      <c r="AP17" s="125" t="s">
        <v>137</v>
      </c>
      <c r="AQ17" s="123">
        <v>191</v>
      </c>
      <c r="AR17" s="123">
        <v>86</v>
      </c>
      <c r="AS17" s="126" t="s">
        <v>5</v>
      </c>
      <c r="AT17" s="123">
        <v>2014</v>
      </c>
      <c r="AU17" s="127">
        <f ca="1">IF(AG17&lt;&gt;"",IF(AH17&lt;&gt;"",INT((TODAY()-AH17)/365),"?"),"")</f>
        <v>21</v>
      </c>
      <c r="AV17" s="127" t="str">
        <f>IF(AG17&lt;&gt;"",CONCATENATE(IF(AQ17&lt;&gt;"",AQ17,"? "),"/",IF(AR17&lt;&gt;"",AR17," ?")),"")</f>
        <v>191/86</v>
      </c>
      <c r="AW17" s="128" t="str">
        <f ca="1">IF(AG17&lt;&gt;"",IF(BE17=1,BD17,IF(BH17=1,BG17,IF(BJ17=1,BI17,IF(BL17=1,BK17,BM17)))),"")</f>
        <v>Máca</v>
      </c>
      <c r="AX17" s="129" t="str">
        <f t="shared" ca="1" si="1"/>
        <v>8 OZ, 3 (1+2), -4 ±</v>
      </c>
      <c r="AY17" s="129" t="str">
        <f t="shared" ca="1" si="2"/>
        <v>21 OZ, 4 (1+3)</v>
      </c>
      <c r="AZ17" s="130"/>
      <c r="BA17" s="130"/>
      <c r="BB17" s="130"/>
      <c r="BC17" s="130"/>
      <c r="BD17" s="89" t="str">
        <f t="shared" si="3"/>
        <v>Máca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17" t="s">
        <v>41</v>
      </c>
      <c r="BT17" s="104" t="s">
        <v>759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2">
        <f ca="1">IFERROR(IF(VLOOKUP(A17,OFFSET($AG$2,,,COUNTIF($AG$2:$AG$50,"?*"),23),2,FALSE)&lt;&gt;0,YEAR(VLOOKUP(A17,OFFSET($AG$2,,,COUNTIF($AG$2:$AG$50,"?*"),23),2,FALSE)),""),"")</f>
        <v>1988</v>
      </c>
      <c r="C18" s="423"/>
      <c r="D18" s="149">
        <f ca="1">IFERROR(VLOOKUP(A17,OFFSET($AG$2,,,COUNTIF($AG$2:$AG$50,"?*"),23),15,FALSE),"")</f>
        <v>33</v>
      </c>
      <c r="E18" s="424" t="str">
        <f ca="1">IFERROR(VLOOKUP(A17,OFFSET($AG$2,,,COUNTIF($AG$2:$AG$50,"?*"),23),16,FALSE),"")</f>
        <v>187/92</v>
      </c>
      <c r="F18" s="425"/>
      <c r="M18" s="4" t="str">
        <f ca="1">IFERROR(IF(VLOOKUP(M17,OFFSET($AG$2,,,COUNTIF($AG$2:$AG$50,"?*"),23),10,FALSE)&lt;&gt;0,VLOOKUP(M17,OFFSET($AG$2,,,COUNTIF($AG$2:$AG$50,"?*"),23),10,FALSE),""),"")</f>
        <v>L</v>
      </c>
      <c r="N18" s="422">
        <f ca="1">IFERROR(IF(VLOOKUP(M17,OFFSET($AG$2,,,COUNTIF($AG$2:$AG$50,"?*"),23),2,FALSE)&lt;&gt;0,YEAR(VLOOKUP(M17,OFFSET($AG$2,,,COUNTIF($AG$2:$AG$50,"?*"),23),2,FALSE)),""),"")</f>
        <v>1991</v>
      </c>
      <c r="O18" s="423"/>
      <c r="P18" s="6">
        <f ca="1">IFERROR(VLOOKUP(M17,OFFSET($AG$2,,,COUNTIF($AG$2:$AG$50,"?*"),23),15,FALSE),"")</f>
        <v>30</v>
      </c>
      <c r="Q18" s="424" t="str">
        <f ca="1">IFERROR(VLOOKUP(M17,OFFSET($AG$2,,,COUNTIF($AG$2:$AG$50,"?*"),23),16,FALSE),"")</f>
        <v>180/78</v>
      </c>
      <c r="R18" s="425"/>
      <c r="S18" s="110" t="s">
        <v>114</v>
      </c>
      <c r="U18" s="102">
        <v>3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-3</v>
      </c>
      <c r="AC18" s="102" t="str">
        <f t="shared" ca="1" si="0"/>
        <v>ANO</v>
      </c>
      <c r="AG18" s="121" t="s">
        <v>110</v>
      </c>
      <c r="AH18" s="122">
        <v>36001</v>
      </c>
      <c r="AI18" s="123">
        <v>37</v>
      </c>
      <c r="AJ18" s="123">
        <v>0</v>
      </c>
      <c r="AK18" s="123">
        <v>0</v>
      </c>
      <c r="AL18" s="124">
        <f>IF(AG18&lt;&gt;"",AJ18+AK18,"")</f>
        <v>0</v>
      </c>
      <c r="AM18" s="123">
        <v>6</v>
      </c>
      <c r="AN18" s="123">
        <v>80</v>
      </c>
      <c r="AO18" s="125"/>
      <c r="AP18" s="125"/>
      <c r="AQ18" s="123">
        <v>175</v>
      </c>
      <c r="AR18" s="123">
        <v>69</v>
      </c>
      <c r="AS18" s="126" t="s">
        <v>251</v>
      </c>
      <c r="AT18" s="123">
        <v>2012</v>
      </c>
      <c r="AU18" s="127">
        <f ca="1">IF(AG18&lt;&gt;"",IF(AH18&lt;&gt;"",INT((TODAY()-AH18)/365),"?"),"")</f>
        <v>23</v>
      </c>
      <c r="AV18" s="127" t="str">
        <f>IF(AG18&lt;&gt;"",CONCATENATE(IF(AQ18&lt;&gt;"",AQ18,"? "),"/",IF(AR18&lt;&gt;"",AR18," ?")),"")</f>
        <v>175/69</v>
      </c>
      <c r="AW18" s="128" t="str">
        <f ca="1">IF(AG18&lt;&gt;"",IF(BE18=1,BD18,IF(BH18=1,BG18,IF(BJ18=1,BI18,IF(BL18=1,BK18,BM18)))),"")</f>
        <v>Musil</v>
      </c>
      <c r="AX18" s="129" t="str">
        <f t="shared" ca="1" si="1"/>
        <v>1 V, 6 P</v>
      </c>
      <c r="AY18" s="129" t="str">
        <f t="shared" ca="1" si="2"/>
        <v>44 OZ, 0 A</v>
      </c>
      <c r="AZ18" s="130"/>
      <c r="BA18" s="130"/>
      <c r="BB18" s="130"/>
      <c r="BC18" s="130"/>
      <c r="BD18" s="3" t="str">
        <f t="shared" si="3"/>
        <v>Musil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17"/>
      <c r="BT18" s="104" t="s">
        <v>760</v>
      </c>
      <c r="BU18" s="103">
        <v>1</v>
      </c>
      <c r="BV18" s="104" t="str">
        <f t="shared" si="14"/>
        <v>Petr Musil</v>
      </c>
      <c r="BW18" s="102">
        <f t="shared" si="15"/>
        <v>1</v>
      </c>
    </row>
    <row r="19" spans="1:75" ht="15" customHeight="1" x14ac:dyDescent="0.2">
      <c r="A19" s="458" t="str">
        <f ca="1">IFERROR(VLOOKUP(A17,OFFSET($AG$2,,,COUNTIF($AG$2:$AG$50,"?*"),23),18,FALSE),"")</f>
        <v>8 OZ, 2 (2+0), -5 ±</v>
      </c>
      <c r="B19" s="459"/>
      <c r="C19" s="459"/>
      <c r="D19" s="460" t="str">
        <f ca="1">IFERROR(VLOOKUP(A17,OFFSET($AG$2,,,COUNTIF($AG$2:$AG$50,"?*"),23),19,FALSE),"")</f>
        <v>104 OZ, 20 (12+8)</v>
      </c>
      <c r="E19" s="460"/>
      <c r="F19" s="461"/>
      <c r="H19" s="462" t="str">
        <f>H$8</f>
        <v>SKV</v>
      </c>
      <c r="I19" s="462"/>
      <c r="J19" s="462"/>
      <c r="K19" s="462"/>
      <c r="M19" s="458" t="str">
        <f ca="1">IFERROR(VLOOKUP(M17,OFFSET($AG$2,,,COUNTIF($AG$2:$AG$50,"?*"),23),18,FALSE),"")</f>
        <v>9 OZ, 4 (1+3), -8 ±</v>
      </c>
      <c r="N19" s="459"/>
      <c r="O19" s="459"/>
      <c r="P19" s="460" t="str">
        <f ca="1">IFERROR(VLOOKUP(M17,OFFSET($AG$2,,,COUNTIF($AG$2:$AG$50,"?*"),23),19,FALSE),"")</f>
        <v>91 OZ, 71 (46+25)</v>
      </c>
      <c r="Q19" s="460"/>
      <c r="R19" s="461"/>
      <c r="S19" s="110" t="s">
        <v>143</v>
      </c>
      <c r="U19" s="102">
        <v>6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0</v>
      </c>
      <c r="AC19" s="102" t="str">
        <f t="shared" ca="1" si="0"/>
        <v>ANO</v>
      </c>
      <c r="AG19" s="121" t="s">
        <v>19</v>
      </c>
      <c r="AH19" s="122">
        <v>37455</v>
      </c>
      <c r="AI19" s="123">
        <v>18</v>
      </c>
      <c r="AJ19" s="123">
        <v>2</v>
      </c>
      <c r="AK19" s="123">
        <v>1</v>
      </c>
      <c r="AL19" s="124">
        <f>IF(AG19&lt;&gt;"",AJ19+AK19,"")</f>
        <v>3</v>
      </c>
      <c r="AM19" s="123">
        <v>2</v>
      </c>
      <c r="AN19" s="123">
        <v>81</v>
      </c>
      <c r="AO19" s="125"/>
      <c r="AP19" s="125" t="s">
        <v>137</v>
      </c>
      <c r="AQ19" s="123">
        <v>187</v>
      </c>
      <c r="AR19" s="123">
        <v>61</v>
      </c>
      <c r="AS19" s="126" t="s">
        <v>5</v>
      </c>
      <c r="AT19" s="123">
        <v>2013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187/61</v>
      </c>
      <c r="AW19" s="128" t="str">
        <f ca="1">IF(AG19&lt;&gt;"",IF(BE19=1,BD19,IF(BH19=1,BG19,IF(BJ19=1,BI19,IF(BL19=1,BK19,BM19)))),"")</f>
        <v>Paštika</v>
      </c>
      <c r="AX19" s="129" t="str">
        <f t="shared" ca="1" si="1"/>
        <v>9 OZ, 0 (0+0), -2 ±</v>
      </c>
      <c r="AY19" s="129" t="str">
        <f t="shared" ca="1" si="2"/>
        <v>27 OZ, 3 (2+1)</v>
      </c>
      <c r="AZ19" s="130"/>
      <c r="BA19" s="130"/>
      <c r="BB19" s="130"/>
      <c r="BC19" s="130"/>
      <c r="BD19" s="89" t="str">
        <f t="shared" si="3"/>
        <v>Paštika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17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>SC Sportcentrum</v>
      </c>
      <c r="B20" s="447"/>
      <c r="C20" s="448"/>
      <c r="D20" s="449">
        <f ca="1">IFERROR(IF(VLOOKUP(A17,OFFSET($AG$2,,,COUNTIF($AG$2:$AG$50,"?*"),23),14,FALSE)&lt;&gt;0,VLOOKUP(A17,OFFSET($AG$2,,,COUNTIF($AG$2:$AG$50,"?*"),23),14,FALSE),"?"),"")</f>
        <v>2000</v>
      </c>
      <c r="E20" s="450"/>
      <c r="F20" s="7">
        <f ca="1">IFERROR(IF(VLOOKUP(A17,OFFSET($AG$2,,,COUNTIF($AG$2:$AG$50,"?*"),23),7,FALSE)&lt;&gt;0,VLOOKUP(A17,OFFSET($AG$2,,,COUNTIF($AG$2:$AG$50,"?*"),23),7,FALSE),"?"),"")</f>
        <v>7</v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>FBK Kunovští Orli</v>
      </c>
      <c r="N20" s="447"/>
      <c r="O20" s="448"/>
      <c r="P20" s="449">
        <f ca="1">IFERROR(IF(VLOOKUP(M17,OFFSET($AG$2,,,COUNTIF($AG$2:$AG$50,"?*"),23),14,FALSE)&lt;&gt;0,VLOOKUP(M17,OFFSET($AG$2,,,COUNTIF($AG$2:$AG$50,"?*"),23),14,FALSE),"?"),"")</f>
        <v>2008</v>
      </c>
      <c r="Q20" s="450"/>
      <c r="R20" s="7">
        <f ca="1">IFERROR(IF(VLOOKUP(M17,OFFSET($AG$2,,,COUNTIF($AG$2:$AG$50,"?*"),23),7,FALSE)&lt;&gt;0,VLOOKUP(M17,OFFSET($AG$2,,,COUNTIF($AG$2:$AG$50,"?*"),23),7,FALSE),"?"),"")</f>
        <v>5</v>
      </c>
      <c r="S20" s="110" t="s">
        <v>2</v>
      </c>
      <c r="T20" s="102" t="s">
        <v>107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 t="s">
        <v>108</v>
      </c>
      <c r="AH20" s="122">
        <v>36551</v>
      </c>
      <c r="AI20" s="123">
        <v>12</v>
      </c>
      <c r="AJ20" s="123">
        <v>0</v>
      </c>
      <c r="AK20" s="123">
        <v>1</v>
      </c>
      <c r="AL20" s="124">
        <f>IF(AG20&lt;&gt;"",AJ20+AK20,"")</f>
        <v>1</v>
      </c>
      <c r="AM20" s="123">
        <v>4</v>
      </c>
      <c r="AN20" s="123">
        <v>84</v>
      </c>
      <c r="AO20" s="125"/>
      <c r="AP20" s="125" t="s">
        <v>27</v>
      </c>
      <c r="AQ20" s="123">
        <v>180</v>
      </c>
      <c r="AR20" s="123">
        <v>72</v>
      </c>
      <c r="AS20" s="126" t="s">
        <v>399</v>
      </c>
      <c r="AT20" s="123">
        <v>2010</v>
      </c>
      <c r="AU20" s="127">
        <f ca="1">IF(AG20&lt;&gt;"",IF(AH20&lt;&gt;"",INT((TODAY()-AH20)/365),"?"),"")</f>
        <v>21</v>
      </c>
      <c r="AV20" s="127" t="str">
        <f>IF(AG20&lt;&gt;"",CONCATENATE(IF(AQ20&lt;&gt;"",AQ20,"? "),"/",IF(AR20&lt;&gt;"",AR20," ?")),"")</f>
        <v>180/72</v>
      </c>
      <c r="AW20" s="128" t="str">
        <f ca="1">IF(AG20&lt;&gt;"",IF(BE20=1,BD20,IF(BH20=1,BG20,IF(BJ20=1,BI20,IF(BL20=1,BK20,BM20)))),"")</f>
        <v>Pergler</v>
      </c>
      <c r="AX20" s="129" t="str">
        <f t="shared" ca="1" si="1"/>
        <v>11 OZ, 12 (6+6), -13 ±</v>
      </c>
      <c r="AY20" s="129" t="str">
        <f t="shared" ca="1" si="2"/>
        <v>23 OZ, 13 (6+7)</v>
      </c>
      <c r="AZ20" s="130"/>
      <c r="BA20" s="130"/>
      <c r="BB20" s="130"/>
      <c r="BC20" s="130"/>
      <c r="BD20" s="3" t="str">
        <f t="shared" si="3"/>
        <v>Pergler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17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153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-1</v>
      </c>
      <c r="AC21" s="102" t="str">
        <f ca="1">IF(S21&lt;&gt;"",IFERROR(IF(VLOOKUP(S21,OFFSET($AG$2,,,COUNTIF($AG$2:$AG$50,"?*")),1,FALSE)&lt;&gt;0,"ANO","NE"),"NE"),"")</f>
        <v>ANO</v>
      </c>
      <c r="AG21" s="121" t="s">
        <v>17</v>
      </c>
      <c r="AH21" s="122">
        <v>37402</v>
      </c>
      <c r="AI21" s="123">
        <v>23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26</v>
      </c>
      <c r="AO21" s="125"/>
      <c r="AP21" s="125" t="s">
        <v>137</v>
      </c>
      <c r="AQ21" s="123">
        <v>181</v>
      </c>
      <c r="AR21" s="123">
        <v>66</v>
      </c>
      <c r="AS21" s="126" t="s">
        <v>5</v>
      </c>
      <c r="AT21" s="123">
        <v>2012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181/66</v>
      </c>
      <c r="AW21" s="128" t="str">
        <f ca="1">IF(AG21&lt;&gt;"",IF(BE21=1,BD21,IF(BH21=1,BG21,IF(BJ21=1,BI21,IF(BL21=1,BK21,BM21)))),"")</f>
        <v>Pinkas</v>
      </c>
      <c r="AX21" s="129" t="str">
        <f t="shared" ca="1" si="1"/>
        <v>11 OZ, 1 (1+0), -8 ±</v>
      </c>
      <c r="AY21" s="129" t="str">
        <f t="shared" ca="1" si="2"/>
        <v>34 OZ, 1 (1+0)</v>
      </c>
      <c r="AZ21" s="130"/>
      <c r="BA21" s="130"/>
      <c r="BB21" s="130"/>
      <c r="BC21" s="130"/>
      <c r="BD21" s="89" t="str">
        <f t="shared" si="3"/>
        <v>Pinkas</v>
      </c>
      <c r="BE21" s="91">
        <f t="shared" ca="1" si="4"/>
        <v>1</v>
      </c>
      <c r="BF21" s="90" t="str">
        <f t="shared" si="5"/>
        <v>J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17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112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113</v>
      </c>
      <c r="AH22" s="122">
        <v>36658</v>
      </c>
      <c r="AI22" s="123">
        <v>21</v>
      </c>
      <c r="AJ22" s="123">
        <v>4</v>
      </c>
      <c r="AK22" s="123">
        <v>9</v>
      </c>
      <c r="AL22" s="124">
        <f>IF(AG22&lt;&gt;"",AJ22+AK22,"")</f>
        <v>13</v>
      </c>
      <c r="AM22" s="123">
        <v>2</v>
      </c>
      <c r="AN22" s="123">
        <v>99</v>
      </c>
      <c r="AO22" s="125"/>
      <c r="AP22" s="125" t="s">
        <v>137</v>
      </c>
      <c r="AQ22" s="123">
        <v>186</v>
      </c>
      <c r="AR22" s="123">
        <v>80</v>
      </c>
      <c r="AS22" s="126" t="s">
        <v>148</v>
      </c>
      <c r="AT22" s="123">
        <v>2014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Procházka</v>
      </c>
      <c r="AX22" s="129" t="str">
        <f t="shared" ca="1" si="1"/>
        <v>11 OZ, 5 (5+0), -10 ±</v>
      </c>
      <c r="AY22" s="129" t="str">
        <f t="shared" ca="1" si="2"/>
        <v>32 OZ, 18 (9+9)</v>
      </c>
      <c r="AZ22" s="130"/>
      <c r="BA22" s="130"/>
      <c r="BB22" s="130"/>
      <c r="BC22" s="130"/>
      <c r="BD22" s="3" t="str">
        <f t="shared" si="3"/>
        <v>Procházka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417" t="s">
        <v>38</v>
      </c>
      <c r="BT22" s="104" t="s">
        <v>182</v>
      </c>
      <c r="BU22" s="103">
        <v>10</v>
      </c>
      <c r="BV22" s="104" t="str">
        <f t="shared" si="14"/>
        <v>Viktor Kopecký</v>
      </c>
      <c r="BW22" s="102">
        <f t="shared" si="15"/>
        <v>10</v>
      </c>
    </row>
    <row r="23" spans="1:75" ht="15" customHeight="1" thickTop="1" thickBot="1" x14ac:dyDescent="0.25">
      <c r="A23" s="429" t="s">
        <v>143</v>
      </c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32</v>
      </c>
      <c r="H23" s="463" t="s">
        <v>13</v>
      </c>
      <c r="I23" s="463"/>
      <c r="J23" s="463"/>
      <c r="K23" s="463"/>
      <c r="M23" s="429" t="s">
        <v>106</v>
      </c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37</v>
      </c>
      <c r="S23" s="110" t="s">
        <v>19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16"/>
        <v>ANO</v>
      </c>
      <c r="AG23" s="121" t="s">
        <v>10</v>
      </c>
      <c r="AH23" s="122">
        <v>34200</v>
      </c>
      <c r="AI23" s="123">
        <v>109</v>
      </c>
      <c r="AJ23" s="123">
        <v>32</v>
      </c>
      <c r="AK23" s="123">
        <v>24</v>
      </c>
      <c r="AL23" s="124">
        <f>IF(AG23&lt;&gt;"",AJ23+AK23,"")</f>
        <v>56</v>
      </c>
      <c r="AM23" s="123">
        <v>7</v>
      </c>
      <c r="AN23" s="123">
        <v>65</v>
      </c>
      <c r="AO23" s="125"/>
      <c r="AP23" s="125" t="s">
        <v>27</v>
      </c>
      <c r="AQ23" s="123">
        <v>169</v>
      </c>
      <c r="AR23" s="123">
        <v>65</v>
      </c>
      <c r="AS23" s="126" t="s">
        <v>151</v>
      </c>
      <c r="AT23" s="123">
        <v>2004</v>
      </c>
      <c r="AU23" s="127">
        <f ca="1">IF(AG23&lt;&gt;"",IF(AH23&lt;&gt;"",INT((TODAY()-AH23)/365),"?"),"")</f>
        <v>28</v>
      </c>
      <c r="AV23" s="127" t="str">
        <f>IF(AG23&lt;&gt;"",CONCATENATE(IF(AQ23&lt;&gt;"",AQ23,"? "),"/",IF(AR23&lt;&gt;"",AR23," ?")),"")</f>
        <v>169/65</v>
      </c>
      <c r="AW23" s="128" t="str">
        <f ca="1">IF(AG23&lt;&gt;"",IF(BE23=1,BD23,IF(BH23=1,BG23,IF(BJ23=1,BI23,IF(BL23=1,BK23,BM23)))),"")</f>
        <v>Stuchlík O.</v>
      </c>
      <c r="AX23" s="129" t="str">
        <f t="shared" ca="1" si="1"/>
        <v>10 OZ, 6 (1+5), -3 ±</v>
      </c>
      <c r="AY23" s="129" t="str">
        <f t="shared" ca="1" si="2"/>
        <v>119 OZ, 62 (33+29)</v>
      </c>
      <c r="AZ23" s="130"/>
      <c r="BA23" s="130"/>
      <c r="BB23" s="130"/>
      <c r="BC23" s="130"/>
      <c r="BD23" s="89" t="str">
        <f t="shared" si="3"/>
        <v>Stuchlík</v>
      </c>
      <c r="BE23" s="91">
        <f t="shared" ca="1" si="4"/>
        <v>2</v>
      </c>
      <c r="BF23" s="90" t="str">
        <f t="shared" si="5"/>
        <v>O</v>
      </c>
      <c r="BG23" s="89" t="str">
        <f t="shared" ca="1" si="6"/>
        <v>Stuchlík O.</v>
      </c>
      <c r="BH23" s="90">
        <f t="shared" ca="1" si="7"/>
        <v>1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417"/>
      <c r="BT23" s="104" t="s">
        <v>1146</v>
      </c>
      <c r="BU23" s="103">
        <v>8</v>
      </c>
      <c r="BV23" s="104" t="str">
        <f t="shared" si="14"/>
        <v>Jan Fiala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2">
        <f ca="1">IFERROR(IF(VLOOKUP(A23,OFFSET($AG$2,,,COUNTIF($AG$2:$AG$50,"?*"),23),2,FALSE)&lt;&gt;0,YEAR(VLOOKUP(A23,OFFSET($AG$2,,,COUNTIF($AG$2:$AG$50,"?*"),23),2,FALSE)),""),"")</f>
        <v>2000</v>
      </c>
      <c r="C24" s="423"/>
      <c r="D24" s="5">
        <f ca="1">IFERROR(VLOOKUP(A23,OFFSET($AG$2,,,COUNTIF($AG$2:$AG$50,"?*"),23),15,FALSE),"")</f>
        <v>21</v>
      </c>
      <c r="E24" s="424" t="str">
        <f ca="1">IFERROR(VLOOKUP(A23,OFFSET($AG$2,,,COUNTIF($AG$2:$AG$50,"?*"),23),16,FALSE),"")</f>
        <v>175/70</v>
      </c>
      <c r="F24" s="425"/>
      <c r="M24" s="4" t="str">
        <f ca="1">IFERROR(IF(VLOOKUP(M23,OFFSET($AG$2,,,COUNTIF($AG$2:$AG$50,"?*"),23),10,FALSE)&lt;&gt;0,VLOOKUP(M23,OFFSET($AG$2,,,COUNTIF($AG$2:$AG$50,"?*"),23),10,FALSE),""),"")</f>
        <v>P</v>
      </c>
      <c r="N24" s="422">
        <f ca="1">IFERROR(IF(VLOOKUP(M23,OFFSET($AG$2,,,COUNTIF($AG$2:$AG$50,"?*"),23),2,FALSE)&lt;&gt;0,YEAR(VLOOKUP(M23,OFFSET($AG$2,,,COUNTIF($AG$2:$AG$50,"?*"),23),2,FALSE)),""),"")</f>
        <v>2002</v>
      </c>
      <c r="O24" s="423"/>
      <c r="P24" s="6">
        <f ca="1">IFERROR(VLOOKUP(M23,OFFSET($AG$2,,,COUNTIF($AG$2:$AG$50,"?*"),23),15,FALSE),"")</f>
        <v>19</v>
      </c>
      <c r="Q24" s="424" t="str">
        <f ca="1">IFERROR(VLOOKUP(M23,OFFSET($AG$2,,,COUNTIF($AG$2:$AG$50,"?*"),23),16,FALSE),"")</f>
        <v>182/75</v>
      </c>
      <c r="R24" s="425"/>
      <c r="S24" s="110" t="s">
        <v>11</v>
      </c>
      <c r="T24" s="102" t="s">
        <v>58</v>
      </c>
      <c r="U24" s="102">
        <v>10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-11</v>
      </c>
      <c r="AC24" s="102" t="str">
        <f t="shared" ca="1" si="16"/>
        <v>ANO</v>
      </c>
      <c r="AG24" s="121" t="s">
        <v>9</v>
      </c>
      <c r="AH24" s="122">
        <v>34200</v>
      </c>
      <c r="AI24" s="123">
        <v>97</v>
      </c>
      <c r="AJ24" s="123">
        <v>26</v>
      </c>
      <c r="AK24" s="123">
        <v>60</v>
      </c>
      <c r="AL24" s="124">
        <f>IF(AG24&lt;&gt;"",AJ24+AK24,"")</f>
        <v>86</v>
      </c>
      <c r="AM24" s="123">
        <v>6</v>
      </c>
      <c r="AN24" s="123">
        <v>64</v>
      </c>
      <c r="AO24" s="125"/>
      <c r="AP24" s="125" t="s">
        <v>137</v>
      </c>
      <c r="AQ24" s="123">
        <v>173</v>
      </c>
      <c r="AR24" s="123">
        <v>68</v>
      </c>
      <c r="AS24" s="126" t="s">
        <v>149</v>
      </c>
      <c r="AT24" s="123">
        <v>2003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173/68</v>
      </c>
      <c r="AW24" s="128" t="str">
        <f ca="1">IF(AG24&lt;&gt;"",IF(BE24=1,BD24,IF(BH24=1,BG24,IF(BJ24=1,BI24,IF(BL24=1,BK24,BM24)))),"")</f>
        <v>Stuchlík Z.</v>
      </c>
      <c r="AX24" s="129" t="str">
        <f t="shared" ca="1" si="1"/>
        <v>8 OZ, 6 (3+3), -8 ±</v>
      </c>
      <c r="AY24" s="129" t="str">
        <f t="shared" ca="1" si="2"/>
        <v>105 OZ, 92 (29+63)</v>
      </c>
      <c r="AZ24" s="130"/>
      <c r="BA24" s="130"/>
      <c r="BB24" s="130"/>
      <c r="BC24" s="130"/>
      <c r="BD24" s="3" t="str">
        <f t="shared" si="3"/>
        <v>Stuchlík</v>
      </c>
      <c r="BE24" s="84">
        <f t="shared" ca="1" si="4"/>
        <v>2</v>
      </c>
      <c r="BF24" s="62" t="str">
        <f t="shared" si="5"/>
        <v>Z</v>
      </c>
      <c r="BG24" s="3" t="str">
        <f t="shared" ca="1" si="6"/>
        <v>Stuchlík Z.</v>
      </c>
      <c r="BH24" s="62">
        <f t="shared" ca="1" si="7"/>
        <v>1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417"/>
      <c r="BT24" s="104" t="s">
        <v>1054</v>
      </c>
      <c r="BU24" s="103">
        <v>6</v>
      </c>
      <c r="BV24" s="104" t="str">
        <f t="shared" si="14"/>
        <v>Ivan Pergler</v>
      </c>
      <c r="BW24" s="102">
        <f t="shared" si="15"/>
        <v>6</v>
      </c>
    </row>
    <row r="25" spans="1:75" ht="15" customHeight="1" thickTop="1" thickBot="1" x14ac:dyDescent="0.25">
      <c r="A25" s="458" t="str">
        <f ca="1">IFERROR(VLOOKUP(A23,OFFSET($AG$2,,,COUNTIF($AG$2:$AG$50,"?*"),23),18,FALSE),"")</f>
        <v>6 OZ, 1 (0+1), 0 ±</v>
      </c>
      <c r="B25" s="459"/>
      <c r="C25" s="459"/>
      <c r="D25" s="460" t="str">
        <f ca="1">IFERROR(VLOOKUP(A23,OFFSET($AG$2,,,COUNTIF($AG$2:$AG$50,"?*"),23),19,FALSE),"")</f>
        <v>60 OZ, 17 (2+15)</v>
      </c>
      <c r="E25" s="460"/>
      <c r="F25" s="461"/>
      <c r="G25" s="429" t="s">
        <v>17</v>
      </c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26</v>
      </c>
      <c r="M25" s="458" t="str">
        <f ca="1">IFERROR(VLOOKUP(M23,OFFSET($AG$2,,,COUNTIF($AG$2:$AG$50,"?*"),23),18,FALSE),"")</f>
        <v>9 OZ, 1 (1+0), -8 ±</v>
      </c>
      <c r="N25" s="459"/>
      <c r="O25" s="459"/>
      <c r="P25" s="460" t="str">
        <f ca="1">IFERROR(VLOOKUP(M23,OFFSET($AG$2,,,COUNTIF($AG$2:$AG$50,"?*"),23),19,FALSE),"")</f>
        <v>26 OZ, 3 (2+1)</v>
      </c>
      <c r="Q25" s="460"/>
      <c r="R25" s="461"/>
      <c r="S25" s="110" t="s">
        <v>110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15</v>
      </c>
      <c r="AH25" s="122">
        <v>35171</v>
      </c>
      <c r="AI25" s="123">
        <v>40</v>
      </c>
      <c r="AJ25" s="123">
        <v>0</v>
      </c>
      <c r="AK25" s="123">
        <v>2</v>
      </c>
      <c r="AL25" s="124">
        <f>IF(AG25&lt;&gt;"",AJ25+AK25,"")</f>
        <v>2</v>
      </c>
      <c r="AM25" s="123">
        <v>7</v>
      </c>
      <c r="AN25" s="123">
        <v>42</v>
      </c>
      <c r="AO25" s="125"/>
      <c r="AP25" s="125"/>
      <c r="AQ25" s="123">
        <v>187</v>
      </c>
      <c r="AR25" s="123">
        <v>88</v>
      </c>
      <c r="AS25" s="126" t="s">
        <v>140</v>
      </c>
      <c r="AT25" s="123">
        <v>2008</v>
      </c>
      <c r="AU25" s="127">
        <f ca="1">IF(AG25&lt;&gt;"",IF(AH25&lt;&gt;"",INT((TODAY()-AH25)/365),"?"),"")</f>
        <v>25</v>
      </c>
      <c r="AV25" s="127" t="str">
        <f>IF(AG25&lt;&gt;"",CONCATENATE(IF(AQ25&lt;&gt;"",AQ25,"? "),"/",IF(AR25&lt;&gt;"",AR25," ?")),"")</f>
        <v>187/88</v>
      </c>
      <c r="AW25" s="128" t="str">
        <f ca="1">IF(AG25&lt;&gt;"",IF(BE25=1,BD25,IF(BH25=1,BG25,IF(BJ25=1,BI25,IF(BL25=1,BK25,BM25)))),"")</f>
        <v>Šantora</v>
      </c>
      <c r="AX25" s="129" t="str">
        <f t="shared" ca="1" si="1"/>
        <v>2 V, 3 P</v>
      </c>
      <c r="AY25" s="129" t="str">
        <f t="shared" ca="1" si="2"/>
        <v>45 OZ, 2 A</v>
      </c>
      <c r="AZ25" s="130"/>
      <c r="BA25" s="130"/>
      <c r="BB25" s="130"/>
      <c r="BC25" s="130"/>
      <c r="BD25" s="89" t="str">
        <f t="shared" si="3"/>
        <v>Šantora</v>
      </c>
      <c r="BE25" s="91">
        <f t="shared" ca="1" si="4"/>
        <v>1</v>
      </c>
      <c r="BF25" s="90" t="str">
        <f t="shared" si="5"/>
        <v>K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417"/>
      <c r="BT25" s="104" t="s">
        <v>829</v>
      </c>
      <c r="BU25" s="103">
        <v>5</v>
      </c>
      <c r="BV25" s="104" t="str">
        <f t="shared" si="14"/>
        <v>Ondřej Stuchlík</v>
      </c>
      <c r="BW25" s="102">
        <f t="shared" si="15"/>
        <v>5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>SKV</v>
      </c>
      <c r="B26" s="447"/>
      <c r="C26" s="448"/>
      <c r="D26" s="449">
        <f ca="1">IFERROR(IF(VLOOKUP(A23,OFFSET($AG$2,,,COUNTIF($AG$2:$AG$50,"?*"),23),14,FALSE)&lt;&gt;0,VLOOKUP(A23,OFFSET($AG$2,,,COUNTIF($AG$2:$AG$50,"?*"),23),14,FALSE),"?"),"")</f>
        <v>2015</v>
      </c>
      <c r="E26" s="450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2">
        <f ca="1">IFERROR(IF(VLOOKUP(G25,OFFSET($AG$2,,,COUNTIF($AG$2:$AG$50,"?*"),23),2,FALSE)&lt;&gt;0,YEAR(VLOOKUP(G25,OFFSET($AG$2,,,COUNTIF($AG$2:$AG$50,"?*"),23),2,FALSE)),""),"")</f>
        <v>2002</v>
      </c>
      <c r="I26" s="423"/>
      <c r="J26" s="5">
        <f ca="1">IFERROR(VLOOKUP(G25,OFFSET($AG$2,,,COUNTIF($AG$2:$AG$50,"?*"),23),15,FALSE),"")</f>
        <v>19</v>
      </c>
      <c r="K26" s="424" t="str">
        <f ca="1">IFERROR(VLOOKUP(G25,OFFSET($AG$2,,,COUNTIF($AG$2:$AG$50,"?*"),23),16,FALSE),"")</f>
        <v>181/66</v>
      </c>
      <c r="L26" s="425"/>
      <c r="M26" s="446" t="str">
        <f ca="1">IFERROR(IF(VLOOKUP(M23,OFFSET($AG$2,,,COUNTIF($AG$2:$AG$50,"?*"),23),13,FALSE)&lt;&gt;0,VLOOKUP(M23,OFFSET($AG$2,,,COUNTIF($AG$2:$AG$50,"?*"),23),13,FALSE),"?"),"")</f>
        <v>FA Mladá Boleslav</v>
      </c>
      <c r="N26" s="447"/>
      <c r="O26" s="448"/>
      <c r="P26" s="449">
        <f ca="1">IFERROR(IF(VLOOKUP(M23,OFFSET($AG$2,,,COUNTIF($AG$2:$AG$50,"?*"),23),14,FALSE)&lt;&gt;0,VLOOKUP(M23,OFFSET($AG$2,,,COUNTIF($AG$2:$AG$50,"?*"),23),14,FALSE),"?"),"")</f>
        <v>2010</v>
      </c>
      <c r="Q26" s="450"/>
      <c r="R26" s="7">
        <f ca="1">IFERROR(IF(VLOOKUP(M23,OFFSET($AG$2,,,COUNTIF($AG$2:$AG$50,"?*"),23),7,FALSE)&lt;&gt;0,VLOOKUP(M23,OFFSET($AG$2,,,COUNTIF($AG$2:$AG$50,"?*"),23),7,FALSE),"?"),"")</f>
        <v>2</v>
      </c>
      <c r="S26" s="110" t="s">
        <v>15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 t="s">
        <v>152</v>
      </c>
      <c r="AH26" s="122">
        <v>37453</v>
      </c>
      <c r="AI26" s="123">
        <v>15</v>
      </c>
      <c r="AJ26" s="123">
        <v>1</v>
      </c>
      <c r="AK26" s="123">
        <v>0</v>
      </c>
      <c r="AL26" s="124">
        <f>IF(AG26&lt;&gt;"",AJ26+AK26,"")</f>
        <v>1</v>
      </c>
      <c r="AM26" s="123">
        <v>3</v>
      </c>
      <c r="AN26" s="123">
        <v>87</v>
      </c>
      <c r="AO26" s="125"/>
      <c r="AP26" s="125" t="s">
        <v>27</v>
      </c>
      <c r="AQ26" s="123">
        <v>181</v>
      </c>
      <c r="AR26" s="123">
        <v>75</v>
      </c>
      <c r="AS26" s="126" t="s">
        <v>5</v>
      </c>
      <c r="AT26" s="123">
        <v>2013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181/75</v>
      </c>
      <c r="AW26" s="128" t="str">
        <f ca="1">IF(AG26&lt;&gt;"",IF(BE26=1,BD26,IF(BH26=1,BG26,IF(BJ26=1,BI26,IF(BL26=1,BK26,BM26)))),"")</f>
        <v>Šaroch</v>
      </c>
      <c r="AX26" s="129" t="str">
        <f t="shared" ca="1" si="1"/>
        <v>0 OZ, 0 (0+0)</v>
      </c>
      <c r="AY26" s="129" t="str">
        <f t="shared" ca="1" si="2"/>
        <v>15 OZ, 1 (1+0)</v>
      </c>
      <c r="AZ26" s="130"/>
      <c r="BA26" s="130"/>
      <c r="BB26" s="130"/>
      <c r="BC26" s="130"/>
      <c r="BD26" s="3" t="str">
        <f t="shared" si="3"/>
        <v>Šaroch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417"/>
      <c r="BT26" s="104" t="s">
        <v>830</v>
      </c>
      <c r="BU26" s="103">
        <v>4</v>
      </c>
      <c r="BV26" s="104" t="str">
        <f t="shared" si="14"/>
        <v>Vojtěch Klápa</v>
      </c>
      <c r="BW26" s="102">
        <f t="shared" si="15"/>
        <v>4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>11 OZ, 1 (1+0), -8 ±</v>
      </c>
      <c r="H27" s="459"/>
      <c r="I27" s="459"/>
      <c r="J27" s="460" t="str">
        <f ca="1">IFERROR(VLOOKUP(G25,OFFSET($AG$2,,,COUNTIF($AG$2:$AG$50,"?*"),23),19,FALSE),"")</f>
        <v>34 OZ, 1 (1+0)</v>
      </c>
      <c r="K27" s="460"/>
      <c r="L27" s="461"/>
      <c r="S27" s="111"/>
      <c r="AC27" s="102" t="str">
        <f t="shared" ca="1" si="16"/>
        <v/>
      </c>
      <c r="AG27" s="121" t="s">
        <v>153</v>
      </c>
      <c r="AH27" s="122">
        <v>37781</v>
      </c>
      <c r="AI27" s="123">
        <v>2</v>
      </c>
      <c r="AJ27" s="123">
        <v>0</v>
      </c>
      <c r="AK27" s="123">
        <v>0</v>
      </c>
      <c r="AL27" s="124">
        <v>0</v>
      </c>
      <c r="AM27" s="123">
        <v>2</v>
      </c>
      <c r="AN27" s="123">
        <v>12</v>
      </c>
      <c r="AO27" s="125"/>
      <c r="AP27" s="125" t="s">
        <v>137</v>
      </c>
      <c r="AQ27" s="123">
        <v>180</v>
      </c>
      <c r="AR27" s="123">
        <v>69</v>
      </c>
      <c r="AS27" s="126" t="s">
        <v>5</v>
      </c>
      <c r="AT27" s="123">
        <v>2010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180/69</v>
      </c>
      <c r="AW27" s="128" t="str">
        <f ca="1">IF(AG27&lt;&gt;"",IF(BE27=1,BD27,IF(BH27=1,BG27,IF(BJ27=1,BI27,IF(BL27=1,BK27,BM27)))),"")</f>
        <v>Šolaja</v>
      </c>
      <c r="AX27" s="129" t="str">
        <f t="shared" ca="1" si="1"/>
        <v>3 OZ, 0 (0+0), -1 ±</v>
      </c>
      <c r="AY27" s="129" t="str">
        <f t="shared" ca="1" si="2"/>
        <v>5 OZ, 0 (0+0)</v>
      </c>
      <c r="AZ27" s="130"/>
      <c r="BA27" s="130"/>
      <c r="BB27" s="130"/>
      <c r="BC27" s="130"/>
      <c r="BD27" s="89" t="str">
        <f t="shared" si="3"/>
        <v>Šolaja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417" t="s">
        <v>39</v>
      </c>
      <c r="BT27" s="104" t="s">
        <v>1152</v>
      </c>
      <c r="BU27" s="103">
        <v>14</v>
      </c>
      <c r="BV27" s="104" t="str">
        <f t="shared" si="14"/>
        <v>Ondřej Stuchlík</v>
      </c>
      <c r="BW27" s="102">
        <f t="shared" si="15"/>
        <v>14</v>
      </c>
    </row>
    <row r="28" spans="1:75" ht="15" customHeight="1" thickTop="1" thickBot="1" x14ac:dyDescent="0.25">
      <c r="A28" s="429" t="s">
        <v>11</v>
      </c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11</v>
      </c>
      <c r="G28" s="446" t="str">
        <f ca="1">IFERROR(IF(VLOOKUP(G25,OFFSET($AG$2,,,COUNTIF($AG$2:$AG$50,"?*"),23),13,FALSE)&lt;&gt;0,VLOOKUP(G25,OFFSET($AG$2,,,COUNTIF($AG$2:$AG$50,"?*"),23),13,FALSE),"?"),"")</f>
        <v>SKV</v>
      </c>
      <c r="H28" s="447"/>
      <c r="I28" s="448"/>
      <c r="J28" s="449">
        <f ca="1">IFERROR(IF(VLOOKUP(G25,OFFSET($AG$2,,,COUNTIF($AG$2:$AG$50,"?*"),23),14,FALSE)&lt;&gt;0,VLOOKUP(G25,OFFSET($AG$2,,,COUNTIF($AG$2:$AG$50,"?*"),23),14,FALSE),"?"),"")</f>
        <v>2012</v>
      </c>
      <c r="K28" s="450"/>
      <c r="L28" s="7">
        <f ca="1">IFERROR(IF(VLOOKUP(G25,OFFSET($AG$2,,,COUNTIF($AG$2:$AG$50,"?*"),23),7,FALSE)&lt;&gt;0,VLOOKUP(G25,OFFSET($AG$2,,,COUNTIF($AG$2:$AG$50,"?*"),23),7,FALSE),"?"),"")</f>
        <v>2</v>
      </c>
      <c r="M28" s="429" t="s">
        <v>111</v>
      </c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3</v>
      </c>
      <c r="S28" s="111"/>
      <c r="AC28" s="102" t="str">
        <f t="shared" ca="1" si="16"/>
        <v/>
      </c>
      <c r="AG28" s="121" t="s">
        <v>106</v>
      </c>
      <c r="AH28" s="122">
        <v>37297</v>
      </c>
      <c r="AI28" s="123">
        <v>17</v>
      </c>
      <c r="AJ28" s="123">
        <v>1</v>
      </c>
      <c r="AK28" s="123">
        <v>1</v>
      </c>
      <c r="AL28" s="124">
        <v>2</v>
      </c>
      <c r="AM28" s="123">
        <v>2</v>
      </c>
      <c r="AN28" s="123">
        <v>37</v>
      </c>
      <c r="AO28" s="125"/>
      <c r="AP28" s="125" t="s">
        <v>27</v>
      </c>
      <c r="AQ28" s="123">
        <v>182</v>
      </c>
      <c r="AR28" s="123">
        <v>75</v>
      </c>
      <c r="AS28" s="126" t="s">
        <v>221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182/75</v>
      </c>
      <c r="AW28" s="128" t="str">
        <f ca="1">IF(AG28&lt;&gt;"",IF(BE28=1,BD28,IF(BH28=1,BG28,IF(BJ28=1,BI28,IF(BL28=1,BK28,BM28)))),"")</f>
        <v>Švejda</v>
      </c>
      <c r="AX28" s="129" t="str">
        <f t="shared" ca="1" si="1"/>
        <v>9 OZ, 1 (1+0), -8 ±</v>
      </c>
      <c r="AY28" s="129" t="str">
        <f t="shared" ca="1" si="2"/>
        <v>26 OZ, 3 (2+1)</v>
      </c>
      <c r="AZ28" s="130"/>
      <c r="BA28" s="130"/>
      <c r="BB28" s="130"/>
      <c r="BC28" s="130"/>
      <c r="BD28" s="3" t="str">
        <f t="shared" si="3"/>
        <v>Švejda</v>
      </c>
      <c r="BE28" s="84">
        <f t="shared" ca="1" si="4"/>
        <v>1</v>
      </c>
      <c r="BF28" s="62" t="str">
        <f t="shared" si="5"/>
        <v>Š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417"/>
      <c r="BT28" s="104" t="s">
        <v>1146</v>
      </c>
      <c r="BU28" s="103">
        <v>6</v>
      </c>
      <c r="BV28" s="104" t="str">
        <f t="shared" si="14"/>
        <v>Jan Fiala</v>
      </c>
      <c r="BW28" s="102">
        <f t="shared" si="15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2">
        <f ca="1">IFERROR(IF(VLOOKUP(A28,OFFSET($AG$2,,,COUNTIF($AG$2:$AG$50,"?*"),23),2,FALSE)&lt;&gt;0,YEAR(VLOOKUP(A28,OFFSET($AG$2,,,COUNTIF($AG$2:$AG$50,"?*"),23),2,FALSE)),""),"")</f>
        <v>2001</v>
      </c>
      <c r="C29" s="423"/>
      <c r="D29" s="5">
        <f ca="1">IFERROR(VLOOKUP(A28,OFFSET($AG$2,,,COUNTIF($AG$2:$AG$50,"?*"),23),15,FALSE),"")</f>
        <v>20</v>
      </c>
      <c r="E29" s="424" t="str">
        <f ca="1">IFERROR(VLOOKUP(A28,OFFSET($AG$2,,,COUNTIF($AG$2:$AG$50,"?*"),23),16,FALSE),"")</f>
        <v>181/80</v>
      </c>
      <c r="F29" s="425"/>
      <c r="M29" s="4" t="str">
        <f ca="1">IFERROR(IF(VLOOKUP(M28,OFFSET($AG$2,,,COUNTIF($AG$2:$AG$50,"?*"),23),10,FALSE)&lt;&gt;0,VLOOKUP(M28,OFFSET($AG$2,,,COUNTIF($AG$2:$AG$50,"?*"),23),10,FALSE),""),"")</f>
        <v>L</v>
      </c>
      <c r="N29" s="422">
        <f ca="1">IFERROR(IF(VLOOKUP(M28,OFFSET($AG$2,,,COUNTIF($AG$2:$AG$50,"?*"),23),2,FALSE)&lt;&gt;0,YEAR(VLOOKUP(M28,OFFSET($AG$2,,,COUNTIF($AG$2:$AG$50,"?*"),23),2,FALSE)),""),"")</f>
        <v>1993</v>
      </c>
      <c r="O29" s="423"/>
      <c r="P29" s="6">
        <f ca="1">IFERROR(VLOOKUP(M28,OFFSET($AG$2,,,COUNTIF($AG$2:$AG$50,"?*"),23),15,FALSE),"")</f>
        <v>28</v>
      </c>
      <c r="Q29" s="424" t="str">
        <f ca="1">IFERROR(VLOOKUP(M28,OFFSET($AG$2,,,COUNTIF($AG$2:$AG$50,"?*"),23),16,FALSE),"")</f>
        <v>169/70</v>
      </c>
      <c r="R29" s="425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17"/>
      <c r="BT29" s="104" t="s">
        <v>1153</v>
      </c>
      <c r="BU29" s="103">
        <v>6</v>
      </c>
      <c r="BV29" s="104" t="str">
        <f t="shared" si="14"/>
        <v>Štěpán Čuda</v>
      </c>
      <c r="BW29" s="102">
        <f t="shared" si="15"/>
        <v>6</v>
      </c>
    </row>
    <row r="30" spans="1:75" ht="15" customHeight="1" x14ac:dyDescent="0.2">
      <c r="A30" s="458" t="str">
        <f ca="1">IFERROR(VLOOKUP(A28,OFFSET($AG$2,,,COUNTIF($AG$2:$AG$50,"?*"),23),18,FALSE),"")</f>
        <v>10 OZ, 0 (0+0), -11 ±</v>
      </c>
      <c r="B30" s="459"/>
      <c r="C30" s="459"/>
      <c r="D30" s="460" t="str">
        <f ca="1">IFERROR(VLOOKUP(A28,OFFSET($AG$2,,,COUNTIF($AG$2:$AG$50,"?*"),23),19,FALSE),"")</f>
        <v>68 OZ, 16 (9+7)</v>
      </c>
      <c r="E30" s="460"/>
      <c r="F30" s="461"/>
      <c r="H30" s="462" t="str">
        <f>H$8</f>
        <v>SKV</v>
      </c>
      <c r="I30" s="462"/>
      <c r="J30" s="462"/>
      <c r="K30" s="462"/>
      <c r="M30" s="458" t="str">
        <f ca="1">IFERROR(VLOOKUP(M28,OFFSET($AG$2,,,COUNTIF($AG$2:$AG$50,"?*"),23),18,FALSE),"")</f>
        <v>11 OZ, 1 (1+0), -10 ±</v>
      </c>
      <c r="N30" s="459"/>
      <c r="O30" s="459"/>
      <c r="P30" s="460" t="str">
        <f ca="1">IFERROR(VLOOKUP(M28,OFFSET($AG$2,,,COUNTIF($AG$2:$AG$50,"?*"),23),19,FALSE),"")</f>
        <v>213 OZ, 68 (37+31)</v>
      </c>
      <c r="Q30" s="460"/>
      <c r="R30" s="461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17"/>
      <c r="BT30" s="104" t="s">
        <v>1154</v>
      </c>
      <c r="BU30" s="103">
        <v>4</v>
      </c>
      <c r="BV30" s="104" t="str">
        <f t="shared" si="14"/>
        <v>Zbyněk Stuchlík</v>
      </c>
      <c r="BW30" s="102">
        <f t="shared" si="15"/>
        <v>4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>Bulldogs Brno</v>
      </c>
      <c r="B31" s="447"/>
      <c r="C31" s="448"/>
      <c r="D31" s="449">
        <f ca="1">IFERROR(IF(VLOOKUP(A28,OFFSET($AG$2,,,COUNTIF($AG$2:$AG$50,"?*"),23),14,FALSE)&lt;&gt;0,VLOOKUP(A28,OFFSET($AG$2,,,COUNTIF($AG$2:$AG$50,"?*"),23),14,FALSE),"?"),"")</f>
        <v>2013</v>
      </c>
      <c r="E31" s="450"/>
      <c r="F31" s="7">
        <f ca="1">IFERROR(IF(VLOOKUP(A28,OFFSET($AG$2,,,COUNTIF($AG$2:$AG$50,"?*"),23),7,FALSE)&lt;&gt;0,VLOOKUP(A28,OFFSET($AG$2,,,COUNTIF($AG$2:$AG$50,"?*"),23),7,FALSE),"?"),"")</f>
        <v>4</v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>SKF Draci 99 Liberec</v>
      </c>
      <c r="N31" s="447"/>
      <c r="O31" s="448"/>
      <c r="P31" s="449">
        <f ca="1">IFERROR(IF(VLOOKUP(M28,OFFSET($AG$2,,,COUNTIF($AG$2:$AG$50,"?*"),23),14,FALSE)&lt;&gt;0,VLOOKUP(M28,OFFSET($AG$2,,,COUNTIF($AG$2:$AG$50,"?*"),23),14,FALSE),"?"),"")</f>
        <v>1998</v>
      </c>
      <c r="Q31" s="450"/>
      <c r="R31" s="7">
        <f ca="1">IFERROR(IF(VLOOKUP(M28,OFFSET($AG$2,,,COUNTIF($AG$2:$AG$50,"?*"),23),7,FALSE)&lt;&gt;0,VLOOKUP(M28,OFFSET($AG$2,,,COUNTIF($AG$2:$AG$50,"?*"),23),7,FALSE),"?"),"")</f>
        <v>11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20">IF(AG31&lt;&gt;"",IF(AH31&lt;&gt;"",INT((TODAY()-AH31)/365),"?"),"")</f>
        <v/>
      </c>
      <c r="AV31" s="127" t="str">
        <f t="shared" ref="AV31:AV33" si="21">IF(AG31&lt;&gt;"",CONCATENATE(IF(AQ31&lt;&gt;"",AQ31,"? "),"/",IF(AR31&lt;&gt;"",AR31," ?")),"")</f>
        <v/>
      </c>
      <c r="AW31" s="128" t="str">
        <f t="shared" ref="AW31:AW33" si="22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17"/>
      <c r="BT31" s="104" t="s">
        <v>1155</v>
      </c>
      <c r="BU31" s="103">
        <v>2</v>
      </c>
      <c r="BV31" s="104" t="str">
        <f t="shared" si="14"/>
        <v>Daniel Cabejšek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0"/>
        <v/>
      </c>
      <c r="AV32" s="127" t="str">
        <f t="shared" si="21"/>
        <v/>
      </c>
      <c r="AW32" s="128" t="str">
        <f t="shared" si="22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0"/>
        <v/>
      </c>
      <c r="AV33" s="127" t="str">
        <f t="shared" si="21"/>
        <v/>
      </c>
      <c r="AW33" s="128" t="str">
        <f t="shared" si="22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9" t="s">
        <v>110</v>
      </c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457" t="s">
        <v>16</v>
      </c>
      <c r="J34" s="429" t="s">
        <v>19</v>
      </c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3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4">IF(AG34&lt;&gt;"",IF(AH34&lt;&gt;"",INT((TODAY()-AH34)/365),"?"),"")</f>
        <v/>
      </c>
      <c r="AV34" s="127" t="str">
        <f t="shared" ref="AV34:AV50" si="25">IF(AG34&lt;&gt;"",CONCATENATE(IF(AQ34&lt;&gt;"",AQ34,"? "),"/",IF(AR34&lt;&gt;"",AR34," ?")),"")</f>
        <v/>
      </c>
      <c r="AW34" s="128" t="str">
        <f t="shared" ref="AW34:AW50" si="26">IF(AG34&lt;&gt;"",IF(BE34=1,BD34,IF(BH34=1,BG34,IF(BJ34=1,BI34,IF(BL34=1,BK34,BM34)))),"")</f>
        <v/>
      </c>
      <c r="AX34" s="129" t="str">
        <f t="shared" ref="AX34:AX50" ca="1" si="27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9">IF(AG34&lt;&gt;"",RIGHT(AG34,LEN(AG34)-SEARCH(" ",AG34)),"")</f>
        <v/>
      </c>
      <c r="BE34" s="84" t="str">
        <f t="shared" ref="BE34:BE50" ca="1" si="30">IF(AG34&lt;&gt;"",COUNTIF(OFFSET($BD$2,,,COUNTIF($AG$2:$AG$50,"?*")),BD34),"")</f>
        <v/>
      </c>
      <c r="BF34" s="62" t="str">
        <f t="shared" ref="BF34:BF50" si="31">IF(AG34&lt;&gt;"",LEFT(AG34,1),"")</f>
        <v/>
      </c>
      <c r="BG34" s="3" t="str">
        <f t="shared" ref="BG34:BG50" ca="1" si="32">IF(AND($AG34&lt;&gt;"",BE34&gt;1),CONCATENATE($BD34," ",LEFT($AG34,MIN(1,SEARCH(" ",$AG34)-1)),IF(SEARCH(" ",$AG34)-1&gt;1,".",""),""),"")</f>
        <v/>
      </c>
      <c r="BH34" s="62" t="str">
        <f t="shared" ref="BH34:BH50" ca="1" si="33">IF(BG34&lt;&gt;"",COUNTIF(OFFSET(BG$2,,,COUNTIF($AG$2:$AG$50,"?*")),BG34),IF($AG34&lt;&gt;"",0,""))</f>
        <v/>
      </c>
      <c r="BI34" s="3" t="str">
        <f t="shared" ref="BI34:BI50" ca="1" si="34">IF(AND($AG34&lt;&gt;"",BH34&gt;1),CONCATENATE($BD34," ",LEFT($AG34,MIN(2,SEARCH(" ",$AG34)-1)),IF(SEARCH(" ",$AG34)-1&gt;2,".",""),""),"")</f>
        <v/>
      </c>
      <c r="BJ34" s="62" t="str">
        <f t="shared" ref="BJ34:BJ50" ca="1" si="35">IF(BI34&lt;&gt;"",COUNTIF(OFFSET(BI$2,,,COUNTIF($AG$2:$AG$50,"?*")),BI34),IF($AG34&lt;&gt;"",0,""))</f>
        <v/>
      </c>
      <c r="BK34" s="3" t="str">
        <f t="shared" ref="BK34:BK50" ca="1" si="36">IF(AND($AG34&lt;&gt;"",BJ34&gt;1),CONCATENATE($BD34," ",LEFT($AG34,MIN(3,SEARCH(" ",$AG34)-1)),IF(SEARCH(" ",$AG34)-1&gt;3,".",""),""),"")</f>
        <v/>
      </c>
      <c r="BL34" s="62" t="str">
        <f t="shared" ref="BL34:BL50" ca="1" si="37">IF(BK34&lt;&gt;"",COUNTIF(OFFSET(BK$2,,,COUNTIF($AG$2:$AG$50,"?*")),BK34),IF($AG34&lt;&gt;"",0,""))</f>
        <v/>
      </c>
      <c r="BM34" s="3" t="str">
        <f t="shared" ref="BM34:BM50" ca="1" si="38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2">
        <f ca="1">IFERROR(IF(VLOOKUP(A34,OFFSET($AG$2,,,COUNTIF($AG$2:$AG$50,"?*"),23),2,FALSE)&lt;&gt;0,YEAR(VLOOKUP(A34,OFFSET($AG$2,,,COUNTIF($AG$2:$AG$50,"?*"),23),2,FALSE)),""),"")</f>
        <v>1998</v>
      </c>
      <c r="C35" s="423"/>
      <c r="D35" s="5">
        <f ca="1">IFERROR(VLOOKUP(A34,OFFSET($AG$2,,,COUNTIF($AG$2:$AG$50,"?*"),23),15,FALSE),"")</f>
        <v>23</v>
      </c>
      <c r="E35" s="424" t="str">
        <f ca="1">IFERROR(VLOOKUP(A34,OFFSET($AG$2,,,COUNTIF($AG$2:$AG$50,"?*"),23),16,FALSE),"")</f>
        <v>175/69</v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>L</v>
      </c>
      <c r="K35" s="423">
        <f ca="1">IFERROR(IF(VLOOKUP(J34,OFFSET($AG$2,,,COUNTIF($AG$2:$AG$50,"?*"),23),2,FALSE)&lt;&gt;0,YEAR(VLOOKUP(J34,OFFSET($AG$2,,,COUNTIF($AG$2:$AG$50,"?*"),23),2,FALSE)),""),"")</f>
        <v>2002</v>
      </c>
      <c r="L35" s="431"/>
      <c r="M35" s="15">
        <f ca="1">IFERROR(VLOOKUP(J34,OFFSET($AG$2,,,COUNTIF($AG$2:$AG$50,"?*"),23),15,FALSE),"")</f>
        <v>19</v>
      </c>
      <c r="N35" s="431" t="str">
        <f ca="1">IFERROR(VLOOKUP(J34,OFFSET($AG$2,,,COUNTIF($AG$2:$AG$50,"?*"),23),16,FALSE),"")</f>
        <v>187/61</v>
      </c>
      <c r="O35" s="431"/>
      <c r="P35" s="431" t="str">
        <f ca="1">IFERROR(VLOOKUP(J34,OFFSET($AG$2,,,COUNTIF($AG$2:$AG$50,"?*"),23),18,FALSE),"")</f>
        <v>9 OZ, 0 (0+0), -2 ±</v>
      </c>
      <c r="Q35" s="431"/>
      <c r="R35" s="432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3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4"/>
        <v/>
      </c>
      <c r="AV35" s="127" t="str">
        <f t="shared" si="25"/>
        <v/>
      </c>
      <c r="AW35" s="128" t="str">
        <f t="shared" si="26"/>
        <v/>
      </c>
      <c r="AX35" s="129" t="str">
        <f t="shared" ca="1" si="27"/>
        <v/>
      </c>
      <c r="AY35" s="129" t="str">
        <f t="shared" ca="1" si="28"/>
        <v/>
      </c>
      <c r="AZ35" s="130"/>
      <c r="BA35" s="130"/>
      <c r="BB35" s="130"/>
      <c r="BC35" s="130"/>
      <c r="BD35" s="89" t="str">
        <f t="shared" si="29"/>
        <v/>
      </c>
      <c r="BE35" s="91" t="str">
        <f t="shared" ca="1" si="30"/>
        <v/>
      </c>
      <c r="BF35" s="90" t="str">
        <f t="shared" si="31"/>
        <v/>
      </c>
      <c r="BG35" s="89" t="str">
        <f t="shared" ca="1" si="32"/>
        <v/>
      </c>
      <c r="BH35" s="90" t="str">
        <f t="shared" ca="1" si="33"/>
        <v/>
      </c>
      <c r="BI35" s="89" t="str">
        <f t="shared" ca="1" si="34"/>
        <v/>
      </c>
      <c r="BJ35" s="90" t="str">
        <f t="shared" ca="1" si="35"/>
        <v/>
      </c>
      <c r="BK35" s="89" t="str">
        <f t="shared" ca="1" si="36"/>
        <v/>
      </c>
      <c r="BL35" s="90" t="str">
        <f t="shared" ca="1" si="37"/>
        <v/>
      </c>
      <c r="BM35" s="89" t="str">
        <f t="shared" ca="1" si="38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426" t="str">
        <f ca="1">IFERROR(VLOOKUP(A34,OFFSET($AG$2,,,COUNTIF($AG$2:$AG$50,"?*"),23),18,FALSE),"")</f>
        <v>1 V, 6 P</v>
      </c>
      <c r="C36" s="426"/>
      <c r="D36" s="427">
        <f ca="1">IFERROR(VLOOKUP(A34,OFFSET($S$45,,,COUNTIF($S$45:$S$50,"?*"),14),5,FALSE),"")</f>
        <v>51</v>
      </c>
      <c r="E36" s="428"/>
      <c r="F36" s="17">
        <f ca="1">IFERROR(VLOOKUP(A34,OFFSET($S$45,,,COUNTIF($S$45:$S$50,"?*"),14),14,FALSE),"")</f>
        <v>75.829383886255926</v>
      </c>
      <c r="H36" s="457"/>
      <c r="J36" s="18">
        <f ca="1">IFERROR(IF(VLOOKUP(J34,OFFSET($AG$2,,,COUNTIF($AG$2:$AG$50,"?*"),23),7,FALSE)&lt;&gt;0,VLOOKUP(J34,OFFSET($AG$2,,,COUNTIF($AG$2:$AG$50,"?*"),23),7,FALSE),"?"),"")</f>
        <v>2</v>
      </c>
      <c r="K36" s="433" t="str">
        <f ca="1">IFERROR(VLOOKUP(J34,OFFSET($AG$2,,,COUNTIF($AG$2:$AG$50,"?*"),23),19,FALSE),"")</f>
        <v>27 OZ, 3 (2+1)</v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>SKV</v>
      </c>
      <c r="O36" s="434"/>
      <c r="P36" s="434"/>
      <c r="Q36" s="433">
        <f ca="1">IFERROR(IF(VLOOKUP(J34,OFFSET($AG$2,,,COUNTIF($AG$2:$AG$50,"?*"),23),14,FALSE)&lt;&gt;0,VLOOKUP(J34,OFFSET($AG$2,,,COUNTIF($AG$2:$AG$50,"?*"),23),14,FALSE),"?"),"")</f>
        <v>2013</v>
      </c>
      <c r="R36" s="435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3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4"/>
        <v/>
      </c>
      <c r="AV36" s="127" t="str">
        <f t="shared" si="25"/>
        <v/>
      </c>
      <c r="AW36" s="128" t="str">
        <f t="shared" si="26"/>
        <v/>
      </c>
      <c r="AX36" s="129" t="str">
        <f t="shared" ca="1" si="27"/>
        <v/>
      </c>
      <c r="AY36" s="129" t="str">
        <f t="shared" ca="1" si="28"/>
        <v/>
      </c>
      <c r="AZ36" s="130"/>
      <c r="BA36" s="130"/>
      <c r="BB36" s="130"/>
      <c r="BC36" s="130"/>
      <c r="BD36" s="3" t="str">
        <f t="shared" si="29"/>
        <v/>
      </c>
      <c r="BE36" s="84" t="str">
        <f t="shared" ca="1" si="30"/>
        <v/>
      </c>
      <c r="BF36" s="62" t="str">
        <f t="shared" si="31"/>
        <v/>
      </c>
      <c r="BG36" s="3" t="str">
        <f t="shared" ca="1" si="32"/>
        <v/>
      </c>
      <c r="BH36" s="62" t="str">
        <f t="shared" ca="1" si="33"/>
        <v/>
      </c>
      <c r="BI36" s="3" t="str">
        <f t="shared" ca="1" si="34"/>
        <v/>
      </c>
      <c r="BJ36" s="62" t="str">
        <f t="shared" ca="1" si="35"/>
        <v/>
      </c>
      <c r="BK36" s="3" t="str">
        <f t="shared" ca="1" si="36"/>
        <v/>
      </c>
      <c r="BL36" s="62" t="str">
        <f t="shared" ca="1" si="37"/>
        <v/>
      </c>
      <c r="BM36" s="3" t="str">
        <f t="shared" ca="1" si="38"/>
        <v/>
      </c>
    </row>
    <row r="37" spans="1:65" ht="15" customHeight="1" thickTop="1" thickBot="1" x14ac:dyDescent="0.25">
      <c r="A37" s="451">
        <f ca="1">IFERROR(VLOOKUP(A34,OFFSET($S$45,,,COUNTIF($S$45:$S$50,"?*"),14),3,FALSE),"")</f>
        <v>377.11</v>
      </c>
      <c r="B37" s="452"/>
      <c r="C37" s="453">
        <f ca="1">IFERROR(VLOOKUP(A34,OFFSET($S$45,,,COUNTIF($S$45:$S$50,"?*"),14),13,FALSE),"")</f>
        <v>8.1143432950597969</v>
      </c>
      <c r="D37" s="454"/>
      <c r="E37" s="455" t="str">
        <f ca="1">IFERROR(VLOOKUP(A34,OFFSET($AG$2,,,COUNTIF($AG$2:$AG$50,"?*"),23),19,FALSE),"")</f>
        <v>44 OZ, 0 A</v>
      </c>
      <c r="F37" s="456"/>
      <c r="H37" s="457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3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4"/>
        <v/>
      </c>
      <c r="AV37" s="127" t="str">
        <f t="shared" si="25"/>
        <v/>
      </c>
      <c r="AW37" s="128" t="str">
        <f t="shared" si="26"/>
        <v/>
      </c>
      <c r="AX37" s="129" t="str">
        <f t="shared" ca="1" si="27"/>
        <v/>
      </c>
      <c r="AY37" s="129" t="str">
        <f t="shared" ca="1" si="28"/>
        <v/>
      </c>
      <c r="AZ37" s="130"/>
      <c r="BA37" s="130"/>
      <c r="BB37" s="130"/>
      <c r="BC37" s="130"/>
      <c r="BD37" s="89" t="str">
        <f t="shared" si="29"/>
        <v/>
      </c>
      <c r="BE37" s="91" t="str">
        <f t="shared" ca="1" si="30"/>
        <v/>
      </c>
      <c r="BF37" s="90" t="str">
        <f t="shared" si="31"/>
        <v/>
      </c>
      <c r="BG37" s="89" t="str">
        <f t="shared" ca="1" si="32"/>
        <v/>
      </c>
      <c r="BH37" s="90" t="str">
        <f t="shared" ca="1" si="33"/>
        <v/>
      </c>
      <c r="BI37" s="89" t="str">
        <f t="shared" ca="1" si="34"/>
        <v/>
      </c>
      <c r="BJ37" s="90" t="str">
        <f t="shared" ca="1" si="35"/>
        <v/>
      </c>
      <c r="BK37" s="89" t="str">
        <f t="shared" ca="1" si="36"/>
        <v/>
      </c>
      <c r="BL37" s="90" t="str">
        <f t="shared" ca="1" si="37"/>
        <v/>
      </c>
      <c r="BM37" s="89" t="str">
        <f t="shared" ca="1" si="38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>FTC Vysoké Mýto</v>
      </c>
      <c r="B38" s="447"/>
      <c r="C38" s="448"/>
      <c r="D38" s="449">
        <f ca="1">IFERROR(IF(VLOOKUP(A34,OFFSET($AG$2,,,COUNTIF($AG$2:$AG$50,"?*"),23),14,FALSE)&lt;&gt;0,VLOOKUP(A34,OFFSET($AG$2,,,COUNTIF($AG$2:$AG$50,"?*"),23),14,FALSE),"?"),"")</f>
        <v>2012</v>
      </c>
      <c r="E38" s="450"/>
      <c r="F38" s="19">
        <f ca="1">IFERROR(VLOOKUP(A34,OFFSET($S$45,,,COUNTIF($S$45:$S$50,"?*"),14),6,FALSE),"")</f>
        <v>0</v>
      </c>
      <c r="H38" s="457"/>
      <c r="J38" s="429" t="s">
        <v>112</v>
      </c>
      <c r="K38" s="430"/>
      <c r="L38" s="430"/>
      <c r="M38" s="430"/>
      <c r="N38" s="430"/>
      <c r="O38" s="430"/>
      <c r="P38" s="430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3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4"/>
        <v/>
      </c>
      <c r="AV38" s="127" t="str">
        <f t="shared" si="25"/>
        <v/>
      </c>
      <c r="AW38" s="128" t="str">
        <f t="shared" si="26"/>
        <v/>
      </c>
      <c r="AX38" s="129" t="str">
        <f t="shared" ca="1" si="27"/>
        <v/>
      </c>
      <c r="AY38" s="129" t="str">
        <f t="shared" ca="1" si="28"/>
        <v/>
      </c>
      <c r="AZ38" s="130"/>
      <c r="BA38" s="130"/>
      <c r="BB38" s="130"/>
      <c r="BC38" s="130"/>
      <c r="BD38" s="3" t="str">
        <f t="shared" si="29"/>
        <v/>
      </c>
      <c r="BE38" s="84" t="str">
        <f t="shared" ca="1" si="30"/>
        <v/>
      </c>
      <c r="BF38" s="62" t="str">
        <f t="shared" si="31"/>
        <v/>
      </c>
      <c r="BG38" s="3" t="str">
        <f t="shared" ca="1" si="32"/>
        <v/>
      </c>
      <c r="BH38" s="62" t="str">
        <f t="shared" ca="1" si="33"/>
        <v/>
      </c>
      <c r="BI38" s="3" t="str">
        <f t="shared" ca="1" si="34"/>
        <v/>
      </c>
      <c r="BJ38" s="62" t="str">
        <f t="shared" ca="1" si="35"/>
        <v/>
      </c>
      <c r="BK38" s="3" t="str">
        <f t="shared" ca="1" si="36"/>
        <v/>
      </c>
      <c r="BL38" s="62" t="str">
        <f t="shared" ca="1" si="37"/>
        <v/>
      </c>
      <c r="BM38" s="3" t="str">
        <f t="shared" ca="1" si="38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>P</v>
      </c>
      <c r="K39" s="423">
        <f ca="1">IFERROR(IF(VLOOKUP(J38,OFFSET($AG$2,,,COUNTIF($AG$2:$AG$50,"?*"),23),2,FALSE)&lt;&gt;0,YEAR(VLOOKUP(J38,OFFSET($AG$2,,,COUNTIF($AG$2:$AG$50,"?*"),23),2,FALSE)),""),"")</f>
        <v>2002</v>
      </c>
      <c r="L39" s="431"/>
      <c r="M39" s="150">
        <f ca="1">IFERROR(VLOOKUP(J38,OFFSET($AG$2,,,COUNTIF($AG$2:$AG$50,"?*"),23),15,FALSE),"")</f>
        <v>19</v>
      </c>
      <c r="N39" s="431" t="str">
        <f ca="1">IFERROR(VLOOKUP(J38,OFFSET($AG$2,,,COUNTIF($AG$2:$AG$50,"?*"),23),16,FALSE),"")</f>
        <v>? / ?</v>
      </c>
      <c r="O39" s="431"/>
      <c r="P39" s="431" t="str">
        <f ca="1">IFERROR(VLOOKUP(J38,OFFSET($AG$2,,,COUNTIF($AG$2:$AG$50,"?*"),23),18,FALSE),"")</f>
        <v>8 OZ, 0 (0+0), -4 ±</v>
      </c>
      <c r="Q39" s="431"/>
      <c r="R39" s="432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3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4"/>
        <v/>
      </c>
      <c r="AV39" s="127" t="str">
        <f t="shared" si="25"/>
        <v/>
      </c>
      <c r="AW39" s="128" t="str">
        <f t="shared" si="26"/>
        <v/>
      </c>
      <c r="AX39" s="129" t="str">
        <f t="shared" ca="1" si="27"/>
        <v/>
      </c>
      <c r="AY39" s="129" t="str">
        <f t="shared" ca="1" si="28"/>
        <v/>
      </c>
      <c r="AZ39" s="130"/>
      <c r="BA39" s="130"/>
      <c r="BB39" s="130"/>
      <c r="BC39" s="130"/>
      <c r="BD39" s="89" t="str">
        <f t="shared" si="29"/>
        <v/>
      </c>
      <c r="BE39" s="91" t="str">
        <f t="shared" ca="1" si="30"/>
        <v/>
      </c>
      <c r="BF39" s="90" t="str">
        <f t="shared" si="31"/>
        <v/>
      </c>
      <c r="BG39" s="89" t="str">
        <f t="shared" ca="1" si="32"/>
        <v/>
      </c>
      <c r="BH39" s="90" t="str">
        <f t="shared" ca="1" si="33"/>
        <v/>
      </c>
      <c r="BI39" s="89" t="str">
        <f t="shared" ca="1" si="34"/>
        <v/>
      </c>
      <c r="BJ39" s="90" t="str">
        <f t="shared" ca="1" si="35"/>
        <v/>
      </c>
      <c r="BK39" s="89" t="str">
        <f t="shared" ca="1" si="36"/>
        <v/>
      </c>
      <c r="BL39" s="90" t="str">
        <f t="shared" ca="1" si="37"/>
        <v/>
      </c>
      <c r="BM39" s="89" t="str">
        <f t="shared" ca="1" si="38"/>
        <v/>
      </c>
    </row>
    <row r="40" spans="1:65" ht="15" customHeight="1" thickTop="1" thickBot="1" x14ac:dyDescent="0.25">
      <c r="A40" s="429" t="s">
        <v>15</v>
      </c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457"/>
      <c r="J40" s="18">
        <f ca="1">IFERROR(IF(VLOOKUP(J38,OFFSET($AG$2,,,COUNTIF($AG$2:$AG$50,"?*"),23),7,FALSE)&lt;&gt;0,VLOOKUP(J38,OFFSET($AG$2,,,COUNTIF($AG$2:$AG$50,"?*"),23),7,FALSE),"?"),"")</f>
        <v>1</v>
      </c>
      <c r="K40" s="433" t="str">
        <f ca="1">IFERROR(VLOOKUP(J38,OFFSET($AG$2,,,COUNTIF($AG$2:$AG$50,"?*"),23),19,FALSE),"")</f>
        <v>8 OZ, 0 (0+0)</v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>Tatran Střešovice</v>
      </c>
      <c r="O40" s="434"/>
      <c r="P40" s="434"/>
      <c r="Q40" s="433" t="str">
        <f ca="1">IFERROR(IF(VLOOKUP(J38,OFFSET($AG$2,,,COUNTIF($AG$2:$AG$50,"?*"),23),14,FALSE)&lt;&gt;0,VLOOKUP(J38,OFFSET($AG$2,,,COUNTIF($AG$2:$AG$50,"?*"),23),14,FALSE),"?"),"")</f>
        <v>?</v>
      </c>
      <c r="R40" s="435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3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4"/>
        <v/>
      </c>
      <c r="AV40" s="127" t="str">
        <f t="shared" si="25"/>
        <v/>
      </c>
      <c r="AW40" s="128" t="str">
        <f t="shared" si="26"/>
        <v/>
      </c>
      <c r="AX40" s="129" t="str">
        <f t="shared" ca="1" si="27"/>
        <v/>
      </c>
      <c r="AY40" s="129" t="str">
        <f t="shared" ca="1" si="28"/>
        <v/>
      </c>
      <c r="AZ40" s="130"/>
      <c r="BA40" s="130"/>
      <c r="BB40" s="130"/>
      <c r="BC40" s="130"/>
      <c r="BD40" s="3" t="str">
        <f t="shared" si="29"/>
        <v/>
      </c>
      <c r="BE40" s="84" t="str">
        <f t="shared" ca="1" si="30"/>
        <v/>
      </c>
      <c r="BF40" s="62" t="str">
        <f t="shared" si="31"/>
        <v/>
      </c>
      <c r="BG40" s="3" t="str">
        <f t="shared" ca="1" si="32"/>
        <v/>
      </c>
      <c r="BH40" s="62" t="str">
        <f t="shared" ca="1" si="33"/>
        <v/>
      </c>
      <c r="BI40" s="3" t="str">
        <f t="shared" ca="1" si="34"/>
        <v/>
      </c>
      <c r="BJ40" s="62" t="str">
        <f t="shared" ca="1" si="35"/>
        <v/>
      </c>
      <c r="BK40" s="3" t="str">
        <f t="shared" ca="1" si="36"/>
        <v/>
      </c>
      <c r="BL40" s="62" t="str">
        <f t="shared" ca="1" si="37"/>
        <v/>
      </c>
      <c r="BM40" s="3" t="str">
        <f t="shared" ca="1" si="38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2">
        <f ca="1">IFERROR(IF(VLOOKUP(A40,OFFSET($AG$2,,,COUNTIF($AG$2:$AG$50,"?*"),23),2,FALSE)&lt;&gt;0,YEAR(VLOOKUP(A40,OFFSET($AG$2,,,COUNTIF($AG$2:$AG$50,"?*"),23),2,FALSE)),""),"")</f>
        <v>1996</v>
      </c>
      <c r="C41" s="423"/>
      <c r="D41" s="5">
        <f ca="1">IFERROR(VLOOKUP(A40,OFFSET($AG$2,,,COUNTIF($AG$2:$AG$50,"?*"),23),15,FALSE),"")</f>
        <v>25</v>
      </c>
      <c r="E41" s="424" t="str">
        <f ca="1">IFERROR(VLOOKUP(A40,OFFSET($AG$2,,,COUNTIF($AG$2:$AG$50,"?*"),23),16,FALSE),"")</f>
        <v>187/88</v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3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4"/>
        <v/>
      </c>
      <c r="AV41" s="127" t="str">
        <f t="shared" si="25"/>
        <v/>
      </c>
      <c r="AW41" s="128" t="str">
        <f t="shared" si="26"/>
        <v/>
      </c>
      <c r="AX41" s="129" t="str">
        <f t="shared" ca="1" si="27"/>
        <v/>
      </c>
      <c r="AY41" s="129" t="str">
        <f t="shared" ca="1" si="28"/>
        <v/>
      </c>
      <c r="AZ41" s="130"/>
      <c r="BA41" s="130"/>
      <c r="BB41" s="130"/>
      <c r="BC41" s="130"/>
      <c r="BD41" s="89" t="str">
        <f t="shared" si="29"/>
        <v/>
      </c>
      <c r="BE41" s="91" t="str">
        <f t="shared" ca="1" si="30"/>
        <v/>
      </c>
      <c r="BF41" s="90" t="str">
        <f t="shared" si="31"/>
        <v/>
      </c>
      <c r="BG41" s="89" t="str">
        <f t="shared" ca="1" si="32"/>
        <v/>
      </c>
      <c r="BH41" s="90" t="str">
        <f t="shared" ca="1" si="33"/>
        <v/>
      </c>
      <c r="BI41" s="89" t="str">
        <f t="shared" ca="1" si="34"/>
        <v/>
      </c>
      <c r="BJ41" s="90" t="str">
        <f t="shared" ca="1" si="35"/>
        <v/>
      </c>
      <c r="BK41" s="89" t="str">
        <f t="shared" ca="1" si="36"/>
        <v/>
      </c>
      <c r="BL41" s="90" t="str">
        <f t="shared" ca="1" si="37"/>
        <v/>
      </c>
      <c r="BM41" s="89" t="str">
        <f t="shared" ca="1" si="38"/>
        <v/>
      </c>
    </row>
    <row r="42" spans="1:65" ht="15" customHeight="1" thickTop="1" thickBot="1" x14ac:dyDescent="0.25">
      <c r="A42" s="16">
        <f ca="1">IFERROR(VLOOKUP(A40,OFFSET($S$45,,,COUNTIF($S$45:$S$50,"?*"),14),2,FALSE),"")</f>
        <v>5</v>
      </c>
      <c r="B42" s="426" t="str">
        <f ca="1">IFERROR(VLOOKUP(A40,OFFSET($AG$2,,,COUNTIF($AG$2:$AG$50,"?*"),23),18,FALSE),"")</f>
        <v>2 V, 3 P</v>
      </c>
      <c r="C42" s="426"/>
      <c r="D42" s="427">
        <f ca="1">IFERROR(VLOOKUP(A40,OFFSET($S$45,,,COUNTIF($S$45:$S$50,"?*"),14),5,FALSE),"")</f>
        <v>29</v>
      </c>
      <c r="E42" s="428"/>
      <c r="F42" s="17">
        <f ca="1">IFERROR(VLOOKUP(A40,OFFSET($S$45,,,COUNTIF($S$45:$S$50,"?*"),14),14,FALSE),"")</f>
        <v>68.817204301075279</v>
      </c>
      <c r="H42" s="457"/>
      <c r="J42" s="429" t="s">
        <v>8</v>
      </c>
      <c r="K42" s="430"/>
      <c r="L42" s="430"/>
      <c r="M42" s="430"/>
      <c r="N42" s="430"/>
      <c r="O42" s="430"/>
      <c r="P42" s="430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27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3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4"/>
        <v/>
      </c>
      <c r="AV42" s="127" t="str">
        <f t="shared" si="25"/>
        <v/>
      </c>
      <c r="AW42" s="128" t="str">
        <f t="shared" si="26"/>
        <v/>
      </c>
      <c r="AX42" s="129" t="str">
        <f t="shared" ca="1" si="27"/>
        <v/>
      </c>
      <c r="AY42" s="129" t="str">
        <f t="shared" ca="1" si="28"/>
        <v/>
      </c>
      <c r="AZ42" s="130"/>
      <c r="BA42" s="130"/>
      <c r="BB42" s="130"/>
      <c r="BC42" s="130"/>
      <c r="BD42" s="3" t="str">
        <f t="shared" si="29"/>
        <v/>
      </c>
      <c r="BE42" s="84" t="str">
        <f t="shared" ca="1" si="30"/>
        <v/>
      </c>
      <c r="BF42" s="62" t="str">
        <f t="shared" si="31"/>
        <v/>
      </c>
      <c r="BG42" s="3" t="str">
        <f t="shared" ca="1" si="32"/>
        <v/>
      </c>
      <c r="BH42" s="62" t="str">
        <f t="shared" ca="1" si="33"/>
        <v/>
      </c>
      <c r="BI42" s="3" t="str">
        <f t="shared" ca="1" si="34"/>
        <v/>
      </c>
      <c r="BJ42" s="62" t="str">
        <f t="shared" ca="1" si="35"/>
        <v/>
      </c>
      <c r="BK42" s="3" t="str">
        <f t="shared" ca="1" si="36"/>
        <v/>
      </c>
      <c r="BL42" s="62" t="str">
        <f t="shared" ca="1" si="37"/>
        <v/>
      </c>
      <c r="BM42" s="3" t="str">
        <f t="shared" ca="1" si="38"/>
        <v/>
      </c>
    </row>
    <row r="43" spans="1:65" ht="15" customHeight="1" thickBot="1" x14ac:dyDescent="0.25">
      <c r="A43" s="451">
        <f ca="1">IFERROR(VLOOKUP(A40,OFFSET($S$45,,,COUNTIF($S$45:$S$50,"?*"),14),3,FALSE),"")</f>
        <v>270.69</v>
      </c>
      <c r="B43" s="452"/>
      <c r="C43" s="453">
        <f ca="1">IFERROR(VLOOKUP(A40,OFFSET($S$45,,,COUNTIF($S$45:$S$50,"?*"),14),13,FALSE),"")</f>
        <v>6.4280172891499507</v>
      </c>
      <c r="D43" s="454"/>
      <c r="E43" s="455" t="str">
        <f ca="1">IFERROR(VLOOKUP(A40,OFFSET($AG$2,,,COUNTIF($AG$2:$AG$50,"?*"),23),19,FALSE),"")</f>
        <v>45 OZ, 2 A</v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>L</v>
      </c>
      <c r="K43" s="423">
        <f ca="1">IFERROR(IF(VLOOKUP(J42,OFFSET($AG$2,,,COUNTIF($AG$2:$AG$50,"?*"),23),2,FALSE)&lt;&gt;0,YEAR(VLOOKUP(J42,OFFSET($AG$2,,,COUNTIF($AG$2:$AG$50,"?*"),23),2,FALSE)),""),"")</f>
        <v>1993</v>
      </c>
      <c r="L43" s="431"/>
      <c r="M43" s="150">
        <f ca="1">IFERROR(VLOOKUP(J42,OFFSET($AG$2,,,COUNTIF($AG$2:$AG$50,"?*"),23),15,FALSE),"")</f>
        <v>28</v>
      </c>
      <c r="N43" s="431" t="str">
        <f ca="1">IFERROR(VLOOKUP(J42,OFFSET($AG$2,,,COUNTIF($AG$2:$AG$50,"?*"),23),16,FALSE),"")</f>
        <v>180/78</v>
      </c>
      <c r="O43" s="431"/>
      <c r="P43" s="431" t="str">
        <f ca="1">IFERROR(VLOOKUP(J42,OFFSET($AG$2,,,COUNTIF($AG$2:$AG$50,"?*"),23),18,FALSE),"")</f>
        <v>6 OZ, 2 (1+1), -1 ±</v>
      </c>
      <c r="Q43" s="431"/>
      <c r="R43" s="432"/>
      <c r="AG43" s="121"/>
      <c r="AH43" s="122"/>
      <c r="AI43" s="123"/>
      <c r="AJ43" s="123"/>
      <c r="AK43" s="123"/>
      <c r="AL43" s="124" t="str">
        <f t="shared" si="23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4"/>
        <v/>
      </c>
      <c r="AV43" s="127" t="str">
        <f t="shared" si="25"/>
        <v/>
      </c>
      <c r="AW43" s="128" t="str">
        <f t="shared" si="26"/>
        <v/>
      </c>
      <c r="AX43" s="129" t="str">
        <f t="shared" ca="1" si="27"/>
        <v/>
      </c>
      <c r="AY43" s="129" t="str">
        <f t="shared" ca="1" si="28"/>
        <v/>
      </c>
      <c r="AZ43" s="130"/>
      <c r="BA43" s="130"/>
      <c r="BB43" s="130"/>
      <c r="BC43" s="130"/>
      <c r="BD43" s="89" t="str">
        <f t="shared" si="29"/>
        <v/>
      </c>
      <c r="BE43" s="91" t="str">
        <f t="shared" ca="1" si="30"/>
        <v/>
      </c>
      <c r="BF43" s="90" t="str">
        <f t="shared" si="31"/>
        <v/>
      </c>
      <c r="BG43" s="89" t="str">
        <f t="shared" ca="1" si="32"/>
        <v/>
      </c>
      <c r="BH43" s="90" t="str">
        <f t="shared" ca="1" si="33"/>
        <v/>
      </c>
      <c r="BI43" s="89" t="str">
        <f t="shared" ca="1" si="34"/>
        <v/>
      </c>
      <c r="BJ43" s="90" t="str">
        <f t="shared" ca="1" si="35"/>
        <v/>
      </c>
      <c r="BK43" s="89" t="str">
        <f t="shared" ca="1" si="36"/>
        <v/>
      </c>
      <c r="BL43" s="90" t="str">
        <f t="shared" ca="1" si="37"/>
        <v/>
      </c>
      <c r="BM43" s="89" t="str">
        <f t="shared" ca="1" si="38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>Chodov</v>
      </c>
      <c r="B44" s="447"/>
      <c r="C44" s="448"/>
      <c r="D44" s="449">
        <f ca="1">IFERROR(IF(VLOOKUP(A40,OFFSET($AG$2,,,COUNTIF($AG$2:$AG$50,"?*"),23),14,FALSE)&lt;&gt;0,VLOOKUP(A40,OFFSET($AG$2,,,COUNTIF($AG$2:$AG$50,"?*"),23),14,FALSE),"?"),"")</f>
        <v>2008</v>
      </c>
      <c r="E44" s="450"/>
      <c r="F44" s="19">
        <f ca="1">IFERROR(VLOOKUP(A40,OFFSET($S$45,,,COUNTIF($S$45:$S$50,"?*"),14),6,FALSE),"")</f>
        <v>0</v>
      </c>
      <c r="H44" s="457"/>
      <c r="J44" s="18">
        <f ca="1">IFERROR(IF(VLOOKUP(J42,OFFSET($AG$2,,,COUNTIF($AG$2:$AG$50,"?*"),23),7,FALSE)&lt;&gt;0,VLOOKUP(J42,OFFSET($AG$2,,,COUNTIF($AG$2:$AG$50,"?*"),23),7,FALSE),"?"),"")</f>
        <v>8</v>
      </c>
      <c r="K44" s="433" t="str">
        <f ca="1">IFERROR(VLOOKUP(J42,OFFSET($AG$2,,,COUNTIF($AG$2:$AG$50,"?*"),23),19,FALSE),"")</f>
        <v>167 OZ, 141 (93+48)</v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>ASP Hr. Králové</v>
      </c>
      <c r="O44" s="434"/>
      <c r="P44" s="434"/>
      <c r="Q44" s="433">
        <f ca="1">IFERROR(IF(VLOOKUP(J42,OFFSET($AG$2,,,COUNTIF($AG$2:$AG$50,"?*"),23),14,FALSE)&lt;&gt;0,VLOOKUP(J42,OFFSET($AG$2,,,COUNTIF($AG$2:$AG$50,"?*"),23),14,FALSE),"?"),"")</f>
        <v>2007</v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3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4"/>
        <v/>
      </c>
      <c r="AV44" s="127" t="str">
        <f t="shared" si="25"/>
        <v/>
      </c>
      <c r="AW44" s="128" t="str">
        <f t="shared" si="26"/>
        <v/>
      </c>
      <c r="AX44" s="129" t="str">
        <f t="shared" ca="1" si="27"/>
        <v/>
      </c>
      <c r="AY44" s="129" t="str">
        <f t="shared" ca="1" si="28"/>
        <v/>
      </c>
      <c r="AZ44" s="130"/>
      <c r="BA44" s="130"/>
      <c r="BB44" s="130"/>
      <c r="BC44" s="130"/>
      <c r="BD44" s="3" t="str">
        <f t="shared" si="29"/>
        <v/>
      </c>
      <c r="BE44" s="84" t="str">
        <f t="shared" ca="1" si="30"/>
        <v/>
      </c>
      <c r="BF44" s="62" t="str">
        <f t="shared" si="31"/>
        <v/>
      </c>
      <c r="BG44" s="3" t="str">
        <f t="shared" ca="1" si="32"/>
        <v/>
      </c>
      <c r="BH44" s="62" t="str">
        <f t="shared" ca="1" si="33"/>
        <v/>
      </c>
      <c r="BI44" s="3" t="str">
        <f t="shared" ca="1" si="34"/>
        <v/>
      </c>
      <c r="BJ44" s="62" t="str">
        <f t="shared" ca="1" si="35"/>
        <v/>
      </c>
      <c r="BK44" s="3" t="str">
        <f t="shared" ca="1" si="36"/>
        <v/>
      </c>
      <c r="BL44" s="62" t="str">
        <f t="shared" ca="1" si="37"/>
        <v/>
      </c>
      <c r="BM44" s="3" t="str">
        <f t="shared" ca="1" si="38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110</v>
      </c>
      <c r="T45" s="102">
        <v>7</v>
      </c>
      <c r="U45" s="112">
        <v>377.11</v>
      </c>
      <c r="V45" s="102">
        <v>1</v>
      </c>
      <c r="W45" s="102">
        <v>51</v>
      </c>
      <c r="X45" s="102">
        <v>0</v>
      </c>
      <c r="Y45" s="102">
        <v>211</v>
      </c>
      <c r="Z45" s="102">
        <v>0</v>
      </c>
      <c r="AA45" s="102">
        <v>6</v>
      </c>
      <c r="AB45" s="102">
        <v>160</v>
      </c>
      <c r="AC45" s="102">
        <v>0</v>
      </c>
      <c r="AD45" s="102">
        <v>0</v>
      </c>
      <c r="AE45" s="112">
        <f>IF(S45&lt;&gt;"",IF(T45&gt;0,W45/(U45/60),0),"")</f>
        <v>8.1143432950597969</v>
      </c>
      <c r="AF45" s="112">
        <f>IF(S45&lt;&gt;"",IF(Y45&gt;0,(AB45/Y45)*100,"-"),"")</f>
        <v>75.829383886255926</v>
      </c>
      <c r="AG45" s="121"/>
      <c r="AH45" s="122"/>
      <c r="AI45" s="123"/>
      <c r="AJ45" s="123"/>
      <c r="AK45" s="123"/>
      <c r="AL45" s="124" t="str">
        <f t="shared" si="23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4"/>
        <v/>
      </c>
      <c r="AV45" s="127" t="str">
        <f t="shared" si="25"/>
        <v/>
      </c>
      <c r="AW45" s="128" t="str">
        <f t="shared" si="26"/>
        <v/>
      </c>
      <c r="AX45" s="129" t="str">
        <f t="shared" ca="1" si="27"/>
        <v/>
      </c>
      <c r="AY45" s="129" t="str">
        <f t="shared" ca="1" si="28"/>
        <v/>
      </c>
      <c r="AZ45" s="130"/>
      <c r="BA45" s="130"/>
      <c r="BB45" s="130"/>
      <c r="BC45" s="130"/>
      <c r="BD45" s="89" t="str">
        <f t="shared" si="29"/>
        <v/>
      </c>
      <c r="BE45" s="91" t="str">
        <f t="shared" ca="1" si="30"/>
        <v/>
      </c>
      <c r="BF45" s="90" t="str">
        <f t="shared" si="31"/>
        <v/>
      </c>
      <c r="BG45" s="89" t="str">
        <f t="shared" ca="1" si="32"/>
        <v/>
      </c>
      <c r="BH45" s="90" t="str">
        <f t="shared" ca="1" si="33"/>
        <v/>
      </c>
      <c r="BI45" s="89" t="str">
        <f t="shared" ca="1" si="34"/>
        <v/>
      </c>
      <c r="BJ45" s="90" t="str">
        <f t="shared" ca="1" si="35"/>
        <v/>
      </c>
      <c r="BK45" s="89" t="str">
        <f t="shared" ca="1" si="36"/>
        <v/>
      </c>
      <c r="BL45" s="90" t="str">
        <f t="shared" ca="1" si="37"/>
        <v/>
      </c>
      <c r="BM45" s="89" t="str">
        <f t="shared" ca="1" si="38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5</v>
      </c>
      <c r="U46" s="112">
        <v>270.69</v>
      </c>
      <c r="V46" s="102">
        <v>2</v>
      </c>
      <c r="W46" s="102">
        <v>29</v>
      </c>
      <c r="X46" s="102">
        <v>0</v>
      </c>
      <c r="Y46" s="102">
        <v>93</v>
      </c>
      <c r="Z46" s="102">
        <v>0</v>
      </c>
      <c r="AA46" s="102">
        <v>3</v>
      </c>
      <c r="AB46" s="102">
        <v>64</v>
      </c>
      <c r="AC46" s="102">
        <v>0</v>
      </c>
      <c r="AD46" s="102">
        <v>0</v>
      </c>
      <c r="AE46" s="112">
        <f t="shared" ref="AE46:AE50" si="39">IF(S46&lt;&gt;"",IF(T46&gt;0,W46/(U46/60),0),"")</f>
        <v>6.4280172891499507</v>
      </c>
      <c r="AF46" s="112">
        <f t="shared" ref="AF46:AF50" si="40">IF(S46&lt;&gt;"",IF(Y46&gt;0,(AB46/Y46)*100,"-"),"")</f>
        <v>68.817204301075279</v>
      </c>
      <c r="AG46" s="121"/>
      <c r="AH46" s="122"/>
      <c r="AI46" s="123"/>
      <c r="AJ46" s="123"/>
      <c r="AK46" s="123"/>
      <c r="AL46" s="124" t="str">
        <f t="shared" si="23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4"/>
        <v/>
      </c>
      <c r="AV46" s="127" t="str">
        <f t="shared" si="25"/>
        <v/>
      </c>
      <c r="AW46" s="128" t="str">
        <f t="shared" si="26"/>
        <v/>
      </c>
      <c r="AX46" s="129" t="str">
        <f t="shared" ca="1" si="27"/>
        <v/>
      </c>
      <c r="AY46" s="129" t="str">
        <f t="shared" ca="1" si="28"/>
        <v/>
      </c>
      <c r="AZ46" s="130"/>
      <c r="BA46" s="130"/>
      <c r="BB46" s="130"/>
      <c r="BC46" s="130"/>
      <c r="BD46" s="3" t="str">
        <f t="shared" si="29"/>
        <v/>
      </c>
      <c r="BE46" s="84" t="str">
        <f t="shared" ca="1" si="30"/>
        <v/>
      </c>
      <c r="BF46" s="62" t="str">
        <f t="shared" si="31"/>
        <v/>
      </c>
      <c r="BG46" s="3" t="str">
        <f t="shared" ca="1" si="32"/>
        <v/>
      </c>
      <c r="BH46" s="62" t="str">
        <f t="shared" ca="1" si="33"/>
        <v/>
      </c>
      <c r="BI46" s="3" t="str">
        <f t="shared" ca="1" si="34"/>
        <v/>
      </c>
      <c r="BJ46" s="62" t="str">
        <f t="shared" ca="1" si="35"/>
        <v/>
      </c>
      <c r="BK46" s="3" t="str">
        <f t="shared" ca="1" si="36"/>
        <v/>
      </c>
      <c r="BL46" s="62" t="str">
        <f t="shared" ca="1" si="37"/>
        <v/>
      </c>
      <c r="BM46" s="3" t="str">
        <f t="shared" ca="1" si="38"/>
        <v/>
      </c>
    </row>
    <row r="47" spans="1:65" ht="15" customHeight="1" thickTop="1" x14ac:dyDescent="0.2">
      <c r="A47" s="418" t="s">
        <v>20</v>
      </c>
      <c r="B47" s="419"/>
      <c r="C47" s="419"/>
      <c r="D47" s="419"/>
      <c r="E47" s="420" t="str">
        <f ca="1">IFERROR(VLOOKUP(A47,OFFSET($BN$2,,,COUNTIF($BN$2:$BN$11,"?*"),5),3,FALSE),"")</f>
        <v>trenér</v>
      </c>
      <c r="F47" s="420"/>
      <c r="G47" s="420"/>
      <c r="H47" s="420"/>
      <c r="I47" s="421"/>
      <c r="J47" s="418" t="s">
        <v>21</v>
      </c>
      <c r="K47" s="419"/>
      <c r="L47" s="419"/>
      <c r="M47" s="419"/>
      <c r="N47" s="420" t="str">
        <f ca="1">IFERROR(VLOOKUP(J47,OFFSET($BN$2,,,COUNTIF($BN$2:$BN$11,"?*"),5),3,FALSE),"")</f>
        <v>trenér</v>
      </c>
      <c r="O47" s="420"/>
      <c r="P47" s="420"/>
      <c r="Q47" s="420"/>
      <c r="R47" s="421"/>
      <c r="S47" s="111"/>
      <c r="U47" s="112"/>
      <c r="AE47" s="112" t="str">
        <f t="shared" si="39"/>
        <v/>
      </c>
      <c r="AF47" s="112" t="str">
        <f t="shared" si="40"/>
        <v/>
      </c>
      <c r="AG47" s="121"/>
      <c r="AH47" s="122"/>
      <c r="AI47" s="123"/>
      <c r="AJ47" s="123"/>
      <c r="AK47" s="123"/>
      <c r="AL47" s="124" t="str">
        <f t="shared" si="23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4"/>
        <v/>
      </c>
      <c r="AV47" s="127" t="str">
        <f t="shared" si="25"/>
        <v/>
      </c>
      <c r="AW47" s="128" t="str">
        <f t="shared" si="26"/>
        <v/>
      </c>
      <c r="AX47" s="129" t="str">
        <f t="shared" ca="1" si="27"/>
        <v/>
      </c>
      <c r="AY47" s="129" t="str">
        <f t="shared" ca="1" si="28"/>
        <v/>
      </c>
      <c r="AZ47" s="130"/>
      <c r="BA47" s="130"/>
      <c r="BB47" s="130"/>
      <c r="BC47" s="130"/>
      <c r="BD47" s="89" t="str">
        <f t="shared" si="29"/>
        <v/>
      </c>
      <c r="BE47" s="91" t="str">
        <f t="shared" ca="1" si="30"/>
        <v/>
      </c>
      <c r="BF47" s="90" t="str">
        <f t="shared" si="31"/>
        <v/>
      </c>
      <c r="BG47" s="89" t="str">
        <f t="shared" ca="1" si="32"/>
        <v/>
      </c>
      <c r="BH47" s="90" t="str">
        <f t="shared" ca="1" si="33"/>
        <v/>
      </c>
      <c r="BI47" s="89" t="str">
        <f t="shared" ca="1" si="34"/>
        <v/>
      </c>
      <c r="BJ47" s="90" t="str">
        <f t="shared" ca="1" si="35"/>
        <v/>
      </c>
      <c r="BK47" s="89" t="str">
        <f t="shared" ca="1" si="36"/>
        <v/>
      </c>
      <c r="BL47" s="90" t="str">
        <f t="shared" ca="1" si="37"/>
        <v/>
      </c>
      <c r="BM47" s="89" t="str">
        <f t="shared" ca="1" si="38"/>
        <v/>
      </c>
    </row>
    <row r="48" spans="1:65" ht="15" customHeight="1" thickBot="1" x14ac:dyDescent="0.25">
      <c r="A48" s="436">
        <f ca="1">IFERROR(VLOOKUP(A47,OFFSET($BN$2,,,COUNTIF($BN$2:$BN$11,"?*"),5),5,FALSE),"")</f>
        <v>38</v>
      </c>
      <c r="B48" s="438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438"/>
      <c r="D48" s="438"/>
      <c r="E48" s="438"/>
      <c r="F48" s="438"/>
      <c r="G48" s="438"/>
      <c r="H48" s="438"/>
      <c r="I48" s="439"/>
      <c r="J48" s="24">
        <f ca="1">IFERROR(VLOOKUP(J47,OFFSET($BN$2,,,COUNTIF($BN$2:$BN$11,"?*"),5),5,FALSE),"")</f>
        <v>35</v>
      </c>
      <c r="K48" s="442" t="str">
        <f ca="1">IFERROR(IF(VLOOKUP(J47,OFFSET($BN$2,,,COUNTIF($BN$2:$BN$11,"?*"),5),4,FALSE)&lt;&gt;0,VLOOKUP(J47,OFFSET($BN$2,,,COUNTIF($BN$2:$BN$11,"?*"),5),4,FALSE),"-"),"")</f>
        <v>2x mistr české ligy (Chodov)</v>
      </c>
      <c r="L48" s="442"/>
      <c r="M48" s="442"/>
      <c r="N48" s="442"/>
      <c r="O48" s="442"/>
      <c r="P48" s="442"/>
      <c r="Q48" s="442"/>
      <c r="R48" s="443"/>
      <c r="S48" s="111"/>
      <c r="U48" s="112"/>
      <c r="AE48" s="112" t="str">
        <f t="shared" si="39"/>
        <v/>
      </c>
      <c r="AF48" s="112" t="str">
        <f t="shared" si="40"/>
        <v/>
      </c>
      <c r="AG48" s="121"/>
      <c r="AH48" s="122"/>
      <c r="AI48" s="123"/>
      <c r="AJ48" s="123"/>
      <c r="AK48" s="123"/>
      <c r="AL48" s="124" t="str">
        <f t="shared" si="23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4"/>
        <v/>
      </c>
      <c r="AV48" s="127" t="str">
        <f t="shared" si="25"/>
        <v/>
      </c>
      <c r="AW48" s="128" t="str">
        <f t="shared" si="26"/>
        <v/>
      </c>
      <c r="AX48" s="129" t="str">
        <f t="shared" ca="1" si="27"/>
        <v/>
      </c>
      <c r="AY48" s="129" t="str">
        <f t="shared" ca="1" si="28"/>
        <v/>
      </c>
      <c r="AZ48" s="130"/>
      <c r="BA48" s="130"/>
      <c r="BB48" s="130"/>
      <c r="BC48" s="130"/>
      <c r="BD48" s="3" t="str">
        <f t="shared" si="29"/>
        <v/>
      </c>
      <c r="BE48" s="84" t="str">
        <f t="shared" ca="1" si="30"/>
        <v/>
      </c>
      <c r="BF48" s="62" t="str">
        <f t="shared" si="31"/>
        <v/>
      </c>
      <c r="BG48" s="3" t="str">
        <f t="shared" ca="1" si="32"/>
        <v/>
      </c>
      <c r="BH48" s="62" t="str">
        <f t="shared" ca="1" si="33"/>
        <v/>
      </c>
      <c r="BI48" s="3" t="str">
        <f t="shared" ca="1" si="34"/>
        <v/>
      </c>
      <c r="BJ48" s="62" t="str">
        <f t="shared" ca="1" si="35"/>
        <v/>
      </c>
      <c r="BK48" s="3" t="str">
        <f t="shared" ca="1" si="36"/>
        <v/>
      </c>
      <c r="BL48" s="62" t="str">
        <f t="shared" ca="1" si="37"/>
        <v/>
      </c>
      <c r="BM48" s="3" t="str">
        <f t="shared" ca="1" si="38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 t="s">
        <v>22</v>
      </c>
      <c r="K49" s="445"/>
      <c r="L49" s="445"/>
      <c r="M49" s="445"/>
      <c r="N49" s="420" t="str">
        <f ca="1">IFERROR(VLOOKUP(J49,OFFSET($BN$2,,,COUNTIF($BN$2:$BN$11,"?*"),5),3,FALSE),"")</f>
        <v>kondiční trenér</v>
      </c>
      <c r="O49" s="420"/>
      <c r="P49" s="420"/>
      <c r="Q49" s="420"/>
      <c r="R49" s="421"/>
      <c r="S49" s="111"/>
      <c r="U49" s="112"/>
      <c r="AE49" s="112" t="str">
        <f t="shared" si="39"/>
        <v/>
      </c>
      <c r="AF49" s="112" t="str">
        <f t="shared" si="40"/>
        <v/>
      </c>
      <c r="AG49" s="121"/>
      <c r="AH49" s="122"/>
      <c r="AI49" s="123"/>
      <c r="AJ49" s="123"/>
      <c r="AK49" s="123"/>
      <c r="AL49" s="124" t="str">
        <f t="shared" si="23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4"/>
        <v/>
      </c>
      <c r="AV49" s="127" t="str">
        <f t="shared" si="25"/>
        <v/>
      </c>
      <c r="AW49" s="128" t="str">
        <f t="shared" si="26"/>
        <v/>
      </c>
      <c r="AX49" s="129" t="str">
        <f t="shared" ca="1" si="27"/>
        <v/>
      </c>
      <c r="AY49" s="129" t="str">
        <f t="shared" ca="1" si="28"/>
        <v/>
      </c>
      <c r="AZ49" s="130"/>
      <c r="BA49" s="130"/>
      <c r="BB49" s="130"/>
      <c r="BC49" s="130"/>
      <c r="BD49" s="89" t="str">
        <f t="shared" si="29"/>
        <v/>
      </c>
      <c r="BE49" s="91" t="str">
        <f t="shared" ca="1" si="30"/>
        <v/>
      </c>
      <c r="BF49" s="90" t="str">
        <f t="shared" si="31"/>
        <v/>
      </c>
      <c r="BG49" s="89" t="str">
        <f t="shared" ca="1" si="32"/>
        <v/>
      </c>
      <c r="BH49" s="90" t="str">
        <f t="shared" ca="1" si="33"/>
        <v/>
      </c>
      <c r="BI49" s="89" t="str">
        <f t="shared" ca="1" si="34"/>
        <v/>
      </c>
      <c r="BJ49" s="90" t="str">
        <f t="shared" ca="1" si="35"/>
        <v/>
      </c>
      <c r="BK49" s="89" t="str">
        <f t="shared" ca="1" si="36"/>
        <v/>
      </c>
      <c r="BL49" s="90" t="str">
        <f t="shared" ca="1" si="37"/>
        <v/>
      </c>
      <c r="BM49" s="89" t="str">
        <f t="shared" ca="1" si="38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24">
        <f ca="1">IFERROR(VLOOKUP(J49,OFFSET($BN$2,,,COUNTIF($BN$2:$BN$11,"?*"),5),5,FALSE),"")</f>
        <v>31</v>
      </c>
      <c r="K50" s="442" t="str">
        <f ca="1">IFERROR(IF(VLOOKUP(J49,OFFSET($BN$2,,,COUNTIF($BN$2:$BN$11,"?*"),5),4,FALSE)&lt;&gt;0,VLOOKUP(J49,OFFSET($BN$2,,,COUNTIF($BN$2:$BN$11,"?*"),5),4,FALSE),"-"),"")</f>
        <v>postup do Tipsport superligy (hráč)</v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39"/>
        <v/>
      </c>
      <c r="AF50" s="112" t="str">
        <f t="shared" si="40"/>
        <v/>
      </c>
      <c r="AG50" s="121"/>
      <c r="AH50" s="122"/>
      <c r="AI50" s="123"/>
      <c r="AJ50" s="123"/>
      <c r="AK50" s="123"/>
      <c r="AL50" s="124" t="str">
        <f t="shared" si="23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4"/>
        <v/>
      </c>
      <c r="AV50" s="127" t="str">
        <f t="shared" si="25"/>
        <v/>
      </c>
      <c r="AW50" s="128" t="str">
        <f t="shared" si="26"/>
        <v/>
      </c>
      <c r="AX50" s="129" t="str">
        <f t="shared" ca="1" si="27"/>
        <v/>
      </c>
      <c r="AY50" s="129" t="str">
        <f t="shared" ca="1" si="28"/>
        <v/>
      </c>
      <c r="AZ50" s="130"/>
      <c r="BA50" s="130"/>
      <c r="BB50" s="130"/>
      <c r="BC50" s="130"/>
      <c r="BD50" s="3" t="str">
        <f t="shared" si="29"/>
        <v/>
      </c>
      <c r="BE50" s="84" t="str">
        <f t="shared" ca="1" si="30"/>
        <v/>
      </c>
      <c r="BF50" s="62" t="str">
        <f t="shared" si="31"/>
        <v/>
      </c>
      <c r="BG50" s="3" t="str">
        <f t="shared" ca="1" si="32"/>
        <v/>
      </c>
      <c r="BH50" s="62" t="str">
        <f t="shared" ca="1" si="33"/>
        <v/>
      </c>
      <c r="BI50" s="3" t="str">
        <f t="shared" ca="1" si="34"/>
        <v/>
      </c>
      <c r="BJ50" s="62" t="str">
        <f t="shared" ca="1" si="35"/>
        <v/>
      </c>
      <c r="BK50" s="3" t="str">
        <f t="shared" ca="1" si="36"/>
        <v/>
      </c>
      <c r="BL50" s="62" t="str">
        <f t="shared" ca="1" si="37"/>
        <v/>
      </c>
      <c r="BM50" s="3" t="str">
        <f t="shared" ca="1" si="38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6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6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6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6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/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3" t="s">
        <v>1</v>
      </c>
      <c r="I1" s="463"/>
      <c r="J1" s="463"/>
      <c r="K1" s="463"/>
      <c r="M1" s="429"/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2" t="str">
        <f ca="1">IFERROR(IF(VLOOKUP(A1,OFFSET($AG$2,,,COUNTIF($AG$2:$AG$50,"?*"),23),2,FALSE)&lt;&gt;0,YEAR(VLOOKUP(A1,OFFSET($AG$2,,,COUNTIF($AG$2:$AG$50,"?*"),23),2,FALSE)),""),"")</f>
        <v/>
      </c>
      <c r="C2" s="423"/>
      <c r="D2" s="117" t="str">
        <f ca="1">IFERROR(VLOOKUP(A1,OFFSET($AG$2,,,COUNTIF($AG$2:$AG$50,"?*"),23),15,FALSE),"")</f>
        <v/>
      </c>
      <c r="E2" s="424" t="str">
        <f ca="1">IFERROR(VLOOKUP(A1,OFFSET($AG$2,,,COUNTIF($AG$2:$AG$50,"?*"),23),16,FALSE),"")</f>
        <v/>
      </c>
      <c r="F2" s="425"/>
      <c r="M2" s="4" t="str">
        <f ca="1">IFERROR(IF(VLOOKUP(M1,OFFSET($AG$2,,,COUNTIF($AG$2:$AG$50,"?*"),23),10,FALSE)&lt;&gt;0,VLOOKUP(M1,OFFSET($AG$2,,,COUNTIF($AG$2:$AG$50,"?*"),23),10,FALSE),""),"")</f>
        <v/>
      </c>
      <c r="N2" s="422" t="str">
        <f ca="1">IFERROR(IF(VLOOKUP(M1,OFFSET($AG$2,,,COUNTIF($AG$2:$AG$50,"?*"),23),2,FALSE)&lt;&gt;0,YEAR(VLOOKUP(M1,OFFSET($AG$2,,,COUNTIF($AG$2:$AG$50,"?*"),23),2,FALSE)),""),"")</f>
        <v/>
      </c>
      <c r="O2" s="423"/>
      <c r="P2" s="117" t="str">
        <f ca="1">IFERROR(VLOOKUP(M1,OFFSET($AG$2,,,COUNTIF($AG$2:$AG$50,"?*"),23),15,FALSE),"")</f>
        <v/>
      </c>
      <c r="Q2" s="424" t="str">
        <f ca="1">IFERROR(VLOOKUP(M1,OFFSET($AG$2,,,COUNTIF($AG$2:$AG$50,"?*"),23),16,FALSE),"")</f>
        <v/>
      </c>
      <c r="R2" s="425"/>
      <c r="S2" s="110" t="s">
        <v>685</v>
      </c>
      <c r="T2" s="102" t="s">
        <v>107</v>
      </c>
      <c r="U2" s="102">
        <v>11</v>
      </c>
      <c r="V2" s="102">
        <v>16</v>
      </c>
      <c r="W2" s="102">
        <v>3</v>
      </c>
      <c r="X2" s="102">
        <v>0</v>
      </c>
      <c r="Y2" s="102">
        <v>8</v>
      </c>
      <c r="Z2" s="102">
        <v>24</v>
      </c>
      <c r="AA2" s="102">
        <v>6</v>
      </c>
      <c r="AB2" s="102">
        <v>13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679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4 (3+1), +1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17" t="s">
        <v>36</v>
      </c>
      <c r="BT2" s="104" t="s">
        <v>700</v>
      </c>
      <c r="BU2" s="103">
        <v>24</v>
      </c>
      <c r="BV2" s="104" t="str">
        <f>IFERROR(RIGHT(BT2,LEN(BT2)-SEARCH(" ",BT2)),"")</f>
        <v>Jakub Boček</v>
      </c>
      <c r="BW2" s="102">
        <f>IF(BT2&lt;&gt;0,_xlfn.NUMBERVALUE(BU2,","),"")</f>
        <v>24</v>
      </c>
      <c r="BX2" s="416" t="s">
        <v>192</v>
      </c>
      <c r="BY2" s="103" t="s">
        <v>861</v>
      </c>
      <c r="BZ2" s="103" t="s">
        <v>873</v>
      </c>
      <c r="CA2" s="115" t="s">
        <v>1158</v>
      </c>
    </row>
    <row r="3" spans="1:79" ht="15" customHeight="1" thickTop="1" thickBot="1" x14ac:dyDescent="0.25">
      <c r="A3" s="458" t="str">
        <f ca="1">IFERROR(VLOOKUP(A1,OFFSET($AG$2,,,COUNTIF($AG$2:$AG$50,"?*"),23),18,FALSE),"")</f>
        <v/>
      </c>
      <c r="B3" s="459"/>
      <c r="C3" s="459"/>
      <c r="D3" s="460" t="str">
        <f ca="1">IFERROR(VLOOKUP(A1,OFFSET($AG$2,,,COUNTIF($AG$2:$AG$50,"?*"),23),19,FALSE),"")</f>
        <v/>
      </c>
      <c r="E3" s="460"/>
      <c r="F3" s="461"/>
      <c r="G3" s="429"/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8" t="str">
        <f ca="1">IFERROR(VLOOKUP(M1,OFFSET($AG$2,,,COUNTIF($AG$2:$AG$50,"?*"),23),18,FALSE),"")</f>
        <v/>
      </c>
      <c r="N3" s="459"/>
      <c r="O3" s="459"/>
      <c r="P3" s="460" t="str">
        <f ca="1">IFERROR(VLOOKUP(M1,OFFSET($AG$2,,,COUNTIF($AG$2:$AG$50,"?*"),23),19,FALSE),"")</f>
        <v/>
      </c>
      <c r="Q3" s="460"/>
      <c r="R3" s="461"/>
      <c r="S3" s="110" t="s">
        <v>681</v>
      </c>
      <c r="T3" s="102" t="s">
        <v>107</v>
      </c>
      <c r="U3" s="102">
        <v>11</v>
      </c>
      <c r="V3" s="102">
        <v>10</v>
      </c>
      <c r="W3" s="102">
        <v>1</v>
      </c>
      <c r="X3" s="102">
        <v>0</v>
      </c>
      <c r="Y3" s="102">
        <v>7</v>
      </c>
      <c r="Z3" s="102">
        <v>17</v>
      </c>
      <c r="AA3" s="102">
        <v>0</v>
      </c>
      <c r="AB3" s="102">
        <v>2</v>
      </c>
      <c r="AC3" s="102" t="str">
        <f t="shared" ca="1" si="0"/>
        <v>ANO</v>
      </c>
      <c r="AG3" s="121" t="s">
        <v>685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11 OZ, 24 (16+8), +13 ±</v>
      </c>
      <c r="AY3" s="129" t="str">
        <f t="shared" ca="1" si="2"/>
        <v>11 OZ, 24 (16+8)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417"/>
      <c r="BT3" s="104" t="s">
        <v>1164</v>
      </c>
      <c r="BU3" s="103">
        <v>17</v>
      </c>
      <c r="BV3" s="104" t="str">
        <f t="shared" ref="BV3:BV31" si="14">IFERROR(RIGHT(BT3,LEN(BT3)-SEARCH(" ",BT3)),"")</f>
        <v>Tomáš Hanák</v>
      </c>
      <c r="BW3" s="102">
        <f t="shared" ref="BW3:BW31" si="15">IF(BT3&lt;&gt;0,_xlfn.NUMBERVALUE(BU3,","),"")</f>
        <v>17</v>
      </c>
      <c r="BX3" s="416"/>
      <c r="BY3" s="103" t="s">
        <v>841</v>
      </c>
      <c r="BZ3" s="103" t="s">
        <v>832</v>
      </c>
      <c r="CA3" s="115" t="s">
        <v>1159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/>
      </c>
      <c r="B4" s="447"/>
      <c r="C4" s="448"/>
      <c r="D4" s="449" t="str">
        <f ca="1">IFERROR(IF(VLOOKUP(A1,OFFSET($AG$2,,,COUNTIF($AG$2:$AG$50,"?*"),23),14,FALSE)&lt;&gt;0,VLOOKUP(A1,OFFSET($AG$2,,,COUNTIF($AG$2:$AG$50,"?*"),23),14,FALSE),"?"),"")</f>
        <v/>
      </c>
      <c r="E4" s="4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2" t="str">
        <f ca="1">IFERROR(IF(VLOOKUP(G3,OFFSET($AG$2,,,COUNTIF($AG$2:$AG$50,"?*"),23),2,FALSE)&lt;&gt;0,YEAR(VLOOKUP(G3,OFFSET($AG$2,,,COUNTIF($AG$2:$AG$50,"?*"),23),2,FALSE)),""),"")</f>
        <v/>
      </c>
      <c r="I4" s="423"/>
      <c r="J4" s="117" t="str">
        <f ca="1">IFERROR(VLOOKUP(G3,OFFSET($AG$2,,,COUNTIF($AG$2:$AG$50,"?*"),23),15,FALSE),"")</f>
        <v/>
      </c>
      <c r="K4" s="424" t="str">
        <f ca="1">IFERROR(VLOOKUP(G3,OFFSET($AG$2,,,COUNTIF($AG$2:$AG$50,"?*"),23),16,FALSE),"")</f>
        <v/>
      </c>
      <c r="L4" s="425"/>
      <c r="M4" s="446" t="str">
        <f ca="1">IFERROR(IF(VLOOKUP(M1,OFFSET($AG$2,,,COUNTIF($AG$2:$AG$50,"?*"),23),13,FALSE)&lt;&gt;0,VLOOKUP(M1,OFFSET($AG$2,,,COUNTIF($AG$2:$AG$50,"?*"),23),13,FALSE),"?"),"")</f>
        <v/>
      </c>
      <c r="N4" s="447"/>
      <c r="O4" s="448"/>
      <c r="P4" s="449" t="str">
        <f ca="1">IFERROR(IF(VLOOKUP(M1,OFFSET($AG$2,,,COUNTIF($AG$2:$AG$50,"?*"),23),14,FALSE)&lt;&gt;0,VLOOKUP(M1,OFFSET($AG$2,,,COUNTIF($AG$2:$AG$50,"?*"),23),14,FALSE),"?"),"")</f>
        <v/>
      </c>
      <c r="Q4" s="4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683</v>
      </c>
      <c r="T4" s="102" t="s">
        <v>107</v>
      </c>
      <c r="U4" s="102">
        <v>11</v>
      </c>
      <c r="V4" s="102">
        <v>6</v>
      </c>
      <c r="W4" s="102">
        <v>1</v>
      </c>
      <c r="X4" s="102">
        <v>0</v>
      </c>
      <c r="Y4" s="102">
        <v>9</v>
      </c>
      <c r="Z4" s="102">
        <v>15</v>
      </c>
      <c r="AA4" s="102">
        <v>6</v>
      </c>
      <c r="AB4" s="102">
        <v>16</v>
      </c>
      <c r="AC4" s="102" t="str">
        <f t="shared" ca="1" si="0"/>
        <v>ANO</v>
      </c>
      <c r="AG4" s="121" t="s">
        <v>683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11 OZ, 15 (6+9), +16 ±</v>
      </c>
      <c r="AY4" s="129" t="str">
        <f t="shared" ca="1" si="2"/>
        <v>11 OZ, 15 (6+9)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417"/>
      <c r="BT4" s="104" t="s">
        <v>1165</v>
      </c>
      <c r="BU4" s="103">
        <v>15</v>
      </c>
      <c r="BV4" s="104" t="str">
        <f t="shared" si="14"/>
        <v>Matěj Boček</v>
      </c>
      <c r="BW4" s="102">
        <f t="shared" si="15"/>
        <v>15</v>
      </c>
      <c r="BX4" s="416"/>
      <c r="BY4" s="103" t="s">
        <v>853</v>
      </c>
      <c r="BZ4" s="103" t="s">
        <v>833</v>
      </c>
      <c r="CA4" s="115" t="s">
        <v>825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/>
      </c>
      <c r="H5" s="459"/>
      <c r="I5" s="459"/>
      <c r="J5" s="460" t="str">
        <f ca="1">IFERROR(VLOOKUP(G3,OFFSET($AG$2,,,COUNTIF($AG$2:$AG$50,"?*"),23),19,FALSE),"")</f>
        <v/>
      </c>
      <c r="K5" s="460"/>
      <c r="L5" s="461"/>
      <c r="R5" s="13"/>
      <c r="S5" s="110" t="s">
        <v>678</v>
      </c>
      <c r="U5" s="102">
        <v>10</v>
      </c>
      <c r="V5" s="102">
        <v>8</v>
      </c>
      <c r="W5" s="102">
        <v>4</v>
      </c>
      <c r="X5" s="102">
        <v>0</v>
      </c>
      <c r="Y5" s="102">
        <v>6</v>
      </c>
      <c r="Z5" s="102">
        <v>14</v>
      </c>
      <c r="AA5" s="102">
        <v>6</v>
      </c>
      <c r="AB5" s="102">
        <v>10</v>
      </c>
      <c r="AC5" s="102" t="str">
        <f t="shared" ca="1" si="0"/>
        <v>ANO</v>
      </c>
      <c r="AG5" s="121" t="s">
        <v>682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8 OZ, 3 (1+2), +1 ±</v>
      </c>
      <c r="AY5" s="129" t="str">
        <f t="shared" ca="1" si="2"/>
        <v>8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417"/>
      <c r="BT5" s="104" t="s">
        <v>762</v>
      </c>
      <c r="BU5" s="103">
        <v>14</v>
      </c>
      <c r="BV5" s="104" t="str">
        <f t="shared" si="14"/>
        <v>Jakub Hromada</v>
      </c>
      <c r="BW5" s="102">
        <f t="shared" si="15"/>
        <v>14</v>
      </c>
      <c r="BX5" s="416"/>
      <c r="BY5" s="103" t="s">
        <v>852</v>
      </c>
      <c r="BZ5" s="103" t="s">
        <v>835</v>
      </c>
      <c r="CA5" s="115" t="s">
        <v>813</v>
      </c>
    </row>
    <row r="6" spans="1:79" ht="15" customHeight="1" thickTop="1" thickBot="1" x14ac:dyDescent="0.25">
      <c r="A6" s="429"/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6" t="str">
        <f ca="1">IFERROR(IF(VLOOKUP(G3,OFFSET($AG$2,,,COUNTIF($AG$2:$AG$50,"?*"),23),13,FALSE)&lt;&gt;0,VLOOKUP(G3,OFFSET($AG$2,,,COUNTIF($AG$2:$AG$50,"?*"),23),13,FALSE),"?"),"")</f>
        <v/>
      </c>
      <c r="H6" s="447"/>
      <c r="I6" s="448"/>
      <c r="J6" s="449" t="str">
        <f ca="1">IFERROR(IF(VLOOKUP(G3,OFFSET($AG$2,,,COUNTIF($AG$2:$AG$50,"?*"),23),14,FALSE)&lt;&gt;0,VLOOKUP(G3,OFFSET($AG$2,,,COUNTIF($AG$2:$AG$50,"?*"),23),14,FALSE),"?"),"")</f>
        <v/>
      </c>
      <c r="K6" s="450"/>
      <c r="L6" s="7" t="str">
        <f ca="1">IFERROR(IF(VLOOKUP(G3,OFFSET($AG$2,,,COUNTIF($AG$2:$AG$50,"?*"),23),7,FALSE)&lt;&gt;0,VLOOKUP(G3,OFFSET($AG$2,,,COUNTIF($AG$2:$AG$50,"?*"),23),7,FALSE),"?"),"")</f>
        <v/>
      </c>
      <c r="M6" s="429"/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684</v>
      </c>
      <c r="T6" s="102" t="s">
        <v>107</v>
      </c>
      <c r="U6" s="102">
        <v>11</v>
      </c>
      <c r="V6" s="102">
        <v>5</v>
      </c>
      <c r="W6" s="102">
        <v>0</v>
      </c>
      <c r="X6" s="102">
        <v>0</v>
      </c>
      <c r="Y6" s="102">
        <v>5</v>
      </c>
      <c r="Z6" s="102">
        <v>10</v>
      </c>
      <c r="AA6" s="102">
        <v>6</v>
      </c>
      <c r="AB6" s="102">
        <v>1</v>
      </c>
      <c r="AC6" s="102" t="str">
        <f t="shared" ca="1" si="0"/>
        <v>ANO</v>
      </c>
      <c r="AG6" s="121" t="s">
        <v>680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10 OZ, 5 (3+2), +4 ±</v>
      </c>
      <c r="AY6" s="129" t="str">
        <f t="shared" ca="1" si="2"/>
        <v>10 OZ, 5 (3+2)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417"/>
      <c r="BT6" s="104" t="s">
        <v>1166</v>
      </c>
      <c r="BU6" s="103">
        <v>10</v>
      </c>
      <c r="BV6" s="104" t="str">
        <f t="shared" si="14"/>
        <v>Radek Hanák</v>
      </c>
      <c r="BW6" s="102">
        <f t="shared" si="15"/>
        <v>10</v>
      </c>
      <c r="BX6" s="416"/>
      <c r="BY6" s="103" t="s">
        <v>1141</v>
      </c>
      <c r="BZ6" s="103" t="s">
        <v>834</v>
      </c>
      <c r="CA6" s="115" t="s">
        <v>635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2" t="str">
        <f ca="1">IFERROR(IF(VLOOKUP(A6,OFFSET($AG$2,,,COUNTIF($AG$2:$AG$50,"?*"),23),2,FALSE)&lt;&gt;0,YEAR(VLOOKUP(A6,OFFSET($AG$2,,,COUNTIF($AG$2:$AG$50,"?*"),23),2,FALSE)),""),"")</f>
        <v/>
      </c>
      <c r="C7" s="423"/>
      <c r="D7" s="117" t="str">
        <f ca="1">IFERROR(VLOOKUP(A6,OFFSET($AG$2,,,COUNTIF($AG$2:$AG$50,"?*"),23),15,FALSE),"")</f>
        <v/>
      </c>
      <c r="E7" s="424" t="str">
        <f ca="1">IFERROR(VLOOKUP(A6,OFFSET($AG$2,,,COUNTIF($AG$2:$AG$50,"?*"),23),16,FALSE),"")</f>
        <v/>
      </c>
      <c r="F7" s="425"/>
      <c r="M7" s="4" t="str">
        <f ca="1">IFERROR(IF(VLOOKUP(M6,OFFSET($AG$2,,,COUNTIF($AG$2:$AG$50,"?*"),23),10,FALSE)&lt;&gt;0,VLOOKUP(M6,OFFSET($AG$2,,,COUNTIF($AG$2:$AG$50,"?*"),23),10,FALSE),""),"")</f>
        <v/>
      </c>
      <c r="N7" s="422" t="str">
        <f ca="1">IFERROR(IF(VLOOKUP(M6,OFFSET($AG$2,,,COUNTIF($AG$2:$AG$50,"?*"),23),2,FALSE)&lt;&gt;0,YEAR(VLOOKUP(M6,OFFSET($AG$2,,,COUNTIF($AG$2:$AG$50,"?*"),23),2,FALSE)),""),"")</f>
        <v/>
      </c>
      <c r="O7" s="423"/>
      <c r="P7" s="117" t="str">
        <f ca="1">IFERROR(VLOOKUP(M6,OFFSET($AG$2,,,COUNTIF($AG$2:$AG$50,"?*"),23),15,FALSE),"")</f>
        <v/>
      </c>
      <c r="Q7" s="424" t="str">
        <f ca="1">IFERROR(VLOOKUP(M6,OFFSET($AG$2,,,COUNTIF($AG$2:$AG$50,"?*"),23),16,FALSE),"")</f>
        <v/>
      </c>
      <c r="R7" s="425"/>
      <c r="S7" s="110" t="s">
        <v>689</v>
      </c>
      <c r="T7" s="102" t="s">
        <v>107</v>
      </c>
      <c r="U7" s="102">
        <v>11</v>
      </c>
      <c r="V7" s="102">
        <v>3</v>
      </c>
      <c r="W7" s="102">
        <v>0</v>
      </c>
      <c r="X7" s="102">
        <v>0</v>
      </c>
      <c r="Y7" s="102">
        <v>7</v>
      </c>
      <c r="Z7" s="102">
        <v>10</v>
      </c>
      <c r="AA7" s="102">
        <v>2</v>
      </c>
      <c r="AB7" s="102">
        <v>-4</v>
      </c>
      <c r="AC7" s="102" t="str">
        <f t="shared" ca="1" si="0"/>
        <v>ANO</v>
      </c>
      <c r="AG7" s="121" t="s">
        <v>691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11 OZ, 2 (2+0), -13 ±</v>
      </c>
      <c r="AY7" s="129" t="str">
        <f t="shared" ca="1" si="2"/>
        <v>11 OZ, 2 (2+0)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417" t="s">
        <v>40</v>
      </c>
      <c r="BT7" s="104" t="s">
        <v>698</v>
      </c>
      <c r="BU7" s="103" t="s">
        <v>1167</v>
      </c>
      <c r="BV7" s="104" t="str">
        <f t="shared" si="14"/>
        <v>Ondřej Matiášek</v>
      </c>
      <c r="BW7" s="112">
        <f t="shared" si="15"/>
        <v>4.5</v>
      </c>
      <c r="BX7" s="416" t="s">
        <v>193</v>
      </c>
      <c r="BY7" s="103" t="s">
        <v>972</v>
      </c>
      <c r="BZ7" s="103" t="s">
        <v>837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/>
      </c>
      <c r="B8" s="459"/>
      <c r="C8" s="459"/>
      <c r="D8" s="460" t="str">
        <f ca="1">IFERROR(VLOOKUP(A6,OFFSET($AG$2,,,COUNTIF($AG$2:$AG$50,"?*"),23),19,FALSE),"")</f>
        <v/>
      </c>
      <c r="E8" s="460"/>
      <c r="F8" s="461"/>
      <c r="H8" s="462" t="s">
        <v>91</v>
      </c>
      <c r="I8" s="462"/>
      <c r="J8" s="462"/>
      <c r="K8" s="462"/>
      <c r="M8" s="458" t="str">
        <f ca="1">IFERROR(VLOOKUP(M6,OFFSET($AG$2,,,COUNTIF($AG$2:$AG$50,"?*"),23),18,FALSE),"")</f>
        <v/>
      </c>
      <c r="N8" s="459"/>
      <c r="O8" s="459"/>
      <c r="P8" s="460" t="str">
        <f ca="1">IFERROR(VLOOKUP(M6,OFFSET($AG$2,,,COUNTIF($AG$2:$AG$50,"?*"),23),19,FALSE),"")</f>
        <v/>
      </c>
      <c r="Q8" s="460"/>
      <c r="R8" s="461"/>
      <c r="S8" s="110" t="s">
        <v>687</v>
      </c>
      <c r="T8" s="102" t="s">
        <v>58</v>
      </c>
      <c r="U8" s="102">
        <v>10</v>
      </c>
      <c r="V8" s="102">
        <v>5</v>
      </c>
      <c r="W8" s="102">
        <v>0</v>
      </c>
      <c r="X8" s="102">
        <v>0</v>
      </c>
      <c r="Y8" s="102">
        <v>3</v>
      </c>
      <c r="Z8" s="102">
        <v>8</v>
      </c>
      <c r="AA8" s="102">
        <v>0</v>
      </c>
      <c r="AB8" s="102">
        <v>14</v>
      </c>
      <c r="AC8" s="102" t="str">
        <f t="shared" ca="1" si="0"/>
        <v>ANO</v>
      </c>
      <c r="AG8" s="121" t="s">
        <v>684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11 OZ, 10 (5+5), +1 ±</v>
      </c>
      <c r="AY8" s="129" t="str">
        <f t="shared" ca="1" si="2"/>
        <v>11 OZ, 10 (5+5)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417"/>
      <c r="BT8" s="104" t="s">
        <v>699</v>
      </c>
      <c r="BU8" s="103" t="s">
        <v>1168</v>
      </c>
      <c r="BV8" s="104" t="str">
        <f t="shared" si="14"/>
        <v>Daniel Körber</v>
      </c>
      <c r="BW8" s="112">
        <f t="shared" si="15"/>
        <v>7.27</v>
      </c>
      <c r="BX8" s="416"/>
      <c r="BY8" s="103" t="s">
        <v>1160</v>
      </c>
      <c r="BZ8" s="103" t="s">
        <v>842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/>
      </c>
      <c r="B9" s="447"/>
      <c r="C9" s="448"/>
      <c r="D9" s="449" t="str">
        <f ca="1">IFERROR(IF(VLOOKUP(A6,OFFSET($AG$2,,,COUNTIF($AG$2:$AG$50,"?*"),23),14,FALSE)&lt;&gt;0,VLOOKUP(A6,OFFSET($AG$2,,,COUNTIF($AG$2:$AG$50,"?*"),23),14,FALSE),"?"),"")</f>
        <v/>
      </c>
      <c r="E9" s="450"/>
      <c r="F9" s="7" t="str">
        <f ca="1">IFERROR(IF(VLOOKUP(A6,OFFSET($AG$2,,,COUNTIF($AG$2:$AG$50,"?*"),23),7,FALSE)&lt;&gt;0,VLOOKUP(A6,OFFSET($AG$2,,,COUNTIF($AG$2:$AG$50,"?*"),23),7,FALSE),"?"),"")</f>
        <v/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/>
      </c>
      <c r="N9" s="447"/>
      <c r="O9" s="448"/>
      <c r="P9" s="449" t="str">
        <f ca="1">IFERROR(IF(VLOOKUP(M6,OFFSET($AG$2,,,COUNTIF($AG$2:$AG$50,"?*"),23),14,FALSE)&lt;&gt;0,VLOOKUP(M6,OFFSET($AG$2,,,COUNTIF($AG$2:$AG$50,"?*"),23),14,FALSE),"?"),"")</f>
        <v/>
      </c>
      <c r="Q9" s="4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763</v>
      </c>
      <c r="U9" s="102">
        <v>8</v>
      </c>
      <c r="V9" s="102">
        <v>3</v>
      </c>
      <c r="W9" s="102">
        <v>0</v>
      </c>
      <c r="X9" s="102">
        <v>0</v>
      </c>
      <c r="Y9" s="102">
        <v>3</v>
      </c>
      <c r="Z9" s="102">
        <v>6</v>
      </c>
      <c r="AA9" s="102">
        <v>2</v>
      </c>
      <c r="AB9" s="102">
        <v>-3</v>
      </c>
      <c r="AC9" s="102" t="str">
        <f t="shared" ca="1" si="0"/>
        <v>NE</v>
      </c>
      <c r="AG9" s="121" t="s">
        <v>681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11 OZ, 17 (10+7), +2 ±</v>
      </c>
      <c r="AY9" s="129" t="str">
        <f t="shared" ca="1" si="2"/>
        <v>11 OZ, 17 (10+7)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417"/>
      <c r="BV9" s="104" t="str">
        <f t="shared" si="14"/>
        <v/>
      </c>
      <c r="BW9" s="112" t="str">
        <f t="shared" si="15"/>
        <v/>
      </c>
      <c r="BX9" s="416"/>
      <c r="BY9" s="103" t="s">
        <v>1143</v>
      </c>
      <c r="BZ9" s="103" t="s">
        <v>859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680</v>
      </c>
      <c r="T10" s="102" t="s">
        <v>107</v>
      </c>
      <c r="U10" s="102">
        <v>10</v>
      </c>
      <c r="V10" s="102">
        <v>3</v>
      </c>
      <c r="W10" s="102">
        <v>0</v>
      </c>
      <c r="X10" s="102">
        <v>0</v>
      </c>
      <c r="Y10" s="102">
        <v>2</v>
      </c>
      <c r="Z10" s="102">
        <v>5</v>
      </c>
      <c r="AA10" s="102">
        <v>8</v>
      </c>
      <c r="AB10" s="102">
        <v>4</v>
      </c>
      <c r="AC10" s="102" t="str">
        <f t="shared" ca="1" si="0"/>
        <v>ANO</v>
      </c>
      <c r="AG10" s="121" t="s">
        <v>678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10 OZ, 14 (8+6), +10 ±</v>
      </c>
      <c r="AY10" s="129" t="str">
        <f t="shared" ca="1" si="2"/>
        <v>10 OZ, 14 (8+6)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417"/>
      <c r="BV10" s="104" t="str">
        <f t="shared" si="14"/>
        <v/>
      </c>
      <c r="BW10" s="112" t="str">
        <f t="shared" si="15"/>
        <v/>
      </c>
      <c r="BX10" s="416"/>
      <c r="BY10" s="103" t="s">
        <v>1161</v>
      </c>
      <c r="BZ10" s="103" t="s">
        <v>871</v>
      </c>
      <c r="CA10" s="115" t="s">
        <v>188</v>
      </c>
    </row>
    <row r="11" spans="1:79" ht="15" customHeight="1" thickTop="1" thickBot="1" x14ac:dyDescent="0.25">
      <c r="R11" s="13"/>
      <c r="S11" s="110" t="s">
        <v>679</v>
      </c>
      <c r="T11" s="102" t="s">
        <v>58</v>
      </c>
      <c r="U11" s="102">
        <v>11</v>
      </c>
      <c r="V11" s="102">
        <v>3</v>
      </c>
      <c r="W11" s="102">
        <v>2</v>
      </c>
      <c r="X11" s="102">
        <v>0</v>
      </c>
      <c r="Y11" s="102">
        <v>1</v>
      </c>
      <c r="Z11" s="102">
        <v>4</v>
      </c>
      <c r="AA11" s="102">
        <v>0</v>
      </c>
      <c r="AB11" s="102">
        <v>1</v>
      </c>
      <c r="AC11" s="102" t="str">
        <f t="shared" ca="1" si="0"/>
        <v>ANO</v>
      </c>
      <c r="AG11" s="121" t="s">
        <v>696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9 OZ, 1 (1+0), -6 ±</v>
      </c>
      <c r="AY11" s="129" t="str">
        <f t="shared" ca="1" si="2"/>
        <v>9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417"/>
      <c r="BV11" s="104" t="str">
        <f t="shared" si="14"/>
        <v/>
      </c>
      <c r="BW11" s="112" t="str">
        <f t="shared" si="15"/>
        <v/>
      </c>
      <c r="BX11" s="416"/>
      <c r="BY11" s="103" t="s">
        <v>1162</v>
      </c>
      <c r="BZ11" s="103" t="s">
        <v>858</v>
      </c>
      <c r="CA11" s="115" t="s">
        <v>188</v>
      </c>
    </row>
    <row r="12" spans="1:79" ht="15" customHeight="1" thickTop="1" thickBot="1" x14ac:dyDescent="0.25">
      <c r="A12" s="429"/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3" t="s">
        <v>7</v>
      </c>
      <c r="I12" s="463"/>
      <c r="J12" s="463"/>
      <c r="K12" s="463"/>
      <c r="M12" s="429"/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682</v>
      </c>
      <c r="T12" s="102" t="s">
        <v>58</v>
      </c>
      <c r="U12" s="102">
        <v>8</v>
      </c>
      <c r="V12" s="102">
        <v>1</v>
      </c>
      <c r="W12" s="102">
        <v>1</v>
      </c>
      <c r="X12" s="102">
        <v>0</v>
      </c>
      <c r="Y12" s="102">
        <v>2</v>
      </c>
      <c r="Z12" s="102">
        <v>3</v>
      </c>
      <c r="AA12" s="102">
        <v>0</v>
      </c>
      <c r="AB12" s="102">
        <v>1</v>
      </c>
      <c r="AC12" s="102" t="str">
        <f t="shared" ca="1" si="0"/>
        <v>ANO</v>
      </c>
      <c r="AG12" s="121" t="s">
        <v>694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2 V, 4 P</v>
      </c>
      <c r="AY12" s="129" t="str">
        <f t="shared" ca="1" si="2"/>
        <v>6 OZ, 1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417" t="s">
        <v>37</v>
      </c>
      <c r="BT12" s="104" t="s">
        <v>700</v>
      </c>
      <c r="BU12" s="103">
        <v>16</v>
      </c>
      <c r="BV12" s="104" t="str">
        <f t="shared" si="14"/>
        <v>Jakub Boček</v>
      </c>
      <c r="BW12" s="102">
        <f t="shared" si="15"/>
        <v>16</v>
      </c>
      <c r="BX12" s="120" t="s">
        <v>191</v>
      </c>
      <c r="BY12" s="100" t="s">
        <v>1163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2" t="str">
        <f ca="1">IFERROR(IF(VLOOKUP(A12,OFFSET($AG$2,,,COUNTIF($AG$2:$AG$50,"?*"),23),2,FALSE)&lt;&gt;0,YEAR(VLOOKUP(A12,OFFSET($AG$2,,,COUNTIF($AG$2:$AG$50,"?*"),23),2,FALSE)),""),"")</f>
        <v/>
      </c>
      <c r="C13" s="423"/>
      <c r="D13" s="117" t="str">
        <f ca="1">IFERROR(VLOOKUP(A12,OFFSET($AG$2,,,COUNTIF($AG$2:$AG$50,"?*"),23),15,FALSE),"")</f>
        <v/>
      </c>
      <c r="E13" s="424" t="str">
        <f ca="1">IFERROR(VLOOKUP(A12,OFFSET($AG$2,,,COUNTIF($AG$2:$AG$50,"?*"),23),16,FALSE),"")</f>
        <v/>
      </c>
      <c r="F13" s="425"/>
      <c r="M13" s="4" t="str">
        <f ca="1">IFERROR(IF(VLOOKUP(M12,OFFSET($AG$2,,,COUNTIF($AG$2:$AG$50,"?*"),23),10,FALSE)&lt;&gt;0,VLOOKUP(M12,OFFSET($AG$2,,,COUNTIF($AG$2:$AG$50,"?*"),23),10,FALSE),""),"")</f>
        <v/>
      </c>
      <c r="N13" s="422" t="str">
        <f ca="1">IFERROR(IF(VLOOKUP(M12,OFFSET($AG$2,,,COUNTIF($AG$2:$AG$50,"?*"),23),2,FALSE)&lt;&gt;0,YEAR(VLOOKUP(M12,OFFSET($AG$2,,,COUNTIF($AG$2:$AG$50,"?*"),23),2,FALSE)),""),"")</f>
        <v/>
      </c>
      <c r="O13" s="423"/>
      <c r="P13" s="117" t="str">
        <f ca="1">IFERROR(VLOOKUP(M12,OFFSET($AG$2,,,COUNTIF($AG$2:$AG$50,"?*"),23),15,FALSE),"")</f>
        <v/>
      </c>
      <c r="Q13" s="424" t="str">
        <f ca="1">IFERROR(VLOOKUP(M12,OFFSET($AG$2,,,COUNTIF($AG$2:$AG$50,"?*"),23),16,FALSE),"")</f>
        <v/>
      </c>
      <c r="R13" s="425"/>
      <c r="S13" s="110" t="s">
        <v>691</v>
      </c>
      <c r="T13" s="102" t="s">
        <v>107</v>
      </c>
      <c r="U13" s="102">
        <v>11</v>
      </c>
      <c r="V13" s="102">
        <v>2</v>
      </c>
      <c r="W13" s="102">
        <v>1</v>
      </c>
      <c r="X13" s="102">
        <v>0</v>
      </c>
      <c r="Y13" s="102">
        <v>0</v>
      </c>
      <c r="Z13" s="102">
        <v>2</v>
      </c>
      <c r="AA13" s="102">
        <v>0</v>
      </c>
      <c r="AB13" s="102">
        <v>-13</v>
      </c>
      <c r="AC13" s="102" t="str">
        <f t="shared" ca="1" si="0"/>
        <v>ANO</v>
      </c>
      <c r="AG13" s="121" t="s">
        <v>695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8 OZ, 0 (0+0), -10 ±</v>
      </c>
      <c r="AY13" s="129" t="str">
        <f t="shared" ca="1" si="2"/>
        <v>8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417"/>
      <c r="BT13" s="104" t="s">
        <v>1164</v>
      </c>
      <c r="BU13" s="103">
        <v>10</v>
      </c>
      <c r="BV13" s="104" t="str">
        <f t="shared" si="14"/>
        <v>Tomáš Hanák</v>
      </c>
      <c r="BW13" s="102">
        <f t="shared" si="15"/>
        <v>10</v>
      </c>
    </row>
    <row r="14" spans="1:79" ht="15" customHeight="1" thickTop="1" thickBot="1" x14ac:dyDescent="0.25">
      <c r="A14" s="458" t="str">
        <f ca="1">IFERROR(VLOOKUP(A12,OFFSET($AG$2,,,COUNTIF($AG$2:$AG$50,"?*"),23),18,FALSE),"")</f>
        <v/>
      </c>
      <c r="B14" s="459"/>
      <c r="C14" s="459"/>
      <c r="D14" s="460" t="str">
        <f ca="1">IFERROR(VLOOKUP(A12,OFFSET($AG$2,,,COUNTIF($AG$2:$AG$50,"?*"),23),19,FALSE),"")</f>
        <v/>
      </c>
      <c r="E14" s="460"/>
      <c r="F14" s="461"/>
      <c r="G14" s="429"/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8" t="str">
        <f ca="1">IFERROR(VLOOKUP(M12,OFFSET($AG$2,,,COUNTIF($AG$2:$AG$50,"?*"),23),18,FALSE),"")</f>
        <v/>
      </c>
      <c r="N14" s="459"/>
      <c r="O14" s="459"/>
      <c r="P14" s="460" t="str">
        <f ca="1">IFERROR(VLOOKUP(M12,OFFSET($AG$2,,,COUNTIF($AG$2:$AG$50,"?*"),23),19,FALSE),"")</f>
        <v/>
      </c>
      <c r="Q14" s="460"/>
      <c r="R14" s="461"/>
      <c r="S14" s="110" t="s">
        <v>765</v>
      </c>
      <c r="T14" s="102" t="s">
        <v>107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-1</v>
      </c>
      <c r="AC14" s="102" t="str">
        <f t="shared" ca="1" si="0"/>
        <v>NE</v>
      </c>
      <c r="AG14" s="121" t="s">
        <v>692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5 V, 2 P</v>
      </c>
      <c r="AY14" s="129" t="str">
        <f t="shared" ca="1" si="2"/>
        <v>7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417"/>
      <c r="BT14" s="104" t="s">
        <v>1169</v>
      </c>
      <c r="BU14" s="103">
        <v>8</v>
      </c>
      <c r="BV14" s="104" t="str">
        <f t="shared" si="14"/>
        <v>Jakub Hromada</v>
      </c>
      <c r="BW14" s="102">
        <f t="shared" si="15"/>
        <v>8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/>
      </c>
      <c r="B15" s="447"/>
      <c r="C15" s="448"/>
      <c r="D15" s="449" t="str">
        <f ca="1">IFERROR(IF(VLOOKUP(A12,OFFSET($AG$2,,,COUNTIF($AG$2:$AG$50,"?*"),23),14,FALSE)&lt;&gt;0,VLOOKUP(A12,OFFSET($AG$2,,,COUNTIF($AG$2:$AG$50,"?*"),23),14,FALSE),"?"),"")</f>
        <v/>
      </c>
      <c r="E15" s="4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2" t="str">
        <f ca="1">IFERROR(IF(VLOOKUP(G14,OFFSET($AG$2,,,COUNTIF($AG$2:$AG$50,"?*"),23),2,FALSE)&lt;&gt;0,YEAR(VLOOKUP(G14,OFFSET($AG$2,,,COUNTIF($AG$2:$AG$50,"?*"),23),2,FALSE)),""),"")</f>
        <v/>
      </c>
      <c r="I15" s="423"/>
      <c r="J15" s="117" t="str">
        <f ca="1">IFERROR(VLOOKUP(G14,OFFSET($AG$2,,,COUNTIF($AG$2:$AG$50,"?*"),23),15,FALSE),"")</f>
        <v/>
      </c>
      <c r="K15" s="424" t="str">
        <f ca="1">IFERROR(VLOOKUP(G14,OFFSET($AG$2,,,COUNTIF($AG$2:$AG$50,"?*"),23),16,FALSE),"")</f>
        <v/>
      </c>
      <c r="L15" s="425"/>
      <c r="M15" s="446" t="str">
        <f ca="1">IFERROR(IF(VLOOKUP(M12,OFFSET($AG$2,,,COUNTIF($AG$2:$AG$50,"?*"),23),13,FALSE)&lt;&gt;0,VLOOKUP(M12,OFFSET($AG$2,,,COUNTIF($AG$2:$AG$50,"?*"),23),13,FALSE),"?"),"")</f>
        <v/>
      </c>
      <c r="N15" s="447"/>
      <c r="O15" s="448"/>
      <c r="P15" s="449" t="str">
        <f ca="1">IFERROR(IF(VLOOKUP(M12,OFFSET($AG$2,,,COUNTIF($AG$2:$AG$50,"?*"),23),14,FALSE)&lt;&gt;0,VLOOKUP(M12,OFFSET($AG$2,,,COUNTIF($AG$2:$AG$50,"?*"),23),14,FALSE),"?"),"")</f>
        <v/>
      </c>
      <c r="Q15" s="4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690</v>
      </c>
      <c r="T15" s="102" t="s">
        <v>107</v>
      </c>
      <c r="U15" s="102">
        <v>8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4</v>
      </c>
      <c r="AB15" s="102">
        <v>12</v>
      </c>
      <c r="AC15" s="102" t="str">
        <f t="shared" ca="1" si="0"/>
        <v>ANO</v>
      </c>
      <c r="AG15" s="121" t="s">
        <v>693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4 OZ, 0 (0+0), -3 ±</v>
      </c>
      <c r="AY15" s="129" t="str">
        <f t="shared" ca="1" si="2"/>
        <v>4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417"/>
      <c r="BT15" s="104" t="s">
        <v>845</v>
      </c>
      <c r="BU15" s="103">
        <v>6</v>
      </c>
      <c r="BV15" s="104" t="str">
        <f t="shared" si="14"/>
        <v>Matěj Boček</v>
      </c>
      <c r="BW15" s="102">
        <f t="shared" si="15"/>
        <v>6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/>
      </c>
      <c r="H16" s="459"/>
      <c r="I16" s="459"/>
      <c r="J16" s="460" t="str">
        <f ca="1">IFERROR(VLOOKUP(G14,OFFSET($AG$2,,,COUNTIF($AG$2:$AG$50,"?*"),23),19,FALSE),"")</f>
        <v/>
      </c>
      <c r="K16" s="460"/>
      <c r="L16" s="461"/>
      <c r="R16" s="13"/>
      <c r="S16" s="110" t="s">
        <v>686</v>
      </c>
      <c r="T16" s="102" t="s">
        <v>107</v>
      </c>
      <c r="U16" s="102">
        <v>11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10</v>
      </c>
      <c r="AB16" s="102">
        <v>-11</v>
      </c>
      <c r="AC16" s="102" t="str">
        <f t="shared" ca="1" si="0"/>
        <v>ANO</v>
      </c>
      <c r="AG16" s="121" t="s">
        <v>690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8 OZ, 2 (0+2), +12 ±</v>
      </c>
      <c r="AY16" s="129" t="str">
        <f t="shared" ca="1" si="2"/>
        <v>8 OZ, 2 (0+2)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417"/>
      <c r="BT16" s="104" t="s">
        <v>1170</v>
      </c>
      <c r="BU16" s="103">
        <v>5</v>
      </c>
      <c r="BV16" s="104" t="str">
        <f t="shared" si="14"/>
        <v>Martin Obuškevič</v>
      </c>
      <c r="BW16" s="102">
        <f t="shared" si="15"/>
        <v>5</v>
      </c>
    </row>
    <row r="17" spans="1:75" ht="15" customHeight="1" thickTop="1" thickBot="1" x14ac:dyDescent="0.25">
      <c r="A17" s="429"/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6" t="str">
        <f ca="1">IFERROR(IF(VLOOKUP(G14,OFFSET($AG$2,,,COUNTIF($AG$2:$AG$50,"?*"),23),13,FALSE)&lt;&gt;0,VLOOKUP(G14,OFFSET($AG$2,,,COUNTIF($AG$2:$AG$50,"?*"),23),13,FALSE),"?"),"")</f>
        <v/>
      </c>
      <c r="H17" s="447"/>
      <c r="I17" s="448"/>
      <c r="J17" s="449" t="str">
        <f ca="1">IFERROR(IF(VLOOKUP(G14,OFFSET($AG$2,,,COUNTIF($AG$2:$AG$50,"?*"),23),14,FALSE)&lt;&gt;0,VLOOKUP(G14,OFFSET($AG$2,,,COUNTIF($AG$2:$AG$50,"?*"),23),14,FALSE),"?"),"")</f>
        <v/>
      </c>
      <c r="K17" s="450"/>
      <c r="L17" s="7" t="str">
        <f ca="1">IFERROR(IF(VLOOKUP(G14,OFFSET($AG$2,,,COUNTIF($AG$2:$AG$50,"?*"),23),7,FALSE)&lt;&gt;0,VLOOKUP(G14,OFFSET($AG$2,,,COUNTIF($AG$2:$AG$50,"?*"),23),7,FALSE),"?"),"")</f>
        <v/>
      </c>
      <c r="M17" s="429"/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696</v>
      </c>
      <c r="T17" s="102" t="s">
        <v>107</v>
      </c>
      <c r="U17" s="102">
        <v>9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686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11 OZ, 2 (0+2), -11 ±</v>
      </c>
      <c r="AY17" s="129" t="str">
        <f t="shared" ca="1" si="2"/>
        <v>11 OZ, 2 (0+2)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417" t="s">
        <v>41</v>
      </c>
      <c r="BT17" s="104" t="s">
        <v>698</v>
      </c>
      <c r="BU17" s="103">
        <v>5</v>
      </c>
      <c r="BV17" s="104" t="str">
        <f t="shared" si="14"/>
        <v>Ondřej Matiášek</v>
      </c>
      <c r="BW17" s="102">
        <f t="shared" si="15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2" t="str">
        <f ca="1">IFERROR(IF(VLOOKUP(A17,OFFSET($AG$2,,,COUNTIF($AG$2:$AG$50,"?*"),23),2,FALSE)&lt;&gt;0,YEAR(VLOOKUP(A17,OFFSET($AG$2,,,COUNTIF($AG$2:$AG$50,"?*"),23),2,FALSE)),""),"")</f>
        <v/>
      </c>
      <c r="C18" s="423"/>
      <c r="D18" s="149" t="str">
        <f ca="1">IFERROR(VLOOKUP(A17,OFFSET($AG$2,,,COUNTIF($AG$2:$AG$50,"?*"),23),15,FALSE),"")</f>
        <v/>
      </c>
      <c r="E18" s="424" t="str">
        <f ca="1">IFERROR(VLOOKUP(A17,OFFSET($AG$2,,,COUNTIF($AG$2:$AG$50,"?*"),23),16,FALSE),"")</f>
        <v/>
      </c>
      <c r="F18" s="425"/>
      <c r="M18" s="4" t="str">
        <f ca="1">IFERROR(IF(VLOOKUP(M17,OFFSET($AG$2,,,COUNTIF($AG$2:$AG$50,"?*"),23),10,FALSE)&lt;&gt;0,VLOOKUP(M17,OFFSET($AG$2,,,COUNTIF($AG$2:$AG$50,"?*"),23),10,FALSE),""),"")</f>
        <v/>
      </c>
      <c r="N18" s="422" t="str">
        <f ca="1">IFERROR(IF(VLOOKUP(M17,OFFSET($AG$2,,,COUNTIF($AG$2:$AG$50,"?*"),23),2,FALSE)&lt;&gt;0,YEAR(VLOOKUP(M17,OFFSET($AG$2,,,COUNTIF($AG$2:$AG$50,"?*"),23),2,FALSE)),""),"")</f>
        <v/>
      </c>
      <c r="O18" s="423"/>
      <c r="P18" s="117" t="str">
        <f ca="1">IFERROR(VLOOKUP(M17,OFFSET($AG$2,,,COUNTIF($AG$2:$AG$50,"?*"),23),15,FALSE),"")</f>
        <v/>
      </c>
      <c r="Q18" s="424" t="str">
        <f ca="1">IFERROR(VLOOKUP(M17,OFFSET($AG$2,,,COUNTIF($AG$2:$AG$50,"?*"),23),16,FALSE),"")</f>
        <v/>
      </c>
      <c r="R18" s="425"/>
      <c r="S18" s="110" t="s">
        <v>694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0</v>
      </c>
      <c r="AC18" s="102" t="str">
        <f t="shared" ca="1" si="0"/>
        <v>ANO</v>
      </c>
      <c r="AG18" s="121" t="s">
        <v>687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10 OZ, 8 (5+3), +14 ±</v>
      </c>
      <c r="AY18" s="129" t="str">
        <f t="shared" ca="1" si="2"/>
        <v>10 OZ, 8 (5+3)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417"/>
      <c r="BT18" s="104" t="s">
        <v>699</v>
      </c>
      <c r="BU18" s="103">
        <v>2</v>
      </c>
      <c r="BV18" s="104" t="str">
        <f t="shared" si="14"/>
        <v>Daniel Körber</v>
      </c>
      <c r="BW18" s="102">
        <f t="shared" si="15"/>
        <v>2</v>
      </c>
    </row>
    <row r="19" spans="1:75" ht="15" customHeight="1" x14ac:dyDescent="0.2">
      <c r="A19" s="458" t="str">
        <f ca="1">IFERROR(VLOOKUP(A17,OFFSET($AG$2,,,COUNTIF($AG$2:$AG$50,"?*"),23),18,FALSE),"")</f>
        <v/>
      </c>
      <c r="B19" s="459"/>
      <c r="C19" s="459"/>
      <c r="D19" s="460" t="str">
        <f ca="1">IFERROR(VLOOKUP(A17,OFFSET($AG$2,,,COUNTIF($AG$2:$AG$50,"?*"),23),19,FALSE),"")</f>
        <v/>
      </c>
      <c r="E19" s="460"/>
      <c r="F19" s="461"/>
      <c r="H19" s="462" t="str">
        <f>H$8</f>
        <v>BA</v>
      </c>
      <c r="I19" s="462"/>
      <c r="J19" s="462"/>
      <c r="K19" s="462"/>
      <c r="M19" s="458" t="str">
        <f ca="1">IFERROR(VLOOKUP(M17,OFFSET($AG$2,,,COUNTIF($AG$2:$AG$50,"?*"),23),18,FALSE),"")</f>
        <v/>
      </c>
      <c r="N19" s="459"/>
      <c r="O19" s="459"/>
      <c r="P19" s="460" t="str">
        <f ca="1">IFERROR(VLOOKUP(M17,OFFSET($AG$2,,,COUNTIF($AG$2:$AG$50,"?*"),23),19,FALSE),"")</f>
        <v/>
      </c>
      <c r="Q19" s="460"/>
      <c r="R19" s="461"/>
      <c r="S19" s="110" t="s">
        <v>1156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689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11 OZ, 10 (3+7), -4 ±</v>
      </c>
      <c r="AY19" s="129" t="str">
        <f t="shared" ca="1" si="2"/>
        <v>11 OZ, 10 (3+7)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417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/>
      </c>
      <c r="B20" s="447"/>
      <c r="C20" s="448"/>
      <c r="D20" s="449" t="str">
        <f ca="1">IFERROR(IF(VLOOKUP(A17,OFFSET($AG$2,,,COUNTIF($AG$2:$AG$50,"?*"),23),14,FALSE)&lt;&gt;0,VLOOKUP(A17,OFFSET($AG$2,,,COUNTIF($AG$2:$AG$50,"?*"),23),14,FALSE),"?"),"")</f>
        <v/>
      </c>
      <c r="E20" s="450"/>
      <c r="F20" s="7" t="str">
        <f ca="1">IFERROR(IF(VLOOKUP(A17,OFFSET($AG$2,,,COUNTIF($AG$2:$AG$50,"?*"),23),7,FALSE)&lt;&gt;0,VLOOKUP(A17,OFFSET($AG$2,,,COUNTIF($AG$2:$AG$50,"?*"),23),7,FALSE),"?"),"")</f>
        <v/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/>
      </c>
      <c r="N20" s="447"/>
      <c r="O20" s="448"/>
      <c r="P20" s="449" t="str">
        <f ca="1">IFERROR(IF(VLOOKUP(M17,OFFSET($AG$2,,,COUNTIF($AG$2:$AG$50,"?*"),23),14,FALSE)&lt;&gt;0,VLOOKUP(M17,OFFSET($AG$2,,,COUNTIF($AG$2:$AG$50,"?*"),23),14,FALSE),"?"),"")</f>
        <v/>
      </c>
      <c r="Q20" s="4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1157</v>
      </c>
      <c r="T20" s="102" t="s">
        <v>58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688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6 OZ, 0 (0+0), +2 ±</v>
      </c>
      <c r="AY20" s="129" t="str">
        <f t="shared" ca="1" si="2"/>
        <v>6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417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693</v>
      </c>
      <c r="T21" s="102" t="s">
        <v>107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ANO</v>
      </c>
      <c r="AG21" s="121" t="s">
        <v>697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9 OZ, 0 (0+0), -2 ±</v>
      </c>
      <c r="AY21" s="129" t="str">
        <f t="shared" ca="1" si="2"/>
        <v>9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417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688</v>
      </c>
      <c r="T22" s="102" t="s">
        <v>58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417" t="s">
        <v>38</v>
      </c>
      <c r="BT22" s="104" t="s">
        <v>1171</v>
      </c>
      <c r="BU22" s="103">
        <v>9</v>
      </c>
      <c r="BV22" s="104" t="str">
        <f t="shared" si="14"/>
        <v>Matěj Boček</v>
      </c>
      <c r="BW22" s="102">
        <f t="shared" si="15"/>
        <v>9</v>
      </c>
    </row>
    <row r="23" spans="1:75" ht="15" customHeight="1" thickTop="1" thickBot="1" x14ac:dyDescent="0.25">
      <c r="A23" s="429"/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3" t="s">
        <v>13</v>
      </c>
      <c r="I23" s="463"/>
      <c r="J23" s="463"/>
      <c r="K23" s="463"/>
      <c r="M23" s="429"/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695</v>
      </c>
      <c r="T23" s="102" t="s">
        <v>107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-10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417"/>
      <c r="BT23" s="104" t="s">
        <v>844</v>
      </c>
      <c r="BU23" s="103">
        <v>8</v>
      </c>
      <c r="BV23" s="104" t="str">
        <f t="shared" si="14"/>
        <v>Jakub Boček</v>
      </c>
      <c r="BW23" s="102">
        <f t="shared" si="15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2" t="str">
        <f ca="1">IFERROR(IF(VLOOKUP(A23,OFFSET($AG$2,,,COUNTIF($AG$2:$AG$50,"?*"),23),2,FALSE)&lt;&gt;0,YEAR(VLOOKUP(A23,OFFSET($AG$2,,,COUNTIF($AG$2:$AG$50,"?*"),23),2,FALSE)),""),"")</f>
        <v/>
      </c>
      <c r="C24" s="423"/>
      <c r="D24" s="117" t="str">
        <f ca="1">IFERROR(VLOOKUP(A23,OFFSET($AG$2,,,COUNTIF($AG$2:$AG$50,"?*"),23),15,FALSE),"")</f>
        <v/>
      </c>
      <c r="E24" s="424" t="str">
        <f ca="1">IFERROR(VLOOKUP(A23,OFFSET($AG$2,,,COUNTIF($AG$2:$AG$50,"?*"),23),16,FALSE),"")</f>
        <v/>
      </c>
      <c r="F24" s="425"/>
      <c r="M24" s="4" t="str">
        <f ca="1">IFERROR(IF(VLOOKUP(M23,OFFSET($AG$2,,,COUNTIF($AG$2:$AG$50,"?*"),23),10,FALSE)&lt;&gt;0,VLOOKUP(M23,OFFSET($AG$2,,,COUNTIF($AG$2:$AG$50,"?*"),23),10,FALSE),""),"")</f>
        <v/>
      </c>
      <c r="N24" s="422" t="str">
        <f ca="1">IFERROR(IF(VLOOKUP(M23,OFFSET($AG$2,,,COUNTIF($AG$2:$AG$50,"?*"),23),2,FALSE)&lt;&gt;0,YEAR(VLOOKUP(M23,OFFSET($AG$2,,,COUNTIF($AG$2:$AG$50,"?*"),23),2,FALSE)),""),"")</f>
        <v/>
      </c>
      <c r="O24" s="423"/>
      <c r="P24" s="117" t="str">
        <f ca="1">IFERROR(VLOOKUP(M23,OFFSET($AG$2,,,COUNTIF($AG$2:$AG$50,"?*"),23),15,FALSE),"")</f>
        <v/>
      </c>
      <c r="Q24" s="424" t="str">
        <f ca="1">IFERROR(VLOOKUP(M23,OFFSET($AG$2,,,COUNTIF($AG$2:$AG$50,"?*"),23),16,FALSE),"")</f>
        <v/>
      </c>
      <c r="R24" s="425"/>
      <c r="S24" s="110" t="s">
        <v>764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-6</v>
      </c>
      <c r="AC24" s="102" t="str">
        <f t="shared" ca="1" si="16"/>
        <v>NE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417"/>
      <c r="BT24" s="104" t="s">
        <v>1172</v>
      </c>
      <c r="BU24" s="103">
        <v>7</v>
      </c>
      <c r="BV24" s="104" t="str">
        <f t="shared" si="14"/>
        <v>Jakub Renčín</v>
      </c>
      <c r="BW24" s="102">
        <f t="shared" si="15"/>
        <v>7</v>
      </c>
    </row>
    <row r="25" spans="1:75" ht="15" customHeight="1" thickTop="1" thickBot="1" x14ac:dyDescent="0.25">
      <c r="A25" s="458" t="str">
        <f ca="1">IFERROR(VLOOKUP(A23,OFFSET($AG$2,,,COUNTIF($AG$2:$AG$50,"?*"),23),18,FALSE),"")</f>
        <v/>
      </c>
      <c r="B25" s="459"/>
      <c r="C25" s="459"/>
      <c r="D25" s="460" t="str">
        <f ca="1">IFERROR(VLOOKUP(A23,OFFSET($AG$2,,,COUNTIF($AG$2:$AG$50,"?*"),23),19,FALSE),"")</f>
        <v/>
      </c>
      <c r="E25" s="460"/>
      <c r="F25" s="461"/>
      <c r="G25" s="429"/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8" t="str">
        <f ca="1">IFERROR(VLOOKUP(M23,OFFSET($AG$2,,,COUNTIF($AG$2:$AG$50,"?*"),23),18,FALSE),"")</f>
        <v/>
      </c>
      <c r="N25" s="459"/>
      <c r="O25" s="459"/>
      <c r="P25" s="460" t="str">
        <f ca="1">IFERROR(VLOOKUP(M23,OFFSET($AG$2,,,COUNTIF($AG$2:$AG$50,"?*"),23),19,FALSE),"")</f>
        <v/>
      </c>
      <c r="Q25" s="460"/>
      <c r="R25" s="461"/>
      <c r="S25" s="110" t="s">
        <v>697</v>
      </c>
      <c r="T25" s="102" t="s">
        <v>58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-2</v>
      </c>
      <c r="AC25" s="102" t="str">
        <f t="shared" ca="1" si="16"/>
        <v>ANO</v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417"/>
      <c r="BT25" s="104" t="s">
        <v>843</v>
      </c>
      <c r="BU25" s="103">
        <v>7</v>
      </c>
      <c r="BV25" s="104" t="str">
        <f t="shared" si="14"/>
        <v>Tomáš Hanák</v>
      </c>
      <c r="BW25" s="102">
        <f t="shared" si="15"/>
        <v>7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/>
      </c>
      <c r="B26" s="447"/>
      <c r="C26" s="448"/>
      <c r="D26" s="449" t="str">
        <f ca="1">IFERROR(IF(VLOOKUP(A23,OFFSET($AG$2,,,COUNTIF($AG$2:$AG$50,"?*"),23),14,FALSE)&lt;&gt;0,VLOOKUP(A23,OFFSET($AG$2,,,COUNTIF($AG$2:$AG$50,"?*"),23),14,FALSE),"?"),"")</f>
        <v/>
      </c>
      <c r="E26" s="4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2" t="str">
        <f ca="1">IFERROR(IF(VLOOKUP(G25,OFFSET($AG$2,,,COUNTIF($AG$2:$AG$50,"?*"),23),2,FALSE)&lt;&gt;0,YEAR(VLOOKUP(G25,OFFSET($AG$2,,,COUNTIF($AG$2:$AG$50,"?*"),23),2,FALSE)),""),"")</f>
        <v/>
      </c>
      <c r="I26" s="423"/>
      <c r="J26" s="117" t="str">
        <f ca="1">IFERROR(VLOOKUP(G25,OFFSET($AG$2,,,COUNTIF($AG$2:$AG$50,"?*"),23),15,FALSE),"")</f>
        <v/>
      </c>
      <c r="K26" s="424" t="str">
        <f ca="1">IFERROR(VLOOKUP(G25,OFFSET($AG$2,,,COUNTIF($AG$2:$AG$50,"?*"),23),16,FALSE),"")</f>
        <v/>
      </c>
      <c r="L26" s="425"/>
      <c r="M26" s="446" t="str">
        <f ca="1">IFERROR(IF(VLOOKUP(M23,OFFSET($AG$2,,,COUNTIF($AG$2:$AG$50,"?*"),23),13,FALSE)&lt;&gt;0,VLOOKUP(M23,OFFSET($AG$2,,,COUNTIF($AG$2:$AG$50,"?*"),23),13,FALSE),"?"),"")</f>
        <v/>
      </c>
      <c r="N26" s="447"/>
      <c r="O26" s="448"/>
      <c r="P26" s="449" t="str">
        <f ca="1">IFERROR(IF(VLOOKUP(M23,OFFSET($AG$2,,,COUNTIF($AG$2:$AG$50,"?*"),23),14,FALSE)&lt;&gt;0,VLOOKUP(M23,OFFSET($AG$2,,,COUNTIF($AG$2:$AG$50,"?*"),23),14,FALSE),"?"),"")</f>
        <v/>
      </c>
      <c r="Q26" s="45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692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16"/>
        <v>ANO</v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417"/>
      <c r="BT26" s="104" t="s">
        <v>807</v>
      </c>
      <c r="BU26" s="103">
        <v>6</v>
      </c>
      <c r="BV26" s="104" t="str">
        <f t="shared" si="14"/>
        <v>Jakub Hromada</v>
      </c>
      <c r="BW26" s="102">
        <f t="shared" si="15"/>
        <v>6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/>
      </c>
      <c r="H27" s="459"/>
      <c r="I27" s="459"/>
      <c r="J27" s="460" t="str">
        <f ca="1">IFERROR(VLOOKUP(G25,OFFSET($AG$2,,,COUNTIF($AG$2:$AG$50,"?*"),23),19,FALSE),"")</f>
        <v/>
      </c>
      <c r="K27" s="460"/>
      <c r="L27" s="461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417" t="s">
        <v>39</v>
      </c>
      <c r="BT27" s="104" t="s">
        <v>1173</v>
      </c>
      <c r="BU27" s="103">
        <v>10</v>
      </c>
      <c r="BV27" s="104" t="str">
        <f t="shared" si="14"/>
        <v>Vojtěch Novotný</v>
      </c>
      <c r="BW27" s="102">
        <f t="shared" si="15"/>
        <v>10</v>
      </c>
    </row>
    <row r="28" spans="1:75" ht="15" customHeight="1" thickTop="1" thickBot="1" x14ac:dyDescent="0.25">
      <c r="A28" s="429"/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6" t="str">
        <f ca="1">IFERROR(IF(VLOOKUP(G25,OFFSET($AG$2,,,COUNTIF($AG$2:$AG$50,"?*"),23),13,FALSE)&lt;&gt;0,VLOOKUP(G25,OFFSET($AG$2,,,COUNTIF($AG$2:$AG$50,"?*"),23),13,FALSE),"?"),"")</f>
        <v/>
      </c>
      <c r="H28" s="447"/>
      <c r="I28" s="448"/>
      <c r="J28" s="449" t="str">
        <f ca="1">IFERROR(IF(VLOOKUP(G25,OFFSET($AG$2,,,COUNTIF($AG$2:$AG$50,"?*"),23),14,FALSE)&lt;&gt;0,VLOOKUP(G25,OFFSET($AG$2,,,COUNTIF($AG$2:$AG$50,"?*"),23),14,FALSE),"?"),"")</f>
        <v/>
      </c>
      <c r="K28" s="450"/>
      <c r="L28" s="7" t="str">
        <f ca="1">IFERROR(IF(VLOOKUP(G25,OFFSET($AG$2,,,COUNTIF($AG$2:$AG$50,"?*"),23),7,FALSE)&lt;&gt;0,VLOOKUP(G25,OFFSET($AG$2,,,COUNTIF($AG$2:$AG$50,"?*"),23),7,FALSE),"?"),"")</f>
        <v/>
      </c>
      <c r="M28" s="429"/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417"/>
      <c r="BT28" s="104" t="s">
        <v>1174</v>
      </c>
      <c r="BU28" s="103">
        <v>8</v>
      </c>
      <c r="BV28" s="104" t="str">
        <f t="shared" si="14"/>
        <v>Matouš Burian</v>
      </c>
      <c r="BW28" s="102">
        <f t="shared" si="15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2" t="str">
        <f ca="1">IFERROR(IF(VLOOKUP(A28,OFFSET($AG$2,,,COUNTIF($AG$2:$AG$50,"?*"),23),2,FALSE)&lt;&gt;0,YEAR(VLOOKUP(A28,OFFSET($AG$2,,,COUNTIF($AG$2:$AG$50,"?*"),23),2,FALSE)),""),"")</f>
        <v/>
      </c>
      <c r="C29" s="423"/>
      <c r="D29" s="117" t="str">
        <f ca="1">IFERROR(VLOOKUP(A28,OFFSET($AG$2,,,COUNTIF($AG$2:$AG$50,"?*"),23),15,FALSE),"")</f>
        <v/>
      </c>
      <c r="E29" s="424" t="str">
        <f ca="1">IFERROR(VLOOKUP(A28,OFFSET($AG$2,,,COUNTIF($AG$2:$AG$50,"?*"),23),16,FALSE),"")</f>
        <v/>
      </c>
      <c r="F29" s="425"/>
      <c r="M29" s="4" t="str">
        <f ca="1">IFERROR(IF(VLOOKUP(M28,OFFSET($AG$2,,,COUNTIF($AG$2:$AG$50,"?*"),23),10,FALSE)&lt;&gt;0,VLOOKUP(M28,OFFSET($AG$2,,,COUNTIF($AG$2:$AG$50,"?*"),23),10,FALSE),""),"")</f>
        <v/>
      </c>
      <c r="N29" s="422" t="str">
        <f ca="1">IFERROR(IF(VLOOKUP(M28,OFFSET($AG$2,,,COUNTIF($AG$2:$AG$50,"?*"),23),2,FALSE)&lt;&gt;0,YEAR(VLOOKUP(M28,OFFSET($AG$2,,,COUNTIF($AG$2:$AG$50,"?*"),23),2,FALSE)),""),"")</f>
        <v/>
      </c>
      <c r="O29" s="423"/>
      <c r="P29" s="117" t="str">
        <f ca="1">IFERROR(VLOOKUP(M28,OFFSET($AG$2,,,COUNTIF($AG$2:$AG$50,"?*"),23),15,FALSE),"")</f>
        <v/>
      </c>
      <c r="Q29" s="424" t="str">
        <f ca="1">IFERROR(VLOOKUP(M28,OFFSET($AG$2,,,COUNTIF($AG$2:$AG$50,"?*"),23),16,FALSE),"")</f>
        <v/>
      </c>
      <c r="R29" s="425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417"/>
      <c r="BT29" s="104" t="s">
        <v>1175</v>
      </c>
      <c r="BU29" s="103">
        <v>6</v>
      </c>
      <c r="BV29" s="104" t="str">
        <f t="shared" si="14"/>
        <v>Jakub Boček</v>
      </c>
      <c r="BW29" s="102">
        <f t="shared" si="15"/>
        <v>6</v>
      </c>
    </row>
    <row r="30" spans="1:75" ht="15" customHeight="1" x14ac:dyDescent="0.2">
      <c r="A30" s="458" t="str">
        <f ca="1">IFERROR(VLOOKUP(A28,OFFSET($AG$2,,,COUNTIF($AG$2:$AG$50,"?*"),23),18,FALSE),"")</f>
        <v/>
      </c>
      <c r="B30" s="459"/>
      <c r="C30" s="459"/>
      <c r="D30" s="460" t="str">
        <f ca="1">IFERROR(VLOOKUP(A28,OFFSET($AG$2,,,COUNTIF($AG$2:$AG$50,"?*"),23),19,FALSE),"")</f>
        <v/>
      </c>
      <c r="E30" s="460"/>
      <c r="F30" s="461"/>
      <c r="H30" s="462" t="str">
        <f>H$8</f>
        <v>BA</v>
      </c>
      <c r="I30" s="462"/>
      <c r="J30" s="462"/>
      <c r="K30" s="462"/>
      <c r="M30" s="458" t="str">
        <f ca="1">IFERROR(VLOOKUP(M28,OFFSET($AG$2,,,COUNTIF($AG$2:$AG$50,"?*"),23),18,FALSE),"")</f>
        <v/>
      </c>
      <c r="N30" s="459"/>
      <c r="O30" s="459"/>
      <c r="P30" s="460" t="str">
        <f ca="1">IFERROR(VLOOKUP(M28,OFFSET($AG$2,,,COUNTIF($AG$2:$AG$50,"?*"),23),19,FALSE),"")</f>
        <v/>
      </c>
      <c r="Q30" s="460"/>
      <c r="R30" s="461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417"/>
      <c r="BT30" s="104" t="s">
        <v>762</v>
      </c>
      <c r="BU30" s="103">
        <v>6</v>
      </c>
      <c r="BV30" s="104" t="str">
        <f t="shared" si="14"/>
        <v>Jakub Hromada</v>
      </c>
      <c r="BW30" s="102">
        <f t="shared" si="15"/>
        <v>6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/>
      </c>
      <c r="B31" s="447"/>
      <c r="C31" s="448"/>
      <c r="D31" s="449" t="str">
        <f ca="1">IFERROR(IF(VLOOKUP(A28,OFFSET($AG$2,,,COUNTIF($AG$2:$AG$50,"?*"),23),14,FALSE)&lt;&gt;0,VLOOKUP(A28,OFFSET($AG$2,,,COUNTIF($AG$2:$AG$50,"?*"),23),14,FALSE),"?"),"")</f>
        <v/>
      </c>
      <c r="E31" s="450"/>
      <c r="F31" s="7" t="str">
        <f ca="1">IFERROR(IF(VLOOKUP(A28,OFFSET($AG$2,,,COUNTIF($AG$2:$AG$50,"?*"),23),7,FALSE)&lt;&gt;0,VLOOKUP(A28,OFFSET($AG$2,,,COUNTIF($AG$2:$AG$50,"?*"),23),7,FALSE),"?"),"")</f>
        <v/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/>
      </c>
      <c r="N31" s="447"/>
      <c r="O31" s="448"/>
      <c r="P31" s="449" t="str">
        <f ca="1">IFERROR(IF(VLOOKUP(M28,OFFSET($AG$2,,,COUNTIF($AG$2:$AG$50,"?*"),23),14,FALSE)&lt;&gt;0,VLOOKUP(M28,OFFSET($AG$2,,,COUNTIF($AG$2:$AG$50,"?*"),23),14,FALSE),"?"),"")</f>
        <v/>
      </c>
      <c r="Q31" s="4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417"/>
      <c r="BT31" s="104" t="s">
        <v>1176</v>
      </c>
      <c r="BU31" s="103">
        <v>6</v>
      </c>
      <c r="BV31" s="104" t="str">
        <f t="shared" si="14"/>
        <v>Matěj Boček</v>
      </c>
      <c r="BW31" s="102">
        <f t="shared" si="15"/>
        <v>6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429"/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7" t="s">
        <v>16</v>
      </c>
      <c r="J34" s="429"/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2" t="str">
        <f ca="1">IFERROR(IF(VLOOKUP(A34,OFFSET($AG$2,,,COUNTIF($AG$2:$AG$50,"?*"),23),2,FALSE)&lt;&gt;0,YEAR(VLOOKUP(A34,OFFSET($AG$2,,,COUNTIF($AG$2:$AG$50,"?*"),23),2,FALSE)),""),"")</f>
        <v/>
      </c>
      <c r="C35" s="423"/>
      <c r="D35" s="117" t="str">
        <f ca="1">IFERROR(VLOOKUP(A34,OFFSET($AG$2,,,COUNTIF($AG$2:$AG$50,"?*"),23),15,FALSE),"")</f>
        <v/>
      </c>
      <c r="E35" s="424" t="str">
        <f ca="1">IFERROR(VLOOKUP(A34,OFFSET($AG$2,,,COUNTIF($AG$2:$AG$50,"?*"),23),16,FALSE),"")</f>
        <v/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/>
      </c>
      <c r="K35" s="423" t="str">
        <f ca="1">IFERROR(IF(VLOOKUP(J34,OFFSET($AG$2,,,COUNTIF($AG$2:$AG$50,"?*"),23),2,FALSE)&lt;&gt;0,YEAR(VLOOKUP(J34,OFFSET($AG$2,,,COUNTIF($AG$2:$AG$50,"?*"),23),2,FALSE)),""),"")</f>
        <v/>
      </c>
      <c r="L35" s="431"/>
      <c r="M35" s="118" t="str">
        <f ca="1">IFERROR(VLOOKUP(J34,OFFSET($AG$2,,,COUNTIF($AG$2:$AG$50,"?*"),23),15,FALSE),"")</f>
        <v/>
      </c>
      <c r="N35" s="431" t="str">
        <f ca="1">IFERROR(VLOOKUP(J34,OFFSET($AG$2,,,COUNTIF($AG$2:$AG$50,"?*"),23),16,FALSE),"")</f>
        <v/>
      </c>
      <c r="O35" s="431"/>
      <c r="P35" s="431" t="str">
        <f ca="1">IFERROR(VLOOKUP(J34,OFFSET($AG$2,,,COUNTIF($AG$2:$AG$50,"?*"),23),18,FALSE),"")</f>
        <v/>
      </c>
      <c r="Q35" s="431"/>
      <c r="R35" s="432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6" t="str">
        <f ca="1">IFERROR(VLOOKUP(A34,OFFSET($AG$2,,,COUNTIF($AG$2:$AG$50,"?*"),23),18,FALSE),"")</f>
        <v/>
      </c>
      <c r="C36" s="426"/>
      <c r="D36" s="427" t="str">
        <f ca="1">IFERROR(VLOOKUP(A34,OFFSET($S$45,,,COUNTIF($S$45:$S$50,"?*"),14),5,FALSE),"")</f>
        <v/>
      </c>
      <c r="E36" s="428"/>
      <c r="F36" s="17" t="str">
        <f ca="1">IFERROR(VLOOKUP(A34,OFFSET($S$45,,,COUNTIF($S$45:$S$50,"?*"),14),14,FALSE),"")</f>
        <v/>
      </c>
      <c r="H36" s="457"/>
      <c r="J36" s="18" t="str">
        <f ca="1">IFERROR(IF(VLOOKUP(J34,OFFSET($AG$2,,,COUNTIF($AG$2:$AG$50,"?*"),23),7,FALSE)&lt;&gt;0,VLOOKUP(J34,OFFSET($AG$2,,,COUNTIF($AG$2:$AG$50,"?*"),23),7,FALSE),"?"),"")</f>
        <v/>
      </c>
      <c r="K36" s="433" t="str">
        <f ca="1">IFERROR(VLOOKUP(J34,OFFSET($AG$2,,,COUNTIF($AG$2:$AG$50,"?*"),23),19,FALSE),"")</f>
        <v/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/>
      </c>
      <c r="O36" s="434"/>
      <c r="P36" s="434"/>
      <c r="Q36" s="433" t="str">
        <f ca="1">IFERROR(IF(VLOOKUP(J34,OFFSET($AG$2,,,COUNTIF($AG$2:$AG$50,"?*"),23),14,FALSE)&lt;&gt;0,VLOOKUP(J34,OFFSET($AG$2,,,COUNTIF($AG$2:$AG$50,"?*"),23),14,FALSE),"?"),"")</f>
        <v/>
      </c>
      <c r="R36" s="435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451" t="str">
        <f ca="1">IFERROR(VLOOKUP(A34,OFFSET($S$45,,,COUNTIF($S$45:$S$50,"?*"),14),3,FALSE),"")</f>
        <v/>
      </c>
      <c r="B37" s="452"/>
      <c r="C37" s="453" t="str">
        <f ca="1">IFERROR(VLOOKUP(A34,OFFSET($S$45,,,COUNTIF($S$45:$S$50,"?*"),14),13,FALSE),"")</f>
        <v/>
      </c>
      <c r="D37" s="454"/>
      <c r="E37" s="455" t="str">
        <f ca="1">IFERROR(VLOOKUP(A34,OFFSET($AG$2,,,COUNTIF($AG$2:$AG$50,"?*"),23),19,FALSE),"")</f>
        <v/>
      </c>
      <c r="F37" s="456"/>
      <c r="H37" s="457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/>
      </c>
      <c r="B38" s="447"/>
      <c r="C38" s="448"/>
      <c r="D38" s="449" t="str">
        <f ca="1">IFERROR(IF(VLOOKUP(A34,OFFSET($AG$2,,,COUNTIF($AG$2:$AG$50,"?*"),23),14,FALSE)&lt;&gt;0,VLOOKUP(A34,OFFSET($AG$2,,,COUNTIF($AG$2:$AG$50,"?*"),23),14,FALSE),"?"),"")</f>
        <v/>
      </c>
      <c r="E38" s="450"/>
      <c r="F38" s="19" t="str">
        <f ca="1">IFERROR(VLOOKUP(A34,OFFSET($S$45,,,COUNTIF($S$45:$S$50,"?*"),14),6,FALSE),"")</f>
        <v/>
      </c>
      <c r="H38" s="457"/>
      <c r="J38" s="429"/>
      <c r="K38" s="430"/>
      <c r="L38" s="430"/>
      <c r="M38" s="430"/>
      <c r="N38" s="430"/>
      <c r="O38" s="430"/>
      <c r="P38" s="4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/>
      </c>
      <c r="K39" s="423" t="str">
        <f ca="1">IFERROR(IF(VLOOKUP(J38,OFFSET($AG$2,,,COUNTIF($AG$2:$AG$50,"?*"),23),2,FALSE)&lt;&gt;0,YEAR(VLOOKUP(J38,OFFSET($AG$2,,,COUNTIF($AG$2:$AG$50,"?*"),23),2,FALSE)),""),"")</f>
        <v/>
      </c>
      <c r="L39" s="431"/>
      <c r="M39" s="150" t="str">
        <f ca="1">IFERROR(VLOOKUP(J38,OFFSET($AG$2,,,COUNTIF($AG$2:$AG$50,"?*"),23),15,FALSE),"")</f>
        <v/>
      </c>
      <c r="N39" s="431" t="str">
        <f ca="1">IFERROR(VLOOKUP(J38,OFFSET($AG$2,,,COUNTIF($AG$2:$AG$50,"?*"),23),16,FALSE),"")</f>
        <v/>
      </c>
      <c r="O39" s="431"/>
      <c r="P39" s="431" t="str">
        <f ca="1">IFERROR(VLOOKUP(J38,OFFSET($AG$2,,,COUNTIF($AG$2:$AG$50,"?*"),23),18,FALSE),"")</f>
        <v/>
      </c>
      <c r="Q39" s="431"/>
      <c r="R39" s="432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429"/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7"/>
      <c r="J40" s="18" t="str">
        <f ca="1">IFERROR(IF(VLOOKUP(J38,OFFSET($AG$2,,,COUNTIF($AG$2:$AG$50,"?*"),23),7,FALSE)&lt;&gt;0,VLOOKUP(J38,OFFSET($AG$2,,,COUNTIF($AG$2:$AG$50,"?*"),23),7,FALSE),"?"),"")</f>
        <v/>
      </c>
      <c r="K40" s="433" t="str">
        <f ca="1">IFERROR(VLOOKUP(J38,OFFSET($AG$2,,,COUNTIF($AG$2:$AG$50,"?*"),23),19,FALSE),"")</f>
        <v/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/>
      </c>
      <c r="O40" s="434"/>
      <c r="P40" s="434"/>
      <c r="Q40" s="433" t="str">
        <f ca="1">IFERROR(IF(VLOOKUP(J38,OFFSET($AG$2,,,COUNTIF($AG$2:$AG$50,"?*"),23),14,FALSE)&lt;&gt;0,VLOOKUP(J38,OFFSET($AG$2,,,COUNTIF($AG$2:$AG$50,"?*"),23),14,FALSE),"?"),"")</f>
        <v/>
      </c>
      <c r="R40" s="435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2" t="str">
        <f ca="1">IFERROR(IF(VLOOKUP(A40,OFFSET($AG$2,,,COUNTIF($AG$2:$AG$50,"?*"),23),2,FALSE)&lt;&gt;0,YEAR(VLOOKUP(A40,OFFSET($AG$2,,,COUNTIF($AG$2:$AG$50,"?*"),23),2,FALSE)),""),"")</f>
        <v/>
      </c>
      <c r="C41" s="423"/>
      <c r="D41" s="117" t="str">
        <f ca="1">IFERROR(VLOOKUP(A40,OFFSET($AG$2,,,COUNTIF($AG$2:$AG$50,"?*"),23),15,FALSE),"")</f>
        <v/>
      </c>
      <c r="E41" s="424" t="str">
        <f ca="1">IFERROR(VLOOKUP(A40,OFFSET($AG$2,,,COUNTIF($AG$2:$AG$50,"?*"),23),16,FALSE),"")</f>
        <v/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6" t="str">
        <f ca="1">IFERROR(VLOOKUP(A40,OFFSET($AG$2,,,COUNTIF($AG$2:$AG$50,"?*"),23),18,FALSE),"")</f>
        <v/>
      </c>
      <c r="C42" s="426"/>
      <c r="D42" s="427" t="str">
        <f ca="1">IFERROR(VLOOKUP(A40,OFFSET($S$45,,,COUNTIF($S$45:$S$50,"?*"),14),5,FALSE),"")</f>
        <v/>
      </c>
      <c r="E42" s="428"/>
      <c r="F42" s="17" t="str">
        <f ca="1">IFERROR(VLOOKUP(A40,OFFSET($S$45,,,COUNTIF($S$45:$S$50,"?*"),14),14,FALSE),"")</f>
        <v/>
      </c>
      <c r="H42" s="457"/>
      <c r="J42" s="429"/>
      <c r="K42" s="430"/>
      <c r="L42" s="430"/>
      <c r="M42" s="430"/>
      <c r="N42" s="430"/>
      <c r="O42" s="430"/>
      <c r="P42" s="4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451" t="str">
        <f ca="1">IFERROR(VLOOKUP(A40,OFFSET($S$45,,,COUNTIF($S$45:$S$50,"?*"),14),3,FALSE),"")</f>
        <v/>
      </c>
      <c r="B43" s="452"/>
      <c r="C43" s="453" t="str">
        <f ca="1">IFERROR(VLOOKUP(A40,OFFSET($S$45,,,COUNTIF($S$45:$S$50,"?*"),14),13,FALSE),"")</f>
        <v/>
      </c>
      <c r="D43" s="454"/>
      <c r="E43" s="455" t="str">
        <f ca="1">IFERROR(VLOOKUP(A40,OFFSET($AG$2,,,COUNTIF($AG$2:$AG$50,"?*"),23),19,FALSE),"")</f>
        <v/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/>
      </c>
      <c r="K43" s="423" t="str">
        <f ca="1">IFERROR(IF(VLOOKUP(J42,OFFSET($AG$2,,,COUNTIF($AG$2:$AG$50,"?*"),23),2,FALSE)&lt;&gt;0,YEAR(VLOOKUP(J42,OFFSET($AG$2,,,COUNTIF($AG$2:$AG$50,"?*"),23),2,FALSE)),""),"")</f>
        <v/>
      </c>
      <c r="L43" s="431"/>
      <c r="M43" s="150" t="str">
        <f ca="1">IFERROR(VLOOKUP(J42,OFFSET($AG$2,,,COUNTIF($AG$2:$AG$50,"?*"),23),15,FALSE),"")</f>
        <v/>
      </c>
      <c r="N43" s="431" t="str">
        <f ca="1">IFERROR(VLOOKUP(J42,OFFSET($AG$2,,,COUNTIF($AG$2:$AG$50,"?*"),23),16,FALSE),"")</f>
        <v/>
      </c>
      <c r="O43" s="431"/>
      <c r="P43" s="431" t="str">
        <f ca="1">IFERROR(VLOOKUP(J42,OFFSET($AG$2,,,COUNTIF($AG$2:$AG$50,"?*"),23),18,FALSE),"")</f>
        <v/>
      </c>
      <c r="Q43" s="431"/>
      <c r="R43" s="432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/>
      </c>
      <c r="B44" s="447"/>
      <c r="C44" s="448"/>
      <c r="D44" s="449" t="str">
        <f ca="1">IFERROR(IF(VLOOKUP(A40,OFFSET($AG$2,,,COUNTIF($AG$2:$AG$50,"?*"),23),14,FALSE)&lt;&gt;0,VLOOKUP(A40,OFFSET($AG$2,,,COUNTIF($AG$2:$AG$50,"?*"),23),14,FALSE),"?"),"")</f>
        <v/>
      </c>
      <c r="E44" s="450"/>
      <c r="F44" s="19" t="str">
        <f ca="1">IFERROR(VLOOKUP(A40,OFFSET($S$45,,,COUNTIF($S$45:$S$50,"?*"),14),6,FALSE),"")</f>
        <v/>
      </c>
      <c r="H44" s="457"/>
      <c r="J44" s="18" t="str">
        <f ca="1">IFERROR(IF(VLOOKUP(J42,OFFSET($AG$2,,,COUNTIF($AG$2:$AG$50,"?*"),23),7,FALSE)&lt;&gt;0,VLOOKUP(J42,OFFSET($AG$2,,,COUNTIF($AG$2:$AG$50,"?*"),23),7,FALSE),"?"),"")</f>
        <v/>
      </c>
      <c r="K44" s="433" t="str">
        <f ca="1">IFERROR(VLOOKUP(J42,OFFSET($AG$2,,,COUNTIF($AG$2:$AG$50,"?*"),23),19,FALSE),"")</f>
        <v/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/>
      </c>
      <c r="O44" s="434"/>
      <c r="P44" s="434"/>
      <c r="Q44" s="433" t="str">
        <f ca="1">IFERROR(IF(VLOOKUP(J42,OFFSET($AG$2,,,COUNTIF($AG$2:$AG$50,"?*"),23),14,FALSE)&lt;&gt;0,VLOOKUP(J42,OFFSET($AG$2,,,COUNTIF($AG$2:$AG$50,"?*"),23),14,FALSE),"?"),"")</f>
        <v/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692</v>
      </c>
      <c r="T45" s="102">
        <v>7</v>
      </c>
      <c r="U45" s="112">
        <v>359.98</v>
      </c>
      <c r="V45" s="102">
        <v>5</v>
      </c>
      <c r="W45" s="102">
        <v>27</v>
      </c>
      <c r="X45" s="102">
        <v>0</v>
      </c>
      <c r="Y45" s="102">
        <v>160</v>
      </c>
      <c r="Z45" s="102">
        <v>0</v>
      </c>
      <c r="AA45" s="102">
        <v>2</v>
      </c>
      <c r="AB45" s="102">
        <v>133</v>
      </c>
      <c r="AC45" s="102">
        <v>0</v>
      </c>
      <c r="AD45" s="102">
        <v>0</v>
      </c>
      <c r="AE45" s="112">
        <f>IF(S45&lt;&gt;"",IF(T45&gt;0,W45/(U45/60),0),"")</f>
        <v>4.5002500138896604</v>
      </c>
      <c r="AF45" s="112">
        <f>IF(S45&lt;&gt;"",IF(Y45&gt;0,(AB45/Y45)*100,"-"),"")</f>
        <v>83.125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694</v>
      </c>
      <c r="T46" s="102">
        <v>6</v>
      </c>
      <c r="U46" s="112">
        <v>297</v>
      </c>
      <c r="V46" s="102">
        <v>2</v>
      </c>
      <c r="W46" s="102">
        <v>36</v>
      </c>
      <c r="X46" s="102">
        <v>0</v>
      </c>
      <c r="Y46" s="102">
        <v>114</v>
      </c>
      <c r="Z46" s="102">
        <v>0</v>
      </c>
      <c r="AA46" s="102">
        <v>4</v>
      </c>
      <c r="AB46" s="102">
        <v>78</v>
      </c>
      <c r="AC46" s="102">
        <v>1</v>
      </c>
      <c r="AD46" s="102">
        <v>0</v>
      </c>
      <c r="AE46" s="112">
        <f t="shared" ref="AE46:AE50" si="26">IF(S46&lt;&gt;"",IF(T46&gt;0,W46/(U46/60),0),"")</f>
        <v>7.2727272727272725</v>
      </c>
      <c r="AF46" s="112">
        <f t="shared" ref="AF46:AF50" si="27">IF(S46&lt;&gt;"",IF(Y46&gt;0,(AB46/Y46)*100,"-"),"")</f>
        <v>68.421052631578945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418"/>
      <c r="B47" s="419"/>
      <c r="C47" s="419"/>
      <c r="D47" s="419"/>
      <c r="E47" s="420" t="str">
        <f ca="1">IFERROR(VLOOKUP(A47,OFFSET($BN$2,,,COUNTIF($BN$2:$BN$11,"?*"),5),3,FALSE),"")</f>
        <v/>
      </c>
      <c r="F47" s="420"/>
      <c r="G47" s="420"/>
      <c r="H47" s="420"/>
      <c r="I47" s="421"/>
      <c r="J47" s="418"/>
      <c r="K47" s="419"/>
      <c r="L47" s="419"/>
      <c r="M47" s="419"/>
      <c r="N47" s="420" t="str">
        <f ca="1">IFERROR(VLOOKUP(J47,OFFSET($BN$2,,,COUNTIF($BN$2:$BN$11,"?*"),5),3,FALSE),"")</f>
        <v/>
      </c>
      <c r="O47" s="420"/>
      <c r="P47" s="420"/>
      <c r="Q47" s="420"/>
      <c r="R47" s="421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436" t="str">
        <f ca="1">IFERROR(VLOOKUP(A47,OFFSET($BN$2,,,COUNTIF($BN$2:$BN$11,"?*"),5),5,FALSE),"")</f>
        <v/>
      </c>
      <c r="B48" s="438" t="str">
        <f ca="1">IFERROR(IF(VLOOKUP(A47,OFFSET($BN$2,,,COUNTIF($BN$2:$BN$11,"?*"),5),4,FALSE)&lt;&gt;0,VLOOKUP(A47,OFFSET($BN$2,,,COUNTIF($BN$2:$BN$11,"?*"),5),4,FALSE),"-"),"")</f>
        <v/>
      </c>
      <c r="C48" s="438"/>
      <c r="D48" s="438"/>
      <c r="E48" s="438"/>
      <c r="F48" s="438"/>
      <c r="G48" s="438"/>
      <c r="H48" s="438"/>
      <c r="I48" s="439"/>
      <c r="J48" s="119" t="str">
        <f ca="1">IFERROR(VLOOKUP(J47,OFFSET($BN$2,,,COUNTIF($BN$2:$BN$11,"?*"),5),5,FALSE),"")</f>
        <v/>
      </c>
      <c r="K48" s="442" t="str">
        <f ca="1">IFERROR(IF(VLOOKUP(J47,OFFSET($BN$2,,,COUNTIF($BN$2:$BN$11,"?*"),5),4,FALSE)&lt;&gt;0,VLOOKUP(J47,OFFSET($BN$2,,,COUNTIF($BN$2:$BN$11,"?*"),5),4,FALSE),"-"),"")</f>
        <v/>
      </c>
      <c r="L48" s="442"/>
      <c r="M48" s="442"/>
      <c r="N48" s="442"/>
      <c r="O48" s="442"/>
      <c r="P48" s="442"/>
      <c r="Q48" s="442"/>
      <c r="R48" s="443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/>
      <c r="K49" s="445"/>
      <c r="L49" s="445"/>
      <c r="M49" s="445"/>
      <c r="N49" s="420" t="str">
        <f ca="1">IFERROR(VLOOKUP(J49,OFFSET($BN$2,,,COUNTIF($BN$2:$BN$11,"?*"),5),3,FALSE),"")</f>
        <v/>
      </c>
      <c r="O49" s="420"/>
      <c r="P49" s="420"/>
      <c r="Q49" s="420"/>
      <c r="R49" s="421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119" t="str">
        <f ca="1">IFERROR(VLOOKUP(J49,OFFSET($BN$2,,,COUNTIF($BN$2:$BN$11,"?*"),5),5,FALSE),"")</f>
        <v/>
      </c>
      <c r="K50" s="442" t="str">
        <f ca="1">IFERROR(IF(VLOOKUP(J49,OFFSET($BN$2,,,COUNTIF($BN$2:$BN$11,"?*"),5),4,FALSE)&lt;&gt;0,VLOOKUP(J49,OFFSET($BN$2,,,COUNTIF($BN$2:$BN$11,"?*"),5),4,FALSE),"-"),"")</f>
        <v/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7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7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7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7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11">
    <tabColor rgb="FF33CC33"/>
  </sheetPr>
  <dimension ref="A1:CA51"/>
  <sheetViews>
    <sheetView view="pageLayout" topLeftCell="A33" zoomScaleNormal="100" zoomScaleSheetLayoutView="100" workbookViewId="0">
      <selection activeCell="AG33" sqref="AG33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 t="s">
        <v>535</v>
      </c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25</v>
      </c>
      <c r="H1" s="463" t="s">
        <v>1</v>
      </c>
      <c r="I1" s="463"/>
      <c r="J1" s="463"/>
      <c r="K1" s="463"/>
      <c r="M1" s="429" t="s">
        <v>536</v>
      </c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21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2">
        <f ca="1">IFERROR(IF(VLOOKUP(A1,OFFSET($AG$2,,,COUNTIF($AG$2:$AG$50,"?*"),23),2,FALSE)&lt;&gt;0,YEAR(VLOOKUP(A1,OFFSET($AG$2,,,COUNTIF($AG$2:$AG$50,"?*"),23),2,FALSE)),""),"")</f>
        <v>2002</v>
      </c>
      <c r="C2" s="423"/>
      <c r="D2" s="117">
        <f ca="1">IFERROR(VLOOKUP(A1,OFFSET($AG$2,,,COUNTIF($AG$2:$AG$50,"?*"),23),15,FALSE),"")</f>
        <v>19</v>
      </c>
      <c r="E2" s="424" t="str">
        <f ca="1">IFERROR(VLOOKUP(A1,OFFSET($AG$2,,,COUNTIF($AG$2:$AG$50,"?*"),23),16,FALSE),"")</f>
        <v>182/77</v>
      </c>
      <c r="F2" s="425"/>
      <c r="M2" s="4" t="str">
        <f ca="1">IFERROR(IF(VLOOKUP(M1,OFFSET($AG$2,,,COUNTIF($AG$2:$AG$50,"?*"),23),10,FALSE)&lt;&gt;0,VLOOKUP(M1,OFFSET($AG$2,,,COUNTIF($AG$2:$AG$50,"?*"),23),10,FALSE),""),"")</f>
        <v>L</v>
      </c>
      <c r="N2" s="422">
        <f ca="1">IFERROR(IF(VLOOKUP(M1,OFFSET($AG$2,,,COUNTIF($AG$2:$AG$50,"?*"),23),2,FALSE)&lt;&gt;0,YEAR(VLOOKUP(M1,OFFSET($AG$2,,,COUNTIF($AG$2:$AG$50,"?*"),23),2,FALSE)),""),"")</f>
        <v>2001</v>
      </c>
      <c r="O2" s="423"/>
      <c r="P2" s="117">
        <f ca="1">IFERROR(VLOOKUP(M1,OFFSET($AG$2,,,COUNTIF($AG$2:$AG$50,"?*"),23),15,FALSE),"")</f>
        <v>20</v>
      </c>
      <c r="Q2" s="424" t="str">
        <f ca="1">IFERROR(VLOOKUP(M1,OFFSET($AG$2,,,COUNTIF($AG$2:$AG$50,"?*"),23),16,FALSE),"")</f>
        <v>183/67</v>
      </c>
      <c r="R2" s="425"/>
      <c r="S2" s="110" t="s">
        <v>537</v>
      </c>
      <c r="T2" s="102" t="s">
        <v>107</v>
      </c>
      <c r="U2" s="102">
        <v>11</v>
      </c>
      <c r="V2" s="102">
        <v>14</v>
      </c>
      <c r="W2" s="102">
        <v>4</v>
      </c>
      <c r="X2" s="102">
        <v>0</v>
      </c>
      <c r="Y2" s="102">
        <v>22</v>
      </c>
      <c r="Z2" s="102">
        <v>36</v>
      </c>
      <c r="AA2" s="102">
        <v>6</v>
      </c>
      <c r="AB2" s="102">
        <v>24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546</v>
      </c>
      <c r="AH2" s="122">
        <v>38279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14</v>
      </c>
      <c r="AO2" s="125"/>
      <c r="AP2" s="125"/>
      <c r="AQ2" s="123"/>
      <c r="AR2" s="123"/>
      <c r="AS2" s="126"/>
      <c r="AT2" s="123"/>
      <c r="AU2" s="127">
        <f ca="1">IF(AG2&lt;&gt;"",IF(AH2&lt;&gt;"",INT((TODAY()-AH2)/365),"?"),"")</f>
        <v>17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Batkovič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OZ, 0 (0+0),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(0+0)</v>
      </c>
      <c r="AZ2" s="130"/>
      <c r="BA2" s="130"/>
      <c r="BB2" s="130"/>
      <c r="BC2" s="130"/>
      <c r="BD2" s="3" t="str">
        <f>IF(AG2&lt;&gt;"",RIGHT(AG2,LEN(AG2)-SEARCH(" ",AG2)),"")</f>
        <v>Batkovič</v>
      </c>
      <c r="BE2" s="84">
        <f ca="1">IF(AG2&lt;&gt;"",COUNTIF(OFFSET($BD$2,,,COUNTIF($AG$2:$AG$50,"?*")),BD2),"")</f>
        <v>1</v>
      </c>
      <c r="BF2" s="62" t="str">
        <f>IF(AG2&lt;&gt;"",LEFT(AG2,1),"")</f>
        <v>Š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568</v>
      </c>
      <c r="BO2" s="122">
        <v>29350</v>
      </c>
      <c r="BP2" s="131" t="s">
        <v>236</v>
      </c>
      <c r="BQ2" s="132" t="s">
        <v>569</v>
      </c>
      <c r="BR2" s="127">
        <f ca="1">IF(BN2&lt;&gt;"",IF(BO2&lt;&gt;"",INT((TODAY()-BO2)/365),"?"),"")</f>
        <v>41</v>
      </c>
      <c r="BS2" s="417" t="s">
        <v>36</v>
      </c>
      <c r="BT2" s="104" t="s">
        <v>578</v>
      </c>
      <c r="BU2" s="103">
        <v>36</v>
      </c>
      <c r="BV2" s="104" t="str">
        <f>IFERROR(RIGHT(BT2,LEN(BT2)-SEARCH(" ",BT2)),"")</f>
        <v>Filip Forman</v>
      </c>
      <c r="BW2" s="102">
        <f>IF(BT2&lt;&gt;0,_xlfn.NUMBERVALUE(BU2,","),"")</f>
        <v>36</v>
      </c>
      <c r="BX2" s="416" t="s">
        <v>192</v>
      </c>
      <c r="BY2" s="103" t="s">
        <v>861</v>
      </c>
      <c r="BZ2" s="103" t="s">
        <v>833</v>
      </c>
      <c r="CA2" s="115" t="s">
        <v>792</v>
      </c>
    </row>
    <row r="3" spans="1:79" ht="15" customHeight="1" thickTop="1" thickBot="1" x14ac:dyDescent="0.25">
      <c r="A3" s="458" t="str">
        <f ca="1">IFERROR(VLOOKUP(A1,OFFSET($AG$2,,,COUNTIF($AG$2:$AG$50,"?*"),23),18,FALSE),"")</f>
        <v>11 OZ, 25 (18+7), +27 ±</v>
      </c>
      <c r="B3" s="459"/>
      <c r="C3" s="459"/>
      <c r="D3" s="460" t="str">
        <f ca="1">IFERROR(VLOOKUP(A1,OFFSET($AG$2,,,COUNTIF($AG$2:$AG$50,"?*"),23),19,FALSE),"")</f>
        <v>11 OZ, 25 (18+7)</v>
      </c>
      <c r="E3" s="460"/>
      <c r="F3" s="461"/>
      <c r="G3" s="429" t="s">
        <v>537</v>
      </c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12</v>
      </c>
      <c r="M3" s="458" t="str">
        <f ca="1">IFERROR(VLOOKUP(M1,OFFSET($AG$2,,,COUNTIF($AG$2:$AG$50,"?*"),23),18,FALSE),"")</f>
        <v>14 OZ, 27 (14+13), +19 ±</v>
      </c>
      <c r="N3" s="459"/>
      <c r="O3" s="459"/>
      <c r="P3" s="460" t="str">
        <f ca="1">IFERROR(VLOOKUP(M1,OFFSET($AG$2,,,COUNTIF($AG$2:$AG$50,"?*"),23),19,FALSE),"")</f>
        <v>86 OZ, 122 (76+46)</v>
      </c>
      <c r="Q3" s="460"/>
      <c r="R3" s="461"/>
      <c r="S3" s="110" t="s">
        <v>536</v>
      </c>
      <c r="U3" s="102">
        <v>11</v>
      </c>
      <c r="V3" s="102">
        <v>14</v>
      </c>
      <c r="W3" s="102">
        <v>0</v>
      </c>
      <c r="X3" s="102">
        <v>0</v>
      </c>
      <c r="Y3" s="102">
        <v>12</v>
      </c>
      <c r="Z3" s="102">
        <v>26</v>
      </c>
      <c r="AA3" s="102">
        <v>4</v>
      </c>
      <c r="AB3" s="102">
        <v>24</v>
      </c>
      <c r="AC3" s="102" t="str">
        <f t="shared" ca="1" si="0"/>
        <v>ANO</v>
      </c>
      <c r="AG3" s="121" t="s">
        <v>550</v>
      </c>
      <c r="AH3" s="122">
        <v>38057</v>
      </c>
      <c r="AI3" s="123">
        <v>0</v>
      </c>
      <c r="AJ3" s="123">
        <v>0</v>
      </c>
      <c r="AK3" s="123">
        <v>0</v>
      </c>
      <c r="AL3" s="124">
        <f>IF(AG3&lt;&gt;"",AJ3+AK3,"")</f>
        <v>0</v>
      </c>
      <c r="AM3" s="123">
        <v>1</v>
      </c>
      <c r="AN3" s="123">
        <v>24</v>
      </c>
      <c r="AO3" s="125"/>
      <c r="AP3" s="125" t="s">
        <v>137</v>
      </c>
      <c r="AQ3" s="123">
        <v>186</v>
      </c>
      <c r="AR3" s="123">
        <v>77</v>
      </c>
      <c r="AS3" s="126" t="s">
        <v>68</v>
      </c>
      <c r="AT3" s="123"/>
      <c r="AU3" s="127">
        <f ca="1">IF(AG3&lt;&gt;"",IF(AH3&lt;&gt;"",INT((TODAY()-AH3)/365),"?"),"")</f>
        <v>17</v>
      </c>
      <c r="AV3" s="127" t="str">
        <f>IF(AG3&lt;&gt;"",CONCATENATE(IF(AQ3&lt;&gt;"",AQ3,"? "),"/",IF(AR3&lt;&gt;"",AR3," ?")),"")</f>
        <v>186/77</v>
      </c>
      <c r="AW3" s="128" t="str">
        <f ca="1">IF(AG3&lt;&gt;"",IF(BE3=1,BD3,IF(BH3=1,BG3,IF(BJ3=1,BI3,IF(BL3=1,BK3,BM3)))),"")</f>
        <v>Bílek</v>
      </c>
      <c r="AX3" s="129" t="str">
        <f t="shared" ca="1" si="1"/>
        <v>11 OZ, 1 (1+0), -8 ±</v>
      </c>
      <c r="AY3" s="129" t="str">
        <f t="shared" ca="1" si="2"/>
        <v>11 OZ, 1 (1+0)</v>
      </c>
      <c r="AZ3" s="130"/>
      <c r="BA3" s="130"/>
      <c r="BB3" s="130"/>
      <c r="BC3" s="130"/>
      <c r="BD3" s="89" t="str">
        <f t="shared" ref="BD3:BD50" si="3">IF(AG3&lt;&gt;"",RIGHT(AG3,LEN(AG3)-SEARCH(" ",AG3)),"")</f>
        <v>Bílek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570</v>
      </c>
      <c r="BO3" s="122">
        <v>33849</v>
      </c>
      <c r="BP3" s="131" t="s">
        <v>237</v>
      </c>
      <c r="BQ3" s="132" t="s">
        <v>571</v>
      </c>
      <c r="BR3" s="127">
        <f t="shared" ref="BR3:BR11" ca="1" si="12">IF(BN3&lt;&gt;"",IF(BO3&lt;&gt;"",INT((TODAY()-BO3)/365),"?"),"")</f>
        <v>29</v>
      </c>
      <c r="BS3" s="417"/>
      <c r="BT3" s="104" t="s">
        <v>576</v>
      </c>
      <c r="BU3" s="103">
        <v>26</v>
      </c>
      <c r="BV3" s="104" t="str">
        <f t="shared" ref="BV3:BV31" si="13">IFERROR(RIGHT(BT3,LEN(BT3)-SEARCH(" ",BT3)),"")</f>
        <v>Jakub Buršík</v>
      </c>
      <c r="BW3" s="102">
        <f t="shared" ref="BW3:BW31" si="14">IF(BT3&lt;&gt;0,_xlfn.NUMBERVALUE(BU3,","),"")</f>
        <v>26</v>
      </c>
      <c r="BX3" s="416"/>
      <c r="BY3" s="103" t="s">
        <v>841</v>
      </c>
      <c r="BZ3" s="103" t="s">
        <v>834</v>
      </c>
      <c r="CA3" s="115" t="s">
        <v>1178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>Panthers Praha</v>
      </c>
      <c r="B4" s="447"/>
      <c r="C4" s="448"/>
      <c r="D4" s="449">
        <f ca="1">IFERROR(IF(VLOOKUP(A1,OFFSET($AG$2,,,COUNTIF($AG$2:$AG$50,"?*"),23),14,FALSE)&lt;&gt;0,VLOOKUP(A1,OFFSET($AG$2,,,COUNTIF($AG$2:$AG$50,"?*"),23),14,FALSE),"?"),"")</f>
        <v>2009</v>
      </c>
      <c r="E4" s="450"/>
      <c r="F4" s="7">
        <f ca="1">IFERROR(IF(VLOOKUP(A1,OFFSET($AG$2,,,COUNTIF($AG$2:$AG$50,"?*"),23),7,FALSE)&lt;&gt;0,VLOOKUP(A1,OFFSET($AG$2,,,COUNTIF($AG$2:$AG$50,"?*"),23),7,FALSE),"?"),"")</f>
        <v>1</v>
      </c>
      <c r="G4" s="4" t="str">
        <f ca="1">IFERROR(IF(VLOOKUP(G3,OFFSET($AG$2,,,COUNTIF($AG$2:$AG$50,"?*"),23),10,FALSE)&lt;&gt;0,VLOOKUP(G3,OFFSET($AG$2,,,COUNTIF($AG$2:$AG$50,"?*"),23),10,FALSE),""),"")</f>
        <v>P</v>
      </c>
      <c r="H4" s="422">
        <f ca="1">IFERROR(IF(VLOOKUP(G3,OFFSET($AG$2,,,COUNTIF($AG$2:$AG$50,"?*"),23),2,FALSE)&lt;&gt;0,YEAR(VLOOKUP(G3,OFFSET($AG$2,,,COUNTIF($AG$2:$AG$50,"?*"),23),2,FALSE)),""),"")</f>
        <v>1995</v>
      </c>
      <c r="I4" s="423"/>
      <c r="J4" s="117">
        <f ca="1">IFERROR(VLOOKUP(G3,OFFSET($AG$2,,,COUNTIF($AG$2:$AG$50,"?*"),23),15,FALSE),"")</f>
        <v>26</v>
      </c>
      <c r="K4" s="424" t="str">
        <f ca="1">IFERROR(VLOOKUP(G3,OFFSET($AG$2,,,COUNTIF($AG$2:$AG$50,"?*"),23),16,FALSE),"")</f>
        <v>175/72</v>
      </c>
      <c r="L4" s="425"/>
      <c r="M4" s="446" t="str">
        <f ca="1">IFERROR(IF(VLOOKUP(M1,OFFSET($AG$2,,,COUNTIF($AG$2:$AG$50,"?*"),23),13,FALSE)&lt;&gt;0,VLOOKUP(M1,OFFSET($AG$2,,,COUNTIF($AG$2:$AG$50,"?*"),23),13,FALSE),"?"),"")</f>
        <v>FbŠ Bohemians</v>
      </c>
      <c r="N4" s="447"/>
      <c r="O4" s="448"/>
      <c r="P4" s="449">
        <f ca="1">IFERROR(IF(VLOOKUP(M1,OFFSET($AG$2,,,COUNTIF($AG$2:$AG$50,"?*"),23),14,FALSE)&lt;&gt;0,VLOOKUP(M1,OFFSET($AG$2,,,COUNTIF($AG$2:$AG$50,"?*"),23),14,FALSE),"?"),"")</f>
        <v>2006</v>
      </c>
      <c r="Q4" s="450"/>
      <c r="R4" s="7">
        <f ca="1">IFERROR(IF(VLOOKUP(M1,OFFSET($AG$2,,,COUNTIF($AG$2:$AG$50,"?*"),23),7,FALSE)&lt;&gt;0,VLOOKUP(M1,OFFSET($AG$2,,,COUNTIF($AG$2:$AG$50,"?*"),23),7,FALSE),"?"),"")</f>
        <v>4</v>
      </c>
      <c r="S4" s="110" t="s">
        <v>535</v>
      </c>
      <c r="T4" s="102" t="s">
        <v>107</v>
      </c>
      <c r="U4" s="102">
        <v>11</v>
      </c>
      <c r="V4" s="102">
        <v>18</v>
      </c>
      <c r="W4" s="102">
        <v>3</v>
      </c>
      <c r="X4" s="102">
        <v>0</v>
      </c>
      <c r="Y4" s="102">
        <v>7</v>
      </c>
      <c r="Z4" s="102">
        <v>25</v>
      </c>
      <c r="AA4" s="102">
        <v>4</v>
      </c>
      <c r="AB4" s="102">
        <v>27</v>
      </c>
      <c r="AC4" s="102" t="str">
        <f t="shared" ca="1" si="0"/>
        <v>ANO</v>
      </c>
      <c r="AG4" s="121" t="s">
        <v>1058</v>
      </c>
      <c r="AH4" s="122">
        <v>37905</v>
      </c>
      <c r="AI4" s="123">
        <v>0</v>
      </c>
      <c r="AJ4" s="123">
        <v>0</v>
      </c>
      <c r="AK4" s="123">
        <v>0</v>
      </c>
      <c r="AL4" s="124"/>
      <c r="AM4" s="123">
        <v>1</v>
      </c>
      <c r="AN4" s="123">
        <v>80</v>
      </c>
      <c r="AO4" s="125"/>
      <c r="AP4" s="125"/>
      <c r="AQ4" s="123"/>
      <c r="AR4" s="123"/>
      <c r="AS4" s="126"/>
      <c r="AT4" s="123"/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Blaszczyk</v>
      </c>
      <c r="AX4" s="129" t="str">
        <f t="shared" ca="1" si="1"/>
        <v>3 OZ, 0 (0+0), 0 ±</v>
      </c>
      <c r="AY4" s="129" t="str">
        <f t="shared" ca="1" si="2"/>
        <v>3 OZ, 0 (0+0)</v>
      </c>
      <c r="AZ4" s="130"/>
      <c r="BA4" s="130"/>
      <c r="BB4" s="130"/>
      <c r="BC4" s="130"/>
      <c r="BD4" s="3" t="str">
        <f t="shared" si="3"/>
        <v>Blaszczyk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572</v>
      </c>
      <c r="BO4" s="122">
        <v>28301</v>
      </c>
      <c r="BP4" s="131" t="s">
        <v>237</v>
      </c>
      <c r="BQ4" s="132"/>
      <c r="BR4" s="127">
        <f t="shared" ca="1" si="12"/>
        <v>44</v>
      </c>
      <c r="BS4" s="417"/>
      <c r="BT4" s="104" t="s">
        <v>1180</v>
      </c>
      <c r="BU4" s="103">
        <v>25</v>
      </c>
      <c r="BV4" s="104" t="str">
        <f t="shared" si="13"/>
        <v>Karel Petrák</v>
      </c>
      <c r="BW4" s="102">
        <f t="shared" si="14"/>
        <v>25</v>
      </c>
      <c r="BX4" s="416"/>
      <c r="BY4" s="103" t="s">
        <v>839</v>
      </c>
      <c r="BZ4" s="103" t="s">
        <v>835</v>
      </c>
      <c r="CA4" s="115" t="s">
        <v>774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>11 OZ, 36 (14+22), +24 ±</v>
      </c>
      <c r="H5" s="459"/>
      <c r="I5" s="459"/>
      <c r="J5" s="460" t="str">
        <f ca="1">IFERROR(VLOOKUP(G3,OFFSET($AG$2,,,COUNTIF($AG$2:$AG$50,"?*"),23),19,FALSE),"")</f>
        <v>63 OZ, 142 (58+84)</v>
      </c>
      <c r="K5" s="460"/>
      <c r="L5" s="461"/>
      <c r="S5" s="110" t="s">
        <v>538</v>
      </c>
      <c r="U5" s="102">
        <v>8</v>
      </c>
      <c r="V5" s="102">
        <v>5</v>
      </c>
      <c r="W5" s="102">
        <v>2</v>
      </c>
      <c r="X5" s="102">
        <v>0</v>
      </c>
      <c r="Y5" s="102">
        <v>6</v>
      </c>
      <c r="Z5" s="102">
        <v>11</v>
      </c>
      <c r="AA5" s="102">
        <v>6</v>
      </c>
      <c r="AB5" s="102">
        <v>23</v>
      </c>
      <c r="AC5" s="102" t="str">
        <f t="shared" ca="1" si="0"/>
        <v>ANO</v>
      </c>
      <c r="AG5" s="121" t="s">
        <v>536</v>
      </c>
      <c r="AH5" s="122">
        <v>36990</v>
      </c>
      <c r="AI5" s="123">
        <v>72</v>
      </c>
      <c r="AJ5" s="123">
        <v>62</v>
      </c>
      <c r="AK5" s="123">
        <v>33</v>
      </c>
      <c r="AL5" s="124">
        <f>IF(AG5&lt;&gt;"",AJ5+AK5,"")</f>
        <v>95</v>
      </c>
      <c r="AM5" s="123">
        <v>4</v>
      </c>
      <c r="AN5" s="123">
        <v>21</v>
      </c>
      <c r="AO5" s="125"/>
      <c r="AP5" s="125" t="s">
        <v>137</v>
      </c>
      <c r="AQ5" s="123">
        <v>183</v>
      </c>
      <c r="AR5" s="123">
        <v>67</v>
      </c>
      <c r="AS5" s="126" t="s">
        <v>68</v>
      </c>
      <c r="AT5" s="123">
        <v>2006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183/67</v>
      </c>
      <c r="AW5" s="128" t="str">
        <f ca="1">IF(AG5&lt;&gt;"",IF(BE5=1,BD5,IF(BH5=1,BG5,IF(BJ5=1,BI5,IF(BL5=1,BK5,BM5)))),"")</f>
        <v>Buršík</v>
      </c>
      <c r="AX5" s="129" t="str">
        <f t="shared" ca="1" si="1"/>
        <v>14 OZ, 27 (14+13), +19 ±</v>
      </c>
      <c r="AY5" s="129" t="str">
        <f t="shared" ca="1" si="2"/>
        <v>86 OZ, 122 (76+46)</v>
      </c>
      <c r="AZ5" s="130">
        <v>3</v>
      </c>
      <c r="BA5" s="130">
        <v>0</v>
      </c>
      <c r="BB5" s="130">
        <v>1</v>
      </c>
      <c r="BC5" s="130">
        <v>-5</v>
      </c>
      <c r="BD5" s="89" t="str">
        <f t="shared" si="3"/>
        <v>Buršík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573</v>
      </c>
      <c r="BO5" s="122">
        <v>24059</v>
      </c>
      <c r="BP5" s="131" t="s">
        <v>362</v>
      </c>
      <c r="BQ5" s="132"/>
      <c r="BR5" s="127">
        <f t="shared" ca="1" si="12"/>
        <v>56</v>
      </c>
      <c r="BS5" s="417"/>
      <c r="BT5" s="104" t="s">
        <v>809</v>
      </c>
      <c r="BU5" s="103">
        <v>11</v>
      </c>
      <c r="BV5" s="104" t="str">
        <f t="shared" si="13"/>
        <v>Jan Malič</v>
      </c>
      <c r="BW5" s="102">
        <f t="shared" si="14"/>
        <v>11</v>
      </c>
      <c r="BX5" s="416"/>
      <c r="BY5" s="103" t="s">
        <v>1141</v>
      </c>
      <c r="BZ5" s="103" t="s">
        <v>846</v>
      </c>
      <c r="CA5" s="115" t="s">
        <v>761</v>
      </c>
    </row>
    <row r="6" spans="1:79" ht="15" customHeight="1" thickTop="1" thickBot="1" x14ac:dyDescent="0.25">
      <c r="A6" s="429" t="s">
        <v>538</v>
      </c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38</v>
      </c>
      <c r="G6" s="446" t="str">
        <f ca="1">IFERROR(IF(VLOOKUP(G3,OFFSET($AG$2,,,COUNTIF($AG$2:$AG$50,"?*"),23),13,FALSE)&lt;&gt;0,VLOOKUP(G3,OFFSET($AG$2,,,COUNTIF($AG$2:$AG$50,"?*"),23),13,FALSE),"?"),"")</f>
        <v>FbŠ Bohemians</v>
      </c>
      <c r="H6" s="447"/>
      <c r="I6" s="448"/>
      <c r="J6" s="449">
        <f ca="1">IFERROR(IF(VLOOKUP(G3,OFFSET($AG$2,,,COUNTIF($AG$2:$AG$50,"?*"),23),14,FALSE)&lt;&gt;0,VLOOKUP(G3,OFFSET($AG$2,,,COUNTIF($AG$2:$AG$50,"?*"),23),14,FALSE),"?"),"")</f>
        <v>2010</v>
      </c>
      <c r="K6" s="450"/>
      <c r="L6" s="7">
        <f ca="1">IFERROR(IF(VLOOKUP(G3,OFFSET($AG$2,,,COUNTIF($AG$2:$AG$50,"?*"),23),7,FALSE)&lt;&gt;0,VLOOKUP(G3,OFFSET($AG$2,,,COUNTIF($AG$2:$AG$50,"?*"),23),7,FALSE),"?"),"")</f>
        <v>3</v>
      </c>
      <c r="M6" s="429" t="s">
        <v>539</v>
      </c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7</v>
      </c>
      <c r="S6" s="110" t="s">
        <v>539</v>
      </c>
      <c r="U6" s="102">
        <v>11</v>
      </c>
      <c r="V6" s="102">
        <v>4</v>
      </c>
      <c r="W6" s="102">
        <v>0</v>
      </c>
      <c r="X6" s="102">
        <v>0</v>
      </c>
      <c r="Y6" s="102">
        <v>5</v>
      </c>
      <c r="Z6" s="102">
        <v>9</v>
      </c>
      <c r="AA6" s="102">
        <v>4</v>
      </c>
      <c r="AB6" s="102">
        <v>23</v>
      </c>
      <c r="AC6" s="102" t="str">
        <f t="shared" ca="1" si="0"/>
        <v>ANO</v>
      </c>
      <c r="AG6" s="121" t="s">
        <v>3</v>
      </c>
      <c r="AH6" s="122">
        <v>36257</v>
      </c>
      <c r="AI6" s="123">
        <v>106</v>
      </c>
      <c r="AJ6" s="123">
        <v>35</v>
      </c>
      <c r="AK6" s="123">
        <v>28</v>
      </c>
      <c r="AL6" s="124">
        <f>IF(AG6&lt;&gt;"",AJ6+AK6,"")</f>
        <v>63</v>
      </c>
      <c r="AM6" s="123">
        <v>6</v>
      </c>
      <c r="AN6" s="123">
        <v>77</v>
      </c>
      <c r="AO6" s="125"/>
      <c r="AP6" s="125" t="s">
        <v>137</v>
      </c>
      <c r="AQ6" s="123">
        <v>184</v>
      </c>
      <c r="AR6" s="123">
        <v>81</v>
      </c>
      <c r="AS6" s="126" t="s">
        <v>139</v>
      </c>
      <c r="AT6" s="123">
        <v>2008</v>
      </c>
      <c r="AU6" s="127">
        <f ca="1">IF(AG6&lt;&gt;"",IF(AH6&lt;&gt;"",INT((TODAY()-AH6)/365),"?"),"")</f>
        <v>22</v>
      </c>
      <c r="AV6" s="127" t="str">
        <f>IF(AG6&lt;&gt;"",CONCATENATE(IF(AQ6&lt;&gt;"",AQ6,"? "),"/",IF(AR6&lt;&gt;"",AR6," ?")),"")</f>
        <v>184/81</v>
      </c>
      <c r="AW6" s="128" t="str">
        <f ca="1">IF(AG6&lt;&gt;"",IF(BE6=1,BD6,IF(BH6=1,BG6,IF(BJ6=1,BI6,IF(BL6=1,BK6,BM6)))),"")</f>
        <v>Cabejšek</v>
      </c>
      <c r="AX6" s="129" t="str">
        <f t="shared" ca="1" si="1"/>
        <v>7 OZ, 2 (2+0), -5 ±</v>
      </c>
      <c r="AY6" s="129" t="str">
        <f t="shared" ca="1" si="2"/>
        <v>113 OZ, 65 (37+28)</v>
      </c>
      <c r="AZ6" s="130"/>
      <c r="BA6" s="130"/>
      <c r="BB6" s="130"/>
      <c r="BC6" s="130"/>
      <c r="BD6" s="3" t="str">
        <f t="shared" si="3"/>
        <v>Cabejšek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574</v>
      </c>
      <c r="BO6" s="122">
        <v>33657</v>
      </c>
      <c r="BP6" s="131" t="s">
        <v>413</v>
      </c>
      <c r="BQ6" s="132"/>
      <c r="BR6" s="127">
        <f t="shared" ca="1" si="12"/>
        <v>29</v>
      </c>
      <c r="BS6" s="417"/>
      <c r="BT6" s="104" t="s">
        <v>1181</v>
      </c>
      <c r="BU6" s="103">
        <v>9</v>
      </c>
      <c r="BV6" s="104" t="str">
        <f t="shared" si="13"/>
        <v>Patrik Šebek</v>
      </c>
      <c r="BW6" s="102">
        <f t="shared" si="14"/>
        <v>9</v>
      </c>
      <c r="BX6" s="416"/>
      <c r="BY6" s="103" t="s">
        <v>758</v>
      </c>
      <c r="BZ6" s="103" t="s">
        <v>847</v>
      </c>
      <c r="CA6" s="115" t="s">
        <v>825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2">
        <f ca="1">IFERROR(IF(VLOOKUP(A6,OFFSET($AG$2,,,COUNTIF($AG$2:$AG$50,"?*"),23),2,FALSE)&lt;&gt;0,YEAR(VLOOKUP(A6,OFFSET($AG$2,,,COUNTIF($AG$2:$AG$50,"?*"),23),2,FALSE)),""),"")</f>
        <v>2003</v>
      </c>
      <c r="C7" s="423"/>
      <c r="D7" s="117">
        <f ca="1">IFERROR(VLOOKUP(A6,OFFSET($AG$2,,,COUNTIF($AG$2:$AG$50,"?*"),23),15,FALSE),"")</f>
        <v>18</v>
      </c>
      <c r="E7" s="424" t="str">
        <f ca="1">IFERROR(VLOOKUP(A6,OFFSET($AG$2,,,COUNTIF($AG$2:$AG$50,"?*"),23),16,FALSE),"")</f>
        <v>175/65</v>
      </c>
      <c r="F7" s="425"/>
      <c r="M7" s="4" t="str">
        <f ca="1">IFERROR(IF(VLOOKUP(M6,OFFSET($AG$2,,,COUNTIF($AG$2:$AG$50,"?*"),23),10,FALSE)&lt;&gt;0,VLOOKUP(M6,OFFSET($AG$2,,,COUNTIF($AG$2:$AG$50,"?*"),23),10,FALSE),""),"")</f>
        <v>P</v>
      </c>
      <c r="N7" s="422">
        <f ca="1">IFERROR(IF(VLOOKUP(M6,OFFSET($AG$2,,,COUNTIF($AG$2:$AG$50,"?*"),23),2,FALSE)&lt;&gt;0,YEAR(VLOOKUP(M6,OFFSET($AG$2,,,COUNTIF($AG$2:$AG$50,"?*"),23),2,FALSE)),""),"")</f>
        <v>2000</v>
      </c>
      <c r="O7" s="423"/>
      <c r="P7" s="117">
        <f ca="1">IFERROR(VLOOKUP(M6,OFFSET($AG$2,,,COUNTIF($AG$2:$AG$50,"?*"),23),15,FALSE),"")</f>
        <v>21</v>
      </c>
      <c r="Q7" s="424" t="str">
        <f ca="1">IFERROR(VLOOKUP(M6,OFFSET($AG$2,,,COUNTIF($AG$2:$AG$50,"?*"),23),16,FALSE),"")</f>
        <v>190/76</v>
      </c>
      <c r="R7" s="425"/>
      <c r="S7" s="110" t="s">
        <v>541</v>
      </c>
      <c r="U7" s="102">
        <v>8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2</v>
      </c>
      <c r="AB7" s="102">
        <v>-4</v>
      </c>
      <c r="AC7" s="102" t="str">
        <f t="shared" ca="1" si="0"/>
        <v>ANO</v>
      </c>
      <c r="AG7" s="121" t="s">
        <v>548</v>
      </c>
      <c r="AH7" s="122">
        <v>33767</v>
      </c>
      <c r="AI7" s="123">
        <v>243</v>
      </c>
      <c r="AJ7" s="123">
        <v>69</v>
      </c>
      <c r="AK7" s="123">
        <v>66</v>
      </c>
      <c r="AL7" s="124">
        <f>IF(AG7&lt;&gt;"",AJ7+AK7,"")</f>
        <v>135</v>
      </c>
      <c r="AM7" s="123">
        <v>12</v>
      </c>
      <c r="AN7" s="123">
        <v>44</v>
      </c>
      <c r="AO7" s="125"/>
      <c r="AP7" s="125" t="s">
        <v>27</v>
      </c>
      <c r="AQ7" s="123">
        <v>184</v>
      </c>
      <c r="AR7" s="123">
        <v>84</v>
      </c>
      <c r="AS7" s="126" t="s">
        <v>561</v>
      </c>
      <c r="AT7" s="123">
        <v>2002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184/84</v>
      </c>
      <c r="AW7" s="128" t="str">
        <f ca="1">IF(AG7&lt;&gt;"",IF(BE7=1,BD7,IF(BH7=1,BG7,IF(BJ7=1,BI7,IF(BL7=1,BK7,BM7)))),"")</f>
        <v>Čihák</v>
      </c>
      <c r="AX7" s="129" t="str">
        <f t="shared" ca="1" si="1"/>
        <v>11 OZ, 1 (1+0), -3 ±</v>
      </c>
      <c r="AY7" s="129" t="str">
        <f t="shared" ca="1" si="2"/>
        <v>254 OZ, 136 (70+66)</v>
      </c>
      <c r="AZ7" s="130"/>
      <c r="BA7" s="130"/>
      <c r="BB7" s="130"/>
      <c r="BC7" s="130"/>
      <c r="BD7" s="89" t="str">
        <f t="shared" si="3"/>
        <v>Čihák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7" t="s">
        <v>40</v>
      </c>
      <c r="BT7" s="104" t="s">
        <v>577</v>
      </c>
      <c r="BU7" s="103" t="s">
        <v>1182</v>
      </c>
      <c r="BV7" s="104" t="str">
        <f t="shared" si="13"/>
        <v>Radovan Michajlovič</v>
      </c>
      <c r="BW7" s="112">
        <f t="shared" si="14"/>
        <v>4.2300000000000004</v>
      </c>
      <c r="BX7" s="416" t="s">
        <v>193</v>
      </c>
      <c r="BY7" s="103" t="s">
        <v>972</v>
      </c>
      <c r="BZ7" s="103" t="s">
        <v>832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>8 OZ, 11 (5+6), +23 ±</v>
      </c>
      <c r="B8" s="459"/>
      <c r="C8" s="459"/>
      <c r="D8" s="460" t="str">
        <f ca="1">IFERROR(VLOOKUP(A6,OFFSET($AG$2,,,COUNTIF($AG$2:$AG$50,"?*"),23),19,FALSE),"")</f>
        <v>34 OZ, 42 (18+24)</v>
      </c>
      <c r="E8" s="460"/>
      <c r="F8" s="461"/>
      <c r="H8" s="462" t="s">
        <v>92</v>
      </c>
      <c r="I8" s="462"/>
      <c r="J8" s="462"/>
      <c r="K8" s="462"/>
      <c r="M8" s="458" t="str">
        <f ca="1">IFERROR(VLOOKUP(M6,OFFSET($AG$2,,,COUNTIF($AG$2:$AG$50,"?*"),23),18,FALSE),"")</f>
        <v>11 OZ, 9 (4+5), +23 ±</v>
      </c>
      <c r="N8" s="459"/>
      <c r="O8" s="459"/>
      <c r="P8" s="460" t="str">
        <f ca="1">IFERROR(VLOOKUP(M6,OFFSET($AG$2,,,COUNTIF($AG$2:$AG$50,"?*"),23),19,FALSE),"")</f>
        <v>106 OZ, 103 (51+52)</v>
      </c>
      <c r="Q8" s="460"/>
      <c r="R8" s="461"/>
      <c r="S8" s="110" t="s">
        <v>545</v>
      </c>
      <c r="U8" s="102">
        <v>10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-4</v>
      </c>
      <c r="AC8" s="102" t="str">
        <f t="shared" ca="1" si="0"/>
        <v>ANO</v>
      </c>
      <c r="AG8" s="121" t="s">
        <v>552</v>
      </c>
      <c r="AH8" s="122">
        <v>36370</v>
      </c>
      <c r="AI8" s="123">
        <v>105</v>
      </c>
      <c r="AJ8" s="123">
        <v>16</v>
      </c>
      <c r="AK8" s="123">
        <v>15</v>
      </c>
      <c r="AL8" s="124">
        <f>IF(AG8&lt;&gt;"",AJ8+AK8,"")</f>
        <v>31</v>
      </c>
      <c r="AM8" s="123">
        <v>6</v>
      </c>
      <c r="AN8" s="123">
        <v>8</v>
      </c>
      <c r="AO8" s="125"/>
      <c r="AP8" s="125" t="s">
        <v>137</v>
      </c>
      <c r="AQ8" s="123">
        <v>186</v>
      </c>
      <c r="AR8" s="123">
        <v>73</v>
      </c>
      <c r="AS8" s="126" t="s">
        <v>68</v>
      </c>
      <c r="AT8" s="123">
        <v>2009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186/73</v>
      </c>
      <c r="AW8" s="128" t="str">
        <f ca="1">IF(AG8&lt;&gt;"",IF(BE8=1,BD8,IF(BH8=1,BG8,IF(BJ8=1,BI8,IF(BL8=1,BK8,BM8)))),"")</f>
        <v>Dobisík</v>
      </c>
      <c r="AX8" s="129" t="str">
        <f t="shared" ca="1" si="1"/>
        <v>8 OZ, 2 (0+2), 0 ±</v>
      </c>
      <c r="AY8" s="129" t="str">
        <f t="shared" ca="1" si="2"/>
        <v>113 OZ, 33 (16+17)</v>
      </c>
      <c r="AZ8" s="130"/>
      <c r="BA8" s="130"/>
      <c r="BB8" s="130"/>
      <c r="BC8" s="130"/>
      <c r="BD8" s="3" t="str">
        <f t="shared" si="3"/>
        <v>Dobisík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7"/>
      <c r="BT8" s="104" t="s">
        <v>1183</v>
      </c>
      <c r="BU8" s="103" t="s">
        <v>1101</v>
      </c>
      <c r="BV8" s="104" t="str">
        <f t="shared" si="13"/>
        <v>Jakub Zavřel</v>
      </c>
      <c r="BW8" s="112">
        <f t="shared" si="14"/>
        <v>3.5</v>
      </c>
      <c r="BX8" s="416"/>
      <c r="BY8" s="103" t="s">
        <v>1160</v>
      </c>
      <c r="BZ8" s="103" t="s">
        <v>873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>Black Angels</v>
      </c>
      <c r="B9" s="447"/>
      <c r="C9" s="448"/>
      <c r="D9" s="449">
        <f ca="1">IFERROR(IF(VLOOKUP(A6,OFFSET($AG$2,,,COUNTIF($AG$2:$AG$50,"?*"),23),14,FALSE)&lt;&gt;0,VLOOKUP(A6,OFFSET($AG$2,,,COUNTIF($AG$2:$AG$50,"?*"),23),14,FALSE),"?"),"")</f>
        <v>2009</v>
      </c>
      <c r="E9" s="450"/>
      <c r="F9" s="7">
        <f ca="1">IFERROR(IF(VLOOKUP(A6,OFFSET($AG$2,,,COUNTIF($AG$2:$AG$50,"?*"),23),7,FALSE)&lt;&gt;0,VLOOKUP(A6,OFFSET($AG$2,,,COUNTIF($AG$2:$AG$50,"?*"),23),7,FALSE),"?"),"")</f>
        <v>2</v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>FbŠ Bohemians</v>
      </c>
      <c r="N9" s="447"/>
      <c r="O9" s="448"/>
      <c r="P9" s="449">
        <f ca="1">IFERROR(IF(VLOOKUP(M6,OFFSET($AG$2,,,COUNTIF($AG$2:$AG$50,"?*"),23),14,FALSE)&lt;&gt;0,VLOOKUP(M6,OFFSET($AG$2,,,COUNTIF($AG$2:$AG$50,"?*"),23),14,FALSE),"?"),"")</f>
        <v>2011</v>
      </c>
      <c r="Q9" s="450"/>
      <c r="R9" s="7">
        <f ca="1">IFERROR(IF(VLOOKUP(M6,OFFSET($AG$2,,,COUNTIF($AG$2:$AG$50,"?*"),23),7,FALSE)&lt;&gt;0,VLOOKUP(M6,OFFSET($AG$2,,,COUNTIF($AG$2:$AG$50,"?*"),23),7,FALSE),"?"),"")</f>
        <v>5</v>
      </c>
      <c r="S9" s="110" t="s">
        <v>3</v>
      </c>
      <c r="T9" s="102" t="s">
        <v>58</v>
      </c>
      <c r="U9" s="102">
        <v>7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-5</v>
      </c>
      <c r="AC9" s="102" t="str">
        <f t="shared" ca="1" si="0"/>
        <v>ANO</v>
      </c>
      <c r="AG9" s="121" t="s">
        <v>547</v>
      </c>
      <c r="AH9" s="122">
        <v>34316</v>
      </c>
      <c r="AI9" s="123">
        <v>189</v>
      </c>
      <c r="AJ9" s="123">
        <v>49</v>
      </c>
      <c r="AK9" s="123">
        <v>81</v>
      </c>
      <c r="AL9" s="124">
        <f>IF(AG9&lt;&gt;"",AJ9+AK9,"")</f>
        <v>130</v>
      </c>
      <c r="AM9" s="123">
        <v>11</v>
      </c>
      <c r="AN9" s="123">
        <v>84</v>
      </c>
      <c r="AO9" s="125"/>
      <c r="AP9" s="125" t="s">
        <v>27</v>
      </c>
      <c r="AQ9" s="123">
        <v>188</v>
      </c>
      <c r="AR9" s="123">
        <v>86</v>
      </c>
      <c r="AS9" s="126" t="s">
        <v>562</v>
      </c>
      <c r="AT9" s="123"/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188/86</v>
      </c>
      <c r="AW9" s="128" t="str">
        <f ca="1">IF(AG9&lt;&gt;"",IF(BE9=1,BD9,IF(BH9=1,BG9,IF(BJ9=1,BI9,IF(BL9=1,BK9,BM9)))),"")</f>
        <v>Ďopan</v>
      </c>
      <c r="AX9" s="129" t="str">
        <f t="shared" ca="1" si="1"/>
        <v>11 OZ, 0 (0+0), -11 ±</v>
      </c>
      <c r="AY9" s="129" t="str">
        <f t="shared" ca="1" si="2"/>
        <v>200 OZ, 130 (49+81)</v>
      </c>
      <c r="AZ9" s="130"/>
      <c r="BA9" s="130"/>
      <c r="BB9" s="130"/>
      <c r="BC9" s="130"/>
      <c r="BD9" s="89" t="str">
        <f t="shared" si="3"/>
        <v>Ďopan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7"/>
      <c r="BT9" s="104" t="s">
        <v>1184</v>
      </c>
      <c r="BU9" s="103" t="s">
        <v>1185</v>
      </c>
      <c r="BV9" s="104" t="str">
        <f t="shared" si="13"/>
        <v>Tomáš Hyršl</v>
      </c>
      <c r="BW9" s="112">
        <f t="shared" si="14"/>
        <v>5.62</v>
      </c>
      <c r="BX9" s="416"/>
      <c r="BY9" s="103" t="s">
        <v>1143</v>
      </c>
      <c r="BZ9" s="103" t="s">
        <v>840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557</v>
      </c>
      <c r="T10" s="102" t="s">
        <v>58</v>
      </c>
      <c r="U10" s="102">
        <v>8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1</v>
      </c>
      <c r="AC10" s="102" t="str">
        <f t="shared" ca="1" si="0"/>
        <v>ANO</v>
      </c>
      <c r="AG10" s="121" t="s">
        <v>553</v>
      </c>
      <c r="AH10" s="122">
        <v>37464</v>
      </c>
      <c r="AI10" s="123">
        <v>14</v>
      </c>
      <c r="AJ10" s="123">
        <v>1</v>
      </c>
      <c r="AK10" s="123">
        <v>0</v>
      </c>
      <c r="AL10" s="124">
        <f>IF(AG10&lt;&gt;"",AJ10+AK10,"")</f>
        <v>1</v>
      </c>
      <c r="AM10" s="123">
        <v>3</v>
      </c>
      <c r="AN10" s="123">
        <v>23</v>
      </c>
      <c r="AO10" s="125"/>
      <c r="AP10" s="125" t="s">
        <v>27</v>
      </c>
      <c r="AQ10" s="123"/>
      <c r="AR10" s="123"/>
      <c r="AS10" s="126" t="s">
        <v>139</v>
      </c>
      <c r="AT10" s="123">
        <v>2011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Folauf</v>
      </c>
      <c r="AX10" s="129" t="str">
        <f t="shared" ca="1" si="1"/>
        <v>0 OZ, 0 (0+0)</v>
      </c>
      <c r="AY10" s="129" t="str">
        <f t="shared" ca="1" si="2"/>
        <v>14 OZ, 1 (1+0)</v>
      </c>
      <c r="AZ10" s="130"/>
      <c r="BA10" s="130"/>
      <c r="BB10" s="130"/>
      <c r="BC10" s="130"/>
      <c r="BD10" s="3" t="str">
        <f t="shared" si="3"/>
        <v>Folauf</v>
      </c>
      <c r="BE10" s="84">
        <f t="shared" ca="1" si="4"/>
        <v>1</v>
      </c>
      <c r="BF10" s="62" t="str">
        <f t="shared" si="5"/>
        <v>F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7"/>
      <c r="BV10" s="104" t="str">
        <f t="shared" si="13"/>
        <v/>
      </c>
      <c r="BW10" s="112" t="str">
        <f t="shared" si="14"/>
        <v/>
      </c>
      <c r="BX10" s="416"/>
      <c r="BY10" s="103" t="s">
        <v>1144</v>
      </c>
      <c r="BZ10" s="103" t="s">
        <v>842</v>
      </c>
      <c r="CA10" s="115" t="s">
        <v>188</v>
      </c>
    </row>
    <row r="11" spans="1:79" ht="15" customHeight="1" thickTop="1" thickBot="1" x14ac:dyDescent="0.25">
      <c r="R11" s="13"/>
      <c r="S11" s="110" t="s">
        <v>540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-11</v>
      </c>
      <c r="AC11" s="102" t="str">
        <f t="shared" ca="1" si="0"/>
        <v>ANO</v>
      </c>
      <c r="AG11" s="121" t="s">
        <v>537</v>
      </c>
      <c r="AH11" s="122">
        <v>34968</v>
      </c>
      <c r="AI11" s="123">
        <v>52</v>
      </c>
      <c r="AJ11" s="123">
        <v>44</v>
      </c>
      <c r="AK11" s="123">
        <v>62</v>
      </c>
      <c r="AL11" s="124">
        <f>IF(AG11&lt;&gt;"",AJ11+AK11,"")</f>
        <v>106</v>
      </c>
      <c r="AM11" s="123">
        <v>3</v>
      </c>
      <c r="AN11" s="123">
        <v>12</v>
      </c>
      <c r="AO11" s="125"/>
      <c r="AP11" s="125" t="s">
        <v>27</v>
      </c>
      <c r="AQ11" s="123">
        <v>175</v>
      </c>
      <c r="AR11" s="123">
        <v>72</v>
      </c>
      <c r="AS11" s="126" t="s">
        <v>68</v>
      </c>
      <c r="AT11" s="123">
        <v>2010</v>
      </c>
      <c r="AU11" s="127">
        <f ca="1">IF(AG11&lt;&gt;"",IF(AH11&lt;&gt;"",INT((TODAY()-AH11)/365),"?"),"")</f>
        <v>26</v>
      </c>
      <c r="AV11" s="127" t="str">
        <f>IF(AG11&lt;&gt;"",CONCATENATE(IF(AQ11&lt;&gt;"",AQ11,"? "),"/",IF(AR11&lt;&gt;"",AR11," ?")),"")</f>
        <v>175/72</v>
      </c>
      <c r="AW11" s="128" t="str">
        <f ca="1">IF(AG11&lt;&gt;"",IF(BE11=1,BD11,IF(BH11=1,BG11,IF(BJ11=1,BI11,IF(BL11=1,BK11,BM11)))),"")</f>
        <v>Forman F.</v>
      </c>
      <c r="AX11" s="129" t="str">
        <f t="shared" ca="1" si="1"/>
        <v>11 OZ, 36 (14+22), +24 ±</v>
      </c>
      <c r="AY11" s="129" t="str">
        <f t="shared" ca="1" si="2"/>
        <v>63 OZ, 142 (58+84)</v>
      </c>
      <c r="AZ11" s="130"/>
      <c r="BA11" s="130"/>
      <c r="BB11" s="130"/>
      <c r="BC11" s="130"/>
      <c r="BD11" s="89" t="str">
        <f t="shared" si="3"/>
        <v>Forman</v>
      </c>
      <c r="BE11" s="91">
        <f t="shared" ca="1" si="4"/>
        <v>2</v>
      </c>
      <c r="BF11" s="90" t="str">
        <f t="shared" si="5"/>
        <v>F</v>
      </c>
      <c r="BG11" s="89" t="str">
        <f t="shared" ca="1" si="6"/>
        <v>Forman F.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7"/>
      <c r="BV11" s="104" t="str">
        <f t="shared" si="13"/>
        <v/>
      </c>
      <c r="BW11" s="112" t="str">
        <f t="shared" si="14"/>
        <v/>
      </c>
      <c r="BX11" s="416"/>
      <c r="BY11" s="103" t="s">
        <v>1162</v>
      </c>
      <c r="BZ11" s="103" t="s">
        <v>831</v>
      </c>
      <c r="CA11" s="115" t="s">
        <v>188</v>
      </c>
    </row>
    <row r="12" spans="1:79" ht="15" customHeight="1" thickTop="1" thickBot="1" x14ac:dyDescent="0.25">
      <c r="A12" s="429" t="s">
        <v>540</v>
      </c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88</v>
      </c>
      <c r="H12" s="463" t="s">
        <v>7</v>
      </c>
      <c r="I12" s="463"/>
      <c r="J12" s="463"/>
      <c r="K12" s="463"/>
      <c r="M12" s="429" t="s">
        <v>3</v>
      </c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77</v>
      </c>
      <c r="S12" s="110" t="s">
        <v>552</v>
      </c>
      <c r="T12" s="102" t="s">
        <v>107</v>
      </c>
      <c r="U12" s="102">
        <v>8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554</v>
      </c>
      <c r="AH12" s="122">
        <v>34968</v>
      </c>
      <c r="AI12" s="123">
        <v>139</v>
      </c>
      <c r="AJ12" s="123">
        <v>26</v>
      </c>
      <c r="AK12" s="123">
        <v>11</v>
      </c>
      <c r="AL12" s="124">
        <f>IF(AG12&lt;&gt;"",AJ12+AK12,"")</f>
        <v>37</v>
      </c>
      <c r="AM12" s="123">
        <v>9</v>
      </c>
      <c r="AN12" s="123">
        <v>12</v>
      </c>
      <c r="AO12" s="125"/>
      <c r="AP12" s="125" t="s">
        <v>27</v>
      </c>
      <c r="AQ12" s="123">
        <v>175</v>
      </c>
      <c r="AR12" s="123">
        <v>72</v>
      </c>
      <c r="AS12" s="126" t="s">
        <v>68</v>
      </c>
      <c r="AT12" s="123"/>
      <c r="AU12" s="127">
        <f ca="1">IF(AG12&lt;&gt;"",IF(AH12&lt;&gt;"",INT((TODAY()-AH12)/365),"?"),"")</f>
        <v>26</v>
      </c>
      <c r="AV12" s="127" t="str">
        <f>IF(AG12&lt;&gt;"",CONCATENATE(IF(AQ12&lt;&gt;"",AQ12,"? "),"/",IF(AR12&lt;&gt;"",AR12," ?")),"")</f>
        <v>175/72</v>
      </c>
      <c r="AW12" s="128" t="str">
        <f ca="1">IF(AG12&lt;&gt;"",IF(BE12=1,BD12,IF(BH12=1,BG12,IF(BJ12=1,BI12,IF(BL12=1,BK12,BM12)))),"")</f>
        <v>Forman M.</v>
      </c>
      <c r="AX12" s="129" t="str">
        <f t="shared" ca="1" si="1"/>
        <v>0 OZ, 0 (0+0)</v>
      </c>
      <c r="AY12" s="129" t="str">
        <f t="shared" ca="1" si="2"/>
        <v>139 OZ, 37 (26+11)</v>
      </c>
      <c r="AZ12" s="130"/>
      <c r="BA12" s="130"/>
      <c r="BB12" s="130"/>
      <c r="BC12" s="130"/>
      <c r="BD12" s="3" t="str">
        <f t="shared" si="3"/>
        <v>Forman</v>
      </c>
      <c r="BE12" s="84">
        <f t="shared" ca="1" si="4"/>
        <v>2</v>
      </c>
      <c r="BF12" s="62" t="str">
        <f t="shared" si="5"/>
        <v>M</v>
      </c>
      <c r="BG12" s="3" t="str">
        <f t="shared" ca="1" si="6"/>
        <v>Forman M.</v>
      </c>
      <c r="BH12" s="62">
        <f t="shared" ca="1" si="7"/>
        <v>1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7" t="s">
        <v>37</v>
      </c>
      <c r="BT12" s="104" t="s">
        <v>575</v>
      </c>
      <c r="BU12" s="103">
        <v>18</v>
      </c>
      <c r="BV12" s="104" t="str">
        <f t="shared" si="13"/>
        <v>Karel Petrák</v>
      </c>
      <c r="BW12" s="102">
        <f t="shared" si="14"/>
        <v>18</v>
      </c>
      <c r="BX12" s="120" t="s">
        <v>191</v>
      </c>
      <c r="BY12" s="100" t="s">
        <v>1179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2">
        <f ca="1">IFERROR(IF(VLOOKUP(A12,OFFSET($AG$2,,,COUNTIF($AG$2:$AG$50,"?*"),23),2,FALSE)&lt;&gt;0,YEAR(VLOOKUP(A12,OFFSET($AG$2,,,COUNTIF($AG$2:$AG$50,"?*"),23),2,FALSE)),""),"")</f>
        <v>1991</v>
      </c>
      <c r="C13" s="423"/>
      <c r="D13" s="117">
        <f ca="1">IFERROR(VLOOKUP(A12,OFFSET($AG$2,,,COUNTIF($AG$2:$AG$50,"?*"),23),15,FALSE),"")</f>
        <v>30</v>
      </c>
      <c r="E13" s="424" t="str">
        <f ca="1">IFERROR(VLOOKUP(A12,OFFSET($AG$2,,,COUNTIF($AG$2:$AG$50,"?*"),23),16,FALSE),"")</f>
        <v>175/85</v>
      </c>
      <c r="F13" s="425"/>
      <c r="M13" s="4" t="str">
        <f ca="1">IFERROR(IF(VLOOKUP(M12,OFFSET($AG$2,,,COUNTIF($AG$2:$AG$50,"?*"),23),10,FALSE)&lt;&gt;0,VLOOKUP(M12,OFFSET($AG$2,,,COUNTIF($AG$2:$AG$50,"?*"),23),10,FALSE),""),"")</f>
        <v>L</v>
      </c>
      <c r="N13" s="422">
        <f ca="1">IFERROR(IF(VLOOKUP(M12,OFFSET($AG$2,,,COUNTIF($AG$2:$AG$50,"?*"),23),2,FALSE)&lt;&gt;0,YEAR(VLOOKUP(M12,OFFSET($AG$2,,,COUNTIF($AG$2:$AG$50,"?*"),23),2,FALSE)),""),"")</f>
        <v>1999</v>
      </c>
      <c r="O13" s="423"/>
      <c r="P13" s="117">
        <f ca="1">IFERROR(VLOOKUP(M12,OFFSET($AG$2,,,COUNTIF($AG$2:$AG$50,"?*"),23),15,FALSE),"")</f>
        <v>22</v>
      </c>
      <c r="Q13" s="424" t="str">
        <f ca="1">IFERROR(VLOOKUP(M12,OFFSET($AG$2,,,COUNTIF($AG$2:$AG$50,"?*"),23),16,FALSE),"")</f>
        <v>184/81</v>
      </c>
      <c r="R13" s="425"/>
      <c r="S13" s="110" t="s">
        <v>447</v>
      </c>
      <c r="T13" s="102" t="s">
        <v>107</v>
      </c>
      <c r="U13" s="102">
        <v>10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-9</v>
      </c>
      <c r="AC13" s="102" t="str">
        <f t="shared" ca="1" si="0"/>
        <v>ANO</v>
      </c>
      <c r="AG13" s="121" t="s">
        <v>541</v>
      </c>
      <c r="AH13" s="122">
        <v>37455</v>
      </c>
      <c r="AI13" s="123">
        <v>0</v>
      </c>
      <c r="AJ13" s="123">
        <v>0</v>
      </c>
      <c r="AK13" s="123">
        <v>0</v>
      </c>
      <c r="AL13" s="124">
        <f>IF(AG13&lt;&gt;"",AJ13+AK13,"")</f>
        <v>0</v>
      </c>
      <c r="AM13" s="123">
        <v>1</v>
      </c>
      <c r="AN13" s="123">
        <v>45</v>
      </c>
      <c r="AO13" s="125"/>
      <c r="AP13" s="125" t="s">
        <v>137</v>
      </c>
      <c r="AQ13" s="123">
        <v>183</v>
      </c>
      <c r="AR13" s="123">
        <v>80</v>
      </c>
      <c r="AS13" s="126" t="s">
        <v>1102</v>
      </c>
      <c r="AT13" s="123"/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183/80</v>
      </c>
      <c r="AW13" s="128" t="str">
        <f ca="1">IF(AG13&lt;&gt;"",IF(BE13=1,BD13,IF(BH13=1,BG13,IF(BJ13=1,BI13,IF(BL13=1,BK13,BM13)))),"")</f>
        <v>Gajdoš</v>
      </c>
      <c r="AX13" s="129" t="str">
        <f t="shared" ca="1" si="1"/>
        <v>8 OZ, 5 (2+3), -4 ±</v>
      </c>
      <c r="AY13" s="129" t="str">
        <f t="shared" ca="1" si="2"/>
        <v>8 OZ, 5 (2+3)</v>
      </c>
      <c r="AZ13" s="130"/>
      <c r="BA13" s="130"/>
      <c r="BB13" s="130"/>
      <c r="BC13" s="130"/>
      <c r="BD13" s="89" t="str">
        <f t="shared" si="3"/>
        <v>Gajdoš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7"/>
      <c r="BT13" s="104" t="s">
        <v>1059</v>
      </c>
      <c r="BU13" s="103">
        <v>14</v>
      </c>
      <c r="BV13" s="104" t="str">
        <f t="shared" si="13"/>
        <v>Filip Forman</v>
      </c>
      <c r="BW13" s="102">
        <f t="shared" si="14"/>
        <v>14</v>
      </c>
    </row>
    <row r="14" spans="1:79" ht="15" customHeight="1" thickTop="1" thickBot="1" x14ac:dyDescent="0.25">
      <c r="A14" s="458" t="str">
        <f ca="1">IFERROR(VLOOKUP(A12,OFFSET($AG$2,,,COUNTIF($AG$2:$AG$50,"?*"),23),18,FALSE),"")</f>
        <v>11 OZ, 2 (2+0), -11 ±</v>
      </c>
      <c r="B14" s="459"/>
      <c r="C14" s="459"/>
      <c r="D14" s="460" t="str">
        <f ca="1">IFERROR(VLOOKUP(A12,OFFSET($AG$2,,,COUNTIF($AG$2:$AG$50,"?*"),23),19,FALSE),"")</f>
        <v>221 OZ, 102 (46+56)</v>
      </c>
      <c r="E14" s="460"/>
      <c r="F14" s="461"/>
      <c r="G14" s="429" t="s">
        <v>541</v>
      </c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45</v>
      </c>
      <c r="M14" s="458" t="str">
        <f ca="1">IFERROR(VLOOKUP(M12,OFFSET($AG$2,,,COUNTIF($AG$2:$AG$50,"?*"),23),18,FALSE),"")</f>
        <v>7 OZ, 2 (2+0), -5 ±</v>
      </c>
      <c r="N14" s="459"/>
      <c r="O14" s="459"/>
      <c r="P14" s="460" t="str">
        <f ca="1">IFERROR(VLOOKUP(M12,OFFSET($AG$2,,,COUNTIF($AG$2:$AG$50,"?*"),23),19,FALSE),"")</f>
        <v>113 OZ, 65 (37+28)</v>
      </c>
      <c r="Q14" s="460"/>
      <c r="R14" s="461"/>
      <c r="S14" s="110" t="s">
        <v>549</v>
      </c>
      <c r="U14" s="102">
        <v>8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-5</v>
      </c>
      <c r="AC14" s="102" t="str">
        <f t="shared" ca="1" si="0"/>
        <v>ANO</v>
      </c>
      <c r="AG14" s="121" t="s">
        <v>542</v>
      </c>
      <c r="AH14" s="122">
        <v>34531</v>
      </c>
      <c r="AI14" s="123">
        <v>26</v>
      </c>
      <c r="AJ14" s="123">
        <v>0</v>
      </c>
      <c r="AK14" s="123">
        <v>0</v>
      </c>
      <c r="AL14" s="124">
        <f>IF(AG14&lt;&gt;"",AJ14+AK14,"")</f>
        <v>0</v>
      </c>
      <c r="AM14" s="123">
        <v>7</v>
      </c>
      <c r="AN14" s="123">
        <v>30</v>
      </c>
      <c r="AO14" s="125"/>
      <c r="AP14" s="125"/>
      <c r="AQ14" s="123">
        <v>185</v>
      </c>
      <c r="AR14" s="123">
        <v>75</v>
      </c>
      <c r="AS14" s="126" t="s">
        <v>68</v>
      </c>
      <c r="AT14" s="123"/>
      <c r="AU14" s="127">
        <f ca="1">IF(AG14&lt;&gt;"",IF(AH14&lt;&gt;"",INT((TODAY()-AH14)/365),"?"),"")</f>
        <v>27</v>
      </c>
      <c r="AV14" s="127" t="str">
        <f>IF(AG14&lt;&gt;"",CONCATENATE(IF(AQ14&lt;&gt;"",AQ14,"? "),"/",IF(AR14&lt;&gt;"",AR14," ?")),"")</f>
        <v>185/75</v>
      </c>
      <c r="AW14" s="128" t="str">
        <f ca="1">IF(AG14&lt;&gt;"",IF(BE14=1,BD14,IF(BH14=1,BG14,IF(BJ14=1,BI14,IF(BL14=1,BK14,BM14)))),"")</f>
        <v>Hyršl</v>
      </c>
      <c r="AX14" s="129" t="str">
        <f t="shared" ca="1" si="1"/>
        <v>2 V, 2 P</v>
      </c>
      <c r="AY14" s="129" t="str">
        <f t="shared" ca="1" si="2"/>
        <v>30 OZ, 0 A</v>
      </c>
      <c r="AZ14" s="130"/>
      <c r="BA14" s="130"/>
      <c r="BB14" s="130"/>
      <c r="BC14" s="130"/>
      <c r="BD14" s="3" t="str">
        <f t="shared" si="3"/>
        <v>Hyršl</v>
      </c>
      <c r="BE14" s="84">
        <f t="shared" ca="1" si="4"/>
        <v>1</v>
      </c>
      <c r="BF14" s="62" t="str">
        <f t="shared" si="5"/>
        <v>T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7"/>
      <c r="BT14" s="104" t="s">
        <v>855</v>
      </c>
      <c r="BU14" s="103">
        <v>14</v>
      </c>
      <c r="BV14" s="104" t="str">
        <f t="shared" si="13"/>
        <v>Jakub Buršík</v>
      </c>
      <c r="BW14" s="102">
        <f t="shared" si="14"/>
        <v>14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>Děkanka</v>
      </c>
      <c r="B15" s="447"/>
      <c r="C15" s="448"/>
      <c r="D15" s="449" t="str">
        <f ca="1">IFERROR(IF(VLOOKUP(A12,OFFSET($AG$2,,,COUNTIF($AG$2:$AG$50,"?*"),23),14,FALSE)&lt;&gt;0,VLOOKUP(A12,OFFSET($AG$2,,,COUNTIF($AG$2:$AG$50,"?*"),23),14,FALSE),"?"),"")</f>
        <v>?</v>
      </c>
      <c r="E15" s="450"/>
      <c r="F15" s="7">
        <f ca="1">IFERROR(IF(VLOOKUP(A12,OFFSET($AG$2,,,COUNTIF($AG$2:$AG$50,"?*"),23),7,FALSE)&lt;&gt;0,VLOOKUP(A12,OFFSET($AG$2,,,COUNTIF($AG$2:$AG$50,"?*"),23),7,FALSE),"?"),"")</f>
        <v>14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2">
        <f ca="1">IFERROR(IF(VLOOKUP(G14,OFFSET($AG$2,,,COUNTIF($AG$2:$AG$50,"?*"),23),2,FALSE)&lt;&gt;0,YEAR(VLOOKUP(G14,OFFSET($AG$2,,,COUNTIF($AG$2:$AG$50,"?*"),23),2,FALSE)),""),"")</f>
        <v>2002</v>
      </c>
      <c r="I15" s="423"/>
      <c r="J15" s="117">
        <f ca="1">IFERROR(VLOOKUP(G14,OFFSET($AG$2,,,COUNTIF($AG$2:$AG$50,"?*"),23),15,FALSE),"")</f>
        <v>19</v>
      </c>
      <c r="K15" s="424" t="str">
        <f ca="1">IFERROR(VLOOKUP(G14,OFFSET($AG$2,,,COUNTIF($AG$2:$AG$50,"?*"),23),16,FALSE),"")</f>
        <v>183/80</v>
      </c>
      <c r="L15" s="425"/>
      <c r="M15" s="446" t="str">
        <f ca="1">IFERROR(IF(VLOOKUP(M12,OFFSET($AG$2,,,COUNTIF($AG$2:$AG$50,"?*"),23),13,FALSE)&lt;&gt;0,VLOOKUP(M12,OFFSET($AG$2,,,COUNTIF($AG$2:$AG$50,"?*"),23),13,FALSE),"?"),"")</f>
        <v>Black Angels</v>
      </c>
      <c r="N15" s="447"/>
      <c r="O15" s="448"/>
      <c r="P15" s="449">
        <f ca="1">IFERROR(IF(VLOOKUP(M12,OFFSET($AG$2,,,COUNTIF($AG$2:$AG$50,"?*"),23),14,FALSE)&lt;&gt;0,VLOOKUP(M12,OFFSET($AG$2,,,COUNTIF($AG$2:$AG$50,"?*"),23),14,FALSE),"?"),"")</f>
        <v>2008</v>
      </c>
      <c r="Q15" s="450"/>
      <c r="R15" s="7">
        <f ca="1">IFERROR(IF(VLOOKUP(M12,OFFSET($AG$2,,,COUNTIF($AG$2:$AG$50,"?*"),23),7,FALSE)&lt;&gt;0,VLOOKUP(M12,OFFSET($AG$2,,,COUNTIF($AG$2:$AG$50,"?*"),23),7,FALSE),"?"),"")</f>
        <v>6</v>
      </c>
      <c r="S15" s="110" t="s">
        <v>548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-3</v>
      </c>
      <c r="AC15" s="102" t="str">
        <f t="shared" ca="1" si="0"/>
        <v>ANO</v>
      </c>
      <c r="AG15" s="121" t="s">
        <v>104</v>
      </c>
      <c r="AH15" s="122">
        <v>34883</v>
      </c>
      <c r="AI15" s="123">
        <v>92</v>
      </c>
      <c r="AJ15" s="123">
        <v>59</v>
      </c>
      <c r="AK15" s="123">
        <v>31</v>
      </c>
      <c r="AL15" s="124">
        <f>IF(AG15&lt;&gt;"",AJ15+AK15,"")</f>
        <v>90</v>
      </c>
      <c r="AM15" s="123">
        <v>8</v>
      </c>
      <c r="AN15" s="123">
        <v>61</v>
      </c>
      <c r="AO15" s="125"/>
      <c r="AP15" s="125" t="s">
        <v>137</v>
      </c>
      <c r="AQ15" s="123">
        <v>191</v>
      </c>
      <c r="AR15" s="123">
        <v>78</v>
      </c>
      <c r="AS15" s="126" t="s">
        <v>250</v>
      </c>
      <c r="AT15" s="123"/>
      <c r="AU15" s="127">
        <f ca="1">IF(AG15&lt;&gt;"",IF(AH15&lt;&gt;"",INT((TODAY()-AH15)/365),"?"),"")</f>
        <v>26</v>
      </c>
      <c r="AV15" s="127" t="str">
        <f>IF(AG15&lt;&gt;"",CONCATENATE(IF(AQ15&lt;&gt;"",AQ15,"? "),"/",IF(AR15&lt;&gt;"",AR15," ?")),"")</f>
        <v>191/78</v>
      </c>
      <c r="AW15" s="128" t="str">
        <f ca="1">IF(AG15&lt;&gt;"",IF(BE15=1,BD15,IF(BH15=1,BG15,IF(BJ15=1,BI15,IF(BL15=1,BK15,BM15)))),"")</f>
        <v>Kopecký</v>
      </c>
      <c r="AX15" s="129" t="str">
        <f t="shared" ca="1" si="1"/>
        <v>0 OZ, 0 (0+0)</v>
      </c>
      <c r="AY15" s="129" t="str">
        <f t="shared" ca="1" si="2"/>
        <v>92 OZ, 90 (59+31)</v>
      </c>
      <c r="AZ15" s="130"/>
      <c r="BA15" s="130"/>
      <c r="BB15" s="130"/>
      <c r="BC15" s="130"/>
      <c r="BD15" s="89" t="str">
        <f t="shared" si="3"/>
        <v>Kopecký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7"/>
      <c r="BT15" s="104" t="s">
        <v>809</v>
      </c>
      <c r="BU15" s="103">
        <v>5</v>
      </c>
      <c r="BV15" s="104" t="str">
        <f t="shared" si="13"/>
        <v>Jan Malič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>8 OZ, 5 (2+3), -4 ±</v>
      </c>
      <c r="H16" s="459"/>
      <c r="I16" s="459"/>
      <c r="J16" s="460" t="str">
        <f ca="1">IFERROR(VLOOKUP(G14,OFFSET($AG$2,,,COUNTIF($AG$2:$AG$50,"?*"),23),19,FALSE),"")</f>
        <v>8 OZ, 5 (2+3)</v>
      </c>
      <c r="K16" s="460"/>
      <c r="L16" s="461"/>
      <c r="S16" s="110" t="s">
        <v>550</v>
      </c>
      <c r="U16" s="102">
        <v>11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4</v>
      </c>
      <c r="AB16" s="102">
        <v>-8</v>
      </c>
      <c r="AC16" s="102" t="str">
        <f t="shared" ca="1" si="0"/>
        <v>ANO</v>
      </c>
      <c r="AG16" s="121" t="s">
        <v>545</v>
      </c>
      <c r="AH16" s="122">
        <v>37049</v>
      </c>
      <c r="AI16" s="123">
        <v>20</v>
      </c>
      <c r="AJ16" s="123">
        <v>2</v>
      </c>
      <c r="AK16" s="123">
        <v>0</v>
      </c>
      <c r="AL16" s="124">
        <f>IF(AG16&lt;&gt;"",AJ16+AK16,"")</f>
        <v>2</v>
      </c>
      <c r="AM16" s="123">
        <v>2</v>
      </c>
      <c r="AN16" s="123">
        <v>74</v>
      </c>
      <c r="AO16" s="125"/>
      <c r="AP16" s="125" t="s">
        <v>27</v>
      </c>
      <c r="AQ16" s="123">
        <v>184</v>
      </c>
      <c r="AR16" s="123">
        <v>76</v>
      </c>
      <c r="AS16" s="126" t="s">
        <v>68</v>
      </c>
      <c r="AT16" s="123">
        <v>2009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184/76</v>
      </c>
      <c r="AW16" s="128" t="str">
        <f ca="1">IF(AG16&lt;&gt;"",IF(BE16=1,BD16,IF(BH16=1,BG16,IF(BJ16=1,BI16,IF(BL16=1,BK16,BM16)))),"")</f>
        <v>Kratina</v>
      </c>
      <c r="AX16" s="129" t="str">
        <f t="shared" ca="1" si="1"/>
        <v>10 OZ, 3 (1+2), -4 ±</v>
      </c>
      <c r="AY16" s="129" t="str">
        <f t="shared" ca="1" si="2"/>
        <v>30 OZ, 5 (3+2)</v>
      </c>
      <c r="AZ16" s="130"/>
      <c r="BA16" s="130"/>
      <c r="BB16" s="130"/>
      <c r="BC16" s="130"/>
      <c r="BD16" s="3" t="str">
        <f t="shared" si="3"/>
        <v>Kratina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7"/>
      <c r="BT16" s="104" t="s">
        <v>1181</v>
      </c>
      <c r="BU16" s="103">
        <v>4</v>
      </c>
      <c r="BV16" s="104" t="str">
        <f t="shared" si="13"/>
        <v>Patrik Šebek</v>
      </c>
      <c r="BW16" s="102">
        <f t="shared" si="14"/>
        <v>4</v>
      </c>
    </row>
    <row r="17" spans="1:75" ht="15" customHeight="1" thickTop="1" thickBot="1" x14ac:dyDescent="0.25">
      <c r="A17" s="429" t="s">
        <v>547</v>
      </c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84</v>
      </c>
      <c r="G17" s="446" t="str">
        <f ca="1">IFERROR(IF(VLOOKUP(G14,OFFSET($AG$2,,,COUNTIF($AG$2:$AG$50,"?*"),23),13,FALSE)&lt;&gt;0,VLOOKUP(G14,OFFSET($AG$2,,,COUNTIF($AG$2:$AG$50,"?*"),23),13,FALSE),"?"),"")</f>
        <v>Snipers Bratislava</v>
      </c>
      <c r="H17" s="447"/>
      <c r="I17" s="448"/>
      <c r="J17" s="449" t="str">
        <f ca="1">IFERROR(IF(VLOOKUP(G14,OFFSET($AG$2,,,COUNTIF($AG$2:$AG$50,"?*"),23),14,FALSE)&lt;&gt;0,VLOOKUP(G14,OFFSET($AG$2,,,COUNTIF($AG$2:$AG$50,"?*"),23),14,FALSE),"?"),"")</f>
        <v>?</v>
      </c>
      <c r="K17" s="450"/>
      <c r="L17" s="7">
        <f ca="1">IFERROR(IF(VLOOKUP(G14,OFFSET($AG$2,,,COUNTIF($AG$2:$AG$50,"?*"),23),7,FALSE)&lt;&gt;0,VLOOKUP(G14,OFFSET($AG$2,,,COUNTIF($AG$2:$AG$50,"?*"),23),7,FALSE),"?"),"")</f>
        <v>1</v>
      </c>
      <c r="M17" s="429" t="s">
        <v>550</v>
      </c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24</v>
      </c>
      <c r="S17" s="110" t="s">
        <v>767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555</v>
      </c>
      <c r="AH17" s="122">
        <v>36111</v>
      </c>
      <c r="AI17" s="123">
        <v>141</v>
      </c>
      <c r="AJ17" s="123">
        <v>24</v>
      </c>
      <c r="AK17" s="123">
        <v>29</v>
      </c>
      <c r="AL17" s="124">
        <f>IF(AG17&lt;&gt;"",AJ17+AK17,"")</f>
        <v>53</v>
      </c>
      <c r="AM17" s="123">
        <v>7</v>
      </c>
      <c r="AN17" s="123">
        <v>98</v>
      </c>
      <c r="AO17" s="125"/>
      <c r="AP17" s="125" t="s">
        <v>137</v>
      </c>
      <c r="AQ17" s="123">
        <v>183</v>
      </c>
      <c r="AR17" s="123">
        <v>73</v>
      </c>
      <c r="AS17" s="126" t="s">
        <v>68</v>
      </c>
      <c r="AT17" s="123">
        <v>2006</v>
      </c>
      <c r="AU17" s="127">
        <f ca="1">IF(AG17&lt;&gt;"",IF(AH17&lt;&gt;"",INT((TODAY()-AH17)/365),"?"),"")</f>
        <v>22</v>
      </c>
      <c r="AV17" s="127" t="str">
        <f>IF(AG17&lt;&gt;"",CONCATENATE(IF(AQ17&lt;&gt;"",AQ17,"? "),"/",IF(AR17&lt;&gt;"",AR17," ?")),"")</f>
        <v>183/73</v>
      </c>
      <c r="AW17" s="128" t="str">
        <f ca="1">IF(AG17&lt;&gt;"",IF(BE17=1,BD17,IF(BH17=1,BG17,IF(BJ17=1,BI17,IF(BL17=1,BK17,BM17)))),"")</f>
        <v>Krbec</v>
      </c>
      <c r="AX17" s="129" t="str">
        <f t="shared" ca="1" si="1"/>
        <v>0 OZ, 0 (0+0)</v>
      </c>
      <c r="AY17" s="129" t="str">
        <f t="shared" ca="1" si="2"/>
        <v>141 OZ, 53 (24+29)</v>
      </c>
      <c r="AZ17" s="130"/>
      <c r="BA17" s="130"/>
      <c r="BB17" s="130"/>
      <c r="BC17" s="130"/>
      <c r="BD17" s="89" t="str">
        <f t="shared" si="3"/>
        <v>Krbec</v>
      </c>
      <c r="BE17" s="91">
        <f t="shared" ca="1" si="4"/>
        <v>1</v>
      </c>
      <c r="BF17" s="90" t="str">
        <f t="shared" si="5"/>
        <v>K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7" t="s">
        <v>41</v>
      </c>
      <c r="BT17" s="104" t="s">
        <v>577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P</v>
      </c>
      <c r="B18" s="422">
        <f ca="1">IFERROR(IF(VLOOKUP(A17,OFFSET($AG$2,,,COUNTIF($AG$2:$AG$50,"?*"),23),2,FALSE)&lt;&gt;0,YEAR(VLOOKUP(A17,OFFSET($AG$2,,,COUNTIF($AG$2:$AG$50,"?*"),23),2,FALSE)),""),"")</f>
        <v>1993</v>
      </c>
      <c r="C18" s="423"/>
      <c r="D18" s="149">
        <f ca="1">IFERROR(VLOOKUP(A17,OFFSET($AG$2,,,COUNTIF($AG$2:$AG$50,"?*"),23),15,FALSE),"")</f>
        <v>27</v>
      </c>
      <c r="E18" s="424" t="str">
        <f ca="1">IFERROR(VLOOKUP(A17,OFFSET($AG$2,,,COUNTIF($AG$2:$AG$50,"?*"),23),16,FALSE),"")</f>
        <v>188/86</v>
      </c>
      <c r="F18" s="425"/>
      <c r="M18" s="4" t="str">
        <f ca="1">IFERROR(IF(VLOOKUP(M17,OFFSET($AG$2,,,COUNTIF($AG$2:$AG$50,"?*"),23),10,FALSE)&lt;&gt;0,VLOOKUP(M17,OFFSET($AG$2,,,COUNTIF($AG$2:$AG$50,"?*"),23),10,FALSE),""),"")</f>
        <v>L</v>
      </c>
      <c r="N18" s="422">
        <f ca="1">IFERROR(IF(VLOOKUP(M17,OFFSET($AG$2,,,COUNTIF($AG$2:$AG$50,"?*"),23),2,FALSE)&lt;&gt;0,YEAR(VLOOKUP(M17,OFFSET($AG$2,,,COUNTIF($AG$2:$AG$50,"?*"),23),2,FALSE)),""),"")</f>
        <v>2004</v>
      </c>
      <c r="O18" s="423"/>
      <c r="P18" s="117">
        <f ca="1">IFERROR(VLOOKUP(M17,OFFSET($AG$2,,,COUNTIF($AG$2:$AG$50,"?*"),23),15,FALSE),"")</f>
        <v>17</v>
      </c>
      <c r="Q18" s="424" t="str">
        <f ca="1">IFERROR(VLOOKUP(M17,OFFSET($AG$2,,,COUNTIF($AG$2:$AG$50,"?*"),23),16,FALSE),"")</f>
        <v>186/77</v>
      </c>
      <c r="R18" s="425"/>
      <c r="S18" s="110" t="s">
        <v>766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551</v>
      </c>
      <c r="AH18" s="122">
        <v>32940</v>
      </c>
      <c r="AI18" s="123">
        <v>178</v>
      </c>
      <c r="AJ18" s="123">
        <v>32</v>
      </c>
      <c r="AK18" s="123">
        <v>36</v>
      </c>
      <c r="AL18" s="124">
        <f>IF(AG18&lt;&gt;"",AJ18+AK18,"")</f>
        <v>68</v>
      </c>
      <c r="AM18" s="123">
        <v>11</v>
      </c>
      <c r="AN18" s="123">
        <v>39</v>
      </c>
      <c r="AO18" s="125"/>
      <c r="AP18" s="125" t="s">
        <v>27</v>
      </c>
      <c r="AQ18" s="123">
        <v>184</v>
      </c>
      <c r="AR18" s="123">
        <v>90</v>
      </c>
      <c r="AS18" s="126" t="s">
        <v>68</v>
      </c>
      <c r="AT18" s="123"/>
      <c r="AU18" s="127">
        <f ca="1">IF(AG18&lt;&gt;"",IF(AH18&lt;&gt;"",INT((TODAY()-AH18)/365),"?"),"")</f>
        <v>31</v>
      </c>
      <c r="AV18" s="127" t="str">
        <f>IF(AG18&lt;&gt;"",CONCATENATE(IF(AQ18&lt;&gt;"",AQ18,"? "),"/",IF(AR18&lt;&gt;"",AR18," ?")),"")</f>
        <v>184/90</v>
      </c>
      <c r="AW18" s="128" t="str">
        <f ca="1">IF(AG18&lt;&gt;"",IF(BE18=1,BD18,IF(BH18=1,BG18,IF(BJ18=1,BI18,IF(BL18=1,BK18,BM18)))),"")</f>
        <v>Kuncman</v>
      </c>
      <c r="AX18" s="129" t="str">
        <f t="shared" ca="1" si="1"/>
        <v>9 OZ, 0 (0+0), -8 ±</v>
      </c>
      <c r="AY18" s="129" t="str">
        <f t="shared" ca="1" si="2"/>
        <v>187 OZ, 68 (32+36)</v>
      </c>
      <c r="AZ18" s="130"/>
      <c r="BA18" s="130"/>
      <c r="BB18" s="130"/>
      <c r="BC18" s="130"/>
      <c r="BD18" s="3" t="str">
        <f t="shared" si="3"/>
        <v>Kuncman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7"/>
      <c r="BT18" s="104" t="s">
        <v>1183</v>
      </c>
      <c r="BU18" s="103">
        <v>2</v>
      </c>
      <c r="BV18" s="104" t="str">
        <f t="shared" si="13"/>
        <v>Jakub Zavřel</v>
      </c>
      <c r="BW18" s="102">
        <f t="shared" si="14"/>
        <v>2</v>
      </c>
    </row>
    <row r="19" spans="1:75" ht="15" customHeight="1" x14ac:dyDescent="0.2">
      <c r="A19" s="458" t="str">
        <f ca="1">IFERROR(VLOOKUP(A17,OFFSET($AG$2,,,COUNTIF($AG$2:$AG$50,"?*"),23),18,FALSE),"")</f>
        <v>11 OZ, 0 (0+0), -11 ±</v>
      </c>
      <c r="B19" s="459"/>
      <c r="C19" s="459"/>
      <c r="D19" s="460" t="str">
        <f ca="1">IFERROR(VLOOKUP(A17,OFFSET($AG$2,,,COUNTIF($AG$2:$AG$50,"?*"),23),19,FALSE),"")</f>
        <v>200 OZ, 130 (49+81)</v>
      </c>
      <c r="E19" s="460"/>
      <c r="F19" s="461"/>
      <c r="H19" s="462" t="str">
        <f>H$8</f>
        <v>BOH</v>
      </c>
      <c r="I19" s="462"/>
      <c r="J19" s="462"/>
      <c r="K19" s="462"/>
      <c r="M19" s="458" t="str">
        <f ca="1">IFERROR(VLOOKUP(M17,OFFSET($AG$2,,,COUNTIF($AG$2:$AG$50,"?*"),23),18,FALSE),"")</f>
        <v>11 OZ, 1 (1+0), -8 ±</v>
      </c>
      <c r="N19" s="459"/>
      <c r="O19" s="459"/>
      <c r="P19" s="460" t="str">
        <f ca="1">IFERROR(VLOOKUP(M17,OFFSET($AG$2,,,COUNTIF($AG$2:$AG$50,"?*"),23),19,FALSE),"")</f>
        <v>11 OZ, 1 (1+0)</v>
      </c>
      <c r="Q19" s="460"/>
      <c r="R19" s="461"/>
      <c r="S19" s="110" t="s">
        <v>543</v>
      </c>
      <c r="T19" s="102" t="s">
        <v>58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538</v>
      </c>
      <c r="AH19" s="122">
        <v>37650</v>
      </c>
      <c r="AI19" s="123">
        <v>26</v>
      </c>
      <c r="AJ19" s="123">
        <v>13</v>
      </c>
      <c r="AK19" s="123">
        <v>18</v>
      </c>
      <c r="AL19" s="124">
        <f>IF(AG19&lt;&gt;"",AJ19+AK19,"")</f>
        <v>31</v>
      </c>
      <c r="AM19" s="123">
        <v>2</v>
      </c>
      <c r="AN19" s="123">
        <v>38</v>
      </c>
      <c r="AO19" s="125"/>
      <c r="AP19" s="125" t="s">
        <v>137</v>
      </c>
      <c r="AQ19" s="123">
        <v>175</v>
      </c>
      <c r="AR19" s="123">
        <v>65</v>
      </c>
      <c r="AS19" s="126" t="s">
        <v>139</v>
      </c>
      <c r="AT19" s="123">
        <v>2009</v>
      </c>
      <c r="AU19" s="127">
        <f ca="1">IF(AG19&lt;&gt;"",IF(AH19&lt;&gt;"",INT((TODAY()-AH19)/365),"?"),"")</f>
        <v>18</v>
      </c>
      <c r="AV19" s="127" t="str">
        <f>IF(AG19&lt;&gt;"",CONCATENATE(IF(AQ19&lt;&gt;"",AQ19,"? "),"/",IF(AR19&lt;&gt;"",AR19," ?")),"")</f>
        <v>175/65</v>
      </c>
      <c r="AW19" s="128" t="str">
        <f ca="1">IF(AG19&lt;&gt;"",IF(BE19=1,BD19,IF(BH19=1,BG19,IF(BJ19=1,BI19,IF(BL19=1,BK19,BM19)))),"")</f>
        <v>Malič</v>
      </c>
      <c r="AX19" s="129" t="str">
        <f t="shared" ca="1" si="1"/>
        <v>8 OZ, 11 (5+6), +23 ±</v>
      </c>
      <c r="AY19" s="129" t="str">
        <f t="shared" ca="1" si="2"/>
        <v>34 OZ, 42 (18+24)</v>
      </c>
      <c r="AZ19" s="130"/>
      <c r="BA19" s="130"/>
      <c r="BB19" s="130"/>
      <c r="BC19" s="130"/>
      <c r="BD19" s="89" t="str">
        <f t="shared" si="3"/>
        <v>Malič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7"/>
      <c r="BT19" s="104" t="s">
        <v>1184</v>
      </c>
      <c r="BU19" s="103">
        <v>2</v>
      </c>
      <c r="BV19" s="104" t="str">
        <f t="shared" si="13"/>
        <v>Tomáš Hyršl</v>
      </c>
      <c r="BW19" s="102">
        <f t="shared" si="14"/>
        <v>2</v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>FbK Jeseník</v>
      </c>
      <c r="B20" s="447"/>
      <c r="C20" s="448"/>
      <c r="D20" s="449" t="str">
        <f ca="1">IFERROR(IF(VLOOKUP(A17,OFFSET($AG$2,,,COUNTIF($AG$2:$AG$50,"?*"),23),14,FALSE)&lt;&gt;0,VLOOKUP(A17,OFFSET($AG$2,,,COUNTIF($AG$2:$AG$50,"?*"),23),14,FALSE),"?"),"")</f>
        <v>?</v>
      </c>
      <c r="E20" s="450"/>
      <c r="F20" s="7">
        <f ca="1">IFERROR(IF(VLOOKUP(A17,OFFSET($AG$2,,,COUNTIF($AG$2:$AG$50,"?*"),23),7,FALSE)&lt;&gt;0,VLOOKUP(A17,OFFSET($AG$2,,,COUNTIF($AG$2:$AG$50,"?*"),23),7,FALSE),"?"),"")</f>
        <v>11</v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>FbŠ Bohemians</v>
      </c>
      <c r="N20" s="447"/>
      <c r="O20" s="448"/>
      <c r="P20" s="449" t="str">
        <f ca="1">IFERROR(IF(VLOOKUP(M17,OFFSET($AG$2,,,COUNTIF($AG$2:$AG$50,"?*"),23),14,FALSE)&lt;&gt;0,VLOOKUP(M17,OFFSET($AG$2,,,COUNTIF($AG$2:$AG$50,"?*"),23),14,FALSE),"?"),"")</f>
        <v>?</v>
      </c>
      <c r="Q20" s="450"/>
      <c r="R20" s="7">
        <f ca="1">IFERROR(IF(VLOOKUP(M17,OFFSET($AG$2,,,COUNTIF($AG$2:$AG$50,"?*"),23),7,FALSE)&lt;&gt;0,VLOOKUP(M17,OFFSET($AG$2,,,COUNTIF($AG$2:$AG$50,"?*"),23),7,FALSE),"?"),"")</f>
        <v>1</v>
      </c>
      <c r="S20" s="110" t="s">
        <v>1177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544</v>
      </c>
      <c r="AH20" s="122">
        <v>31624</v>
      </c>
      <c r="AI20" s="123">
        <v>195</v>
      </c>
      <c r="AJ20" s="123">
        <v>0</v>
      </c>
      <c r="AK20" s="123">
        <v>4</v>
      </c>
      <c r="AL20" s="124">
        <f>IF(AG20&lt;&gt;"",AJ20+AK20,"")</f>
        <v>4</v>
      </c>
      <c r="AM20" s="123">
        <v>11</v>
      </c>
      <c r="AN20" s="123">
        <v>1</v>
      </c>
      <c r="AO20" s="125"/>
      <c r="AP20" s="125"/>
      <c r="AQ20" s="123">
        <v>175</v>
      </c>
      <c r="AR20" s="123">
        <v>75</v>
      </c>
      <c r="AS20" s="126" t="s">
        <v>563</v>
      </c>
      <c r="AT20" s="123">
        <v>2000</v>
      </c>
      <c r="AU20" s="127">
        <f ca="1">IF(AG20&lt;&gt;"",IF(AH20&lt;&gt;"",INT((TODAY()-AH20)/365),"?"),"")</f>
        <v>35</v>
      </c>
      <c r="AV20" s="127" t="str">
        <f>IF(AG20&lt;&gt;"",CONCATENATE(IF(AQ20&lt;&gt;"",AQ20,"? "),"/",IF(AR20&lt;&gt;"",AR20," ?")),"")</f>
        <v>175/75</v>
      </c>
      <c r="AW20" s="128" t="str">
        <f ca="1">IF(AG20&lt;&gt;"",IF(BE20=1,BD20,IF(BH20=1,BG20,IF(BJ20=1,BI20,IF(BL20=1,BK20,BM20)))),"")</f>
        <v>Michajlovič</v>
      </c>
      <c r="AX20" s="129" t="str">
        <f t="shared" ca="1" si="1"/>
        <v>4 V, 2 P</v>
      </c>
      <c r="AY20" s="129" t="str">
        <f t="shared" ca="1" si="2"/>
        <v>201 OZ, 4 A</v>
      </c>
      <c r="AZ20" s="130"/>
      <c r="BA20" s="130"/>
      <c r="BB20" s="130"/>
      <c r="BC20" s="130"/>
      <c r="BD20" s="3" t="str">
        <f t="shared" si="3"/>
        <v>Michajlovič</v>
      </c>
      <c r="BE20" s="84">
        <f t="shared" ca="1" si="4"/>
        <v>1</v>
      </c>
      <c r="BF20" s="62" t="str">
        <f t="shared" si="5"/>
        <v>R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560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556</v>
      </c>
      <c r="AH21" s="122">
        <v>37315</v>
      </c>
      <c r="AI21" s="123">
        <v>1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71</v>
      </c>
      <c r="AO21" s="125"/>
      <c r="AP21" s="125" t="s">
        <v>137</v>
      </c>
      <c r="AQ21" s="123"/>
      <c r="AR21" s="123"/>
      <c r="AS21" s="126" t="s">
        <v>564</v>
      </c>
      <c r="AT21" s="123">
        <v>2010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Otcovský</v>
      </c>
      <c r="AX21" s="129" t="str">
        <f t="shared" ca="1" si="1"/>
        <v>0 OZ, 0 (0+0)</v>
      </c>
      <c r="AY21" s="129" t="str">
        <f t="shared" ca="1" si="2"/>
        <v>1 OZ, 0 (0+0)</v>
      </c>
      <c r="AZ21" s="130"/>
      <c r="BA21" s="130"/>
      <c r="BB21" s="130"/>
      <c r="BC21" s="130"/>
      <c r="BD21" s="89" t="str">
        <f t="shared" si="3"/>
        <v>Otcovský</v>
      </c>
      <c r="BE21" s="91">
        <f t="shared" ca="1" si="4"/>
        <v>1</v>
      </c>
      <c r="BF21" s="90" t="str">
        <f t="shared" si="5"/>
        <v>T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1058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659</v>
      </c>
      <c r="AH22" s="122">
        <v>1996</v>
      </c>
      <c r="AI22" s="123">
        <v>85</v>
      </c>
      <c r="AJ22" s="123">
        <v>0</v>
      </c>
      <c r="AK22" s="123">
        <v>1</v>
      </c>
      <c r="AL22" s="124">
        <f>IF(AG22&lt;&gt;"",AJ22+AK22,"")</f>
        <v>1</v>
      </c>
      <c r="AM22" s="123">
        <v>5</v>
      </c>
      <c r="AN22" s="123">
        <v>97</v>
      </c>
      <c r="AO22" s="125"/>
      <c r="AP22" s="125" t="s">
        <v>137</v>
      </c>
      <c r="AQ22" s="123">
        <v>185</v>
      </c>
      <c r="AR22" s="123">
        <v>88</v>
      </c>
      <c r="AS22" s="126" t="s">
        <v>404</v>
      </c>
      <c r="AT22" s="123">
        <v>2007</v>
      </c>
      <c r="AU22" s="127">
        <f ca="1">IF(AG22&lt;&gt;"",IF(AH22&lt;&gt;"",INT((TODAY()-AH22)/365),"?"),"")</f>
        <v>116</v>
      </c>
      <c r="AV22" s="127" t="str">
        <f>IF(AG22&lt;&gt;"",CONCATENATE(IF(AQ22&lt;&gt;"",AQ22,"? "),"/",IF(AR22&lt;&gt;"",AR22," ?")),"")</f>
        <v>185/88</v>
      </c>
      <c r="AW22" s="128" t="str">
        <f ca="1">IF(AG22&lt;&gt;"",IF(BE22=1,BD22,IF(BH22=1,BG22,IF(BJ22=1,BI22,IF(BL22=1,BK22,BM22)))),"")</f>
        <v>Pastor</v>
      </c>
      <c r="AX22" s="129" t="str">
        <f t="shared" ca="1" si="1"/>
        <v>8 OZ, 0 (0+0), -1 ±</v>
      </c>
      <c r="AY22" s="129" t="str">
        <f t="shared" ca="1" si="2"/>
        <v>93 OZ, 1 (0+1)</v>
      </c>
      <c r="AZ22" s="130"/>
      <c r="BA22" s="130"/>
      <c r="BB22" s="130"/>
      <c r="BC22" s="130"/>
      <c r="BD22" s="3" t="str">
        <f t="shared" si="3"/>
        <v>Pastor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7" t="s">
        <v>38</v>
      </c>
      <c r="BT22" s="104" t="s">
        <v>578</v>
      </c>
      <c r="BU22" s="103">
        <v>22</v>
      </c>
      <c r="BV22" s="104" t="str">
        <f t="shared" si="13"/>
        <v>Filip Forman</v>
      </c>
      <c r="BW22" s="102">
        <f t="shared" si="14"/>
        <v>22</v>
      </c>
    </row>
    <row r="23" spans="1:75" ht="15" customHeight="1" thickTop="1" thickBot="1" x14ac:dyDescent="0.25">
      <c r="A23" s="429" t="s">
        <v>546</v>
      </c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14</v>
      </c>
      <c r="H23" s="463" t="s">
        <v>13</v>
      </c>
      <c r="I23" s="463"/>
      <c r="J23" s="463"/>
      <c r="K23" s="463"/>
      <c r="M23" s="429" t="s">
        <v>549</v>
      </c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29</v>
      </c>
      <c r="S23" s="110" t="s">
        <v>659</v>
      </c>
      <c r="T23" s="102" t="s">
        <v>58</v>
      </c>
      <c r="U23" s="102">
        <v>8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-1</v>
      </c>
      <c r="AC23" s="102" t="str">
        <f t="shared" ca="1" si="0"/>
        <v>ANO</v>
      </c>
      <c r="AG23" s="121" t="s">
        <v>370</v>
      </c>
      <c r="AH23" s="122">
        <v>37358</v>
      </c>
      <c r="AI23" s="123">
        <v>33</v>
      </c>
      <c r="AJ23" s="123">
        <v>31</v>
      </c>
      <c r="AK23" s="123">
        <v>15</v>
      </c>
      <c r="AL23" s="124">
        <f>IF(AG23&lt;&gt;"",AJ23+AK23,"")</f>
        <v>46</v>
      </c>
      <c r="AM23" s="123">
        <v>3</v>
      </c>
      <c r="AN23" s="123">
        <v>41</v>
      </c>
      <c r="AO23" s="125"/>
      <c r="AP23" s="125" t="s">
        <v>27</v>
      </c>
      <c r="AQ23" s="123">
        <v>168</v>
      </c>
      <c r="AR23" s="123">
        <v>70</v>
      </c>
      <c r="AS23" s="126" t="s">
        <v>294</v>
      </c>
      <c r="AT23" s="123"/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168/70</v>
      </c>
      <c r="AW23" s="128" t="str">
        <f ca="1">IF(AG23&lt;&gt;"",IF(BE23=1,BD23,IF(BH23=1,BG23,IF(BJ23=1,BI23,IF(BL23=1,BK23,BM23)))),"")</f>
        <v>Pěnička</v>
      </c>
      <c r="AX23" s="129" t="str">
        <f t="shared" ca="1" si="1"/>
        <v>0 OZ, 0 (0+0)</v>
      </c>
      <c r="AY23" s="129" t="str">
        <f t="shared" ca="1" si="2"/>
        <v>33 OZ, 46 (31+15)</v>
      </c>
      <c r="AZ23" s="130"/>
      <c r="BA23" s="130"/>
      <c r="BB23" s="130"/>
      <c r="BC23" s="130"/>
      <c r="BD23" s="89" t="str">
        <f t="shared" si="3"/>
        <v>Pěnička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7"/>
      <c r="BT23" s="104" t="s">
        <v>576</v>
      </c>
      <c r="BU23" s="103">
        <v>12</v>
      </c>
      <c r="BV23" s="104" t="str">
        <f t="shared" si="13"/>
        <v>Jakub Buršík</v>
      </c>
      <c r="BW23" s="102">
        <f t="shared" si="14"/>
        <v>12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2">
        <f ca="1">IFERROR(IF(VLOOKUP(A23,OFFSET($AG$2,,,COUNTIF($AG$2:$AG$50,"?*"),23),2,FALSE)&lt;&gt;0,YEAR(VLOOKUP(A23,OFFSET($AG$2,,,COUNTIF($AG$2:$AG$50,"?*"),23),2,FALSE)),""),"")</f>
        <v>2004</v>
      </c>
      <c r="C24" s="423"/>
      <c r="D24" s="117">
        <f ca="1">IFERROR(VLOOKUP(A23,OFFSET($AG$2,,,COUNTIF($AG$2:$AG$50,"?*"),23),15,FALSE),"")</f>
        <v>17</v>
      </c>
      <c r="E24" s="424" t="str">
        <f ca="1">IFERROR(VLOOKUP(A23,OFFSET($AG$2,,,COUNTIF($AG$2:$AG$50,"?*"),23),16,FALSE),"")</f>
        <v>? / ?</v>
      </c>
      <c r="F24" s="425"/>
      <c r="M24" s="4" t="str">
        <f ca="1">IFERROR(IF(VLOOKUP(M23,OFFSET($AG$2,,,COUNTIF($AG$2:$AG$50,"?*"),23),10,FALSE)&lt;&gt;0,VLOOKUP(M23,OFFSET($AG$2,,,COUNTIF($AG$2:$AG$50,"?*"),23),10,FALSE),""),"")</f>
        <v>L</v>
      </c>
      <c r="N24" s="422">
        <f ca="1">IFERROR(IF(VLOOKUP(M23,OFFSET($AG$2,,,COUNTIF($AG$2:$AG$50,"?*"),23),2,FALSE)&lt;&gt;0,YEAR(VLOOKUP(M23,OFFSET($AG$2,,,COUNTIF($AG$2:$AG$50,"?*"),23),2,FALSE)),""),"")</f>
        <v>2003</v>
      </c>
      <c r="O24" s="423"/>
      <c r="P24" s="117">
        <f ca="1">IFERROR(VLOOKUP(M23,OFFSET($AG$2,,,COUNTIF($AG$2:$AG$50,"?*"),23),15,FALSE),"")</f>
        <v>18</v>
      </c>
      <c r="Q24" s="424" t="str">
        <f ca="1">IFERROR(VLOOKUP(M23,OFFSET($AG$2,,,COUNTIF($AG$2:$AG$50,"?*"),23),16,FALSE),"")</f>
        <v>185/74</v>
      </c>
      <c r="R24" s="425"/>
      <c r="S24" s="110" t="s">
        <v>544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535</v>
      </c>
      <c r="AH24" s="122">
        <v>37353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25</v>
      </c>
      <c r="AO24" s="125"/>
      <c r="AP24" s="125" t="s">
        <v>27</v>
      </c>
      <c r="AQ24" s="123">
        <v>182</v>
      </c>
      <c r="AR24" s="123">
        <v>77</v>
      </c>
      <c r="AS24" s="126" t="s">
        <v>458</v>
      </c>
      <c r="AT24" s="123">
        <v>2009</v>
      </c>
      <c r="AU24" s="127">
        <f ca="1">IF(AG24&lt;&gt;"",IF(AH24&lt;&gt;"",INT((TODAY()-AH24)/365),"?"),"")</f>
        <v>19</v>
      </c>
      <c r="AV24" s="127" t="str">
        <f>IF(AG24&lt;&gt;"",CONCATENATE(IF(AQ24&lt;&gt;"",AQ24,"? "),"/",IF(AR24&lt;&gt;"",AR24," ?")),"")</f>
        <v>182/77</v>
      </c>
      <c r="AW24" s="128" t="str">
        <f ca="1">IF(AG24&lt;&gt;"",IF(BE24=1,BD24,IF(BH24=1,BG24,IF(BJ24=1,BI24,IF(BL24=1,BK24,BM24)))),"")</f>
        <v>Petrák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25 (18+7), +27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11 OZ, 25 (18+7)</v>
      </c>
      <c r="AZ24" s="130"/>
      <c r="BA24" s="130"/>
      <c r="BB24" s="130"/>
      <c r="BC24" s="130"/>
      <c r="BD24" s="3" t="str">
        <f t="shared" si="3"/>
        <v>Petrák</v>
      </c>
      <c r="BE24" s="84">
        <f t="shared" ca="1" si="4"/>
        <v>1</v>
      </c>
      <c r="BF24" s="62" t="str">
        <f t="shared" si="5"/>
        <v>K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7"/>
      <c r="BT24" s="104" t="s">
        <v>1180</v>
      </c>
      <c r="BU24" s="103">
        <v>7</v>
      </c>
      <c r="BV24" s="104" t="str">
        <f t="shared" si="13"/>
        <v>Karel Petrák</v>
      </c>
      <c r="BW24" s="102">
        <f t="shared" si="14"/>
        <v>7</v>
      </c>
    </row>
    <row r="25" spans="1:75" ht="15" customHeight="1" thickTop="1" thickBot="1" x14ac:dyDescent="0.25">
      <c r="A25" s="458" t="str">
        <f ca="1">IFERROR(VLOOKUP(A23,OFFSET($AG$2,,,COUNTIF($AG$2:$AG$50,"?*"),23),18,FALSE),"")</f>
        <v>9 OZ, 0 (0+0), -5 ±</v>
      </c>
      <c r="B25" s="459"/>
      <c r="C25" s="459"/>
      <c r="D25" s="460" t="str">
        <f ca="1">IFERROR(VLOOKUP(A23,OFFSET($AG$2,,,COUNTIF($AG$2:$AG$50,"?*"),23),19,FALSE),"")</f>
        <v>9 OZ, 0 (0+0)</v>
      </c>
      <c r="E25" s="460"/>
      <c r="F25" s="461"/>
      <c r="G25" s="429" t="s">
        <v>447</v>
      </c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25</v>
      </c>
      <c r="M25" s="458" t="str">
        <f ca="1">IFERROR(VLOOKUP(M23,OFFSET($AG$2,,,COUNTIF($AG$2:$AG$50,"?*"),23),18,FALSE),"")</f>
        <v>8 OZ, 1 (1+0), -5 ±</v>
      </c>
      <c r="N25" s="459"/>
      <c r="O25" s="459"/>
      <c r="P25" s="460" t="str">
        <f ca="1">IFERROR(VLOOKUP(M23,OFFSET($AG$2,,,COUNTIF($AG$2:$AG$50,"?*"),23),19,FALSE),"")</f>
        <v>8 OZ, 1 (1+0)</v>
      </c>
      <c r="Q25" s="460"/>
      <c r="R25" s="461"/>
      <c r="S25" s="110" t="s">
        <v>546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-5</v>
      </c>
      <c r="AC25" s="102" t="str">
        <f t="shared" ca="1" si="0"/>
        <v>ANO</v>
      </c>
      <c r="AG25" s="121" t="s">
        <v>447</v>
      </c>
      <c r="AH25" s="122">
        <v>37330</v>
      </c>
      <c r="AI25" s="123">
        <v>18</v>
      </c>
      <c r="AJ25" s="123">
        <v>1</v>
      </c>
      <c r="AK25" s="123">
        <v>0</v>
      </c>
      <c r="AL25" s="124">
        <f>IF(AG25&lt;&gt;"",AJ25+AK25,"")</f>
        <v>1</v>
      </c>
      <c r="AM25" s="123">
        <v>2</v>
      </c>
      <c r="AN25" s="123">
        <v>25</v>
      </c>
      <c r="AO25" s="125"/>
      <c r="AP25" s="125" t="s">
        <v>137</v>
      </c>
      <c r="AQ25" s="123">
        <v>185</v>
      </c>
      <c r="AR25" s="123">
        <v>79</v>
      </c>
      <c r="AS25" s="126" t="s">
        <v>64</v>
      </c>
      <c r="AT25" s="123">
        <v>2010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185/79</v>
      </c>
      <c r="AW25" s="128" t="str">
        <f ca="1">IF(AG25&lt;&gt;"",IF(BE25=1,BD25,IF(BH25=1,BG25,IF(BJ25=1,BI25,IF(BL25=1,BK25,BM25)))),"")</f>
        <v>Rod</v>
      </c>
      <c r="AX25" s="129" t="str">
        <f t="shared" ca="1" si="15"/>
        <v>10 OZ, 2 (0+2), -9 ±</v>
      </c>
      <c r="AY25" s="129" t="str">
        <f t="shared" ca="1" si="16"/>
        <v>28 OZ, 3 (1+2)</v>
      </c>
      <c r="AZ25" s="130"/>
      <c r="BA25" s="130"/>
      <c r="BB25" s="130"/>
      <c r="BC25" s="130"/>
      <c r="BD25" s="89" t="str">
        <f t="shared" si="3"/>
        <v>Rod</v>
      </c>
      <c r="BE25" s="91">
        <f t="shared" ca="1" si="4"/>
        <v>1</v>
      </c>
      <c r="BF25" s="90" t="str">
        <f t="shared" si="5"/>
        <v>S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7"/>
      <c r="BT25" s="104" t="s">
        <v>809</v>
      </c>
      <c r="BU25" s="103">
        <v>6</v>
      </c>
      <c r="BV25" s="104" t="str">
        <f t="shared" si="13"/>
        <v>Jan Malič</v>
      </c>
      <c r="BW25" s="102">
        <f t="shared" si="14"/>
        <v>6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>?</v>
      </c>
      <c r="B26" s="447"/>
      <c r="C26" s="448"/>
      <c r="D26" s="449" t="str">
        <f ca="1">IFERROR(IF(VLOOKUP(A23,OFFSET($AG$2,,,COUNTIF($AG$2:$AG$50,"?*"),23),14,FALSE)&lt;&gt;0,VLOOKUP(A23,OFFSET($AG$2,,,COUNTIF($AG$2:$AG$50,"?*"),23),14,FALSE),"?"),"")</f>
        <v>?</v>
      </c>
      <c r="E26" s="450"/>
      <c r="F26" s="7">
        <f ca="1">IFERROR(IF(VLOOKUP(A23,OFFSET($AG$2,,,COUNTIF($AG$2:$AG$50,"?*"),23),7,FALSE)&lt;&gt;0,VLOOKUP(A23,OFFSET($AG$2,,,COUNTIF($AG$2:$AG$50,"?*"),23),7,FALSE),"?"),"")</f>
        <v>1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2">
        <f ca="1">IFERROR(IF(VLOOKUP(G25,OFFSET($AG$2,,,COUNTIF($AG$2:$AG$50,"?*"),23),2,FALSE)&lt;&gt;0,YEAR(VLOOKUP(G25,OFFSET($AG$2,,,COUNTIF($AG$2:$AG$50,"?*"),23),2,FALSE)),""),"")</f>
        <v>2002</v>
      </c>
      <c r="I26" s="423"/>
      <c r="J26" s="117">
        <f ca="1">IFERROR(VLOOKUP(G25,OFFSET($AG$2,,,COUNTIF($AG$2:$AG$50,"?*"),23),15,FALSE),"")</f>
        <v>19</v>
      </c>
      <c r="K26" s="424" t="str">
        <f ca="1">IFERROR(VLOOKUP(G25,OFFSET($AG$2,,,COUNTIF($AG$2:$AG$50,"?*"),23),16,FALSE),"")</f>
        <v>185/79</v>
      </c>
      <c r="L26" s="425"/>
      <c r="M26" s="446" t="str">
        <f ca="1">IFERROR(IF(VLOOKUP(M23,OFFSET($AG$2,,,COUNTIF($AG$2:$AG$50,"?*"),23),13,FALSE)&lt;&gt;0,VLOOKUP(M23,OFFSET($AG$2,,,COUNTIF($AG$2:$AG$50,"?*"),23),13,FALSE),"?"),"")</f>
        <v>ŠK Seahorses Bratislava</v>
      </c>
      <c r="N26" s="447"/>
      <c r="O26" s="448"/>
      <c r="P26" s="449" t="str">
        <f ca="1">IFERROR(IF(VLOOKUP(M23,OFFSET($AG$2,,,COUNTIF($AG$2:$AG$50,"?*"),23),14,FALSE)&lt;&gt;0,VLOOKUP(M23,OFFSET($AG$2,,,COUNTIF($AG$2:$AG$50,"?*"),23),14,FALSE),"?"),"")</f>
        <v>?</v>
      </c>
      <c r="Q26" s="450"/>
      <c r="R26" s="7">
        <f ca="1">IFERROR(IF(VLOOKUP(M23,OFFSET($AG$2,,,COUNTIF($AG$2:$AG$50,"?*"),23),7,FALSE)&lt;&gt;0,VLOOKUP(M23,OFFSET($AG$2,,,COUNTIF($AG$2:$AG$50,"?*"),23),7,FALSE),"?"),"")</f>
        <v>1</v>
      </c>
      <c r="S26" s="110" t="s">
        <v>551</v>
      </c>
      <c r="T26" s="102" t="s">
        <v>58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-8</v>
      </c>
      <c r="AC26" s="102" t="str">
        <f t="shared" ca="1" si="0"/>
        <v>ANO</v>
      </c>
      <c r="AG26" s="121" t="s">
        <v>540</v>
      </c>
      <c r="AH26" s="122">
        <v>33400</v>
      </c>
      <c r="AI26" s="123">
        <v>210</v>
      </c>
      <c r="AJ26" s="123">
        <v>44</v>
      </c>
      <c r="AK26" s="123">
        <v>56</v>
      </c>
      <c r="AL26" s="124">
        <f>IF(AG26&lt;&gt;"",AJ26+AK26,"")</f>
        <v>100</v>
      </c>
      <c r="AM26" s="123">
        <v>14</v>
      </c>
      <c r="AN26" s="123">
        <v>88</v>
      </c>
      <c r="AO26" s="125"/>
      <c r="AP26" s="125" t="s">
        <v>27</v>
      </c>
      <c r="AQ26" s="123">
        <v>175</v>
      </c>
      <c r="AR26" s="123">
        <v>85</v>
      </c>
      <c r="AS26" s="126" t="s">
        <v>565</v>
      </c>
      <c r="AT26" s="123"/>
      <c r="AU26" s="127">
        <f ca="1">IF(AG26&lt;&gt;"",IF(AH26&lt;&gt;"",INT((TODAY()-AH26)/365),"?"),"")</f>
        <v>30</v>
      </c>
      <c r="AV26" s="127" t="str">
        <f>IF(AG26&lt;&gt;"",CONCATENATE(IF(AQ26&lt;&gt;"",AQ26,"? "),"/",IF(AR26&lt;&gt;"",AR26," ?")),"")</f>
        <v>175/85</v>
      </c>
      <c r="AW26" s="128" t="str">
        <f ca="1">IF(AG26&lt;&gt;"",IF(BE26=1,BD26,IF(BH26=1,BG26,IF(BJ26=1,BI26,IF(BL26=1,BK26,BM26)))),"")</f>
        <v>Růžek</v>
      </c>
      <c r="AX26" s="129" t="str">
        <f t="shared" ca="1" si="15"/>
        <v>11 OZ, 2 (2+0), -11 ±</v>
      </c>
      <c r="AY26" s="129" t="str">
        <f t="shared" ca="1" si="16"/>
        <v>221 OZ, 102 (46+56)</v>
      </c>
      <c r="AZ26" s="130"/>
      <c r="BA26" s="130"/>
      <c r="BB26" s="130"/>
      <c r="BC26" s="130"/>
      <c r="BD26" s="3" t="str">
        <f t="shared" si="3"/>
        <v>Růžek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7"/>
      <c r="BT26" s="104" t="s">
        <v>1181</v>
      </c>
      <c r="BU26" s="103">
        <v>5</v>
      </c>
      <c r="BV26" s="104" t="str">
        <f t="shared" si="13"/>
        <v>Patrik Šebek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>10 OZ, 2 (0+2), -9 ±</v>
      </c>
      <c r="H27" s="459"/>
      <c r="I27" s="459"/>
      <c r="J27" s="460" t="str">
        <f ca="1">IFERROR(VLOOKUP(G25,OFFSET($AG$2,,,COUNTIF($AG$2:$AG$50,"?*"),23),19,FALSE),"")</f>
        <v>28 OZ, 3 (1+2)</v>
      </c>
      <c r="K27" s="460"/>
      <c r="L27" s="461"/>
      <c r="S27" s="110" t="s">
        <v>542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549</v>
      </c>
      <c r="AH27" s="122">
        <v>37817</v>
      </c>
      <c r="AI27" s="123">
        <v>0</v>
      </c>
      <c r="AJ27" s="123">
        <v>0</v>
      </c>
      <c r="AK27" s="123">
        <v>0</v>
      </c>
      <c r="AL27" s="124">
        <f>IF(AG27&lt;&gt;"",AJ27+AK27,"")</f>
        <v>0</v>
      </c>
      <c r="AM27" s="123">
        <v>1</v>
      </c>
      <c r="AN27" s="123">
        <v>29</v>
      </c>
      <c r="AO27" s="125"/>
      <c r="AP27" s="125" t="s">
        <v>137</v>
      </c>
      <c r="AQ27" s="123">
        <v>185</v>
      </c>
      <c r="AR27" s="123">
        <v>74</v>
      </c>
      <c r="AS27" s="126" t="s">
        <v>1103</v>
      </c>
      <c r="AT27" s="123"/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185/74</v>
      </c>
      <c r="AW27" s="128" t="str">
        <f ca="1">IF(AG27&lt;&gt;"",IF(BE27=1,BD27,IF(BH27=1,BG27,IF(BJ27=1,BI27,IF(BL27=1,BK27,BM27)))),"")</f>
        <v>Steller</v>
      </c>
      <c r="AX27" s="129" t="str">
        <f t="shared" ca="1" si="15"/>
        <v>8 OZ, 1 (1+0), -5 ±</v>
      </c>
      <c r="AY27" s="129" t="str">
        <f t="shared" ca="1" si="16"/>
        <v>8 OZ, 1 (1+0)</v>
      </c>
      <c r="AZ27" s="130"/>
      <c r="BA27" s="130"/>
      <c r="BB27" s="130"/>
      <c r="BC27" s="130"/>
      <c r="BD27" s="89" t="str">
        <f t="shared" si="3"/>
        <v>Steller</v>
      </c>
      <c r="BE27" s="91">
        <f t="shared" ca="1" si="4"/>
        <v>1</v>
      </c>
      <c r="BF27" s="90" t="str">
        <f t="shared" si="5"/>
        <v>P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7" t="s">
        <v>39</v>
      </c>
      <c r="BT27" s="104" t="s">
        <v>578</v>
      </c>
      <c r="BU27" s="103">
        <v>6</v>
      </c>
      <c r="BV27" s="104" t="str">
        <f t="shared" si="13"/>
        <v>Filip Forman</v>
      </c>
      <c r="BW27" s="102">
        <f t="shared" si="14"/>
        <v>6</v>
      </c>
    </row>
    <row r="28" spans="1:75" ht="15" customHeight="1" thickTop="1" thickBot="1" x14ac:dyDescent="0.25">
      <c r="A28" s="429" t="s">
        <v>548</v>
      </c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44</v>
      </c>
      <c r="G28" s="446" t="str">
        <f ca="1">IFERROR(IF(VLOOKUP(G25,OFFSET($AG$2,,,COUNTIF($AG$2:$AG$50,"?*"),23),13,FALSE)&lt;&gt;0,VLOOKUP(G25,OFFSET($AG$2,,,COUNTIF($AG$2:$AG$50,"?*"),23),13,FALSE),"?"),"")</f>
        <v>Tatran Střešovice</v>
      </c>
      <c r="H28" s="447"/>
      <c r="I28" s="448"/>
      <c r="J28" s="449">
        <f ca="1">IFERROR(IF(VLOOKUP(G25,OFFSET($AG$2,,,COUNTIF($AG$2:$AG$50,"?*"),23),14,FALSE)&lt;&gt;0,VLOOKUP(G25,OFFSET($AG$2,,,COUNTIF($AG$2:$AG$50,"?*"),23),14,FALSE),"?"),"")</f>
        <v>2010</v>
      </c>
      <c r="K28" s="450"/>
      <c r="L28" s="7">
        <f ca="1">IFERROR(IF(VLOOKUP(G25,OFFSET($AG$2,,,COUNTIF($AG$2:$AG$50,"?*"),23),7,FALSE)&lt;&gt;0,VLOOKUP(G25,OFFSET($AG$2,,,COUNTIF($AG$2:$AG$50,"?*"),23),7,FALSE),"?"),"")</f>
        <v>2</v>
      </c>
      <c r="M28" s="429" t="s">
        <v>557</v>
      </c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99</v>
      </c>
      <c r="S28" s="110" t="s">
        <v>547</v>
      </c>
      <c r="T28" s="102" t="s">
        <v>58</v>
      </c>
      <c r="U28" s="102">
        <v>11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2</v>
      </c>
      <c r="AB28" s="102">
        <v>-11</v>
      </c>
      <c r="AC28" s="102" t="str">
        <f t="shared" ca="1" si="0"/>
        <v>ANO</v>
      </c>
      <c r="AG28" s="121" t="s">
        <v>539</v>
      </c>
      <c r="AH28" s="122">
        <v>36777</v>
      </c>
      <c r="AI28" s="123">
        <v>95</v>
      </c>
      <c r="AJ28" s="123">
        <v>47</v>
      </c>
      <c r="AK28" s="123">
        <v>47</v>
      </c>
      <c r="AL28" s="124">
        <v>94</v>
      </c>
      <c r="AM28" s="123">
        <v>5</v>
      </c>
      <c r="AN28" s="123">
        <v>7</v>
      </c>
      <c r="AO28" s="125"/>
      <c r="AP28" s="125" t="s">
        <v>27</v>
      </c>
      <c r="AQ28" s="123">
        <v>190</v>
      </c>
      <c r="AR28" s="123">
        <v>76</v>
      </c>
      <c r="AS28" s="126" t="s">
        <v>68</v>
      </c>
      <c r="AT28" s="123">
        <v>2011</v>
      </c>
      <c r="AU28" s="127">
        <f ca="1">IF(AG28&lt;&gt;"",IF(AH28&lt;&gt;"",INT((TODAY()-AH28)/365),"?"),"")</f>
        <v>21</v>
      </c>
      <c r="AV28" s="127" t="str">
        <f>IF(AG28&lt;&gt;"",CONCATENATE(IF(AQ28&lt;&gt;"",AQ28,"? "),"/",IF(AR28&lt;&gt;"",AR28," ?")),"")</f>
        <v>190/76</v>
      </c>
      <c r="AW28" s="128" t="str">
        <f ca="1">IF(AG28&lt;&gt;"",IF(BE28=1,BD28,IF(BH28=1,BG28,IF(BJ28=1,BI28,IF(BL28=1,BK28,BM28)))),"")</f>
        <v>Šebek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9 (4+5), +23 ±</v>
      </c>
      <c r="AY28" s="129" t="str">
        <f t="shared" ca="1" si="16"/>
        <v>106 OZ, 103 (51+52)</v>
      </c>
      <c r="AZ28" s="130"/>
      <c r="BA28" s="130"/>
      <c r="BB28" s="130"/>
      <c r="BC28" s="130"/>
      <c r="BD28" s="3" t="str">
        <f t="shared" si="3"/>
        <v>Šebek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7"/>
      <c r="BT28" s="104" t="s">
        <v>1186</v>
      </c>
      <c r="BU28" s="103">
        <v>6</v>
      </c>
      <c r="BV28" s="104" t="str">
        <f t="shared" si="13"/>
        <v>Jan Malič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2">
        <f ca="1">IFERROR(IF(VLOOKUP(A28,OFFSET($AG$2,,,COUNTIF($AG$2:$AG$50,"?*"),23),2,FALSE)&lt;&gt;0,YEAR(VLOOKUP(A28,OFFSET($AG$2,,,COUNTIF($AG$2:$AG$50,"?*"),23),2,FALSE)),""),"")</f>
        <v>1992</v>
      </c>
      <c r="C29" s="423"/>
      <c r="D29" s="117">
        <f ca="1">IFERROR(VLOOKUP(A28,OFFSET($AG$2,,,COUNTIF($AG$2:$AG$50,"?*"),23),15,FALSE),"")</f>
        <v>29</v>
      </c>
      <c r="E29" s="424" t="str">
        <f ca="1">IFERROR(VLOOKUP(A28,OFFSET($AG$2,,,COUNTIF($AG$2:$AG$50,"?*"),23),16,FALSE),"")</f>
        <v>184/84</v>
      </c>
      <c r="F29" s="425"/>
      <c r="M29" s="4" t="str">
        <f ca="1">IFERROR(IF(VLOOKUP(M28,OFFSET($AG$2,,,COUNTIF($AG$2:$AG$50,"?*"),23),10,FALSE)&lt;&gt;0,VLOOKUP(M28,OFFSET($AG$2,,,COUNTIF($AG$2:$AG$50,"?*"),23),10,FALSE),""),"")</f>
        <v>L</v>
      </c>
      <c r="N29" s="422">
        <f ca="1">IFERROR(IF(VLOOKUP(M28,OFFSET($AG$2,,,COUNTIF($AG$2:$AG$50,"?*"),23),2,FALSE)&lt;&gt;0,YEAR(VLOOKUP(M28,OFFSET($AG$2,,,COUNTIF($AG$2:$AG$50,"?*"),23),2,FALSE)),""),"")</f>
        <v>2001</v>
      </c>
      <c r="O29" s="423"/>
      <c r="P29" s="117">
        <f ca="1">IFERROR(VLOOKUP(M28,OFFSET($AG$2,,,COUNTIF($AG$2:$AG$50,"?*"),23),15,FALSE),"")</f>
        <v>20</v>
      </c>
      <c r="Q29" s="424" t="str">
        <f ca="1">IFERROR(VLOOKUP(M28,OFFSET($AG$2,,,COUNTIF($AG$2:$AG$50,"?*"),23),16,FALSE),"")</f>
        <v>182/73</v>
      </c>
      <c r="R29" s="425"/>
      <c r="S29" s="111"/>
      <c r="AC29" s="102" t="str">
        <f t="shared" ca="1" si="0"/>
        <v/>
      </c>
      <c r="AG29" s="121" t="s">
        <v>557</v>
      </c>
      <c r="AH29" s="122">
        <v>36909</v>
      </c>
      <c r="AI29" s="123">
        <v>2</v>
      </c>
      <c r="AJ29" s="123">
        <v>0</v>
      </c>
      <c r="AK29" s="123">
        <v>0</v>
      </c>
      <c r="AL29" s="124">
        <v>0</v>
      </c>
      <c r="AM29" s="123">
        <v>2</v>
      </c>
      <c r="AN29" s="123">
        <v>99</v>
      </c>
      <c r="AO29" s="125"/>
      <c r="AP29" s="125" t="s">
        <v>137</v>
      </c>
      <c r="AQ29" s="123">
        <v>182</v>
      </c>
      <c r="AR29" s="123">
        <v>73</v>
      </c>
      <c r="AS29" s="126" t="s">
        <v>289</v>
      </c>
      <c r="AT29" s="123"/>
      <c r="AU29" s="127">
        <f ca="1">IF(AG29&lt;&gt;"",IF(AH29&lt;&gt;"",INT((TODAY()-AH29)/365),"?"),"")</f>
        <v>20</v>
      </c>
      <c r="AV29" s="127" t="str">
        <f>IF(AG29&lt;&gt;"",CONCATENATE(IF(AQ29&lt;&gt;"",AQ29,"? "),"/",IF(AR29&lt;&gt;"",AR29," ?")),"")</f>
        <v>182/73</v>
      </c>
      <c r="AW29" s="128" t="str">
        <f ca="1">IF(AG29&lt;&gt;"",IF(BE29=1,BD29,IF(BH29=1,BG29,IF(BJ29=1,BI29,IF(BL29=1,BK29,BM29)))),"")</f>
        <v>Šimáně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8 OZ, 2 (2+0), +1 ±</v>
      </c>
      <c r="AY29" s="129" t="str">
        <f t="shared" ca="1" si="16"/>
        <v>10 OZ, 2 (2+0)</v>
      </c>
      <c r="AZ29" s="130"/>
      <c r="BA29" s="130"/>
      <c r="BB29" s="130"/>
      <c r="BC29" s="130"/>
      <c r="BD29" s="89" t="str">
        <f t="shared" si="3"/>
        <v>Šimáně</v>
      </c>
      <c r="BE29" s="91">
        <f t="shared" ca="1" si="4"/>
        <v>1</v>
      </c>
      <c r="BF29" s="90" t="str">
        <f t="shared" si="5"/>
        <v>D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7"/>
      <c r="BT29" s="104" t="s">
        <v>855</v>
      </c>
      <c r="BU29" s="103">
        <v>4</v>
      </c>
      <c r="BV29" s="104" t="str">
        <f t="shared" si="13"/>
        <v>Jakub Buršík</v>
      </c>
      <c r="BW29" s="102">
        <f t="shared" si="14"/>
        <v>4</v>
      </c>
    </row>
    <row r="30" spans="1:75" ht="15" customHeight="1" x14ac:dyDescent="0.2">
      <c r="A30" s="458" t="str">
        <f ca="1">IFERROR(VLOOKUP(A28,OFFSET($AG$2,,,COUNTIF($AG$2:$AG$50,"?*"),23),18,FALSE),"")</f>
        <v>11 OZ, 1 (1+0), -3 ±</v>
      </c>
      <c r="B30" s="459"/>
      <c r="C30" s="459"/>
      <c r="D30" s="460" t="str">
        <f ca="1">IFERROR(VLOOKUP(A28,OFFSET($AG$2,,,COUNTIF($AG$2:$AG$50,"?*"),23),19,FALSE),"")</f>
        <v>254 OZ, 136 (70+66)</v>
      </c>
      <c r="E30" s="460"/>
      <c r="F30" s="461"/>
      <c r="H30" s="462" t="str">
        <f>H$8</f>
        <v>BOH</v>
      </c>
      <c r="I30" s="462"/>
      <c r="J30" s="462"/>
      <c r="K30" s="462"/>
      <c r="M30" s="458" t="str">
        <f ca="1">IFERROR(VLOOKUP(M28,OFFSET($AG$2,,,COUNTIF($AG$2:$AG$50,"?*"),23),18,FALSE),"")</f>
        <v>8 OZ, 2 (2+0), +1 ±</v>
      </c>
      <c r="N30" s="459"/>
      <c r="O30" s="459"/>
      <c r="P30" s="460" t="str">
        <f ca="1">IFERROR(VLOOKUP(M28,OFFSET($AG$2,,,COUNTIF($AG$2:$AG$50,"?*"),23),19,FALSE),"")</f>
        <v>10 OZ, 2 (2+0)</v>
      </c>
      <c r="Q30" s="460"/>
      <c r="R30" s="461"/>
      <c r="S30" s="111"/>
      <c r="AC30" s="102" t="str">
        <f t="shared" ca="1" si="0"/>
        <v/>
      </c>
      <c r="AG30" s="121" t="s">
        <v>558</v>
      </c>
      <c r="AH30" s="122">
        <v>37331</v>
      </c>
      <c r="AI30" s="123">
        <v>37</v>
      </c>
      <c r="AJ30" s="123">
        <v>16</v>
      </c>
      <c r="AK30" s="123">
        <v>9</v>
      </c>
      <c r="AL30" s="124">
        <v>25</v>
      </c>
      <c r="AM30" s="123">
        <v>3</v>
      </c>
      <c r="AN30" s="123">
        <v>99</v>
      </c>
      <c r="AO30" s="125"/>
      <c r="AP30" s="125" t="s">
        <v>137</v>
      </c>
      <c r="AQ30" s="123">
        <v>180</v>
      </c>
      <c r="AR30" s="123">
        <v>71</v>
      </c>
      <c r="AS30" s="126" t="s">
        <v>566</v>
      </c>
      <c r="AT30" s="123"/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180/71</v>
      </c>
      <c r="AW30" s="128" t="str">
        <f ca="1">IF(AG30&lt;&gt;"",IF(BE30=1,BD30,IF(BH30=1,BG30,IF(BJ30=1,BI30,IF(BL30=1,BK30,BM30)))),"")</f>
        <v>Tomčo</v>
      </c>
      <c r="AX30" s="129" t="str">
        <f t="shared" ca="1" si="17"/>
        <v>0 OZ, 0 (0+0)</v>
      </c>
      <c r="AY30" s="129" t="str">
        <f t="shared" ca="1" si="16"/>
        <v>37 OZ, 25 (16+9)</v>
      </c>
      <c r="AZ30" s="130"/>
      <c r="BA30" s="130"/>
      <c r="BB30" s="130"/>
      <c r="BC30" s="130"/>
      <c r="BD30" s="3" t="str">
        <f t="shared" si="3"/>
        <v>Tomčo</v>
      </c>
      <c r="BE30" s="84">
        <f t="shared" ca="1" si="4"/>
        <v>1</v>
      </c>
      <c r="BF30" s="62" t="str">
        <f t="shared" si="5"/>
        <v>I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7"/>
      <c r="BT30" s="104" t="s">
        <v>856</v>
      </c>
      <c r="BU30" s="103">
        <v>4</v>
      </c>
      <c r="BV30" s="104" t="str">
        <f t="shared" si="13"/>
        <v>Karel Petrák</v>
      </c>
      <c r="BW30" s="102">
        <f t="shared" si="14"/>
        <v>4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>Faraos</v>
      </c>
      <c r="B31" s="447"/>
      <c r="C31" s="448"/>
      <c r="D31" s="449">
        <f ca="1">IFERROR(IF(VLOOKUP(A28,OFFSET($AG$2,,,COUNTIF($AG$2:$AG$50,"?*"),23),14,FALSE)&lt;&gt;0,VLOOKUP(A28,OFFSET($AG$2,,,COUNTIF($AG$2:$AG$50,"?*"),23),14,FALSE),"?"),"")</f>
        <v>2002</v>
      </c>
      <c r="E31" s="450"/>
      <c r="F31" s="7">
        <f ca="1">IFERROR(IF(VLOOKUP(A28,OFFSET($AG$2,,,COUNTIF($AG$2:$AG$50,"?*"),23),7,FALSE)&lt;&gt;0,VLOOKUP(A28,OFFSET($AG$2,,,COUNTIF($AG$2:$AG$50,"?*"),23),7,FALSE),"?"),"")</f>
        <v>12</v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>FBC Falcon</v>
      </c>
      <c r="N31" s="447"/>
      <c r="O31" s="448"/>
      <c r="P31" s="449" t="str">
        <f ca="1">IFERROR(IF(VLOOKUP(M28,OFFSET($AG$2,,,COUNTIF($AG$2:$AG$50,"?*"),23),14,FALSE)&lt;&gt;0,VLOOKUP(M28,OFFSET($AG$2,,,COUNTIF($AG$2:$AG$50,"?*"),23),14,FALSE),"?"),"")</f>
        <v>?</v>
      </c>
      <c r="Q31" s="450"/>
      <c r="R31" s="7">
        <f ca="1">IFERROR(IF(VLOOKUP(M28,OFFSET($AG$2,,,COUNTIF($AG$2:$AG$50,"?*"),23),7,FALSE)&lt;&gt;0,VLOOKUP(M28,OFFSET($AG$2,,,COUNTIF($AG$2:$AG$50,"?*"),23),7,FALSE),"?"),"")</f>
        <v>2</v>
      </c>
      <c r="S31" s="111"/>
      <c r="AC31" s="102" t="str">
        <f t="shared" ca="1" si="0"/>
        <v/>
      </c>
      <c r="AG31" s="121" t="s">
        <v>559</v>
      </c>
      <c r="AH31" s="122">
        <v>37356</v>
      </c>
      <c r="AI31" s="123">
        <v>48</v>
      </c>
      <c r="AJ31" s="123">
        <v>14</v>
      </c>
      <c r="AK31" s="123">
        <v>11</v>
      </c>
      <c r="AL31" s="124">
        <v>25</v>
      </c>
      <c r="AM31" s="123">
        <v>3</v>
      </c>
      <c r="AN31" s="123">
        <v>13</v>
      </c>
      <c r="AO31" s="125"/>
      <c r="AP31" s="125" t="s">
        <v>27</v>
      </c>
      <c r="AQ31" s="123">
        <v>179</v>
      </c>
      <c r="AR31" s="123">
        <v>73</v>
      </c>
      <c r="AS31" s="126" t="s">
        <v>145</v>
      </c>
      <c r="AT31" s="123"/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179/73</v>
      </c>
      <c r="AW31" s="128" t="str">
        <f ca="1">IF(AG31&lt;&gt;"",IF(BE31=1,BD31,IF(BH31=1,BG31,IF(BJ31=1,BI31,IF(BL31=1,BK31,BM31)))),"")</f>
        <v>Vojtíšek</v>
      </c>
      <c r="AX31" s="129" t="str">
        <f t="shared" ca="1" si="17"/>
        <v>0 OZ, 0 (0+0)</v>
      </c>
      <c r="AY31" s="129" t="str">
        <f t="shared" ca="1" si="16"/>
        <v>48 OZ, 25 (14+11)</v>
      </c>
      <c r="AZ31" s="130"/>
      <c r="BA31" s="130"/>
      <c r="BB31" s="130"/>
      <c r="BC31" s="130"/>
      <c r="BD31" s="89" t="str">
        <f t="shared" si="3"/>
        <v>Vojtíšek</v>
      </c>
      <c r="BE31" s="91">
        <f t="shared" ca="1" si="4"/>
        <v>1</v>
      </c>
      <c r="BF31" s="90" t="str">
        <f t="shared" si="5"/>
        <v>M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7"/>
      <c r="BT31" s="104" t="s">
        <v>1181</v>
      </c>
      <c r="BU31" s="103">
        <v>4</v>
      </c>
      <c r="BV31" s="104" t="str">
        <f t="shared" si="13"/>
        <v>Patrik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560</v>
      </c>
      <c r="AH32" s="122">
        <v>37384</v>
      </c>
      <c r="AI32" s="123">
        <v>10</v>
      </c>
      <c r="AJ32" s="123">
        <v>0</v>
      </c>
      <c r="AK32" s="123">
        <v>2</v>
      </c>
      <c r="AL32" s="124">
        <v>2</v>
      </c>
      <c r="AM32" s="123">
        <v>3</v>
      </c>
      <c r="AN32" s="123">
        <v>94</v>
      </c>
      <c r="AO32" s="125"/>
      <c r="AP32" s="125"/>
      <c r="AQ32" s="123">
        <v>173</v>
      </c>
      <c r="AR32" s="123">
        <v>70</v>
      </c>
      <c r="AS32" s="126" t="s">
        <v>68</v>
      </c>
      <c r="AT32" s="123"/>
      <c r="AU32" s="127">
        <f ca="1">IF(AG32&lt;&gt;"",IF(AH32&lt;&gt;"",INT((TODAY()-AH32)/365),"?"),"")</f>
        <v>19</v>
      </c>
      <c r="AV32" s="127" t="str">
        <f>IF(AG32&lt;&gt;"",CONCATENATE(IF(AQ32&lt;&gt;"",AQ32,"? "),"/",IF(AR32&lt;&gt;"",AR32," ?")),"")</f>
        <v>173/70</v>
      </c>
      <c r="AW32" s="128" t="str">
        <f ca="1">IF(AG32&lt;&gt;"",IF(BE32=1,BD32,IF(BH32=1,BG32,IF(BJ32=1,BI32,IF(BL32=1,BK32,BM32)))),"")</f>
        <v>Zavřel</v>
      </c>
      <c r="AX32" s="129" t="str">
        <f t="shared" ca="1" si="17"/>
        <v>2 V, 0 P</v>
      </c>
      <c r="AY32" s="129" t="str">
        <f t="shared" ca="1" si="16"/>
        <v>12 OZ, 2 A</v>
      </c>
      <c r="AZ32" s="130"/>
      <c r="BA32" s="130"/>
      <c r="BB32" s="130"/>
      <c r="BC32" s="130"/>
      <c r="BD32" s="3" t="str">
        <f t="shared" si="3"/>
        <v>Zavřel</v>
      </c>
      <c r="BE32" s="84">
        <f t="shared" ca="1" si="4"/>
        <v>1</v>
      </c>
      <c r="BF32" s="62" t="str">
        <f t="shared" si="5"/>
        <v>J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543</v>
      </c>
      <c r="AH33" s="122">
        <v>33195</v>
      </c>
      <c r="AI33" s="123">
        <v>276</v>
      </c>
      <c r="AJ33" s="123">
        <v>29</v>
      </c>
      <c r="AK33" s="123">
        <v>54</v>
      </c>
      <c r="AL33" s="124">
        <v>83</v>
      </c>
      <c r="AM33" s="123">
        <v>14</v>
      </c>
      <c r="AN33" s="123">
        <v>3</v>
      </c>
      <c r="AO33" s="125" t="s">
        <v>150</v>
      </c>
      <c r="AP33" s="125" t="s">
        <v>137</v>
      </c>
      <c r="AQ33" s="123">
        <v>186</v>
      </c>
      <c r="AR33" s="123">
        <v>88</v>
      </c>
      <c r="AS33" s="126" t="s">
        <v>567</v>
      </c>
      <c r="AT33" s="123"/>
      <c r="AU33" s="127">
        <f ca="1">IF(AG33&lt;&gt;"",IF(AH33&lt;&gt;"",INT((TODAY()-AH33)/365),"?"),"")</f>
        <v>30</v>
      </c>
      <c r="AV33" s="127" t="str">
        <f>IF(AG33&lt;&gt;"",CONCATENATE(IF(AQ33&lt;&gt;"",AQ33,"? "),"/",IF(AR33&lt;&gt;"",AR33," ?")),"")</f>
        <v>186/88</v>
      </c>
      <c r="AW33" s="128" t="str">
        <f ca="1">IF(AG33&lt;&gt;"",IF(BE33=1,BD33,IF(BH33=1,BG33,IF(BJ33=1,BI33,IF(BL33=1,BK33,BM33)))),"")</f>
        <v>Zezulka</v>
      </c>
      <c r="AX33" s="129" t="str">
        <f t="shared" ca="1" si="17"/>
        <v>1 OZ, 0 (0+0), 0 ±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>277 OZ, 83 (29+54)</v>
      </c>
      <c r="AZ33" s="130"/>
      <c r="BA33" s="130"/>
      <c r="BB33" s="130"/>
      <c r="BC33" s="130"/>
      <c r="BD33" s="89" t="str">
        <f t="shared" si="3"/>
        <v>Zezulka</v>
      </c>
      <c r="BE33" s="91">
        <f t="shared" ca="1" si="4"/>
        <v>1</v>
      </c>
      <c r="BF33" s="90" t="str">
        <f t="shared" si="5"/>
        <v>V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9" t="s">
        <v>560</v>
      </c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94</v>
      </c>
      <c r="H34" s="457" t="s">
        <v>16</v>
      </c>
      <c r="J34" s="429" t="s">
        <v>551</v>
      </c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39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38" ca="1" si="18">IF(AG34&lt;&gt;"",IF(AH34&lt;&gt;"",INT((TODAY()-AH34)/365),"?"),"")</f>
        <v/>
      </c>
      <c r="AV34" s="127" t="str">
        <f t="shared" ref="AV34:AV38" si="19">IF(AG34&lt;&gt;"",CONCATENATE(IF(AQ34&lt;&gt;"",AQ34,"? "),"/",IF(AR34&lt;&gt;"",AR34," ?")),"")</f>
        <v/>
      </c>
      <c r="AW34" s="128" t="str">
        <f t="shared" ref="AW34:AW38" si="20">IF(AG34&lt;&gt;"",IF(BE34=1,BD34,IF(BH34=1,BG34,IF(BJ34=1,BI34,IF(BL34=1,BK34,BM34)))),"")</f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3</v>
      </c>
      <c r="B35" s="422">
        <f ca="1">IFERROR(IF(VLOOKUP(A34,OFFSET($AG$2,,,COUNTIF($AG$2:$AG$50,"?*"),23),2,FALSE)&lt;&gt;0,YEAR(VLOOKUP(A34,OFFSET($AG$2,,,COUNTIF($AG$2:$AG$50,"?*"),23),2,FALSE)),""),"")</f>
        <v>2002</v>
      </c>
      <c r="C35" s="423"/>
      <c r="D35" s="117">
        <f ca="1">IFERROR(VLOOKUP(A34,OFFSET($AG$2,,,COUNTIF($AG$2:$AG$50,"?*"),23),15,FALSE),"")</f>
        <v>19</v>
      </c>
      <c r="E35" s="424" t="str">
        <f ca="1">IFERROR(VLOOKUP(A34,OFFSET($AG$2,,,COUNTIF($AG$2:$AG$50,"?*"),23),16,FALSE),"")</f>
        <v>173/70</v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>P</v>
      </c>
      <c r="K35" s="423">
        <f ca="1">IFERROR(IF(VLOOKUP(J34,OFFSET($AG$2,,,COUNTIF($AG$2:$AG$50,"?*"),23),2,FALSE)&lt;&gt;0,YEAR(VLOOKUP(J34,OFFSET($AG$2,,,COUNTIF($AG$2:$AG$50,"?*"),23),2,FALSE)),""),"")</f>
        <v>1990</v>
      </c>
      <c r="L35" s="431"/>
      <c r="M35" s="118">
        <f ca="1">IFERROR(VLOOKUP(J34,OFFSET($AG$2,,,COUNTIF($AG$2:$AG$50,"?*"),23),15,FALSE),"")</f>
        <v>31</v>
      </c>
      <c r="N35" s="431" t="str">
        <f ca="1">IFERROR(VLOOKUP(J34,OFFSET($AG$2,,,COUNTIF($AG$2:$AG$50,"?*"),23),16,FALSE),"")</f>
        <v>184/90</v>
      </c>
      <c r="O35" s="431"/>
      <c r="P35" s="431" t="str">
        <f ca="1">IFERROR(VLOOKUP(J34,OFFSET($AG$2,,,COUNTIF($AG$2:$AG$50,"?*"),23),18,FALSE),"")</f>
        <v>9 OZ, 0 (0+0), -8 ±</v>
      </c>
      <c r="Q35" s="431"/>
      <c r="R35" s="43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2</v>
      </c>
      <c r="B36" s="426" t="str">
        <f ca="1">IFERROR(VLOOKUP(A34,OFFSET($AG$2,,,COUNTIF($AG$2:$AG$50,"?*"),23),18,FALSE),"")</f>
        <v>2 V, 0 P</v>
      </c>
      <c r="C36" s="426"/>
      <c r="D36" s="427">
        <f ca="1">IFERROR(VLOOKUP(A34,OFFSET($S$45,,,COUNTIF($S$45:$S$50,"?*"),14),5,FALSE),"")</f>
        <v>7</v>
      </c>
      <c r="E36" s="428"/>
      <c r="F36" s="17">
        <f ca="1">IFERROR(VLOOKUP(A34,OFFSET($S$45,,,COUNTIF($S$45:$S$50,"?*"),14),14,FALSE),"")</f>
        <v>86.538461538461547</v>
      </c>
      <c r="H36" s="457"/>
      <c r="J36" s="18">
        <f ca="1">IFERROR(IF(VLOOKUP(J34,OFFSET($AG$2,,,COUNTIF($AG$2:$AG$50,"?*"),23),7,FALSE)&lt;&gt;0,VLOOKUP(J34,OFFSET($AG$2,,,COUNTIF($AG$2:$AG$50,"?*"),23),7,FALSE),"?"),"")</f>
        <v>11</v>
      </c>
      <c r="K36" s="433" t="str">
        <f ca="1">IFERROR(VLOOKUP(J34,OFFSET($AG$2,,,COUNTIF($AG$2:$AG$50,"?*"),23),19,FALSE),"")</f>
        <v>187 OZ, 68 (32+36)</v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>FbŠ Bohemians</v>
      </c>
      <c r="O36" s="434"/>
      <c r="P36" s="434"/>
      <c r="Q36" s="433" t="str">
        <f ca="1">IFERROR(IF(VLOOKUP(J34,OFFSET($AG$2,,,COUNTIF($AG$2:$AG$50,"?*"),23),14,FALSE)&lt;&gt;0,VLOOKUP(J34,OFFSET($AG$2,,,COUNTIF($AG$2:$AG$50,"?*"),23),14,FALSE),"?"),"")</f>
        <v>?</v>
      </c>
      <c r="R36" s="43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1">
        <f ca="1">IFERROR(VLOOKUP(A34,OFFSET($S$45,,,COUNTIF($S$45:$S$50,"?*"),14),3,FALSE),"")</f>
        <v>120</v>
      </c>
      <c r="B37" s="452"/>
      <c r="C37" s="453">
        <f ca="1">IFERROR(VLOOKUP(A34,OFFSET($S$45,,,COUNTIF($S$45:$S$50,"?*"),14),13,FALSE),"")</f>
        <v>3.5</v>
      </c>
      <c r="D37" s="454"/>
      <c r="E37" s="455" t="str">
        <f ca="1">IFERROR(VLOOKUP(A34,OFFSET($AG$2,,,COUNTIF($AG$2:$AG$50,"?*"),23),19,FALSE),"")</f>
        <v>12 OZ, 2 A</v>
      </c>
      <c r="F37" s="456"/>
      <c r="H37" s="45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>FbŠ Bohemians</v>
      </c>
      <c r="B38" s="447"/>
      <c r="C38" s="448"/>
      <c r="D38" s="449" t="str">
        <f ca="1">IFERROR(IF(VLOOKUP(A34,OFFSET($AG$2,,,COUNTIF($AG$2:$AG$50,"?*"),23),14,FALSE)&lt;&gt;0,VLOOKUP(A34,OFFSET($AG$2,,,COUNTIF($AG$2:$AG$50,"?*"),23),14,FALSE),"?"),"")</f>
        <v>?</v>
      </c>
      <c r="E38" s="450"/>
      <c r="F38" s="19">
        <f ca="1">IFERROR(VLOOKUP(A34,OFFSET($S$45,,,COUNTIF($S$45:$S$50,"?*"),14),6,FALSE),"")</f>
        <v>0</v>
      </c>
      <c r="H38" s="457"/>
      <c r="J38" s="429" t="s">
        <v>1058</v>
      </c>
      <c r="K38" s="430"/>
      <c r="L38" s="430"/>
      <c r="M38" s="430"/>
      <c r="N38" s="430"/>
      <c r="O38" s="430"/>
      <c r="P38" s="430"/>
      <c r="Q38" s="1" t="str">
        <f ca="1">IFERROR(IF(VLOOKUP(M38,OFFSET($AG$2,,,COUNTIF($AG$2:$AG$50,"?*"),23),9,FALSE)&lt;&gt;0,VLOOKUP(M38,OFFSET($AG$2,,,COUNTIF($AG$2:$AG$50,"?*"),23),9,FALSE),""),"")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80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/>
      </c>
      <c r="K39" s="423">
        <f ca="1">IFERROR(IF(VLOOKUP(J38,OFFSET($AG$2,,,COUNTIF($AG$2:$AG$50,"?*"),23),2,FALSE)&lt;&gt;0,YEAR(VLOOKUP(J38,OFFSET($AG$2,,,COUNTIF($AG$2:$AG$50,"?*"),23),2,FALSE)),""),"")</f>
        <v>2003</v>
      </c>
      <c r="L39" s="431"/>
      <c r="M39" s="210">
        <f ca="1">IFERROR(VLOOKUP(J38,OFFSET($AG$2,,,COUNTIF($AG$2:$AG$50,"?*"),23),15,FALSE),"")</f>
        <v>18</v>
      </c>
      <c r="N39" s="431" t="str">
        <f ca="1">IFERROR(VLOOKUP(J38,OFFSET($AG$2,,,COUNTIF($AG$2:$AG$50,"?*"),23),16,FALSE),"")</f>
        <v>? / ?</v>
      </c>
      <c r="O39" s="431"/>
      <c r="P39" s="431" t="str">
        <f ca="1">IFERROR(VLOOKUP(J38,OFFSET($AG$2,,,COUNTIF($AG$2:$AG$50,"?*"),23),18,FALSE),"")</f>
        <v>3 OZ, 0 (0+0), 0 ±</v>
      </c>
      <c r="Q39" s="431"/>
      <c r="R39" s="43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ref="AL39:AL50" si="22">IF(AG39&lt;&gt;"",AJ39+AK39,"")</f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ref="AU39:AU50" ca="1" si="23">IF(AG39&lt;&gt;"",IF(AH39&lt;&gt;"",INT((TODAY()-AH39)/365),"?"),"")</f>
        <v/>
      </c>
      <c r="AV39" s="127" t="str">
        <f t="shared" ref="AV39:AV50" si="24">IF(AG39&lt;&gt;"",CONCATENATE(IF(AQ39&lt;&gt;"",AQ39,"? "),"/",IF(AR39&lt;&gt;"",AR39," ?")),"")</f>
        <v/>
      </c>
      <c r="AW39" s="128" t="str">
        <f t="shared" ref="AW39:AW50" si="25">IF(AG39&lt;&gt;"",IF(BE39=1,BD39,IF(BH39=1,BG39,IF(BJ39=1,BI39,IF(BL39=1,BK39,BM39)))),"")</f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9" t="s">
        <v>542</v>
      </c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57"/>
      <c r="J40" s="18">
        <f ca="1">IFERROR(IF(VLOOKUP(J38,OFFSET($AG$2,,,COUNTIF($AG$2:$AG$50,"?*"),23),7,FALSE)&lt;&gt;0,VLOOKUP(J38,OFFSET($AG$2,,,COUNTIF($AG$2:$AG$50,"?*"),23),7,FALSE),"?"),"")</f>
        <v>1</v>
      </c>
      <c r="K40" s="433" t="str">
        <f ca="1">IFERROR(VLOOKUP(J38,OFFSET($AG$2,,,COUNTIF($AG$2:$AG$50,"?*"),23),19,FALSE),"")</f>
        <v>3 OZ, 0 (0+0)</v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>?</v>
      </c>
      <c r="O40" s="434"/>
      <c r="P40" s="434"/>
      <c r="Q40" s="433" t="str">
        <f ca="1">IFERROR(IF(VLOOKUP(J38,OFFSET($AG$2,,,COUNTIF($AG$2:$AG$50,"?*"),23),14,FALSE)&lt;&gt;0,VLOOKUP(J38,OFFSET($AG$2,,,COUNTIF($AG$2:$AG$50,"?*"),23),14,FALSE),"?"),"")</f>
        <v>?</v>
      </c>
      <c r="R40" s="43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2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3"/>
        <v/>
      </c>
      <c r="AV40" s="127" t="str">
        <f t="shared" si="24"/>
        <v/>
      </c>
      <c r="AW40" s="128" t="str">
        <f t="shared" si="25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422">
        <f ca="1">IFERROR(IF(VLOOKUP(A40,OFFSET($AG$2,,,COUNTIF($AG$2:$AG$50,"?*"),23),2,FALSE)&lt;&gt;0,YEAR(VLOOKUP(A40,OFFSET($AG$2,,,COUNTIF($AG$2:$AG$50,"?*"),23),2,FALSE)),""),"")</f>
        <v>1994</v>
      </c>
      <c r="C41" s="423"/>
      <c r="D41" s="117">
        <f ca="1">IFERROR(VLOOKUP(A40,OFFSET($AG$2,,,COUNTIF($AG$2:$AG$50,"?*"),23),15,FALSE),"")</f>
        <v>27</v>
      </c>
      <c r="E41" s="424" t="str">
        <f ca="1">IFERROR(VLOOKUP(A40,OFFSET($AG$2,,,COUNTIF($AG$2:$AG$50,"?*"),23),16,FALSE),"")</f>
        <v>185/75</v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2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3"/>
        <v/>
      </c>
      <c r="AV41" s="127" t="str">
        <f t="shared" si="24"/>
        <v/>
      </c>
      <c r="AW41" s="128" t="str">
        <f t="shared" si="25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426" t="str">
        <f ca="1">IFERROR(VLOOKUP(A40,OFFSET($AG$2,,,COUNTIF($AG$2:$AG$50,"?*"),23),18,FALSE),"")</f>
        <v>2 V, 2 P</v>
      </c>
      <c r="C42" s="426"/>
      <c r="D42" s="427">
        <f ca="1">IFERROR(VLOOKUP(A40,OFFSET($S$45,,,COUNTIF($S$45:$S$50,"?*"),14),5,FALSE),"")</f>
        <v>18</v>
      </c>
      <c r="E42" s="428"/>
      <c r="F42" s="17">
        <f ca="1">IFERROR(VLOOKUP(A40,OFFSET($S$45,,,COUNTIF($S$45:$S$50,"?*"),14),14,FALSE),"")</f>
        <v>73.91304347826086</v>
      </c>
      <c r="H42" s="457"/>
      <c r="J42" s="429" t="s">
        <v>659</v>
      </c>
      <c r="K42" s="430"/>
      <c r="L42" s="430"/>
      <c r="M42" s="430"/>
      <c r="N42" s="430"/>
      <c r="O42" s="430"/>
      <c r="P42" s="430"/>
      <c r="Q42" s="1"/>
      <c r="R42" s="2">
        <f ca="1">IFERROR(IF(VLOOKUP(J42,OFFSET($AG$2,,,COUNTIF($AG$2:$AG$50,"?*"),23),8,FALSE)&lt;&gt;0,VLOOKUP(J42,OFFSET($AG$2,,,COUNTIF($AG$2:$AG$50,"?*"),23),8,FALSE),""),"")</f>
        <v>97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2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3"/>
        <v/>
      </c>
      <c r="AV42" s="127" t="str">
        <f t="shared" si="24"/>
        <v/>
      </c>
      <c r="AW42" s="128" t="str">
        <f t="shared" si="25"/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1">
        <f ca="1">IFERROR(VLOOKUP(A40,OFFSET($S$45,,,COUNTIF($S$45:$S$50,"?*"),14),3,FALSE),"")</f>
        <v>192.08</v>
      </c>
      <c r="B43" s="452"/>
      <c r="C43" s="453">
        <f ca="1">IFERROR(VLOOKUP(A40,OFFSET($S$45,,,COUNTIF($S$45:$S$50,"?*"),14),13,FALSE),"")</f>
        <v>5.6226572261557681</v>
      </c>
      <c r="D43" s="454"/>
      <c r="E43" s="455" t="str">
        <f ca="1">IFERROR(VLOOKUP(A40,OFFSET($AG$2,,,COUNTIF($AG$2:$AG$50,"?*"),23),19,FALSE),"")</f>
        <v>30 OZ, 0 A</v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>L</v>
      </c>
      <c r="K43" s="423">
        <f ca="1">IFERROR(IF(VLOOKUP(J42,OFFSET($AG$2,,,COUNTIF($AG$2:$AG$50,"?*"),23),2,FALSE)&lt;&gt;0,YEAR(VLOOKUP(J42,OFFSET($AG$2,,,COUNTIF($AG$2:$AG$50,"?*"),23),2,FALSE)),""),"")</f>
        <v>1905</v>
      </c>
      <c r="L43" s="431"/>
      <c r="M43" s="210">
        <f ca="1">IFERROR(VLOOKUP(J42,OFFSET($AG$2,,,COUNTIF($AG$2:$AG$50,"?*"),23),15,FALSE),"")</f>
        <v>116</v>
      </c>
      <c r="N43" s="431" t="str">
        <f ca="1">IFERROR(VLOOKUP(J42,OFFSET($AG$2,,,COUNTIF($AG$2:$AG$50,"?*"),23),16,FALSE),"")</f>
        <v>185/88</v>
      </c>
      <c r="O43" s="431"/>
      <c r="P43" s="431" t="str">
        <f ca="1">IFERROR(VLOOKUP(J42,OFFSET($AG$2,,,COUNTIF($AG$2:$AG$50,"?*"),23),18,FALSE),"")</f>
        <v>8 OZ, 0 (0+0), -1 ±</v>
      </c>
      <c r="Q43" s="431"/>
      <c r="R43" s="432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>FbŠ Bohemians</v>
      </c>
      <c r="B44" s="447"/>
      <c r="C44" s="448"/>
      <c r="D44" s="449" t="str">
        <f ca="1">IFERROR(IF(VLOOKUP(A40,OFFSET($AG$2,,,COUNTIF($AG$2:$AG$50,"?*"),23),14,FALSE)&lt;&gt;0,VLOOKUP(A40,OFFSET($AG$2,,,COUNTIF($AG$2:$AG$50,"?*"),23),14,FALSE),"?"),"")</f>
        <v>?</v>
      </c>
      <c r="E44" s="450"/>
      <c r="F44" s="19">
        <f ca="1">IFERROR(VLOOKUP(A40,OFFSET($S$45,,,COUNTIF($S$45:$S$50,"?*"),14),6,FALSE),"")</f>
        <v>0</v>
      </c>
      <c r="H44" s="457"/>
      <c r="J44" s="18">
        <f ca="1">IFERROR(IF(VLOOKUP(J42,OFFSET($AG$2,,,COUNTIF($AG$2:$AG$50,"?*"),23),7,FALSE)&lt;&gt;0,VLOOKUP(J42,OFFSET($AG$2,,,COUNTIF($AG$2:$AG$50,"?*"),23),7,FALSE),"?"),"")</f>
        <v>5</v>
      </c>
      <c r="K44" s="433" t="str">
        <f ca="1">IFERROR(VLOOKUP(J42,OFFSET($AG$2,,,COUNTIF($AG$2:$AG$50,"?*"),23),19,FALSE),"")</f>
        <v>93 OZ, 1 (0+1)</v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>FBC Česká Lípa</v>
      </c>
      <c r="O44" s="434"/>
      <c r="P44" s="434"/>
      <c r="Q44" s="433">
        <f ca="1">IFERROR(IF(VLOOKUP(J42,OFFSET($AG$2,,,COUNTIF($AG$2:$AG$50,"?*"),23),14,FALSE)&lt;&gt;0,VLOOKUP(J42,OFFSET($AG$2,,,COUNTIF($AG$2:$AG$50,"?*"),23),14,FALSE),"?"),"")</f>
        <v>2007</v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544</v>
      </c>
      <c r="T45" s="102">
        <v>6</v>
      </c>
      <c r="U45" s="112">
        <v>340.5</v>
      </c>
      <c r="V45" s="102">
        <v>4</v>
      </c>
      <c r="W45" s="102">
        <v>24</v>
      </c>
      <c r="X45" s="102">
        <v>0</v>
      </c>
      <c r="Y45" s="102">
        <v>135</v>
      </c>
      <c r="Z45" s="102">
        <v>0</v>
      </c>
      <c r="AA45" s="102">
        <v>2</v>
      </c>
      <c r="AB45" s="102">
        <v>111</v>
      </c>
      <c r="AC45" s="102">
        <v>0</v>
      </c>
      <c r="AD45" s="102">
        <v>0</v>
      </c>
      <c r="AE45" s="112">
        <f>IF(S45&lt;&gt;"",IF(T45&gt;0,W45/(U45/60),0),"")</f>
        <v>4.2290748898678414</v>
      </c>
      <c r="AF45" s="112">
        <f>IF(S45&lt;&gt;"",IF(Y45&gt;0,(AB45/Y45)*100,"-"),"")</f>
        <v>82.222222222222214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560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52</v>
      </c>
      <c r="Z46" s="102">
        <v>0</v>
      </c>
      <c r="AA46" s="102">
        <v>0</v>
      </c>
      <c r="AB46" s="102">
        <v>45</v>
      </c>
      <c r="AC46" s="102">
        <v>0</v>
      </c>
      <c r="AD46" s="102">
        <v>0</v>
      </c>
      <c r="AE46" s="112">
        <f t="shared" ref="AE46:AE50" si="26">IF(S46&lt;&gt;"",IF(T46&gt;0,W46/(U46/60),0),"")</f>
        <v>3.5</v>
      </c>
      <c r="AF46" s="112">
        <f t="shared" ref="AF46:AF50" si="27">IF(S46&lt;&gt;"",IF(Y46&gt;0,(AB46/Y46)*100,"-"),"")</f>
        <v>86.538461538461547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8" t="s">
        <v>568</v>
      </c>
      <c r="B47" s="419"/>
      <c r="C47" s="419"/>
      <c r="D47" s="419"/>
      <c r="E47" s="420" t="str">
        <f ca="1">IFERROR(VLOOKUP(A47,OFFSET($BN$2,,,COUNTIF($BN$2:$BN$11,"?*"),5),3,FALSE),"")</f>
        <v>hlavní trenér</v>
      </c>
      <c r="F47" s="420"/>
      <c r="G47" s="420"/>
      <c r="H47" s="420"/>
      <c r="I47" s="421"/>
      <c r="J47" s="418" t="s">
        <v>573</v>
      </c>
      <c r="K47" s="419"/>
      <c r="L47" s="419"/>
      <c r="M47" s="419"/>
      <c r="N47" s="420" t="str">
        <f ca="1">IFERROR(VLOOKUP(J47,OFFSET($BN$2,,,COUNTIF($BN$2:$BN$11,"?*"),5),3,FALSE),"")</f>
        <v>vedoucí družstva</v>
      </c>
      <c r="O47" s="420"/>
      <c r="P47" s="420"/>
      <c r="Q47" s="420"/>
      <c r="R47" s="421"/>
      <c r="S47" s="111" t="s">
        <v>542</v>
      </c>
      <c r="T47" s="102">
        <v>4</v>
      </c>
      <c r="U47" s="112">
        <v>192.08</v>
      </c>
      <c r="V47" s="102">
        <v>2</v>
      </c>
      <c r="W47" s="102">
        <v>18</v>
      </c>
      <c r="X47" s="102">
        <v>0</v>
      </c>
      <c r="Y47" s="102">
        <v>69</v>
      </c>
      <c r="Z47" s="102">
        <v>0</v>
      </c>
      <c r="AA47" s="102">
        <v>2</v>
      </c>
      <c r="AB47" s="102">
        <v>51</v>
      </c>
      <c r="AC47" s="102">
        <v>0</v>
      </c>
      <c r="AD47" s="102">
        <v>0</v>
      </c>
      <c r="AE47" s="112">
        <f t="shared" si="26"/>
        <v>5.6226572261557681</v>
      </c>
      <c r="AF47" s="112">
        <f t="shared" si="27"/>
        <v>73.91304347826086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6">
        <f ca="1">IFERROR(VLOOKUP(A47,OFFSET($BN$2,,,COUNTIF($BN$2:$BN$11,"?*"),5),5,FALSE),"")</f>
        <v>41</v>
      </c>
      <c r="B48" s="438" t="str">
        <f ca="1">IFERROR(IF(VLOOKUP(A47,OFFSET($BN$2,,,COUNTIF($BN$2:$BN$11,"?*"),5),4,FALSE)&lt;&gt;0,VLOOKUP(A47,OFFSET($BN$2,,,COUNTIF($BN$2:$BN$11,"?*"),5),4,FALSE),"-"),"")</f>
        <v>několikanásobný mistr ČR jako hráč</v>
      </c>
      <c r="C48" s="438"/>
      <c r="D48" s="438"/>
      <c r="E48" s="438"/>
      <c r="F48" s="438"/>
      <c r="G48" s="438"/>
      <c r="H48" s="438"/>
      <c r="I48" s="439"/>
      <c r="J48" s="119">
        <f ca="1">IFERROR(VLOOKUP(J47,OFFSET($BN$2,,,COUNTIF($BN$2:$BN$11,"?*"),5),5,FALSE),"")</f>
        <v>56</v>
      </c>
      <c r="K48" s="442" t="str">
        <f ca="1">IFERROR(IF(VLOOKUP(J47,OFFSET($BN$2,,,COUNTIF($BN$2:$BN$11,"?*"),5),4,FALSE)&lt;&gt;0,VLOOKUP(J47,OFFSET($BN$2,,,COUNTIF($BN$2:$BN$11,"?*"),5),4,FALSE),"-"),"")</f>
        <v>-</v>
      </c>
      <c r="L48" s="442"/>
      <c r="M48" s="442"/>
      <c r="N48" s="442"/>
      <c r="O48" s="442"/>
      <c r="P48" s="442"/>
      <c r="Q48" s="442"/>
      <c r="R48" s="443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/>
      <c r="K49" s="445"/>
      <c r="L49" s="445"/>
      <c r="M49" s="445"/>
      <c r="N49" s="420" t="str">
        <f ca="1">IFERROR(VLOOKUP(J49,OFFSET($BN$2,,,COUNTIF($BN$2:$BN$11,"?*"),5),3,FALSE),"")</f>
        <v/>
      </c>
      <c r="O49" s="420"/>
      <c r="P49" s="420"/>
      <c r="Q49" s="420"/>
      <c r="R49" s="421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119" t="str">
        <f ca="1">IFERROR(VLOOKUP(J49,OFFSET($BN$2,,,COUNTIF($BN$2:$BN$11,"?*"),5),5,FALSE),"")</f>
        <v/>
      </c>
      <c r="K50" s="442" t="str">
        <f ca="1">IFERROR(IF(VLOOKUP(J49,OFFSET($BN$2,,,COUNTIF($BN$2:$BN$11,"?*"),5),4,FALSE)&lt;&gt;0,VLOOKUP(J49,OFFSET($BN$2,,,COUNTIF($BN$2:$BN$11,"?*"),5),4,FALSE),"-"),"")</f>
        <v/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3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8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8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8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8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13">
    <tabColor rgb="FF00206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 t="s">
        <v>638</v>
      </c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463" t="s">
        <v>1</v>
      </c>
      <c r="I1" s="463"/>
      <c r="J1" s="463"/>
      <c r="K1" s="463"/>
      <c r="M1" s="429" t="s">
        <v>637</v>
      </c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422">
        <f ca="1">IFERROR(IF(VLOOKUP(A1,OFFSET($AG$2,,,COUNTIF($AG$2:$AG$50,"?*"),23),2,FALSE)&lt;&gt;0,YEAR(VLOOKUP(A1,OFFSET($AG$2,,,COUNTIF($AG$2:$AG$50,"?*"),23),2,FALSE)),""),"")</f>
        <v>1988</v>
      </c>
      <c r="C2" s="423"/>
      <c r="D2" s="117">
        <f ca="1">IFERROR(VLOOKUP(A1,OFFSET($AG$2,,,COUNTIF($AG$2:$AG$50,"?*"),23),15,FALSE),"")</f>
        <v>33</v>
      </c>
      <c r="E2" s="424" t="str">
        <f ca="1">IFERROR(VLOOKUP(A1,OFFSET($AG$2,,,COUNTIF($AG$2:$AG$50,"?*"),23),16,FALSE),"")</f>
        <v>200/99</v>
      </c>
      <c r="F2" s="425"/>
      <c r="M2" s="4" t="str">
        <f ca="1">IFERROR(IF(VLOOKUP(M1,OFFSET($AG$2,,,COUNTIF($AG$2:$AG$50,"?*"),23),10,FALSE)&lt;&gt;0,VLOOKUP(M1,OFFSET($AG$2,,,COUNTIF($AG$2:$AG$50,"?*"),23),10,FALSE),""),"")</f>
        <v>L</v>
      </c>
      <c r="N2" s="422">
        <f ca="1">IFERROR(IF(VLOOKUP(M1,OFFSET($AG$2,,,COUNTIF($AG$2:$AG$50,"?*"),23),2,FALSE)&lt;&gt;0,YEAR(VLOOKUP(M1,OFFSET($AG$2,,,COUNTIF($AG$2:$AG$50,"?*"),23),2,FALSE)),""),"")</f>
        <v>2003</v>
      </c>
      <c r="O2" s="423"/>
      <c r="P2" s="117">
        <f ca="1">IFERROR(VLOOKUP(M1,OFFSET($AG$2,,,COUNTIF($AG$2:$AG$50,"?*"),23),15,FALSE),"")</f>
        <v>17</v>
      </c>
      <c r="Q2" s="424" t="str">
        <f ca="1">IFERROR(VLOOKUP(M1,OFFSET($AG$2,,,COUNTIF($AG$2:$AG$50,"?*"),23),16,FALSE),"")</f>
        <v>175/70</v>
      </c>
      <c r="R2" s="425"/>
      <c r="S2" s="110" t="s">
        <v>392</v>
      </c>
      <c r="T2" s="102" t="s">
        <v>58</v>
      </c>
      <c r="U2" s="102">
        <v>9</v>
      </c>
      <c r="V2" s="102">
        <v>7</v>
      </c>
      <c r="W2" s="102">
        <v>0</v>
      </c>
      <c r="X2" s="102">
        <v>0</v>
      </c>
      <c r="Y2" s="102">
        <v>7</v>
      </c>
      <c r="Z2" s="102">
        <v>14</v>
      </c>
      <c r="AA2" s="102">
        <v>6</v>
      </c>
      <c r="AB2" s="102">
        <v>-10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648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404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673</v>
      </c>
      <c r="BO2" s="122">
        <v>31211</v>
      </c>
      <c r="BP2" s="131" t="s">
        <v>175</v>
      </c>
      <c r="BQ2" s="132"/>
      <c r="BR2" s="127">
        <f ca="1">IF(BN2&lt;&gt;"",IF(BO2&lt;&gt;"",INT((TODAY()-BO2)/365),"?"),"")</f>
        <v>36</v>
      </c>
      <c r="BS2" s="417" t="s">
        <v>36</v>
      </c>
      <c r="BT2" s="104" t="s">
        <v>677</v>
      </c>
      <c r="BU2" s="103">
        <v>14</v>
      </c>
      <c r="BV2" s="104" t="str">
        <f>IFERROR(RIGHT(BT2,LEN(BT2)-SEARCH(" ",BT2)),"")</f>
        <v>Milan Tichý</v>
      </c>
      <c r="BW2" s="102">
        <f>IF(BT2&lt;&gt;0,_xlfn.NUMBERVALUE(BU2,","),"")</f>
        <v>14</v>
      </c>
      <c r="BX2" s="416" t="s">
        <v>192</v>
      </c>
      <c r="BY2" s="103" t="s">
        <v>861</v>
      </c>
      <c r="BZ2" s="103" t="s">
        <v>831</v>
      </c>
      <c r="CA2" s="115" t="s">
        <v>1189</v>
      </c>
    </row>
    <row r="3" spans="1:79" ht="15" customHeight="1" thickTop="1" thickBot="1" x14ac:dyDescent="0.25">
      <c r="A3" s="458" t="str">
        <f ca="1">IFERROR(VLOOKUP(A1,OFFSET($AG$2,,,COUNTIF($AG$2:$AG$50,"?*"),23),18,FALSE),"")</f>
        <v>11 OZ, 12 (6+6), -15 ±</v>
      </c>
      <c r="B3" s="459"/>
      <c r="C3" s="459"/>
      <c r="D3" s="460" t="str">
        <f ca="1">IFERROR(VLOOKUP(A1,OFFSET($AG$2,,,COUNTIF($AG$2:$AG$50,"?*"),23),19,FALSE),"")</f>
        <v>318 OZ, 305 (182+123)</v>
      </c>
      <c r="E3" s="460"/>
      <c r="F3" s="461"/>
      <c r="G3" s="429" t="s">
        <v>636</v>
      </c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458" t="str">
        <f ca="1">IFERROR(VLOOKUP(M1,OFFSET($AG$2,,,COUNTIF($AG$2:$AG$50,"?*"),23),18,FALSE),"")</f>
        <v>11 OZ, 13 (11+2), -20 ±</v>
      </c>
      <c r="N3" s="459"/>
      <c r="O3" s="459"/>
      <c r="P3" s="460" t="str">
        <f ca="1">IFERROR(VLOOKUP(M1,OFFSET($AG$2,,,COUNTIF($AG$2:$AG$50,"?*"),23),19,FALSE),"")</f>
        <v>35 OZ, 34 (25+9)</v>
      </c>
      <c r="Q3" s="460"/>
      <c r="R3" s="461"/>
      <c r="S3" s="110" t="s">
        <v>637</v>
      </c>
      <c r="T3" s="102" t="s">
        <v>107</v>
      </c>
      <c r="U3" s="102">
        <v>11</v>
      </c>
      <c r="V3" s="102">
        <v>11</v>
      </c>
      <c r="W3" s="102">
        <v>1</v>
      </c>
      <c r="X3" s="102">
        <v>0</v>
      </c>
      <c r="Y3" s="102">
        <v>2</v>
      </c>
      <c r="Z3" s="102">
        <v>13</v>
      </c>
      <c r="AA3" s="102">
        <v>2</v>
      </c>
      <c r="AB3" s="102">
        <v>-20</v>
      </c>
      <c r="AC3" s="102" t="str">
        <f t="shared" ca="1" si="0"/>
        <v>ANO</v>
      </c>
      <c r="AG3" s="121" t="s">
        <v>653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220</v>
      </c>
      <c r="AQ3" s="123">
        <v>186</v>
      </c>
      <c r="AR3" s="123">
        <v>94</v>
      </c>
      <c r="AS3" s="126" t="s">
        <v>663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674</v>
      </c>
      <c r="BO3" s="122">
        <v>30597</v>
      </c>
      <c r="BP3" s="131" t="s">
        <v>237</v>
      </c>
      <c r="BQ3" s="132"/>
      <c r="BR3" s="127">
        <f t="shared" ref="BR3:BR11" ca="1" si="12">IF(BN3&lt;&gt;"",IF(BO3&lt;&gt;"",INT((TODAY()-BO3)/365),"?"),"")</f>
        <v>38</v>
      </c>
      <c r="BS3" s="417"/>
      <c r="BT3" s="104" t="s">
        <v>1060</v>
      </c>
      <c r="BU3" s="103">
        <v>13</v>
      </c>
      <c r="BV3" s="104" t="str">
        <f t="shared" ref="BV3:BV31" si="13">IFERROR(RIGHT(BT3,LEN(BT3)-SEARCH(" ",BT3)),"")</f>
        <v>Ondřej Kopič</v>
      </c>
      <c r="BW3" s="102">
        <f t="shared" ref="BW3:BW31" si="14">IF(BT3&lt;&gt;0,_xlfn.NUMBERVALUE(BU3,","),"")</f>
        <v>13</v>
      </c>
      <c r="BX3" s="416"/>
      <c r="BY3" s="103" t="s">
        <v>841</v>
      </c>
      <c r="BZ3" s="103" t="s">
        <v>848</v>
      </c>
      <c r="CA3" s="115" t="s">
        <v>1075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>FbK Sokol Mladá Boleslav</v>
      </c>
      <c r="B4" s="447"/>
      <c r="C4" s="448"/>
      <c r="D4" s="449">
        <f ca="1">IFERROR(IF(VLOOKUP(A1,OFFSET($AG$2,,,COUNTIF($AG$2:$AG$50,"?*"),23),14,FALSE)&lt;&gt;0,VLOOKUP(A1,OFFSET($AG$2,,,COUNTIF($AG$2:$AG$50,"?*"),23),14,FALSE),"?"),"")</f>
        <v>2007</v>
      </c>
      <c r="E4" s="450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2">
        <f ca="1">IFERROR(IF(VLOOKUP(G3,OFFSET($AG$2,,,COUNTIF($AG$2:$AG$50,"?*"),23),2,FALSE)&lt;&gt;0,YEAR(VLOOKUP(G3,OFFSET($AG$2,,,COUNTIF($AG$2:$AG$50,"?*"),23),2,FALSE)),""),"")</f>
        <v>1993</v>
      </c>
      <c r="I4" s="423"/>
      <c r="J4" s="117">
        <f ca="1">IFERROR(VLOOKUP(G3,OFFSET($AG$2,,,COUNTIF($AG$2:$AG$50,"?*"),23),15,FALSE),"")</f>
        <v>28</v>
      </c>
      <c r="K4" s="424" t="str">
        <f ca="1">IFERROR(VLOOKUP(G3,OFFSET($AG$2,,,COUNTIF($AG$2:$AG$50,"?*"),23),16,FALSE),"")</f>
        <v>186/82</v>
      </c>
      <c r="L4" s="425"/>
      <c r="M4" s="446" t="str">
        <f ca="1">IFERROR(IF(VLOOKUP(M1,OFFSET($AG$2,,,COUNTIF($AG$2:$AG$50,"?*"),23),13,FALSE)&lt;&gt;0,VLOOKUP(M1,OFFSET($AG$2,,,COUNTIF($AG$2:$AG$50,"?*"),23),13,FALSE),"?"),"")</f>
        <v>FBC Česká Lípa</v>
      </c>
      <c r="N4" s="447"/>
      <c r="O4" s="448"/>
      <c r="P4" s="449" t="str">
        <f ca="1">IFERROR(IF(VLOOKUP(M1,OFFSET($AG$2,,,COUNTIF($AG$2:$AG$50,"?*"),23),14,FALSE)&lt;&gt;0,VLOOKUP(M1,OFFSET($AG$2,,,COUNTIF($AG$2:$AG$50,"?*"),23),14,FALSE),"?"),"")</f>
        <v>-</v>
      </c>
      <c r="Q4" s="45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642</v>
      </c>
      <c r="T4" s="102" t="s">
        <v>58</v>
      </c>
      <c r="U4" s="102">
        <v>11</v>
      </c>
      <c r="V4" s="102">
        <v>8</v>
      </c>
      <c r="W4" s="102">
        <v>4</v>
      </c>
      <c r="X4" s="102">
        <v>0</v>
      </c>
      <c r="Y4" s="102">
        <v>4</v>
      </c>
      <c r="Z4" s="102">
        <v>12</v>
      </c>
      <c r="AA4" s="102">
        <v>12</v>
      </c>
      <c r="AB4" s="102">
        <v>-3</v>
      </c>
      <c r="AC4" s="102" t="str">
        <f t="shared" ca="1" si="0"/>
        <v>ANO</v>
      </c>
      <c r="AG4" s="121" t="s">
        <v>654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220</v>
      </c>
      <c r="AQ4" s="123">
        <v>191</v>
      </c>
      <c r="AR4" s="123">
        <v>84</v>
      </c>
      <c r="AS4" s="126" t="s">
        <v>664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675</v>
      </c>
      <c r="BO4" s="122">
        <v>31784</v>
      </c>
      <c r="BP4" s="131" t="s">
        <v>176</v>
      </c>
      <c r="BQ4" s="132"/>
      <c r="BR4" s="127">
        <f t="shared" ca="1" si="12"/>
        <v>34</v>
      </c>
      <c r="BS4" s="417"/>
      <c r="BT4" s="104" t="s">
        <v>1193</v>
      </c>
      <c r="BU4" s="103">
        <v>12</v>
      </c>
      <c r="BV4" s="104" t="str">
        <f t="shared" si="13"/>
        <v>Štěpán Slaný</v>
      </c>
      <c r="BW4" s="102">
        <f t="shared" si="14"/>
        <v>12</v>
      </c>
      <c r="BX4" s="416"/>
      <c r="BY4" s="103" t="s">
        <v>839</v>
      </c>
      <c r="BZ4" s="103" t="s">
        <v>860</v>
      </c>
      <c r="CA4" s="115" t="s">
        <v>1190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>10 OZ, 12 (7+5), -10 ±</v>
      </c>
      <c r="H5" s="459"/>
      <c r="I5" s="459"/>
      <c r="J5" s="460" t="str">
        <f ca="1">IFERROR(VLOOKUP(G3,OFFSET($AG$2,,,COUNTIF($AG$2:$AG$50,"?*"),23),19,FALSE),"")</f>
        <v>204 OZ, 339 (241+98)</v>
      </c>
      <c r="K5" s="460"/>
      <c r="L5" s="461"/>
      <c r="S5" s="110" t="s">
        <v>636</v>
      </c>
      <c r="T5" s="102" t="s">
        <v>107</v>
      </c>
      <c r="U5" s="102">
        <v>10</v>
      </c>
      <c r="V5" s="102">
        <v>7</v>
      </c>
      <c r="W5" s="102">
        <v>0</v>
      </c>
      <c r="X5" s="102">
        <v>1</v>
      </c>
      <c r="Y5" s="102">
        <v>5</v>
      </c>
      <c r="Z5" s="102">
        <v>12</v>
      </c>
      <c r="AA5" s="102">
        <v>12</v>
      </c>
      <c r="AB5" s="102">
        <v>-10</v>
      </c>
      <c r="AC5" s="102" t="str">
        <f t="shared" ca="1" si="0"/>
        <v>ANO</v>
      </c>
      <c r="AG5" s="121" t="s">
        <v>639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137</v>
      </c>
      <c r="AQ5" s="123">
        <v>182</v>
      </c>
      <c r="AR5" s="123">
        <v>79</v>
      </c>
      <c r="AS5" s="126" t="s">
        <v>665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11 OZ, 1 (1+0), -15 ±</v>
      </c>
      <c r="AY5" s="129" t="str">
        <f t="shared" ca="1" si="2"/>
        <v>114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676</v>
      </c>
      <c r="BO5" s="122">
        <v>29101</v>
      </c>
      <c r="BP5" s="131" t="s">
        <v>176</v>
      </c>
      <c r="BQ5" s="132"/>
      <c r="BR5" s="127">
        <f t="shared" ca="1" si="12"/>
        <v>42</v>
      </c>
      <c r="BS5" s="417"/>
      <c r="BT5" s="104" t="s">
        <v>1194</v>
      </c>
      <c r="BU5" s="103">
        <v>12</v>
      </c>
      <c r="BV5" s="104" t="str">
        <f t="shared" si="13"/>
        <v>Radek Krajcigr</v>
      </c>
      <c r="BW5" s="102">
        <f t="shared" si="14"/>
        <v>12</v>
      </c>
      <c r="BX5" s="416"/>
      <c r="BY5" s="103" t="s">
        <v>1141</v>
      </c>
      <c r="BZ5" s="103" t="s">
        <v>859</v>
      </c>
      <c r="CA5" s="115" t="s">
        <v>1191</v>
      </c>
    </row>
    <row r="6" spans="1:79" ht="15" customHeight="1" thickTop="1" thickBot="1" x14ac:dyDescent="0.25">
      <c r="A6" s="429" t="s">
        <v>392</v>
      </c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446" t="str">
        <f ca="1">IFERROR(IF(VLOOKUP(G3,OFFSET($AG$2,,,COUNTIF($AG$2:$AG$50,"?*"),23),13,FALSE)&lt;&gt;0,VLOOKUP(G3,OFFSET($AG$2,,,COUNTIF($AG$2:$AG$50,"?*"),23),13,FALSE),"?"),"")</f>
        <v>Erupting Dragons H. B.</v>
      </c>
      <c r="H6" s="447"/>
      <c r="I6" s="448"/>
      <c r="J6" s="449" t="str">
        <f ca="1">IFERROR(IF(VLOOKUP(G3,OFFSET($AG$2,,,COUNTIF($AG$2:$AG$50,"?*"),23),14,FALSE)&lt;&gt;0,VLOOKUP(G3,OFFSET($AG$2,,,COUNTIF($AG$2:$AG$50,"?*"),23),14,FALSE),"?"),"")</f>
        <v>-</v>
      </c>
      <c r="K6" s="450"/>
      <c r="L6" s="7">
        <f ca="1">IFERROR(IF(VLOOKUP(G3,OFFSET($AG$2,,,COUNTIF($AG$2:$AG$50,"?*"),23),7,FALSE)&lt;&gt;0,VLOOKUP(G3,OFFSET($AG$2,,,COUNTIF($AG$2:$AG$50,"?*"),23),7,FALSE),"?"),"")</f>
        <v>10</v>
      </c>
      <c r="M6" s="429" t="s">
        <v>640</v>
      </c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638</v>
      </c>
      <c r="T6" s="102" t="s">
        <v>107</v>
      </c>
      <c r="U6" s="102">
        <v>11</v>
      </c>
      <c r="V6" s="102">
        <v>6</v>
      </c>
      <c r="W6" s="102">
        <v>0</v>
      </c>
      <c r="X6" s="102">
        <v>0</v>
      </c>
      <c r="Y6" s="102">
        <v>6</v>
      </c>
      <c r="Z6" s="102">
        <v>12</v>
      </c>
      <c r="AA6" s="102">
        <v>0</v>
      </c>
      <c r="AB6" s="102">
        <v>-15</v>
      </c>
      <c r="AC6" s="102" t="str">
        <f t="shared" ca="1" si="0"/>
        <v>ANO</v>
      </c>
      <c r="AG6" s="121" t="s">
        <v>638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666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11 OZ, 12 (6+6), -15 ±</v>
      </c>
      <c r="AY6" s="129" t="str">
        <f t="shared" ca="1" si="2"/>
        <v>318 OZ, 305 (182+123)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7"/>
      <c r="BT6" s="104" t="s">
        <v>1195</v>
      </c>
      <c r="BU6" s="103">
        <v>12</v>
      </c>
      <c r="BV6" s="104" t="str">
        <f t="shared" si="13"/>
        <v>Jaromír Ekl</v>
      </c>
      <c r="BW6" s="102">
        <f t="shared" si="14"/>
        <v>12</v>
      </c>
      <c r="BX6" s="416"/>
      <c r="BY6" s="103" t="s">
        <v>1052</v>
      </c>
      <c r="BZ6" s="103" t="s">
        <v>846</v>
      </c>
      <c r="CA6" s="115" t="s">
        <v>757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422">
        <f ca="1">IFERROR(IF(VLOOKUP(A6,OFFSET($AG$2,,,COUNTIF($AG$2:$AG$50,"?*"),23),2,FALSE)&lt;&gt;0,YEAR(VLOOKUP(A6,OFFSET($AG$2,,,COUNTIF($AG$2:$AG$50,"?*"),23),2,FALSE)),""),"")</f>
        <v>1993</v>
      </c>
      <c r="C7" s="423"/>
      <c r="D7" s="117">
        <f ca="1">IFERROR(VLOOKUP(A6,OFFSET($AG$2,,,COUNTIF($AG$2:$AG$50,"?*"),23),15,FALSE),"")</f>
        <v>28</v>
      </c>
      <c r="E7" s="424" t="str">
        <f ca="1">IFERROR(VLOOKUP(A6,OFFSET($AG$2,,,COUNTIF($AG$2:$AG$50,"?*"),23),16,FALSE),"")</f>
        <v>192/90</v>
      </c>
      <c r="F7" s="425"/>
      <c r="M7" s="4" t="str">
        <f ca="1">IFERROR(IF(VLOOKUP(M6,OFFSET($AG$2,,,COUNTIF($AG$2:$AG$50,"?*"),23),10,FALSE)&lt;&gt;0,VLOOKUP(M6,OFFSET($AG$2,,,COUNTIF($AG$2:$AG$50,"?*"),23),10,FALSE),""),"")</f>
        <v>P</v>
      </c>
      <c r="N7" s="422">
        <f ca="1">IFERROR(IF(VLOOKUP(M6,OFFSET($AG$2,,,COUNTIF($AG$2:$AG$50,"?*"),23),2,FALSE)&lt;&gt;0,YEAR(VLOOKUP(M6,OFFSET($AG$2,,,COUNTIF($AG$2:$AG$50,"?*"),23),2,FALSE)),""),"")</f>
        <v>1996</v>
      </c>
      <c r="O7" s="423"/>
      <c r="P7" s="117">
        <f ca="1">IFERROR(VLOOKUP(M6,OFFSET($AG$2,,,COUNTIF($AG$2:$AG$50,"?*"),23),15,FALSE),"")</f>
        <v>25</v>
      </c>
      <c r="Q7" s="424" t="str">
        <f ca="1">IFERROR(VLOOKUP(M6,OFFSET($AG$2,,,COUNTIF($AG$2:$AG$50,"?*"),23),16,FALSE),"")</f>
        <v>185/85</v>
      </c>
      <c r="R7" s="425"/>
      <c r="S7" s="110" t="s">
        <v>640</v>
      </c>
      <c r="T7" s="102" t="s">
        <v>58</v>
      </c>
      <c r="U7" s="102">
        <v>10</v>
      </c>
      <c r="V7" s="102">
        <v>3</v>
      </c>
      <c r="W7" s="102">
        <v>1</v>
      </c>
      <c r="X7" s="102">
        <v>0</v>
      </c>
      <c r="Y7" s="102">
        <v>8</v>
      </c>
      <c r="Z7" s="102">
        <v>11</v>
      </c>
      <c r="AA7" s="102">
        <v>2</v>
      </c>
      <c r="AB7" s="102">
        <v>-25</v>
      </c>
      <c r="AC7" s="102" t="str">
        <f t="shared" ca="1" si="0"/>
        <v>ANO</v>
      </c>
      <c r="AG7" s="121" t="s">
        <v>650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828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7" t="s">
        <v>40</v>
      </c>
      <c r="BT7" s="104" t="s">
        <v>810</v>
      </c>
      <c r="BU7" s="103" t="s">
        <v>1196</v>
      </c>
      <c r="BV7" s="104" t="str">
        <f t="shared" si="13"/>
        <v>Lukáš Chyna</v>
      </c>
      <c r="BW7" s="112">
        <f t="shared" si="14"/>
        <v>7.71</v>
      </c>
      <c r="BX7" s="416" t="s">
        <v>193</v>
      </c>
      <c r="BY7" s="103" t="s">
        <v>972</v>
      </c>
      <c r="BZ7" s="103" t="s">
        <v>870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>9 OZ, 14 (7+7), -10 ±</v>
      </c>
      <c r="B8" s="459"/>
      <c r="C8" s="459"/>
      <c r="D8" s="460" t="str">
        <f ca="1">IFERROR(VLOOKUP(A6,OFFSET($AG$2,,,COUNTIF($AG$2:$AG$50,"?*"),23),19,FALSE),"")</f>
        <v>83 OZ, 75 (44+31)</v>
      </c>
      <c r="E8" s="460"/>
      <c r="F8" s="461"/>
      <c r="H8" s="462" t="s">
        <v>96</v>
      </c>
      <c r="I8" s="462"/>
      <c r="J8" s="462"/>
      <c r="K8" s="462"/>
      <c r="M8" s="458" t="str">
        <f ca="1">IFERROR(VLOOKUP(M6,OFFSET($AG$2,,,COUNTIF($AG$2:$AG$50,"?*"),23),18,FALSE),"")</f>
        <v>10 OZ, 11 (3+8), -25 ±</v>
      </c>
      <c r="N8" s="459"/>
      <c r="O8" s="459"/>
      <c r="P8" s="460" t="str">
        <f ca="1">IFERROR(VLOOKUP(M6,OFFSET($AG$2,,,COUNTIF($AG$2:$AG$50,"?*"),23),19,FALSE),"")</f>
        <v>112 OZ, 87 (31+56)</v>
      </c>
      <c r="Q8" s="460"/>
      <c r="R8" s="461"/>
      <c r="S8" s="110" t="s">
        <v>649</v>
      </c>
      <c r="T8" s="102" t="s">
        <v>107</v>
      </c>
      <c r="U8" s="102">
        <v>11</v>
      </c>
      <c r="V8" s="102">
        <v>1</v>
      </c>
      <c r="W8" s="102">
        <v>0</v>
      </c>
      <c r="X8" s="102">
        <v>0</v>
      </c>
      <c r="Y8" s="102">
        <v>9</v>
      </c>
      <c r="Z8" s="102">
        <v>10</v>
      </c>
      <c r="AA8" s="102">
        <v>2</v>
      </c>
      <c r="AB8" s="102">
        <v>-2</v>
      </c>
      <c r="AC8" s="102" t="str">
        <f t="shared" ca="1" si="0"/>
        <v>ANO</v>
      </c>
      <c r="AG8" s="121" t="s">
        <v>651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137</v>
      </c>
      <c r="AQ8" s="123"/>
      <c r="AR8" s="123"/>
      <c r="AS8" s="126" t="s">
        <v>404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7 OZ, 0 (0+0), -1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7"/>
      <c r="BT8" s="104" t="s">
        <v>811</v>
      </c>
      <c r="BU8" s="103" t="s">
        <v>1197</v>
      </c>
      <c r="BV8" s="104" t="str">
        <f t="shared" si="13"/>
        <v>Ivan Ponomarev</v>
      </c>
      <c r="BW8" s="112">
        <f t="shared" si="14"/>
        <v>7.77</v>
      </c>
      <c r="BX8" s="416"/>
      <c r="BY8" s="103" t="s">
        <v>1063</v>
      </c>
      <c r="BZ8" s="103" t="s">
        <v>837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>FBC Česká Lípa</v>
      </c>
      <c r="B9" s="447"/>
      <c r="C9" s="448"/>
      <c r="D9" s="449">
        <f ca="1">IFERROR(IF(VLOOKUP(A6,OFFSET($AG$2,,,COUNTIF($AG$2:$AG$50,"?*"),23),14,FALSE)&lt;&gt;0,VLOOKUP(A6,OFFSET($AG$2,,,COUNTIF($AG$2:$AG$50,"?*"),23),14,FALSE),"?"),"")</f>
        <v>2008</v>
      </c>
      <c r="E9" s="450"/>
      <c r="F9" s="7">
        <f ca="1">IFERROR(IF(VLOOKUP(A6,OFFSET($AG$2,,,COUNTIF($AG$2:$AG$50,"?*"),23),7,FALSE)&lt;&gt;0,VLOOKUP(A6,OFFSET($AG$2,,,COUNTIF($AG$2:$AG$50,"?*"),23),7,FALSE),"?"),"")</f>
        <v>7</v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>FbK Sokol Mladá Boleslav</v>
      </c>
      <c r="N9" s="447"/>
      <c r="O9" s="448"/>
      <c r="P9" s="449">
        <f ca="1">IFERROR(IF(VLOOKUP(M6,OFFSET($AG$2,,,COUNTIF($AG$2:$AG$50,"?*"),23),14,FALSE)&lt;&gt;0,VLOOKUP(M6,OFFSET($AG$2,,,COUNTIF($AG$2:$AG$50,"?*"),23),14,FALSE),"?"),"")</f>
        <v>2007</v>
      </c>
      <c r="Q9" s="450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647</v>
      </c>
      <c r="T9" s="102" t="s">
        <v>58</v>
      </c>
      <c r="U9" s="102">
        <v>11</v>
      </c>
      <c r="V9" s="102">
        <v>6</v>
      </c>
      <c r="W9" s="102">
        <v>0</v>
      </c>
      <c r="X9" s="102">
        <v>0</v>
      </c>
      <c r="Y9" s="102">
        <v>2</v>
      </c>
      <c r="Z9" s="102">
        <v>8</v>
      </c>
      <c r="AA9" s="102">
        <v>4</v>
      </c>
      <c r="AB9" s="102">
        <v>-9</v>
      </c>
      <c r="AC9" s="102" t="str">
        <f t="shared" ca="1" si="0"/>
        <v>ANO</v>
      </c>
      <c r="AG9" s="121" t="s">
        <v>655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137</v>
      </c>
      <c r="AQ9" s="123">
        <v>185</v>
      </c>
      <c r="AR9" s="123">
        <v>76</v>
      </c>
      <c r="AS9" s="126" t="s">
        <v>404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7"/>
      <c r="BT9" s="104" t="s">
        <v>1198</v>
      </c>
      <c r="BU9" s="103" t="s">
        <v>1199</v>
      </c>
      <c r="BV9" s="104" t="str">
        <f t="shared" si="13"/>
        <v>Daniel Jukl</v>
      </c>
      <c r="BW9" s="112">
        <f t="shared" si="14"/>
        <v>15</v>
      </c>
      <c r="BX9" s="416"/>
      <c r="BY9" s="103" t="s">
        <v>1160</v>
      </c>
      <c r="BZ9" s="103" t="s">
        <v>838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641</v>
      </c>
      <c r="T10" s="102" t="s">
        <v>107</v>
      </c>
      <c r="U10" s="102">
        <v>10</v>
      </c>
      <c r="V10" s="102">
        <v>0</v>
      </c>
      <c r="W10" s="102">
        <v>0</v>
      </c>
      <c r="X10" s="102">
        <v>0</v>
      </c>
      <c r="Y10" s="102">
        <v>5</v>
      </c>
      <c r="Z10" s="102">
        <v>5</v>
      </c>
      <c r="AA10" s="102">
        <v>4</v>
      </c>
      <c r="AB10" s="102">
        <v>-8</v>
      </c>
      <c r="AC10" s="102" t="str">
        <f t="shared" ca="1" si="0"/>
        <v>ANO</v>
      </c>
      <c r="AG10" s="121" t="s">
        <v>652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220</v>
      </c>
      <c r="AQ10" s="123">
        <v>181</v>
      </c>
      <c r="AR10" s="123">
        <v>79</v>
      </c>
      <c r="AS10" s="126" t="s">
        <v>404</v>
      </c>
      <c r="AT10" s="123" t="s">
        <v>220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2 V, 3 P</v>
      </c>
      <c r="AY10" s="129" t="str">
        <f t="shared" ca="1" si="2"/>
        <v>48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7"/>
      <c r="BV10" s="104" t="str">
        <f t="shared" si="13"/>
        <v/>
      </c>
      <c r="BW10" s="112" t="str">
        <f t="shared" si="14"/>
        <v/>
      </c>
      <c r="BX10" s="416"/>
      <c r="BY10" s="103" t="s">
        <v>1143</v>
      </c>
      <c r="BZ10" s="103" t="s">
        <v>868</v>
      </c>
      <c r="CA10" s="115" t="s">
        <v>188</v>
      </c>
    </row>
    <row r="11" spans="1:79" ht="15" customHeight="1" thickTop="1" thickBot="1" x14ac:dyDescent="0.25">
      <c r="R11" s="13"/>
      <c r="S11" s="110" t="s">
        <v>644</v>
      </c>
      <c r="T11" s="102" t="s">
        <v>107</v>
      </c>
      <c r="U11" s="102">
        <v>8</v>
      </c>
      <c r="V11" s="102">
        <v>3</v>
      </c>
      <c r="W11" s="102">
        <v>0</v>
      </c>
      <c r="X11" s="102">
        <v>0</v>
      </c>
      <c r="Y11" s="102">
        <v>0</v>
      </c>
      <c r="Z11" s="102">
        <v>3</v>
      </c>
      <c r="AA11" s="102">
        <v>2</v>
      </c>
      <c r="AB11" s="102">
        <v>-1</v>
      </c>
      <c r="AC11" s="102" t="str">
        <f t="shared" ca="1" si="0"/>
        <v>ANO</v>
      </c>
      <c r="AG11" s="121" t="s">
        <v>656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137</v>
      </c>
      <c r="AQ11" s="123">
        <v>186</v>
      </c>
      <c r="AR11" s="123">
        <v>63</v>
      </c>
      <c r="AS11" s="126" t="s">
        <v>663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7"/>
      <c r="BV11" s="104" t="str">
        <f t="shared" si="13"/>
        <v/>
      </c>
      <c r="BW11" s="112" t="str">
        <f t="shared" si="14"/>
        <v/>
      </c>
      <c r="BX11" s="416"/>
      <c r="BY11" s="103" t="s">
        <v>1144</v>
      </c>
      <c r="BZ11" s="103" t="s">
        <v>851</v>
      </c>
      <c r="CA11" s="115" t="s">
        <v>188</v>
      </c>
    </row>
    <row r="12" spans="1:79" ht="15" customHeight="1" thickTop="1" thickBot="1" x14ac:dyDescent="0.25">
      <c r="A12" s="429" t="s">
        <v>644</v>
      </c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463" t="s">
        <v>7</v>
      </c>
      <c r="I12" s="463"/>
      <c r="J12" s="463"/>
      <c r="K12" s="463"/>
      <c r="M12" s="429" t="s">
        <v>645</v>
      </c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658</v>
      </c>
      <c r="T12" s="102" t="s">
        <v>58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27</v>
      </c>
      <c r="AB12" s="102">
        <v>-10</v>
      </c>
      <c r="AC12" s="102" t="str">
        <f t="shared" ca="1" si="0"/>
        <v>ANO</v>
      </c>
      <c r="AG12" s="121" t="s">
        <v>649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137</v>
      </c>
      <c r="AQ12" s="123">
        <v>186</v>
      </c>
      <c r="AR12" s="123">
        <v>87</v>
      </c>
      <c r="AS12" s="126" t="s">
        <v>404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11 OZ, 10 (1+9), -2 ±</v>
      </c>
      <c r="AY12" s="129" t="str">
        <f t="shared" ca="1" si="2"/>
        <v>114 OZ, 86 (26+60)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7" t="s">
        <v>37</v>
      </c>
      <c r="BT12" s="104" t="s">
        <v>973</v>
      </c>
      <c r="BU12" s="103">
        <v>11</v>
      </c>
      <c r="BV12" s="104" t="str">
        <f t="shared" si="13"/>
        <v>Ondřej Kopič</v>
      </c>
      <c r="BW12" s="102">
        <f t="shared" si="14"/>
        <v>11</v>
      </c>
      <c r="BX12" s="120" t="s">
        <v>191</v>
      </c>
      <c r="BY12" s="100" t="s">
        <v>1192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422">
        <f ca="1">IFERROR(IF(VLOOKUP(A12,OFFSET($AG$2,,,COUNTIF($AG$2:$AG$50,"?*"),23),2,FALSE)&lt;&gt;0,YEAR(VLOOKUP(A12,OFFSET($AG$2,,,COUNTIF($AG$2:$AG$50,"?*"),23),2,FALSE)),""),"")</f>
        <v>1997</v>
      </c>
      <c r="C13" s="423"/>
      <c r="D13" s="117">
        <f ca="1">IFERROR(VLOOKUP(A12,OFFSET($AG$2,,,COUNTIF($AG$2:$AG$50,"?*"),23),15,FALSE),"")</f>
        <v>23</v>
      </c>
      <c r="E13" s="424" t="str">
        <f ca="1">IFERROR(VLOOKUP(A12,OFFSET($AG$2,,,COUNTIF($AG$2:$AG$50,"?*"),23),16,FALSE),"")</f>
        <v>185/75</v>
      </c>
      <c r="F13" s="425"/>
      <c r="M13" s="4" t="str">
        <f ca="1">IFERROR(IF(VLOOKUP(M12,OFFSET($AG$2,,,COUNTIF($AG$2:$AG$50,"?*"),23),10,FALSE)&lt;&gt;0,VLOOKUP(M12,OFFSET($AG$2,,,COUNTIF($AG$2:$AG$50,"?*"),23),10,FALSE),""),"")</f>
        <v>L</v>
      </c>
      <c r="N13" s="422">
        <f ca="1">IFERROR(IF(VLOOKUP(M12,OFFSET($AG$2,,,COUNTIF($AG$2:$AG$50,"?*"),23),2,FALSE)&lt;&gt;0,YEAR(VLOOKUP(M12,OFFSET($AG$2,,,COUNTIF($AG$2:$AG$50,"?*"),23),2,FALSE)),""),"")</f>
        <v>2003</v>
      </c>
      <c r="O13" s="423"/>
      <c r="P13" s="117">
        <f ca="1">IFERROR(VLOOKUP(M12,OFFSET($AG$2,,,COUNTIF($AG$2:$AG$50,"?*"),23),15,FALSE),"")</f>
        <v>17</v>
      </c>
      <c r="Q13" s="424" t="str">
        <f ca="1">IFERROR(VLOOKUP(M12,OFFSET($AG$2,,,COUNTIF($AG$2:$AG$50,"?*"),23),16,FALSE),"")</f>
        <v>170/62</v>
      </c>
      <c r="R13" s="425"/>
      <c r="S13" s="110" t="s">
        <v>645</v>
      </c>
      <c r="T13" s="102" t="s">
        <v>107</v>
      </c>
      <c r="U13" s="102">
        <v>9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2</v>
      </c>
      <c r="AB13" s="102">
        <v>-2</v>
      </c>
      <c r="AC13" s="102" t="str">
        <f t="shared" ca="1" si="0"/>
        <v>ANO</v>
      </c>
      <c r="AG13" s="121" t="s">
        <v>657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137</v>
      </c>
      <c r="AQ13" s="123">
        <v>176</v>
      </c>
      <c r="AR13" s="123">
        <v>80</v>
      </c>
      <c r="AS13" s="126" t="s">
        <v>666</v>
      </c>
      <c r="AT13" s="123">
        <v>2007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2 OZ, 1 (1+0), 0 ±</v>
      </c>
      <c r="AY13" s="129" t="str">
        <f t="shared" ca="1" si="2"/>
        <v>285 OZ, 71 (32+39)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7"/>
      <c r="BT13" s="104" t="s">
        <v>1200</v>
      </c>
      <c r="BU13" s="103">
        <v>8</v>
      </c>
      <c r="BV13" s="104" t="str">
        <f t="shared" si="13"/>
        <v>Štěpán Slaný</v>
      </c>
      <c r="BW13" s="102">
        <f t="shared" si="14"/>
        <v>8</v>
      </c>
    </row>
    <row r="14" spans="1:79" ht="15" customHeight="1" thickTop="1" thickBot="1" x14ac:dyDescent="0.25">
      <c r="A14" s="458" t="str">
        <f ca="1">IFERROR(VLOOKUP(A12,OFFSET($AG$2,,,COUNTIF($AG$2:$AG$50,"?*"),23),18,FALSE),"")</f>
        <v>8 OZ, 3 (3+0), -1 ±</v>
      </c>
      <c r="B14" s="459"/>
      <c r="C14" s="459"/>
      <c r="D14" s="460" t="str">
        <f ca="1">IFERROR(VLOOKUP(A12,OFFSET($AG$2,,,COUNTIF($AG$2:$AG$50,"?*"),23),19,FALSE),"")</f>
        <v>73 OZ, 20 (11+9)</v>
      </c>
      <c r="E14" s="460"/>
      <c r="F14" s="461"/>
      <c r="G14" s="429" t="s">
        <v>649</v>
      </c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458" t="str">
        <f ca="1">IFERROR(VLOOKUP(M12,OFFSET($AG$2,,,COUNTIF($AG$2:$AG$50,"?*"),23),18,FALSE),"")</f>
        <v>9 OZ, 2 (1+1), -2 ±</v>
      </c>
      <c r="N14" s="459"/>
      <c r="O14" s="459"/>
      <c r="P14" s="460" t="str">
        <f ca="1">IFERROR(VLOOKUP(M12,OFFSET($AG$2,,,COUNTIF($AG$2:$AG$50,"?*"),23),19,FALSE),"")</f>
        <v>17 OZ, 2 (1+1)</v>
      </c>
      <c r="Q14" s="460"/>
      <c r="R14" s="461"/>
      <c r="S14" s="110" t="s">
        <v>971</v>
      </c>
      <c r="U14" s="102">
        <v>6</v>
      </c>
      <c r="V14" s="102">
        <v>0</v>
      </c>
      <c r="W14" s="102">
        <v>0</v>
      </c>
      <c r="X14" s="102">
        <v>0</v>
      </c>
      <c r="Y14" s="102">
        <v>2</v>
      </c>
      <c r="Z14" s="102">
        <v>2</v>
      </c>
      <c r="AA14" s="102">
        <v>0</v>
      </c>
      <c r="AB14" s="102">
        <v>-5</v>
      </c>
      <c r="AC14" s="102" t="str">
        <f t="shared" ca="1" si="0"/>
        <v>ANO</v>
      </c>
      <c r="AG14" s="121" t="s">
        <v>641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137</v>
      </c>
      <c r="AQ14" s="123">
        <v>186</v>
      </c>
      <c r="AR14" s="123">
        <v>86</v>
      </c>
      <c r="AS14" s="126" t="s">
        <v>404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10 OZ, 5 (0+5), -8 ±</v>
      </c>
      <c r="AY14" s="129" t="str">
        <f t="shared" ca="1" si="2"/>
        <v>101 OZ, 31 (8+23)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7"/>
      <c r="BT14" s="104" t="s">
        <v>1061</v>
      </c>
      <c r="BU14" s="103">
        <v>7</v>
      </c>
      <c r="BV14" s="104" t="str">
        <f t="shared" si="13"/>
        <v>Milan Tichý</v>
      </c>
      <c r="BW14" s="102">
        <f t="shared" si="14"/>
        <v>7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>Akademie Zákupy</v>
      </c>
      <c r="B15" s="447"/>
      <c r="C15" s="448"/>
      <c r="D15" s="449" t="str">
        <f ca="1">IFERROR(IF(VLOOKUP(A12,OFFSET($AG$2,,,COUNTIF($AG$2:$AG$50,"?*"),23),14,FALSE)&lt;&gt;0,VLOOKUP(A12,OFFSET($AG$2,,,COUNTIF($AG$2:$AG$50,"?*"),23),14,FALSE),"?"),"")</f>
        <v>-</v>
      </c>
      <c r="E15" s="450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2">
        <f ca="1">IFERROR(IF(VLOOKUP(G14,OFFSET($AG$2,,,COUNTIF($AG$2:$AG$50,"?*"),23),2,FALSE)&lt;&gt;0,YEAR(VLOOKUP(G14,OFFSET($AG$2,,,COUNTIF($AG$2:$AG$50,"?*"),23),2,FALSE)),""),"")</f>
        <v>1991</v>
      </c>
      <c r="I15" s="423"/>
      <c r="J15" s="117">
        <f ca="1">IFERROR(VLOOKUP(G14,OFFSET($AG$2,,,COUNTIF($AG$2:$AG$50,"?*"),23),15,FALSE),"")</f>
        <v>30</v>
      </c>
      <c r="K15" s="424" t="str">
        <f ca="1">IFERROR(VLOOKUP(G14,OFFSET($AG$2,,,COUNTIF($AG$2:$AG$50,"?*"),23),16,FALSE),"")</f>
        <v>186/87</v>
      </c>
      <c r="L15" s="425"/>
      <c r="M15" s="446" t="str">
        <f ca="1">IFERROR(IF(VLOOKUP(M12,OFFSET($AG$2,,,COUNTIF($AG$2:$AG$50,"?*"),23),13,FALSE)&lt;&gt;0,VLOOKUP(M12,OFFSET($AG$2,,,COUNTIF($AG$2:$AG$50,"?*"),23),13,FALSE),"?"),"")</f>
        <v>FBC Česká Lípa</v>
      </c>
      <c r="N15" s="447"/>
      <c r="O15" s="448"/>
      <c r="P15" s="449" t="str">
        <f ca="1">IFERROR(IF(VLOOKUP(M12,OFFSET($AG$2,,,COUNTIF($AG$2:$AG$50,"?*"),23),14,FALSE)&lt;&gt;0,VLOOKUP(M12,OFFSET($AG$2,,,COUNTIF($AG$2:$AG$50,"?*"),23),14,FALSE),"?"),"")</f>
        <v>-</v>
      </c>
      <c r="Q15" s="45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657</v>
      </c>
      <c r="T15" s="102" t="s">
        <v>58</v>
      </c>
      <c r="U15" s="102">
        <v>2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0</v>
      </c>
      <c r="AC15" s="102" t="str">
        <f t="shared" ca="1" si="0"/>
        <v>ANO</v>
      </c>
      <c r="AG15" s="121" t="s">
        <v>637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137</v>
      </c>
      <c r="AQ15" s="123">
        <v>175</v>
      </c>
      <c r="AR15" s="123">
        <v>70</v>
      </c>
      <c r="AS15" s="126" t="s">
        <v>404</v>
      </c>
      <c r="AT15" s="123" t="s">
        <v>220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11 OZ, 13 (11+2), -20 ±</v>
      </c>
      <c r="AY15" s="129" t="str">
        <f t="shared" ca="1" si="2"/>
        <v>35 OZ, 34 (25+9)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7"/>
      <c r="BT15" s="104" t="s">
        <v>1194</v>
      </c>
      <c r="BU15" s="103">
        <v>7</v>
      </c>
      <c r="BV15" s="104" t="str">
        <f t="shared" si="13"/>
        <v>Radek Krajcigr</v>
      </c>
      <c r="BW15" s="102">
        <f t="shared" si="14"/>
        <v>7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>11 OZ, 10 (1+9), -2 ±</v>
      </c>
      <c r="H16" s="459"/>
      <c r="I16" s="459"/>
      <c r="J16" s="460" t="str">
        <f ca="1">IFERROR(VLOOKUP(G14,OFFSET($AG$2,,,COUNTIF($AG$2:$AG$50,"?*"),23),19,FALSE),"")</f>
        <v>114 OZ, 86 (26+60)</v>
      </c>
      <c r="K16" s="460"/>
      <c r="L16" s="461"/>
      <c r="S16" s="110" t="s">
        <v>646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2</v>
      </c>
      <c r="AB16" s="102">
        <v>2</v>
      </c>
      <c r="AC16" s="102" t="str">
        <f t="shared" ca="1" si="0"/>
        <v>ANO</v>
      </c>
      <c r="AG16" s="121" t="s">
        <v>645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137</v>
      </c>
      <c r="AQ16" s="123">
        <v>170</v>
      </c>
      <c r="AR16" s="123">
        <v>62</v>
      </c>
      <c r="AS16" s="126" t="s">
        <v>404</v>
      </c>
      <c r="AT16" s="123" t="s">
        <v>220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9 OZ, 2 (1+1), -2 ±</v>
      </c>
      <c r="AY16" s="129" t="str">
        <f t="shared" ca="1" si="2"/>
        <v>17 OZ, 2 (1+1)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7"/>
      <c r="BT16" s="104" t="s">
        <v>1195</v>
      </c>
      <c r="BU16" s="103">
        <v>6</v>
      </c>
      <c r="BV16" s="104" t="str">
        <f t="shared" si="13"/>
        <v>Jaromír Ekl</v>
      </c>
      <c r="BW16" s="102">
        <f t="shared" si="14"/>
        <v>6</v>
      </c>
    </row>
    <row r="17" spans="1:75" ht="15" customHeight="1" thickTop="1" thickBot="1" x14ac:dyDescent="0.25">
      <c r="A17" s="429" t="s">
        <v>406</v>
      </c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446" t="str">
        <f ca="1">IFERROR(IF(VLOOKUP(G14,OFFSET($AG$2,,,COUNTIF($AG$2:$AG$50,"?*"),23),13,FALSE)&lt;&gt;0,VLOOKUP(G14,OFFSET($AG$2,,,COUNTIF($AG$2:$AG$50,"?*"),23),13,FALSE),"?"),"")</f>
        <v>FBC Česká Lípa</v>
      </c>
      <c r="H17" s="447"/>
      <c r="I17" s="448"/>
      <c r="J17" s="449">
        <f ca="1">IFERROR(IF(VLOOKUP(G14,OFFSET($AG$2,,,COUNTIF($AG$2:$AG$50,"?*"),23),14,FALSE)&lt;&gt;0,VLOOKUP(G14,OFFSET($AG$2,,,COUNTIF($AG$2:$AG$50,"?*"),23),14,FALSE),"?"),"")</f>
        <v>2006</v>
      </c>
      <c r="K17" s="450"/>
      <c r="L17" s="7">
        <f ca="1">IFERROR(IF(VLOOKUP(G14,OFFSET($AG$2,,,COUNTIF($AG$2:$AG$50,"?*"),23),7,FALSE)&lt;&gt;0,VLOOKUP(G14,OFFSET($AG$2,,,COUNTIF($AG$2:$AG$50,"?*"),23),7,FALSE),"?"),"")</f>
        <v>6</v>
      </c>
      <c r="M17" s="429" t="s">
        <v>642</v>
      </c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639</v>
      </c>
      <c r="T17" s="102" t="s">
        <v>107</v>
      </c>
      <c r="U17" s="102">
        <v>11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4</v>
      </c>
      <c r="AB17" s="102">
        <v>-15</v>
      </c>
      <c r="AC17" s="102" t="str">
        <f t="shared" ca="1" si="0"/>
        <v>ANO</v>
      </c>
      <c r="AG17" s="121" t="s">
        <v>636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137</v>
      </c>
      <c r="AQ17" s="123">
        <v>186</v>
      </c>
      <c r="AR17" s="123">
        <v>82</v>
      </c>
      <c r="AS17" s="126" t="s">
        <v>667</v>
      </c>
      <c r="AT17" s="123" t="s">
        <v>220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10 OZ, 12 (7+5), -10 ±</v>
      </c>
      <c r="AY17" s="129" t="str">
        <f t="shared" ca="1" si="2"/>
        <v>204 OZ, 339 (241+98)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7" t="s">
        <v>41</v>
      </c>
      <c r="BT17" s="104" t="s">
        <v>810</v>
      </c>
      <c r="BU17" s="103">
        <v>2</v>
      </c>
      <c r="BV17" s="104" t="str">
        <f t="shared" si="13"/>
        <v>Lukáš Chyna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2">
        <f ca="1">IFERROR(IF(VLOOKUP(A17,OFFSET($AG$2,,,COUNTIF($AG$2:$AG$50,"?*"),23),2,FALSE)&lt;&gt;0,YEAR(VLOOKUP(A17,OFFSET($AG$2,,,COUNTIF($AG$2:$AG$50,"?*"),23),2,FALSE)),""),"")</f>
        <v>1994</v>
      </c>
      <c r="C18" s="423"/>
      <c r="D18" s="149">
        <f ca="1">IFERROR(VLOOKUP(A17,OFFSET($AG$2,,,COUNTIF($AG$2:$AG$50,"?*"),23),15,FALSE),"")</f>
        <v>27</v>
      </c>
      <c r="E18" s="424" t="str">
        <f ca="1">IFERROR(VLOOKUP(A17,OFFSET($AG$2,,,COUNTIF($AG$2:$AG$50,"?*"),23),16,FALSE),"")</f>
        <v>174/76</v>
      </c>
      <c r="F18" s="425"/>
      <c r="M18" s="4" t="str">
        <f ca="1">IFERROR(IF(VLOOKUP(M17,OFFSET($AG$2,,,COUNTIF($AG$2:$AG$50,"?*"),23),10,FALSE)&lt;&gt;0,VLOOKUP(M17,OFFSET($AG$2,,,COUNTIF($AG$2:$AG$50,"?*"),23),10,FALSE),""),"")</f>
        <v>L</v>
      </c>
      <c r="N18" s="422">
        <f ca="1">IFERROR(IF(VLOOKUP(M17,OFFSET($AG$2,,,COUNTIF($AG$2:$AG$50,"?*"),23),2,FALSE)&lt;&gt;0,YEAR(VLOOKUP(M17,OFFSET($AG$2,,,COUNTIF($AG$2:$AG$50,"?*"),23),2,FALSE)),""),"")</f>
        <v>1983</v>
      </c>
      <c r="O18" s="423"/>
      <c r="P18" s="117">
        <f ca="1">IFERROR(VLOOKUP(M17,OFFSET($AG$2,,,COUNTIF($AG$2:$AG$50,"?*"),23),15,FALSE),"")</f>
        <v>38</v>
      </c>
      <c r="Q18" s="424" t="str">
        <f ca="1">IFERROR(VLOOKUP(M17,OFFSET($AG$2,,,COUNTIF($AG$2:$AG$50,"?*"),23),16,FALSE),"")</f>
        <v>184/91</v>
      </c>
      <c r="R18" s="425"/>
      <c r="S18" s="110" t="s">
        <v>1187</v>
      </c>
      <c r="T18" s="102" t="s">
        <v>105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647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150</v>
      </c>
      <c r="AP18" s="125" t="s">
        <v>137</v>
      </c>
      <c r="AQ18" s="123">
        <v>185</v>
      </c>
      <c r="AR18" s="123">
        <v>85</v>
      </c>
      <c r="AS18" s="126" t="s">
        <v>668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11 OZ, 8 (6+2), -9 ±</v>
      </c>
      <c r="AY18" s="129" t="str">
        <f t="shared" ca="1" si="2"/>
        <v>94 OZ, 28 (18+10)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7"/>
      <c r="BT18" s="104" t="s">
        <v>811</v>
      </c>
      <c r="BU18" s="103">
        <v>1</v>
      </c>
      <c r="BV18" s="104" t="str">
        <f t="shared" si="13"/>
        <v>Ivan Ponomarev</v>
      </c>
      <c r="BW18" s="102">
        <f t="shared" si="14"/>
        <v>1</v>
      </c>
    </row>
    <row r="19" spans="1:75" ht="15" customHeight="1" x14ac:dyDescent="0.2">
      <c r="A19" s="458" t="str">
        <f ca="1">IFERROR(VLOOKUP(A17,OFFSET($AG$2,,,COUNTIF($AG$2:$AG$50,"?*"),23),18,FALSE),"")</f>
        <v>6 OZ, 0 (0+0), -2 ±</v>
      </c>
      <c r="B19" s="459"/>
      <c r="C19" s="459"/>
      <c r="D19" s="460" t="str">
        <f ca="1">IFERROR(VLOOKUP(A17,OFFSET($AG$2,,,COUNTIF($AG$2:$AG$50,"?*"),23),19,FALSE),"")</f>
        <v>74 OZ, 44 (21+23)</v>
      </c>
      <c r="E19" s="460"/>
      <c r="F19" s="461"/>
      <c r="H19" s="462" t="str">
        <f>H$8</f>
        <v>CLP</v>
      </c>
      <c r="I19" s="462"/>
      <c r="J19" s="462"/>
      <c r="K19" s="462"/>
      <c r="M19" s="458" t="str">
        <f ca="1">IFERROR(VLOOKUP(M17,OFFSET($AG$2,,,COUNTIF($AG$2:$AG$50,"?*"),23),18,FALSE),"")</f>
        <v>11 OZ, 12 (8+4), -3 ±</v>
      </c>
      <c r="N19" s="459"/>
      <c r="O19" s="459"/>
      <c r="P19" s="460" t="str">
        <f ca="1">IFERROR(VLOOKUP(M17,OFFSET($AG$2,,,COUNTIF($AG$2:$AG$50,"?*"),23),19,FALSE),"")</f>
        <v>320 OZ, 332 (164+168)</v>
      </c>
      <c r="Q19" s="460"/>
      <c r="R19" s="461"/>
      <c r="S19" s="110" t="s">
        <v>661</v>
      </c>
      <c r="T19" s="102" t="s">
        <v>107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658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137</v>
      </c>
      <c r="AQ19" s="123">
        <v>178</v>
      </c>
      <c r="AR19" s="123">
        <v>75</v>
      </c>
      <c r="AS19" s="126" t="s">
        <v>666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6 OZ, 3 (2+1), -10 ±</v>
      </c>
      <c r="AY19" s="129" t="str">
        <f t="shared" ca="1" si="2"/>
        <v>198 OZ, 74 (35+39)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7"/>
      <c r="BT19" s="104" t="s">
        <v>1198</v>
      </c>
      <c r="BU19" s="103">
        <v>0</v>
      </c>
      <c r="BV19" s="104" t="str">
        <f t="shared" si="13"/>
        <v>Daniel Jukl</v>
      </c>
      <c r="BW19" s="102">
        <f t="shared" si="14"/>
        <v>0</v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>Pitbulls Kolín</v>
      </c>
      <c r="B20" s="447"/>
      <c r="C20" s="448"/>
      <c r="D20" s="449">
        <f ca="1">IFERROR(IF(VLOOKUP(A17,OFFSET($AG$2,,,COUNTIF($AG$2:$AG$50,"?*"),23),14,FALSE)&lt;&gt;0,VLOOKUP(A17,OFFSET($AG$2,,,COUNTIF($AG$2:$AG$50,"?*"),23),14,FALSE),"?"),"")</f>
        <v>2007</v>
      </c>
      <c r="E20" s="450"/>
      <c r="F20" s="7">
        <f ca="1">IFERROR(IF(VLOOKUP(A17,OFFSET($AG$2,,,COUNTIF($AG$2:$AG$50,"?*"),23),7,FALSE)&lt;&gt;0,VLOOKUP(A17,OFFSET($AG$2,,,COUNTIF($AG$2:$AG$50,"?*"),23),7,FALSE),"?"),"")</f>
        <v>5</v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>FBC Líný FŠI Česká Lípa</v>
      </c>
      <c r="N20" s="447"/>
      <c r="O20" s="448"/>
      <c r="P20" s="449">
        <f ca="1">IFERROR(IF(VLOOKUP(M17,OFFSET($AG$2,,,COUNTIF($AG$2:$AG$50,"?*"),23),14,FALSE)&lt;&gt;0,VLOOKUP(M17,OFFSET($AG$2,,,COUNTIF($AG$2:$AG$50,"?*"),23),14,FALSE),"?"),"")</f>
        <v>1998</v>
      </c>
      <c r="Q20" s="450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1188</v>
      </c>
      <c r="T20" s="102" t="s">
        <v>107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-1</v>
      </c>
      <c r="AC20" s="102" t="str">
        <f t="shared" ca="1" si="0"/>
        <v>NE</v>
      </c>
      <c r="AG20" s="121" t="s">
        <v>406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137</v>
      </c>
      <c r="AQ20" s="123">
        <v>174</v>
      </c>
      <c r="AR20" s="123">
        <v>76</v>
      </c>
      <c r="AS20" s="126" t="s">
        <v>827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650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t="shared" ca="1" si="0"/>
        <v>ANO</v>
      </c>
      <c r="AG21" s="121" t="s">
        <v>659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137</v>
      </c>
      <c r="AQ21" s="123">
        <v>185</v>
      </c>
      <c r="AR21" s="123">
        <v>88</v>
      </c>
      <c r="AS21" s="126" t="s">
        <v>404</v>
      </c>
      <c r="AT21" s="123" t="s">
        <v>220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406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-2</v>
      </c>
      <c r="AC22" s="102" t="str">
        <f t="shared" ca="1" si="0"/>
        <v>ANO</v>
      </c>
      <c r="AG22" s="121" t="s">
        <v>643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826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1 V, 7 P</v>
      </c>
      <c r="AY22" s="129" t="str">
        <f t="shared" ca="1" si="2"/>
        <v>140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7" t="s">
        <v>38</v>
      </c>
      <c r="BT22" s="104" t="s">
        <v>1201</v>
      </c>
      <c r="BU22" s="103">
        <v>9</v>
      </c>
      <c r="BV22" s="104" t="str">
        <f t="shared" si="13"/>
        <v>Jakub Jirsa</v>
      </c>
      <c r="BW22" s="102">
        <f t="shared" si="14"/>
        <v>9</v>
      </c>
    </row>
    <row r="23" spans="1:75" ht="15" customHeight="1" thickTop="1" thickBot="1" x14ac:dyDescent="0.25">
      <c r="A23" s="429" t="s">
        <v>641</v>
      </c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463" t="s">
        <v>13</v>
      </c>
      <c r="I23" s="463"/>
      <c r="J23" s="463"/>
      <c r="K23" s="463"/>
      <c r="M23" s="429" t="s">
        <v>639</v>
      </c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648</v>
      </c>
      <c r="T23" s="102" t="s">
        <v>107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-2</v>
      </c>
      <c r="AC23" s="102" t="str">
        <f t="shared" ca="1" si="0"/>
        <v>ANO</v>
      </c>
      <c r="AG23" s="121" t="s">
        <v>660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137</v>
      </c>
      <c r="AQ23" s="123">
        <v>180</v>
      </c>
      <c r="AR23" s="123">
        <v>69</v>
      </c>
      <c r="AS23" s="126" t="s">
        <v>669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7"/>
      <c r="BT23" s="104" t="s">
        <v>863</v>
      </c>
      <c r="BU23" s="103">
        <v>8</v>
      </c>
      <c r="BV23" s="104" t="str">
        <f t="shared" si="13"/>
        <v>Daniel Štěrba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2">
        <f ca="1">IFERROR(IF(VLOOKUP(A23,OFFSET($AG$2,,,COUNTIF($AG$2:$AG$50,"?*"),23),2,FALSE)&lt;&gt;0,YEAR(VLOOKUP(A23,OFFSET($AG$2,,,COUNTIF($AG$2:$AG$50,"?*"),23),2,FALSE)),""),"")</f>
        <v>1990</v>
      </c>
      <c r="C24" s="423"/>
      <c r="D24" s="117">
        <f ca="1">IFERROR(VLOOKUP(A23,OFFSET($AG$2,,,COUNTIF($AG$2:$AG$50,"?*"),23),15,FALSE),"")</f>
        <v>31</v>
      </c>
      <c r="E24" s="424" t="str">
        <f ca="1">IFERROR(VLOOKUP(A23,OFFSET($AG$2,,,COUNTIF($AG$2:$AG$50,"?*"),23),16,FALSE),"")</f>
        <v>186/86</v>
      </c>
      <c r="F24" s="425"/>
      <c r="M24" s="4" t="str">
        <f ca="1">IFERROR(IF(VLOOKUP(M23,OFFSET($AG$2,,,COUNTIF($AG$2:$AG$50,"?*"),23),10,FALSE)&lt;&gt;0,VLOOKUP(M23,OFFSET($AG$2,,,COUNTIF($AG$2:$AG$50,"?*"),23),10,FALSE),""),"")</f>
        <v>L</v>
      </c>
      <c r="N24" s="422">
        <f ca="1">IFERROR(IF(VLOOKUP(M23,OFFSET($AG$2,,,COUNTIF($AG$2:$AG$50,"?*"),23),2,FALSE)&lt;&gt;0,YEAR(VLOOKUP(M23,OFFSET($AG$2,,,COUNTIF($AG$2:$AG$50,"?*"),23),2,FALSE)),""),"")</f>
        <v>1986</v>
      </c>
      <c r="O24" s="423"/>
      <c r="P24" s="117">
        <f ca="1">IFERROR(VLOOKUP(M23,OFFSET($AG$2,,,COUNTIF($AG$2:$AG$50,"?*"),23),15,FALSE),"")</f>
        <v>35</v>
      </c>
      <c r="Q24" s="424" t="str">
        <f ca="1">IFERROR(VLOOKUP(M23,OFFSET($AG$2,,,COUNTIF($AG$2:$AG$50,"?*"),23),16,FALSE),"")</f>
        <v>182/79</v>
      </c>
      <c r="R24" s="425"/>
      <c r="S24" s="110" t="s">
        <v>651</v>
      </c>
      <c r="T24" s="102" t="s">
        <v>58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-1</v>
      </c>
      <c r="AC24" s="102" t="str">
        <f t="shared" ca="1" si="0"/>
        <v>ANO</v>
      </c>
      <c r="AG24" s="121" t="s">
        <v>642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137</v>
      </c>
      <c r="AQ24" s="123">
        <v>184</v>
      </c>
      <c r="AR24" s="123">
        <v>91</v>
      </c>
      <c r="AS24" s="126" t="s">
        <v>670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12 (8+4), -3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320 OZ, 332 (164+168)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7"/>
      <c r="BT24" s="104" t="s">
        <v>1061</v>
      </c>
      <c r="BU24" s="103">
        <v>7</v>
      </c>
      <c r="BV24" s="104" t="str">
        <f t="shared" si="13"/>
        <v>Milan Tichý</v>
      </c>
      <c r="BW24" s="102">
        <f t="shared" si="14"/>
        <v>7</v>
      </c>
    </row>
    <row r="25" spans="1:75" ht="15" customHeight="1" thickTop="1" thickBot="1" x14ac:dyDescent="0.25">
      <c r="A25" s="458" t="str">
        <f ca="1">IFERROR(VLOOKUP(A23,OFFSET($AG$2,,,COUNTIF($AG$2:$AG$50,"?*"),23),18,FALSE),"")</f>
        <v>10 OZ, 5 (0+5), -8 ±</v>
      </c>
      <c r="B25" s="459"/>
      <c r="C25" s="459"/>
      <c r="D25" s="460" t="str">
        <f ca="1">IFERROR(VLOOKUP(A23,OFFSET($AG$2,,,COUNTIF($AG$2:$AG$50,"?*"),23),19,FALSE),"")</f>
        <v>101 OZ, 31 (8+23)</v>
      </c>
      <c r="E25" s="460"/>
      <c r="F25" s="461"/>
      <c r="G25" s="429" t="s">
        <v>647</v>
      </c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458" t="str">
        <f ca="1">IFERROR(VLOOKUP(M23,OFFSET($AG$2,,,COUNTIF($AG$2:$AG$50,"?*"),23),18,FALSE),"")</f>
        <v>11 OZ, 1 (1+0), -15 ±</v>
      </c>
      <c r="N25" s="459"/>
      <c r="O25" s="459"/>
      <c r="P25" s="460" t="str">
        <f ca="1">IFERROR(VLOOKUP(M23,OFFSET($AG$2,,,COUNTIF($AG$2:$AG$50,"?*"),23),19,FALSE),"")</f>
        <v>114 OZ, 51 (32+19)</v>
      </c>
      <c r="Q25" s="460"/>
      <c r="R25" s="461"/>
      <c r="S25" s="110" t="s">
        <v>652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661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137</v>
      </c>
      <c r="AQ25" s="123">
        <v>194</v>
      </c>
      <c r="AR25" s="123">
        <v>89</v>
      </c>
      <c r="AS25" s="126" t="s">
        <v>404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7"/>
      <c r="BT25" s="104" t="s">
        <v>862</v>
      </c>
      <c r="BU25" s="103">
        <v>6</v>
      </c>
      <c r="BV25" s="104" t="str">
        <f t="shared" si="13"/>
        <v>Jaromír Ekl</v>
      </c>
      <c r="BW25" s="102">
        <f t="shared" si="14"/>
        <v>6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>FBC Česká Lípa</v>
      </c>
      <c r="B26" s="447"/>
      <c r="C26" s="448"/>
      <c r="D26" s="449">
        <f ca="1">IFERROR(IF(VLOOKUP(A23,OFFSET($AG$2,,,COUNTIF($AG$2:$AG$50,"?*"),23),14,FALSE)&lt;&gt;0,VLOOKUP(A23,OFFSET($AG$2,,,COUNTIF($AG$2:$AG$50,"?*"),23),14,FALSE),"?"),"")</f>
        <v>2006</v>
      </c>
      <c r="E26" s="450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2">
        <f ca="1">IFERROR(IF(VLOOKUP(G25,OFFSET($AG$2,,,COUNTIF($AG$2:$AG$50,"?*"),23),2,FALSE)&lt;&gt;0,YEAR(VLOOKUP(G25,OFFSET($AG$2,,,COUNTIF($AG$2:$AG$50,"?*"),23),2,FALSE)),""),"")</f>
        <v>1987</v>
      </c>
      <c r="I26" s="423"/>
      <c r="J26" s="117">
        <f ca="1">IFERROR(VLOOKUP(G25,OFFSET($AG$2,,,COUNTIF($AG$2:$AG$50,"?*"),23),15,FALSE),"")</f>
        <v>34</v>
      </c>
      <c r="K26" s="424" t="str">
        <f ca="1">IFERROR(VLOOKUP(G25,OFFSET($AG$2,,,COUNTIF($AG$2:$AG$50,"?*"),23),16,FALSE),"")</f>
        <v>185/85</v>
      </c>
      <c r="L26" s="425"/>
      <c r="M26" s="446" t="str">
        <f ca="1">IFERROR(IF(VLOOKUP(M23,OFFSET($AG$2,,,COUNTIF($AG$2:$AG$50,"?*"),23),13,FALSE)&lt;&gt;0,VLOOKUP(M23,OFFSET($AG$2,,,COUNTIF($AG$2:$AG$50,"?*"),23),13,FALSE),"?"),"")</f>
        <v>S.K. P.E.M.A. Opava</v>
      </c>
      <c r="N26" s="447"/>
      <c r="O26" s="448"/>
      <c r="P26" s="449">
        <f ca="1">IFERROR(IF(VLOOKUP(M23,OFFSET($AG$2,,,COUNTIF($AG$2:$AG$50,"?*"),23),14,FALSE)&lt;&gt;0,VLOOKUP(M23,OFFSET($AG$2,,,COUNTIF($AG$2:$AG$50,"?*"),23),14,FALSE),"?"),"")</f>
        <v>2005</v>
      </c>
      <c r="Q26" s="450"/>
      <c r="R26" s="7">
        <f ca="1">IFERROR(IF(VLOOKUP(M23,OFFSET($AG$2,,,COUNTIF($AG$2:$AG$50,"?*"),23),7,FALSE)&lt;&gt;0,VLOOKUP(M23,OFFSET($AG$2,,,COUNTIF($AG$2:$AG$50,"?*"),23),7,FALSE),"?"),"")</f>
        <v>5</v>
      </c>
      <c r="S26" s="110" t="s">
        <v>643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971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6 OZ, 2 (0+2), -5 ±</v>
      </c>
      <c r="AY26" s="129" t="str">
        <f t="shared" ca="1" si="16"/>
        <v>6 OZ, 2 (0+2)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7"/>
      <c r="BT26" s="104" t="s">
        <v>1062</v>
      </c>
      <c r="BU26" s="103">
        <v>5</v>
      </c>
      <c r="BV26" s="104" t="str">
        <f t="shared" si="13"/>
        <v>Jakub Karel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>11 OZ, 8 (6+2), -9 ±</v>
      </c>
      <c r="H27" s="459"/>
      <c r="I27" s="459"/>
      <c r="J27" s="460" t="str">
        <f ca="1">IFERROR(VLOOKUP(G25,OFFSET($AG$2,,,COUNTIF($AG$2:$AG$50,"?*"),23),19,FALSE),"")</f>
        <v>94 OZ, 28 (18+10)</v>
      </c>
      <c r="K27" s="460"/>
      <c r="L27" s="461"/>
      <c r="S27" s="111"/>
      <c r="AC27" s="102" t="str">
        <f t="shared" ca="1" si="0"/>
        <v/>
      </c>
      <c r="AG27" s="121" t="s">
        <v>646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137</v>
      </c>
      <c r="AQ27" s="123">
        <v>192</v>
      </c>
      <c r="AR27" s="123">
        <v>82</v>
      </c>
      <c r="AS27" s="126" t="s">
        <v>404</v>
      </c>
      <c r="AT27" s="123" t="s">
        <v>220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9 OZ, 1 (1+0), +2 ±</v>
      </c>
      <c r="AY27" s="129" t="str">
        <f t="shared" ca="1" si="16"/>
        <v>30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7" t="s">
        <v>39</v>
      </c>
      <c r="BT27" s="104" t="s">
        <v>864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429" t="s">
        <v>646</v>
      </c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446" t="str">
        <f ca="1">IFERROR(IF(VLOOKUP(G25,OFFSET($AG$2,,,COUNTIF($AG$2:$AG$50,"?*"),23),13,FALSE)&lt;&gt;0,VLOOKUP(G25,OFFSET($AG$2,,,COUNTIF($AG$2:$AG$50,"?*"),23),13,FALSE),"?"),"")</f>
        <v>Radiaci</v>
      </c>
      <c r="H28" s="447"/>
      <c r="I28" s="448"/>
      <c r="J28" s="449">
        <f ca="1">IFERROR(IF(VLOOKUP(G25,OFFSET($AG$2,,,COUNTIF($AG$2:$AG$50,"?*"),23),14,FALSE)&lt;&gt;0,VLOOKUP(G25,OFFSET($AG$2,,,COUNTIF($AG$2:$AG$50,"?*"),23),14,FALSE),"?"),"")</f>
        <v>1999</v>
      </c>
      <c r="K28" s="450"/>
      <c r="L28" s="7">
        <f ca="1">IFERROR(IF(VLOOKUP(G25,OFFSET($AG$2,,,COUNTIF($AG$2:$AG$50,"?*"),23),7,FALSE)&lt;&gt;0,VLOOKUP(G25,OFFSET($AG$2,,,COUNTIF($AG$2:$AG$50,"?*"),23),7,FALSE),"?"),"")</f>
        <v>6</v>
      </c>
      <c r="M28" s="429" t="s">
        <v>658</v>
      </c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640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666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10 OZ, 11 (3+8), -25 ±</v>
      </c>
      <c r="AY28" s="129" t="str">
        <f t="shared" ca="1" si="16"/>
        <v>112 OZ, 87 (31+56)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7"/>
      <c r="BT28" s="104" t="s">
        <v>974</v>
      </c>
      <c r="BU28" s="103">
        <v>12</v>
      </c>
      <c r="BV28" s="104" t="str">
        <f t="shared" si="13"/>
        <v>Radek Krajcigr</v>
      </c>
      <c r="BW28" s="102">
        <f t="shared" si="14"/>
        <v>12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422">
        <f ca="1">IFERROR(IF(VLOOKUP(A28,OFFSET($AG$2,,,COUNTIF($AG$2:$AG$50,"?*"),23),2,FALSE)&lt;&gt;0,YEAR(VLOOKUP(A28,OFFSET($AG$2,,,COUNTIF($AG$2:$AG$50,"?*"),23),2,FALSE)),""),"")</f>
        <v>2003</v>
      </c>
      <c r="C29" s="423"/>
      <c r="D29" s="117">
        <f ca="1">IFERROR(VLOOKUP(A28,OFFSET($AG$2,,,COUNTIF($AG$2:$AG$50,"?*"),23),15,FALSE),"")</f>
        <v>18</v>
      </c>
      <c r="E29" s="424" t="str">
        <f ca="1">IFERROR(VLOOKUP(A28,OFFSET($AG$2,,,COUNTIF($AG$2:$AG$50,"?*"),23),16,FALSE),"")</f>
        <v>192/82</v>
      </c>
      <c r="F29" s="425"/>
      <c r="M29" s="4" t="str">
        <f ca="1">IFERROR(IF(VLOOKUP(M28,OFFSET($AG$2,,,COUNTIF($AG$2:$AG$50,"?*"),23),10,FALSE)&lt;&gt;0,VLOOKUP(M28,OFFSET($AG$2,,,COUNTIF($AG$2:$AG$50,"?*"),23),10,FALSE),""),"")</f>
        <v>L</v>
      </c>
      <c r="N29" s="422">
        <f ca="1">IFERROR(IF(VLOOKUP(M28,OFFSET($AG$2,,,COUNTIF($AG$2:$AG$50,"?*"),23),2,FALSE)&lt;&gt;0,YEAR(VLOOKUP(M28,OFFSET($AG$2,,,COUNTIF($AG$2:$AG$50,"?*"),23),2,FALSE)),""),"")</f>
        <v>1993</v>
      </c>
      <c r="O29" s="423"/>
      <c r="P29" s="117">
        <f ca="1">IFERROR(VLOOKUP(M28,OFFSET($AG$2,,,COUNTIF($AG$2:$AG$50,"?*"),23),15,FALSE),"")</f>
        <v>28</v>
      </c>
      <c r="Q29" s="424" t="str">
        <f ca="1">IFERROR(VLOOKUP(M28,OFFSET($AG$2,,,COUNTIF($AG$2:$AG$50,"?*"),23),16,FALSE),"")</f>
        <v>178/75</v>
      </c>
      <c r="R29" s="425"/>
      <c r="S29" s="111"/>
      <c r="AC29" s="102" t="str">
        <f t="shared" ca="1" si="0"/>
        <v/>
      </c>
      <c r="AG29" s="121" t="s">
        <v>392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137</v>
      </c>
      <c r="AQ29" s="123">
        <v>192</v>
      </c>
      <c r="AR29" s="123">
        <v>90</v>
      </c>
      <c r="AS29" s="126" t="s">
        <v>404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9 OZ, 14 (7+7), -10 ±</v>
      </c>
      <c r="AY29" s="129" t="str">
        <f t="shared" ca="1" si="16"/>
        <v>83 OZ, 75 (44+31)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7"/>
      <c r="BT29" s="104" t="s">
        <v>1193</v>
      </c>
      <c r="BU29" s="103">
        <v>12</v>
      </c>
      <c r="BV29" s="104" t="str">
        <f t="shared" si="13"/>
        <v>Štěpán Slaný</v>
      </c>
      <c r="BW29" s="102">
        <f t="shared" si="14"/>
        <v>12</v>
      </c>
    </row>
    <row r="30" spans="1:75" ht="15" customHeight="1" x14ac:dyDescent="0.2">
      <c r="A30" s="458" t="str">
        <f ca="1">IFERROR(VLOOKUP(A28,OFFSET($AG$2,,,COUNTIF($AG$2:$AG$50,"?*"),23),18,FALSE),"")</f>
        <v>9 OZ, 1 (1+0), +2 ±</v>
      </c>
      <c r="B30" s="459"/>
      <c r="C30" s="459"/>
      <c r="D30" s="460" t="str">
        <f ca="1">IFERROR(VLOOKUP(A28,OFFSET($AG$2,,,COUNTIF($AG$2:$AG$50,"?*"),23),19,FALSE),"")</f>
        <v>30 OZ, 3 (3+0)</v>
      </c>
      <c r="E30" s="460"/>
      <c r="F30" s="461"/>
      <c r="H30" s="462" t="str">
        <f>H$8</f>
        <v>CLP</v>
      </c>
      <c r="I30" s="462"/>
      <c r="J30" s="462"/>
      <c r="K30" s="462"/>
      <c r="M30" s="458" t="str">
        <f ca="1">IFERROR(VLOOKUP(M28,OFFSET($AG$2,,,COUNTIF($AG$2:$AG$50,"?*"),23),18,FALSE),"")</f>
        <v>6 OZ, 3 (2+1), -10 ±</v>
      </c>
      <c r="N30" s="459"/>
      <c r="O30" s="459"/>
      <c r="P30" s="460" t="str">
        <f ca="1">IFERROR(VLOOKUP(M28,OFFSET($AG$2,,,COUNTIF($AG$2:$AG$50,"?*"),23),19,FALSE),"")</f>
        <v>198 OZ, 74 (35+39)</v>
      </c>
      <c r="Q30" s="460"/>
      <c r="R30" s="461"/>
      <c r="S30" s="111"/>
      <c r="AC30" s="102" t="str">
        <f t="shared" ca="1" si="0"/>
        <v/>
      </c>
      <c r="AG30" s="121" t="s">
        <v>644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137</v>
      </c>
      <c r="AQ30" s="123">
        <v>185</v>
      </c>
      <c r="AR30" s="123">
        <v>75</v>
      </c>
      <c r="AS30" s="126" t="s">
        <v>672</v>
      </c>
      <c r="AT30" s="123" t="s">
        <v>220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8 OZ, 3 (3+0), -1 ±</v>
      </c>
      <c r="AY30" s="129" t="str">
        <f t="shared" ca="1" si="16"/>
        <v>73 OZ, 20 (11+9)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7"/>
      <c r="BT30" s="104" t="s">
        <v>975</v>
      </c>
      <c r="BU30" s="103">
        <v>6</v>
      </c>
      <c r="BV30" s="104" t="str">
        <f t="shared" si="13"/>
        <v>Milan Tichý</v>
      </c>
      <c r="BW30" s="102">
        <f t="shared" si="14"/>
        <v>6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>FBC Česká Lípa</v>
      </c>
      <c r="B31" s="447"/>
      <c r="C31" s="448"/>
      <c r="D31" s="449" t="str">
        <f ca="1">IFERROR(IF(VLOOKUP(A28,OFFSET($AG$2,,,COUNTIF($AG$2:$AG$50,"?*"),23),14,FALSE)&lt;&gt;0,VLOOKUP(A28,OFFSET($AG$2,,,COUNTIF($AG$2:$AG$50,"?*"),23),14,FALSE),"?"),"")</f>
        <v>-</v>
      </c>
      <c r="E31" s="450"/>
      <c r="F31" s="7">
        <f ca="1">IFERROR(IF(VLOOKUP(A28,OFFSET($AG$2,,,COUNTIF($AG$2:$AG$50,"?*"),23),7,FALSE)&lt;&gt;0,VLOOKUP(A28,OFFSET($AG$2,,,COUNTIF($AG$2:$AG$50,"?*"),23),7,FALSE),"?"),"")</f>
        <v>2</v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>FbK Sokol Mladá Boleslav</v>
      </c>
      <c r="N31" s="447"/>
      <c r="O31" s="448"/>
      <c r="P31" s="449">
        <f ca="1">IFERROR(IF(VLOOKUP(M28,OFFSET($AG$2,,,COUNTIF($AG$2:$AG$50,"?*"),23),14,FALSE)&lt;&gt;0,VLOOKUP(M28,OFFSET($AG$2,,,COUNTIF($AG$2:$AG$50,"?*"),23),14,FALSE),"?"),"")</f>
        <v>2005</v>
      </c>
      <c r="Q31" s="450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662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137</v>
      </c>
      <c r="AQ31" s="123">
        <v>184</v>
      </c>
      <c r="AR31" s="123">
        <v>76</v>
      </c>
      <c r="AS31" s="126" t="s">
        <v>671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7"/>
      <c r="BT31" s="104" t="s">
        <v>1062</v>
      </c>
      <c r="BU31" s="103">
        <v>4</v>
      </c>
      <c r="BV31" s="104" t="str">
        <f t="shared" si="13"/>
        <v>Jakub Karel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9" t="s">
        <v>652</v>
      </c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457" t="s">
        <v>16</v>
      </c>
      <c r="J34" s="429" t="s">
        <v>971</v>
      </c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422">
        <f ca="1">IFERROR(IF(VLOOKUP(A34,OFFSET($AG$2,,,COUNTIF($AG$2:$AG$50,"?*"),23),2,FALSE)&lt;&gt;0,YEAR(VLOOKUP(A34,OFFSET($AG$2,,,COUNTIF($AG$2:$AG$50,"?*"),23),2,FALSE)),""),"")</f>
        <v>1997</v>
      </c>
      <c r="C35" s="423"/>
      <c r="D35" s="117">
        <f ca="1">IFERROR(VLOOKUP(A34,OFFSET($AG$2,,,COUNTIF($AG$2:$AG$50,"?*"),23),15,FALSE),"")</f>
        <v>24</v>
      </c>
      <c r="E35" s="424" t="str">
        <f ca="1">IFERROR(VLOOKUP(A34,OFFSET($AG$2,,,COUNTIF($AG$2:$AG$50,"?*"),23),16,FALSE),"")</f>
        <v>181/79</v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/>
      </c>
      <c r="K35" s="423" t="str">
        <f ca="1">IFERROR(IF(VLOOKUP(J34,OFFSET($AG$2,,,COUNTIF($AG$2:$AG$50,"?*"),23),2,FALSE)&lt;&gt;0,YEAR(VLOOKUP(J34,OFFSET($AG$2,,,COUNTIF($AG$2:$AG$50,"?*"),23),2,FALSE)),""),"")</f>
        <v/>
      </c>
      <c r="L35" s="431"/>
      <c r="M35" s="176" t="str">
        <f ca="1">IFERROR(VLOOKUP(J34,OFFSET($AG$2,,,COUNTIF($AG$2:$AG$50,"?*"),23),15,FALSE),"")</f>
        <v>?</v>
      </c>
      <c r="N35" s="431" t="str">
        <f ca="1">IFERROR(VLOOKUP(J34,OFFSET($AG$2,,,COUNTIF($AG$2:$AG$50,"?*"),23),16,FALSE),"")</f>
        <v>? / ?</v>
      </c>
      <c r="O35" s="431"/>
      <c r="P35" s="431" t="str">
        <f ca="1">IFERROR(VLOOKUP(J34,OFFSET($AG$2,,,COUNTIF($AG$2:$AG$50,"?*"),23),18,FALSE),"")</f>
        <v>6 OZ, 2 (0+2), -5 ±</v>
      </c>
      <c r="Q35" s="431"/>
      <c r="R35" s="43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426" t="str">
        <f ca="1">IFERROR(VLOOKUP(A34,OFFSET($AG$2,,,COUNTIF($AG$2:$AG$50,"?*"),23),18,FALSE),"")</f>
        <v>2 V, 3 P</v>
      </c>
      <c r="C36" s="426"/>
      <c r="D36" s="427">
        <f ca="1">IFERROR(VLOOKUP(A34,OFFSET($S$45,,,COUNTIF($S$45:$S$50,"?*"),14),5,FALSE),"")</f>
        <v>29</v>
      </c>
      <c r="E36" s="428"/>
      <c r="F36" s="17">
        <f ca="1">IFERROR(VLOOKUP(A34,OFFSET($S$45,,,COUNTIF($S$45:$S$50,"?*"),14),14,FALSE),"")</f>
        <v>71.568627450980387</v>
      </c>
      <c r="H36" s="457"/>
      <c r="J36" s="18" t="str">
        <f ca="1">IFERROR(IF(VLOOKUP(J34,OFFSET($AG$2,,,COUNTIF($AG$2:$AG$50,"?*"),23),7,FALSE)&lt;&gt;0,VLOOKUP(J34,OFFSET($AG$2,,,COUNTIF($AG$2:$AG$50,"?*"),23),7,FALSE),"?"),"")</f>
        <v>?</v>
      </c>
      <c r="K36" s="433" t="str">
        <f ca="1">IFERROR(VLOOKUP(J34,OFFSET($AG$2,,,COUNTIF($AG$2:$AG$50,"?*"),23),19,FALSE),"")</f>
        <v>6 OZ, 2 (0+2)</v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>?</v>
      </c>
      <c r="O36" s="434"/>
      <c r="P36" s="434"/>
      <c r="Q36" s="433" t="str">
        <f ca="1">IFERROR(IF(VLOOKUP(J34,OFFSET($AG$2,,,COUNTIF($AG$2:$AG$50,"?*"),23),14,FALSE)&lt;&gt;0,VLOOKUP(J34,OFFSET($AG$2,,,COUNTIF($AG$2:$AG$50,"?*"),23),14,FALSE),"?"),"")</f>
        <v>?</v>
      </c>
      <c r="R36" s="43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1">
        <f ca="1">IFERROR(VLOOKUP(A34,OFFSET($S$45,,,COUNTIF($S$45:$S$50,"?*"),14),3,FALSE),"")</f>
        <v>225.57</v>
      </c>
      <c r="B37" s="452"/>
      <c r="C37" s="453">
        <f ca="1">IFERROR(VLOOKUP(A34,OFFSET($S$45,,,COUNTIF($S$45:$S$50,"?*"),14),13,FALSE),"")</f>
        <v>7.7137917276233541</v>
      </c>
      <c r="D37" s="454"/>
      <c r="E37" s="455" t="str">
        <f ca="1">IFERROR(VLOOKUP(A34,OFFSET($AG$2,,,COUNTIF($AG$2:$AG$50,"?*"),23),19,FALSE),"")</f>
        <v>48 OZ, 0 A</v>
      </c>
      <c r="F37" s="456"/>
      <c r="H37" s="45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>FBC Česká Lípa</v>
      </c>
      <c r="B38" s="447"/>
      <c r="C38" s="448"/>
      <c r="D38" s="449" t="str">
        <f ca="1">IFERROR(IF(VLOOKUP(A34,OFFSET($AG$2,,,COUNTIF($AG$2:$AG$50,"?*"),23),14,FALSE)&lt;&gt;0,VLOOKUP(A34,OFFSET($AG$2,,,COUNTIF($AG$2:$AG$50,"?*"),23),14,FALSE),"?"),"")</f>
        <v>-</v>
      </c>
      <c r="E38" s="450"/>
      <c r="F38" s="19">
        <f ca="1">IFERROR(VLOOKUP(A34,OFFSET($S$45,,,COUNTIF($S$45:$S$50,"?*"),14),6,FALSE),"")</f>
        <v>0</v>
      </c>
      <c r="H38" s="457"/>
      <c r="J38" s="429" t="s">
        <v>648</v>
      </c>
      <c r="K38" s="430"/>
      <c r="L38" s="430"/>
      <c r="M38" s="430"/>
      <c r="N38" s="430"/>
      <c r="O38" s="430"/>
      <c r="P38" s="430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/>
      </c>
      <c r="K39" s="423">
        <f ca="1">IFERROR(IF(VLOOKUP(J38,OFFSET($AG$2,,,COUNTIF($AG$2:$AG$50,"?*"),23),2,FALSE)&lt;&gt;0,YEAR(VLOOKUP(J38,OFFSET($AG$2,,,COUNTIF($AG$2:$AG$50,"?*"),23),2,FALSE)),""),"")</f>
        <v>2003</v>
      </c>
      <c r="L39" s="431"/>
      <c r="M39" s="176">
        <f ca="1">IFERROR(VLOOKUP(J38,OFFSET($AG$2,,,COUNTIF($AG$2:$AG$50,"?*"),23),15,FALSE),"")</f>
        <v>18</v>
      </c>
      <c r="N39" s="431" t="str">
        <f ca="1">IFERROR(VLOOKUP(J38,OFFSET($AG$2,,,COUNTIF($AG$2:$AG$50,"?*"),23),16,FALSE),"")</f>
        <v>189/91</v>
      </c>
      <c r="O39" s="431"/>
      <c r="P39" s="431" t="str">
        <f ca="1">IFERROR(VLOOKUP(J38,OFFSET($AG$2,,,COUNTIF($AG$2:$AG$50,"?*"),23),18,FALSE),"")</f>
        <v>6 OZ, 0 (0+0), -2 ±</v>
      </c>
      <c r="Q39" s="431"/>
      <c r="R39" s="43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9" t="s">
        <v>643</v>
      </c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457"/>
      <c r="J40" s="18">
        <f ca="1">IFERROR(IF(VLOOKUP(J38,OFFSET($AG$2,,,COUNTIF($AG$2:$AG$50,"?*"),23),7,FALSE)&lt;&gt;0,VLOOKUP(J38,OFFSET($AG$2,,,COUNTIF($AG$2:$AG$50,"?*"),23),7,FALSE),"?"),"")</f>
        <v>1</v>
      </c>
      <c r="K40" s="433" t="str">
        <f ca="1">IFERROR(VLOOKUP(J38,OFFSET($AG$2,,,COUNTIF($AG$2:$AG$50,"?*"),23),19,FALSE),"")</f>
        <v>6 OZ, 0 (0+0)</v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>FBC Česká Lípa</v>
      </c>
      <c r="O40" s="434"/>
      <c r="P40" s="434"/>
      <c r="Q40" s="433">
        <f ca="1">IFERROR(IF(VLOOKUP(J38,OFFSET($AG$2,,,COUNTIF($AG$2:$AG$50,"?*"),23),14,FALSE)&lt;&gt;0,VLOOKUP(J38,OFFSET($AG$2,,,COUNTIF($AG$2:$AG$50,"?*"),23),14,FALSE),"?"),"")</f>
        <v>2014</v>
      </c>
      <c r="R40" s="43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422">
        <f ca="1">IFERROR(IF(VLOOKUP(A40,OFFSET($AG$2,,,COUNTIF($AG$2:$AG$50,"?*"),23),2,FALSE)&lt;&gt;0,YEAR(VLOOKUP(A40,OFFSET($AG$2,,,COUNTIF($AG$2:$AG$50,"?*"),23),2,FALSE)),""),"")</f>
        <v>1984</v>
      </c>
      <c r="C41" s="423"/>
      <c r="D41" s="117">
        <f ca="1">IFERROR(VLOOKUP(A40,OFFSET($AG$2,,,COUNTIF($AG$2:$AG$50,"?*"),23),15,FALSE),"")</f>
        <v>37</v>
      </c>
      <c r="E41" s="424" t="str">
        <f ca="1">IFERROR(VLOOKUP(A40,OFFSET($AG$2,,,COUNTIF($AG$2:$AG$50,"?*"),23),16,FALSE),"")</f>
        <v>172/72</v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8</v>
      </c>
      <c r="B42" s="426" t="str">
        <f ca="1">IFERROR(VLOOKUP(A40,OFFSET($AG$2,,,COUNTIF($AG$2:$AG$50,"?*"),23),18,FALSE),"")</f>
        <v>1 V, 7 P</v>
      </c>
      <c r="C42" s="426"/>
      <c r="D42" s="427">
        <f ca="1">IFERROR(VLOOKUP(A40,OFFSET($S$45,,,COUNTIF($S$45:$S$50,"?*"),14),5,FALSE),"")</f>
        <v>53</v>
      </c>
      <c r="E42" s="428"/>
      <c r="F42" s="17">
        <f ca="1">IFERROR(VLOOKUP(A40,OFFSET($S$45,,,COUNTIF($S$45:$S$50,"?*"),14),14,FALSE),"")</f>
        <v>76.339285714285708</v>
      </c>
      <c r="H42" s="457"/>
      <c r="J42" s="429" t="s">
        <v>651</v>
      </c>
      <c r="K42" s="430"/>
      <c r="L42" s="430"/>
      <c r="M42" s="430"/>
      <c r="N42" s="430"/>
      <c r="O42" s="430"/>
      <c r="P42" s="430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1">
        <f ca="1">IFERROR(VLOOKUP(A40,OFFSET($S$45,,,COUNTIF($S$45:$S$50,"?*"),14),3,FALSE),"")</f>
        <v>409.45</v>
      </c>
      <c r="B43" s="452"/>
      <c r="C43" s="453">
        <f ca="1">IFERROR(VLOOKUP(A40,OFFSET($S$45,,,COUNTIF($S$45:$S$50,"?*"),14),13,FALSE),"")</f>
        <v>7.7665160581267552</v>
      </c>
      <c r="D43" s="454"/>
      <c r="E43" s="455" t="str">
        <f ca="1">IFERROR(VLOOKUP(A40,OFFSET($AG$2,,,COUNTIF($AG$2:$AG$50,"?*"),23),19,FALSE),"")</f>
        <v>140 OZ, 7 A</v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>L</v>
      </c>
      <c r="K43" s="423">
        <f ca="1">IFERROR(IF(VLOOKUP(J42,OFFSET($AG$2,,,COUNTIF($AG$2:$AG$50,"?*"),23),2,FALSE)&lt;&gt;0,YEAR(VLOOKUP(J42,OFFSET($AG$2,,,COUNTIF($AG$2:$AG$50,"?*"),23),2,FALSE)),""),"")</f>
        <v>2004</v>
      </c>
      <c r="L43" s="431"/>
      <c r="M43" s="176">
        <f ca="1">IFERROR(VLOOKUP(J42,OFFSET($AG$2,,,COUNTIF($AG$2:$AG$50,"?*"),23),15,FALSE),"")</f>
        <v>17</v>
      </c>
      <c r="N43" s="431" t="str">
        <f ca="1">IFERROR(VLOOKUP(J42,OFFSET($AG$2,,,COUNTIF($AG$2:$AG$50,"?*"),23),16,FALSE),"")</f>
        <v>? / ?</v>
      </c>
      <c r="O43" s="431"/>
      <c r="P43" s="431" t="str">
        <f ca="1">IFERROR(VLOOKUP(J42,OFFSET($AG$2,,,COUNTIF($AG$2:$AG$50,"?*"),23),18,FALSE),"")</f>
        <v>7 OZ, 0 (0+0), -1 ±</v>
      </c>
      <c r="Q43" s="431"/>
      <c r="R43" s="432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>Taifun Moskva</v>
      </c>
      <c r="B44" s="447"/>
      <c r="C44" s="448"/>
      <c r="D44" s="449">
        <f ca="1">IFERROR(IF(VLOOKUP(A40,OFFSET($AG$2,,,COUNTIF($AG$2:$AG$50,"?*"),23),14,FALSE)&lt;&gt;0,VLOOKUP(A40,OFFSET($AG$2,,,COUNTIF($AG$2:$AG$50,"?*"),23),14,FALSE),"?"),"")</f>
        <v>1998</v>
      </c>
      <c r="E44" s="450"/>
      <c r="F44" s="19">
        <f ca="1">IFERROR(VLOOKUP(A40,OFFSET($S$45,,,COUNTIF($S$45:$S$50,"?*"),14),6,FALSE),"")</f>
        <v>0</v>
      </c>
      <c r="H44" s="457"/>
      <c r="J44" s="18">
        <f ca="1">IFERROR(IF(VLOOKUP(J42,OFFSET($AG$2,,,COUNTIF($AG$2:$AG$50,"?*"),23),7,FALSE)&lt;&gt;0,VLOOKUP(J42,OFFSET($AG$2,,,COUNTIF($AG$2:$AG$50,"?*"),23),7,FALSE),"?"),"")</f>
        <v>1</v>
      </c>
      <c r="K44" s="433" t="str">
        <f ca="1">IFERROR(VLOOKUP(J42,OFFSET($AG$2,,,COUNTIF($AG$2:$AG$50,"?*"),23),19,FALSE),"")</f>
        <v>7 OZ, 0 (0+0)</v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>FBC Česká Lípa</v>
      </c>
      <c r="O44" s="434"/>
      <c r="P44" s="434"/>
      <c r="Q44" s="433">
        <f ca="1">IFERROR(IF(VLOOKUP(J42,OFFSET($AG$2,,,COUNTIF($AG$2:$AG$50,"?*"),23),14,FALSE)&lt;&gt;0,VLOOKUP(J42,OFFSET($AG$2,,,COUNTIF($AG$2:$AG$50,"?*"),23),14,FALSE),"?"),"")</f>
        <v>2012</v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643</v>
      </c>
      <c r="T45" s="102">
        <v>8</v>
      </c>
      <c r="U45" s="112">
        <v>409.45</v>
      </c>
      <c r="V45" s="102">
        <v>1</v>
      </c>
      <c r="W45" s="102">
        <v>53</v>
      </c>
      <c r="X45" s="102">
        <v>0</v>
      </c>
      <c r="Y45" s="102">
        <v>224</v>
      </c>
      <c r="Z45" s="102">
        <v>0</v>
      </c>
      <c r="AA45" s="102">
        <v>7</v>
      </c>
      <c r="AB45" s="102">
        <v>171</v>
      </c>
      <c r="AC45" s="102">
        <v>0</v>
      </c>
      <c r="AD45" s="102">
        <v>0</v>
      </c>
      <c r="AE45" s="112">
        <f>IF(S45&lt;&gt;"",IF(T45&gt;0,W45/(U45/60),0),"")</f>
        <v>7.7665160581267552</v>
      </c>
      <c r="AF45" s="112">
        <f>IF(S45&lt;&gt;"",IF(Y45&gt;0,(AB45/Y45)*100,"-"),"")</f>
        <v>76.339285714285708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652</v>
      </c>
      <c r="T46" s="102">
        <v>5</v>
      </c>
      <c r="U46" s="112">
        <v>225.57</v>
      </c>
      <c r="V46" s="102">
        <v>2</v>
      </c>
      <c r="W46" s="102">
        <v>29</v>
      </c>
      <c r="X46" s="102">
        <v>0</v>
      </c>
      <c r="Y46" s="102">
        <v>102</v>
      </c>
      <c r="Z46" s="102">
        <v>0</v>
      </c>
      <c r="AA46" s="102">
        <v>3</v>
      </c>
      <c r="AB46" s="102">
        <v>73</v>
      </c>
      <c r="AC46" s="102">
        <v>0</v>
      </c>
      <c r="AD46" s="102">
        <v>2</v>
      </c>
      <c r="AE46" s="112">
        <f t="shared" ref="AE46:AE50" si="26">IF(S46&lt;&gt;"",IF(T46&gt;0,W46/(U46/60),0),"")</f>
        <v>7.7137917276233541</v>
      </c>
      <c r="AF46" s="112">
        <f t="shared" ref="AF46:AF50" si="27">IF(S46&lt;&gt;"",IF(Y46&gt;0,(AB46/Y46)*100,"-"),"")</f>
        <v>71.568627450980387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8" t="s">
        <v>673</v>
      </c>
      <c r="B47" s="419"/>
      <c r="C47" s="419"/>
      <c r="D47" s="419"/>
      <c r="E47" s="420" t="str">
        <f ca="1">IFERROR(VLOOKUP(A47,OFFSET($BN$2,,,COUNTIF($BN$2:$BN$11,"?*"),5),3,FALSE),"")</f>
        <v>trenér</v>
      </c>
      <c r="F47" s="420"/>
      <c r="G47" s="420"/>
      <c r="H47" s="420"/>
      <c r="I47" s="421"/>
      <c r="J47" s="418" t="s">
        <v>674</v>
      </c>
      <c r="K47" s="419"/>
      <c r="L47" s="419"/>
      <c r="M47" s="419"/>
      <c r="N47" s="420" t="str">
        <f ca="1">IFERROR(VLOOKUP(J47,OFFSET($BN$2,,,COUNTIF($BN$2:$BN$11,"?*"),5),3,FALSE),"")</f>
        <v>asistent trenéra</v>
      </c>
      <c r="O47" s="420"/>
      <c r="P47" s="420"/>
      <c r="Q47" s="420"/>
      <c r="R47" s="421"/>
      <c r="S47" s="111" t="s">
        <v>1187</v>
      </c>
      <c r="T47" s="102">
        <v>1</v>
      </c>
      <c r="U47" s="112">
        <v>20</v>
      </c>
      <c r="V47" s="102">
        <v>0</v>
      </c>
      <c r="W47" s="102">
        <v>5</v>
      </c>
      <c r="X47" s="102">
        <v>0</v>
      </c>
      <c r="Y47" s="102">
        <v>15</v>
      </c>
      <c r="Z47" s="102">
        <v>0</v>
      </c>
      <c r="AA47" s="102">
        <v>1</v>
      </c>
      <c r="AB47" s="102">
        <v>10</v>
      </c>
      <c r="AC47" s="102">
        <v>0</v>
      </c>
      <c r="AD47" s="102">
        <v>0</v>
      </c>
      <c r="AE47" s="112">
        <f t="shared" si="26"/>
        <v>15</v>
      </c>
      <c r="AF47" s="112">
        <f t="shared" si="27"/>
        <v>66.666666666666657</v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6">
        <f ca="1">IFERROR(VLOOKUP(A47,OFFSET($BN$2,,,COUNTIF($BN$2:$BN$11,"?*"),5),5,FALSE),"")</f>
        <v>36</v>
      </c>
      <c r="B48" s="438" t="str">
        <f ca="1">IFERROR(IF(VLOOKUP(A47,OFFSET($BN$2,,,COUNTIF($BN$2:$BN$11,"?*"),5),4,FALSE)&lt;&gt;0,VLOOKUP(A47,OFFSET($BN$2,,,COUNTIF($BN$2:$BN$11,"?*"),5),4,FALSE),"-"),"")</f>
        <v>-</v>
      </c>
      <c r="C48" s="438"/>
      <c r="D48" s="438"/>
      <c r="E48" s="438"/>
      <c r="F48" s="438"/>
      <c r="G48" s="438"/>
      <c r="H48" s="438"/>
      <c r="I48" s="439"/>
      <c r="J48" s="119">
        <f ca="1">IFERROR(VLOOKUP(J47,OFFSET($BN$2,,,COUNTIF($BN$2:$BN$11,"?*"),5),5,FALSE),"")</f>
        <v>38</v>
      </c>
      <c r="K48" s="442" t="str">
        <f ca="1">IFERROR(IF(VLOOKUP(J47,OFFSET($BN$2,,,COUNTIF($BN$2:$BN$11,"?*"),5),4,FALSE)&lt;&gt;0,VLOOKUP(J47,OFFSET($BN$2,,,COUNTIF($BN$2:$BN$11,"?*"),5),4,FALSE),"-"),"")</f>
        <v>-</v>
      </c>
      <c r="L48" s="442"/>
      <c r="M48" s="442"/>
      <c r="N48" s="442"/>
      <c r="O48" s="442"/>
      <c r="P48" s="442"/>
      <c r="Q48" s="442"/>
      <c r="R48" s="443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 t="s">
        <v>675</v>
      </c>
      <c r="K49" s="445"/>
      <c r="L49" s="445"/>
      <c r="M49" s="445"/>
      <c r="N49" s="420" t="str">
        <f ca="1">IFERROR(VLOOKUP(J49,OFFSET($BN$2,,,COUNTIF($BN$2:$BN$11,"?*"),5),3,FALSE),"")</f>
        <v>kondiční trenér</v>
      </c>
      <c r="O49" s="420"/>
      <c r="P49" s="420"/>
      <c r="Q49" s="420"/>
      <c r="R49" s="421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119">
        <f ca="1">IFERROR(VLOOKUP(J49,OFFSET($BN$2,,,COUNTIF($BN$2:$BN$11,"?*"),5),5,FALSE),"")</f>
        <v>34</v>
      </c>
      <c r="K50" s="442" t="str">
        <f ca="1">IFERROR(IF(VLOOKUP(J49,OFFSET($BN$2,,,COUNTIF($BN$2:$BN$11,"?*"),5),4,FALSE)&lt;&gt;0,VLOOKUP(J49,OFFSET($BN$2,,,COUNTIF($BN$2:$BN$11,"?*"),5),4,FALSE),"-"),"")</f>
        <v>-</v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 xr:uid="{00000000-0002-0000-09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9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9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9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/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3" t="s">
        <v>1</v>
      </c>
      <c r="I1" s="463"/>
      <c r="J1" s="463"/>
      <c r="K1" s="463"/>
      <c r="M1" s="429"/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2" t="str">
        <f ca="1">IFERROR(IF(VLOOKUP(A1,OFFSET($AG$2,,,COUNTIF($AG$2:$AG$50,"?*"),23),2,FALSE)&lt;&gt;0,YEAR(VLOOKUP(A1,OFFSET($AG$2,,,COUNTIF($AG$2:$AG$50,"?*"),23),2,FALSE)),""),"")</f>
        <v/>
      </c>
      <c r="C2" s="423"/>
      <c r="D2" s="117" t="str">
        <f ca="1">IFERROR(VLOOKUP(A1,OFFSET($AG$2,,,COUNTIF($AG$2:$AG$50,"?*"),23),15,FALSE),"")</f>
        <v/>
      </c>
      <c r="E2" s="424" t="str">
        <f ca="1">IFERROR(VLOOKUP(A1,OFFSET($AG$2,,,COUNTIF($AG$2:$AG$50,"?*"),23),16,FALSE),"")</f>
        <v/>
      </c>
      <c r="F2" s="425"/>
      <c r="M2" s="4" t="str">
        <f ca="1">IFERROR(IF(VLOOKUP(M1,OFFSET($AG$2,,,COUNTIF($AG$2:$AG$50,"?*"),23),10,FALSE)&lt;&gt;0,VLOOKUP(M1,OFFSET($AG$2,,,COUNTIF($AG$2:$AG$50,"?*"),23),10,FALSE),""),"")</f>
        <v/>
      </c>
      <c r="N2" s="422" t="str">
        <f ca="1">IFERROR(IF(VLOOKUP(M1,OFFSET($AG$2,,,COUNTIF($AG$2:$AG$50,"?*"),23),2,FALSE)&lt;&gt;0,YEAR(VLOOKUP(M1,OFFSET($AG$2,,,COUNTIF($AG$2:$AG$50,"?*"),23),2,FALSE)),""),"")</f>
        <v/>
      </c>
      <c r="O2" s="423"/>
      <c r="P2" s="117" t="str">
        <f ca="1">IFERROR(VLOOKUP(M1,OFFSET($AG$2,,,COUNTIF($AG$2:$AG$50,"?*"),23),15,FALSE),"")</f>
        <v/>
      </c>
      <c r="Q2" s="424" t="str">
        <f ca="1">IFERROR(VLOOKUP(M1,OFFSET($AG$2,,,COUNTIF($AG$2:$AG$50,"?*"),23),16,FALSE),"")</f>
        <v/>
      </c>
      <c r="R2" s="425"/>
      <c r="S2" s="110" t="s">
        <v>702</v>
      </c>
      <c r="U2" s="102">
        <v>11</v>
      </c>
      <c r="V2" s="102">
        <v>4</v>
      </c>
      <c r="W2" s="102">
        <v>1</v>
      </c>
      <c r="X2" s="102">
        <v>0</v>
      </c>
      <c r="Y2" s="102">
        <v>8</v>
      </c>
      <c r="Z2" s="102">
        <v>12</v>
      </c>
      <c r="AA2" s="102">
        <v>6</v>
      </c>
      <c r="AB2" s="102">
        <v>-7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707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OZ, 0 (0+0), -4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17" t="s">
        <v>36</v>
      </c>
      <c r="BT2" s="104" t="s">
        <v>719</v>
      </c>
      <c r="BU2" s="103">
        <v>12</v>
      </c>
      <c r="BV2" s="104" t="str">
        <f>IFERROR(RIGHT(BT2,LEN(BT2)-SEARCH(" ",BT2)),"")</f>
        <v>Lukáš Jalový</v>
      </c>
      <c r="BW2" s="102">
        <f>IF(BT2&lt;&gt;0,_xlfn.NUMBERVALUE(BU2,","),"")</f>
        <v>12</v>
      </c>
      <c r="BX2" s="416" t="s">
        <v>192</v>
      </c>
      <c r="BY2" s="103" t="s">
        <v>861</v>
      </c>
      <c r="BZ2" s="103" t="s">
        <v>835</v>
      </c>
      <c r="CA2" s="115" t="s">
        <v>1221</v>
      </c>
    </row>
    <row r="3" spans="1:79" ht="15" customHeight="1" thickTop="1" thickBot="1" x14ac:dyDescent="0.25">
      <c r="A3" s="458" t="str">
        <f ca="1">IFERROR(VLOOKUP(A1,OFFSET($AG$2,,,COUNTIF($AG$2:$AG$50,"?*"),23),18,FALSE),"")</f>
        <v/>
      </c>
      <c r="B3" s="459"/>
      <c r="C3" s="459"/>
      <c r="D3" s="460" t="str">
        <f ca="1">IFERROR(VLOOKUP(A1,OFFSET($AG$2,,,COUNTIF($AG$2:$AG$50,"?*"),23),19,FALSE),"")</f>
        <v/>
      </c>
      <c r="E3" s="460"/>
      <c r="F3" s="461"/>
      <c r="G3" s="429"/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8" t="str">
        <f ca="1">IFERROR(VLOOKUP(M1,OFFSET($AG$2,,,COUNTIF($AG$2:$AG$50,"?*"),23),18,FALSE),"")</f>
        <v/>
      </c>
      <c r="N3" s="459"/>
      <c r="O3" s="459"/>
      <c r="P3" s="460" t="str">
        <f ca="1">IFERROR(VLOOKUP(M1,OFFSET($AG$2,,,COUNTIF($AG$2:$AG$50,"?*"),23),19,FALSE),"")</f>
        <v/>
      </c>
      <c r="Q3" s="460"/>
      <c r="R3" s="461"/>
      <c r="S3" s="110" t="s">
        <v>706</v>
      </c>
      <c r="T3" s="102" t="s">
        <v>58</v>
      </c>
      <c r="U3" s="102">
        <v>11</v>
      </c>
      <c r="V3" s="102">
        <v>6</v>
      </c>
      <c r="W3" s="102">
        <v>1</v>
      </c>
      <c r="X3" s="102">
        <v>0</v>
      </c>
      <c r="Y3" s="102">
        <v>4</v>
      </c>
      <c r="Z3" s="102">
        <v>10</v>
      </c>
      <c r="AA3" s="102">
        <v>2</v>
      </c>
      <c r="AB3" s="102">
        <v>-4</v>
      </c>
      <c r="AC3" s="102" t="str">
        <f t="shared" ca="1" si="0"/>
        <v>ANO</v>
      </c>
      <c r="AG3" s="121" t="s">
        <v>706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11 OZ, 10 (6+4), -4 ±</v>
      </c>
      <c r="AY3" s="129" t="str">
        <f t="shared" ca="1" si="2"/>
        <v>11 OZ, 10 (6+4)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17"/>
      <c r="BT3" s="104" t="s">
        <v>866</v>
      </c>
      <c r="BU3" s="103">
        <v>10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10</v>
      </c>
      <c r="BX3" s="416"/>
      <c r="BY3" s="103" t="s">
        <v>841</v>
      </c>
      <c r="BZ3" s="103" t="s">
        <v>846</v>
      </c>
      <c r="CA3" s="115" t="s">
        <v>1051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/>
      </c>
      <c r="B4" s="447"/>
      <c r="C4" s="448"/>
      <c r="D4" s="449" t="str">
        <f ca="1">IFERROR(IF(VLOOKUP(A1,OFFSET($AG$2,,,COUNTIF($AG$2:$AG$50,"?*"),23),14,FALSE)&lt;&gt;0,VLOOKUP(A1,OFFSET($AG$2,,,COUNTIF($AG$2:$AG$50,"?*"),23),14,FALSE),"?"),"")</f>
        <v/>
      </c>
      <c r="E4" s="4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2" t="str">
        <f ca="1">IFERROR(IF(VLOOKUP(G3,OFFSET($AG$2,,,COUNTIF($AG$2:$AG$50,"?*"),23),2,FALSE)&lt;&gt;0,YEAR(VLOOKUP(G3,OFFSET($AG$2,,,COUNTIF($AG$2:$AG$50,"?*"),23),2,FALSE)),""),"")</f>
        <v/>
      </c>
      <c r="I4" s="423"/>
      <c r="J4" s="117" t="str">
        <f ca="1">IFERROR(VLOOKUP(G3,OFFSET($AG$2,,,COUNTIF($AG$2:$AG$50,"?*"),23),15,FALSE),"")</f>
        <v/>
      </c>
      <c r="K4" s="424" t="str">
        <f ca="1">IFERROR(VLOOKUP(G3,OFFSET($AG$2,,,COUNTIF($AG$2:$AG$50,"?*"),23),16,FALSE),"")</f>
        <v/>
      </c>
      <c r="L4" s="425"/>
      <c r="M4" s="446" t="str">
        <f ca="1">IFERROR(IF(VLOOKUP(M1,OFFSET($AG$2,,,COUNTIF($AG$2:$AG$50,"?*"),23),13,FALSE)&lt;&gt;0,VLOOKUP(M1,OFFSET($AG$2,,,COUNTIF($AG$2:$AG$50,"?*"),23),13,FALSE),"?"),"")</f>
        <v/>
      </c>
      <c r="N4" s="447"/>
      <c r="O4" s="448"/>
      <c r="P4" s="449" t="str">
        <f ca="1">IFERROR(IF(VLOOKUP(M1,OFFSET($AG$2,,,COUNTIF($AG$2:$AG$50,"?*"),23),14,FALSE)&lt;&gt;0,VLOOKUP(M1,OFFSET($AG$2,,,COUNTIF($AG$2:$AG$50,"?*"),23),14,FALSE),"?"),"")</f>
        <v/>
      </c>
      <c r="Q4" s="4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715</v>
      </c>
      <c r="U4" s="102">
        <v>11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8</v>
      </c>
      <c r="AB4" s="102">
        <v>-11</v>
      </c>
      <c r="AC4" s="102" t="str">
        <f t="shared" ca="1" si="0"/>
        <v>ANO</v>
      </c>
      <c r="AG4" s="121" t="s">
        <v>712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11 OZ, 1 (1+0), -11 ±</v>
      </c>
      <c r="AY4" s="129" t="str">
        <f t="shared" ca="1" si="2"/>
        <v>11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17"/>
      <c r="BT4" s="104" t="s">
        <v>812</v>
      </c>
      <c r="BU4" s="103">
        <v>9</v>
      </c>
      <c r="BV4" s="104" t="str">
        <f t="shared" si="13"/>
        <v>René Slezák</v>
      </c>
      <c r="BW4" s="102">
        <f t="shared" si="14"/>
        <v>9</v>
      </c>
      <c r="BX4" s="416"/>
      <c r="BY4" s="103" t="s">
        <v>853</v>
      </c>
      <c r="BZ4" s="103" t="s">
        <v>847</v>
      </c>
      <c r="CA4" s="115" t="s">
        <v>1075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/>
      </c>
      <c r="H5" s="459"/>
      <c r="I5" s="459"/>
      <c r="J5" s="460" t="str">
        <f ca="1">IFERROR(VLOOKUP(G3,OFFSET($AG$2,,,COUNTIF($AG$2:$AG$50,"?*"),23),19,FALSE),"")</f>
        <v/>
      </c>
      <c r="K5" s="460"/>
      <c r="L5" s="461"/>
      <c r="S5" s="110" t="s">
        <v>701</v>
      </c>
      <c r="T5" s="102" t="s">
        <v>107</v>
      </c>
      <c r="U5" s="102">
        <v>11</v>
      </c>
      <c r="V5" s="102">
        <v>5</v>
      </c>
      <c r="W5" s="102">
        <v>2</v>
      </c>
      <c r="X5" s="102">
        <v>0</v>
      </c>
      <c r="Y5" s="102">
        <v>2</v>
      </c>
      <c r="Z5" s="102">
        <v>7</v>
      </c>
      <c r="AA5" s="102">
        <v>2</v>
      </c>
      <c r="AB5" s="102">
        <v>-8</v>
      </c>
      <c r="AC5" s="102" t="str">
        <f t="shared" ca="1" si="0"/>
        <v>ANO</v>
      </c>
      <c r="AG5" s="121" t="s">
        <v>701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11 OZ, 7 (5+2), -8 ±</v>
      </c>
      <c r="AY5" s="129" t="str">
        <f t="shared" ca="1" si="2"/>
        <v>11 OZ, 7 (5+2)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17"/>
      <c r="BT5" s="104" t="s">
        <v>867</v>
      </c>
      <c r="BU5" s="103">
        <v>7</v>
      </c>
      <c r="BV5" s="104" t="str">
        <f t="shared" si="13"/>
        <v>Marek Fuchs</v>
      </c>
      <c r="BW5" s="102">
        <f t="shared" si="14"/>
        <v>7</v>
      </c>
      <c r="BX5" s="416"/>
      <c r="BY5" s="103" t="s">
        <v>976</v>
      </c>
      <c r="BZ5" s="103" t="s">
        <v>849</v>
      </c>
      <c r="CA5" s="115" t="s">
        <v>1222</v>
      </c>
    </row>
    <row r="6" spans="1:79" ht="15" customHeight="1" thickTop="1" thickBot="1" x14ac:dyDescent="0.25">
      <c r="A6" s="429"/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6" t="str">
        <f ca="1">IFERROR(IF(VLOOKUP(G3,OFFSET($AG$2,,,COUNTIF($AG$2:$AG$50,"?*"),23),13,FALSE)&lt;&gt;0,VLOOKUP(G3,OFFSET($AG$2,,,COUNTIF($AG$2:$AG$50,"?*"),23),13,FALSE),"?"),"")</f>
        <v/>
      </c>
      <c r="H6" s="447"/>
      <c r="I6" s="448"/>
      <c r="J6" s="449" t="str">
        <f ca="1">IFERROR(IF(VLOOKUP(G3,OFFSET($AG$2,,,COUNTIF($AG$2:$AG$50,"?*"),23),14,FALSE)&lt;&gt;0,VLOOKUP(G3,OFFSET($AG$2,,,COUNTIF($AG$2:$AG$50,"?*"),23),14,FALSE),"?"),"")</f>
        <v/>
      </c>
      <c r="K6" s="450"/>
      <c r="L6" s="7" t="str">
        <f ca="1">IFERROR(IF(VLOOKUP(G3,OFFSET($AG$2,,,COUNTIF($AG$2:$AG$50,"?*"),23),7,FALSE)&lt;&gt;0,VLOOKUP(G3,OFFSET($AG$2,,,COUNTIF($AG$2:$AG$50,"?*"),23),7,FALSE),"?"),"")</f>
        <v/>
      </c>
      <c r="M6" s="429"/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718</v>
      </c>
      <c r="U6" s="102">
        <v>11</v>
      </c>
      <c r="V6" s="102">
        <v>3</v>
      </c>
      <c r="W6" s="102">
        <v>0</v>
      </c>
      <c r="X6" s="102">
        <v>0</v>
      </c>
      <c r="Y6" s="102">
        <v>3</v>
      </c>
      <c r="Z6" s="102">
        <v>6</v>
      </c>
      <c r="AA6" s="102">
        <v>4</v>
      </c>
      <c r="AB6" s="102">
        <v>-7</v>
      </c>
      <c r="AC6" s="102" t="str">
        <f t="shared" ca="1" si="0"/>
        <v>ANO</v>
      </c>
      <c r="AG6" s="121" t="s">
        <v>491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11 OZ, 4 (2+2), -15 ±</v>
      </c>
      <c r="AY6" s="129" t="str">
        <f t="shared" ca="1" si="2"/>
        <v>11 OZ, 4 (2+2)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7"/>
      <c r="BT6" s="104" t="s">
        <v>1202</v>
      </c>
      <c r="BU6" s="103">
        <v>6</v>
      </c>
      <c r="BV6" s="104" t="str">
        <f t="shared" si="13"/>
        <v>Šimon Hronek</v>
      </c>
      <c r="BW6" s="102">
        <f t="shared" si="14"/>
        <v>6</v>
      </c>
      <c r="BX6" s="416"/>
      <c r="BY6" s="103" t="s">
        <v>1141</v>
      </c>
      <c r="BZ6" s="103" t="s">
        <v>848</v>
      </c>
      <c r="CA6" s="115" t="s">
        <v>1223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2" t="str">
        <f ca="1">IFERROR(IF(VLOOKUP(A6,OFFSET($AG$2,,,COUNTIF($AG$2:$AG$50,"?*"),23),2,FALSE)&lt;&gt;0,YEAR(VLOOKUP(A6,OFFSET($AG$2,,,COUNTIF($AG$2:$AG$50,"?*"),23),2,FALSE)),""),"")</f>
        <v/>
      </c>
      <c r="C7" s="423"/>
      <c r="D7" s="117" t="str">
        <f ca="1">IFERROR(VLOOKUP(A6,OFFSET($AG$2,,,COUNTIF($AG$2:$AG$50,"?*"),23),15,FALSE),"")</f>
        <v/>
      </c>
      <c r="E7" s="424" t="str">
        <f ca="1">IFERROR(VLOOKUP(A6,OFFSET($AG$2,,,COUNTIF($AG$2:$AG$50,"?*"),23),16,FALSE),"")</f>
        <v/>
      </c>
      <c r="F7" s="425"/>
      <c r="M7" s="4" t="str">
        <f ca="1">IFERROR(IF(VLOOKUP(M6,OFFSET($AG$2,,,COUNTIF($AG$2:$AG$50,"?*"),23),10,FALSE)&lt;&gt;0,VLOOKUP(M6,OFFSET($AG$2,,,COUNTIF($AG$2:$AG$50,"?*"),23),10,FALSE),""),"")</f>
        <v/>
      </c>
      <c r="N7" s="422" t="str">
        <f ca="1">IFERROR(IF(VLOOKUP(M6,OFFSET($AG$2,,,COUNTIF($AG$2:$AG$50,"?*"),23),2,FALSE)&lt;&gt;0,YEAR(VLOOKUP(M6,OFFSET($AG$2,,,COUNTIF($AG$2:$AG$50,"?*"),23),2,FALSE)),""),"")</f>
        <v/>
      </c>
      <c r="O7" s="423"/>
      <c r="P7" s="117" t="str">
        <f ca="1">IFERROR(VLOOKUP(M6,OFFSET($AG$2,,,COUNTIF($AG$2:$AG$50,"?*"),23),15,FALSE),"")</f>
        <v/>
      </c>
      <c r="Q7" s="424" t="str">
        <f ca="1">IFERROR(VLOOKUP(M6,OFFSET($AG$2,,,COUNTIF($AG$2:$AG$50,"?*"),23),16,FALSE),"")</f>
        <v/>
      </c>
      <c r="R7" s="425"/>
      <c r="S7" s="110" t="s">
        <v>704</v>
      </c>
      <c r="U7" s="102">
        <v>11</v>
      </c>
      <c r="V7" s="102">
        <v>1</v>
      </c>
      <c r="W7" s="102">
        <v>0</v>
      </c>
      <c r="X7" s="102">
        <v>0</v>
      </c>
      <c r="Y7" s="102">
        <v>4</v>
      </c>
      <c r="Z7" s="102">
        <v>5</v>
      </c>
      <c r="AA7" s="102">
        <v>0</v>
      </c>
      <c r="AB7" s="102">
        <v>-13</v>
      </c>
      <c r="AC7" s="102" t="str">
        <f t="shared" ca="1" si="0"/>
        <v>ANO</v>
      </c>
      <c r="AG7" s="121" t="s">
        <v>718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11 OZ, 6 (3+3), -7 ±</v>
      </c>
      <c r="AY7" s="129" t="str">
        <f t="shared" ca="1" si="2"/>
        <v>11 OZ, 6 (3+3)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7" t="s">
        <v>40</v>
      </c>
      <c r="BT7" s="104" t="s">
        <v>1203</v>
      </c>
      <c r="BU7" s="103" t="s">
        <v>1204</v>
      </c>
      <c r="BV7" s="104" t="str">
        <f t="shared" si="13"/>
        <v>Zdeněk Raška</v>
      </c>
      <c r="BW7" s="112">
        <f t="shared" si="14"/>
        <v>6.9</v>
      </c>
      <c r="BX7" s="416" t="s">
        <v>193</v>
      </c>
      <c r="BY7" s="103" t="s">
        <v>1053</v>
      </c>
      <c r="BZ7" s="103" t="s">
        <v>833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/>
      </c>
      <c r="B8" s="459"/>
      <c r="C8" s="459"/>
      <c r="D8" s="460" t="str">
        <f ca="1">IFERROR(VLOOKUP(A6,OFFSET($AG$2,,,COUNTIF($AG$2:$AG$50,"?*"),23),19,FALSE),"")</f>
        <v/>
      </c>
      <c r="E8" s="460"/>
      <c r="F8" s="461"/>
      <c r="H8" s="462" t="s">
        <v>97</v>
      </c>
      <c r="I8" s="462"/>
      <c r="J8" s="462"/>
      <c r="K8" s="462"/>
      <c r="M8" s="458" t="str">
        <f ca="1">IFERROR(VLOOKUP(M6,OFFSET($AG$2,,,COUNTIF($AG$2:$AG$50,"?*"),23),18,FALSE),"")</f>
        <v/>
      </c>
      <c r="N8" s="459"/>
      <c r="O8" s="459"/>
      <c r="P8" s="460" t="str">
        <f ca="1">IFERROR(VLOOKUP(M6,OFFSET($AG$2,,,COUNTIF($AG$2:$AG$50,"?*"),23),19,FALSE),"")</f>
        <v/>
      </c>
      <c r="Q8" s="460"/>
      <c r="R8" s="461"/>
      <c r="S8" s="110" t="s">
        <v>716</v>
      </c>
      <c r="T8" s="102" t="s">
        <v>58</v>
      </c>
      <c r="U8" s="102">
        <v>11</v>
      </c>
      <c r="V8" s="102">
        <v>3</v>
      </c>
      <c r="W8" s="102">
        <v>0</v>
      </c>
      <c r="X8" s="102">
        <v>0</v>
      </c>
      <c r="Y8" s="102">
        <v>1</v>
      </c>
      <c r="Z8" s="102">
        <v>4</v>
      </c>
      <c r="AA8" s="102">
        <v>4</v>
      </c>
      <c r="AB8" s="102">
        <v>-19</v>
      </c>
      <c r="AC8" s="102" t="str">
        <f t="shared" ca="1" si="0"/>
        <v>ANO</v>
      </c>
      <c r="AG8" s="121" t="s">
        <v>702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11 OZ, 12 (4+8), -7 ±</v>
      </c>
      <c r="AY8" s="129" t="str">
        <f t="shared" ca="1" si="2"/>
        <v>11 OZ, 12 (4+8)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7"/>
      <c r="BT8" s="104" t="s">
        <v>1205</v>
      </c>
      <c r="BU8" s="103" t="s">
        <v>1064</v>
      </c>
      <c r="BV8" s="104" t="str">
        <f t="shared" si="13"/>
        <v>Filip Létal</v>
      </c>
      <c r="BW8" s="112">
        <f t="shared" si="14"/>
        <v>7.42</v>
      </c>
      <c r="BX8" s="416"/>
      <c r="BY8" s="103" t="s">
        <v>1160</v>
      </c>
      <c r="BZ8" s="103" t="s">
        <v>880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/>
      </c>
      <c r="B9" s="447"/>
      <c r="C9" s="448"/>
      <c r="D9" s="449" t="str">
        <f ca="1">IFERROR(IF(VLOOKUP(A6,OFFSET($AG$2,,,COUNTIF($AG$2:$AG$50,"?*"),23),14,FALSE)&lt;&gt;0,VLOOKUP(A6,OFFSET($AG$2,,,COUNTIF($AG$2:$AG$50,"?*"),23),14,FALSE),"?"),"")</f>
        <v/>
      </c>
      <c r="E9" s="450"/>
      <c r="F9" s="7" t="str">
        <f ca="1">IFERROR(IF(VLOOKUP(A6,OFFSET($AG$2,,,COUNTIF($AG$2:$AG$50,"?*"),23),7,FALSE)&lt;&gt;0,VLOOKUP(A6,OFFSET($AG$2,,,COUNTIF($AG$2:$AG$50,"?*"),23),7,FALSE),"?"),"")</f>
        <v/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/>
      </c>
      <c r="N9" s="447"/>
      <c r="O9" s="448"/>
      <c r="P9" s="449" t="str">
        <f ca="1">IFERROR(IF(VLOOKUP(M6,OFFSET($AG$2,,,COUNTIF($AG$2:$AG$50,"?*"),23),14,FALSE)&lt;&gt;0,VLOOKUP(M6,OFFSET($AG$2,,,COUNTIF($AG$2:$AG$50,"?*"),23),14,FALSE),"?"),"")</f>
        <v/>
      </c>
      <c r="Q9" s="4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705</v>
      </c>
      <c r="U9" s="102">
        <v>10</v>
      </c>
      <c r="V9" s="102">
        <v>2</v>
      </c>
      <c r="W9" s="102">
        <v>0</v>
      </c>
      <c r="X9" s="102">
        <v>0</v>
      </c>
      <c r="Y9" s="102">
        <v>2</v>
      </c>
      <c r="Z9" s="102">
        <v>4</v>
      </c>
      <c r="AA9" s="102">
        <v>7</v>
      </c>
      <c r="AB9" s="102">
        <v>-11</v>
      </c>
      <c r="AC9" s="102" t="str">
        <f t="shared" ca="1" si="0"/>
        <v>ANO</v>
      </c>
      <c r="AG9" s="121" t="s">
        <v>711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9 OZ, 4 (0+4), -6 ±</v>
      </c>
      <c r="AY9" s="129" t="str">
        <f t="shared" ca="1" si="2"/>
        <v>9 OZ, 4 (0+4)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7"/>
      <c r="BT9" s="104" t="s">
        <v>1206</v>
      </c>
      <c r="BU9" s="103" t="s">
        <v>1065</v>
      </c>
      <c r="BV9" s="104" t="str">
        <f t="shared" si="13"/>
        <v>Ondřej Kolajta</v>
      </c>
      <c r="BW9" s="112">
        <f t="shared" si="14"/>
        <v>9.09</v>
      </c>
      <c r="BX9" s="416"/>
      <c r="BY9" s="103" t="s">
        <v>1143</v>
      </c>
      <c r="BZ9" s="103" t="s">
        <v>837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491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8</v>
      </c>
      <c r="AB10" s="102">
        <v>-15</v>
      </c>
      <c r="AC10" s="102" t="str">
        <f t="shared" ca="1" si="0"/>
        <v>ANO</v>
      </c>
      <c r="AG10" s="121" t="s">
        <v>714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7"/>
      <c r="BV10" s="104" t="str">
        <f t="shared" si="13"/>
        <v/>
      </c>
      <c r="BW10" s="112" t="str">
        <f t="shared" si="14"/>
        <v/>
      </c>
      <c r="BX10" s="416"/>
      <c r="BY10" s="103" t="s">
        <v>1144</v>
      </c>
      <c r="BZ10" s="103" t="s">
        <v>858</v>
      </c>
      <c r="CA10" s="115" t="s">
        <v>188</v>
      </c>
    </row>
    <row r="11" spans="1:79" ht="15" customHeight="1" thickTop="1" thickBot="1" x14ac:dyDescent="0.25">
      <c r="R11" s="13"/>
      <c r="S11" s="110" t="s">
        <v>717</v>
      </c>
      <c r="T11" s="102" t="s">
        <v>58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-11</v>
      </c>
      <c r="AC11" s="102" t="str">
        <f t="shared" ca="1" si="0"/>
        <v>ANO</v>
      </c>
      <c r="AG11" s="121" t="s">
        <v>716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11 OZ, 4 (3+1), -19 ±</v>
      </c>
      <c r="AY11" s="129" t="str">
        <f t="shared" ca="1" si="2"/>
        <v>11 OZ, 4 (3+1)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7"/>
      <c r="BV11" s="104" t="str">
        <f t="shared" si="13"/>
        <v/>
      </c>
      <c r="BW11" s="112" t="str">
        <f t="shared" si="14"/>
        <v/>
      </c>
      <c r="BX11" s="416"/>
      <c r="BY11" s="103" t="s">
        <v>1224</v>
      </c>
      <c r="BZ11" s="103" t="s">
        <v>851</v>
      </c>
      <c r="CA11" s="115" t="s">
        <v>188</v>
      </c>
    </row>
    <row r="12" spans="1:79" ht="15" customHeight="1" thickTop="1" thickBot="1" x14ac:dyDescent="0.25">
      <c r="A12" s="429"/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3" t="s">
        <v>7</v>
      </c>
      <c r="I12" s="463"/>
      <c r="J12" s="463"/>
      <c r="K12" s="463"/>
      <c r="M12" s="429"/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711</v>
      </c>
      <c r="T12" s="102" t="s">
        <v>107</v>
      </c>
      <c r="U12" s="102">
        <v>9</v>
      </c>
      <c r="V12" s="102">
        <v>0</v>
      </c>
      <c r="W12" s="102">
        <v>0</v>
      </c>
      <c r="X12" s="102">
        <v>0</v>
      </c>
      <c r="Y12" s="102">
        <v>4</v>
      </c>
      <c r="Z12" s="102">
        <v>4</v>
      </c>
      <c r="AA12" s="102">
        <v>2</v>
      </c>
      <c r="AB12" s="102">
        <v>-6</v>
      </c>
      <c r="AC12" s="102" t="str">
        <f t="shared" ca="1" si="0"/>
        <v>ANO</v>
      </c>
      <c r="AG12" s="121" t="s">
        <v>708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6 OZ, 0 (0+0), -6 ±</v>
      </c>
      <c r="AY12" s="129" t="str">
        <f t="shared" ca="1" si="2"/>
        <v>6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7" t="s">
        <v>37</v>
      </c>
      <c r="BT12" s="104" t="s">
        <v>796</v>
      </c>
      <c r="BU12" s="103">
        <v>8</v>
      </c>
      <c r="BV12" s="104" t="str">
        <f t="shared" si="13"/>
        <v>René Slezák</v>
      </c>
      <c r="BW12" s="102">
        <f t="shared" si="14"/>
        <v>8</v>
      </c>
      <c r="BX12" s="120" t="s">
        <v>191</v>
      </c>
      <c r="BY12" s="100" t="s">
        <v>1225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2" t="str">
        <f ca="1">IFERROR(IF(VLOOKUP(A12,OFFSET($AG$2,,,COUNTIF($AG$2:$AG$50,"?*"),23),2,FALSE)&lt;&gt;0,YEAR(VLOOKUP(A12,OFFSET($AG$2,,,COUNTIF($AG$2:$AG$50,"?*"),23),2,FALSE)),""),"")</f>
        <v/>
      </c>
      <c r="C13" s="423"/>
      <c r="D13" s="117" t="str">
        <f ca="1">IFERROR(VLOOKUP(A12,OFFSET($AG$2,,,COUNTIF($AG$2:$AG$50,"?*"),23),15,FALSE),"")</f>
        <v/>
      </c>
      <c r="E13" s="424" t="str">
        <f ca="1">IFERROR(VLOOKUP(A12,OFFSET($AG$2,,,COUNTIF($AG$2:$AG$50,"?*"),23),16,FALSE),"")</f>
        <v/>
      </c>
      <c r="F13" s="425"/>
      <c r="M13" s="4" t="str">
        <f ca="1">IFERROR(IF(VLOOKUP(M12,OFFSET($AG$2,,,COUNTIF($AG$2:$AG$50,"?*"),23),10,FALSE)&lt;&gt;0,VLOOKUP(M12,OFFSET($AG$2,,,COUNTIF($AG$2:$AG$50,"?*"),23),10,FALSE),""),"")</f>
        <v/>
      </c>
      <c r="N13" s="422" t="str">
        <f ca="1">IFERROR(IF(VLOOKUP(M12,OFFSET($AG$2,,,COUNTIF($AG$2:$AG$50,"?*"),23),2,FALSE)&lt;&gt;0,YEAR(VLOOKUP(M12,OFFSET($AG$2,,,COUNTIF($AG$2:$AG$50,"?*"),23),2,FALSE)),""),"")</f>
        <v/>
      </c>
      <c r="O13" s="423"/>
      <c r="P13" s="117" t="str">
        <f ca="1">IFERROR(VLOOKUP(M12,OFFSET($AG$2,,,COUNTIF($AG$2:$AG$50,"?*"),23),15,FALSE),"")</f>
        <v/>
      </c>
      <c r="Q13" s="424" t="str">
        <f ca="1">IFERROR(VLOOKUP(M12,OFFSET($AG$2,,,COUNTIF($AG$2:$AG$50,"?*"),23),16,FALSE),"")</f>
        <v/>
      </c>
      <c r="R13" s="425"/>
      <c r="S13" s="110" t="s">
        <v>710</v>
      </c>
      <c r="T13" s="102" t="s">
        <v>107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4</v>
      </c>
      <c r="AB13" s="102">
        <v>-17</v>
      </c>
      <c r="AC13" s="102" t="str">
        <f t="shared" ca="1" si="0"/>
        <v>ANO</v>
      </c>
      <c r="AG13" s="121" t="s">
        <v>713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10 OZ, 2 (1+1), -14 ±</v>
      </c>
      <c r="AY13" s="129" t="str">
        <f t="shared" ca="1" si="2"/>
        <v>10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7"/>
      <c r="BT13" s="104" t="s">
        <v>866</v>
      </c>
      <c r="BU13" s="103">
        <v>6</v>
      </c>
      <c r="BV13" s="104" t="str">
        <f t="shared" si="13"/>
        <v>Tomáš Brom</v>
      </c>
      <c r="BW13" s="102">
        <f t="shared" si="14"/>
        <v>6</v>
      </c>
    </row>
    <row r="14" spans="1:79" ht="15" customHeight="1" thickTop="1" thickBot="1" x14ac:dyDescent="0.25">
      <c r="A14" s="458" t="str">
        <f ca="1">IFERROR(VLOOKUP(A12,OFFSET($AG$2,,,COUNTIF($AG$2:$AG$50,"?*"),23),18,FALSE),"")</f>
        <v/>
      </c>
      <c r="B14" s="459"/>
      <c r="C14" s="459"/>
      <c r="D14" s="460" t="str">
        <f ca="1">IFERROR(VLOOKUP(A12,OFFSET($AG$2,,,COUNTIF($AG$2:$AG$50,"?*"),23),19,FALSE),"")</f>
        <v/>
      </c>
      <c r="E14" s="460"/>
      <c r="F14" s="461"/>
      <c r="G14" s="429"/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8" t="str">
        <f ca="1">IFERROR(VLOOKUP(M12,OFFSET($AG$2,,,COUNTIF($AG$2:$AG$50,"?*"),23),18,FALSE),"")</f>
        <v/>
      </c>
      <c r="N14" s="459"/>
      <c r="O14" s="459"/>
      <c r="P14" s="460" t="str">
        <f ca="1">IFERROR(VLOOKUP(M12,OFFSET($AG$2,,,COUNTIF($AG$2:$AG$50,"?*"),23),19,FALSE),"")</f>
        <v/>
      </c>
      <c r="Q14" s="460"/>
      <c r="R14" s="461"/>
      <c r="S14" s="110" t="s">
        <v>713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-14</v>
      </c>
      <c r="AC14" s="102" t="str">
        <f t="shared" ca="1" si="0"/>
        <v>ANO</v>
      </c>
      <c r="AG14" s="121" t="s">
        <v>703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7"/>
      <c r="BT14" s="104" t="s">
        <v>1207</v>
      </c>
      <c r="BU14" s="103">
        <v>5</v>
      </c>
      <c r="BV14" s="104" t="str">
        <f t="shared" si="13"/>
        <v>Marek Fuchs</v>
      </c>
      <c r="BW14" s="102">
        <f t="shared" si="14"/>
        <v>5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/>
      </c>
      <c r="B15" s="447"/>
      <c r="C15" s="448"/>
      <c r="D15" s="449" t="str">
        <f ca="1">IFERROR(IF(VLOOKUP(A12,OFFSET($AG$2,,,COUNTIF($AG$2:$AG$50,"?*"),23),14,FALSE)&lt;&gt;0,VLOOKUP(A12,OFFSET($AG$2,,,COUNTIF($AG$2:$AG$50,"?*"),23),14,FALSE),"?"),"")</f>
        <v/>
      </c>
      <c r="E15" s="4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2" t="str">
        <f ca="1">IFERROR(IF(VLOOKUP(G14,OFFSET($AG$2,,,COUNTIF($AG$2:$AG$50,"?*"),23),2,FALSE)&lt;&gt;0,YEAR(VLOOKUP(G14,OFFSET($AG$2,,,COUNTIF($AG$2:$AG$50,"?*"),23),2,FALSE)),""),"")</f>
        <v/>
      </c>
      <c r="I15" s="423"/>
      <c r="J15" s="117" t="str">
        <f ca="1">IFERROR(VLOOKUP(G14,OFFSET($AG$2,,,COUNTIF($AG$2:$AG$50,"?*"),23),15,FALSE),"")</f>
        <v/>
      </c>
      <c r="K15" s="424" t="str">
        <f ca="1">IFERROR(VLOOKUP(G14,OFFSET($AG$2,,,COUNTIF($AG$2:$AG$50,"?*"),23),16,FALSE),"")</f>
        <v/>
      </c>
      <c r="L15" s="425"/>
      <c r="M15" s="446" t="str">
        <f ca="1">IFERROR(IF(VLOOKUP(M12,OFFSET($AG$2,,,COUNTIF($AG$2:$AG$50,"?*"),23),13,FALSE)&lt;&gt;0,VLOOKUP(M12,OFFSET($AG$2,,,COUNTIF($AG$2:$AG$50,"?*"),23),13,FALSE),"?"),"")</f>
        <v/>
      </c>
      <c r="N15" s="447"/>
      <c r="O15" s="448"/>
      <c r="P15" s="449" t="str">
        <f ca="1">IFERROR(IF(VLOOKUP(M12,OFFSET($AG$2,,,COUNTIF($AG$2:$AG$50,"?*"),23),14,FALSE)&lt;&gt;0,VLOOKUP(M12,OFFSET($AG$2,,,COUNTIF($AG$2:$AG$50,"?*"),23),14,FALSE),"?"),"")</f>
        <v/>
      </c>
      <c r="Q15" s="4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712</v>
      </c>
      <c r="T15" s="102" t="s">
        <v>107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-11</v>
      </c>
      <c r="AC15" s="102" t="str">
        <f t="shared" ca="1" si="0"/>
        <v>ANO</v>
      </c>
      <c r="AG15" s="121" t="s">
        <v>705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10 OZ, 4 (2+2), -11 ±</v>
      </c>
      <c r="AY15" s="129" t="str">
        <f t="shared" ca="1" si="2"/>
        <v>10 OZ, 4 (2+2)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7"/>
      <c r="BT15" s="104" t="s">
        <v>1208</v>
      </c>
      <c r="BU15" s="103">
        <v>4</v>
      </c>
      <c r="BV15" s="104" t="str">
        <f t="shared" si="13"/>
        <v>Lukáš Jalový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/>
      </c>
      <c r="H16" s="459"/>
      <c r="I16" s="459"/>
      <c r="J16" s="460" t="str">
        <f ca="1">IFERROR(VLOOKUP(G14,OFFSET($AG$2,,,COUNTIF($AG$2:$AG$50,"?*"),23),19,FALSE),"")</f>
        <v/>
      </c>
      <c r="K16" s="460"/>
      <c r="L16" s="461"/>
      <c r="S16" s="110" t="s">
        <v>1217</v>
      </c>
      <c r="T16" s="102" t="s">
        <v>107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710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11 OZ, 2 (2+0), -17 ±</v>
      </c>
      <c r="AY16" s="129" t="str">
        <f t="shared" ca="1" si="2"/>
        <v>11 OZ, 2 (2+0)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7"/>
      <c r="BT16" s="104" t="s">
        <v>1209</v>
      </c>
      <c r="BU16" s="103">
        <v>3</v>
      </c>
      <c r="BV16" s="104" t="str">
        <f t="shared" si="13"/>
        <v>Matěj Kostka</v>
      </c>
      <c r="BW16" s="102">
        <f t="shared" si="14"/>
        <v>3</v>
      </c>
    </row>
    <row r="17" spans="1:75" ht="15" customHeight="1" thickTop="1" thickBot="1" x14ac:dyDescent="0.25">
      <c r="A17" s="429"/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6" t="str">
        <f ca="1">IFERROR(IF(VLOOKUP(G14,OFFSET($AG$2,,,COUNTIF($AG$2:$AG$50,"?*"),23),13,FALSE)&lt;&gt;0,VLOOKUP(G14,OFFSET($AG$2,,,COUNTIF($AG$2:$AG$50,"?*"),23),13,FALSE),"?"),"")</f>
        <v/>
      </c>
      <c r="H17" s="447"/>
      <c r="I17" s="448"/>
      <c r="J17" s="449" t="str">
        <f ca="1">IFERROR(IF(VLOOKUP(G14,OFFSET($AG$2,,,COUNTIF($AG$2:$AG$50,"?*"),23),14,FALSE)&lt;&gt;0,VLOOKUP(G14,OFFSET($AG$2,,,COUNTIF($AG$2:$AG$50,"?*"),23),14,FALSE),"?"),"")</f>
        <v/>
      </c>
      <c r="K17" s="450"/>
      <c r="L17" s="7" t="str">
        <f ca="1">IFERROR(IF(VLOOKUP(G14,OFFSET($AG$2,,,COUNTIF($AG$2:$AG$50,"?*"),23),7,FALSE)&lt;&gt;0,VLOOKUP(G14,OFFSET($AG$2,,,COUNTIF($AG$2:$AG$50,"?*"),23),7,FALSE),"?"),"")</f>
        <v/>
      </c>
      <c r="M17" s="429"/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1218</v>
      </c>
      <c r="T17" s="102" t="s">
        <v>58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717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10 OZ, 4 (1+3), -11 ±</v>
      </c>
      <c r="AY17" s="129" t="str">
        <f t="shared" ca="1" si="2"/>
        <v>10 OZ, 4 (1+3)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7" t="s">
        <v>41</v>
      </c>
      <c r="BT17" s="104" t="s">
        <v>1203</v>
      </c>
      <c r="BU17" s="103">
        <v>1</v>
      </c>
      <c r="BV17" s="104" t="str">
        <f t="shared" si="13"/>
        <v>Zdeněk Raška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2" t="str">
        <f ca="1">IFERROR(IF(VLOOKUP(A17,OFFSET($AG$2,,,COUNTIF($AG$2:$AG$50,"?*"),23),2,FALSE)&lt;&gt;0,YEAR(VLOOKUP(A17,OFFSET($AG$2,,,COUNTIF($AG$2:$AG$50,"?*"),23),2,FALSE)),""),"")</f>
        <v/>
      </c>
      <c r="C18" s="423"/>
      <c r="D18" s="149" t="str">
        <f ca="1">IFERROR(VLOOKUP(A17,OFFSET($AG$2,,,COUNTIF($AG$2:$AG$50,"?*"),23),15,FALSE),"")</f>
        <v/>
      </c>
      <c r="E18" s="424" t="str">
        <f ca="1">IFERROR(VLOOKUP(A17,OFFSET($AG$2,,,COUNTIF($AG$2:$AG$50,"?*"),23),16,FALSE),"")</f>
        <v/>
      </c>
      <c r="F18" s="425"/>
      <c r="M18" s="4" t="str">
        <f ca="1">IFERROR(IF(VLOOKUP(M17,OFFSET($AG$2,,,COUNTIF($AG$2:$AG$50,"?*"),23),10,FALSE)&lt;&gt;0,VLOOKUP(M17,OFFSET($AG$2,,,COUNTIF($AG$2:$AG$50,"?*"),23),10,FALSE),""),"")</f>
        <v/>
      </c>
      <c r="N18" s="422" t="str">
        <f ca="1">IFERROR(IF(VLOOKUP(M17,OFFSET($AG$2,,,COUNTIF($AG$2:$AG$50,"?*"),23),2,FALSE)&lt;&gt;0,YEAR(VLOOKUP(M17,OFFSET($AG$2,,,COUNTIF($AG$2:$AG$50,"?*"),23),2,FALSE)),""),"")</f>
        <v/>
      </c>
      <c r="O18" s="423"/>
      <c r="P18" s="117" t="str">
        <f ca="1">IFERROR(VLOOKUP(M17,OFFSET($AG$2,,,COUNTIF($AG$2:$AG$50,"?*"),23),15,FALSE),"")</f>
        <v/>
      </c>
      <c r="Q18" s="424" t="str">
        <f ca="1">IFERROR(VLOOKUP(M17,OFFSET($AG$2,,,COUNTIF($AG$2:$AG$50,"?*"),23),16,FALSE),"")</f>
        <v/>
      </c>
      <c r="R18" s="425"/>
      <c r="S18" s="110" t="s">
        <v>1219</v>
      </c>
      <c r="T18" s="102" t="s">
        <v>107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715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11 OZ, 9 (8+1), -11 ±</v>
      </c>
      <c r="AY18" s="129" t="str">
        <f t="shared" ca="1" si="2"/>
        <v>11 OZ, 9 (8+1)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7"/>
      <c r="BT18" s="104" t="s">
        <v>1205</v>
      </c>
      <c r="BU18" s="103">
        <v>0</v>
      </c>
      <c r="BV18" s="104" t="str">
        <f t="shared" si="13"/>
        <v>Filip Létal</v>
      </c>
      <c r="BW18" s="102">
        <f t="shared" si="14"/>
        <v>0</v>
      </c>
    </row>
    <row r="19" spans="1:75" ht="15" customHeight="1" x14ac:dyDescent="0.2">
      <c r="A19" s="458" t="str">
        <f ca="1">IFERROR(VLOOKUP(A17,OFFSET($AG$2,,,COUNTIF($AG$2:$AG$50,"?*"),23),18,FALSE),"")</f>
        <v/>
      </c>
      <c r="B19" s="459"/>
      <c r="C19" s="459"/>
      <c r="D19" s="460" t="str">
        <f ca="1">IFERROR(VLOOKUP(A17,OFFSET($AG$2,,,COUNTIF($AG$2:$AG$50,"?*"),23),19,FALSE),"")</f>
        <v/>
      </c>
      <c r="E19" s="460"/>
      <c r="F19" s="461"/>
      <c r="H19" s="462" t="str">
        <f>H$8</f>
        <v>HAT</v>
      </c>
      <c r="I19" s="462"/>
      <c r="J19" s="462"/>
      <c r="K19" s="462"/>
      <c r="M19" s="458" t="str">
        <f ca="1">IFERROR(VLOOKUP(M17,OFFSET($AG$2,,,COUNTIF($AG$2:$AG$50,"?*"),23),18,FALSE),"")</f>
        <v/>
      </c>
      <c r="N19" s="459"/>
      <c r="O19" s="459"/>
      <c r="P19" s="460" t="str">
        <f ca="1">IFERROR(VLOOKUP(M17,OFFSET($AG$2,,,COUNTIF($AG$2:$AG$50,"?*"),23),19,FALSE),"")</f>
        <v/>
      </c>
      <c r="Q19" s="460"/>
      <c r="R19" s="461"/>
      <c r="S19" s="110" t="s">
        <v>1220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NE</v>
      </c>
      <c r="AG19" s="121" t="s">
        <v>709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11 OZ, 0 (0+0), -14 ±</v>
      </c>
      <c r="AY19" s="129" t="str">
        <f t="shared" ca="1" si="2"/>
        <v>11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7"/>
      <c r="BT19" s="104" t="s">
        <v>1206</v>
      </c>
      <c r="BU19" s="103">
        <v>0</v>
      </c>
      <c r="BV19" s="104" t="str">
        <f t="shared" si="13"/>
        <v>Ondřej Kolajta</v>
      </c>
      <c r="BW19" s="102">
        <f t="shared" si="14"/>
        <v>0</v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/>
      </c>
      <c r="B20" s="447"/>
      <c r="C20" s="448"/>
      <c r="D20" s="449" t="str">
        <f ca="1">IFERROR(IF(VLOOKUP(A17,OFFSET($AG$2,,,COUNTIF($AG$2:$AG$50,"?*"),23),14,FALSE)&lt;&gt;0,VLOOKUP(A17,OFFSET($AG$2,,,COUNTIF($AG$2:$AG$50,"?*"),23),14,FALSE),"?"),"")</f>
        <v/>
      </c>
      <c r="E20" s="450"/>
      <c r="F20" s="7" t="str">
        <f ca="1">IFERROR(IF(VLOOKUP(A17,OFFSET($AG$2,,,COUNTIF($AG$2:$AG$50,"?*"),23),7,FALSE)&lt;&gt;0,VLOOKUP(A17,OFFSET($AG$2,,,COUNTIF($AG$2:$AG$50,"?*"),23),7,FALSE),"?"),"")</f>
        <v/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/>
      </c>
      <c r="N20" s="447"/>
      <c r="O20" s="448"/>
      <c r="P20" s="449" t="str">
        <f ca="1">IFERROR(IF(VLOOKUP(M17,OFFSET($AG$2,,,COUNTIF($AG$2:$AG$50,"?*"),23),14,FALSE)&lt;&gt;0,VLOOKUP(M17,OFFSET($AG$2,,,COUNTIF($AG$2:$AG$50,"?*"),23),14,FALSE),"?"),"")</f>
        <v/>
      </c>
      <c r="Q20" s="4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501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704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11 OZ, 5 (1+4), -13 ±</v>
      </c>
      <c r="AY20" s="129" t="str">
        <f t="shared" ca="1" si="2"/>
        <v>11 OZ, 5 (1+4)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708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-6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1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707</v>
      </c>
      <c r="T22" s="102" t="s">
        <v>107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17" t="s">
        <v>38</v>
      </c>
      <c r="BT22" s="104" t="s">
        <v>719</v>
      </c>
      <c r="BU22" s="103">
        <v>8</v>
      </c>
      <c r="BV22" s="104" t="str">
        <f t="shared" si="13"/>
        <v>Lukáš Jalový</v>
      </c>
      <c r="BW22" s="102">
        <f t="shared" si="14"/>
        <v>8</v>
      </c>
    </row>
    <row r="23" spans="1:75" ht="15" customHeight="1" thickTop="1" thickBot="1" x14ac:dyDescent="0.25">
      <c r="A23" s="429"/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3" t="s">
        <v>13</v>
      </c>
      <c r="I23" s="463"/>
      <c r="J23" s="463"/>
      <c r="K23" s="463"/>
      <c r="M23" s="429"/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703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17"/>
      <c r="BT23" s="104" t="s">
        <v>1210</v>
      </c>
      <c r="BU23" s="103">
        <v>4</v>
      </c>
      <c r="BV23" s="104" t="str">
        <f t="shared" si="13"/>
        <v>Jiří Juhaňák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2" t="str">
        <f ca="1">IFERROR(IF(VLOOKUP(A23,OFFSET($AG$2,,,COUNTIF($AG$2:$AG$50,"?*"),23),2,FALSE)&lt;&gt;0,YEAR(VLOOKUP(A23,OFFSET($AG$2,,,COUNTIF($AG$2:$AG$50,"?*"),23),2,FALSE)),""),"")</f>
        <v/>
      </c>
      <c r="C24" s="423"/>
      <c r="D24" s="117" t="str">
        <f ca="1">IFERROR(VLOOKUP(A23,OFFSET($AG$2,,,COUNTIF($AG$2:$AG$50,"?*"),23),15,FALSE),"")</f>
        <v/>
      </c>
      <c r="E24" s="424" t="str">
        <f ca="1">IFERROR(VLOOKUP(A23,OFFSET($AG$2,,,COUNTIF($AG$2:$AG$50,"?*"),23),16,FALSE),"")</f>
        <v/>
      </c>
      <c r="F24" s="425"/>
      <c r="M24" s="4" t="str">
        <f ca="1">IFERROR(IF(VLOOKUP(M23,OFFSET($AG$2,,,COUNTIF($AG$2:$AG$50,"?*"),23),10,FALSE)&lt;&gt;0,VLOOKUP(M23,OFFSET($AG$2,,,COUNTIF($AG$2:$AG$50,"?*"),23),10,FALSE),""),"")</f>
        <v/>
      </c>
      <c r="N24" s="422" t="str">
        <f ca="1">IFERROR(IF(VLOOKUP(M23,OFFSET($AG$2,,,COUNTIF($AG$2:$AG$50,"?*"),23),2,FALSE)&lt;&gt;0,YEAR(VLOOKUP(M23,OFFSET($AG$2,,,COUNTIF($AG$2:$AG$50,"?*"),23),2,FALSE)),""),"")</f>
        <v/>
      </c>
      <c r="O24" s="423"/>
      <c r="P24" s="117" t="str">
        <f ca="1">IFERROR(VLOOKUP(M23,OFFSET($AG$2,,,COUNTIF($AG$2:$AG$50,"?*"),23),15,FALSE),"")</f>
        <v/>
      </c>
      <c r="Q24" s="424" t="str">
        <f ca="1">IFERROR(VLOOKUP(M23,OFFSET($AG$2,,,COUNTIF($AG$2:$AG$50,"?*"),23),16,FALSE),"")</f>
        <v/>
      </c>
      <c r="R24" s="425"/>
      <c r="S24" s="110" t="s">
        <v>795</v>
      </c>
      <c r="U24" s="102">
        <v>7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-3</v>
      </c>
      <c r="AC24" s="102" t="str">
        <f t="shared" ca="1" si="0"/>
        <v>NE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17"/>
      <c r="BT24" s="104" t="s">
        <v>1211</v>
      </c>
      <c r="BU24" s="103">
        <v>4</v>
      </c>
      <c r="BV24" s="104" t="str">
        <f t="shared" si="13"/>
        <v>Lukáš Vlach</v>
      </c>
      <c r="BW24" s="102">
        <f t="shared" si="14"/>
        <v>4</v>
      </c>
    </row>
    <row r="25" spans="1:75" ht="15" customHeight="1" thickTop="1" thickBot="1" x14ac:dyDescent="0.25">
      <c r="A25" s="458" t="str">
        <f ca="1">IFERROR(VLOOKUP(A23,OFFSET($AG$2,,,COUNTIF($AG$2:$AG$50,"?*"),23),18,FALSE),"")</f>
        <v/>
      </c>
      <c r="B25" s="459"/>
      <c r="C25" s="459"/>
      <c r="D25" s="460" t="str">
        <f ca="1">IFERROR(VLOOKUP(A23,OFFSET($AG$2,,,COUNTIF($AG$2:$AG$50,"?*"),23),19,FALSE),"")</f>
        <v/>
      </c>
      <c r="E25" s="460"/>
      <c r="F25" s="461"/>
      <c r="G25" s="429"/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8" t="str">
        <f ca="1">IFERROR(VLOOKUP(M23,OFFSET($AG$2,,,COUNTIF($AG$2:$AG$50,"?*"),23),18,FALSE),"")</f>
        <v/>
      </c>
      <c r="N25" s="459"/>
      <c r="O25" s="459"/>
      <c r="P25" s="460" t="str">
        <f ca="1">IFERROR(VLOOKUP(M23,OFFSET($AG$2,,,COUNTIF($AG$2:$AG$50,"?*"),23),19,FALSE),"")</f>
        <v/>
      </c>
      <c r="Q25" s="460"/>
      <c r="R25" s="461"/>
      <c r="S25" s="110" t="s">
        <v>714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17"/>
      <c r="BT25" s="104" t="s">
        <v>1212</v>
      </c>
      <c r="BU25" s="103">
        <v>4</v>
      </c>
      <c r="BV25" s="104" t="str">
        <f t="shared" si="13"/>
        <v>Tomáš Brom</v>
      </c>
      <c r="BW25" s="102">
        <f t="shared" si="14"/>
        <v>4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/>
      </c>
      <c r="B26" s="447"/>
      <c r="C26" s="448"/>
      <c r="D26" s="449" t="str">
        <f ca="1">IFERROR(IF(VLOOKUP(A23,OFFSET($AG$2,,,COUNTIF($AG$2:$AG$50,"?*"),23),14,FALSE)&lt;&gt;0,VLOOKUP(A23,OFFSET($AG$2,,,COUNTIF($AG$2:$AG$50,"?*"),23),14,FALSE),"?"),"")</f>
        <v/>
      </c>
      <c r="E26" s="4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2" t="str">
        <f ca="1">IFERROR(IF(VLOOKUP(G25,OFFSET($AG$2,,,COUNTIF($AG$2:$AG$50,"?*"),23),2,FALSE)&lt;&gt;0,YEAR(VLOOKUP(G25,OFFSET($AG$2,,,COUNTIF($AG$2:$AG$50,"?*"),23),2,FALSE)),""),"")</f>
        <v/>
      </c>
      <c r="I26" s="423"/>
      <c r="J26" s="117" t="str">
        <f ca="1">IFERROR(VLOOKUP(G25,OFFSET($AG$2,,,COUNTIF($AG$2:$AG$50,"?*"),23),15,FALSE),"")</f>
        <v/>
      </c>
      <c r="K26" s="424" t="str">
        <f ca="1">IFERROR(VLOOKUP(G25,OFFSET($AG$2,,,COUNTIF($AG$2:$AG$50,"?*"),23),16,FALSE),"")</f>
        <v/>
      </c>
      <c r="L26" s="425"/>
      <c r="M26" s="446" t="str">
        <f ca="1">IFERROR(IF(VLOOKUP(M23,OFFSET($AG$2,,,COUNTIF($AG$2:$AG$50,"?*"),23),13,FALSE)&lt;&gt;0,VLOOKUP(M23,OFFSET($AG$2,,,COUNTIF($AG$2:$AG$50,"?*"),23),13,FALSE),"?"),"")</f>
        <v/>
      </c>
      <c r="N26" s="447"/>
      <c r="O26" s="448"/>
      <c r="P26" s="449" t="str">
        <f ca="1">IFERROR(IF(VLOOKUP(M23,OFFSET($AG$2,,,COUNTIF($AG$2:$AG$50,"?*"),23),14,FALSE)&lt;&gt;0,VLOOKUP(M23,OFFSET($AG$2,,,COUNTIF($AG$2:$AG$50,"?*"),23),14,FALSE),"?"),"")</f>
        <v/>
      </c>
      <c r="Q26" s="45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709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-14</v>
      </c>
      <c r="AC26" s="102" t="str">
        <f t="shared" ca="1" si="0"/>
        <v>ANO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17"/>
      <c r="BT26" s="104" t="s">
        <v>1213</v>
      </c>
      <c r="BU26" s="103">
        <v>3</v>
      </c>
      <c r="BV26" s="104" t="str">
        <f t="shared" si="13"/>
        <v>David Sládeček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/>
      </c>
      <c r="H27" s="459"/>
      <c r="I27" s="459"/>
      <c r="J27" s="460" t="str">
        <f ca="1">IFERROR(VLOOKUP(G25,OFFSET($AG$2,,,COUNTIF($AG$2:$AG$50,"?*"),23),19,FALSE),"")</f>
        <v/>
      </c>
      <c r="K27" s="460"/>
      <c r="L27" s="461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7" t="s">
        <v>39</v>
      </c>
      <c r="BT27" s="104" t="s">
        <v>1214</v>
      </c>
      <c r="BU27" s="103">
        <v>8</v>
      </c>
      <c r="BV27" s="104" t="str">
        <f t="shared" si="13"/>
        <v>Matěj Hronek</v>
      </c>
      <c r="BW27" s="102">
        <f t="shared" si="14"/>
        <v>8</v>
      </c>
    </row>
    <row r="28" spans="1:75" ht="15" customHeight="1" thickTop="1" thickBot="1" x14ac:dyDescent="0.25">
      <c r="A28" s="429"/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6" t="str">
        <f ca="1">IFERROR(IF(VLOOKUP(G25,OFFSET($AG$2,,,COUNTIF($AG$2:$AG$50,"?*"),23),13,FALSE)&lt;&gt;0,VLOOKUP(G25,OFFSET($AG$2,,,COUNTIF($AG$2:$AG$50,"?*"),23),13,FALSE),"?"),"")</f>
        <v/>
      </c>
      <c r="H28" s="447"/>
      <c r="I28" s="448"/>
      <c r="J28" s="449" t="str">
        <f ca="1">IFERROR(IF(VLOOKUP(G25,OFFSET($AG$2,,,COUNTIF($AG$2:$AG$50,"?*"),23),14,FALSE)&lt;&gt;0,VLOOKUP(G25,OFFSET($AG$2,,,COUNTIF($AG$2:$AG$50,"?*"),23),14,FALSE),"?"),"")</f>
        <v/>
      </c>
      <c r="K28" s="450"/>
      <c r="L28" s="7" t="str">
        <f ca="1">IFERROR(IF(VLOOKUP(G25,OFFSET($AG$2,,,COUNTIF($AG$2:$AG$50,"?*"),23),7,FALSE)&lt;&gt;0,VLOOKUP(G25,OFFSET($AG$2,,,COUNTIF($AG$2:$AG$50,"?*"),23),7,FALSE),"?"),"")</f>
        <v/>
      </c>
      <c r="M28" s="429"/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7"/>
      <c r="BT28" s="104" t="s">
        <v>1215</v>
      </c>
      <c r="BU28" s="103">
        <v>8</v>
      </c>
      <c r="BV28" s="104" t="str">
        <f t="shared" si="13"/>
        <v>René Slezák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2" t="str">
        <f ca="1">IFERROR(IF(VLOOKUP(A28,OFFSET($AG$2,,,COUNTIF($AG$2:$AG$50,"?*"),23),2,FALSE)&lt;&gt;0,YEAR(VLOOKUP(A28,OFFSET($AG$2,,,COUNTIF($AG$2:$AG$50,"?*"),23),2,FALSE)),""),"")</f>
        <v/>
      </c>
      <c r="C29" s="423"/>
      <c r="D29" s="117" t="str">
        <f ca="1">IFERROR(VLOOKUP(A28,OFFSET($AG$2,,,COUNTIF($AG$2:$AG$50,"?*"),23),15,FALSE),"")</f>
        <v/>
      </c>
      <c r="E29" s="424" t="str">
        <f ca="1">IFERROR(VLOOKUP(A28,OFFSET($AG$2,,,COUNTIF($AG$2:$AG$50,"?*"),23),16,FALSE),"")</f>
        <v/>
      </c>
      <c r="F29" s="425"/>
      <c r="M29" s="4" t="str">
        <f ca="1">IFERROR(IF(VLOOKUP(M28,OFFSET($AG$2,,,COUNTIF($AG$2:$AG$50,"?*"),23),10,FALSE)&lt;&gt;0,VLOOKUP(M28,OFFSET($AG$2,,,COUNTIF($AG$2:$AG$50,"?*"),23),10,FALSE),""),"")</f>
        <v/>
      </c>
      <c r="N29" s="422" t="str">
        <f ca="1">IFERROR(IF(VLOOKUP(M28,OFFSET($AG$2,,,COUNTIF($AG$2:$AG$50,"?*"),23),2,FALSE)&lt;&gt;0,YEAR(VLOOKUP(M28,OFFSET($AG$2,,,COUNTIF($AG$2:$AG$50,"?*"),23),2,FALSE)),""),"")</f>
        <v/>
      </c>
      <c r="O29" s="423"/>
      <c r="P29" s="117" t="str">
        <f ca="1">IFERROR(VLOOKUP(M28,OFFSET($AG$2,,,COUNTIF($AG$2:$AG$50,"?*"),23),15,FALSE),"")</f>
        <v/>
      </c>
      <c r="Q29" s="424" t="str">
        <f ca="1">IFERROR(VLOOKUP(M28,OFFSET($AG$2,,,COUNTIF($AG$2:$AG$50,"?*"),23),16,FALSE),"")</f>
        <v/>
      </c>
      <c r="R29" s="425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7"/>
      <c r="BT29" s="104" t="s">
        <v>1216</v>
      </c>
      <c r="BU29" s="103">
        <v>7</v>
      </c>
      <c r="BV29" s="104" t="str">
        <f t="shared" si="13"/>
        <v>Lukáš Lhota</v>
      </c>
      <c r="BW29" s="102">
        <f t="shared" si="14"/>
        <v>7</v>
      </c>
    </row>
    <row r="30" spans="1:75" ht="15" customHeight="1" x14ac:dyDescent="0.2">
      <c r="A30" s="458" t="str">
        <f ca="1">IFERROR(VLOOKUP(A28,OFFSET($AG$2,,,COUNTIF($AG$2:$AG$50,"?*"),23),18,FALSE),"")</f>
        <v/>
      </c>
      <c r="B30" s="459"/>
      <c r="C30" s="459"/>
      <c r="D30" s="460" t="str">
        <f ca="1">IFERROR(VLOOKUP(A28,OFFSET($AG$2,,,COUNTIF($AG$2:$AG$50,"?*"),23),19,FALSE),"")</f>
        <v/>
      </c>
      <c r="E30" s="460"/>
      <c r="F30" s="461"/>
      <c r="H30" s="462" t="str">
        <f>H$8</f>
        <v>HAT</v>
      </c>
      <c r="I30" s="462"/>
      <c r="J30" s="462"/>
      <c r="K30" s="462"/>
      <c r="M30" s="458" t="str">
        <f ca="1">IFERROR(VLOOKUP(M28,OFFSET($AG$2,,,COUNTIF($AG$2:$AG$50,"?*"),23),18,FALSE),"")</f>
        <v/>
      </c>
      <c r="N30" s="459"/>
      <c r="O30" s="459"/>
      <c r="P30" s="460" t="str">
        <f ca="1">IFERROR(VLOOKUP(M28,OFFSET($AG$2,,,COUNTIF($AG$2:$AG$50,"?*"),23),19,FALSE),"")</f>
        <v/>
      </c>
      <c r="Q30" s="460"/>
      <c r="R30" s="46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7"/>
      <c r="BT30" s="104" t="s">
        <v>1208</v>
      </c>
      <c r="BU30" s="103">
        <v>6</v>
      </c>
      <c r="BV30" s="104" t="str">
        <f t="shared" si="13"/>
        <v>Lukáš Jalový</v>
      </c>
      <c r="BW30" s="102">
        <f t="shared" si="14"/>
        <v>6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/>
      </c>
      <c r="B31" s="447"/>
      <c r="C31" s="448"/>
      <c r="D31" s="449" t="str">
        <f ca="1">IFERROR(IF(VLOOKUP(A28,OFFSET($AG$2,,,COUNTIF($AG$2:$AG$50,"?*"),23),14,FALSE)&lt;&gt;0,VLOOKUP(A28,OFFSET($AG$2,,,COUNTIF($AG$2:$AG$50,"?*"),23),14,FALSE),"?"),"")</f>
        <v/>
      </c>
      <c r="E31" s="450"/>
      <c r="F31" s="7" t="str">
        <f ca="1">IFERROR(IF(VLOOKUP(A28,OFFSET($AG$2,,,COUNTIF($AG$2:$AG$50,"?*"),23),7,FALSE)&lt;&gt;0,VLOOKUP(A28,OFFSET($AG$2,,,COUNTIF($AG$2:$AG$50,"?*"),23),7,FALSE),"?"),"")</f>
        <v/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/>
      </c>
      <c r="N31" s="447"/>
      <c r="O31" s="448"/>
      <c r="P31" s="449" t="str">
        <f ca="1">IFERROR(IF(VLOOKUP(M28,OFFSET($AG$2,,,COUNTIF($AG$2:$AG$50,"?*"),23),14,FALSE)&lt;&gt;0,VLOOKUP(M28,OFFSET($AG$2,,,COUNTIF($AG$2:$AG$50,"?*"),23),14,FALSE),"?"),"")</f>
        <v/>
      </c>
      <c r="Q31" s="4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7"/>
      <c r="BT31" s="104" t="s">
        <v>1066</v>
      </c>
      <c r="BU31" s="103">
        <v>4</v>
      </c>
      <c r="BV31" s="104" t="str">
        <f t="shared" si="13"/>
        <v>Jakub Procházka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9"/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7" t="s">
        <v>16</v>
      </c>
      <c r="J34" s="429"/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2" t="str">
        <f ca="1">IFERROR(IF(VLOOKUP(A34,OFFSET($AG$2,,,COUNTIF($AG$2:$AG$50,"?*"),23),2,FALSE)&lt;&gt;0,YEAR(VLOOKUP(A34,OFFSET($AG$2,,,COUNTIF($AG$2:$AG$50,"?*"),23),2,FALSE)),""),"")</f>
        <v/>
      </c>
      <c r="C35" s="423"/>
      <c r="D35" s="117" t="str">
        <f ca="1">IFERROR(VLOOKUP(A34,OFFSET($AG$2,,,COUNTIF($AG$2:$AG$50,"?*"),23),15,FALSE),"")</f>
        <v/>
      </c>
      <c r="E35" s="424" t="str">
        <f ca="1">IFERROR(VLOOKUP(A34,OFFSET($AG$2,,,COUNTIF($AG$2:$AG$50,"?*"),23),16,FALSE),"")</f>
        <v/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/>
      </c>
      <c r="K35" s="423" t="str">
        <f ca="1">IFERROR(IF(VLOOKUP(J34,OFFSET($AG$2,,,COUNTIF($AG$2:$AG$50,"?*"),23),2,FALSE)&lt;&gt;0,YEAR(VLOOKUP(J34,OFFSET($AG$2,,,COUNTIF($AG$2:$AG$50,"?*"),23),2,FALSE)),""),"")</f>
        <v/>
      </c>
      <c r="L35" s="431"/>
      <c r="M35" s="118" t="str">
        <f ca="1">IFERROR(VLOOKUP(J34,OFFSET($AG$2,,,COUNTIF($AG$2:$AG$50,"?*"),23),15,FALSE),"")</f>
        <v/>
      </c>
      <c r="N35" s="431" t="str">
        <f ca="1">IFERROR(VLOOKUP(J34,OFFSET($AG$2,,,COUNTIF($AG$2:$AG$50,"?*"),23),16,FALSE),"")</f>
        <v/>
      </c>
      <c r="O35" s="431"/>
      <c r="P35" s="431" t="str">
        <f ca="1">IFERROR(VLOOKUP(J34,OFFSET($AG$2,,,COUNTIF($AG$2:$AG$50,"?*"),23),18,FALSE),"")</f>
        <v/>
      </c>
      <c r="Q35" s="431"/>
      <c r="R35" s="43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6" t="str">
        <f ca="1">IFERROR(VLOOKUP(A34,OFFSET($AG$2,,,COUNTIF($AG$2:$AG$50,"?*"),23),18,FALSE),"")</f>
        <v/>
      </c>
      <c r="C36" s="426"/>
      <c r="D36" s="427" t="str">
        <f ca="1">IFERROR(VLOOKUP(A34,OFFSET($S$45,,,COUNTIF($S$45:$S$50,"?*"),14),5,FALSE),"")</f>
        <v/>
      </c>
      <c r="E36" s="428"/>
      <c r="F36" s="17" t="str">
        <f ca="1">IFERROR(VLOOKUP(A34,OFFSET($S$45,,,COUNTIF($S$45:$S$50,"?*"),14),14,FALSE),"")</f>
        <v/>
      </c>
      <c r="H36" s="457"/>
      <c r="J36" s="18" t="str">
        <f ca="1">IFERROR(IF(VLOOKUP(J34,OFFSET($AG$2,,,COUNTIF($AG$2:$AG$50,"?*"),23),7,FALSE)&lt;&gt;0,VLOOKUP(J34,OFFSET($AG$2,,,COUNTIF($AG$2:$AG$50,"?*"),23),7,FALSE),"?"),"")</f>
        <v/>
      </c>
      <c r="K36" s="433" t="str">
        <f ca="1">IFERROR(VLOOKUP(J34,OFFSET($AG$2,,,COUNTIF($AG$2:$AG$50,"?*"),23),19,FALSE),"")</f>
        <v/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/>
      </c>
      <c r="O36" s="434"/>
      <c r="P36" s="434"/>
      <c r="Q36" s="433" t="str">
        <f ca="1">IFERROR(IF(VLOOKUP(J34,OFFSET($AG$2,,,COUNTIF($AG$2:$AG$50,"?*"),23),14,FALSE)&lt;&gt;0,VLOOKUP(J34,OFFSET($AG$2,,,COUNTIF($AG$2:$AG$50,"?*"),23),14,FALSE),"?"),"")</f>
        <v/>
      </c>
      <c r="R36" s="43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1" t="str">
        <f ca="1">IFERROR(VLOOKUP(A34,OFFSET($S$45,,,COUNTIF($S$45:$S$50,"?*"),14),3,FALSE),"")</f>
        <v/>
      </c>
      <c r="B37" s="452"/>
      <c r="C37" s="453" t="str">
        <f ca="1">IFERROR(VLOOKUP(A34,OFFSET($S$45,,,COUNTIF($S$45:$S$50,"?*"),14),13,FALSE),"")</f>
        <v/>
      </c>
      <c r="D37" s="454"/>
      <c r="E37" s="455" t="str">
        <f ca="1">IFERROR(VLOOKUP(A34,OFFSET($AG$2,,,COUNTIF($AG$2:$AG$50,"?*"),23),19,FALSE),"")</f>
        <v/>
      </c>
      <c r="F37" s="456"/>
      <c r="H37" s="45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/>
      </c>
      <c r="B38" s="447"/>
      <c r="C38" s="448"/>
      <c r="D38" s="449" t="str">
        <f ca="1">IFERROR(IF(VLOOKUP(A34,OFFSET($AG$2,,,COUNTIF($AG$2:$AG$50,"?*"),23),14,FALSE)&lt;&gt;0,VLOOKUP(A34,OFFSET($AG$2,,,COUNTIF($AG$2:$AG$50,"?*"),23),14,FALSE),"?"),"")</f>
        <v/>
      </c>
      <c r="E38" s="450"/>
      <c r="F38" s="19" t="str">
        <f ca="1">IFERROR(VLOOKUP(A34,OFFSET($S$45,,,COUNTIF($S$45:$S$50,"?*"),14),6,FALSE),"")</f>
        <v/>
      </c>
      <c r="H38" s="457"/>
      <c r="J38" s="429"/>
      <c r="K38" s="430"/>
      <c r="L38" s="430"/>
      <c r="M38" s="430"/>
      <c r="N38" s="430"/>
      <c r="O38" s="430"/>
      <c r="P38" s="4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/>
      </c>
      <c r="K39" s="423" t="str">
        <f ca="1">IFERROR(IF(VLOOKUP(J38,OFFSET($AG$2,,,COUNTIF($AG$2:$AG$50,"?*"),23),2,FALSE)&lt;&gt;0,YEAR(VLOOKUP(J38,OFFSET($AG$2,,,COUNTIF($AG$2:$AG$50,"?*"),23),2,FALSE)),""),"")</f>
        <v/>
      </c>
      <c r="L39" s="431"/>
      <c r="M39" s="150" t="str">
        <f ca="1">IFERROR(VLOOKUP(J38,OFFSET($AG$2,,,COUNTIF($AG$2:$AG$50,"?*"),23),15,FALSE),"")</f>
        <v/>
      </c>
      <c r="N39" s="431" t="str">
        <f ca="1">IFERROR(VLOOKUP(J38,OFFSET($AG$2,,,COUNTIF($AG$2:$AG$50,"?*"),23),16,FALSE),"")</f>
        <v/>
      </c>
      <c r="O39" s="431"/>
      <c r="P39" s="431" t="str">
        <f ca="1">IFERROR(VLOOKUP(J38,OFFSET($AG$2,,,COUNTIF($AG$2:$AG$50,"?*"),23),18,FALSE),"")</f>
        <v/>
      </c>
      <c r="Q39" s="431"/>
      <c r="R39" s="43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9"/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7"/>
      <c r="J40" s="18" t="str">
        <f ca="1">IFERROR(IF(VLOOKUP(J38,OFFSET($AG$2,,,COUNTIF($AG$2:$AG$50,"?*"),23),7,FALSE)&lt;&gt;0,VLOOKUP(J38,OFFSET($AG$2,,,COUNTIF($AG$2:$AG$50,"?*"),23),7,FALSE),"?"),"")</f>
        <v/>
      </c>
      <c r="K40" s="433" t="str">
        <f ca="1">IFERROR(VLOOKUP(J38,OFFSET($AG$2,,,COUNTIF($AG$2:$AG$50,"?*"),23),19,FALSE),"")</f>
        <v/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/>
      </c>
      <c r="O40" s="434"/>
      <c r="P40" s="434"/>
      <c r="Q40" s="433" t="str">
        <f ca="1">IFERROR(IF(VLOOKUP(J38,OFFSET($AG$2,,,COUNTIF($AG$2:$AG$50,"?*"),23),14,FALSE)&lt;&gt;0,VLOOKUP(J38,OFFSET($AG$2,,,COUNTIF($AG$2:$AG$50,"?*"),23),14,FALSE),"?"),"")</f>
        <v/>
      </c>
      <c r="R40" s="43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2" t="str">
        <f ca="1">IFERROR(IF(VLOOKUP(A40,OFFSET($AG$2,,,COUNTIF($AG$2:$AG$50,"?*"),23),2,FALSE)&lt;&gt;0,YEAR(VLOOKUP(A40,OFFSET($AG$2,,,COUNTIF($AG$2:$AG$50,"?*"),23),2,FALSE)),""),"")</f>
        <v/>
      </c>
      <c r="C41" s="423"/>
      <c r="D41" s="117" t="str">
        <f ca="1">IFERROR(VLOOKUP(A40,OFFSET($AG$2,,,COUNTIF($AG$2:$AG$50,"?*"),23),15,FALSE),"")</f>
        <v/>
      </c>
      <c r="E41" s="424" t="str">
        <f ca="1">IFERROR(VLOOKUP(A40,OFFSET($AG$2,,,COUNTIF($AG$2:$AG$50,"?*"),23),16,FALSE),"")</f>
        <v/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6" t="str">
        <f ca="1">IFERROR(VLOOKUP(A40,OFFSET($AG$2,,,COUNTIF($AG$2:$AG$50,"?*"),23),18,FALSE),"")</f>
        <v/>
      </c>
      <c r="C42" s="426"/>
      <c r="D42" s="427" t="str">
        <f ca="1">IFERROR(VLOOKUP(A40,OFFSET($S$45,,,COUNTIF($S$45:$S$50,"?*"),14),5,FALSE),"")</f>
        <v/>
      </c>
      <c r="E42" s="428"/>
      <c r="F42" s="17" t="str">
        <f ca="1">IFERROR(VLOOKUP(A40,OFFSET($S$45,,,COUNTIF($S$45:$S$50,"?*"),14),14,FALSE),"")</f>
        <v/>
      </c>
      <c r="H42" s="457"/>
      <c r="J42" s="429"/>
      <c r="K42" s="430"/>
      <c r="L42" s="430"/>
      <c r="M42" s="430"/>
      <c r="N42" s="430"/>
      <c r="O42" s="430"/>
      <c r="P42" s="4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1" t="str">
        <f ca="1">IFERROR(VLOOKUP(A40,OFFSET($S$45,,,COUNTIF($S$45:$S$50,"?*"),14),3,FALSE),"")</f>
        <v/>
      </c>
      <c r="B43" s="452"/>
      <c r="C43" s="453" t="str">
        <f ca="1">IFERROR(VLOOKUP(A40,OFFSET($S$45,,,COUNTIF($S$45:$S$50,"?*"),14),13,FALSE),"")</f>
        <v/>
      </c>
      <c r="D43" s="454"/>
      <c r="E43" s="455" t="str">
        <f ca="1">IFERROR(VLOOKUP(A40,OFFSET($AG$2,,,COUNTIF($AG$2:$AG$50,"?*"),23),19,FALSE),"")</f>
        <v/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/>
      </c>
      <c r="K43" s="423" t="str">
        <f ca="1">IFERROR(IF(VLOOKUP(J42,OFFSET($AG$2,,,COUNTIF($AG$2:$AG$50,"?*"),23),2,FALSE)&lt;&gt;0,YEAR(VLOOKUP(J42,OFFSET($AG$2,,,COUNTIF($AG$2:$AG$50,"?*"),23),2,FALSE)),""),"")</f>
        <v/>
      </c>
      <c r="L43" s="431"/>
      <c r="M43" s="150" t="str">
        <f ca="1">IFERROR(VLOOKUP(J42,OFFSET($AG$2,,,COUNTIF($AG$2:$AG$50,"?*"),23),15,FALSE),"")</f>
        <v/>
      </c>
      <c r="N43" s="431" t="str">
        <f ca="1">IFERROR(VLOOKUP(J42,OFFSET($AG$2,,,COUNTIF($AG$2:$AG$50,"?*"),23),16,FALSE),"")</f>
        <v/>
      </c>
      <c r="O43" s="431"/>
      <c r="P43" s="431" t="str">
        <f ca="1">IFERROR(VLOOKUP(J42,OFFSET($AG$2,,,COUNTIF($AG$2:$AG$50,"?*"),23),18,FALSE),"")</f>
        <v/>
      </c>
      <c r="Q43" s="431"/>
      <c r="R43" s="432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/>
      </c>
      <c r="B44" s="447"/>
      <c r="C44" s="448"/>
      <c r="D44" s="449" t="str">
        <f ca="1">IFERROR(IF(VLOOKUP(A40,OFFSET($AG$2,,,COUNTIF($AG$2:$AG$50,"?*"),23),14,FALSE)&lt;&gt;0,VLOOKUP(A40,OFFSET($AG$2,,,COUNTIF($AG$2:$AG$50,"?*"),23),14,FALSE),"?"),"")</f>
        <v/>
      </c>
      <c r="E44" s="450"/>
      <c r="F44" s="19" t="str">
        <f ca="1">IFERROR(VLOOKUP(A40,OFFSET($S$45,,,COUNTIF($S$45:$S$50,"?*"),14),6,FALSE),"")</f>
        <v/>
      </c>
      <c r="H44" s="457"/>
      <c r="J44" s="18" t="str">
        <f ca="1">IFERROR(IF(VLOOKUP(J42,OFFSET($AG$2,,,COUNTIF($AG$2:$AG$50,"?*"),23),7,FALSE)&lt;&gt;0,VLOOKUP(J42,OFFSET($AG$2,,,COUNTIF($AG$2:$AG$50,"?*"),23),7,FALSE),"?"),"")</f>
        <v/>
      </c>
      <c r="K44" s="433" t="str">
        <f ca="1">IFERROR(VLOOKUP(J42,OFFSET($AG$2,,,COUNTIF($AG$2:$AG$50,"?*"),23),19,FALSE),"")</f>
        <v/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/>
      </c>
      <c r="O44" s="434"/>
      <c r="P44" s="434"/>
      <c r="Q44" s="433" t="str">
        <f ca="1">IFERROR(IF(VLOOKUP(J42,OFFSET($AG$2,,,COUNTIF($AG$2:$AG$50,"?*"),23),14,FALSE)&lt;&gt;0,VLOOKUP(J42,OFFSET($AG$2,,,COUNTIF($AG$2:$AG$50,"?*"),23),14,FALSE),"?"),"")</f>
        <v/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501</v>
      </c>
      <c r="T45" s="102">
        <v>6</v>
      </c>
      <c r="U45" s="112">
        <v>356.7</v>
      </c>
      <c r="V45" s="102">
        <v>1</v>
      </c>
      <c r="W45" s="102">
        <v>41</v>
      </c>
      <c r="X45" s="102">
        <v>0</v>
      </c>
      <c r="Y45" s="102">
        <v>148</v>
      </c>
      <c r="Z45" s="102">
        <v>0</v>
      </c>
      <c r="AA45" s="102">
        <v>5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6.8965517241379315</v>
      </c>
      <c r="AF45" s="112">
        <f>IF(S45&lt;&gt;"",IF(Y45&gt;0,(AB45/Y45)*100,"-"),"")</f>
        <v>72.297297297297305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703</v>
      </c>
      <c r="T46" s="102">
        <v>3</v>
      </c>
      <c r="U46" s="112">
        <v>129.41999999999999</v>
      </c>
      <c r="V46" s="102">
        <v>0</v>
      </c>
      <c r="W46" s="102">
        <v>16</v>
      </c>
      <c r="X46" s="102">
        <v>0</v>
      </c>
      <c r="Y46" s="102">
        <v>53</v>
      </c>
      <c r="Z46" s="102">
        <v>0</v>
      </c>
      <c r="AA46" s="102">
        <v>3</v>
      </c>
      <c r="AB46" s="102">
        <v>37</v>
      </c>
      <c r="AC46" s="102">
        <v>0</v>
      </c>
      <c r="AD46" s="102">
        <v>0</v>
      </c>
      <c r="AE46" s="112">
        <f t="shared" ref="AE46:AE50" si="25">IF(S46&lt;&gt;"",IF(T46&gt;0,W46/(U46/60),0),"")</f>
        <v>7.4177097821047768</v>
      </c>
      <c r="AF46" s="112">
        <f t="shared" ref="AF46:AF50" si="26">IF(S46&lt;&gt;"",IF(Y46&gt;0,(AB46/Y46)*100,"-"),"")</f>
        <v>69.811320754716974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8"/>
      <c r="B47" s="419"/>
      <c r="C47" s="419"/>
      <c r="D47" s="419"/>
      <c r="E47" s="420" t="str">
        <f ca="1">IFERROR(VLOOKUP(A47,OFFSET($BN$2,,,COUNTIF($BN$2:$BN$11,"?*"),5),3,FALSE),"")</f>
        <v/>
      </c>
      <c r="F47" s="420"/>
      <c r="G47" s="420"/>
      <c r="H47" s="420"/>
      <c r="I47" s="421"/>
      <c r="J47" s="418"/>
      <c r="K47" s="419"/>
      <c r="L47" s="419"/>
      <c r="M47" s="419"/>
      <c r="N47" s="420" t="str">
        <f ca="1">IFERROR(VLOOKUP(J47,OFFSET($BN$2,,,COUNTIF($BN$2:$BN$11,"?*"),5),3,FALSE),"")</f>
        <v/>
      </c>
      <c r="O47" s="420"/>
      <c r="P47" s="420"/>
      <c r="Q47" s="420"/>
      <c r="R47" s="421"/>
      <c r="S47" s="111" t="s">
        <v>714</v>
      </c>
      <c r="T47" s="102">
        <v>3</v>
      </c>
      <c r="U47" s="112">
        <v>171.53</v>
      </c>
      <c r="V47" s="102">
        <v>0</v>
      </c>
      <c r="W47" s="102">
        <v>26</v>
      </c>
      <c r="X47" s="102">
        <v>0</v>
      </c>
      <c r="Y47" s="102">
        <v>70</v>
      </c>
      <c r="Z47" s="102">
        <v>0</v>
      </c>
      <c r="AA47" s="102">
        <v>3</v>
      </c>
      <c r="AB47" s="102">
        <v>44</v>
      </c>
      <c r="AC47" s="102">
        <v>0</v>
      </c>
      <c r="AD47" s="102">
        <v>0</v>
      </c>
      <c r="AE47" s="112">
        <f t="shared" si="25"/>
        <v>9.0946190170815591</v>
      </c>
      <c r="AF47" s="112">
        <f t="shared" si="26"/>
        <v>62.857142857142854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6" t="str">
        <f ca="1">IFERROR(VLOOKUP(A47,OFFSET($BN$2,,,COUNTIF($BN$2:$BN$11,"?*"),5),5,FALSE),"")</f>
        <v/>
      </c>
      <c r="B48" s="438" t="str">
        <f ca="1">IFERROR(IF(VLOOKUP(A47,OFFSET($BN$2,,,COUNTIF($BN$2:$BN$11,"?*"),5),4,FALSE)&lt;&gt;0,VLOOKUP(A47,OFFSET($BN$2,,,COUNTIF($BN$2:$BN$11,"?*"),5),4,FALSE),"-"),"")</f>
        <v/>
      </c>
      <c r="C48" s="438"/>
      <c r="D48" s="438"/>
      <c r="E48" s="438"/>
      <c r="F48" s="438"/>
      <c r="G48" s="438"/>
      <c r="H48" s="438"/>
      <c r="I48" s="439"/>
      <c r="J48" s="119" t="str">
        <f ca="1">IFERROR(VLOOKUP(J47,OFFSET($BN$2,,,COUNTIF($BN$2:$BN$11,"?*"),5),5,FALSE),"")</f>
        <v/>
      </c>
      <c r="K48" s="442" t="str">
        <f ca="1">IFERROR(IF(VLOOKUP(J47,OFFSET($BN$2,,,COUNTIF($BN$2:$BN$11,"?*"),5),4,FALSE)&lt;&gt;0,VLOOKUP(J47,OFFSET($BN$2,,,COUNTIF($BN$2:$BN$11,"?*"),5),4,FALSE),"-"),"")</f>
        <v/>
      </c>
      <c r="L48" s="442"/>
      <c r="M48" s="442"/>
      <c r="N48" s="442"/>
      <c r="O48" s="442"/>
      <c r="P48" s="442"/>
      <c r="Q48" s="442"/>
      <c r="R48" s="443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/>
      <c r="K49" s="445"/>
      <c r="L49" s="445"/>
      <c r="M49" s="445"/>
      <c r="N49" s="420" t="str">
        <f ca="1">IFERROR(VLOOKUP(J49,OFFSET($BN$2,,,COUNTIF($BN$2:$BN$11,"?*"),5),3,FALSE),"")</f>
        <v/>
      </c>
      <c r="O49" s="420"/>
      <c r="P49" s="420"/>
      <c r="Q49" s="420"/>
      <c r="R49" s="421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119" t="str">
        <f ca="1">IFERROR(VLOOKUP(J49,OFFSET($BN$2,,,COUNTIF($BN$2:$BN$11,"?*"),5),5,FALSE),"")</f>
        <v/>
      </c>
      <c r="K50" s="442" t="str">
        <f ca="1">IFERROR(IF(VLOOKUP(J49,OFFSET($BN$2,,,COUNTIF($BN$2:$BN$11,"?*"),5),4,FALSE)&lt;&gt;0,VLOOKUP(J49,OFFSET($BN$2,,,COUNTIF($BN$2:$BN$11,"?*"),5),4,FALSE),"-"),"")</f>
        <v/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A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A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A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A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/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3" t="s">
        <v>1</v>
      </c>
      <c r="I1" s="463"/>
      <c r="J1" s="463"/>
      <c r="K1" s="463"/>
      <c r="M1" s="429"/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2" t="str">
        <f ca="1">IFERROR(IF(VLOOKUP(A1,OFFSET($AG$2,,,COUNTIF($AG$2:$AG$50,"?*"),23),2,FALSE)&lt;&gt;0,YEAR(VLOOKUP(A1,OFFSET($AG$2,,,COUNTIF($AG$2:$AG$50,"?*"),23),2,FALSE)),""),"")</f>
        <v/>
      </c>
      <c r="C2" s="423"/>
      <c r="D2" s="117" t="str">
        <f ca="1">IFERROR(VLOOKUP(A1,OFFSET($AG$2,,,COUNTIF($AG$2:$AG$50,"?*"),23),15,FALSE),"")</f>
        <v/>
      </c>
      <c r="E2" s="424" t="str">
        <f ca="1">IFERROR(VLOOKUP(A1,OFFSET($AG$2,,,COUNTIF($AG$2:$AG$50,"?*"),23),16,FALSE),"")</f>
        <v/>
      </c>
      <c r="F2" s="425"/>
      <c r="M2" s="4" t="str">
        <f ca="1">IFERROR(IF(VLOOKUP(M1,OFFSET($AG$2,,,COUNTIF($AG$2:$AG$50,"?*"),23),10,FALSE)&lt;&gt;0,VLOOKUP(M1,OFFSET($AG$2,,,COUNTIF($AG$2:$AG$50,"?*"),23),10,FALSE),""),"")</f>
        <v/>
      </c>
      <c r="N2" s="422" t="str">
        <f ca="1">IFERROR(IF(VLOOKUP(M1,OFFSET($AG$2,,,COUNTIF($AG$2:$AG$50,"?*"),23),2,FALSE)&lt;&gt;0,YEAR(VLOOKUP(M1,OFFSET($AG$2,,,COUNTIF($AG$2:$AG$50,"?*"),23),2,FALSE)),""),"")</f>
        <v/>
      </c>
      <c r="O2" s="423"/>
      <c r="P2" s="117" t="str">
        <f ca="1">IFERROR(VLOOKUP(M1,OFFSET($AG$2,,,COUNTIF($AG$2:$AG$50,"?*"),23),15,FALSE),"")</f>
        <v/>
      </c>
      <c r="Q2" s="424" t="str">
        <f ca="1">IFERROR(VLOOKUP(M1,OFFSET($AG$2,,,COUNTIF($AG$2:$AG$50,"?*"),23),16,FALSE),"")</f>
        <v/>
      </c>
      <c r="R2" s="425"/>
      <c r="S2" s="110" t="s">
        <v>253</v>
      </c>
      <c r="T2" s="102" t="s">
        <v>107</v>
      </c>
      <c r="U2" s="102">
        <v>11</v>
      </c>
      <c r="V2" s="102">
        <v>14</v>
      </c>
      <c r="W2" s="102">
        <v>0</v>
      </c>
      <c r="X2" s="102">
        <v>2</v>
      </c>
      <c r="Y2" s="102">
        <v>15</v>
      </c>
      <c r="Z2" s="102">
        <v>29</v>
      </c>
      <c r="AA2" s="102">
        <v>0</v>
      </c>
      <c r="AB2" s="102">
        <v>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262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283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11 (5+6), +11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219 OZ, 188 (98+90)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299</v>
      </c>
      <c r="BO2" s="122">
        <v>31582</v>
      </c>
      <c r="BP2" s="131" t="s">
        <v>236</v>
      </c>
      <c r="BQ2" s="132" t="s">
        <v>300</v>
      </c>
      <c r="BR2" s="127">
        <f ca="1">IF(BN2&lt;&gt;"",IF(BO2&lt;&gt;"",INT((TODAY()-BO2)/365),"?"),"")</f>
        <v>35</v>
      </c>
      <c r="BS2" s="417" t="s">
        <v>36</v>
      </c>
      <c r="BT2" s="104" t="s">
        <v>770</v>
      </c>
      <c r="BU2" s="103">
        <v>29</v>
      </c>
      <c r="BV2" s="104" t="str">
        <f>IFERROR(RIGHT(BT2,LEN(BT2)-SEARCH(" ",BT2)),"")</f>
        <v>Marek Vávra</v>
      </c>
      <c r="BW2" s="102">
        <f>IF(BT2&lt;&gt;0,_xlfn.NUMBERVALUE(BU2,","),"")</f>
        <v>29</v>
      </c>
      <c r="BX2" s="416" t="s">
        <v>192</v>
      </c>
      <c r="BY2" s="103" t="s">
        <v>861</v>
      </c>
      <c r="BZ2" s="103" t="s">
        <v>865</v>
      </c>
      <c r="CA2" s="115" t="s">
        <v>1226</v>
      </c>
    </row>
    <row r="3" spans="1:79" ht="15" customHeight="1" thickTop="1" thickBot="1" x14ac:dyDescent="0.25">
      <c r="A3" s="458" t="str">
        <f ca="1">IFERROR(VLOOKUP(A1,OFFSET($AG$2,,,COUNTIF($AG$2:$AG$50,"?*"),23),18,FALSE),"")</f>
        <v/>
      </c>
      <c r="B3" s="459"/>
      <c r="C3" s="459"/>
      <c r="D3" s="460" t="str">
        <f ca="1">IFERROR(VLOOKUP(A1,OFFSET($AG$2,,,COUNTIF($AG$2:$AG$50,"?*"),23),19,FALSE),"")</f>
        <v/>
      </c>
      <c r="E3" s="460"/>
      <c r="F3" s="461"/>
      <c r="G3" s="429"/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8" t="str">
        <f ca="1">IFERROR(VLOOKUP(M1,OFFSET($AG$2,,,COUNTIF($AG$2:$AG$50,"?*"),23),18,FALSE),"")</f>
        <v/>
      </c>
      <c r="N3" s="459"/>
      <c r="O3" s="459"/>
      <c r="P3" s="460" t="str">
        <f ca="1">IFERROR(VLOOKUP(M1,OFFSET($AG$2,,,COUNTIF($AG$2:$AG$50,"?*"),23),19,FALSE),"")</f>
        <v/>
      </c>
      <c r="Q3" s="460"/>
      <c r="R3" s="461"/>
      <c r="S3" s="110" t="s">
        <v>256</v>
      </c>
      <c r="T3" s="102" t="s">
        <v>107</v>
      </c>
      <c r="U3" s="102">
        <v>11</v>
      </c>
      <c r="V3" s="102">
        <v>14</v>
      </c>
      <c r="W3" s="102">
        <v>2</v>
      </c>
      <c r="X3" s="102">
        <v>0</v>
      </c>
      <c r="Y3" s="102">
        <v>14</v>
      </c>
      <c r="Z3" s="102">
        <v>28</v>
      </c>
      <c r="AA3" s="102">
        <v>2</v>
      </c>
      <c r="AB3" s="102">
        <v>15</v>
      </c>
      <c r="AC3" s="102" t="str">
        <f t="shared" ca="1" si="0"/>
        <v>ANO</v>
      </c>
      <c r="AG3" s="121" t="s">
        <v>270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137</v>
      </c>
      <c r="AQ3" s="123">
        <v>182</v>
      </c>
      <c r="AR3" s="123">
        <v>76</v>
      </c>
      <c r="AS3" s="126" t="s">
        <v>64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2 OZ, 0 (0+0), 0 ±</v>
      </c>
      <c r="AY3" s="129" t="str">
        <f t="shared" ca="1" si="2"/>
        <v>61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301</v>
      </c>
      <c r="BO3" s="122">
        <v>26801</v>
      </c>
      <c r="BP3" s="131" t="s">
        <v>237</v>
      </c>
      <c r="BQ3" s="132" t="s">
        <v>302</v>
      </c>
      <c r="BR3" s="127">
        <f t="shared" ref="BR3:BR11" ca="1" si="12">IF(BN3&lt;&gt;"",IF(BO3&lt;&gt;"",INT((TODAY()-BO3)/365),"?"),"")</f>
        <v>48</v>
      </c>
      <c r="BS3" s="417"/>
      <c r="BT3" s="104" t="s">
        <v>874</v>
      </c>
      <c r="BU3" s="103">
        <v>28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28</v>
      </c>
      <c r="BX3" s="416"/>
      <c r="BY3" s="103" t="s">
        <v>841</v>
      </c>
      <c r="BZ3" s="103" t="s">
        <v>831</v>
      </c>
      <c r="CA3" s="115" t="s">
        <v>1227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/>
      </c>
      <c r="B4" s="447"/>
      <c r="C4" s="448"/>
      <c r="D4" s="449" t="str">
        <f ca="1">IFERROR(IF(VLOOKUP(A1,OFFSET($AG$2,,,COUNTIF($AG$2:$AG$50,"?*"),23),14,FALSE)&lt;&gt;0,VLOOKUP(A1,OFFSET($AG$2,,,COUNTIF($AG$2:$AG$50,"?*"),23),14,FALSE),"?"),"")</f>
        <v/>
      </c>
      <c r="E4" s="4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2" t="str">
        <f ca="1">IFERROR(IF(VLOOKUP(G3,OFFSET($AG$2,,,COUNTIF($AG$2:$AG$50,"?*"),23),2,FALSE)&lt;&gt;0,YEAR(VLOOKUP(G3,OFFSET($AG$2,,,COUNTIF($AG$2:$AG$50,"?*"),23),2,FALSE)),""),"")</f>
        <v/>
      </c>
      <c r="I4" s="423"/>
      <c r="J4" s="117" t="str">
        <f ca="1">IFERROR(VLOOKUP(G3,OFFSET($AG$2,,,COUNTIF($AG$2:$AG$50,"?*"),23),15,FALSE),"")</f>
        <v/>
      </c>
      <c r="K4" s="424" t="str">
        <f ca="1">IFERROR(VLOOKUP(G3,OFFSET($AG$2,,,COUNTIF($AG$2:$AG$50,"?*"),23),16,FALSE),"")</f>
        <v/>
      </c>
      <c r="L4" s="425"/>
      <c r="M4" s="446" t="str">
        <f ca="1">IFERROR(IF(VLOOKUP(M1,OFFSET($AG$2,,,COUNTIF($AG$2:$AG$50,"?*"),23),13,FALSE)&lt;&gt;0,VLOOKUP(M1,OFFSET($AG$2,,,COUNTIF($AG$2:$AG$50,"?*"),23),13,FALSE),"?"),"")</f>
        <v/>
      </c>
      <c r="N4" s="447"/>
      <c r="O4" s="448"/>
      <c r="P4" s="449" t="str">
        <f ca="1">IFERROR(IF(VLOOKUP(M1,OFFSET($AG$2,,,COUNTIF($AG$2:$AG$50,"?*"),23),14,FALSE)&lt;&gt;0,VLOOKUP(M1,OFFSET($AG$2,,,COUNTIF($AG$2:$AG$50,"?*"),23),14,FALSE),"?"),"")</f>
        <v/>
      </c>
      <c r="Q4" s="4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259</v>
      </c>
      <c r="T4" s="102" t="s">
        <v>107</v>
      </c>
      <c r="U4" s="102">
        <v>10</v>
      </c>
      <c r="V4" s="102">
        <v>9</v>
      </c>
      <c r="W4" s="102">
        <v>5</v>
      </c>
      <c r="X4" s="102">
        <v>0</v>
      </c>
      <c r="Y4" s="102">
        <v>9</v>
      </c>
      <c r="Z4" s="102">
        <v>18</v>
      </c>
      <c r="AA4" s="102">
        <v>2</v>
      </c>
      <c r="AB4" s="102">
        <v>10</v>
      </c>
      <c r="AC4" s="102" t="str">
        <f t="shared" ca="1" si="0"/>
        <v>ANO</v>
      </c>
      <c r="AG4" s="121" t="s">
        <v>271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137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8 OZ, 2 (2+0), -1 ±</v>
      </c>
      <c r="AY4" s="129" t="str">
        <f t="shared" ca="1" si="2"/>
        <v>17 OZ, 2 (2+0)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281</v>
      </c>
      <c r="BO4" s="122">
        <v>28909</v>
      </c>
      <c r="BP4" s="131" t="s">
        <v>237</v>
      </c>
      <c r="BQ4" s="132" t="s">
        <v>303</v>
      </c>
      <c r="BR4" s="127">
        <f t="shared" ca="1" si="12"/>
        <v>42</v>
      </c>
      <c r="BS4" s="417"/>
      <c r="BT4" s="104" t="s">
        <v>1230</v>
      </c>
      <c r="BU4" s="103">
        <v>18</v>
      </c>
      <c r="BV4" s="104" t="str">
        <f t="shared" si="13"/>
        <v>Tom Ondrušek</v>
      </c>
      <c r="BW4" s="102">
        <f t="shared" si="14"/>
        <v>18</v>
      </c>
      <c r="BX4" s="416"/>
      <c r="BY4" s="103" t="s">
        <v>839</v>
      </c>
      <c r="BZ4" s="103" t="s">
        <v>873</v>
      </c>
      <c r="CA4" s="115" t="s">
        <v>1228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/>
      </c>
      <c r="H5" s="459"/>
      <c r="I5" s="459"/>
      <c r="J5" s="460" t="str">
        <f ca="1">IFERROR(VLOOKUP(G3,OFFSET($AG$2,,,COUNTIF($AG$2:$AG$50,"?*"),23),19,FALSE),"")</f>
        <v/>
      </c>
      <c r="K5" s="460"/>
      <c r="L5" s="461"/>
      <c r="S5" s="110" t="s">
        <v>252</v>
      </c>
      <c r="T5" s="102" t="s">
        <v>107</v>
      </c>
      <c r="U5" s="102">
        <v>11</v>
      </c>
      <c r="V5" s="102">
        <v>11</v>
      </c>
      <c r="W5" s="102">
        <v>1</v>
      </c>
      <c r="X5" s="102">
        <v>0</v>
      </c>
      <c r="Y5" s="102">
        <v>5</v>
      </c>
      <c r="Z5" s="102">
        <v>16</v>
      </c>
      <c r="AA5" s="102">
        <v>8</v>
      </c>
      <c r="AB5" s="102">
        <v>5</v>
      </c>
      <c r="AC5" s="102" t="str">
        <f t="shared" ca="1" si="0"/>
        <v>NE</v>
      </c>
      <c r="AG5" s="121" t="s">
        <v>260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137</v>
      </c>
      <c r="AQ5" s="123">
        <v>183</v>
      </c>
      <c r="AR5" s="123">
        <v>92</v>
      </c>
      <c r="AS5" s="126" t="s">
        <v>284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11 OZ, 13 (10+3), +13 ±</v>
      </c>
      <c r="AY5" s="129" t="str">
        <f t="shared" ca="1" si="2"/>
        <v>57 OZ, 38 (27+11)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304</v>
      </c>
      <c r="BO5" s="122">
        <v>31168</v>
      </c>
      <c r="BP5" s="131" t="s">
        <v>305</v>
      </c>
      <c r="BQ5" s="132" t="s">
        <v>306</v>
      </c>
      <c r="BR5" s="127">
        <f t="shared" ca="1" si="12"/>
        <v>36</v>
      </c>
      <c r="BS5" s="417"/>
      <c r="BT5" s="104" t="s">
        <v>1073</v>
      </c>
      <c r="BU5" s="103">
        <v>16</v>
      </c>
      <c r="BV5" s="104" t="str">
        <f t="shared" si="13"/>
        <v>Mikuláš Komárek</v>
      </c>
      <c r="BW5" s="102">
        <f t="shared" si="14"/>
        <v>16</v>
      </c>
      <c r="BX5" s="416"/>
      <c r="BY5" s="103" t="s">
        <v>872</v>
      </c>
      <c r="BZ5" s="103" t="s">
        <v>833</v>
      </c>
      <c r="CA5" s="115" t="s">
        <v>1068</v>
      </c>
    </row>
    <row r="6" spans="1:79" ht="15" customHeight="1" thickTop="1" thickBot="1" x14ac:dyDescent="0.25">
      <c r="A6" s="429"/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6" t="str">
        <f ca="1">IFERROR(IF(VLOOKUP(G3,OFFSET($AG$2,,,COUNTIF($AG$2:$AG$50,"?*"),23),13,FALSE)&lt;&gt;0,VLOOKUP(G3,OFFSET($AG$2,,,COUNTIF($AG$2:$AG$50,"?*"),23),13,FALSE),"?"),"")</f>
        <v/>
      </c>
      <c r="H6" s="447"/>
      <c r="I6" s="448"/>
      <c r="J6" s="449" t="str">
        <f ca="1">IFERROR(IF(VLOOKUP(G3,OFFSET($AG$2,,,COUNTIF($AG$2:$AG$50,"?*"),23),14,FALSE)&lt;&gt;0,VLOOKUP(G3,OFFSET($AG$2,,,COUNTIF($AG$2:$AG$50,"?*"),23),14,FALSE),"?"),"")</f>
        <v/>
      </c>
      <c r="K6" s="450"/>
      <c r="L6" s="7" t="str">
        <f ca="1">IFERROR(IF(VLOOKUP(G3,OFFSET($AG$2,,,COUNTIF($AG$2:$AG$50,"?*"),23),7,FALSE)&lt;&gt;0,VLOOKUP(G3,OFFSET($AG$2,,,COUNTIF($AG$2:$AG$50,"?*"),23),7,FALSE),"?"),"")</f>
        <v/>
      </c>
      <c r="M6" s="429"/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260</v>
      </c>
      <c r="T6" s="102" t="s">
        <v>107</v>
      </c>
      <c r="U6" s="102">
        <v>11</v>
      </c>
      <c r="V6" s="102">
        <v>10</v>
      </c>
      <c r="W6" s="102">
        <v>0</v>
      </c>
      <c r="X6" s="102">
        <v>1</v>
      </c>
      <c r="Y6" s="102">
        <v>3</v>
      </c>
      <c r="Z6" s="102">
        <v>13</v>
      </c>
      <c r="AA6" s="102">
        <v>4</v>
      </c>
      <c r="AB6" s="102">
        <v>13</v>
      </c>
      <c r="AC6" s="102" t="str">
        <f t="shared" ca="1" si="0"/>
        <v>ANO</v>
      </c>
      <c r="AG6" s="121" t="s">
        <v>272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285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6 V, 2 P</v>
      </c>
      <c r="AY6" s="129" t="str">
        <f t="shared" ca="1" si="2"/>
        <v>19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307</v>
      </c>
      <c r="BO6" s="122">
        <v>32514</v>
      </c>
      <c r="BP6" s="131" t="s">
        <v>308</v>
      </c>
      <c r="BQ6" s="132" t="s">
        <v>309</v>
      </c>
      <c r="BR6" s="127">
        <f t="shared" ca="1" si="12"/>
        <v>32</v>
      </c>
      <c r="BS6" s="417"/>
      <c r="BT6" s="104" t="s">
        <v>1231</v>
      </c>
      <c r="BU6" s="103">
        <v>13</v>
      </c>
      <c r="BV6" s="104" t="str">
        <f t="shared" si="13"/>
        <v>Daniel Eremiáš</v>
      </c>
      <c r="BW6" s="102">
        <f t="shared" si="14"/>
        <v>13</v>
      </c>
      <c r="BX6" s="416"/>
      <c r="BY6" s="103" t="s">
        <v>758</v>
      </c>
      <c r="BZ6" s="103" t="s">
        <v>857</v>
      </c>
      <c r="CA6" s="115" t="s">
        <v>1069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2" t="str">
        <f ca="1">IFERROR(IF(VLOOKUP(A6,OFFSET($AG$2,,,COUNTIF($AG$2:$AG$50,"?*"),23),2,FALSE)&lt;&gt;0,YEAR(VLOOKUP(A6,OFFSET($AG$2,,,COUNTIF($AG$2:$AG$50,"?*"),23),2,FALSE)),""),"")</f>
        <v/>
      </c>
      <c r="C7" s="423"/>
      <c r="D7" s="117" t="str">
        <f ca="1">IFERROR(VLOOKUP(A6,OFFSET($AG$2,,,COUNTIF($AG$2:$AG$50,"?*"),23),15,FALSE),"")</f>
        <v/>
      </c>
      <c r="E7" s="424" t="str">
        <f ca="1">IFERROR(VLOOKUP(A6,OFFSET($AG$2,,,COUNTIF($AG$2:$AG$50,"?*"),23),16,FALSE),"")</f>
        <v/>
      </c>
      <c r="F7" s="425"/>
      <c r="M7" s="4" t="str">
        <f ca="1">IFERROR(IF(VLOOKUP(M6,OFFSET($AG$2,,,COUNTIF($AG$2:$AG$50,"?*"),23),10,FALSE)&lt;&gt;0,VLOOKUP(M6,OFFSET($AG$2,,,COUNTIF($AG$2:$AG$50,"?*"),23),10,FALSE),""),"")</f>
        <v/>
      </c>
      <c r="N7" s="422" t="str">
        <f ca="1">IFERROR(IF(VLOOKUP(M6,OFFSET($AG$2,,,COUNTIF($AG$2:$AG$50,"?*"),23),2,FALSE)&lt;&gt;0,YEAR(VLOOKUP(M6,OFFSET($AG$2,,,COUNTIF($AG$2:$AG$50,"?*"),23),2,FALSE)),""),"")</f>
        <v/>
      </c>
      <c r="O7" s="423"/>
      <c r="P7" s="117" t="str">
        <f ca="1">IFERROR(VLOOKUP(M6,OFFSET($AG$2,,,COUNTIF($AG$2:$AG$50,"?*"),23),15,FALSE),"")</f>
        <v/>
      </c>
      <c r="Q7" s="424" t="str">
        <f ca="1">IFERROR(VLOOKUP(M6,OFFSET($AG$2,,,COUNTIF($AG$2:$AG$50,"?*"),23),16,FALSE),"")</f>
        <v/>
      </c>
      <c r="R7" s="425"/>
      <c r="S7" s="110" t="s">
        <v>262</v>
      </c>
      <c r="T7" s="102" t="s">
        <v>58</v>
      </c>
      <c r="U7" s="102">
        <v>11</v>
      </c>
      <c r="V7" s="102">
        <v>5</v>
      </c>
      <c r="W7" s="102">
        <v>2</v>
      </c>
      <c r="X7" s="102">
        <v>0</v>
      </c>
      <c r="Y7" s="102">
        <v>6</v>
      </c>
      <c r="Z7" s="102">
        <v>11</v>
      </c>
      <c r="AA7" s="102">
        <v>6</v>
      </c>
      <c r="AB7" s="102">
        <v>11</v>
      </c>
      <c r="AC7" s="102" t="str">
        <f t="shared" ca="1" si="0"/>
        <v>ANO</v>
      </c>
      <c r="AG7" s="121" t="s">
        <v>273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137</v>
      </c>
      <c r="AQ7" s="123">
        <v>175</v>
      </c>
      <c r="AR7" s="123">
        <v>67</v>
      </c>
      <c r="AS7" s="126" t="s">
        <v>286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10 OZ, 1 (0+1), -5 ±</v>
      </c>
      <c r="AY7" s="129" t="str">
        <f t="shared" ca="1" si="2"/>
        <v>33 OZ, 8 (2+6)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7" t="s">
        <v>40</v>
      </c>
      <c r="BT7" s="104" t="s">
        <v>1070</v>
      </c>
      <c r="BU7" s="103" t="s">
        <v>1232</v>
      </c>
      <c r="BV7" s="104" t="str">
        <f t="shared" si="13"/>
        <v>Karel Hodík</v>
      </c>
      <c r="BW7" s="112">
        <f t="shared" si="14"/>
        <v>5.42</v>
      </c>
      <c r="BX7" s="416" t="s">
        <v>193</v>
      </c>
      <c r="BY7" s="103" t="s">
        <v>972</v>
      </c>
      <c r="BZ7" s="103" t="s">
        <v>838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/>
      </c>
      <c r="B8" s="459"/>
      <c r="C8" s="459"/>
      <c r="D8" s="460" t="str">
        <f ca="1">IFERROR(VLOOKUP(A6,OFFSET($AG$2,,,COUNTIF($AG$2:$AG$50,"?*"),23),19,FALSE),"")</f>
        <v/>
      </c>
      <c r="E8" s="460"/>
      <c r="F8" s="461"/>
      <c r="H8" s="462" t="s">
        <v>24</v>
      </c>
      <c r="I8" s="462"/>
      <c r="J8" s="462"/>
      <c r="K8" s="462"/>
      <c r="M8" s="458" t="str">
        <f ca="1">IFERROR(VLOOKUP(M6,OFFSET($AG$2,,,COUNTIF($AG$2:$AG$50,"?*"),23),18,FALSE),"")</f>
        <v/>
      </c>
      <c r="N8" s="459"/>
      <c r="O8" s="459"/>
      <c r="P8" s="460" t="str">
        <f ca="1">IFERROR(VLOOKUP(M6,OFFSET($AG$2,,,COUNTIF($AG$2:$AG$50,"?*"),23),19,FALSE),"")</f>
        <v/>
      </c>
      <c r="Q8" s="460"/>
      <c r="R8" s="461"/>
      <c r="S8" s="110" t="s">
        <v>258</v>
      </c>
      <c r="T8" s="102" t="s">
        <v>107</v>
      </c>
      <c r="U8" s="102">
        <v>11</v>
      </c>
      <c r="V8" s="102">
        <v>4</v>
      </c>
      <c r="W8" s="102">
        <v>0</v>
      </c>
      <c r="X8" s="102">
        <v>0</v>
      </c>
      <c r="Y8" s="102">
        <v>7</v>
      </c>
      <c r="Z8" s="102">
        <v>11</v>
      </c>
      <c r="AA8" s="102">
        <v>0</v>
      </c>
      <c r="AB8" s="102">
        <v>7</v>
      </c>
      <c r="AC8" s="102" t="str">
        <f t="shared" ca="1" si="0"/>
        <v>NE</v>
      </c>
      <c r="AG8" s="121" t="s">
        <v>274</v>
      </c>
      <c r="AH8" s="122"/>
      <c r="AI8" s="123"/>
      <c r="AJ8" s="123"/>
      <c r="AK8" s="123"/>
      <c r="AL8" s="124">
        <f>IF(AG8&lt;&gt;"",AJ8+AK8,"")</f>
        <v>0</v>
      </c>
      <c r="AM8" s="123" t="s">
        <v>282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7"/>
      <c r="BT8" s="104" t="s">
        <v>1071</v>
      </c>
      <c r="BU8" s="103" t="s">
        <v>875</v>
      </c>
      <c r="BV8" s="104" t="str">
        <f t="shared" si="13"/>
        <v>Vojtěch Šimůnek</v>
      </c>
      <c r="BW8" s="112">
        <f t="shared" si="14"/>
        <v>5.64</v>
      </c>
      <c r="BX8" s="416"/>
      <c r="BY8" s="103" t="s">
        <v>1053</v>
      </c>
      <c r="BZ8" s="103" t="s">
        <v>840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/>
      </c>
      <c r="B9" s="447"/>
      <c r="C9" s="448"/>
      <c r="D9" s="449" t="str">
        <f ca="1">IFERROR(IF(VLOOKUP(A6,OFFSET($AG$2,,,COUNTIF($AG$2:$AG$50,"?*"),23),14,FALSE)&lt;&gt;0,VLOOKUP(A6,OFFSET($AG$2,,,COUNTIF($AG$2:$AG$50,"?*"),23),14,FALSE),"?"),"")</f>
        <v/>
      </c>
      <c r="E9" s="450"/>
      <c r="F9" s="7" t="str">
        <f ca="1">IFERROR(IF(VLOOKUP(A6,OFFSET($AG$2,,,COUNTIF($AG$2:$AG$50,"?*"),23),7,FALSE)&lt;&gt;0,VLOOKUP(A6,OFFSET($AG$2,,,COUNTIF($AG$2:$AG$50,"?*"),23),7,FALSE),"?"),"")</f>
        <v/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/>
      </c>
      <c r="N9" s="447"/>
      <c r="O9" s="448"/>
      <c r="P9" s="449" t="str">
        <f ca="1">IFERROR(IF(VLOOKUP(M6,OFFSET($AG$2,,,COUNTIF($AG$2:$AG$50,"?*"),23),14,FALSE)&lt;&gt;0,VLOOKUP(M6,OFFSET($AG$2,,,COUNTIF($AG$2:$AG$50,"?*"),23),14,FALSE),"?"),"")</f>
        <v/>
      </c>
      <c r="Q9" s="4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269</v>
      </c>
      <c r="T9" s="102" t="s">
        <v>107</v>
      </c>
      <c r="U9" s="102">
        <v>11</v>
      </c>
      <c r="V9" s="102">
        <v>6</v>
      </c>
      <c r="W9" s="102">
        <v>0</v>
      </c>
      <c r="X9" s="102">
        <v>0</v>
      </c>
      <c r="Y9" s="102">
        <v>3</v>
      </c>
      <c r="Z9" s="102">
        <v>9</v>
      </c>
      <c r="AA9" s="102">
        <v>0</v>
      </c>
      <c r="AB9" s="102">
        <v>10</v>
      </c>
      <c r="AC9" s="102" t="str">
        <f t="shared" ca="1" si="0"/>
        <v>ANO</v>
      </c>
      <c r="AG9" s="121" t="s">
        <v>275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137</v>
      </c>
      <c r="AQ9" s="123">
        <v>183</v>
      </c>
      <c r="AR9" s="123">
        <v>88</v>
      </c>
      <c r="AS9" s="126" t="s">
        <v>287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7"/>
      <c r="BT9" s="104" t="s">
        <v>877</v>
      </c>
      <c r="BU9" s="103" t="s">
        <v>1233</v>
      </c>
      <c r="BV9" s="104" t="str">
        <f t="shared" si="13"/>
        <v>Karel Pergler</v>
      </c>
      <c r="BW9" s="112">
        <f t="shared" si="14"/>
        <v>1.58</v>
      </c>
      <c r="BX9" s="416"/>
      <c r="BY9" s="103" t="s">
        <v>1160</v>
      </c>
      <c r="BZ9" s="103" t="s">
        <v>849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257</v>
      </c>
      <c r="T10" s="102" t="s">
        <v>107</v>
      </c>
      <c r="U10" s="102">
        <v>11</v>
      </c>
      <c r="V10" s="102">
        <v>5</v>
      </c>
      <c r="W10" s="102">
        <v>0</v>
      </c>
      <c r="X10" s="102">
        <v>0</v>
      </c>
      <c r="Y10" s="102">
        <v>2</v>
      </c>
      <c r="Z10" s="102">
        <v>7</v>
      </c>
      <c r="AA10" s="102">
        <v>2</v>
      </c>
      <c r="AB10" s="102">
        <v>-4</v>
      </c>
      <c r="AC10" s="102" t="str">
        <f t="shared" ca="1" si="0"/>
        <v>ANO</v>
      </c>
      <c r="AG10" s="121" t="s">
        <v>276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137</v>
      </c>
      <c r="AQ10" s="123">
        <v>176</v>
      </c>
      <c r="AR10" s="123">
        <v>73</v>
      </c>
      <c r="AS10" s="126" t="s">
        <v>141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7"/>
      <c r="BV10" s="104" t="str">
        <f t="shared" si="13"/>
        <v/>
      </c>
      <c r="BW10" s="112" t="str">
        <f t="shared" si="14"/>
        <v/>
      </c>
      <c r="BX10" s="416"/>
      <c r="BY10" s="103" t="s">
        <v>1143</v>
      </c>
      <c r="BZ10" s="103" t="s">
        <v>848</v>
      </c>
      <c r="CA10" s="115" t="s">
        <v>188</v>
      </c>
    </row>
    <row r="11" spans="1:79" ht="15" customHeight="1" thickTop="1" thickBot="1" x14ac:dyDescent="0.25">
      <c r="R11" s="13"/>
      <c r="S11" s="110" t="s">
        <v>266</v>
      </c>
      <c r="T11" s="102" t="s">
        <v>58</v>
      </c>
      <c r="U11" s="102">
        <v>11</v>
      </c>
      <c r="V11" s="102">
        <v>0</v>
      </c>
      <c r="W11" s="102">
        <v>0</v>
      </c>
      <c r="X11" s="102">
        <v>0</v>
      </c>
      <c r="Y11" s="102">
        <v>5</v>
      </c>
      <c r="Z11" s="102">
        <v>5</v>
      </c>
      <c r="AA11" s="102">
        <v>4</v>
      </c>
      <c r="AB11" s="102">
        <v>13</v>
      </c>
      <c r="AC11" s="102" t="str">
        <f t="shared" ca="1" si="0"/>
        <v>ANO</v>
      </c>
      <c r="AG11" s="121" t="s">
        <v>277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137</v>
      </c>
      <c r="AQ11" s="123">
        <v>186</v>
      </c>
      <c r="AR11" s="123">
        <v>84</v>
      </c>
      <c r="AS11" s="126" t="s">
        <v>288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7"/>
      <c r="BV11" s="104" t="str">
        <f t="shared" si="13"/>
        <v/>
      </c>
      <c r="BW11" s="112" t="str">
        <f t="shared" si="14"/>
        <v/>
      </c>
      <c r="BX11" s="416"/>
      <c r="BY11" s="103" t="s">
        <v>1162</v>
      </c>
      <c r="BZ11" s="103" t="s">
        <v>847</v>
      </c>
      <c r="CA11" s="115" t="s">
        <v>188</v>
      </c>
    </row>
    <row r="12" spans="1:79" ht="15" customHeight="1" thickTop="1" thickBot="1" x14ac:dyDescent="0.25">
      <c r="A12" s="429"/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3" t="s">
        <v>7</v>
      </c>
      <c r="I12" s="463"/>
      <c r="J12" s="463"/>
      <c r="K12" s="463"/>
      <c r="M12" s="429"/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261</v>
      </c>
      <c r="T12" s="102" t="s">
        <v>58</v>
      </c>
      <c r="U12" s="102">
        <v>10</v>
      </c>
      <c r="V12" s="102">
        <v>1</v>
      </c>
      <c r="W12" s="102">
        <v>0</v>
      </c>
      <c r="X12" s="102">
        <v>0</v>
      </c>
      <c r="Y12" s="102">
        <v>3</v>
      </c>
      <c r="Z12" s="102">
        <v>4</v>
      </c>
      <c r="AA12" s="102">
        <v>4</v>
      </c>
      <c r="AB12" s="102">
        <v>12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137</v>
      </c>
      <c r="AQ12" s="123">
        <v>177</v>
      </c>
      <c r="AR12" s="123">
        <v>75</v>
      </c>
      <c r="AS12" s="126" t="s">
        <v>289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7" t="s">
        <v>37</v>
      </c>
      <c r="BT12" s="104" t="s">
        <v>770</v>
      </c>
      <c r="BU12" s="103">
        <v>14</v>
      </c>
      <c r="BV12" s="104" t="str">
        <f t="shared" si="13"/>
        <v>Marek Vávra</v>
      </c>
      <c r="BW12" s="102">
        <f t="shared" si="14"/>
        <v>14</v>
      </c>
      <c r="BX12" s="120" t="s">
        <v>191</v>
      </c>
      <c r="BY12" s="100" t="s">
        <v>1229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2" t="str">
        <f ca="1">IFERROR(IF(VLOOKUP(A12,OFFSET($AG$2,,,COUNTIF($AG$2:$AG$50,"?*"),23),2,FALSE)&lt;&gt;0,YEAR(VLOOKUP(A12,OFFSET($AG$2,,,COUNTIF($AG$2:$AG$50,"?*"),23),2,FALSE)),""),"")</f>
        <v/>
      </c>
      <c r="C13" s="423"/>
      <c r="D13" s="117" t="str">
        <f ca="1">IFERROR(VLOOKUP(A12,OFFSET($AG$2,,,COUNTIF($AG$2:$AG$50,"?*"),23),15,FALSE),"")</f>
        <v/>
      </c>
      <c r="E13" s="424" t="str">
        <f ca="1">IFERROR(VLOOKUP(A12,OFFSET($AG$2,,,COUNTIF($AG$2:$AG$50,"?*"),23),16,FALSE),"")</f>
        <v/>
      </c>
      <c r="F13" s="425"/>
      <c r="M13" s="4" t="str">
        <f ca="1">IFERROR(IF(VLOOKUP(M12,OFFSET($AG$2,,,COUNTIF($AG$2:$AG$50,"?*"),23),10,FALSE)&lt;&gt;0,VLOOKUP(M12,OFFSET($AG$2,,,COUNTIF($AG$2:$AG$50,"?*"),23),10,FALSE),""),"")</f>
        <v/>
      </c>
      <c r="N13" s="422" t="str">
        <f ca="1">IFERROR(IF(VLOOKUP(M12,OFFSET($AG$2,,,COUNTIF($AG$2:$AG$50,"?*"),23),2,FALSE)&lt;&gt;0,YEAR(VLOOKUP(M12,OFFSET($AG$2,,,COUNTIF($AG$2:$AG$50,"?*"),23),2,FALSE)),""),"")</f>
        <v/>
      </c>
      <c r="O13" s="423"/>
      <c r="P13" s="117" t="str">
        <f ca="1">IFERROR(VLOOKUP(M12,OFFSET($AG$2,,,COUNTIF($AG$2:$AG$50,"?*"),23),15,FALSE),"")</f>
        <v/>
      </c>
      <c r="Q13" s="424" t="str">
        <f ca="1">IFERROR(VLOOKUP(M12,OFFSET($AG$2,,,COUNTIF($AG$2:$AG$50,"?*"),23),16,FALSE),"")</f>
        <v/>
      </c>
      <c r="R13" s="425"/>
      <c r="S13" s="110" t="s">
        <v>255</v>
      </c>
      <c r="T13" s="102" t="s">
        <v>107</v>
      </c>
      <c r="U13" s="102">
        <v>10</v>
      </c>
      <c r="V13" s="102">
        <v>2</v>
      </c>
      <c r="W13" s="102">
        <v>0</v>
      </c>
      <c r="X13" s="102">
        <v>0</v>
      </c>
      <c r="Y13" s="102">
        <v>1</v>
      </c>
      <c r="Z13" s="102">
        <v>3</v>
      </c>
      <c r="AA13" s="102">
        <v>0</v>
      </c>
      <c r="AB13" s="102">
        <v>-4</v>
      </c>
      <c r="AC13" s="102" t="str">
        <f t="shared" ca="1" si="0"/>
        <v>ANO</v>
      </c>
      <c r="AG13" s="121" t="s">
        <v>256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290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11 OZ, 28 (14+14), +15 ±</v>
      </c>
      <c r="AY13" s="129" t="str">
        <f t="shared" ca="1" si="2"/>
        <v>51 OZ, 93 (54+39)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7"/>
      <c r="BT13" s="104" t="s">
        <v>874</v>
      </c>
      <c r="BU13" s="103">
        <v>14</v>
      </c>
      <c r="BV13" s="104" t="str">
        <f t="shared" si="13"/>
        <v>Petr Majer</v>
      </c>
      <c r="BW13" s="102">
        <f t="shared" si="14"/>
        <v>14</v>
      </c>
    </row>
    <row r="14" spans="1:79" ht="15" customHeight="1" thickTop="1" thickBot="1" x14ac:dyDescent="0.25">
      <c r="A14" s="458" t="str">
        <f ca="1">IFERROR(VLOOKUP(A12,OFFSET($AG$2,,,COUNTIF($AG$2:$AG$50,"?*"),23),18,FALSE),"")</f>
        <v/>
      </c>
      <c r="B14" s="459"/>
      <c r="C14" s="459"/>
      <c r="D14" s="460" t="str">
        <f ca="1">IFERROR(VLOOKUP(A12,OFFSET($AG$2,,,COUNTIF($AG$2:$AG$50,"?*"),23),19,FALSE),"")</f>
        <v/>
      </c>
      <c r="E14" s="460"/>
      <c r="F14" s="461"/>
      <c r="G14" s="429"/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8" t="str">
        <f ca="1">IFERROR(VLOOKUP(M12,OFFSET($AG$2,,,COUNTIF($AG$2:$AG$50,"?*"),23),18,FALSE),"")</f>
        <v/>
      </c>
      <c r="N14" s="459"/>
      <c r="O14" s="459"/>
      <c r="P14" s="460" t="str">
        <f ca="1">IFERROR(VLOOKUP(M12,OFFSET($AG$2,,,COUNTIF($AG$2:$AG$50,"?*"),23),19,FALSE),"")</f>
        <v/>
      </c>
      <c r="Q14" s="460"/>
      <c r="R14" s="461"/>
      <c r="S14" s="110" t="s">
        <v>271</v>
      </c>
      <c r="T14" s="102" t="s">
        <v>107</v>
      </c>
      <c r="U14" s="102">
        <v>8</v>
      </c>
      <c r="V14" s="102">
        <v>2</v>
      </c>
      <c r="W14" s="102">
        <v>0</v>
      </c>
      <c r="X14" s="102">
        <v>0</v>
      </c>
      <c r="Y14" s="102">
        <v>0</v>
      </c>
      <c r="Z14" s="102">
        <v>2</v>
      </c>
      <c r="AA14" s="102">
        <v>0</v>
      </c>
      <c r="AB14" s="102">
        <v>-1</v>
      </c>
      <c r="AC14" s="102" t="str">
        <f t="shared" ca="1" si="0"/>
        <v>ANO</v>
      </c>
      <c r="AG14" s="121" t="s">
        <v>269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137</v>
      </c>
      <c r="AQ14" s="123">
        <v>184</v>
      </c>
      <c r="AR14" s="123">
        <v>78</v>
      </c>
      <c r="AS14" s="126" t="s">
        <v>291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11 OZ, 9 (6+3), +10 ±</v>
      </c>
      <c r="AY14" s="129" t="str">
        <f t="shared" ca="1" si="2"/>
        <v>105 OZ, 62 (42+20)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7"/>
      <c r="BT14" s="104" t="s">
        <v>771</v>
      </c>
      <c r="BU14" s="103">
        <v>11</v>
      </c>
      <c r="BV14" s="104" t="str">
        <f t="shared" si="13"/>
        <v>Mikuláš Komárek</v>
      </c>
      <c r="BW14" s="102">
        <f t="shared" si="14"/>
        <v>11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/>
      </c>
      <c r="B15" s="447"/>
      <c r="C15" s="448"/>
      <c r="D15" s="449" t="str">
        <f ca="1">IFERROR(IF(VLOOKUP(A12,OFFSET($AG$2,,,COUNTIF($AG$2:$AG$50,"?*"),23),14,FALSE)&lt;&gt;0,VLOOKUP(A12,OFFSET($AG$2,,,COUNTIF($AG$2:$AG$50,"?*"),23),14,FALSE),"?"),"")</f>
        <v/>
      </c>
      <c r="E15" s="4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2" t="str">
        <f ca="1">IFERROR(IF(VLOOKUP(G14,OFFSET($AG$2,,,COUNTIF($AG$2:$AG$50,"?*"),23),2,FALSE)&lt;&gt;0,YEAR(VLOOKUP(G14,OFFSET($AG$2,,,COUNTIF($AG$2:$AG$50,"?*"),23),2,FALSE)),""),"")</f>
        <v/>
      </c>
      <c r="I15" s="423"/>
      <c r="J15" s="117" t="str">
        <f ca="1">IFERROR(VLOOKUP(G14,OFFSET($AG$2,,,COUNTIF($AG$2:$AG$50,"?*"),23),15,FALSE),"")</f>
        <v/>
      </c>
      <c r="K15" s="424" t="str">
        <f ca="1">IFERROR(VLOOKUP(G14,OFFSET($AG$2,,,COUNTIF($AG$2:$AG$50,"?*"),23),16,FALSE),"")</f>
        <v/>
      </c>
      <c r="L15" s="425"/>
      <c r="M15" s="446" t="str">
        <f ca="1">IFERROR(IF(VLOOKUP(M12,OFFSET($AG$2,,,COUNTIF($AG$2:$AG$50,"?*"),23),13,FALSE)&lt;&gt;0,VLOOKUP(M12,OFFSET($AG$2,,,COUNTIF($AG$2:$AG$50,"?*"),23),13,FALSE),"?"),"")</f>
        <v/>
      </c>
      <c r="N15" s="447"/>
      <c r="O15" s="448"/>
      <c r="P15" s="449" t="str">
        <f ca="1">IFERROR(IF(VLOOKUP(M12,OFFSET($AG$2,,,COUNTIF($AG$2:$AG$50,"?*"),23),14,FALSE)&lt;&gt;0,VLOOKUP(M12,OFFSET($AG$2,,,COUNTIF($AG$2:$AG$50,"?*"),23),14,FALSE),"?"),"")</f>
        <v/>
      </c>
      <c r="Q15" s="4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254</v>
      </c>
      <c r="T15" s="102" t="s">
        <v>58</v>
      </c>
      <c r="U15" s="102">
        <v>3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1</v>
      </c>
      <c r="AC15" s="102" t="str">
        <f t="shared" ca="1" si="0"/>
        <v>ANO</v>
      </c>
      <c r="AG15" s="121" t="s">
        <v>278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137</v>
      </c>
      <c r="AQ15" s="123">
        <v>182</v>
      </c>
      <c r="AR15" s="123">
        <v>82</v>
      </c>
      <c r="AS15" s="126" t="s">
        <v>292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7"/>
      <c r="BT15" s="104" t="s">
        <v>1234</v>
      </c>
      <c r="BU15" s="103">
        <v>10</v>
      </c>
      <c r="BV15" s="104" t="str">
        <f t="shared" si="13"/>
        <v>Daniel Eremiáš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/>
      </c>
      <c r="H16" s="459"/>
      <c r="I16" s="459"/>
      <c r="J16" s="460" t="str">
        <f ca="1">IFERROR(VLOOKUP(G14,OFFSET($AG$2,,,COUNTIF($AG$2:$AG$50,"?*"),23),19,FALSE),"")</f>
        <v/>
      </c>
      <c r="K16" s="460"/>
      <c r="L16" s="461"/>
      <c r="S16" s="110" t="s">
        <v>268</v>
      </c>
      <c r="T16" s="102" t="s">
        <v>107</v>
      </c>
      <c r="U16" s="102">
        <v>4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3</v>
      </c>
      <c r="AC16" s="102" t="str">
        <f t="shared" ca="1" si="0"/>
        <v>NE</v>
      </c>
      <c r="AG16" s="121" t="s">
        <v>259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293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10 OZ, 18 (9+9), +10 ±</v>
      </c>
      <c r="AY16" s="129" t="str">
        <f t="shared" ca="1" si="2"/>
        <v>250 OZ, 541 (331+210)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7"/>
      <c r="BT16" s="104" t="s">
        <v>1235</v>
      </c>
      <c r="BU16" s="103">
        <v>9</v>
      </c>
      <c r="BV16" s="104" t="str">
        <f t="shared" si="13"/>
        <v>Tom Ondrušek</v>
      </c>
      <c r="BW16" s="102">
        <f t="shared" si="14"/>
        <v>9</v>
      </c>
    </row>
    <row r="17" spans="1:75" ht="15" customHeight="1" thickTop="1" thickBot="1" x14ac:dyDescent="0.25">
      <c r="A17" s="429"/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6" t="str">
        <f ca="1">IFERROR(IF(VLOOKUP(G14,OFFSET($AG$2,,,COUNTIF($AG$2:$AG$50,"?*"),23),13,FALSE)&lt;&gt;0,VLOOKUP(G14,OFFSET($AG$2,,,COUNTIF($AG$2:$AG$50,"?*"),23),13,FALSE),"?"),"")</f>
        <v/>
      </c>
      <c r="H17" s="447"/>
      <c r="I17" s="448"/>
      <c r="J17" s="449" t="str">
        <f ca="1">IFERROR(IF(VLOOKUP(G14,OFFSET($AG$2,,,COUNTIF($AG$2:$AG$50,"?*"),23),14,FALSE)&lt;&gt;0,VLOOKUP(G14,OFFSET($AG$2,,,COUNTIF($AG$2:$AG$50,"?*"),23),14,FALSE),"?"),"")</f>
        <v/>
      </c>
      <c r="K17" s="450"/>
      <c r="L17" s="7" t="str">
        <f ca="1">IFERROR(IF(VLOOKUP(G14,OFFSET($AG$2,,,COUNTIF($AG$2:$AG$50,"?*"),23),7,FALSE)&lt;&gt;0,VLOOKUP(G14,OFFSET($AG$2,,,COUNTIF($AG$2:$AG$50,"?*"),23),7,FALSE),"?"),"")</f>
        <v/>
      </c>
      <c r="M17" s="429"/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772</v>
      </c>
      <c r="T17" s="102" t="s">
        <v>107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-5</v>
      </c>
      <c r="AC17" s="102" t="str">
        <f t="shared" ca="1" si="0"/>
        <v>NE</v>
      </c>
      <c r="AG17" s="121" t="s">
        <v>108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282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7" t="s">
        <v>41</v>
      </c>
      <c r="BT17" s="104" t="s">
        <v>1070</v>
      </c>
      <c r="BU17" s="103">
        <v>6</v>
      </c>
      <c r="BV17" s="104" t="str">
        <f t="shared" si="13"/>
        <v>Karel Hodík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2" t="str">
        <f ca="1">IFERROR(IF(VLOOKUP(A17,OFFSET($AG$2,,,COUNTIF($AG$2:$AG$50,"?*"),23),2,FALSE)&lt;&gt;0,YEAR(VLOOKUP(A17,OFFSET($AG$2,,,COUNTIF($AG$2:$AG$50,"?*"),23),2,FALSE)),""),"")</f>
        <v/>
      </c>
      <c r="C18" s="423"/>
      <c r="D18" s="149" t="str">
        <f ca="1">IFERROR(VLOOKUP(A17,OFFSET($AG$2,,,COUNTIF($AG$2:$AG$50,"?*"),23),15,FALSE),"")</f>
        <v/>
      </c>
      <c r="E18" s="424" t="str">
        <f ca="1">IFERROR(VLOOKUP(A17,OFFSET($AG$2,,,COUNTIF($AG$2:$AG$50,"?*"),23),16,FALSE),"")</f>
        <v/>
      </c>
      <c r="F18" s="425"/>
      <c r="M18" s="4" t="str">
        <f ca="1">IFERROR(IF(VLOOKUP(M17,OFFSET($AG$2,,,COUNTIF($AG$2:$AG$50,"?*"),23),10,FALSE)&lt;&gt;0,VLOOKUP(M17,OFFSET($AG$2,,,COUNTIF($AG$2:$AG$50,"?*"),23),10,FALSE),""),"")</f>
        <v/>
      </c>
      <c r="N18" s="422" t="str">
        <f ca="1">IFERROR(IF(VLOOKUP(M17,OFFSET($AG$2,,,COUNTIF($AG$2:$AG$50,"?*"),23),2,FALSE)&lt;&gt;0,YEAR(VLOOKUP(M17,OFFSET($AG$2,,,COUNTIF($AG$2:$AG$50,"?*"),23),2,FALSE)),""),"")</f>
        <v/>
      </c>
      <c r="O18" s="423"/>
      <c r="P18" s="117" t="str">
        <f ca="1">IFERROR(VLOOKUP(M17,OFFSET($AG$2,,,COUNTIF($AG$2:$AG$50,"?*"),23),15,FALSE),"")</f>
        <v/>
      </c>
      <c r="Q18" s="424" t="str">
        <f ca="1">IFERROR(VLOOKUP(M17,OFFSET($AG$2,,,COUNTIF($AG$2:$AG$50,"?*"),23),16,FALSE),"")</f>
        <v/>
      </c>
      <c r="R18" s="425"/>
      <c r="S18" s="110" t="s">
        <v>265</v>
      </c>
      <c r="T18" s="102" t="s">
        <v>107</v>
      </c>
      <c r="U18" s="102">
        <v>7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-1</v>
      </c>
      <c r="AC18" s="102" t="str">
        <f t="shared" ca="1" si="0"/>
        <v>ANO</v>
      </c>
      <c r="AG18" s="121" t="s">
        <v>263</v>
      </c>
      <c r="AH18" s="122"/>
      <c r="AI18" s="123"/>
      <c r="AJ18" s="123"/>
      <c r="AK18" s="123"/>
      <c r="AL18" s="124">
        <f>IF(AG18&lt;&gt;"",AJ18+AK18,"")</f>
        <v>0</v>
      </c>
      <c r="AM18" s="123" t="s">
        <v>282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1 V, 0 P</v>
      </c>
      <c r="AY18" s="129" t="str">
        <f t="shared" ca="1" si="2"/>
        <v>1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7"/>
      <c r="BT18" s="104" t="s">
        <v>1071</v>
      </c>
      <c r="BU18" s="103">
        <v>1</v>
      </c>
      <c r="BV18" s="104" t="str">
        <f t="shared" si="13"/>
        <v>Vojtěch Šimůnek</v>
      </c>
      <c r="BW18" s="102">
        <f t="shared" si="14"/>
        <v>1</v>
      </c>
    </row>
    <row r="19" spans="1:75" ht="15" customHeight="1" x14ac:dyDescent="0.2">
      <c r="A19" s="458" t="str">
        <f ca="1">IFERROR(VLOOKUP(A17,OFFSET($AG$2,,,COUNTIF($AG$2:$AG$50,"?*"),23),18,FALSE),"")</f>
        <v/>
      </c>
      <c r="B19" s="459"/>
      <c r="C19" s="459"/>
      <c r="D19" s="460" t="str">
        <f ca="1">IFERROR(VLOOKUP(A17,OFFSET($AG$2,,,COUNTIF($AG$2:$AG$50,"?*"),23),19,FALSE),"")</f>
        <v/>
      </c>
      <c r="E19" s="460"/>
      <c r="F19" s="461"/>
      <c r="H19" s="462" t="str">
        <f>H$8</f>
        <v>CHO</v>
      </c>
      <c r="I19" s="462"/>
      <c r="J19" s="462"/>
      <c r="K19" s="462"/>
      <c r="M19" s="458" t="str">
        <f ca="1">IFERROR(VLOOKUP(M17,OFFSET($AG$2,,,COUNTIF($AG$2:$AG$50,"?*"),23),18,FALSE),"")</f>
        <v/>
      </c>
      <c r="N19" s="459"/>
      <c r="O19" s="459"/>
      <c r="P19" s="460" t="str">
        <f ca="1">IFERROR(VLOOKUP(M17,OFFSET($AG$2,,,COUNTIF($AG$2:$AG$50,"?*"),23),19,FALSE),"")</f>
        <v/>
      </c>
      <c r="Q19" s="460"/>
      <c r="R19" s="461"/>
      <c r="S19" s="110" t="s">
        <v>273</v>
      </c>
      <c r="U19" s="102">
        <v>10</v>
      </c>
      <c r="V19" s="102">
        <v>0</v>
      </c>
      <c r="W19" s="102">
        <v>0</v>
      </c>
      <c r="X19" s="102">
        <v>0</v>
      </c>
      <c r="Y19" s="102">
        <v>1</v>
      </c>
      <c r="Z19" s="102">
        <v>1</v>
      </c>
      <c r="AA19" s="102">
        <v>2</v>
      </c>
      <c r="AB19" s="102">
        <v>-5</v>
      </c>
      <c r="AC19" s="102" t="str">
        <f t="shared" ca="1" si="0"/>
        <v>ANO</v>
      </c>
      <c r="AG19" s="121" t="s">
        <v>265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137</v>
      </c>
      <c r="AQ19" s="123">
        <v>172</v>
      </c>
      <c r="AR19" s="123">
        <v>73</v>
      </c>
      <c r="AS19" s="126" t="s">
        <v>294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7 OZ, 1 (0+1), -1 ±</v>
      </c>
      <c r="AY19" s="129" t="str">
        <f t="shared" ca="1" si="2"/>
        <v>124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7"/>
      <c r="BT19" s="104" t="s">
        <v>877</v>
      </c>
      <c r="BU19" s="103">
        <v>1</v>
      </c>
      <c r="BV19" s="104" t="str">
        <f t="shared" si="13"/>
        <v>Karel Pergler</v>
      </c>
      <c r="BW19" s="102">
        <f t="shared" si="14"/>
        <v>1</v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/>
      </c>
      <c r="B20" s="447"/>
      <c r="C20" s="448"/>
      <c r="D20" s="449" t="str">
        <f ca="1">IFERROR(IF(VLOOKUP(A17,OFFSET($AG$2,,,COUNTIF($AG$2:$AG$50,"?*"),23),14,FALSE)&lt;&gt;0,VLOOKUP(A17,OFFSET($AG$2,,,COUNTIF($AG$2:$AG$50,"?*"),23),14,FALSE),"?"),"")</f>
        <v/>
      </c>
      <c r="E20" s="450"/>
      <c r="F20" s="7" t="str">
        <f ca="1">IFERROR(IF(VLOOKUP(A17,OFFSET($AG$2,,,COUNTIF($AG$2:$AG$50,"?*"),23),7,FALSE)&lt;&gt;0,VLOOKUP(A17,OFFSET($AG$2,,,COUNTIF($AG$2:$AG$50,"?*"),23),7,FALSE),"?"),"")</f>
        <v/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/>
      </c>
      <c r="N20" s="447"/>
      <c r="O20" s="448"/>
      <c r="P20" s="449" t="str">
        <f ca="1">IFERROR(IF(VLOOKUP(M17,OFFSET($AG$2,,,COUNTIF($AG$2:$AG$50,"?*"),23),14,FALSE)&lt;&gt;0,VLOOKUP(M17,OFFSET($AG$2,,,COUNTIF($AG$2:$AG$50,"?*"),23),14,FALSE),"?"),"")</f>
        <v/>
      </c>
      <c r="Q20" s="4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1067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261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295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10 OZ, 4 (1+3), +12 ±</v>
      </c>
      <c r="AY20" s="129" t="str">
        <f t="shared" ca="1" si="2"/>
        <v>231 OZ, 155 (45+110)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274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279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295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878</v>
      </c>
      <c r="U22" s="102">
        <v>1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255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296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10 OZ, 3 (2+1), -4 ±</v>
      </c>
      <c r="AY22" s="129" t="str">
        <f t="shared" ca="1" si="2"/>
        <v>104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7" t="s">
        <v>38</v>
      </c>
      <c r="BT22" s="104" t="s">
        <v>770</v>
      </c>
      <c r="BU22" s="103">
        <v>15</v>
      </c>
      <c r="BV22" s="104" t="str">
        <f t="shared" si="13"/>
        <v>Marek Vávra</v>
      </c>
      <c r="BW22" s="102">
        <f t="shared" si="14"/>
        <v>15</v>
      </c>
    </row>
    <row r="23" spans="1:75" ht="15" customHeight="1" thickTop="1" thickBot="1" x14ac:dyDescent="0.25">
      <c r="A23" s="429"/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3" t="s">
        <v>13</v>
      </c>
      <c r="I23" s="463"/>
      <c r="J23" s="463"/>
      <c r="K23" s="463"/>
      <c r="M23" s="429"/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270</v>
      </c>
      <c r="T23" s="102" t="s">
        <v>58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266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11 OZ, 5 (0+5), +13 ±</v>
      </c>
      <c r="AY23" s="129" t="str">
        <f t="shared" ca="1" si="2"/>
        <v>11 OZ, 5 (0+5)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7"/>
      <c r="BT23" s="104" t="s">
        <v>874</v>
      </c>
      <c r="BU23" s="103">
        <v>14</v>
      </c>
      <c r="BV23" s="104" t="str">
        <f t="shared" si="13"/>
        <v>Petr Majer</v>
      </c>
      <c r="BW23" s="102">
        <f t="shared" si="14"/>
        <v>14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2" t="str">
        <f ca="1">IFERROR(IF(VLOOKUP(A23,OFFSET($AG$2,,,COUNTIF($AG$2:$AG$50,"?*"),23),2,FALSE)&lt;&gt;0,YEAR(VLOOKUP(A23,OFFSET($AG$2,,,COUNTIF($AG$2:$AG$50,"?*"),23),2,FALSE)),""),"")</f>
        <v/>
      </c>
      <c r="C24" s="423"/>
      <c r="D24" s="117" t="str">
        <f ca="1">IFERROR(VLOOKUP(A23,OFFSET($AG$2,,,COUNTIF($AG$2:$AG$50,"?*"),23),15,FALSE),"")</f>
        <v/>
      </c>
      <c r="E24" s="424" t="str">
        <f ca="1">IFERROR(VLOOKUP(A23,OFFSET($AG$2,,,COUNTIF($AG$2:$AG$50,"?*"),23),16,FALSE),"")</f>
        <v/>
      </c>
      <c r="F24" s="425"/>
      <c r="M24" s="4" t="str">
        <f ca="1">IFERROR(IF(VLOOKUP(M23,OFFSET($AG$2,,,COUNTIF($AG$2:$AG$50,"?*"),23),10,FALSE)&lt;&gt;0,VLOOKUP(M23,OFFSET($AG$2,,,COUNTIF($AG$2:$AG$50,"?*"),23),10,FALSE),""),"")</f>
        <v/>
      </c>
      <c r="N24" s="422" t="str">
        <f ca="1">IFERROR(IF(VLOOKUP(M23,OFFSET($AG$2,,,COUNTIF($AG$2:$AG$50,"?*"),23),2,FALSE)&lt;&gt;0,YEAR(VLOOKUP(M23,OFFSET($AG$2,,,COUNTIF($AG$2:$AG$50,"?*"),23),2,FALSE)),""),"")</f>
        <v/>
      </c>
      <c r="O24" s="423"/>
      <c r="P24" s="117" t="str">
        <f ca="1">IFERROR(VLOOKUP(M23,OFFSET($AG$2,,,COUNTIF($AG$2:$AG$50,"?*"),23),15,FALSE),"")</f>
        <v/>
      </c>
      <c r="Q24" s="424" t="str">
        <f ca="1">IFERROR(VLOOKUP(M23,OFFSET($AG$2,,,COUNTIF($AG$2:$AG$50,"?*"),23),16,FALSE),"")</f>
        <v/>
      </c>
      <c r="R24" s="425"/>
      <c r="S24" s="110" t="s">
        <v>267</v>
      </c>
      <c r="T24" s="102" t="s">
        <v>58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280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137</v>
      </c>
      <c r="AQ24" s="123">
        <v>182</v>
      </c>
      <c r="AR24" s="123">
        <v>75</v>
      </c>
      <c r="AS24" s="126" t="s">
        <v>296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9 OZ, 0 (0+0), -8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101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7"/>
      <c r="BT24" s="104" t="s">
        <v>1230</v>
      </c>
      <c r="BU24" s="103">
        <v>9</v>
      </c>
      <c r="BV24" s="104" t="str">
        <f t="shared" si="13"/>
        <v>Tom Ondrušek</v>
      </c>
      <c r="BW24" s="102">
        <f t="shared" si="14"/>
        <v>9</v>
      </c>
    </row>
    <row r="25" spans="1:75" ht="15" customHeight="1" thickTop="1" thickBot="1" x14ac:dyDescent="0.25">
      <c r="A25" s="458" t="str">
        <f ca="1">IFERROR(VLOOKUP(A23,OFFSET($AG$2,,,COUNTIF($AG$2:$AG$50,"?*"),23),18,FALSE),"")</f>
        <v/>
      </c>
      <c r="B25" s="459"/>
      <c r="C25" s="459"/>
      <c r="D25" s="460" t="str">
        <f ca="1">IFERROR(VLOOKUP(A23,OFFSET($AG$2,,,COUNTIF($AG$2:$AG$50,"?*"),23),19,FALSE),"")</f>
        <v/>
      </c>
      <c r="E25" s="460"/>
      <c r="F25" s="461"/>
      <c r="G25" s="429"/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8" t="str">
        <f ca="1">IFERROR(VLOOKUP(M23,OFFSET($AG$2,,,COUNTIF($AG$2:$AG$50,"?*"),23),18,FALSE),"")</f>
        <v/>
      </c>
      <c r="N25" s="459"/>
      <c r="O25" s="459"/>
      <c r="P25" s="460" t="str">
        <f ca="1">IFERROR(VLOOKUP(M23,OFFSET($AG$2,,,COUNTIF($AG$2:$AG$50,"?*"),23),19,FALSE),"")</f>
        <v/>
      </c>
      <c r="Q25" s="460"/>
      <c r="R25" s="461"/>
      <c r="S25" s="110" t="s">
        <v>264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267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297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7"/>
      <c r="BT25" s="104" t="s">
        <v>876</v>
      </c>
      <c r="BU25" s="103">
        <v>7</v>
      </c>
      <c r="BV25" s="104" t="str">
        <f t="shared" si="13"/>
        <v>Martin Skřivánek</v>
      </c>
      <c r="BW25" s="102">
        <f t="shared" si="14"/>
        <v>7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/>
      </c>
      <c r="B26" s="447"/>
      <c r="C26" s="448"/>
      <c r="D26" s="449" t="str">
        <f ca="1">IFERROR(IF(VLOOKUP(A23,OFFSET($AG$2,,,COUNTIF($AG$2:$AG$50,"?*"),23),14,FALSE)&lt;&gt;0,VLOOKUP(A23,OFFSET($AG$2,,,COUNTIF($AG$2:$AG$50,"?*"),23),14,FALSE),"?"),"")</f>
        <v/>
      </c>
      <c r="E26" s="4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2" t="str">
        <f ca="1">IFERROR(IF(VLOOKUP(G25,OFFSET($AG$2,,,COUNTIF($AG$2:$AG$50,"?*"),23),2,FALSE)&lt;&gt;0,YEAR(VLOOKUP(G25,OFFSET($AG$2,,,COUNTIF($AG$2:$AG$50,"?*"),23),2,FALSE)),""),"")</f>
        <v/>
      </c>
      <c r="I26" s="423"/>
      <c r="J26" s="117" t="str">
        <f ca="1">IFERROR(VLOOKUP(G25,OFFSET($AG$2,,,COUNTIF($AG$2:$AG$50,"?*"),23),15,FALSE),"")</f>
        <v/>
      </c>
      <c r="K26" s="424" t="str">
        <f ca="1">IFERROR(VLOOKUP(G25,OFFSET($AG$2,,,COUNTIF($AG$2:$AG$50,"?*"),23),16,FALSE),"")</f>
        <v/>
      </c>
      <c r="L26" s="425"/>
      <c r="M26" s="446" t="str">
        <f ca="1">IFERROR(IF(VLOOKUP(M23,OFFSET($AG$2,,,COUNTIF($AG$2:$AG$50,"?*"),23),13,FALSE)&lt;&gt;0,VLOOKUP(M23,OFFSET($AG$2,,,COUNTIF($AG$2:$AG$50,"?*"),23),13,FALSE),"?"),"")</f>
        <v/>
      </c>
      <c r="N26" s="447"/>
      <c r="O26" s="448"/>
      <c r="P26" s="449" t="str">
        <f ca="1">IFERROR(IF(VLOOKUP(M23,OFFSET($AG$2,,,COUNTIF($AG$2:$AG$50,"?*"),23),14,FALSE)&lt;&gt;0,VLOOKUP(M23,OFFSET($AG$2,,,COUNTIF($AG$2:$AG$50,"?*"),23),14,FALSE),"?"),"")</f>
        <v/>
      </c>
      <c r="Q26" s="45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879</v>
      </c>
      <c r="T26" s="102" t="s">
        <v>107</v>
      </c>
      <c r="U26" s="102">
        <v>7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4</v>
      </c>
      <c r="AB26" s="102">
        <v>-3</v>
      </c>
      <c r="AC26" s="102" t="str">
        <f t="shared" ca="1" si="0"/>
        <v>NE</v>
      </c>
      <c r="AG26" s="121" t="s">
        <v>264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298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7"/>
      <c r="BT26" s="104" t="s">
        <v>1236</v>
      </c>
      <c r="BU26" s="103">
        <v>6</v>
      </c>
      <c r="BV26" s="104" t="str">
        <f t="shared" si="13"/>
        <v>Jiří Bauer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/>
      </c>
      <c r="H27" s="459"/>
      <c r="I27" s="459"/>
      <c r="J27" s="460" t="str">
        <f ca="1">IFERROR(VLOOKUP(G25,OFFSET($AG$2,,,COUNTIF($AG$2:$AG$50,"?*"),23),19,FALSE),"")</f>
        <v/>
      </c>
      <c r="K27" s="460"/>
      <c r="L27" s="461"/>
      <c r="S27" s="110" t="s">
        <v>272</v>
      </c>
      <c r="T27" s="102" t="s">
        <v>105</v>
      </c>
      <c r="U27" s="102">
        <v>0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0</v>
      </c>
      <c r="AC27" s="102" t="str">
        <f t="shared" ca="1" si="0"/>
        <v>ANO</v>
      </c>
      <c r="AG27" s="121" t="s">
        <v>281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7" t="s">
        <v>39</v>
      </c>
      <c r="BT27" s="104" t="s">
        <v>1072</v>
      </c>
      <c r="BU27" s="103">
        <v>8</v>
      </c>
      <c r="BV27" s="104" t="str">
        <f t="shared" si="13"/>
        <v>Michal Strnad</v>
      </c>
      <c r="BW27" s="102">
        <f t="shared" si="14"/>
        <v>8</v>
      </c>
    </row>
    <row r="28" spans="1:75" ht="15" customHeight="1" thickTop="1" thickBot="1" x14ac:dyDescent="0.25">
      <c r="A28" s="429"/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6" t="str">
        <f ca="1">IFERROR(IF(VLOOKUP(G25,OFFSET($AG$2,,,COUNTIF($AG$2:$AG$50,"?*"),23),13,FALSE)&lt;&gt;0,VLOOKUP(G25,OFFSET($AG$2,,,COUNTIF($AG$2:$AG$50,"?*"),23),13,FALSE),"?"),"")</f>
        <v/>
      </c>
      <c r="H28" s="447"/>
      <c r="I28" s="448"/>
      <c r="J28" s="449" t="str">
        <f ca="1">IFERROR(IF(VLOOKUP(G25,OFFSET($AG$2,,,COUNTIF($AG$2:$AG$50,"?*"),23),14,FALSE)&lt;&gt;0,VLOOKUP(G25,OFFSET($AG$2,,,COUNTIF($AG$2:$AG$50,"?*"),23),14,FALSE),"?"),"")</f>
        <v/>
      </c>
      <c r="K28" s="450"/>
      <c r="L28" s="7" t="str">
        <f ca="1">IFERROR(IF(VLOOKUP(G25,OFFSET($AG$2,,,COUNTIF($AG$2:$AG$50,"?*"),23),7,FALSE)&lt;&gt;0,VLOOKUP(G25,OFFSET($AG$2,,,COUNTIF($AG$2:$AG$50,"?*"),23),7,FALSE),"?"),"")</f>
        <v/>
      </c>
      <c r="M28" s="429"/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263</v>
      </c>
      <c r="T28" s="102" t="s">
        <v>105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253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150</v>
      </c>
      <c r="AP28" s="125" t="s">
        <v>137</v>
      </c>
      <c r="AQ28" s="123">
        <v>178</v>
      </c>
      <c r="AR28" s="123">
        <v>72</v>
      </c>
      <c r="AS28" s="126" t="s">
        <v>64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29 (14+15), +7 ±</v>
      </c>
      <c r="AY28" s="129" t="str">
        <f t="shared" ca="1" si="16"/>
        <v>241 OZ, 487 (280+207)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7"/>
      <c r="BT28" s="104" t="s">
        <v>310</v>
      </c>
      <c r="BU28" s="103">
        <v>8</v>
      </c>
      <c r="BV28" s="104" t="str">
        <f t="shared" si="13"/>
        <v>Mikuláš Komárek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2" t="str">
        <f ca="1">IFERROR(IF(VLOOKUP(A28,OFFSET($AG$2,,,COUNTIF($AG$2:$AG$50,"?*"),23),2,FALSE)&lt;&gt;0,YEAR(VLOOKUP(A28,OFFSET($AG$2,,,COUNTIF($AG$2:$AG$50,"?*"),23),2,FALSE)),""),"")</f>
        <v/>
      </c>
      <c r="C29" s="423"/>
      <c r="D29" s="117" t="str">
        <f ca="1">IFERROR(VLOOKUP(A28,OFFSET($AG$2,,,COUNTIF($AG$2:$AG$50,"?*"),23),15,FALSE),"")</f>
        <v/>
      </c>
      <c r="E29" s="424" t="str">
        <f ca="1">IFERROR(VLOOKUP(A28,OFFSET($AG$2,,,COUNTIF($AG$2:$AG$50,"?*"),23),16,FALSE),"")</f>
        <v/>
      </c>
      <c r="F29" s="425"/>
      <c r="M29" s="4" t="str">
        <f ca="1">IFERROR(IF(VLOOKUP(M28,OFFSET($AG$2,,,COUNTIF($AG$2:$AG$50,"?*"),23),10,FALSE)&lt;&gt;0,VLOOKUP(M28,OFFSET($AG$2,,,COUNTIF($AG$2:$AG$50,"?*"),23),10,FALSE),""),"")</f>
        <v/>
      </c>
      <c r="N29" s="422" t="str">
        <f ca="1">IFERROR(IF(VLOOKUP(M28,OFFSET($AG$2,,,COUNTIF($AG$2:$AG$50,"?*"),23),2,FALSE)&lt;&gt;0,YEAR(VLOOKUP(M28,OFFSET($AG$2,,,COUNTIF($AG$2:$AG$50,"?*"),23),2,FALSE)),""),"")</f>
        <v/>
      </c>
      <c r="O29" s="423"/>
      <c r="P29" s="117" t="str">
        <f ca="1">IFERROR(VLOOKUP(M28,OFFSET($AG$2,,,COUNTIF($AG$2:$AG$50,"?*"),23),15,FALSE),"")</f>
        <v/>
      </c>
      <c r="Q29" s="424" t="str">
        <f ca="1">IFERROR(VLOOKUP(M28,OFFSET($AG$2,,,COUNTIF($AG$2:$AG$50,"?*"),23),16,FALSE),"")</f>
        <v/>
      </c>
      <c r="R29" s="425"/>
      <c r="S29" s="110" t="s">
        <v>280</v>
      </c>
      <c r="T29" s="102" t="s">
        <v>58</v>
      </c>
      <c r="U29" s="102">
        <v>9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8</v>
      </c>
      <c r="AB29" s="102">
        <v>-8</v>
      </c>
      <c r="AC29" s="102" t="str">
        <f t="shared" ca="1" si="0"/>
        <v>ANO</v>
      </c>
      <c r="AG29" s="121" t="s">
        <v>254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137</v>
      </c>
      <c r="AQ29" s="123">
        <v>178</v>
      </c>
      <c r="AR29" s="123">
        <v>80</v>
      </c>
      <c r="AS29" s="126" t="s">
        <v>64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7"/>
      <c r="BT29" s="104" t="s">
        <v>1237</v>
      </c>
      <c r="BU29" s="103">
        <v>6</v>
      </c>
      <c r="BV29" s="104" t="str">
        <f t="shared" si="13"/>
        <v>Jiří Bauer</v>
      </c>
      <c r="BW29" s="102">
        <f t="shared" si="14"/>
        <v>6</v>
      </c>
    </row>
    <row r="30" spans="1:75" ht="15" customHeight="1" x14ac:dyDescent="0.2">
      <c r="A30" s="458" t="str">
        <f ca="1">IFERROR(VLOOKUP(A28,OFFSET($AG$2,,,COUNTIF($AG$2:$AG$50,"?*"),23),18,FALSE),"")</f>
        <v/>
      </c>
      <c r="B30" s="459"/>
      <c r="C30" s="459"/>
      <c r="D30" s="460" t="str">
        <f ca="1">IFERROR(VLOOKUP(A28,OFFSET($AG$2,,,COUNTIF($AG$2:$AG$50,"?*"),23),19,FALSE),"")</f>
        <v/>
      </c>
      <c r="E30" s="460"/>
      <c r="F30" s="461"/>
      <c r="H30" s="462" t="str">
        <f>H$8</f>
        <v>CHO</v>
      </c>
      <c r="I30" s="462"/>
      <c r="J30" s="462"/>
      <c r="K30" s="462"/>
      <c r="M30" s="458" t="str">
        <f ca="1">IFERROR(VLOOKUP(M28,OFFSET($AG$2,,,COUNTIF($AG$2:$AG$50,"?*"),23),18,FALSE),"")</f>
        <v/>
      </c>
      <c r="N30" s="459"/>
      <c r="O30" s="459"/>
      <c r="P30" s="460" t="str">
        <f ca="1">IFERROR(VLOOKUP(M28,OFFSET($AG$2,,,COUNTIF($AG$2:$AG$50,"?*"),23),19,FALSE),"")</f>
        <v/>
      </c>
      <c r="Q30" s="460"/>
      <c r="R30" s="461"/>
      <c r="S30" s="111"/>
      <c r="AC30" s="102" t="str">
        <f t="shared" ca="1" si="0"/>
        <v/>
      </c>
      <c r="AG30" s="121" t="s">
        <v>257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137</v>
      </c>
      <c r="AQ30" s="123">
        <v>184</v>
      </c>
      <c r="AR30" s="123">
        <v>78</v>
      </c>
      <c r="AS30" s="126" t="s">
        <v>290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11 OZ, 7 (5+2), -4 ±</v>
      </c>
      <c r="AY30" s="129" t="str">
        <f t="shared" ca="1" si="16"/>
        <v>117 OZ, 66 (39+27)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7"/>
      <c r="BT30" s="104" t="s">
        <v>1234</v>
      </c>
      <c r="BU30" s="103">
        <v>4</v>
      </c>
      <c r="BV30" s="104" t="str">
        <f t="shared" si="13"/>
        <v>Daniel Eremiáš</v>
      </c>
      <c r="BW30" s="102">
        <f t="shared" si="14"/>
        <v>4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/>
      </c>
      <c r="B31" s="447"/>
      <c r="C31" s="448"/>
      <c r="D31" s="449" t="str">
        <f ca="1">IFERROR(IF(VLOOKUP(A28,OFFSET($AG$2,,,COUNTIF($AG$2:$AG$50,"?*"),23),14,FALSE)&lt;&gt;0,VLOOKUP(A28,OFFSET($AG$2,,,COUNTIF($AG$2:$AG$50,"?*"),23),14,FALSE),"?"),"")</f>
        <v/>
      </c>
      <c r="E31" s="450"/>
      <c r="F31" s="7" t="str">
        <f ca="1">IFERROR(IF(VLOOKUP(A28,OFFSET($AG$2,,,COUNTIF($AG$2:$AG$50,"?*"),23),7,FALSE)&lt;&gt;0,VLOOKUP(A28,OFFSET($AG$2,,,COUNTIF($AG$2:$AG$50,"?*"),23),7,FALSE),"?"),"")</f>
        <v/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/>
      </c>
      <c r="N31" s="447"/>
      <c r="O31" s="448"/>
      <c r="P31" s="449" t="str">
        <f ca="1">IFERROR(IF(VLOOKUP(M28,OFFSET($AG$2,,,COUNTIF($AG$2:$AG$50,"?*"),23),14,FALSE)&lt;&gt;0,VLOOKUP(M28,OFFSET($AG$2,,,COUNTIF($AG$2:$AG$50,"?*"),23),14,FALSE),"?"),"")</f>
        <v/>
      </c>
      <c r="Q31" s="4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7"/>
      <c r="BT31" s="104" t="s">
        <v>1238</v>
      </c>
      <c r="BU31" s="103">
        <v>4</v>
      </c>
      <c r="BV31" s="104" t="str">
        <f t="shared" si="13"/>
        <v>Matěj Netrefa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9"/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7" t="s">
        <v>16</v>
      </c>
      <c r="J34" s="429"/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2" t="str">
        <f ca="1">IFERROR(IF(VLOOKUP(A34,OFFSET($AG$2,,,COUNTIF($AG$2:$AG$50,"?*"),23),2,FALSE)&lt;&gt;0,YEAR(VLOOKUP(A34,OFFSET($AG$2,,,COUNTIF($AG$2:$AG$50,"?*"),23),2,FALSE)),""),"")</f>
        <v/>
      </c>
      <c r="C35" s="423"/>
      <c r="D35" s="117" t="str">
        <f ca="1">IFERROR(VLOOKUP(A34,OFFSET($AG$2,,,COUNTIF($AG$2:$AG$50,"?*"),23),15,FALSE),"")</f>
        <v/>
      </c>
      <c r="E35" s="424" t="str">
        <f ca="1">IFERROR(VLOOKUP(A34,OFFSET($AG$2,,,COUNTIF($AG$2:$AG$50,"?*"),23),16,FALSE),"")</f>
        <v/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/>
      </c>
      <c r="K35" s="423" t="str">
        <f ca="1">IFERROR(IF(VLOOKUP(J34,OFFSET($AG$2,,,COUNTIF($AG$2:$AG$50,"?*"),23),2,FALSE)&lt;&gt;0,YEAR(VLOOKUP(J34,OFFSET($AG$2,,,COUNTIF($AG$2:$AG$50,"?*"),23),2,FALSE)),""),"")</f>
        <v/>
      </c>
      <c r="L35" s="431"/>
      <c r="M35" s="118" t="str">
        <f ca="1">IFERROR(VLOOKUP(J34,OFFSET($AG$2,,,COUNTIF($AG$2:$AG$50,"?*"),23),15,FALSE),"")</f>
        <v/>
      </c>
      <c r="N35" s="431" t="str">
        <f ca="1">IFERROR(VLOOKUP(J34,OFFSET($AG$2,,,COUNTIF($AG$2:$AG$50,"?*"),23),16,FALSE),"")</f>
        <v/>
      </c>
      <c r="O35" s="431"/>
      <c r="P35" s="431" t="str">
        <f ca="1">IFERROR(VLOOKUP(J34,OFFSET($AG$2,,,COUNTIF($AG$2:$AG$50,"?*"),23),18,FALSE),"")</f>
        <v/>
      </c>
      <c r="Q35" s="431"/>
      <c r="R35" s="43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6" t="str">
        <f ca="1">IFERROR(VLOOKUP(A34,OFFSET($AG$2,,,COUNTIF($AG$2:$AG$50,"?*"),23),18,FALSE),"")</f>
        <v/>
      </c>
      <c r="C36" s="426"/>
      <c r="D36" s="427" t="str">
        <f ca="1">IFERROR(VLOOKUP(A34,OFFSET($S$45,,,COUNTIF($S$45:$S$50,"?*"),14),5,FALSE),"")</f>
        <v/>
      </c>
      <c r="E36" s="428"/>
      <c r="F36" s="17" t="str">
        <f ca="1">IFERROR(VLOOKUP(A34,OFFSET($S$45,,,COUNTIF($S$45:$S$50,"?*"),14),14,FALSE),"")</f>
        <v/>
      </c>
      <c r="H36" s="457"/>
      <c r="J36" s="18" t="str">
        <f ca="1">IFERROR(IF(VLOOKUP(J34,OFFSET($AG$2,,,COUNTIF($AG$2:$AG$50,"?*"),23),7,FALSE)&lt;&gt;0,VLOOKUP(J34,OFFSET($AG$2,,,COUNTIF($AG$2:$AG$50,"?*"),23),7,FALSE),"?"),"")</f>
        <v/>
      </c>
      <c r="K36" s="433" t="str">
        <f ca="1">IFERROR(VLOOKUP(J34,OFFSET($AG$2,,,COUNTIF($AG$2:$AG$50,"?*"),23),19,FALSE),"")</f>
        <v/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/>
      </c>
      <c r="O36" s="434"/>
      <c r="P36" s="434"/>
      <c r="Q36" s="433" t="str">
        <f ca="1">IFERROR(IF(VLOOKUP(J34,OFFSET($AG$2,,,COUNTIF($AG$2:$AG$50,"?*"),23),14,FALSE)&lt;&gt;0,VLOOKUP(J34,OFFSET($AG$2,,,COUNTIF($AG$2:$AG$50,"?*"),23),14,FALSE),"?"),"")</f>
        <v/>
      </c>
      <c r="R36" s="43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1" t="str">
        <f ca="1">IFERROR(VLOOKUP(A34,OFFSET($S$45,,,COUNTIF($S$45:$S$50,"?*"),14),3,FALSE),"")</f>
        <v/>
      </c>
      <c r="B37" s="452"/>
      <c r="C37" s="453" t="str">
        <f ca="1">IFERROR(VLOOKUP(A34,OFFSET($S$45,,,COUNTIF($S$45:$S$50,"?*"),14),13,FALSE),"")</f>
        <v/>
      </c>
      <c r="D37" s="454"/>
      <c r="E37" s="455" t="str">
        <f ca="1">IFERROR(VLOOKUP(A34,OFFSET($AG$2,,,COUNTIF($AG$2:$AG$50,"?*"),23),19,FALSE),"")</f>
        <v/>
      </c>
      <c r="F37" s="456"/>
      <c r="H37" s="45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/>
      </c>
      <c r="B38" s="447"/>
      <c r="C38" s="448"/>
      <c r="D38" s="449" t="str">
        <f ca="1">IFERROR(IF(VLOOKUP(A34,OFFSET($AG$2,,,COUNTIF($AG$2:$AG$50,"?*"),23),14,FALSE)&lt;&gt;0,VLOOKUP(A34,OFFSET($AG$2,,,COUNTIF($AG$2:$AG$50,"?*"),23),14,FALSE),"?"),"")</f>
        <v/>
      </c>
      <c r="E38" s="450"/>
      <c r="F38" s="19" t="str">
        <f ca="1">IFERROR(VLOOKUP(A34,OFFSET($S$45,,,COUNTIF($S$45:$S$50,"?*"),14),6,FALSE),"")</f>
        <v/>
      </c>
      <c r="H38" s="457"/>
      <c r="J38" s="429"/>
      <c r="K38" s="430"/>
      <c r="L38" s="430"/>
      <c r="M38" s="430"/>
      <c r="N38" s="430"/>
      <c r="O38" s="430"/>
      <c r="P38" s="4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/>
      </c>
      <c r="K39" s="423" t="str">
        <f ca="1">IFERROR(IF(VLOOKUP(J38,OFFSET($AG$2,,,COUNTIF($AG$2:$AG$50,"?*"),23),2,FALSE)&lt;&gt;0,YEAR(VLOOKUP(J38,OFFSET($AG$2,,,COUNTIF($AG$2:$AG$50,"?*"),23),2,FALSE)),""),"")</f>
        <v/>
      </c>
      <c r="L39" s="431"/>
      <c r="M39" s="150" t="str">
        <f ca="1">IFERROR(VLOOKUP(J38,OFFSET($AG$2,,,COUNTIF($AG$2:$AG$50,"?*"),23),15,FALSE),"")</f>
        <v/>
      </c>
      <c r="N39" s="431" t="str">
        <f ca="1">IFERROR(VLOOKUP(J38,OFFSET($AG$2,,,COUNTIF($AG$2:$AG$50,"?*"),23),16,FALSE),"")</f>
        <v/>
      </c>
      <c r="O39" s="431"/>
      <c r="P39" s="431" t="str">
        <f ca="1">IFERROR(VLOOKUP(J38,OFFSET($AG$2,,,COUNTIF($AG$2:$AG$50,"?*"),23),18,FALSE),"")</f>
        <v/>
      </c>
      <c r="Q39" s="431"/>
      <c r="R39" s="43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9"/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7"/>
      <c r="J40" s="18" t="str">
        <f ca="1">IFERROR(IF(VLOOKUP(J38,OFFSET($AG$2,,,COUNTIF($AG$2:$AG$50,"?*"),23),7,FALSE)&lt;&gt;0,VLOOKUP(J38,OFFSET($AG$2,,,COUNTIF($AG$2:$AG$50,"?*"),23),7,FALSE),"?"),"")</f>
        <v/>
      </c>
      <c r="K40" s="433" t="str">
        <f ca="1">IFERROR(VLOOKUP(J38,OFFSET($AG$2,,,COUNTIF($AG$2:$AG$50,"?*"),23),19,FALSE),"")</f>
        <v/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/>
      </c>
      <c r="O40" s="434"/>
      <c r="P40" s="434"/>
      <c r="Q40" s="433" t="str">
        <f ca="1">IFERROR(IF(VLOOKUP(J38,OFFSET($AG$2,,,COUNTIF($AG$2:$AG$50,"?*"),23),14,FALSE)&lt;&gt;0,VLOOKUP(J38,OFFSET($AG$2,,,COUNTIF($AG$2:$AG$50,"?*"),23),14,FALSE),"?"),"")</f>
        <v/>
      </c>
      <c r="R40" s="43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2" t="str">
        <f ca="1">IFERROR(IF(VLOOKUP(A40,OFFSET($AG$2,,,COUNTIF($AG$2:$AG$50,"?*"),23),2,FALSE)&lt;&gt;0,YEAR(VLOOKUP(A40,OFFSET($AG$2,,,COUNTIF($AG$2:$AG$50,"?*"),23),2,FALSE)),""),"")</f>
        <v/>
      </c>
      <c r="C41" s="423"/>
      <c r="D41" s="117" t="str">
        <f ca="1">IFERROR(VLOOKUP(A40,OFFSET($AG$2,,,COUNTIF($AG$2:$AG$50,"?*"),23),15,FALSE),"")</f>
        <v/>
      </c>
      <c r="E41" s="424" t="str">
        <f ca="1">IFERROR(VLOOKUP(A40,OFFSET($AG$2,,,COUNTIF($AG$2:$AG$50,"?*"),23),16,FALSE),"")</f>
        <v/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6" t="str">
        <f ca="1">IFERROR(VLOOKUP(A40,OFFSET($AG$2,,,COUNTIF($AG$2:$AG$50,"?*"),23),18,FALSE),"")</f>
        <v/>
      </c>
      <c r="C42" s="426"/>
      <c r="D42" s="427" t="str">
        <f ca="1">IFERROR(VLOOKUP(A40,OFFSET($S$45,,,COUNTIF($S$45:$S$50,"?*"),14),5,FALSE),"")</f>
        <v/>
      </c>
      <c r="E42" s="428"/>
      <c r="F42" s="17" t="str">
        <f ca="1">IFERROR(VLOOKUP(A40,OFFSET($S$45,,,COUNTIF($S$45:$S$50,"?*"),14),14,FALSE),"")</f>
        <v/>
      </c>
      <c r="H42" s="457"/>
      <c r="J42" s="429"/>
      <c r="K42" s="430"/>
      <c r="L42" s="430"/>
      <c r="M42" s="430"/>
      <c r="N42" s="430"/>
      <c r="O42" s="430"/>
      <c r="P42" s="4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1" t="str">
        <f ca="1">IFERROR(VLOOKUP(A40,OFFSET($S$45,,,COUNTIF($S$45:$S$50,"?*"),14),3,FALSE),"")</f>
        <v/>
      </c>
      <c r="B43" s="452"/>
      <c r="C43" s="453" t="str">
        <f ca="1">IFERROR(VLOOKUP(A40,OFFSET($S$45,,,COUNTIF($S$45:$S$50,"?*"),14),13,FALSE),"")</f>
        <v/>
      </c>
      <c r="D43" s="454"/>
      <c r="E43" s="455" t="str">
        <f ca="1">IFERROR(VLOOKUP(A40,OFFSET($AG$2,,,COUNTIF($AG$2:$AG$50,"?*"),23),19,FALSE),"")</f>
        <v/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/>
      </c>
      <c r="K43" s="423" t="str">
        <f ca="1">IFERROR(IF(VLOOKUP(J42,OFFSET($AG$2,,,COUNTIF($AG$2:$AG$50,"?*"),23),2,FALSE)&lt;&gt;0,YEAR(VLOOKUP(J42,OFFSET($AG$2,,,COUNTIF($AG$2:$AG$50,"?*"),23),2,FALSE)),""),"")</f>
        <v/>
      </c>
      <c r="L43" s="431"/>
      <c r="M43" s="150" t="str">
        <f ca="1">IFERROR(VLOOKUP(J42,OFFSET($AG$2,,,COUNTIF($AG$2:$AG$50,"?*"),23),15,FALSE),"")</f>
        <v/>
      </c>
      <c r="N43" s="431" t="str">
        <f ca="1">IFERROR(VLOOKUP(J42,OFFSET($AG$2,,,COUNTIF($AG$2:$AG$50,"?*"),23),16,FALSE),"")</f>
        <v/>
      </c>
      <c r="O43" s="431"/>
      <c r="P43" s="431" t="str">
        <f ca="1">IFERROR(VLOOKUP(J42,OFFSET($AG$2,,,COUNTIF($AG$2:$AG$50,"?*"),23),18,FALSE),"")</f>
        <v/>
      </c>
      <c r="Q43" s="431"/>
      <c r="R43" s="432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/>
      </c>
      <c r="B44" s="447"/>
      <c r="C44" s="448"/>
      <c r="D44" s="449" t="str">
        <f ca="1">IFERROR(IF(VLOOKUP(A40,OFFSET($AG$2,,,COUNTIF($AG$2:$AG$50,"?*"),23),14,FALSE)&lt;&gt;0,VLOOKUP(A40,OFFSET($AG$2,,,COUNTIF($AG$2:$AG$50,"?*"),23),14,FALSE),"?"),"")</f>
        <v/>
      </c>
      <c r="E44" s="450"/>
      <c r="F44" s="19" t="str">
        <f ca="1">IFERROR(VLOOKUP(A40,OFFSET($S$45,,,COUNTIF($S$45:$S$50,"?*"),14),6,FALSE),"")</f>
        <v/>
      </c>
      <c r="H44" s="457"/>
      <c r="J44" s="18" t="str">
        <f ca="1">IFERROR(IF(VLOOKUP(J42,OFFSET($AG$2,,,COUNTIF($AG$2:$AG$50,"?*"),23),7,FALSE)&lt;&gt;0,VLOOKUP(J42,OFFSET($AG$2,,,COUNTIF($AG$2:$AG$50,"?*"),23),7,FALSE),"?"),"")</f>
        <v/>
      </c>
      <c r="K44" s="433" t="str">
        <f ca="1">IFERROR(VLOOKUP(J42,OFFSET($AG$2,,,COUNTIF($AG$2:$AG$50,"?*"),23),19,FALSE),"")</f>
        <v/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/>
      </c>
      <c r="O44" s="434"/>
      <c r="P44" s="434"/>
      <c r="Q44" s="433" t="str">
        <f ca="1">IFERROR(IF(VLOOKUP(J42,OFFSET($AG$2,,,COUNTIF($AG$2:$AG$50,"?*"),23),14,FALSE)&lt;&gt;0,VLOOKUP(J42,OFFSET($AG$2,,,COUNTIF($AG$2:$AG$50,"?*"),23),14,FALSE),"?"),"")</f>
        <v/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264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272</v>
      </c>
      <c r="T46" s="102">
        <v>8</v>
      </c>
      <c r="U46" s="112">
        <v>409.28</v>
      </c>
      <c r="V46" s="102">
        <v>6</v>
      </c>
      <c r="W46" s="102">
        <v>37</v>
      </c>
      <c r="X46" s="102">
        <v>0</v>
      </c>
      <c r="Y46" s="102">
        <v>134</v>
      </c>
      <c r="Z46" s="102">
        <v>0</v>
      </c>
      <c r="AA46" s="102">
        <v>2</v>
      </c>
      <c r="AB46" s="102">
        <v>97</v>
      </c>
      <c r="AC46" s="102">
        <v>0</v>
      </c>
      <c r="AD46" s="102">
        <v>0</v>
      </c>
      <c r="AE46" s="112">
        <f t="shared" ref="AE46:AE50" si="23">IF(S46&lt;&gt;"",IF(T46&gt;0,W46/(U46/60),0),"")</f>
        <v>5.4241594996090701</v>
      </c>
      <c r="AF46" s="112">
        <f t="shared" ref="AF46:AF50" si="24">IF(S46&lt;&gt;"",IF(Y46&gt;0,(AB46/Y46)*100,"-"),"")</f>
        <v>72.388059701492537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8"/>
      <c r="B47" s="419"/>
      <c r="C47" s="419"/>
      <c r="D47" s="419"/>
      <c r="E47" s="420" t="str">
        <f ca="1">IFERROR(VLOOKUP(A47,OFFSET($BN$2,,,COUNTIF($BN$2:$BN$11,"?*"),5),3,FALSE),"")</f>
        <v/>
      </c>
      <c r="F47" s="420"/>
      <c r="G47" s="420"/>
      <c r="H47" s="420"/>
      <c r="I47" s="421"/>
      <c r="J47" s="418"/>
      <c r="K47" s="419"/>
      <c r="L47" s="419"/>
      <c r="M47" s="419"/>
      <c r="N47" s="420" t="str">
        <f ca="1">IFERROR(VLOOKUP(J47,OFFSET($BN$2,,,COUNTIF($BN$2:$BN$11,"?*"),5),3,FALSE),"")</f>
        <v/>
      </c>
      <c r="O47" s="420"/>
      <c r="P47" s="420"/>
      <c r="Q47" s="420"/>
      <c r="R47" s="421"/>
      <c r="S47" s="111" t="s">
        <v>263</v>
      </c>
      <c r="T47" s="102">
        <v>1</v>
      </c>
      <c r="U47" s="112">
        <v>38.020000000000003</v>
      </c>
      <c r="V47" s="102">
        <v>1</v>
      </c>
      <c r="W47" s="102">
        <v>1</v>
      </c>
      <c r="X47" s="102">
        <v>0</v>
      </c>
      <c r="Y47" s="102">
        <v>14</v>
      </c>
      <c r="Z47" s="102">
        <v>0</v>
      </c>
      <c r="AA47" s="102">
        <v>0</v>
      </c>
      <c r="AB47" s="102">
        <v>13</v>
      </c>
      <c r="AC47" s="102">
        <v>0</v>
      </c>
      <c r="AD47" s="102">
        <v>0</v>
      </c>
      <c r="AE47" s="112">
        <f t="shared" si="23"/>
        <v>1.5781167806417673</v>
      </c>
      <c r="AF47" s="112">
        <f t="shared" si="24"/>
        <v>92.857142857142861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6" t="str">
        <f ca="1">IFERROR(VLOOKUP(A47,OFFSET($BN$2,,,COUNTIF($BN$2:$BN$11,"?*"),5),5,FALSE),"")</f>
        <v/>
      </c>
      <c r="B48" s="438" t="str">
        <f ca="1">IFERROR(IF(VLOOKUP(A47,OFFSET($BN$2,,,COUNTIF($BN$2:$BN$11,"?*"),5),4,FALSE)&lt;&gt;0,VLOOKUP(A47,OFFSET($BN$2,,,COUNTIF($BN$2:$BN$11,"?*"),5),4,FALSE),"-"),"")</f>
        <v/>
      </c>
      <c r="C48" s="438"/>
      <c r="D48" s="438"/>
      <c r="E48" s="438"/>
      <c r="F48" s="438"/>
      <c r="G48" s="438"/>
      <c r="H48" s="438"/>
      <c r="I48" s="439"/>
      <c r="J48" s="119" t="str">
        <f ca="1">IFERROR(VLOOKUP(J47,OFFSET($BN$2,,,COUNTIF($BN$2:$BN$11,"?*"),5),5,FALSE),"")</f>
        <v/>
      </c>
      <c r="K48" s="442" t="str">
        <f ca="1">IFERROR(IF(VLOOKUP(J47,OFFSET($BN$2,,,COUNTIF($BN$2:$BN$11,"?*"),5),4,FALSE)&lt;&gt;0,VLOOKUP(J47,OFFSET($BN$2,,,COUNTIF($BN$2:$BN$11,"?*"),5),4,FALSE),"-"),"")</f>
        <v/>
      </c>
      <c r="L48" s="442"/>
      <c r="M48" s="442"/>
      <c r="N48" s="442"/>
      <c r="O48" s="442"/>
      <c r="P48" s="442"/>
      <c r="Q48" s="442"/>
      <c r="R48" s="443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/>
      <c r="K49" s="445"/>
      <c r="L49" s="445"/>
      <c r="M49" s="445"/>
      <c r="N49" s="420" t="str">
        <f ca="1">IFERROR(VLOOKUP(J49,OFFSET($BN$2,,,COUNTIF($BN$2:$BN$11,"?*"),5),3,FALSE),"")</f>
        <v/>
      </c>
      <c r="O49" s="420"/>
      <c r="P49" s="420"/>
      <c r="Q49" s="420"/>
      <c r="R49" s="42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119" t="str">
        <f ca="1">IFERROR(VLOOKUP(J49,OFFSET($BN$2,,,COUNTIF($BN$2:$BN$11,"?*"),5),5,FALSE),"")</f>
        <v/>
      </c>
      <c r="K50" s="442" t="str">
        <f ca="1">IFERROR(IF(VLOOKUP(J49,OFFSET($BN$2,,,COUNTIF($BN$2:$BN$11,"?*"),5),4,FALSE)&lt;&gt;0,VLOOKUP(J49,OFFSET($BN$2,,,COUNTIF($BN$2:$BN$11,"?*"),5),4,FALSE),"-"),"")</f>
        <v/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B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B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B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B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 t="s">
        <v>195</v>
      </c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463" t="s">
        <v>1</v>
      </c>
      <c r="I1" s="463"/>
      <c r="J1" s="463"/>
      <c r="K1" s="463"/>
      <c r="M1" s="429" t="s">
        <v>201</v>
      </c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422">
        <f ca="1">IFERROR(IF(VLOOKUP(A1,OFFSET($AG$2,,,COUNTIF($AG$2:$AG$50,"?*"),23),2,FALSE)&lt;&gt;0,YEAR(VLOOKUP(A1,OFFSET($AG$2,,,COUNTIF($AG$2:$AG$50,"?*"),23),2,FALSE)),""),"")</f>
        <v>1998</v>
      </c>
      <c r="C2" s="423"/>
      <c r="D2" s="94">
        <f ca="1">IFERROR(VLOOKUP(A1,OFFSET($AG$2,,,COUNTIF($AG$2:$AG$50,"?*"),23),15,FALSE),"")</f>
        <v>23</v>
      </c>
      <c r="E2" s="424" t="str">
        <f ca="1">IFERROR(VLOOKUP(A1,OFFSET($AG$2,,,COUNTIF($AG$2:$AG$50,"?*"),23),16,FALSE),"")</f>
        <v>177/74</v>
      </c>
      <c r="F2" s="425"/>
      <c r="M2" s="4" t="str">
        <f ca="1">IFERROR(IF(VLOOKUP(M1,OFFSET($AG$2,,,COUNTIF($AG$2:$AG$50,"?*"),23),10,FALSE)&lt;&gt;0,VLOOKUP(M1,OFFSET($AG$2,,,COUNTIF($AG$2:$AG$50,"?*"),23),10,FALSE),""),"")</f>
        <v>L</v>
      </c>
      <c r="N2" s="422">
        <f ca="1">IFERROR(IF(VLOOKUP(M1,OFFSET($AG$2,,,COUNTIF($AG$2:$AG$50,"?*"),23),2,FALSE)&lt;&gt;0,YEAR(VLOOKUP(M1,OFFSET($AG$2,,,COUNTIF($AG$2:$AG$50,"?*"),23),2,FALSE)),""),"")</f>
        <v>2003</v>
      </c>
      <c r="O2" s="423"/>
      <c r="P2" s="94">
        <f ca="1">IFERROR(VLOOKUP(M1,OFFSET($AG$2,,,COUNTIF($AG$2:$AG$50,"?*"),23),15,FALSE),"")</f>
        <v>18</v>
      </c>
      <c r="Q2" s="424" t="str">
        <f ca="1">IFERROR(VLOOKUP(M1,OFFSET($AG$2,,,COUNTIF($AG$2:$AG$50,"?*"),23),16,FALSE),"")</f>
        <v>187/83</v>
      </c>
      <c r="R2" s="425"/>
      <c r="S2" s="110" t="s">
        <v>201</v>
      </c>
      <c r="U2" s="102">
        <v>11</v>
      </c>
      <c r="V2" s="102">
        <v>12</v>
      </c>
      <c r="W2" s="102">
        <v>0</v>
      </c>
      <c r="X2" s="102">
        <v>0</v>
      </c>
      <c r="Y2" s="102">
        <v>10</v>
      </c>
      <c r="Z2" s="102">
        <v>22</v>
      </c>
      <c r="AA2" s="102">
        <v>8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202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137</v>
      </c>
      <c r="AQ2" s="123">
        <v>185</v>
      </c>
      <c r="AR2" s="123">
        <v>86</v>
      </c>
      <c r="AS2" s="126" t="s">
        <v>214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10 OZ, 3 (2+1), -10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128 OZ, 38 (28+10)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231</v>
      </c>
      <c r="BO2" s="122">
        <v>24850</v>
      </c>
      <c r="BP2" s="131" t="s">
        <v>236</v>
      </c>
      <c r="BQ2" s="132" t="s">
        <v>240</v>
      </c>
      <c r="BR2" s="127">
        <f ca="1">IF(BN2&lt;&gt;"",IF(BO2&lt;&gt;"",INT((TODAY()-BO2)/365),"?"),"")</f>
        <v>53</v>
      </c>
      <c r="BS2" s="417" t="s">
        <v>36</v>
      </c>
      <c r="BT2" s="104" t="s">
        <v>1240</v>
      </c>
      <c r="BU2" s="103">
        <v>22</v>
      </c>
      <c r="BV2" s="104" t="str">
        <f>IFERROR(RIGHT(BT2,LEN(BT2)-SEARCH(" ",BT2)),"")</f>
        <v>Šimon Stránský</v>
      </c>
      <c r="BW2" s="102">
        <f>IF(BT2&lt;&gt;0,_xlfn.NUMBERVALUE(BU2,","),"")</f>
        <v>22</v>
      </c>
      <c r="BX2" s="416" t="s">
        <v>192</v>
      </c>
      <c r="BY2" s="103" t="s">
        <v>861</v>
      </c>
      <c r="BZ2" s="103" t="s">
        <v>858</v>
      </c>
      <c r="CA2" s="115" t="s">
        <v>791</v>
      </c>
    </row>
    <row r="3" spans="1:79" ht="15" customHeight="1" thickTop="1" thickBot="1" x14ac:dyDescent="0.25">
      <c r="A3" s="458" t="str">
        <f ca="1">IFERROR(VLOOKUP(A1,OFFSET($AG$2,,,COUNTIF($AG$2:$AG$50,"?*"),23),18,FALSE),"")</f>
        <v>11 OZ, 2 (2+0), -3 ±</v>
      </c>
      <c r="B3" s="459"/>
      <c r="C3" s="459"/>
      <c r="D3" s="460" t="str">
        <f ca="1">IFERROR(VLOOKUP(A1,OFFSET($AG$2,,,COUNTIF($AG$2:$AG$50,"?*"),23),19,FALSE),"")</f>
        <v>105 OZ, 31 (22+9)</v>
      </c>
      <c r="E3" s="460"/>
      <c r="F3" s="461"/>
      <c r="G3" s="429" t="s">
        <v>194</v>
      </c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458" t="str">
        <f ca="1">IFERROR(VLOOKUP(M1,OFFSET($AG$2,,,COUNTIF($AG$2:$AG$50,"?*"),23),18,FALSE),"")</f>
        <v>11 OZ, 22 (12+10), +1 ±</v>
      </c>
      <c r="N3" s="459"/>
      <c r="O3" s="459"/>
      <c r="P3" s="460" t="str">
        <f ca="1">IFERROR(VLOOKUP(M1,OFFSET($AG$2,,,COUNTIF($AG$2:$AG$50,"?*"),23),19,FALSE),"")</f>
        <v>29 OZ, 36 (21+15)</v>
      </c>
      <c r="Q3" s="460"/>
      <c r="R3" s="461"/>
      <c r="S3" s="110" t="s">
        <v>198</v>
      </c>
      <c r="T3" s="102" t="s">
        <v>107</v>
      </c>
      <c r="U3" s="102">
        <v>10</v>
      </c>
      <c r="V3" s="102">
        <v>8</v>
      </c>
      <c r="W3" s="102">
        <v>2</v>
      </c>
      <c r="X3" s="102">
        <v>0</v>
      </c>
      <c r="Y3" s="102">
        <v>11</v>
      </c>
      <c r="Z3" s="102">
        <v>19</v>
      </c>
      <c r="AA3" s="102">
        <v>0</v>
      </c>
      <c r="AB3" s="102">
        <v>7</v>
      </c>
      <c r="AC3" s="102" t="str">
        <f t="shared" ca="1" si="0"/>
        <v>ANO</v>
      </c>
      <c r="AG3" s="121" t="s">
        <v>215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137</v>
      </c>
      <c r="AQ3" s="123">
        <v>180</v>
      </c>
      <c r="AR3" s="123">
        <v>73</v>
      </c>
      <c r="AS3" s="126" t="s">
        <v>76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3 OZ, 0 (0+0), 0 ±</v>
      </c>
      <c r="AY3" s="129" t="str">
        <f t="shared" ca="1" si="2"/>
        <v>124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232</v>
      </c>
      <c r="BO3" s="122">
        <v>34764</v>
      </c>
      <c r="BP3" s="131" t="s">
        <v>237</v>
      </c>
      <c r="BQ3" s="132"/>
      <c r="BR3" s="127">
        <f t="shared" ref="BR3:BR11" ca="1" si="12">IF(BN3&lt;&gt;"",IF(BO3&lt;&gt;"",INT((TODAY()-BO3)/365),"?"),"")</f>
        <v>26</v>
      </c>
      <c r="BS3" s="417"/>
      <c r="BT3" s="104" t="s">
        <v>775</v>
      </c>
      <c r="BU3" s="103">
        <v>19</v>
      </c>
      <c r="BV3" s="104" t="str">
        <f t="shared" ref="BV3:BV31" si="13">IFERROR(RIGHT(BT3,LEN(BT3)-SEARCH(" ",BT3)),"")</f>
        <v>Prokop Ferdan</v>
      </c>
      <c r="BW3" s="102">
        <f t="shared" ref="BW3:BW31" si="14">IF(BT3&lt;&gt;0,_xlfn.NUMBERVALUE(BU3,","),"")</f>
        <v>19</v>
      </c>
      <c r="BX3" s="416"/>
      <c r="BY3" s="103" t="s">
        <v>1076</v>
      </c>
      <c r="BZ3" s="103" t="s">
        <v>837</v>
      </c>
      <c r="CA3" s="115" t="s">
        <v>791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>FBC Liberec</v>
      </c>
      <c r="B4" s="447"/>
      <c r="C4" s="448"/>
      <c r="D4" s="449">
        <f ca="1">IFERROR(IF(VLOOKUP(A1,OFFSET($AG$2,,,COUNTIF($AG$2:$AG$50,"?*"),23),14,FALSE)&lt;&gt;0,VLOOKUP(A1,OFFSET($AG$2,,,COUNTIF($AG$2:$AG$50,"?*"),23),14,FALSE),"?"),"")</f>
        <v>2011</v>
      </c>
      <c r="E4" s="45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422">
        <f ca="1">IFERROR(IF(VLOOKUP(G3,OFFSET($AG$2,,,COUNTIF($AG$2:$AG$50,"?*"),23),2,FALSE)&lt;&gt;0,YEAR(VLOOKUP(G3,OFFSET($AG$2,,,COUNTIF($AG$2:$AG$50,"?*"),23),2,FALSE)),""),"")</f>
        <v>1998</v>
      </c>
      <c r="I4" s="423"/>
      <c r="J4" s="94">
        <f ca="1">IFERROR(VLOOKUP(G3,OFFSET($AG$2,,,COUNTIF($AG$2:$AG$50,"?*"),23),15,FALSE),"")</f>
        <v>23</v>
      </c>
      <c r="K4" s="424" t="str">
        <f ca="1">IFERROR(VLOOKUP(G3,OFFSET($AG$2,,,COUNTIF($AG$2:$AG$50,"?*"),23),16,FALSE),"")</f>
        <v>185/74</v>
      </c>
      <c r="L4" s="425"/>
      <c r="M4" s="446" t="str">
        <f ca="1">IFERROR(IF(VLOOKUP(M1,OFFSET($AG$2,,,COUNTIF($AG$2:$AG$50,"?*"),23),13,FALSE)&lt;&gt;0,VLOOKUP(M1,OFFSET($AG$2,,,COUNTIF($AG$2:$AG$50,"?*"),23),13,FALSE),"?"),"")</f>
        <v>FBC Lomnice</v>
      </c>
      <c r="N4" s="447"/>
      <c r="O4" s="448"/>
      <c r="P4" s="449">
        <f ca="1">IFERROR(IF(VLOOKUP(M1,OFFSET($AG$2,,,COUNTIF($AG$2:$AG$50,"?*"),23),14,FALSE)&lt;&gt;0,VLOOKUP(M1,OFFSET($AG$2,,,COUNTIF($AG$2:$AG$50,"?*"),23),14,FALSE),"?"),"")</f>
        <v>2010</v>
      </c>
      <c r="Q4" s="45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196</v>
      </c>
      <c r="T4" s="102" t="s">
        <v>107</v>
      </c>
      <c r="U4" s="102">
        <v>11</v>
      </c>
      <c r="V4" s="102">
        <v>10</v>
      </c>
      <c r="W4" s="102">
        <v>0</v>
      </c>
      <c r="X4" s="102">
        <v>0</v>
      </c>
      <c r="Y4" s="102">
        <v>8</v>
      </c>
      <c r="Z4" s="102">
        <v>18</v>
      </c>
      <c r="AA4" s="102">
        <v>2</v>
      </c>
      <c r="AB4" s="102">
        <v>4</v>
      </c>
      <c r="AC4" s="102" t="str">
        <f t="shared" ca="1" si="0"/>
        <v>ANO</v>
      </c>
      <c r="AG4" s="121" t="s">
        <v>216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137</v>
      </c>
      <c r="AQ4" s="123">
        <v>180</v>
      </c>
      <c r="AR4" s="123">
        <v>66</v>
      </c>
      <c r="AS4" s="126" t="s">
        <v>76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233</v>
      </c>
      <c r="BO4" s="122">
        <v>29102</v>
      </c>
      <c r="BP4" s="131" t="s">
        <v>176</v>
      </c>
      <c r="BQ4" s="132"/>
      <c r="BR4" s="127">
        <f t="shared" ca="1" si="12"/>
        <v>42</v>
      </c>
      <c r="BS4" s="417"/>
      <c r="BT4" s="104" t="s">
        <v>1241</v>
      </c>
      <c r="BU4" s="103">
        <v>18</v>
      </c>
      <c r="BV4" s="104" t="str">
        <f t="shared" si="13"/>
        <v>Radek Valeš</v>
      </c>
      <c r="BW4" s="102">
        <f t="shared" si="14"/>
        <v>18</v>
      </c>
      <c r="BX4" s="416"/>
      <c r="BY4" s="103" t="s">
        <v>853</v>
      </c>
      <c r="BZ4" s="103" t="s">
        <v>880</v>
      </c>
      <c r="CA4" s="115" t="s">
        <v>1095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>7 OZ, 8 (3+5), +1 ±</v>
      </c>
      <c r="H5" s="459"/>
      <c r="I5" s="459"/>
      <c r="J5" s="460" t="str">
        <f ca="1">IFERROR(VLOOKUP(G3,OFFSET($AG$2,,,COUNTIF($AG$2:$AG$50,"?*"),23),19,FALSE),"")</f>
        <v>107 OZ, 93 (53+40)</v>
      </c>
      <c r="K5" s="460"/>
      <c r="L5" s="461"/>
      <c r="S5" s="110" t="s">
        <v>208</v>
      </c>
      <c r="T5" s="102" t="s">
        <v>107</v>
      </c>
      <c r="U5" s="102">
        <v>10</v>
      </c>
      <c r="V5" s="102">
        <v>11</v>
      </c>
      <c r="W5" s="102">
        <v>1</v>
      </c>
      <c r="X5" s="102">
        <v>0</v>
      </c>
      <c r="Y5" s="102">
        <v>6</v>
      </c>
      <c r="Z5" s="102">
        <v>17</v>
      </c>
      <c r="AA5" s="102">
        <v>0</v>
      </c>
      <c r="AB5" s="102">
        <v>1</v>
      </c>
      <c r="AC5" s="102" t="str">
        <f t="shared" ca="1" si="0"/>
        <v>ANO</v>
      </c>
      <c r="AG5" s="121" t="s">
        <v>209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137</v>
      </c>
      <c r="AQ5" s="123">
        <v>180</v>
      </c>
      <c r="AR5" s="123">
        <v>82</v>
      </c>
      <c r="AS5" s="126" t="s">
        <v>217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11 OZ, 1 (1+0), +2 ±</v>
      </c>
      <c r="AY5" s="129" t="str">
        <f t="shared" ca="1" si="2"/>
        <v>205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234</v>
      </c>
      <c r="BO5" s="122">
        <v>30335</v>
      </c>
      <c r="BP5" s="131" t="s">
        <v>238</v>
      </c>
      <c r="BQ5" s="132"/>
      <c r="BR5" s="127">
        <f t="shared" ca="1" si="12"/>
        <v>38</v>
      </c>
      <c r="BS5" s="417"/>
      <c r="BT5" s="104" t="s">
        <v>1242</v>
      </c>
      <c r="BU5" s="103">
        <v>17</v>
      </c>
      <c r="BV5" s="104" t="str">
        <f t="shared" si="13"/>
        <v>Filip Smutný</v>
      </c>
      <c r="BW5" s="102">
        <f t="shared" si="14"/>
        <v>17</v>
      </c>
      <c r="BX5" s="416"/>
      <c r="BY5" s="103" t="s">
        <v>872</v>
      </c>
      <c r="BZ5" s="103" t="s">
        <v>832</v>
      </c>
      <c r="CA5" s="115" t="s">
        <v>1075</v>
      </c>
    </row>
    <row r="6" spans="1:79" ht="15" customHeight="1" thickTop="1" thickBot="1" x14ac:dyDescent="0.25">
      <c r="A6" s="429" t="s">
        <v>210</v>
      </c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446" t="str">
        <f ca="1">IFERROR(IF(VLOOKUP(G3,OFFSET($AG$2,,,COUNTIF($AG$2:$AG$50,"?*"),23),13,FALSE)&lt;&gt;0,VLOOKUP(G3,OFFSET($AG$2,,,COUNTIF($AG$2:$AG$50,"?*"),23),13,FALSE),"?"),"")</f>
        <v>TJ Sokol Jaroměř</v>
      </c>
      <c r="H6" s="447"/>
      <c r="I6" s="448"/>
      <c r="J6" s="449">
        <f ca="1">IFERROR(IF(VLOOKUP(G3,OFFSET($AG$2,,,COUNTIF($AG$2:$AG$50,"?*"),23),14,FALSE)&lt;&gt;0,VLOOKUP(G3,OFFSET($AG$2,,,COUNTIF($AG$2:$AG$50,"?*"),23),14,FALSE),"?"),"")</f>
        <v>2007</v>
      </c>
      <c r="K6" s="450"/>
      <c r="L6" s="7">
        <f ca="1">IFERROR(IF(VLOOKUP(G3,OFFSET($AG$2,,,COUNTIF($AG$2:$AG$50,"?*"),23),7,FALSE)&lt;&gt;0,VLOOKUP(G3,OFFSET($AG$2,,,COUNTIF($AG$2:$AG$50,"?*"),23),7,FALSE),"?"),"")</f>
        <v>5</v>
      </c>
      <c r="M6" s="429" t="s">
        <v>204</v>
      </c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206</v>
      </c>
      <c r="U6" s="102">
        <v>11</v>
      </c>
      <c r="V6" s="102">
        <v>7</v>
      </c>
      <c r="W6" s="102">
        <v>0</v>
      </c>
      <c r="X6" s="102">
        <v>0</v>
      </c>
      <c r="Y6" s="102">
        <v>5</v>
      </c>
      <c r="Z6" s="102">
        <v>12</v>
      </c>
      <c r="AA6" s="102">
        <v>4</v>
      </c>
      <c r="AB6" s="102">
        <v>6</v>
      </c>
      <c r="AC6" s="102" t="str">
        <f t="shared" ca="1" si="0"/>
        <v>ANO</v>
      </c>
      <c r="AG6" s="121" t="s">
        <v>198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219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10 OZ, 19 (8+11), +7 ±</v>
      </c>
      <c r="AY6" s="129" t="str">
        <f t="shared" ca="1" si="2"/>
        <v>195 OZ, 243 (134+109)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235</v>
      </c>
      <c r="BO6" s="122">
        <v>36034</v>
      </c>
      <c r="BP6" s="131" t="s">
        <v>239</v>
      </c>
      <c r="BQ6" s="132"/>
      <c r="BR6" s="127">
        <f t="shared" ca="1" si="12"/>
        <v>23</v>
      </c>
      <c r="BS6" s="417"/>
      <c r="BT6" s="104" t="s">
        <v>1074</v>
      </c>
      <c r="BU6" s="103">
        <v>12</v>
      </c>
      <c r="BV6" s="104" t="str">
        <f t="shared" si="13"/>
        <v>Vojtěch Wiener</v>
      </c>
      <c r="BW6" s="102">
        <f t="shared" si="14"/>
        <v>12</v>
      </c>
      <c r="BX6" s="416"/>
      <c r="BY6" s="103" t="s">
        <v>242</v>
      </c>
      <c r="BZ6" s="103" t="s">
        <v>849</v>
      </c>
      <c r="CA6" s="115" t="s">
        <v>311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422">
        <f ca="1">IFERROR(IF(VLOOKUP(A6,OFFSET($AG$2,,,COUNTIF($AG$2:$AG$50,"?*"),23),2,FALSE)&lt;&gt;0,YEAR(VLOOKUP(A6,OFFSET($AG$2,,,COUNTIF($AG$2:$AG$50,"?*"),23),2,FALSE)),""),"")</f>
        <v>2002</v>
      </c>
      <c r="C7" s="423"/>
      <c r="D7" s="94">
        <f ca="1">IFERROR(VLOOKUP(A6,OFFSET($AG$2,,,COUNTIF($AG$2:$AG$50,"?*"),23),15,FALSE),"")</f>
        <v>19</v>
      </c>
      <c r="E7" s="424" t="str">
        <f ca="1">IFERROR(VLOOKUP(A6,OFFSET($AG$2,,,COUNTIF($AG$2:$AG$50,"?*"),23),16,FALSE),"")</f>
        <v>164/68</v>
      </c>
      <c r="F7" s="425"/>
      <c r="M7" s="4" t="str">
        <f ca="1">IFERROR(IF(VLOOKUP(M6,OFFSET($AG$2,,,COUNTIF($AG$2:$AG$50,"?*"),23),10,FALSE)&lt;&gt;0,VLOOKUP(M6,OFFSET($AG$2,,,COUNTIF($AG$2:$AG$50,"?*"),23),10,FALSE),""),"")</f>
        <v>L</v>
      </c>
      <c r="N7" s="422">
        <f ca="1">IFERROR(IF(VLOOKUP(M6,OFFSET($AG$2,,,COUNTIF($AG$2:$AG$50,"?*"),23),2,FALSE)&lt;&gt;0,YEAR(VLOOKUP(M6,OFFSET($AG$2,,,COUNTIF($AG$2:$AG$50,"?*"),23),2,FALSE)),""),"")</f>
        <v>1986</v>
      </c>
      <c r="O7" s="423"/>
      <c r="P7" s="94">
        <f ca="1">IFERROR(VLOOKUP(M6,OFFSET($AG$2,,,COUNTIF($AG$2:$AG$50,"?*"),23),15,FALSE),"")</f>
        <v>35</v>
      </c>
      <c r="Q7" s="424" t="str">
        <f ca="1">IFERROR(VLOOKUP(M6,OFFSET($AG$2,,,COUNTIF($AG$2:$AG$50,"?*"),23),16,FALSE),"")</f>
        <v>185/69</v>
      </c>
      <c r="R7" s="425"/>
      <c r="S7" s="110" t="s">
        <v>194</v>
      </c>
      <c r="U7" s="102">
        <v>7</v>
      </c>
      <c r="V7" s="102">
        <v>3</v>
      </c>
      <c r="W7" s="102">
        <v>1</v>
      </c>
      <c r="X7" s="102">
        <v>0</v>
      </c>
      <c r="Y7" s="102">
        <v>5</v>
      </c>
      <c r="Z7" s="102">
        <v>8</v>
      </c>
      <c r="AA7" s="102">
        <v>0</v>
      </c>
      <c r="AB7" s="102">
        <v>1</v>
      </c>
      <c r="AC7" s="102" t="str">
        <f t="shared" ca="1" si="0"/>
        <v>ANO</v>
      </c>
      <c r="AG7" s="121" t="s">
        <v>212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76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6 V, 4 P</v>
      </c>
      <c r="AY7" s="129" t="str">
        <f t="shared" ca="1" si="2"/>
        <v>10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7" t="s">
        <v>40</v>
      </c>
      <c r="BT7" s="104" t="s">
        <v>241</v>
      </c>
      <c r="BU7" s="103" t="s">
        <v>1243</v>
      </c>
      <c r="BV7" s="104" t="str">
        <f t="shared" si="13"/>
        <v>Petr Chlad</v>
      </c>
      <c r="BW7" s="112">
        <f t="shared" si="14"/>
        <v>5.5</v>
      </c>
      <c r="BX7" s="416" t="s">
        <v>193</v>
      </c>
      <c r="BY7" s="103" t="s">
        <v>972</v>
      </c>
      <c r="BZ7" s="103" t="s">
        <v>851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>11 OZ, 0 (0+0), -3 ±</v>
      </c>
      <c r="B8" s="459"/>
      <c r="C8" s="459"/>
      <c r="D8" s="460" t="str">
        <f ca="1">IFERROR(VLOOKUP(A6,OFFSET($AG$2,,,COUNTIF($AG$2:$AG$50,"?*"),23),19,FALSE),"")</f>
        <v>25 OZ, 1 (1+0)</v>
      </c>
      <c r="E8" s="460"/>
      <c r="F8" s="461"/>
      <c r="H8" s="462" t="s">
        <v>99</v>
      </c>
      <c r="I8" s="462"/>
      <c r="J8" s="462"/>
      <c r="K8" s="462"/>
      <c r="M8" s="458" t="str">
        <f ca="1">IFERROR(VLOOKUP(M6,OFFSET($AG$2,,,COUNTIF($AG$2:$AG$50,"?*"),23),18,FALSE),"")</f>
        <v>8 OZ, 3 (0+3), +2 ±</v>
      </c>
      <c r="N8" s="459"/>
      <c r="O8" s="459"/>
      <c r="P8" s="460" t="str">
        <f ca="1">IFERROR(VLOOKUP(M6,OFFSET($AG$2,,,COUNTIF($AG$2:$AG$50,"?*"),23),19,FALSE),"")</f>
        <v>310 OZ, 234 (95+139)</v>
      </c>
      <c r="Q8" s="460"/>
      <c r="R8" s="461"/>
      <c r="S8" s="110" t="s">
        <v>211</v>
      </c>
      <c r="T8" s="102" t="s">
        <v>107</v>
      </c>
      <c r="U8" s="102">
        <v>11</v>
      </c>
      <c r="V8" s="102">
        <v>3</v>
      </c>
      <c r="W8" s="102">
        <v>0</v>
      </c>
      <c r="X8" s="102">
        <v>0</v>
      </c>
      <c r="Y8" s="102">
        <v>2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203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137</v>
      </c>
      <c r="AQ8" s="123">
        <v>178</v>
      </c>
      <c r="AR8" s="123">
        <v>74</v>
      </c>
      <c r="AS8" s="126" t="s">
        <v>76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11 OZ, 1 (0+1), +5 ±</v>
      </c>
      <c r="AY8" s="129" t="str">
        <f t="shared" ca="1" si="2"/>
        <v>33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7"/>
      <c r="BT8" s="104" t="s">
        <v>1244</v>
      </c>
      <c r="BU8" s="103" t="s">
        <v>183</v>
      </c>
      <c r="BV8" s="104" t="str">
        <f t="shared" si="13"/>
        <v>Daniel Mück</v>
      </c>
      <c r="BW8" s="112">
        <f t="shared" si="14"/>
        <v>0</v>
      </c>
      <c r="BX8" s="416"/>
      <c r="BY8" s="103" t="s">
        <v>1053</v>
      </c>
      <c r="BZ8" s="103" t="s">
        <v>850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>Florbal Mladá Boleslav</v>
      </c>
      <c r="B9" s="447"/>
      <c r="C9" s="448"/>
      <c r="D9" s="449">
        <f ca="1">IFERROR(IF(VLOOKUP(A6,OFFSET($AG$2,,,COUNTIF($AG$2:$AG$50,"?*"),23),14,FALSE)&lt;&gt;0,VLOOKUP(A6,OFFSET($AG$2,,,COUNTIF($AG$2:$AG$50,"?*"),23),14,FALSE),"?"),"")</f>
        <v>2005</v>
      </c>
      <c r="E9" s="450"/>
      <c r="F9" s="7">
        <f ca="1">IFERROR(IF(VLOOKUP(A6,OFFSET($AG$2,,,COUNTIF($AG$2:$AG$50,"?*"),23),7,FALSE)&lt;&gt;0,VLOOKUP(A6,OFFSET($AG$2,,,COUNTIF($AG$2:$AG$50,"?*"),23),7,FALSE),"?"),"")</f>
        <v>4</v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>FBC Mustang</v>
      </c>
      <c r="N9" s="447"/>
      <c r="O9" s="448"/>
      <c r="P9" s="449">
        <f ca="1">IFERROR(IF(VLOOKUP(M6,OFFSET($AG$2,,,COUNTIF($AG$2:$AG$50,"?*"),23),14,FALSE)&lt;&gt;0,VLOOKUP(M6,OFFSET($AG$2,,,COUNTIF($AG$2:$AG$50,"?*"),23),14,FALSE),"?"),"")</f>
        <v>1996</v>
      </c>
      <c r="Q9" s="450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202</v>
      </c>
      <c r="T9" s="102" t="s">
        <v>107</v>
      </c>
      <c r="U9" s="102">
        <v>10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-10</v>
      </c>
      <c r="AC9" s="102" t="str">
        <f t="shared" ca="1" si="0"/>
        <v>ANO</v>
      </c>
      <c r="AG9" s="121" t="s">
        <v>199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221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7"/>
      <c r="BT9" s="104" t="s">
        <v>777</v>
      </c>
      <c r="BU9" s="103" t="s">
        <v>183</v>
      </c>
      <c r="BV9" s="104" t="str">
        <f t="shared" si="13"/>
        <v>Jan Král</v>
      </c>
      <c r="BW9" s="112">
        <f t="shared" si="14"/>
        <v>0</v>
      </c>
      <c r="BX9" s="416"/>
      <c r="BY9" s="103" t="s">
        <v>1160</v>
      </c>
      <c r="BZ9" s="103" t="s">
        <v>871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204</v>
      </c>
      <c r="T10" s="102" t="s">
        <v>58</v>
      </c>
      <c r="U10" s="102">
        <v>8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2</v>
      </c>
      <c r="AB10" s="102">
        <v>2</v>
      </c>
      <c r="AC10" s="102" t="str">
        <f t="shared" ca="1" si="0"/>
        <v>ANO</v>
      </c>
      <c r="AG10" s="121" t="s">
        <v>197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150</v>
      </c>
      <c r="AP10" s="125" t="s">
        <v>137</v>
      </c>
      <c r="AQ10" s="123">
        <v>194</v>
      </c>
      <c r="AR10" s="123">
        <v>98</v>
      </c>
      <c r="AS10" s="126" t="s">
        <v>76</v>
      </c>
      <c r="AT10" s="123">
        <v>1999</v>
      </c>
      <c r="AU10" s="127">
        <f ca="1">IF(AG10&lt;&gt;"",IF(AH10&lt;&gt;"",INT((TODAY()-AH10)/365),"?"),"")</f>
        <v>32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10 OZ, 1 (1+0), -2 ±</v>
      </c>
      <c r="AY10" s="129" t="str">
        <f t="shared" ca="1" si="2"/>
        <v>252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7"/>
      <c r="BT10" s="104" t="s">
        <v>1245</v>
      </c>
      <c r="BU10" s="103" t="s">
        <v>875</v>
      </c>
      <c r="BV10" s="104" t="str">
        <f t="shared" si="13"/>
        <v>Jakub Levínský</v>
      </c>
      <c r="BW10" s="112">
        <f t="shared" si="14"/>
        <v>5.64</v>
      </c>
      <c r="BX10" s="416"/>
      <c r="BY10" s="103" t="s">
        <v>1143</v>
      </c>
      <c r="BZ10" s="103" t="s">
        <v>870</v>
      </c>
      <c r="CA10" s="115" t="s">
        <v>188</v>
      </c>
    </row>
    <row r="11" spans="1:79" ht="15" customHeight="1" thickTop="1" thickBot="1" x14ac:dyDescent="0.25">
      <c r="R11" s="13"/>
      <c r="S11" s="110" t="s">
        <v>195</v>
      </c>
      <c r="T11" s="102" t="s">
        <v>107</v>
      </c>
      <c r="U11" s="102">
        <v>11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-3</v>
      </c>
      <c r="AC11" s="102" t="str">
        <f t="shared" ca="1" si="0"/>
        <v>ANO</v>
      </c>
      <c r="AG11" s="121" t="s">
        <v>204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137</v>
      </c>
      <c r="AQ11" s="123">
        <v>185</v>
      </c>
      <c r="AR11" s="123">
        <v>69</v>
      </c>
      <c r="AS11" s="126" t="s">
        <v>222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8 OZ, 3 (0+3), +2 ±</v>
      </c>
      <c r="AY11" s="129" t="str">
        <f t="shared" ca="1" si="2"/>
        <v>310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7"/>
      <c r="BV11" s="104" t="str">
        <f t="shared" si="13"/>
        <v/>
      </c>
      <c r="BW11" s="112" t="str">
        <f t="shared" si="14"/>
        <v/>
      </c>
      <c r="BX11" s="416"/>
      <c r="BY11" s="103" t="s">
        <v>1144</v>
      </c>
      <c r="BZ11" s="103" t="s">
        <v>869</v>
      </c>
      <c r="CA11" s="115" t="s">
        <v>188</v>
      </c>
    </row>
    <row r="12" spans="1:79" ht="15" customHeight="1" thickTop="1" thickBot="1" x14ac:dyDescent="0.25">
      <c r="A12" s="429" t="s">
        <v>198</v>
      </c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463" t="s">
        <v>7</v>
      </c>
      <c r="I12" s="463"/>
      <c r="J12" s="463"/>
      <c r="K12" s="463"/>
      <c r="M12" s="429" t="s">
        <v>206</v>
      </c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1253</v>
      </c>
      <c r="U12" s="102">
        <v>3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0</v>
      </c>
      <c r="AB12" s="102">
        <v>1</v>
      </c>
      <c r="AC12" s="102" t="str">
        <f t="shared" ca="1" si="0"/>
        <v>NE</v>
      </c>
      <c r="AG12" s="121" t="s">
        <v>194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137</v>
      </c>
      <c r="AQ12" s="123">
        <v>185</v>
      </c>
      <c r="AR12" s="123">
        <v>74</v>
      </c>
      <c r="AS12" s="126" t="s">
        <v>218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7" t="s">
        <v>37</v>
      </c>
      <c r="BT12" s="104" t="s">
        <v>1240</v>
      </c>
      <c r="BU12" s="103">
        <v>12</v>
      </c>
      <c r="BV12" s="104" t="str">
        <f t="shared" si="13"/>
        <v>Šimon Stránský</v>
      </c>
      <c r="BW12" s="102">
        <f t="shared" si="14"/>
        <v>12</v>
      </c>
      <c r="BX12" s="116" t="s">
        <v>191</v>
      </c>
      <c r="BY12" s="100" t="s">
        <v>1239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422">
        <f ca="1">IFERROR(IF(VLOOKUP(A12,OFFSET($AG$2,,,COUNTIF($AG$2:$AG$50,"?*"),23),2,FALSE)&lt;&gt;0,YEAR(VLOOKUP(A12,OFFSET($AG$2,,,COUNTIF($AG$2:$AG$50,"?*"),23),2,FALSE)),""),"")</f>
        <v>1992</v>
      </c>
      <c r="C13" s="423"/>
      <c r="D13" s="94">
        <f ca="1">IFERROR(VLOOKUP(A12,OFFSET($AG$2,,,COUNTIF($AG$2:$AG$50,"?*"),23),15,FALSE),"")</f>
        <v>29</v>
      </c>
      <c r="E13" s="424" t="str">
        <f ca="1">IFERROR(VLOOKUP(A12,OFFSET($AG$2,,,COUNTIF($AG$2:$AG$50,"?*"),23),16,FALSE),"")</f>
        <v>176/74</v>
      </c>
      <c r="F13" s="425"/>
      <c r="M13" s="4" t="str">
        <f ca="1">IFERROR(IF(VLOOKUP(M12,OFFSET($AG$2,,,COUNTIF($AG$2:$AG$50,"?*"),23),10,FALSE)&lt;&gt;0,VLOOKUP(M12,OFFSET($AG$2,,,COUNTIF($AG$2:$AG$50,"?*"),23),10,FALSE),""),"")</f>
        <v>L</v>
      </c>
      <c r="N13" s="422">
        <f ca="1">IFERROR(IF(VLOOKUP(M12,OFFSET($AG$2,,,COUNTIF($AG$2:$AG$50,"?*"),23),2,FALSE)&lt;&gt;0,YEAR(VLOOKUP(M12,OFFSET($AG$2,,,COUNTIF($AG$2:$AG$50,"?*"),23),2,FALSE)),""),"")</f>
        <v>2003</v>
      </c>
      <c r="O13" s="423"/>
      <c r="P13" s="94">
        <f ca="1">IFERROR(VLOOKUP(M12,OFFSET($AG$2,,,COUNTIF($AG$2:$AG$50,"?*"),23),15,FALSE),"")</f>
        <v>18</v>
      </c>
      <c r="Q13" s="424" t="str">
        <f ca="1">IFERROR(VLOOKUP(M12,OFFSET($AG$2,,,COUNTIF($AG$2:$AG$50,"?*"),23),16,FALSE),"")</f>
        <v>178/70</v>
      </c>
      <c r="R13" s="425"/>
      <c r="S13" s="110" t="s">
        <v>197</v>
      </c>
      <c r="T13" s="102" t="s">
        <v>58</v>
      </c>
      <c r="U13" s="102">
        <v>10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207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221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7"/>
      <c r="BT13" s="104" t="s">
        <v>1246</v>
      </c>
      <c r="BU13" s="103">
        <v>11</v>
      </c>
      <c r="BV13" s="104" t="str">
        <f t="shared" si="13"/>
        <v>Filip Smutný</v>
      </c>
      <c r="BW13" s="102">
        <f t="shared" si="14"/>
        <v>11</v>
      </c>
    </row>
    <row r="14" spans="1:79" ht="15" customHeight="1" thickTop="1" thickBot="1" x14ac:dyDescent="0.25">
      <c r="A14" s="458" t="str">
        <f ca="1">IFERROR(VLOOKUP(A12,OFFSET($AG$2,,,COUNTIF($AG$2:$AG$50,"?*"),23),18,FALSE),"")</f>
        <v>10 OZ, 19 (8+11), +7 ±</v>
      </c>
      <c r="B14" s="459"/>
      <c r="C14" s="459"/>
      <c r="D14" s="460" t="str">
        <f ca="1">IFERROR(VLOOKUP(A12,OFFSET($AG$2,,,COUNTIF($AG$2:$AG$50,"?*"),23),19,FALSE),"")</f>
        <v>195 OZ, 243 (134+109)</v>
      </c>
      <c r="E14" s="460"/>
      <c r="F14" s="461"/>
      <c r="G14" s="429" t="s">
        <v>196</v>
      </c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458" t="str">
        <f ca="1">IFERROR(VLOOKUP(M12,OFFSET($AG$2,,,COUNTIF($AG$2:$AG$50,"?*"),23),18,FALSE),"")</f>
        <v>11 OZ, 12 (7+5), +6 ±</v>
      </c>
      <c r="N14" s="459"/>
      <c r="O14" s="459"/>
      <c r="P14" s="460" t="str">
        <f ca="1">IFERROR(VLOOKUP(M12,OFFSET($AG$2,,,COUNTIF($AG$2:$AG$50,"?*"),23),19,FALSE),"")</f>
        <v>33 OZ, 38 (16+22)</v>
      </c>
      <c r="Q14" s="460"/>
      <c r="R14" s="461"/>
      <c r="S14" s="110" t="s">
        <v>209</v>
      </c>
      <c r="T14" s="102" t="s">
        <v>107</v>
      </c>
      <c r="U14" s="102">
        <v>11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2</v>
      </c>
      <c r="AC14" s="102" t="str">
        <f t="shared" ca="1" si="0"/>
        <v>ANO</v>
      </c>
      <c r="AG14" s="121" t="s">
        <v>773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7"/>
      <c r="BT14" s="104" t="s">
        <v>1241</v>
      </c>
      <c r="BU14" s="103">
        <v>10</v>
      </c>
      <c r="BV14" s="104" t="str">
        <f t="shared" si="13"/>
        <v>Radek Valeš</v>
      </c>
      <c r="BW14" s="102">
        <f t="shared" si="14"/>
        <v>10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>TJ Centropen Dačice</v>
      </c>
      <c r="B15" s="447"/>
      <c r="C15" s="448"/>
      <c r="D15" s="449">
        <f ca="1">IFERROR(IF(VLOOKUP(A12,OFFSET($AG$2,,,COUNTIF($AG$2:$AG$50,"?*"),23),14,FALSE)&lt;&gt;0,VLOOKUP(A12,OFFSET($AG$2,,,COUNTIF($AG$2:$AG$50,"?*"),23),14,FALSE),"?"),"")</f>
        <v>2006</v>
      </c>
      <c r="E15" s="450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422">
        <f ca="1">IFERROR(IF(VLOOKUP(G14,OFFSET($AG$2,,,COUNTIF($AG$2:$AG$50,"?*"),23),2,FALSE)&lt;&gt;0,YEAR(VLOOKUP(G14,OFFSET($AG$2,,,COUNTIF($AG$2:$AG$50,"?*"),23),2,FALSE)),""),"")</f>
        <v>1994</v>
      </c>
      <c r="I15" s="423"/>
      <c r="J15" s="94">
        <f ca="1">IFERROR(VLOOKUP(G14,OFFSET($AG$2,,,COUNTIF($AG$2:$AG$50,"?*"),23),15,FALSE),"")</f>
        <v>27</v>
      </c>
      <c r="K15" s="424" t="str">
        <f ca="1">IFERROR(VLOOKUP(G14,OFFSET($AG$2,,,COUNTIF($AG$2:$AG$50,"?*"),23),16,FALSE),"")</f>
        <v>187/76</v>
      </c>
      <c r="L15" s="425"/>
      <c r="M15" s="446" t="str">
        <f ca="1">IFERROR(IF(VLOOKUP(M12,OFFSET($AG$2,,,COUNTIF($AG$2:$AG$50,"?*"),23),13,FALSE)&lt;&gt;0,VLOOKUP(M12,OFFSET($AG$2,,,COUNTIF($AG$2:$AG$50,"?*"),23),13,FALSE),"?"),"")</f>
        <v>FBC Liberec</v>
      </c>
      <c r="N15" s="447"/>
      <c r="O15" s="448"/>
      <c r="P15" s="449">
        <f ca="1">IFERROR(IF(VLOOKUP(M12,OFFSET($AG$2,,,COUNTIF($AG$2:$AG$50,"?*"),23),14,FALSE)&lt;&gt;0,VLOOKUP(M12,OFFSET($AG$2,,,COUNTIF($AG$2:$AG$50,"?*"),23),14,FALSE),"?"),"")</f>
        <v>2010</v>
      </c>
      <c r="Q15" s="45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199</v>
      </c>
      <c r="U15" s="102">
        <v>7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213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223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7"/>
      <c r="BT15" s="104" t="s">
        <v>1247</v>
      </c>
      <c r="BU15" s="103">
        <v>8</v>
      </c>
      <c r="BV15" s="104" t="str">
        <f t="shared" si="13"/>
        <v>Prokop Ferdan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>11 OZ, 18 (10+8), +4 ±</v>
      </c>
      <c r="H16" s="459"/>
      <c r="I16" s="459"/>
      <c r="J16" s="460" t="str">
        <f ca="1">IFERROR(VLOOKUP(G14,OFFSET($AG$2,,,COUNTIF($AG$2:$AG$50,"?*"),23),19,FALSE),"")</f>
        <v>200 OZ, 323 (176+147)</v>
      </c>
      <c r="K16" s="460"/>
      <c r="L16" s="461"/>
      <c r="S16" s="110" t="s">
        <v>212</v>
      </c>
      <c r="T16" s="102" t="s">
        <v>105</v>
      </c>
      <c r="U16" s="102">
        <v>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0</v>
      </c>
      <c r="AC16" s="102" t="str">
        <f t="shared" ca="1" si="0"/>
        <v>ANO</v>
      </c>
      <c r="AG16" s="121" t="s">
        <v>224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225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V, 0 P</v>
      </c>
      <c r="AY16" s="129" t="str">
        <f t="shared" ca="1" si="2"/>
        <v>48 OZ, 0 A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7"/>
      <c r="BT16" s="104" t="s">
        <v>1074</v>
      </c>
      <c r="BU16" s="103">
        <v>7</v>
      </c>
      <c r="BV16" s="104" t="str">
        <f t="shared" si="13"/>
        <v>Vojtěch Wiener</v>
      </c>
      <c r="BW16" s="102">
        <f t="shared" si="14"/>
        <v>7</v>
      </c>
    </row>
    <row r="17" spans="1:75" ht="15" customHeight="1" thickTop="1" thickBot="1" x14ac:dyDescent="0.25">
      <c r="A17" s="429" t="s">
        <v>209</v>
      </c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446" t="str">
        <f ca="1">IFERROR(IF(VLOOKUP(G14,OFFSET($AG$2,,,COUNTIF($AG$2:$AG$50,"?*"),23),13,FALSE)&lt;&gt;0,VLOOKUP(G14,OFFSET($AG$2,,,COUNTIF($AG$2:$AG$50,"?*"),23),13,FALSE),"?"),"")</f>
        <v>FBC Liberec</v>
      </c>
      <c r="H17" s="447"/>
      <c r="I17" s="448"/>
      <c r="J17" s="449">
        <f ca="1">IFERROR(IF(VLOOKUP(G14,OFFSET($AG$2,,,COUNTIF($AG$2:$AG$50,"?*"),23),14,FALSE)&lt;&gt;0,VLOOKUP(G14,OFFSET($AG$2,,,COUNTIF($AG$2:$AG$50,"?*"),23),14,FALSE),"?"),"")</f>
        <v>2002</v>
      </c>
      <c r="K17" s="450"/>
      <c r="L17" s="7">
        <f ca="1">IFERROR(IF(VLOOKUP(G14,OFFSET($AG$2,,,COUNTIF($AG$2:$AG$50,"?*"),23),7,FALSE)&lt;&gt;0,VLOOKUP(G14,OFFSET($AG$2,,,COUNTIF($AG$2:$AG$50,"?*"),23),7,FALSE),"?"),"")</f>
        <v>10</v>
      </c>
      <c r="M17" s="429" t="s">
        <v>203</v>
      </c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200</v>
      </c>
      <c r="T17" s="102" t="s">
        <v>107</v>
      </c>
      <c r="U17" s="102">
        <v>11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-6</v>
      </c>
      <c r="AC17" s="102" t="str">
        <f t="shared" ca="1" si="0"/>
        <v>ANO</v>
      </c>
      <c r="AG17" s="121" t="s">
        <v>210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226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11 OZ, 0 (0+0), -3 ±</v>
      </c>
      <c r="AY17" s="129" t="str">
        <f t="shared" ca="1" si="2"/>
        <v>25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7" t="s">
        <v>41</v>
      </c>
      <c r="BT17" s="104" t="s">
        <v>241</v>
      </c>
      <c r="BU17" s="103">
        <v>6</v>
      </c>
      <c r="BV17" s="104" t="str">
        <f t="shared" si="13"/>
        <v>Petr Chlad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422">
        <f ca="1">IFERROR(IF(VLOOKUP(A17,OFFSET($AG$2,,,COUNTIF($AG$2:$AG$50,"?*"),23),2,FALSE)&lt;&gt;0,YEAR(VLOOKUP(A17,OFFSET($AG$2,,,COUNTIF($AG$2:$AG$50,"?*"),23),2,FALSE)),""),"")</f>
        <v>1994</v>
      </c>
      <c r="C18" s="423"/>
      <c r="D18" s="149">
        <f ca="1">IFERROR(VLOOKUP(A17,OFFSET($AG$2,,,COUNTIF($AG$2:$AG$50,"?*"),23),15,FALSE),"")</f>
        <v>27</v>
      </c>
      <c r="E18" s="424" t="str">
        <f ca="1">IFERROR(VLOOKUP(A17,OFFSET($AG$2,,,COUNTIF($AG$2:$AG$50,"?*"),23),16,FALSE),"")</f>
        <v>180/82</v>
      </c>
      <c r="F18" s="425"/>
      <c r="M18" s="4" t="str">
        <f ca="1">IFERROR(IF(VLOOKUP(M17,OFFSET($AG$2,,,COUNTIF($AG$2:$AG$50,"?*"),23),10,FALSE)&lt;&gt;0,VLOOKUP(M17,OFFSET($AG$2,,,COUNTIF($AG$2:$AG$50,"?*"),23),10,FALSE),""),"")</f>
        <v>L</v>
      </c>
      <c r="N18" s="422">
        <f ca="1">IFERROR(IF(VLOOKUP(M17,OFFSET($AG$2,,,COUNTIF($AG$2:$AG$50,"?*"),23),2,FALSE)&lt;&gt;0,YEAR(VLOOKUP(M17,OFFSET($AG$2,,,COUNTIF($AG$2:$AG$50,"?*"),23),2,FALSE)),""),"")</f>
        <v>2003</v>
      </c>
      <c r="O18" s="423"/>
      <c r="P18" s="94">
        <f ca="1">IFERROR(VLOOKUP(M17,OFFSET($AG$2,,,COUNTIF($AG$2:$AG$50,"?*"),23),15,FALSE),"")</f>
        <v>18</v>
      </c>
      <c r="Q18" s="424" t="str">
        <f ca="1">IFERROR(VLOOKUP(M17,OFFSET($AG$2,,,COUNTIF($AG$2:$AG$50,"?*"),23),16,FALSE),"")</f>
        <v>178/74</v>
      </c>
      <c r="R18" s="425"/>
      <c r="S18" s="110" t="s">
        <v>203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4</v>
      </c>
      <c r="AB18" s="102">
        <v>5</v>
      </c>
      <c r="AC18" s="102" t="str">
        <f t="shared" ca="1" si="0"/>
        <v>ANO</v>
      </c>
      <c r="AG18" s="121" t="s">
        <v>200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137</v>
      </c>
      <c r="AQ18" s="123">
        <v>164</v>
      </c>
      <c r="AR18" s="123">
        <v>60</v>
      </c>
      <c r="AS18" s="126" t="s">
        <v>226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11 OZ, 1 (0+1), -6 ±</v>
      </c>
      <c r="AY18" s="129" t="str">
        <f t="shared" ca="1" si="2"/>
        <v>86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7"/>
      <c r="BT18" s="104" t="s">
        <v>776</v>
      </c>
      <c r="BU18" s="103">
        <v>1</v>
      </c>
      <c r="BV18" s="104" t="str">
        <f t="shared" si="13"/>
        <v>Jakub Levínský</v>
      </c>
      <c r="BW18" s="102">
        <f t="shared" si="14"/>
        <v>1</v>
      </c>
    </row>
    <row r="19" spans="1:75" ht="15" customHeight="1" x14ac:dyDescent="0.2">
      <c r="A19" s="458" t="str">
        <f ca="1">IFERROR(VLOOKUP(A17,OFFSET($AG$2,,,COUNTIF($AG$2:$AG$50,"?*"),23),18,FALSE),"")</f>
        <v>11 OZ, 1 (1+0), +2 ±</v>
      </c>
      <c r="B19" s="459"/>
      <c r="C19" s="459"/>
      <c r="D19" s="460" t="str">
        <f ca="1">IFERROR(VLOOKUP(A17,OFFSET($AG$2,,,COUNTIF($AG$2:$AG$50,"?*"),23),19,FALSE),"")</f>
        <v>205 OZ, 117 (51+66)</v>
      </c>
      <c r="E19" s="460"/>
      <c r="F19" s="461"/>
      <c r="H19" s="462" t="str">
        <f>H$8</f>
        <v>LIB</v>
      </c>
      <c r="I19" s="462"/>
      <c r="J19" s="462"/>
      <c r="K19" s="462"/>
      <c r="M19" s="458" t="str">
        <f ca="1">IFERROR(VLOOKUP(M17,OFFSET($AG$2,,,COUNTIF($AG$2:$AG$50,"?*"),23),18,FALSE),"")</f>
        <v>11 OZ, 1 (0+1), +5 ±</v>
      </c>
      <c r="N19" s="459"/>
      <c r="O19" s="459"/>
      <c r="P19" s="460" t="str">
        <f ca="1">IFERROR(VLOOKUP(M17,OFFSET($AG$2,,,COUNTIF($AG$2:$AG$50,"?*"),23),19,FALSE),"")</f>
        <v>33 OZ, 5 (2+3)</v>
      </c>
      <c r="Q19" s="460"/>
      <c r="R19" s="461"/>
      <c r="S19" s="110" t="s">
        <v>1254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227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137</v>
      </c>
      <c r="AQ19" s="123">
        <v>181</v>
      </c>
      <c r="AR19" s="123">
        <v>79</v>
      </c>
      <c r="AS19" s="126" t="s">
        <v>228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7"/>
      <c r="BT19" s="104" t="s">
        <v>1248</v>
      </c>
      <c r="BU19" s="103">
        <v>0</v>
      </c>
      <c r="BV19" s="104" t="str">
        <f t="shared" si="13"/>
        <v>Daniel Mück</v>
      </c>
      <c r="BW19" s="102">
        <f t="shared" si="14"/>
        <v>0</v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>Sokol Pardubice</v>
      </c>
      <c r="B20" s="447"/>
      <c r="C20" s="448"/>
      <c r="D20" s="449">
        <f ca="1">IFERROR(IF(VLOOKUP(A17,OFFSET($AG$2,,,COUNTIF($AG$2:$AG$50,"?*"),23),14,FALSE)&lt;&gt;0,VLOOKUP(A17,OFFSET($AG$2,,,COUNTIF($AG$2:$AG$50,"?*"),23),14,FALSE),"?"),"")</f>
        <v>2009</v>
      </c>
      <c r="E20" s="450"/>
      <c r="F20" s="7">
        <f ca="1">IFERROR(IF(VLOOKUP(A17,OFFSET($AG$2,,,COUNTIF($AG$2:$AG$50,"?*"),23),7,FALSE)&lt;&gt;0,VLOOKUP(A17,OFFSET($AG$2,,,COUNTIF($AG$2:$AG$50,"?*"),23),7,FALSE),"?"),"")</f>
        <v>11</v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>FBC Liberec</v>
      </c>
      <c r="N20" s="447"/>
      <c r="O20" s="448"/>
      <c r="P20" s="449">
        <f ca="1">IFERROR(IF(VLOOKUP(M17,OFFSET($AG$2,,,COUNTIF($AG$2:$AG$50,"?*"),23),14,FALSE)&lt;&gt;0,VLOOKUP(M17,OFFSET($AG$2,,,COUNTIF($AG$2:$AG$50,"?*"),23),14,FALSE),"?"),"")</f>
        <v>2010</v>
      </c>
      <c r="Q20" s="450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205</v>
      </c>
      <c r="U20" s="102">
        <v>2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208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756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10 OZ, 17 (11+6), +1 ±</v>
      </c>
      <c r="AY20" s="129" t="str">
        <f t="shared" ca="1" si="2"/>
        <v>10 OZ, 17 (11+6)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7"/>
      <c r="BT20" s="104" t="s">
        <v>1249</v>
      </c>
      <c r="BU20" s="103">
        <v>0</v>
      </c>
      <c r="BV20" s="104" t="str">
        <f t="shared" si="13"/>
        <v>Jan Král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207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201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137</v>
      </c>
      <c r="AQ21" s="123">
        <v>187</v>
      </c>
      <c r="AR21" s="123">
        <v>83</v>
      </c>
      <c r="AS21" s="126" t="s">
        <v>229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11 OZ, 22 (12+10), +1 ±</v>
      </c>
      <c r="AY21" s="129" t="str">
        <f t="shared" ca="1" si="2"/>
        <v>29 OZ, 36 (21+15)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224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211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137</v>
      </c>
      <c r="AQ22" s="123">
        <v>187</v>
      </c>
      <c r="AR22" s="123">
        <v>82</v>
      </c>
      <c r="AS22" s="126" t="s">
        <v>230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11 OZ, 5 (3+2), -10 ±</v>
      </c>
      <c r="AY22" s="129" t="str">
        <f t="shared" ca="1" si="2"/>
        <v>52 OZ, 30 (18+12)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7" t="s">
        <v>38</v>
      </c>
      <c r="BT22" s="104" t="s">
        <v>978</v>
      </c>
      <c r="BU22" s="103">
        <v>11</v>
      </c>
      <c r="BV22" s="104" t="str">
        <f t="shared" si="13"/>
        <v>Prokop Ferdan</v>
      </c>
      <c r="BW22" s="102">
        <f t="shared" si="14"/>
        <v>11</v>
      </c>
    </row>
    <row r="23" spans="1:75" ht="15" customHeight="1" thickTop="1" thickBot="1" x14ac:dyDescent="0.25">
      <c r="A23" s="429" t="s">
        <v>200</v>
      </c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463" t="s">
        <v>13</v>
      </c>
      <c r="I23" s="463"/>
      <c r="J23" s="463"/>
      <c r="K23" s="463"/>
      <c r="M23" s="429" t="s">
        <v>211</v>
      </c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0" t="s">
        <v>215</v>
      </c>
      <c r="T23" s="102" t="s">
        <v>58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195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137</v>
      </c>
      <c r="AQ23" s="123">
        <v>177</v>
      </c>
      <c r="AR23" s="123">
        <v>74</v>
      </c>
      <c r="AS23" s="126" t="s">
        <v>76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11 OZ, 2 (2+0), -3 ±</v>
      </c>
      <c r="AY23" s="129" t="str">
        <f t="shared" ca="1" si="2"/>
        <v>105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7"/>
      <c r="BT23" s="104" t="s">
        <v>977</v>
      </c>
      <c r="BU23" s="103">
        <v>10</v>
      </c>
      <c r="BV23" s="104" t="str">
        <f t="shared" si="13"/>
        <v>Šimon Stránský</v>
      </c>
      <c r="BW23" s="102">
        <f t="shared" si="14"/>
        <v>10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422">
        <f ca="1">IFERROR(IF(VLOOKUP(A23,OFFSET($AG$2,,,COUNTIF($AG$2:$AG$50,"?*"),23),2,FALSE)&lt;&gt;0,YEAR(VLOOKUP(A23,OFFSET($AG$2,,,COUNTIF($AG$2:$AG$50,"?*"),23),2,FALSE)),""),"")</f>
        <v>1999</v>
      </c>
      <c r="C24" s="423"/>
      <c r="D24" s="94">
        <f ca="1">IFERROR(VLOOKUP(A23,OFFSET($AG$2,,,COUNTIF($AG$2:$AG$50,"?*"),23),15,FALSE),"")</f>
        <v>22</v>
      </c>
      <c r="E24" s="424" t="str">
        <f ca="1">IFERROR(VLOOKUP(A23,OFFSET($AG$2,,,COUNTIF($AG$2:$AG$50,"?*"),23),16,FALSE),"")</f>
        <v>164/60</v>
      </c>
      <c r="F24" s="425"/>
      <c r="M24" s="4" t="str">
        <f ca="1">IFERROR(IF(VLOOKUP(M23,OFFSET($AG$2,,,COUNTIF($AG$2:$AG$50,"?*"),23),10,FALSE)&lt;&gt;0,VLOOKUP(M23,OFFSET($AG$2,,,COUNTIF($AG$2:$AG$50,"?*"),23),10,FALSE),""),"")</f>
        <v>L</v>
      </c>
      <c r="N24" s="422">
        <f ca="1">IFERROR(IF(VLOOKUP(M23,OFFSET($AG$2,,,COUNTIF($AG$2:$AG$50,"?*"),23),2,FALSE)&lt;&gt;0,YEAR(VLOOKUP(M23,OFFSET($AG$2,,,COUNTIF($AG$2:$AG$50,"?*"),23),2,FALSE)),""),"")</f>
        <v>1998</v>
      </c>
      <c r="O24" s="423"/>
      <c r="P24" s="94">
        <f ca="1">IFERROR(VLOOKUP(M23,OFFSET($AG$2,,,COUNTIF($AG$2:$AG$50,"?*"),23),15,FALSE),"")</f>
        <v>23</v>
      </c>
      <c r="Q24" s="424" t="str">
        <f ca="1">IFERROR(VLOOKUP(M23,OFFSET($AG$2,,,COUNTIF($AG$2:$AG$50,"?*"),23),16,FALSE),"")</f>
        <v>187/82</v>
      </c>
      <c r="R24" s="425"/>
      <c r="S24" s="110" t="s">
        <v>773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205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76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7"/>
      <c r="BT24" s="104" t="s">
        <v>1241</v>
      </c>
      <c r="BU24" s="103">
        <v>8</v>
      </c>
      <c r="BV24" s="104" t="str">
        <f t="shared" si="13"/>
        <v>Radek Valeš</v>
      </c>
      <c r="BW24" s="102">
        <f t="shared" si="14"/>
        <v>8</v>
      </c>
    </row>
    <row r="25" spans="1:75" ht="15" customHeight="1" thickTop="1" thickBot="1" x14ac:dyDescent="0.25">
      <c r="A25" s="458" t="str">
        <f ca="1">IFERROR(VLOOKUP(A23,OFFSET($AG$2,,,COUNTIF($AG$2:$AG$50,"?*"),23),18,FALSE),"")</f>
        <v>11 OZ, 1 (0+1), -6 ±</v>
      </c>
      <c r="B25" s="459"/>
      <c r="C25" s="459"/>
      <c r="D25" s="460" t="str">
        <f ca="1">IFERROR(VLOOKUP(A23,OFFSET($AG$2,,,COUNTIF($AG$2:$AG$50,"?*"),23),19,FALSE),"")</f>
        <v>86 OZ, 45 (23+22)</v>
      </c>
      <c r="E25" s="460"/>
      <c r="F25" s="461"/>
      <c r="G25" s="429" t="s">
        <v>202</v>
      </c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458" t="str">
        <f ca="1">IFERROR(VLOOKUP(M23,OFFSET($AG$2,,,COUNTIF($AG$2:$AG$50,"?*"),23),18,FALSE),"")</f>
        <v>11 OZ, 5 (3+2), -10 ±</v>
      </c>
      <c r="N25" s="459"/>
      <c r="O25" s="459"/>
      <c r="P25" s="460" t="str">
        <f ca="1">IFERROR(VLOOKUP(M23,OFFSET($AG$2,,,COUNTIF($AG$2:$AG$50,"?*"),23),19,FALSE),"")</f>
        <v>52 OZ, 30 (18+12)</v>
      </c>
      <c r="Q25" s="460"/>
      <c r="R25" s="461"/>
      <c r="S25" s="110" t="s">
        <v>213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0</v>
      </c>
      <c r="AC25" s="102" t="str">
        <f t="shared" ca="1" si="0"/>
        <v>ANO</v>
      </c>
      <c r="AG25" s="121" t="s">
        <v>196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137</v>
      </c>
      <c r="AQ25" s="123">
        <v>187</v>
      </c>
      <c r="AR25" s="123">
        <v>76</v>
      </c>
      <c r="AS25" s="126" t="s">
        <v>76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11 OZ, 18 (10+8), +4 ±</v>
      </c>
      <c r="AY25" s="129" t="str">
        <f t="shared" ca="1" si="16"/>
        <v>200 OZ, 323 (176+147)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7"/>
      <c r="BT25" s="104" t="s">
        <v>1242</v>
      </c>
      <c r="BU25" s="103">
        <v>6</v>
      </c>
      <c r="BV25" s="104" t="str">
        <f t="shared" si="13"/>
        <v>Filip Smutný</v>
      </c>
      <c r="BW25" s="102">
        <f t="shared" si="14"/>
        <v>6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>Florbal Mladá Boleslav</v>
      </c>
      <c r="B26" s="447"/>
      <c r="C26" s="448"/>
      <c r="D26" s="449">
        <f ca="1">IFERROR(IF(VLOOKUP(A23,OFFSET($AG$2,,,COUNTIF($AG$2:$AG$50,"?*"),23),14,FALSE)&lt;&gt;0,VLOOKUP(A23,OFFSET($AG$2,,,COUNTIF($AG$2:$AG$50,"?*"),23),14,FALSE),"?"),"")</f>
        <v>2008</v>
      </c>
      <c r="E26" s="450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422">
        <f ca="1">IFERROR(IF(VLOOKUP(G25,OFFSET($AG$2,,,COUNTIF($AG$2:$AG$50,"?*"),23),2,FALSE)&lt;&gt;0,YEAR(VLOOKUP(G25,OFFSET($AG$2,,,COUNTIF($AG$2:$AG$50,"?*"),23),2,FALSE)),""),"")</f>
        <v>1994</v>
      </c>
      <c r="I26" s="423"/>
      <c r="J26" s="94">
        <f ca="1">IFERROR(VLOOKUP(G25,OFFSET($AG$2,,,COUNTIF($AG$2:$AG$50,"?*"),23),15,FALSE),"")</f>
        <v>27</v>
      </c>
      <c r="K26" s="424" t="str">
        <f ca="1">IFERROR(VLOOKUP(G25,OFFSET($AG$2,,,COUNTIF($AG$2:$AG$50,"?*"),23),16,FALSE),"")</f>
        <v>185/86</v>
      </c>
      <c r="L26" s="425"/>
      <c r="M26" s="446" t="str">
        <f ca="1">IFERROR(IF(VLOOKUP(M23,OFFSET($AG$2,,,COUNTIF($AG$2:$AG$50,"?*"),23),13,FALSE)&lt;&gt;0,VLOOKUP(M23,OFFSET($AG$2,,,COUNTIF($AG$2:$AG$50,"?*"),23),13,FALSE),"?"),"")</f>
        <v>DTJ Trutnov</v>
      </c>
      <c r="N26" s="447"/>
      <c r="O26" s="448"/>
      <c r="P26" s="449">
        <f ca="1">IFERROR(IF(VLOOKUP(M23,OFFSET($AG$2,,,COUNTIF($AG$2:$AG$50,"?*"),23),14,FALSE)&lt;&gt;0,VLOOKUP(M23,OFFSET($AG$2,,,COUNTIF($AG$2:$AG$50,"?*"),23),14,FALSE),"?"),"")</f>
        <v>2014</v>
      </c>
      <c r="Q26" s="450"/>
      <c r="R26" s="7">
        <f ca="1">IFERROR(IF(VLOOKUP(M23,OFFSET($AG$2,,,COUNTIF($AG$2:$AG$50,"?*"),23),7,FALSE)&lt;&gt;0,VLOOKUP(M23,OFFSET($AG$2,,,COUNTIF($AG$2:$AG$50,"?*"),23),7,FALSE),"?"),"")</f>
        <v>3</v>
      </c>
      <c r="S26" s="110" t="s">
        <v>210</v>
      </c>
      <c r="U26" s="102">
        <v>11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-3</v>
      </c>
      <c r="AC26" s="102" t="str">
        <f t="shared" ca="1" si="0"/>
        <v>ANO</v>
      </c>
      <c r="AG26" s="121" t="s">
        <v>206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137</v>
      </c>
      <c r="AQ26" s="123">
        <v>178</v>
      </c>
      <c r="AR26" s="123">
        <v>70</v>
      </c>
      <c r="AS26" s="126" t="s">
        <v>76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11 OZ, 12 (7+5), +6 ±</v>
      </c>
      <c r="AY26" s="129" t="str">
        <f t="shared" ca="1" si="16"/>
        <v>33 OZ, 38 (16+22)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7"/>
      <c r="BT26" s="104" t="s">
        <v>881</v>
      </c>
      <c r="BU26" s="103">
        <v>5</v>
      </c>
      <c r="BV26" s="104" t="str">
        <f t="shared" si="13"/>
        <v>Jakub Kopecký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>10 OZ, 3 (2+1), -10 ±</v>
      </c>
      <c r="H27" s="459"/>
      <c r="I27" s="459"/>
      <c r="J27" s="460" t="str">
        <f ca="1">IFERROR(VLOOKUP(G25,OFFSET($AG$2,,,COUNTIF($AG$2:$AG$50,"?*"),23),19,FALSE),"")</f>
        <v>128 OZ, 38 (28+10)</v>
      </c>
      <c r="K27" s="460"/>
      <c r="L27" s="461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7" t="s">
        <v>39</v>
      </c>
      <c r="BT27" s="104" t="s">
        <v>1240</v>
      </c>
      <c r="BU27" s="103">
        <v>8</v>
      </c>
      <c r="BV27" s="104" t="str">
        <f t="shared" si="13"/>
        <v>Šimon Stránský</v>
      </c>
      <c r="BW27" s="102">
        <f t="shared" si="14"/>
        <v>8</v>
      </c>
    </row>
    <row r="28" spans="1:75" ht="15" customHeight="1" thickTop="1" thickBot="1" x14ac:dyDescent="0.25">
      <c r="A28" s="429" t="s">
        <v>199</v>
      </c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446" t="str">
        <f ca="1">IFERROR(IF(VLOOKUP(G25,OFFSET($AG$2,,,COUNTIF($AG$2:$AG$50,"?*"),23),13,FALSE)&lt;&gt;0,VLOOKUP(G25,OFFSET($AG$2,,,COUNTIF($AG$2:$AG$50,"?*"),23),13,FALSE),"?"),"")</f>
        <v>Sokol Dvůr Králové</v>
      </c>
      <c r="H28" s="447"/>
      <c r="I28" s="448"/>
      <c r="J28" s="449">
        <f ca="1">IFERROR(IF(VLOOKUP(G25,OFFSET($AG$2,,,COUNTIF($AG$2:$AG$50,"?*"),23),14,FALSE)&lt;&gt;0,VLOOKUP(G25,OFFSET($AG$2,,,COUNTIF($AG$2:$AG$50,"?*"),23),14,FALSE),"?"),"")</f>
        <v>2001</v>
      </c>
      <c r="K28" s="450"/>
      <c r="L28" s="7">
        <f ca="1">IFERROR(IF(VLOOKUP(G25,OFFSET($AG$2,,,COUNTIF($AG$2:$AG$50,"?*"),23),7,FALSE)&lt;&gt;0,VLOOKUP(G25,OFFSET($AG$2,,,COUNTIF($AG$2:$AG$50,"?*"),23),7,FALSE),"?"),"")</f>
        <v>11</v>
      </c>
      <c r="M28" s="429" t="s">
        <v>197</v>
      </c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7"/>
      <c r="BT28" s="104" t="s">
        <v>1250</v>
      </c>
      <c r="BU28" s="103">
        <v>6</v>
      </c>
      <c r="BV28" s="104" t="str">
        <f t="shared" si="13"/>
        <v>Jan Světlík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422">
        <f ca="1">IFERROR(IF(VLOOKUP(A28,OFFSET($AG$2,,,COUNTIF($AG$2:$AG$50,"?*"),23),2,FALSE)&lt;&gt;0,YEAR(VLOOKUP(A28,OFFSET($AG$2,,,COUNTIF($AG$2:$AG$50,"?*"),23),2,FALSE)),""),"")</f>
        <v>2000</v>
      </c>
      <c r="C29" s="423"/>
      <c r="D29" s="94">
        <f ca="1">IFERROR(VLOOKUP(A28,OFFSET($AG$2,,,COUNTIF($AG$2:$AG$50,"?*"),23),15,FALSE),"")</f>
        <v>21</v>
      </c>
      <c r="E29" s="424" t="str">
        <f ca="1">IFERROR(VLOOKUP(A28,OFFSET($AG$2,,,COUNTIF($AG$2:$AG$50,"?*"),23),16,FALSE),"")</f>
        <v>180/72</v>
      </c>
      <c r="F29" s="425"/>
      <c r="M29" s="4" t="str">
        <f ca="1">IFERROR(IF(VLOOKUP(M28,OFFSET($AG$2,,,COUNTIF($AG$2:$AG$50,"?*"),23),10,FALSE)&lt;&gt;0,VLOOKUP(M28,OFFSET($AG$2,,,COUNTIF($AG$2:$AG$50,"?*"),23),10,FALSE),""),"")</f>
        <v>L</v>
      </c>
      <c r="N29" s="422">
        <f ca="1">IFERROR(IF(VLOOKUP(M28,OFFSET($AG$2,,,COUNTIF($AG$2:$AG$50,"?*"),23),2,FALSE)&lt;&gt;0,YEAR(VLOOKUP(M28,OFFSET($AG$2,,,COUNTIF($AG$2:$AG$50,"?*"),23),2,FALSE)),""),"")</f>
        <v>1989</v>
      </c>
      <c r="O29" s="423"/>
      <c r="P29" s="94">
        <f ca="1">IFERROR(VLOOKUP(M28,OFFSET($AG$2,,,COUNTIF($AG$2:$AG$50,"?*"),23),15,FALSE),"")</f>
        <v>32</v>
      </c>
      <c r="Q29" s="424" t="str">
        <f ca="1">IFERROR(VLOOKUP(M28,OFFSET($AG$2,,,COUNTIF($AG$2:$AG$50,"?*"),23),16,FALSE),"")</f>
        <v>194/98</v>
      </c>
      <c r="R29" s="425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7"/>
      <c r="BT29" s="104" t="s">
        <v>1251</v>
      </c>
      <c r="BU29" s="103">
        <v>4</v>
      </c>
      <c r="BV29" s="104" t="str">
        <f t="shared" si="13"/>
        <v>Jan Baudisch</v>
      </c>
      <c r="BW29" s="102">
        <f t="shared" si="14"/>
        <v>4</v>
      </c>
    </row>
    <row r="30" spans="1:75" ht="15" customHeight="1" x14ac:dyDescent="0.2">
      <c r="A30" s="458" t="str">
        <f ca="1">IFERROR(VLOOKUP(A28,OFFSET($AG$2,,,COUNTIF($AG$2:$AG$50,"?*"),23),18,FALSE),"")</f>
        <v>7 OZ, 1 (0+1), -8 ±</v>
      </c>
      <c r="B30" s="459"/>
      <c r="C30" s="459"/>
      <c r="D30" s="460" t="str">
        <f ca="1">IFERROR(VLOOKUP(A28,OFFSET($AG$2,,,COUNTIF($AG$2:$AG$50,"?*"),23),19,FALSE),"")</f>
        <v>57 OZ, 14 (5+9)</v>
      </c>
      <c r="E30" s="460"/>
      <c r="F30" s="461"/>
      <c r="H30" s="462" t="str">
        <f>H$8</f>
        <v>LIB</v>
      </c>
      <c r="I30" s="462"/>
      <c r="J30" s="462"/>
      <c r="K30" s="462"/>
      <c r="M30" s="458" t="str">
        <f ca="1">IFERROR(VLOOKUP(M28,OFFSET($AG$2,,,COUNTIF($AG$2:$AG$50,"?*"),23),18,FALSE),"")</f>
        <v>10 OZ, 1 (1+0), -2 ±</v>
      </c>
      <c r="N30" s="459"/>
      <c r="O30" s="459"/>
      <c r="P30" s="460" t="str">
        <f ca="1">IFERROR(VLOOKUP(M28,OFFSET($AG$2,,,COUNTIF($AG$2:$AG$50,"?*"),23),19,FALSE),"")</f>
        <v>252 OZ, 119 (64+55)</v>
      </c>
      <c r="Q30" s="460"/>
      <c r="R30" s="46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7"/>
      <c r="BT30" s="104" t="s">
        <v>1252</v>
      </c>
      <c r="BU30" s="103">
        <v>4</v>
      </c>
      <c r="BV30" s="104" t="str">
        <f t="shared" si="13"/>
        <v>Vojtěch Janeček</v>
      </c>
      <c r="BW30" s="102">
        <f t="shared" si="14"/>
        <v>4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>FA Mladá Boleslav</v>
      </c>
      <c r="B31" s="447"/>
      <c r="C31" s="448"/>
      <c r="D31" s="449">
        <f ca="1">IFERROR(IF(VLOOKUP(A28,OFFSET($AG$2,,,COUNTIF($AG$2:$AG$50,"?*"),23),14,FALSE)&lt;&gt;0,VLOOKUP(A28,OFFSET($AG$2,,,COUNTIF($AG$2:$AG$50,"?*"),23),14,FALSE),"?"),"")</f>
        <v>2006</v>
      </c>
      <c r="E31" s="450"/>
      <c r="F31" s="7">
        <f ca="1">IFERROR(IF(VLOOKUP(A28,OFFSET($AG$2,,,COUNTIF($AG$2:$AG$50,"?*"),23),7,FALSE)&lt;&gt;0,VLOOKUP(A28,OFFSET($AG$2,,,COUNTIF($AG$2:$AG$50,"?*"),23),7,FALSE),"?"),"")</f>
        <v>3</v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>FBC Liberec</v>
      </c>
      <c r="N31" s="447"/>
      <c r="O31" s="448"/>
      <c r="P31" s="449">
        <f ca="1">IFERROR(IF(VLOOKUP(M28,OFFSET($AG$2,,,COUNTIF($AG$2:$AG$50,"?*"),23),14,FALSE)&lt;&gt;0,VLOOKUP(M28,OFFSET($AG$2,,,COUNTIF($AG$2:$AG$50,"?*"),23),14,FALSE),"?"),"")</f>
        <v>1999</v>
      </c>
      <c r="Q31" s="450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7"/>
      <c r="BT31" s="104" t="s">
        <v>1074</v>
      </c>
      <c r="BU31" s="103">
        <v>4</v>
      </c>
      <c r="BV31" s="104" t="str">
        <f t="shared" si="13"/>
        <v>Vojtěch Wiener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9" t="s">
        <v>212</v>
      </c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457" t="s">
        <v>16</v>
      </c>
      <c r="J34" s="429" t="s">
        <v>208</v>
      </c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422">
        <f ca="1">IFERROR(IF(VLOOKUP(A34,OFFSET($AG$2,,,COUNTIF($AG$2:$AG$50,"?*"),23),2,FALSE)&lt;&gt;0,YEAR(VLOOKUP(A34,OFFSET($AG$2,,,COUNTIF($AG$2:$AG$50,"?*"),23),2,FALSE)),""),"")</f>
        <v>2001</v>
      </c>
      <c r="C35" s="423"/>
      <c r="D35" s="94">
        <f ca="1">IFERROR(VLOOKUP(A34,OFFSET($AG$2,,,COUNTIF($AG$2:$AG$50,"?*"),23),15,FALSE),"")</f>
        <v>20</v>
      </c>
      <c r="E35" s="424" t="str">
        <f ca="1">IFERROR(VLOOKUP(A34,OFFSET($AG$2,,,COUNTIF($AG$2:$AG$50,"?*"),23),16,FALSE),"")</f>
        <v>195/93</v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>P</v>
      </c>
      <c r="K35" s="423">
        <f ca="1">IFERROR(IF(VLOOKUP(J34,OFFSET($AG$2,,,COUNTIF($AG$2:$AG$50,"?*"),23),2,FALSE)&lt;&gt;0,YEAR(VLOOKUP(J34,OFFSET($AG$2,,,COUNTIF($AG$2:$AG$50,"?*"),23),2,FALSE)),""),"")</f>
        <v>2004</v>
      </c>
      <c r="L35" s="431"/>
      <c r="M35" s="93">
        <f ca="1">IFERROR(VLOOKUP(J34,OFFSET($AG$2,,,COUNTIF($AG$2:$AG$50,"?*"),23),15,FALSE),"")</f>
        <v>17</v>
      </c>
      <c r="N35" s="431" t="str">
        <f ca="1">IFERROR(VLOOKUP(J34,OFFSET($AG$2,,,COUNTIF($AG$2:$AG$50,"?*"),23),16,FALSE),"")</f>
        <v>183/79</v>
      </c>
      <c r="O35" s="431"/>
      <c r="P35" s="431" t="str">
        <f ca="1">IFERROR(VLOOKUP(J34,OFFSET($AG$2,,,COUNTIF($AG$2:$AG$50,"?*"),23),18,FALSE),"")</f>
        <v>10 OZ, 17 (11+6), +1 ±</v>
      </c>
      <c r="Q35" s="431"/>
      <c r="R35" s="43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10</v>
      </c>
      <c r="B36" s="426" t="str">
        <f ca="1">IFERROR(VLOOKUP(A34,OFFSET($AG$2,,,COUNTIF($AG$2:$AG$50,"?*"),23),18,FALSE),"")</f>
        <v>6 V, 4 P</v>
      </c>
      <c r="C36" s="426"/>
      <c r="D36" s="427">
        <f ca="1">IFERROR(VLOOKUP(A34,OFFSET($S$45,,,COUNTIF($S$45:$S$50,"?*"),14),5,FALSE),"")</f>
        <v>54</v>
      </c>
      <c r="E36" s="428"/>
      <c r="F36" s="17">
        <f ca="1">IFERROR(VLOOKUP(A34,OFFSET($S$45,,,COUNTIF($S$45:$S$50,"?*"),14),14,FALSE),"")</f>
        <v>76.724137931034491</v>
      </c>
      <c r="H36" s="457"/>
      <c r="J36" s="18">
        <f ca="1">IFERROR(IF(VLOOKUP(J34,OFFSET($AG$2,,,COUNTIF($AG$2:$AG$50,"?*"),23),7,FALSE)&lt;&gt;0,VLOOKUP(J34,OFFSET($AG$2,,,COUNTIF($AG$2:$AG$50,"?*"),23),7,FALSE),"?"),"")</f>
        <v>1</v>
      </c>
      <c r="K36" s="433" t="str">
        <f ca="1">IFERROR(VLOOKUP(J34,OFFSET($AG$2,,,COUNTIF($AG$2:$AG$50,"?*"),23),19,FALSE),"")</f>
        <v>10 OZ, 17 (11+6)</v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>FBC Panthers Liberec</v>
      </c>
      <c r="O36" s="434"/>
      <c r="P36" s="434"/>
      <c r="Q36" s="433">
        <f ca="1">IFERROR(IF(VLOOKUP(J34,OFFSET($AG$2,,,COUNTIF($AG$2:$AG$50,"?*"),23),14,FALSE)&lt;&gt;0,VLOOKUP(J34,OFFSET($AG$2,,,COUNTIF($AG$2:$AG$50,"?*"),23),14,FALSE),"?"),"")</f>
        <v>2010</v>
      </c>
      <c r="R36" s="43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1">
        <f ca="1">IFERROR(VLOOKUP(A34,OFFSET($S$45,,,COUNTIF($S$45:$S$50,"?*"),14),3,FALSE),"")</f>
        <v>589.4</v>
      </c>
      <c r="B37" s="452"/>
      <c r="C37" s="453">
        <f ca="1">IFERROR(VLOOKUP(A34,OFFSET($S$45,,,COUNTIF($S$45:$S$50,"?*"),14),13,FALSE),"")</f>
        <v>5.4971157108924338</v>
      </c>
      <c r="D37" s="454"/>
      <c r="E37" s="455" t="str">
        <f ca="1">IFERROR(VLOOKUP(A34,OFFSET($AG$2,,,COUNTIF($AG$2:$AG$50,"?*"),23),19,FALSE),"")</f>
        <v>10 OZ, 1 A</v>
      </c>
      <c r="F37" s="456"/>
      <c r="H37" s="45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>FBC Liberec</v>
      </c>
      <c r="B38" s="447"/>
      <c r="C38" s="448"/>
      <c r="D38" s="449">
        <f ca="1">IFERROR(IF(VLOOKUP(A34,OFFSET($AG$2,,,COUNTIF($AG$2:$AG$50,"?*"),23),14,FALSE)&lt;&gt;0,VLOOKUP(A34,OFFSET($AG$2,,,COUNTIF($AG$2:$AG$50,"?*"),23),14,FALSE),"?"),"")</f>
        <v>2014</v>
      </c>
      <c r="E38" s="450"/>
      <c r="F38" s="19">
        <f ca="1">IFERROR(VLOOKUP(A34,OFFSET($S$45,,,COUNTIF($S$45:$S$50,"?*"),14),6,FALSE),"")</f>
        <v>0</v>
      </c>
      <c r="H38" s="457"/>
      <c r="J38" s="429" t="s">
        <v>213</v>
      </c>
      <c r="K38" s="430"/>
      <c r="L38" s="430"/>
      <c r="M38" s="430"/>
      <c r="N38" s="430"/>
      <c r="O38" s="430"/>
      <c r="P38" s="430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>P</v>
      </c>
      <c r="K39" s="423">
        <f ca="1">IFERROR(IF(VLOOKUP(J38,OFFSET($AG$2,,,COUNTIF($AG$2:$AG$50,"?*"),23),2,FALSE)&lt;&gt;0,YEAR(VLOOKUP(J38,OFFSET($AG$2,,,COUNTIF($AG$2:$AG$50,"?*"),23),2,FALSE)),""),"")</f>
        <v>2001</v>
      </c>
      <c r="L39" s="431"/>
      <c r="M39" s="150">
        <f ca="1">IFERROR(VLOOKUP(J38,OFFSET($AG$2,,,COUNTIF($AG$2:$AG$50,"?*"),23),15,FALSE),"")</f>
        <v>20</v>
      </c>
      <c r="N39" s="431" t="str">
        <f ca="1">IFERROR(VLOOKUP(J38,OFFSET($AG$2,,,COUNTIF($AG$2:$AG$50,"?*"),23),16,FALSE),"")</f>
        <v>170/67</v>
      </c>
      <c r="O39" s="431"/>
      <c r="P39" s="431" t="str">
        <f ca="1">IFERROR(VLOOKUP(J38,OFFSET($AG$2,,,COUNTIF($AG$2:$AG$50,"?*"),23),18,FALSE),"")</f>
        <v>7 OZ, 0 (0+0), 0 ±</v>
      </c>
      <c r="Q39" s="431"/>
      <c r="R39" s="43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9" t="s">
        <v>773</v>
      </c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7"/>
      <c r="J40" s="18">
        <f ca="1">IFERROR(IF(VLOOKUP(J38,OFFSET($AG$2,,,COUNTIF($AG$2:$AG$50,"?*"),23),7,FALSE)&lt;&gt;0,VLOOKUP(J38,OFFSET($AG$2,,,COUNTIF($AG$2:$AG$50,"?*"),23),7,FALSE),"?"),"")</f>
        <v>4</v>
      </c>
      <c r="K40" s="433" t="str">
        <f ca="1">IFERROR(VLOOKUP(J38,OFFSET($AG$2,,,COUNTIF($AG$2:$AG$50,"?*"),23),19,FALSE),"")</f>
        <v>21 OZ, 0 (0+0)</v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>Sokol Benátky nad Jizerou</v>
      </c>
      <c r="O40" s="434"/>
      <c r="P40" s="434"/>
      <c r="Q40" s="433">
        <f ca="1">IFERROR(IF(VLOOKUP(J38,OFFSET($AG$2,,,COUNTIF($AG$2:$AG$50,"?*"),23),14,FALSE)&lt;&gt;0,VLOOKUP(J38,OFFSET($AG$2,,,COUNTIF($AG$2:$AG$50,"?*"),23),14,FALSE),"?"),"")</f>
        <v>2006</v>
      </c>
      <c r="R40" s="43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422" t="str">
        <f ca="1">IFERROR(IF(VLOOKUP(A40,OFFSET($AG$2,,,COUNTIF($AG$2:$AG$50,"?*"),23),2,FALSE)&lt;&gt;0,YEAR(VLOOKUP(A40,OFFSET($AG$2,,,COUNTIF($AG$2:$AG$50,"?*"),23),2,FALSE)),""),"")</f>
        <v/>
      </c>
      <c r="C41" s="423"/>
      <c r="D41" s="94" t="str">
        <f ca="1">IFERROR(VLOOKUP(A40,OFFSET($AG$2,,,COUNTIF($AG$2:$AG$50,"?*"),23),15,FALSE),"")</f>
        <v>?</v>
      </c>
      <c r="E41" s="424" t="str">
        <f ca="1">IFERROR(VLOOKUP(A40,OFFSET($AG$2,,,COUNTIF($AG$2:$AG$50,"?*"),23),16,FALSE),"")</f>
        <v>? / ?</v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426" t="str">
        <f ca="1">IFERROR(VLOOKUP(A40,OFFSET($AG$2,,,COUNTIF($AG$2:$AG$50,"?*"),23),18,FALSE),"")</f>
        <v>1 V, 1 P</v>
      </c>
      <c r="C42" s="426"/>
      <c r="D42" s="427">
        <f ca="1">IFERROR(VLOOKUP(A40,OFFSET($S$45,,,COUNTIF($S$45:$S$50,"?*"),14),5,FALSE),"")</f>
        <v>7</v>
      </c>
      <c r="E42" s="428"/>
      <c r="F42" s="17">
        <f ca="1">IFERROR(VLOOKUP(A40,OFFSET($S$45,,,COUNTIF($S$45:$S$50,"?*"),14),14,FALSE),"")</f>
        <v>77.41935483870968</v>
      </c>
      <c r="H42" s="457"/>
      <c r="J42" s="429"/>
      <c r="K42" s="430"/>
      <c r="L42" s="430"/>
      <c r="M42" s="430"/>
      <c r="N42" s="430"/>
      <c r="O42" s="430"/>
      <c r="P42" s="430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1">
        <f ca="1">IFERROR(VLOOKUP(A40,OFFSET($S$45,,,COUNTIF($S$45:$S$50,"?*"),14),3,FALSE),"")</f>
        <v>74.48</v>
      </c>
      <c r="B43" s="452"/>
      <c r="C43" s="453">
        <f ca="1">IFERROR(VLOOKUP(A40,OFFSET($S$45,,,COUNTIF($S$45:$S$50,"?*"),14),13,FALSE),"")</f>
        <v>5.6390977443609023</v>
      </c>
      <c r="D43" s="454"/>
      <c r="E43" s="455" t="str">
        <f ca="1">IFERROR(VLOOKUP(A40,OFFSET($AG$2,,,COUNTIF($AG$2:$AG$50,"?*"),23),19,FALSE),"")</f>
        <v>2 OZ, 0 A</v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/>
      </c>
      <c r="K43" s="423" t="str">
        <f ca="1">IFERROR(IF(VLOOKUP(J42,OFFSET($AG$2,,,COUNTIF($AG$2:$AG$50,"?*"),23),2,FALSE)&lt;&gt;0,YEAR(VLOOKUP(J42,OFFSET($AG$2,,,COUNTIF($AG$2:$AG$50,"?*"),23),2,FALSE)),""),"")</f>
        <v/>
      </c>
      <c r="L43" s="431"/>
      <c r="M43" s="150" t="str">
        <f ca="1">IFERROR(VLOOKUP(J42,OFFSET($AG$2,,,COUNTIF($AG$2:$AG$50,"?*"),23),15,FALSE),"")</f>
        <v/>
      </c>
      <c r="N43" s="431" t="str">
        <f ca="1">IFERROR(VLOOKUP(J42,OFFSET($AG$2,,,COUNTIF($AG$2:$AG$50,"?*"),23),16,FALSE),"")</f>
        <v/>
      </c>
      <c r="O43" s="431"/>
      <c r="P43" s="431" t="str">
        <f ca="1">IFERROR(VLOOKUP(J42,OFFSET($AG$2,,,COUNTIF($AG$2:$AG$50,"?*"),23),18,FALSE),"")</f>
        <v/>
      </c>
      <c r="Q43" s="431"/>
      <c r="R43" s="432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>?</v>
      </c>
      <c r="B44" s="447"/>
      <c r="C44" s="448"/>
      <c r="D44" s="449" t="str">
        <f ca="1">IFERROR(IF(VLOOKUP(A40,OFFSET($AG$2,,,COUNTIF($AG$2:$AG$50,"?*"),23),14,FALSE)&lt;&gt;0,VLOOKUP(A40,OFFSET($AG$2,,,COUNTIF($AG$2:$AG$50,"?*"),23),14,FALSE),"?"),"")</f>
        <v>?</v>
      </c>
      <c r="E44" s="450"/>
      <c r="F44" s="19">
        <f ca="1">IFERROR(VLOOKUP(A40,OFFSET($S$45,,,COUNTIF($S$45:$S$50,"?*"),14),6,FALSE),"")</f>
        <v>0</v>
      </c>
      <c r="H44" s="457"/>
      <c r="J44" s="18" t="str">
        <f ca="1">IFERROR(IF(VLOOKUP(J42,OFFSET($AG$2,,,COUNTIF($AG$2:$AG$50,"?*"),23),7,FALSE)&lt;&gt;0,VLOOKUP(J42,OFFSET($AG$2,,,COUNTIF($AG$2:$AG$50,"?*"),23),7,FALSE),"?"),"")</f>
        <v/>
      </c>
      <c r="K44" s="433" t="str">
        <f ca="1">IFERROR(VLOOKUP(J42,OFFSET($AG$2,,,COUNTIF($AG$2:$AG$50,"?*"),23),19,FALSE),"")</f>
        <v/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/>
      </c>
      <c r="O44" s="434"/>
      <c r="P44" s="434"/>
      <c r="Q44" s="433" t="str">
        <f ca="1">IFERROR(IF(VLOOKUP(J42,OFFSET($AG$2,,,COUNTIF($AG$2:$AG$50,"?*"),23),14,FALSE)&lt;&gt;0,VLOOKUP(J42,OFFSET($AG$2,,,COUNTIF($AG$2:$AG$50,"?*"),23),14,FALSE),"?"),"")</f>
        <v/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212</v>
      </c>
      <c r="T45" s="102">
        <v>10</v>
      </c>
      <c r="U45" s="112">
        <v>589.4</v>
      </c>
      <c r="V45" s="102">
        <v>6</v>
      </c>
      <c r="W45" s="102">
        <v>54</v>
      </c>
      <c r="X45" s="102">
        <v>0</v>
      </c>
      <c r="Y45" s="102">
        <v>232</v>
      </c>
      <c r="Z45" s="102">
        <v>0</v>
      </c>
      <c r="AA45" s="102">
        <v>4</v>
      </c>
      <c r="AB45" s="102">
        <v>178</v>
      </c>
      <c r="AC45" s="102">
        <v>1</v>
      </c>
      <c r="AD45" s="102">
        <v>0</v>
      </c>
      <c r="AE45" s="112">
        <f>IF(S45&lt;&gt;"",IF(T45&gt;0,W45/(U45/60),0),"")</f>
        <v>5.4971157108924338</v>
      </c>
      <c r="AF45" s="112">
        <f>IF(S45&lt;&gt;"",IF(Y45&gt;0,(AB45/Y45)*100,"-"),"")</f>
        <v>76.724137931034491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773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3">IF(S46&lt;&gt;"",IF(T46&gt;0,W46/(U46/60),0),"")</f>
        <v>5.6390977443609023</v>
      </c>
      <c r="AF46" s="112">
        <f t="shared" ref="AF46:AF50" si="24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8" t="s">
        <v>231</v>
      </c>
      <c r="B47" s="419"/>
      <c r="C47" s="419"/>
      <c r="D47" s="419"/>
      <c r="E47" s="420" t="str">
        <f ca="1">IFERROR(VLOOKUP(A47,OFFSET($BN$2,,,COUNTIF($BN$2:$BN$11,"?*"),5),3,FALSE),"")</f>
        <v>hlavní trenér</v>
      </c>
      <c r="F47" s="420"/>
      <c r="G47" s="420"/>
      <c r="H47" s="420"/>
      <c r="I47" s="421"/>
      <c r="J47" s="418" t="s">
        <v>232</v>
      </c>
      <c r="K47" s="419"/>
      <c r="L47" s="419"/>
      <c r="M47" s="419"/>
      <c r="N47" s="420" t="str">
        <f ca="1">IFERROR(VLOOKUP(J47,OFFSET($BN$2,,,COUNTIF($BN$2:$BN$11,"?*"),5),3,FALSE),"")</f>
        <v>asistent trenéra</v>
      </c>
      <c r="O47" s="420"/>
      <c r="P47" s="420"/>
      <c r="Q47" s="420"/>
      <c r="R47" s="421"/>
      <c r="S47" s="111" t="s">
        <v>207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6">
        <f ca="1">IFERROR(VLOOKUP(A47,OFFSET($BN$2,,,COUNTIF($BN$2:$BN$11,"?*"),5),5,FALSE),"")</f>
        <v>53</v>
      </c>
      <c r="B48" s="438" t="str">
        <f ca="1">IFERROR(IF(VLOOKUP(A47,OFFSET($BN$2,,,COUNTIF($BN$2:$BN$11,"?*"),5),4,FALSE)&lt;&gt;0,VLOOKUP(A47,OFFSET($BN$2,,,COUNTIF($BN$2:$BN$11,"?*"),5),4,FALSE),"-"),"")</f>
        <v>stříbro a bronz z MS</v>
      </c>
      <c r="C48" s="438"/>
      <c r="D48" s="438"/>
      <c r="E48" s="438"/>
      <c r="F48" s="438"/>
      <c r="G48" s="438"/>
      <c r="H48" s="438"/>
      <c r="I48" s="439"/>
      <c r="J48" s="92">
        <f ca="1">IFERROR(VLOOKUP(J47,OFFSET($BN$2,,,COUNTIF($BN$2:$BN$11,"?*"),5),5,FALSE),"")</f>
        <v>26</v>
      </c>
      <c r="K48" s="442" t="str">
        <f ca="1">IFERROR(IF(VLOOKUP(J47,OFFSET($BN$2,,,COUNTIF($BN$2:$BN$11,"?*"),5),4,FALSE)&lt;&gt;0,VLOOKUP(J47,OFFSET($BN$2,,,COUNTIF($BN$2:$BN$11,"?*"),5),4,FALSE),"-"),"")</f>
        <v>-</v>
      </c>
      <c r="L48" s="442"/>
      <c r="M48" s="442"/>
      <c r="N48" s="442"/>
      <c r="O48" s="442"/>
      <c r="P48" s="442"/>
      <c r="Q48" s="442"/>
      <c r="R48" s="443"/>
      <c r="S48" s="111" t="s">
        <v>224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 t="s">
        <v>233</v>
      </c>
      <c r="K49" s="445"/>
      <c r="L49" s="445"/>
      <c r="M49" s="445"/>
      <c r="N49" s="420" t="str">
        <f ca="1">IFERROR(VLOOKUP(J49,OFFSET($BN$2,,,COUNTIF($BN$2:$BN$11,"?*"),5),3,FALSE),"")</f>
        <v>kondiční trenér</v>
      </c>
      <c r="O49" s="420"/>
      <c r="P49" s="420"/>
      <c r="Q49" s="420"/>
      <c r="R49" s="42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92">
        <f ca="1">IFERROR(VLOOKUP(J49,OFFSET($BN$2,,,COUNTIF($BN$2:$BN$11,"?*"),5),5,FALSE),"")</f>
        <v>42</v>
      </c>
      <c r="K50" s="442" t="str">
        <f ca="1">IFERROR(IF(VLOOKUP(J49,OFFSET($BN$2,,,COUNTIF($BN$2:$BN$11,"?*"),5),4,FALSE)&lt;&gt;0,VLOOKUP(J49,OFFSET($BN$2,,,COUNTIF($BN$2:$BN$11,"?*"),5),4,FALSE),"-"),"")</f>
        <v>-</v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 xr:uid="{00000000-0002-0000-0C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C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C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C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List8">
    <tabColor rgb="FF00B0F0"/>
  </sheetPr>
  <dimension ref="A1:CA51"/>
  <sheetViews>
    <sheetView view="pageLayout" topLeftCell="J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/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3" t="s">
        <v>1</v>
      </c>
      <c r="I1" s="463"/>
      <c r="J1" s="463"/>
      <c r="K1" s="463"/>
      <c r="M1" s="429"/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2" t="str">
        <f ca="1">IFERROR(IF(VLOOKUP(A1,OFFSET($AG$2,,,COUNTIF($AG$2:$AG$50,"?*"),23),2,FALSE)&lt;&gt;0,YEAR(VLOOKUP(A1,OFFSET($AG$2,,,COUNTIF($AG$2:$AG$50,"?*"),23),2,FALSE)),""),"")</f>
        <v/>
      </c>
      <c r="C2" s="423"/>
      <c r="D2" s="117" t="str">
        <f ca="1">IFERROR(VLOOKUP(A1,OFFSET($AG$2,,,COUNTIF($AG$2:$AG$50,"?*"),23),15,FALSE),"")</f>
        <v/>
      </c>
      <c r="E2" s="424" t="str">
        <f ca="1">IFERROR(VLOOKUP(A1,OFFSET($AG$2,,,COUNTIF($AG$2:$AG$50,"?*"),23),16,FALSE),"")</f>
        <v/>
      </c>
      <c r="F2" s="425"/>
      <c r="M2" s="4" t="str">
        <f ca="1">IFERROR(IF(VLOOKUP(M1,OFFSET($AG$2,,,COUNTIF($AG$2:$AG$50,"?*"),23),10,FALSE)&lt;&gt;0,VLOOKUP(M1,OFFSET($AG$2,,,COUNTIF($AG$2:$AG$50,"?*"),23),10,FALSE),""),"")</f>
        <v/>
      </c>
      <c r="N2" s="422" t="str">
        <f ca="1">IFERROR(IF(VLOOKUP(M1,OFFSET($AG$2,,,COUNTIF($AG$2:$AG$50,"?*"),23),2,FALSE)&lt;&gt;0,YEAR(VLOOKUP(M1,OFFSET($AG$2,,,COUNTIF($AG$2:$AG$50,"?*"),23),2,FALSE)),""),"")</f>
        <v/>
      </c>
      <c r="O2" s="423"/>
      <c r="P2" s="117" t="str">
        <f ca="1">IFERROR(VLOOKUP(M1,OFFSET($AG$2,,,COUNTIF($AG$2:$AG$50,"?*"),23),15,FALSE),"")</f>
        <v/>
      </c>
      <c r="Q2" s="424" t="str">
        <f ca="1">IFERROR(VLOOKUP(M1,OFFSET($AG$2,,,COUNTIF($AG$2:$AG$50,"?*"),23),16,FALSE),"")</f>
        <v/>
      </c>
      <c r="R2" s="425"/>
      <c r="S2" s="110" t="s">
        <v>369</v>
      </c>
      <c r="T2" s="102" t="s">
        <v>107</v>
      </c>
      <c r="U2" s="102">
        <v>11</v>
      </c>
      <c r="V2" s="102">
        <v>10</v>
      </c>
      <c r="W2" s="102">
        <v>0</v>
      </c>
      <c r="X2" s="102">
        <v>0</v>
      </c>
      <c r="Y2" s="102">
        <v>12</v>
      </c>
      <c r="Z2" s="102">
        <v>22</v>
      </c>
      <c r="AA2" s="102">
        <v>2</v>
      </c>
      <c r="AB2" s="102">
        <v>16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382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5</v>
      </c>
      <c r="AT2" s="123">
        <v>2000</v>
      </c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9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170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406</v>
      </c>
      <c r="BO2" s="122">
        <v>30091</v>
      </c>
      <c r="BP2" s="131" t="s">
        <v>236</v>
      </c>
      <c r="BQ2" s="132" t="s">
        <v>407</v>
      </c>
      <c r="BR2" s="127">
        <f ca="1">IF(BN2&lt;&gt;"",IF(BO2&lt;&gt;"",INT((TODAY()-BO2)/365),"?"),"")</f>
        <v>39</v>
      </c>
      <c r="BS2" s="417" t="s">
        <v>36</v>
      </c>
      <c r="BT2" s="104" t="s">
        <v>883</v>
      </c>
      <c r="BU2" s="103">
        <v>22</v>
      </c>
      <c r="BV2" s="104" t="str">
        <f>IFERROR(RIGHT(BT2,LEN(BT2)-SEARCH(" ",BT2)),"")</f>
        <v>Jiří Curney</v>
      </c>
      <c r="BW2" s="102">
        <f>IF(BT2&lt;&gt;0,_xlfn.NUMBERVALUE(BU2,","),"")</f>
        <v>22</v>
      </c>
      <c r="BX2" s="416" t="s">
        <v>192</v>
      </c>
      <c r="BY2" s="103" t="s">
        <v>861</v>
      </c>
      <c r="BZ2" s="103" t="s">
        <v>847</v>
      </c>
      <c r="CA2" s="115" t="s">
        <v>814</v>
      </c>
    </row>
    <row r="3" spans="1:79" ht="15" customHeight="1" thickTop="1" thickBot="1" x14ac:dyDescent="0.25">
      <c r="A3" s="458" t="str">
        <f ca="1">IFERROR(VLOOKUP(A1,OFFSET($AG$2,,,COUNTIF($AG$2:$AG$50,"?*"),23),18,FALSE),"")</f>
        <v/>
      </c>
      <c r="B3" s="459"/>
      <c r="C3" s="459"/>
      <c r="D3" s="460" t="str">
        <f ca="1">IFERROR(VLOOKUP(A1,OFFSET($AG$2,,,COUNTIF($AG$2:$AG$50,"?*"),23),19,FALSE),"")</f>
        <v/>
      </c>
      <c r="E3" s="460"/>
      <c r="F3" s="461"/>
      <c r="G3" s="429"/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8" t="str">
        <f ca="1">IFERROR(VLOOKUP(M1,OFFSET($AG$2,,,COUNTIF($AG$2:$AG$50,"?*"),23),18,FALSE),"")</f>
        <v/>
      </c>
      <c r="N3" s="459"/>
      <c r="O3" s="459"/>
      <c r="P3" s="460" t="str">
        <f ca="1">IFERROR(VLOOKUP(M1,OFFSET($AG$2,,,COUNTIF($AG$2:$AG$50,"?*"),23),19,FALSE),"")</f>
        <v/>
      </c>
      <c r="Q3" s="460"/>
      <c r="R3" s="461"/>
      <c r="S3" s="110" t="s">
        <v>370</v>
      </c>
      <c r="U3" s="102">
        <v>11</v>
      </c>
      <c r="V3" s="102">
        <v>12</v>
      </c>
      <c r="W3" s="102">
        <v>2</v>
      </c>
      <c r="X3" s="102">
        <v>0</v>
      </c>
      <c r="Y3" s="102">
        <v>3</v>
      </c>
      <c r="Z3" s="102">
        <v>15</v>
      </c>
      <c r="AA3" s="102">
        <v>0</v>
      </c>
      <c r="AB3" s="102">
        <v>13</v>
      </c>
      <c r="AC3" s="102" t="str">
        <f t="shared" ca="1" si="0"/>
        <v>ANO</v>
      </c>
      <c r="AG3" s="121" t="s">
        <v>374</v>
      </c>
      <c r="AH3" s="122">
        <v>37103</v>
      </c>
      <c r="AI3" s="123">
        <v>21</v>
      </c>
      <c r="AJ3" s="123">
        <v>16</v>
      </c>
      <c r="AK3" s="123">
        <v>6</v>
      </c>
      <c r="AL3" s="124">
        <v>22</v>
      </c>
      <c r="AM3" s="123">
        <v>2</v>
      </c>
      <c r="AN3" s="123">
        <v>22</v>
      </c>
      <c r="AO3" s="125"/>
      <c r="AP3" s="125" t="s">
        <v>137</v>
      </c>
      <c r="AQ3" s="123">
        <v>185</v>
      </c>
      <c r="AR3" s="123">
        <v>75</v>
      </c>
      <c r="AS3" s="126" t="s">
        <v>250</v>
      </c>
      <c r="AT3" s="123">
        <v>2010</v>
      </c>
      <c r="AU3" s="127">
        <f ca="1">IF(AG3&lt;&gt;"",IF(AH3&lt;&gt;"",INT((TODAY()-AH3)/365),"?"),"")</f>
        <v>20</v>
      </c>
      <c r="AV3" s="127" t="str">
        <f>IF(AG3&lt;&gt;"",CONCATENATE(IF(AQ3&lt;&gt;"",AQ3,"? "),"/",IF(AR3&lt;&gt;"",AR3," ?")),"")</f>
        <v>185/75</v>
      </c>
      <c r="AW3" s="128" t="str">
        <f ca="1">IF(AG3&lt;&gt;"",IF(BE3=1,BD3,IF(BH3=1,BG3,IF(BJ3=1,BI3,IF(BL3=1,BK3,BM3)))),"")</f>
        <v>Beneš</v>
      </c>
      <c r="AX3" s="129" t="str">
        <f t="shared" ca="1" si="1"/>
        <v>11 OZ, 11 (3+8), +21 ±</v>
      </c>
      <c r="AY3" s="129" t="str">
        <f t="shared" ca="1" si="2"/>
        <v>32 OZ, 33 (19+14)</v>
      </c>
      <c r="AZ3" s="130"/>
      <c r="BA3" s="130"/>
      <c r="BB3" s="130"/>
      <c r="BC3" s="130"/>
      <c r="BD3" s="89" t="str">
        <f t="shared" ref="BD3:BD50" si="3">IF(AG3&lt;&gt;"",RIGHT(AG3,LEN(AG3)-SEARCH(" ",AG3)),"")</f>
        <v>Beneš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408</v>
      </c>
      <c r="BO3" s="122">
        <v>33197</v>
      </c>
      <c r="BP3" s="131" t="s">
        <v>176</v>
      </c>
      <c r="BQ3" s="132" t="s">
        <v>409</v>
      </c>
      <c r="BR3" s="127">
        <f t="shared" ref="BR3:BR11" ca="1" si="12">IF(BN3&lt;&gt;"",IF(BO3&lt;&gt;"",INT((TODAY()-BO3)/365),"?"),"")</f>
        <v>30</v>
      </c>
      <c r="BS3" s="417"/>
      <c r="BT3" s="104" t="s">
        <v>884</v>
      </c>
      <c r="BU3" s="103">
        <v>15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15</v>
      </c>
      <c r="BX3" s="416"/>
      <c r="BY3" s="103" t="s">
        <v>841</v>
      </c>
      <c r="BZ3" s="103" t="s">
        <v>836</v>
      </c>
      <c r="CA3" s="115" t="s">
        <v>1068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/>
      </c>
      <c r="B4" s="447"/>
      <c r="C4" s="448"/>
      <c r="D4" s="449" t="str">
        <f ca="1">IFERROR(IF(VLOOKUP(A1,OFFSET($AG$2,,,COUNTIF($AG$2:$AG$50,"?*"),23),14,FALSE)&lt;&gt;0,VLOOKUP(A1,OFFSET($AG$2,,,COUNTIF($AG$2:$AG$50,"?*"),23),14,FALSE),"?"),"")</f>
        <v/>
      </c>
      <c r="E4" s="4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2" t="str">
        <f ca="1">IFERROR(IF(VLOOKUP(G3,OFFSET($AG$2,,,COUNTIF($AG$2:$AG$50,"?*"),23),2,FALSE)&lt;&gt;0,YEAR(VLOOKUP(G3,OFFSET($AG$2,,,COUNTIF($AG$2:$AG$50,"?*"),23),2,FALSE)),""),"")</f>
        <v/>
      </c>
      <c r="I4" s="423"/>
      <c r="J4" s="117" t="str">
        <f ca="1">IFERROR(VLOOKUP(G3,OFFSET($AG$2,,,COUNTIF($AG$2:$AG$50,"?*"),23),15,FALSE),"")</f>
        <v/>
      </c>
      <c r="K4" s="424" t="str">
        <f ca="1">IFERROR(VLOOKUP(G3,OFFSET($AG$2,,,COUNTIF($AG$2:$AG$50,"?*"),23),16,FALSE),"")</f>
        <v/>
      </c>
      <c r="L4" s="425"/>
      <c r="M4" s="446" t="str">
        <f ca="1">IFERROR(IF(VLOOKUP(M1,OFFSET($AG$2,,,COUNTIF($AG$2:$AG$50,"?*"),23),13,FALSE)&lt;&gt;0,VLOOKUP(M1,OFFSET($AG$2,,,COUNTIF($AG$2:$AG$50,"?*"),23),13,FALSE),"?"),"")</f>
        <v/>
      </c>
      <c r="N4" s="447"/>
      <c r="O4" s="448"/>
      <c r="P4" s="449" t="str">
        <f ca="1">IFERROR(IF(VLOOKUP(M1,OFFSET($AG$2,,,COUNTIF($AG$2:$AG$50,"?*"),23),14,FALSE)&lt;&gt;0,VLOOKUP(M1,OFFSET($AG$2,,,COUNTIF($AG$2:$AG$50,"?*"),23),14,FALSE),"?"),"")</f>
        <v/>
      </c>
      <c r="Q4" s="4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377</v>
      </c>
      <c r="U4" s="102">
        <v>11</v>
      </c>
      <c r="V4" s="102">
        <v>11</v>
      </c>
      <c r="W4" s="102">
        <v>0</v>
      </c>
      <c r="X4" s="102">
        <v>0</v>
      </c>
      <c r="Y4" s="102">
        <v>2</v>
      </c>
      <c r="Z4" s="102">
        <v>13</v>
      </c>
      <c r="AA4" s="102">
        <v>0</v>
      </c>
      <c r="AB4" s="102">
        <v>7</v>
      </c>
      <c r="AC4" s="102" t="str">
        <f t="shared" ca="1" si="0"/>
        <v>ANO</v>
      </c>
      <c r="AG4" s="121" t="s">
        <v>377</v>
      </c>
      <c r="AH4" s="122">
        <v>35871</v>
      </c>
      <c r="AI4" s="123">
        <v>138</v>
      </c>
      <c r="AJ4" s="123">
        <v>84</v>
      </c>
      <c r="AK4" s="123">
        <v>30</v>
      </c>
      <c r="AL4" s="124">
        <f>IF(AG4&lt;&gt;"",AJ4+AK4,"")</f>
        <v>114</v>
      </c>
      <c r="AM4" s="123">
        <v>7</v>
      </c>
      <c r="AN4" s="123">
        <v>17</v>
      </c>
      <c r="AO4" s="125"/>
      <c r="AP4" s="125" t="s">
        <v>137</v>
      </c>
      <c r="AQ4" s="123">
        <v>181</v>
      </c>
      <c r="AR4" s="123">
        <v>62</v>
      </c>
      <c r="AS4" s="126" t="s">
        <v>395</v>
      </c>
      <c r="AT4" s="123">
        <v>2006</v>
      </c>
      <c r="AU4" s="127">
        <f ca="1">IF(AG4&lt;&gt;"",IF(AH4&lt;&gt;"",INT((TODAY()-AH4)/365),"?"),"")</f>
        <v>23</v>
      </c>
      <c r="AV4" s="127" t="str">
        <f>IF(AG4&lt;&gt;"",CONCATENATE(IF(AQ4&lt;&gt;"",AQ4,"? "),"/",IF(AR4&lt;&gt;"",AR4," ?")),"")</f>
        <v>181/62</v>
      </c>
      <c r="AW4" s="128" t="str">
        <f ca="1">IF(AG4&lt;&gt;"",IF(BE4=1,BD4,IF(BH4=1,BG4,IF(BJ4=1,BI4,IF(BL4=1,BK4,BM4)))),"")</f>
        <v>Bína</v>
      </c>
      <c r="AX4" s="129" t="str">
        <f t="shared" ca="1" si="1"/>
        <v>11 OZ, 13 (11+2), +7 ±</v>
      </c>
      <c r="AY4" s="129" t="str">
        <f t="shared" ca="1" si="2"/>
        <v>149 OZ, 127 (95+32)</v>
      </c>
      <c r="AZ4" s="130"/>
      <c r="BA4" s="130"/>
      <c r="BB4" s="130"/>
      <c r="BC4" s="130"/>
      <c r="BD4" s="3" t="str">
        <f t="shared" si="3"/>
        <v>Bína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410</v>
      </c>
      <c r="BO4" s="122">
        <v>30597</v>
      </c>
      <c r="BP4" s="131" t="s">
        <v>237</v>
      </c>
      <c r="BQ4" s="132" t="s">
        <v>411</v>
      </c>
      <c r="BR4" s="127">
        <f t="shared" ca="1" si="12"/>
        <v>38</v>
      </c>
      <c r="BS4" s="417"/>
      <c r="BT4" s="104" t="s">
        <v>885</v>
      </c>
      <c r="BU4" s="103">
        <v>13</v>
      </c>
      <c r="BV4" s="104" t="str">
        <f t="shared" si="13"/>
        <v>Jakub Bína</v>
      </c>
      <c r="BW4" s="102">
        <f t="shared" si="14"/>
        <v>13</v>
      </c>
      <c r="BX4" s="416"/>
      <c r="BY4" s="103" t="s">
        <v>839</v>
      </c>
      <c r="BZ4" s="103" t="s">
        <v>859</v>
      </c>
      <c r="CA4" s="115" t="s">
        <v>814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/>
      </c>
      <c r="H5" s="459"/>
      <c r="I5" s="459"/>
      <c r="J5" s="460" t="str">
        <f ca="1">IFERROR(VLOOKUP(G3,OFFSET($AG$2,,,COUNTIF($AG$2:$AG$50,"?*"),23),19,FALSE),"")</f>
        <v/>
      </c>
      <c r="K5" s="460"/>
      <c r="L5" s="461"/>
      <c r="S5" s="110" t="s">
        <v>371</v>
      </c>
      <c r="U5" s="102">
        <v>11</v>
      </c>
      <c r="V5" s="102">
        <v>8</v>
      </c>
      <c r="W5" s="102">
        <v>0</v>
      </c>
      <c r="X5" s="102">
        <v>0</v>
      </c>
      <c r="Y5" s="102">
        <v>4</v>
      </c>
      <c r="Z5" s="102">
        <v>12</v>
      </c>
      <c r="AA5" s="102">
        <v>10</v>
      </c>
      <c r="AB5" s="102">
        <v>16</v>
      </c>
      <c r="AC5" s="102" t="str">
        <f t="shared" ca="1" si="0"/>
        <v>ANO</v>
      </c>
      <c r="AG5" s="121" t="s">
        <v>369</v>
      </c>
      <c r="AH5" s="122">
        <v>32786</v>
      </c>
      <c r="AI5" s="123">
        <v>335</v>
      </c>
      <c r="AJ5" s="123">
        <v>403</v>
      </c>
      <c r="AK5" s="123">
        <v>332</v>
      </c>
      <c r="AL5" s="124">
        <f>IF(AG5&lt;&gt;"",AJ5+AK5,"")</f>
        <v>735</v>
      </c>
      <c r="AM5" s="123">
        <v>16</v>
      </c>
      <c r="AN5" s="123">
        <v>40</v>
      </c>
      <c r="AO5" s="125"/>
      <c r="AP5" s="125" t="s">
        <v>137</v>
      </c>
      <c r="AQ5" s="123">
        <v>180</v>
      </c>
      <c r="AR5" s="123">
        <v>77</v>
      </c>
      <c r="AS5" s="126" t="s">
        <v>396</v>
      </c>
      <c r="AT5" s="123">
        <v>2004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180/77</v>
      </c>
      <c r="AW5" s="128" t="str">
        <f ca="1">IF(AG5&lt;&gt;"",IF(BE5=1,BD5,IF(BH5=1,BG5,IF(BJ5=1,BI5,IF(BL5=1,BK5,BM5)))),"")</f>
        <v>Curney</v>
      </c>
      <c r="AX5" s="129" t="str">
        <f t="shared" ca="1" si="1"/>
        <v>11 OZ, 22 (10+12), +16 ±</v>
      </c>
      <c r="AY5" s="129" t="str">
        <f t="shared" ca="1" si="2"/>
        <v>346 OZ, 757 (413+344)</v>
      </c>
      <c r="AZ5" s="130"/>
      <c r="BA5" s="130"/>
      <c r="BB5" s="130"/>
      <c r="BC5" s="130"/>
      <c r="BD5" s="89" t="str">
        <f t="shared" si="3"/>
        <v>Curney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412</v>
      </c>
      <c r="BO5" s="122">
        <v>34618</v>
      </c>
      <c r="BP5" s="131" t="s">
        <v>413</v>
      </c>
      <c r="BQ5" s="132" t="s">
        <v>414</v>
      </c>
      <c r="BR5" s="127">
        <f t="shared" ca="1" si="12"/>
        <v>27</v>
      </c>
      <c r="BS5" s="417"/>
      <c r="BT5" s="104" t="s">
        <v>817</v>
      </c>
      <c r="BU5" s="103">
        <v>12</v>
      </c>
      <c r="BV5" s="104" t="str">
        <f t="shared" si="13"/>
        <v>Martin Tokoš</v>
      </c>
      <c r="BW5" s="102">
        <f t="shared" si="14"/>
        <v>12</v>
      </c>
      <c r="BX5" s="416"/>
      <c r="BY5" s="103" t="s">
        <v>1141</v>
      </c>
      <c r="BZ5" s="103" t="s">
        <v>842</v>
      </c>
      <c r="CA5" s="115" t="s">
        <v>1256</v>
      </c>
    </row>
    <row r="6" spans="1:79" ht="15" customHeight="1" thickTop="1" thickBot="1" x14ac:dyDescent="0.25">
      <c r="A6" s="429"/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6" t="str">
        <f ca="1">IFERROR(IF(VLOOKUP(G3,OFFSET($AG$2,,,COUNTIF($AG$2:$AG$50,"?*"),23),13,FALSE)&lt;&gt;0,VLOOKUP(G3,OFFSET($AG$2,,,COUNTIF($AG$2:$AG$50,"?*"),23),13,FALSE),"?"),"")</f>
        <v/>
      </c>
      <c r="H6" s="447"/>
      <c r="I6" s="448"/>
      <c r="J6" s="449" t="str">
        <f ca="1">IFERROR(IF(VLOOKUP(G3,OFFSET($AG$2,,,COUNTIF($AG$2:$AG$50,"?*"),23),14,FALSE)&lt;&gt;0,VLOOKUP(G3,OFFSET($AG$2,,,COUNTIF($AG$2:$AG$50,"?*"),23),14,FALSE),"?"),"")</f>
        <v/>
      </c>
      <c r="K6" s="450"/>
      <c r="L6" s="7" t="str">
        <f ca="1">IFERROR(IF(VLOOKUP(G3,OFFSET($AG$2,,,COUNTIF($AG$2:$AG$50,"?*"),23),7,FALSE)&lt;&gt;0,VLOOKUP(G3,OFFSET($AG$2,,,COUNTIF($AG$2:$AG$50,"?*"),23),7,FALSE),"?"),"")</f>
        <v/>
      </c>
      <c r="M6" s="429"/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381</v>
      </c>
      <c r="U6" s="102">
        <v>9</v>
      </c>
      <c r="V6" s="102">
        <v>6</v>
      </c>
      <c r="W6" s="102">
        <v>0</v>
      </c>
      <c r="X6" s="102">
        <v>0</v>
      </c>
      <c r="Y6" s="102">
        <v>5</v>
      </c>
      <c r="Z6" s="102">
        <v>11</v>
      </c>
      <c r="AA6" s="102">
        <v>4</v>
      </c>
      <c r="AB6" s="102">
        <v>11</v>
      </c>
      <c r="AC6" s="102" t="str">
        <f t="shared" ca="1" si="0"/>
        <v>ANO</v>
      </c>
      <c r="AG6" s="121" t="s">
        <v>815</v>
      </c>
      <c r="AH6" s="122">
        <v>38205</v>
      </c>
      <c r="AI6" s="123">
        <v>0</v>
      </c>
      <c r="AJ6" s="123">
        <v>0</v>
      </c>
      <c r="AK6" s="123">
        <v>0</v>
      </c>
      <c r="AL6" s="124">
        <v>0</v>
      </c>
      <c r="AM6" s="123">
        <v>1</v>
      </c>
      <c r="AN6" s="123">
        <v>5</v>
      </c>
      <c r="AO6" s="125"/>
      <c r="AP6" s="125" t="s">
        <v>137</v>
      </c>
      <c r="AQ6" s="123">
        <v>172</v>
      </c>
      <c r="AR6" s="123">
        <v>72</v>
      </c>
      <c r="AS6" s="126" t="s">
        <v>400</v>
      </c>
      <c r="AT6" s="123">
        <v>2013</v>
      </c>
      <c r="AU6" s="127">
        <f ca="1">IF(AG6&lt;&gt;"",IF(AH6&lt;&gt;"",INT((TODAY()-AH6)/365),"?"),"")</f>
        <v>17</v>
      </c>
      <c r="AV6" s="127" t="str">
        <f>IF(AG6&lt;&gt;"",CONCATENATE(IF(AQ6&lt;&gt;"",AQ6,"? "),"/",IF(AR6&lt;&gt;"",AR6," ?")),"")</f>
        <v>172/72</v>
      </c>
      <c r="AW6" s="128" t="str">
        <f ca="1">IF(AG6&lt;&gt;"",IF(BE6=1,BD6,IF(BH6=1,BG6,IF(BJ6=1,BI6,IF(BL6=1,BK6,BM6)))),"")</f>
        <v>Fišera</v>
      </c>
      <c r="AX6" s="129" t="str">
        <f t="shared" ca="1" si="1"/>
        <v>6 OZ, 0 (0+0), +2 ±</v>
      </c>
      <c r="AY6" s="129" t="str">
        <f t="shared" ca="1" si="2"/>
        <v>6 OZ, 0 (0+0)</v>
      </c>
      <c r="AZ6" s="130"/>
      <c r="BA6" s="130"/>
      <c r="BB6" s="130"/>
      <c r="BC6" s="130"/>
      <c r="BD6" s="3" t="str">
        <f t="shared" si="3"/>
        <v>Fišera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415</v>
      </c>
      <c r="BO6" s="122">
        <v>33694</v>
      </c>
      <c r="BP6" s="131" t="s">
        <v>416</v>
      </c>
      <c r="BQ6" s="132"/>
      <c r="BR6" s="127">
        <f t="shared" ca="1" si="12"/>
        <v>29</v>
      </c>
      <c r="BS6" s="417"/>
      <c r="BT6" s="104" t="s">
        <v>1258</v>
      </c>
      <c r="BU6" s="103">
        <v>11</v>
      </c>
      <c r="BV6" s="104" t="str">
        <f t="shared" si="13"/>
        <v>Daniel Šebek</v>
      </c>
      <c r="BW6" s="102">
        <f t="shared" si="14"/>
        <v>11</v>
      </c>
      <c r="BX6" s="416"/>
      <c r="BY6" s="103" t="s">
        <v>816</v>
      </c>
      <c r="BZ6" s="103" t="s">
        <v>840</v>
      </c>
      <c r="CA6" s="115" t="s">
        <v>769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2" t="str">
        <f ca="1">IFERROR(IF(VLOOKUP(A6,OFFSET($AG$2,,,COUNTIF($AG$2:$AG$50,"?*"),23),2,FALSE)&lt;&gt;0,YEAR(VLOOKUP(A6,OFFSET($AG$2,,,COUNTIF($AG$2:$AG$50,"?*"),23),2,FALSE)),""),"")</f>
        <v/>
      </c>
      <c r="C7" s="423"/>
      <c r="D7" s="117" t="str">
        <f ca="1">IFERROR(VLOOKUP(A6,OFFSET($AG$2,,,COUNTIF($AG$2:$AG$50,"?*"),23),15,FALSE),"")</f>
        <v/>
      </c>
      <c r="E7" s="424" t="str">
        <f ca="1">IFERROR(VLOOKUP(A6,OFFSET($AG$2,,,COUNTIF($AG$2:$AG$50,"?*"),23),16,FALSE),"")</f>
        <v/>
      </c>
      <c r="F7" s="425"/>
      <c r="M7" s="4" t="str">
        <f ca="1">IFERROR(IF(VLOOKUP(M6,OFFSET($AG$2,,,COUNTIF($AG$2:$AG$50,"?*"),23),10,FALSE)&lt;&gt;0,VLOOKUP(M6,OFFSET($AG$2,,,COUNTIF($AG$2:$AG$50,"?*"),23),10,FALSE),""),"")</f>
        <v/>
      </c>
      <c r="N7" s="422" t="str">
        <f ca="1">IFERROR(IF(VLOOKUP(M6,OFFSET($AG$2,,,COUNTIF($AG$2:$AG$50,"?*"),23),2,FALSE)&lt;&gt;0,YEAR(VLOOKUP(M6,OFFSET($AG$2,,,COUNTIF($AG$2:$AG$50,"?*"),23),2,FALSE)),""),"")</f>
        <v/>
      </c>
      <c r="O7" s="423"/>
      <c r="P7" s="117" t="str">
        <f ca="1">IFERROR(VLOOKUP(M6,OFFSET($AG$2,,,COUNTIF($AG$2:$AG$50,"?*"),23),15,FALSE),"")</f>
        <v/>
      </c>
      <c r="Q7" s="424" t="str">
        <f ca="1">IFERROR(VLOOKUP(M6,OFFSET($AG$2,,,COUNTIF($AG$2:$AG$50,"?*"),23),16,FALSE),"")</f>
        <v/>
      </c>
      <c r="R7" s="425"/>
      <c r="S7" s="110" t="s">
        <v>374</v>
      </c>
      <c r="U7" s="102">
        <v>11</v>
      </c>
      <c r="V7" s="102">
        <v>3</v>
      </c>
      <c r="W7" s="102">
        <v>0</v>
      </c>
      <c r="X7" s="102">
        <v>0</v>
      </c>
      <c r="Y7" s="102">
        <v>8</v>
      </c>
      <c r="Z7" s="102">
        <v>11</v>
      </c>
      <c r="AA7" s="102">
        <v>0</v>
      </c>
      <c r="AB7" s="102">
        <v>21</v>
      </c>
      <c r="AC7" s="102" t="str">
        <f t="shared" ca="1" si="0"/>
        <v>ANO</v>
      </c>
      <c r="AG7" s="121" t="s">
        <v>386</v>
      </c>
      <c r="AH7" s="122">
        <v>37122</v>
      </c>
      <c r="AI7" s="123">
        <v>0</v>
      </c>
      <c r="AJ7" s="123">
        <v>0</v>
      </c>
      <c r="AK7" s="123">
        <v>0</v>
      </c>
      <c r="AL7" s="124">
        <v>0</v>
      </c>
      <c r="AM7" s="123">
        <v>1</v>
      </c>
      <c r="AN7" s="123">
        <v>91</v>
      </c>
      <c r="AO7" s="125"/>
      <c r="AP7" s="125" t="s">
        <v>137</v>
      </c>
      <c r="AQ7" s="123">
        <v>181</v>
      </c>
      <c r="AR7" s="123">
        <v>70</v>
      </c>
      <c r="AS7" s="126" t="s">
        <v>250</v>
      </c>
      <c r="AT7" s="123">
        <v>2007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181/70</v>
      </c>
      <c r="AW7" s="128" t="str">
        <f ca="1">IF(AG7&lt;&gt;"",IF(BE7=1,BD7,IF(BH7=1,BG7,IF(BJ7=1,BI7,IF(BL7=1,BK7,BM7)))),"")</f>
        <v>Fořt</v>
      </c>
      <c r="AX7" s="129" t="str">
        <f t="shared" ca="1" si="1"/>
        <v>11 OZ, 5 (3+2), +11 ±</v>
      </c>
      <c r="AY7" s="129" t="str">
        <f t="shared" ca="1" si="2"/>
        <v>11 OZ, 5 (3+2)</v>
      </c>
      <c r="AZ7" s="130"/>
      <c r="BA7" s="130"/>
      <c r="BB7" s="130"/>
      <c r="BC7" s="130"/>
      <c r="BD7" s="89" t="str">
        <f t="shared" si="3"/>
        <v>Fořt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7" t="s">
        <v>40</v>
      </c>
      <c r="BT7" s="104" t="s">
        <v>417</v>
      </c>
      <c r="BU7" s="103" t="s">
        <v>1259</v>
      </c>
      <c r="BV7" s="104" t="str">
        <f t="shared" si="13"/>
        <v>Lukáš Bauer</v>
      </c>
      <c r="BW7" s="112">
        <f t="shared" si="14"/>
        <v>2.98</v>
      </c>
      <c r="BX7" s="416" t="s">
        <v>193</v>
      </c>
      <c r="BY7" s="103" t="s">
        <v>972</v>
      </c>
      <c r="BZ7" s="103" t="s">
        <v>846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/>
      </c>
      <c r="B8" s="459"/>
      <c r="C8" s="459"/>
      <c r="D8" s="460" t="str">
        <f ca="1">IFERROR(VLOOKUP(A6,OFFSET($AG$2,,,COUNTIF($AG$2:$AG$50,"?*"),23),19,FALSE),"")</f>
        <v/>
      </c>
      <c r="E8" s="460"/>
      <c r="F8" s="461"/>
      <c r="H8" s="462" t="s">
        <v>23</v>
      </c>
      <c r="I8" s="462"/>
      <c r="J8" s="462"/>
      <c r="K8" s="462"/>
      <c r="M8" s="458" t="str">
        <f ca="1">IFERROR(VLOOKUP(M6,OFFSET($AG$2,,,COUNTIF($AG$2:$AG$50,"?*"),23),18,FALSE),"")</f>
        <v/>
      </c>
      <c r="N8" s="459"/>
      <c r="O8" s="459"/>
      <c r="P8" s="460" t="str">
        <f ca="1">IFERROR(VLOOKUP(M6,OFFSET($AG$2,,,COUNTIF($AG$2:$AG$50,"?*"),23),19,FALSE),"")</f>
        <v/>
      </c>
      <c r="Q8" s="460"/>
      <c r="R8" s="461"/>
      <c r="S8" s="110" t="s">
        <v>375</v>
      </c>
      <c r="T8" s="102" t="s">
        <v>107</v>
      </c>
      <c r="U8" s="102">
        <v>11</v>
      </c>
      <c r="V8" s="102">
        <v>7</v>
      </c>
      <c r="W8" s="102">
        <v>0</v>
      </c>
      <c r="X8" s="102">
        <v>0</v>
      </c>
      <c r="Y8" s="102">
        <v>3</v>
      </c>
      <c r="Z8" s="102">
        <v>10</v>
      </c>
      <c r="AA8" s="102">
        <v>0</v>
      </c>
      <c r="AB8" s="102">
        <v>13</v>
      </c>
      <c r="AC8" s="102" t="str">
        <f t="shared" ca="1" si="0"/>
        <v>ANO</v>
      </c>
      <c r="AG8" s="121" t="s">
        <v>388</v>
      </c>
      <c r="AH8" s="122">
        <v>37081</v>
      </c>
      <c r="AI8" s="123">
        <v>2</v>
      </c>
      <c r="AJ8" s="123">
        <v>0</v>
      </c>
      <c r="AK8" s="123">
        <v>0</v>
      </c>
      <c r="AL8" s="124">
        <f>IF(AG8&lt;&gt;"",AJ8+AK8,"")</f>
        <v>0</v>
      </c>
      <c r="AM8" s="123">
        <v>3</v>
      </c>
      <c r="AN8" s="123">
        <v>21</v>
      </c>
      <c r="AO8" s="125"/>
      <c r="AP8" s="125" t="s">
        <v>137</v>
      </c>
      <c r="AQ8" s="123">
        <v>178</v>
      </c>
      <c r="AR8" s="123">
        <v>64</v>
      </c>
      <c r="AS8" s="126" t="s">
        <v>397</v>
      </c>
      <c r="AT8" s="123">
        <v>2010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178/64</v>
      </c>
      <c r="AW8" s="128" t="str">
        <f ca="1">IF(AG8&lt;&gt;"",IF(BE8=1,BD8,IF(BH8=1,BG8,IF(BJ8=1,BI8,IF(BL8=1,BK8,BM8)))),"")</f>
        <v>Goll</v>
      </c>
      <c r="AX8" s="129" t="str">
        <f t="shared" ca="1" si="1"/>
        <v>0 OZ, 0 (0+0)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3"/>
        <v>Goll</v>
      </c>
      <c r="BE8" s="84">
        <f t="shared" ca="1" si="4"/>
        <v>1</v>
      </c>
      <c r="BF8" s="62" t="str">
        <f t="shared" si="5"/>
        <v>D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7"/>
      <c r="BT8" s="104" t="s">
        <v>1260</v>
      </c>
      <c r="BU8" s="103" t="s">
        <v>183</v>
      </c>
      <c r="BV8" s="104" t="str">
        <f t="shared" si="13"/>
        <v>Dominik Hanuš</v>
      </c>
      <c r="BW8" s="112">
        <f t="shared" si="14"/>
        <v>0</v>
      </c>
      <c r="BX8" s="416"/>
      <c r="BY8" s="103" t="s">
        <v>1063</v>
      </c>
      <c r="BZ8" s="103" t="s">
        <v>835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/>
      </c>
      <c r="B9" s="447"/>
      <c r="C9" s="448"/>
      <c r="D9" s="449" t="str">
        <f ca="1">IFERROR(IF(VLOOKUP(A6,OFFSET($AG$2,,,COUNTIF($AG$2:$AG$50,"?*"),23),14,FALSE)&lt;&gt;0,VLOOKUP(A6,OFFSET($AG$2,,,COUNTIF($AG$2:$AG$50,"?*"),23),14,FALSE),"?"),"")</f>
        <v/>
      </c>
      <c r="E9" s="450"/>
      <c r="F9" s="7" t="str">
        <f ca="1">IFERROR(IF(VLOOKUP(A6,OFFSET($AG$2,,,COUNTIF($AG$2:$AG$50,"?*"),23),7,FALSE)&lt;&gt;0,VLOOKUP(A6,OFFSET($AG$2,,,COUNTIF($AG$2:$AG$50,"?*"),23),7,FALSE),"?"),"")</f>
        <v/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/>
      </c>
      <c r="N9" s="447"/>
      <c r="O9" s="448"/>
      <c r="P9" s="449" t="str">
        <f ca="1">IFERROR(IF(VLOOKUP(M6,OFFSET($AG$2,,,COUNTIF($AG$2:$AG$50,"?*"),23),14,FALSE)&lt;&gt;0,VLOOKUP(M6,OFFSET($AG$2,,,COUNTIF($AG$2:$AG$50,"?*"),23),14,FALSE),"?"),"")</f>
        <v/>
      </c>
      <c r="Q9" s="4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378</v>
      </c>
      <c r="T9" s="102" t="s">
        <v>107</v>
      </c>
      <c r="U9" s="102">
        <v>10</v>
      </c>
      <c r="V9" s="102">
        <v>4</v>
      </c>
      <c r="W9" s="102">
        <v>0</v>
      </c>
      <c r="X9" s="102">
        <v>0</v>
      </c>
      <c r="Y9" s="102">
        <v>6</v>
      </c>
      <c r="Z9" s="102">
        <v>10</v>
      </c>
      <c r="AA9" s="102">
        <v>0</v>
      </c>
      <c r="AB9" s="102">
        <v>13</v>
      </c>
      <c r="AC9" s="102" t="str">
        <f t="shared" ca="1" si="0"/>
        <v>ANO</v>
      </c>
      <c r="AG9" s="121" t="s">
        <v>373</v>
      </c>
      <c r="AH9" s="122">
        <v>34602</v>
      </c>
      <c r="AI9" s="123">
        <v>207</v>
      </c>
      <c r="AJ9" s="123">
        <v>78</v>
      </c>
      <c r="AK9" s="123">
        <v>57</v>
      </c>
      <c r="AL9" s="124">
        <f>IF(AG9&lt;&gt;"",AJ9+AK9,"")</f>
        <v>135</v>
      </c>
      <c r="AM9" s="123">
        <v>11</v>
      </c>
      <c r="AN9" s="123">
        <v>25</v>
      </c>
      <c r="AO9" s="125"/>
      <c r="AP9" s="125" t="s">
        <v>27</v>
      </c>
      <c r="AQ9" s="123">
        <v>185</v>
      </c>
      <c r="AR9" s="123">
        <v>84</v>
      </c>
      <c r="AS9" s="126" t="s">
        <v>394</v>
      </c>
      <c r="AT9" s="123">
        <v>2005</v>
      </c>
      <c r="AU9" s="127">
        <f ca="1">IF(AG9&lt;&gt;"",IF(AH9&lt;&gt;"",INT((TODAY()-AH9)/365),"?"),"")</f>
        <v>27</v>
      </c>
      <c r="AV9" s="127" t="str">
        <f>IF(AG9&lt;&gt;"",CONCATENATE(IF(AQ9&lt;&gt;"",AQ9,"? "),"/",IF(AR9&lt;&gt;"",AR9," ?")),"")</f>
        <v>185/84</v>
      </c>
      <c r="AW9" s="128" t="str">
        <f ca="1">IF(AG9&lt;&gt;"",IF(BE9=1,BD9,IF(BH9=1,BG9,IF(BJ9=1,BI9,IF(BL9=1,BK9,BM9)))),"")</f>
        <v>Gruber</v>
      </c>
      <c r="AX9" s="129" t="str">
        <f t="shared" ca="1" si="1"/>
        <v>11 OZ, 5 (0+5), +12 ±</v>
      </c>
      <c r="AY9" s="129" t="str">
        <f t="shared" ca="1" si="2"/>
        <v>218 OZ, 140 (78+62)</v>
      </c>
      <c r="AZ9" s="130"/>
      <c r="BA9" s="130"/>
      <c r="BB9" s="130"/>
      <c r="BC9" s="130"/>
      <c r="BD9" s="89" t="str">
        <f t="shared" si="3"/>
        <v>Gruber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7"/>
      <c r="BT9" s="104" t="s">
        <v>1261</v>
      </c>
      <c r="BU9" s="103" t="s">
        <v>1262</v>
      </c>
      <c r="BV9" s="104" t="str">
        <f t="shared" si="13"/>
        <v>Ondřej Tomšík</v>
      </c>
      <c r="BW9" s="112">
        <f t="shared" si="14"/>
        <v>1</v>
      </c>
      <c r="BX9" s="416"/>
      <c r="BY9" s="103" t="s">
        <v>1160</v>
      </c>
      <c r="BZ9" s="103" t="s">
        <v>887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379</v>
      </c>
      <c r="T10" s="102" t="s">
        <v>58</v>
      </c>
      <c r="U10" s="102">
        <v>11</v>
      </c>
      <c r="V10" s="102">
        <v>3</v>
      </c>
      <c r="W10" s="102">
        <v>1</v>
      </c>
      <c r="X10" s="102">
        <v>0</v>
      </c>
      <c r="Y10" s="102">
        <v>7</v>
      </c>
      <c r="Z10" s="102">
        <v>10</v>
      </c>
      <c r="AA10" s="102">
        <v>8</v>
      </c>
      <c r="AB10" s="102">
        <v>12</v>
      </c>
      <c r="AC10" s="102" t="str">
        <f t="shared" ca="1" si="0"/>
        <v>ANO</v>
      </c>
      <c r="AG10" s="121" t="s">
        <v>1255</v>
      </c>
      <c r="AH10" s="122">
        <v>37659</v>
      </c>
      <c r="AI10" s="123">
        <v>0</v>
      </c>
      <c r="AJ10" s="123">
        <v>0</v>
      </c>
      <c r="AK10" s="123">
        <v>0</v>
      </c>
      <c r="AL10" s="124">
        <v>0</v>
      </c>
      <c r="AM10" s="123">
        <v>1</v>
      </c>
      <c r="AN10" s="123">
        <v>9</v>
      </c>
      <c r="AO10" s="125"/>
      <c r="AP10" s="125"/>
      <c r="AQ10" s="123">
        <v>186</v>
      </c>
      <c r="AR10" s="123">
        <v>76</v>
      </c>
      <c r="AS10" s="126" t="s">
        <v>1376</v>
      </c>
      <c r="AT10" s="123">
        <v>2012</v>
      </c>
      <c r="AU10" s="127">
        <f ca="1">IF(AG10&lt;&gt;"",IF(AH10&lt;&gt;"",INT((TODAY()-AH10)/365),"?"),"")</f>
        <v>18</v>
      </c>
      <c r="AV10" s="127" t="str">
        <f>IF(AG10&lt;&gt;"",CONCATENATE(IF(AQ10&lt;&gt;"",AQ10,"? "),"/",IF(AR10&lt;&gt;"",AR10," ?")),"")</f>
        <v>186/76</v>
      </c>
      <c r="AW10" s="128" t="str">
        <f ca="1">IF(AG10&lt;&gt;"",IF(BE10=1,BD10,IF(BH10=1,BG10,IF(BJ10=1,BI10,IF(BL10=1,BK10,BM10)))),"")</f>
        <v>Hanuš</v>
      </c>
      <c r="AX10" s="129" t="str">
        <f t="shared" ca="1" si="1"/>
        <v>0 V, 0 P</v>
      </c>
      <c r="AY10" s="129" t="str">
        <f t="shared" ca="1" si="2"/>
        <v>0 OZ, 0 A</v>
      </c>
      <c r="AZ10" s="130"/>
      <c r="BA10" s="130"/>
      <c r="BB10" s="130"/>
      <c r="BC10" s="130"/>
      <c r="BD10" s="3" t="str">
        <f t="shared" si="3"/>
        <v>Hanuš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7"/>
      <c r="BV10" s="104" t="str">
        <f t="shared" si="13"/>
        <v/>
      </c>
      <c r="BW10" s="112" t="str">
        <f t="shared" si="14"/>
        <v/>
      </c>
      <c r="BX10" s="416"/>
      <c r="BY10" s="103" t="s">
        <v>1143</v>
      </c>
      <c r="BZ10" s="103" t="s">
        <v>860</v>
      </c>
      <c r="CA10" s="115" t="s">
        <v>188</v>
      </c>
    </row>
    <row r="11" spans="1:79" ht="15" customHeight="1" thickTop="1" thickBot="1" x14ac:dyDescent="0.25">
      <c r="R11" s="13"/>
      <c r="S11" s="110" t="s">
        <v>380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5</v>
      </c>
      <c r="Z11" s="102">
        <v>9</v>
      </c>
      <c r="AA11" s="102">
        <v>4</v>
      </c>
      <c r="AB11" s="102">
        <v>11</v>
      </c>
      <c r="AC11" s="102" t="str">
        <f t="shared" ca="1" si="0"/>
        <v>ANO</v>
      </c>
      <c r="AG11" s="121" t="s">
        <v>389</v>
      </c>
      <c r="AH11" s="122">
        <v>37407</v>
      </c>
      <c r="AI11" s="123">
        <v>13</v>
      </c>
      <c r="AJ11" s="123">
        <v>7</v>
      </c>
      <c r="AK11" s="123">
        <v>4</v>
      </c>
      <c r="AL11" s="124">
        <f>IF(AG11&lt;&gt;"",AJ11+AK11,"")</f>
        <v>11</v>
      </c>
      <c r="AM11" s="123">
        <v>3</v>
      </c>
      <c r="AN11" s="123">
        <v>82</v>
      </c>
      <c r="AO11" s="125"/>
      <c r="AP11" s="125" t="s">
        <v>137</v>
      </c>
      <c r="AQ11" s="123">
        <v>187</v>
      </c>
      <c r="AR11" s="123">
        <v>80</v>
      </c>
      <c r="AS11" s="126" t="s">
        <v>398</v>
      </c>
      <c r="AT11" s="123">
        <v>2011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187/80</v>
      </c>
      <c r="AW11" s="128" t="str">
        <f ca="1">IF(AG11&lt;&gt;"",IF(BE11=1,BD11,IF(BH11=1,BG11,IF(BJ11=1,BI11,IF(BL11=1,BK11,BM11)))),"")</f>
        <v>Hemerka</v>
      </c>
      <c r="AX11" s="129" t="str">
        <f t="shared" ca="1" si="1"/>
        <v>9 OZ, 7 (2+5), +15 ±</v>
      </c>
      <c r="AY11" s="129" t="str">
        <f t="shared" ca="1" si="2"/>
        <v>22 OZ, 18 (9+9)</v>
      </c>
      <c r="AZ11" s="130"/>
      <c r="BA11" s="130"/>
      <c r="BB11" s="130"/>
      <c r="BC11" s="130"/>
      <c r="BD11" s="89" t="str">
        <f t="shared" si="3"/>
        <v>Hemerka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7"/>
      <c r="BV11" s="104" t="str">
        <f t="shared" si="13"/>
        <v/>
      </c>
      <c r="BW11" s="112" t="str">
        <f t="shared" si="14"/>
        <v/>
      </c>
      <c r="BX11" s="416"/>
      <c r="BY11" s="103" t="s">
        <v>1161</v>
      </c>
      <c r="BZ11" s="103" t="s">
        <v>880</v>
      </c>
      <c r="CA11" s="115" t="s">
        <v>188</v>
      </c>
    </row>
    <row r="12" spans="1:79" ht="15" customHeight="1" thickTop="1" thickBot="1" x14ac:dyDescent="0.25">
      <c r="A12" s="429"/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3" t="s">
        <v>7</v>
      </c>
      <c r="I12" s="463"/>
      <c r="J12" s="463"/>
      <c r="K12" s="463"/>
      <c r="M12" s="429"/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389</v>
      </c>
      <c r="U12" s="102">
        <v>9</v>
      </c>
      <c r="V12" s="102">
        <v>2</v>
      </c>
      <c r="W12" s="102">
        <v>0</v>
      </c>
      <c r="X12" s="102">
        <v>0</v>
      </c>
      <c r="Y12" s="102">
        <v>5</v>
      </c>
      <c r="Z12" s="102">
        <v>7</v>
      </c>
      <c r="AA12" s="102">
        <v>4</v>
      </c>
      <c r="AB12" s="102">
        <v>15</v>
      </c>
      <c r="AC12" s="102" t="str">
        <f t="shared" ca="1" si="0"/>
        <v>ANO</v>
      </c>
      <c r="AG12" s="121" t="s">
        <v>375</v>
      </c>
      <c r="AH12" s="122">
        <v>34634</v>
      </c>
      <c r="AI12" s="123">
        <v>210</v>
      </c>
      <c r="AJ12" s="123">
        <v>111</v>
      </c>
      <c r="AK12" s="123">
        <v>73</v>
      </c>
      <c r="AL12" s="124">
        <f>IF(AG12&lt;&gt;"",AJ12+AK12,"")</f>
        <v>184</v>
      </c>
      <c r="AM12" s="123">
        <v>11</v>
      </c>
      <c r="AN12" s="123">
        <v>16</v>
      </c>
      <c r="AO12" s="125"/>
      <c r="AP12" s="125" t="s">
        <v>27</v>
      </c>
      <c r="AQ12" s="123">
        <v>177</v>
      </c>
      <c r="AR12" s="123">
        <v>82</v>
      </c>
      <c r="AS12" s="126" t="s">
        <v>399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177/82</v>
      </c>
      <c r="AW12" s="128" t="str">
        <f ca="1">IF(AG12&lt;&gt;"",IF(BE12=1,BD12,IF(BH12=1,BG12,IF(BJ12=1,BI12,IF(BL12=1,BK12,BM12)))),"")</f>
        <v>Chroust</v>
      </c>
      <c r="AX12" s="129" t="str">
        <f t="shared" ca="1" si="1"/>
        <v>11 OZ, 10 (7+3), +13 ±</v>
      </c>
      <c r="AY12" s="129" t="str">
        <f t="shared" ca="1" si="2"/>
        <v>221 OZ, 194 (118+76)</v>
      </c>
      <c r="AZ12" s="130"/>
      <c r="BA12" s="130"/>
      <c r="BB12" s="130"/>
      <c r="BC12" s="130"/>
      <c r="BD12" s="3" t="str">
        <f t="shared" si="3"/>
        <v>Chroust</v>
      </c>
      <c r="BE12" s="84">
        <f t="shared" ca="1" si="4"/>
        <v>1</v>
      </c>
      <c r="BF12" s="62" t="str">
        <f t="shared" si="5"/>
        <v>T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7" t="s">
        <v>37</v>
      </c>
      <c r="BT12" s="104" t="s">
        <v>1263</v>
      </c>
      <c r="BU12" s="103">
        <v>12</v>
      </c>
      <c r="BV12" s="104" t="str">
        <f t="shared" si="13"/>
        <v>Matěj Pěnička</v>
      </c>
      <c r="BW12" s="102">
        <f t="shared" si="14"/>
        <v>12</v>
      </c>
      <c r="BX12" s="120" t="s">
        <v>191</v>
      </c>
      <c r="BY12" s="100" t="s">
        <v>1257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2" t="str">
        <f ca="1">IFERROR(IF(VLOOKUP(A12,OFFSET($AG$2,,,COUNTIF($AG$2:$AG$50,"?*"),23),2,FALSE)&lt;&gt;0,YEAR(VLOOKUP(A12,OFFSET($AG$2,,,COUNTIF($AG$2:$AG$50,"?*"),23),2,FALSE)),""),"")</f>
        <v/>
      </c>
      <c r="C13" s="423"/>
      <c r="D13" s="117" t="str">
        <f ca="1">IFERROR(VLOOKUP(A12,OFFSET($AG$2,,,COUNTIF($AG$2:$AG$50,"?*"),23),15,FALSE),"")</f>
        <v/>
      </c>
      <c r="E13" s="424" t="str">
        <f ca="1">IFERROR(VLOOKUP(A12,OFFSET($AG$2,,,COUNTIF($AG$2:$AG$50,"?*"),23),16,FALSE),"")</f>
        <v/>
      </c>
      <c r="F13" s="425"/>
      <c r="M13" s="4" t="str">
        <f ca="1">IFERROR(IF(VLOOKUP(M12,OFFSET($AG$2,,,COUNTIF($AG$2:$AG$50,"?*"),23),10,FALSE)&lt;&gt;0,VLOOKUP(M12,OFFSET($AG$2,,,COUNTIF($AG$2:$AG$50,"?*"),23),10,FALSE),""),"")</f>
        <v/>
      </c>
      <c r="N13" s="422" t="str">
        <f ca="1">IFERROR(IF(VLOOKUP(M12,OFFSET($AG$2,,,COUNTIF($AG$2:$AG$50,"?*"),23),2,FALSE)&lt;&gt;0,YEAR(VLOOKUP(M12,OFFSET($AG$2,,,COUNTIF($AG$2:$AG$50,"?*"),23),2,FALSE)),""),"")</f>
        <v/>
      </c>
      <c r="O13" s="423"/>
      <c r="P13" s="117" t="str">
        <f ca="1">IFERROR(VLOOKUP(M12,OFFSET($AG$2,,,COUNTIF($AG$2:$AG$50,"?*"),23),15,FALSE),"")</f>
        <v/>
      </c>
      <c r="Q13" s="424" t="str">
        <f ca="1">IFERROR(VLOOKUP(M12,OFFSET($AG$2,,,COUNTIF($AG$2:$AG$50,"?*"),23),16,FALSE),"")</f>
        <v/>
      </c>
      <c r="R13" s="425"/>
      <c r="S13" s="110" t="s">
        <v>372</v>
      </c>
      <c r="T13" s="102" t="s">
        <v>107</v>
      </c>
      <c r="U13" s="102">
        <v>6</v>
      </c>
      <c r="V13" s="102">
        <v>4</v>
      </c>
      <c r="W13" s="102">
        <v>2</v>
      </c>
      <c r="X13" s="102">
        <v>0</v>
      </c>
      <c r="Y13" s="102">
        <v>2</v>
      </c>
      <c r="Z13" s="102">
        <v>6</v>
      </c>
      <c r="AA13" s="102">
        <v>0</v>
      </c>
      <c r="AB13" s="102">
        <v>8</v>
      </c>
      <c r="AC13" s="102" t="str">
        <f t="shared" ca="1" si="0"/>
        <v>ANO</v>
      </c>
      <c r="AG13" s="121" t="s">
        <v>380</v>
      </c>
      <c r="AH13" s="122">
        <v>36648</v>
      </c>
      <c r="AI13" s="123">
        <v>91</v>
      </c>
      <c r="AJ13" s="123">
        <v>36</v>
      </c>
      <c r="AK13" s="123">
        <v>27</v>
      </c>
      <c r="AL13" s="124">
        <v>63</v>
      </c>
      <c r="AM13" s="123">
        <v>4</v>
      </c>
      <c r="AN13" s="123">
        <v>27</v>
      </c>
      <c r="AO13" s="125"/>
      <c r="AP13" s="125" t="s">
        <v>137</v>
      </c>
      <c r="AQ13" s="123">
        <v>185</v>
      </c>
      <c r="AR13" s="123">
        <v>77</v>
      </c>
      <c r="AS13" s="126" t="s">
        <v>141</v>
      </c>
      <c r="AT13" s="123">
        <v>2008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185/77</v>
      </c>
      <c r="AW13" s="128" t="str">
        <f ca="1">IF(AG13&lt;&gt;"",IF(BE13=1,BD13,IF(BH13=1,BG13,IF(BJ13=1,BI13,IF(BL13=1,BK13,BM13)))),"")</f>
        <v>Koláčný</v>
      </c>
      <c r="AX13" s="129" t="str">
        <f t="shared" ca="1" si="1"/>
        <v>11 OZ, 9 (4+5), +11 ±</v>
      </c>
      <c r="AY13" s="129" t="str">
        <f t="shared" ca="1" si="2"/>
        <v>102 OZ, 72 (40+32)</v>
      </c>
      <c r="AZ13" s="130"/>
      <c r="BA13" s="130"/>
      <c r="BB13" s="130"/>
      <c r="BC13" s="130"/>
      <c r="BD13" s="89" t="str">
        <f t="shared" si="3"/>
        <v>Koláčný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7"/>
      <c r="BT13" s="104" t="s">
        <v>1264</v>
      </c>
      <c r="BU13" s="103">
        <v>11</v>
      </c>
      <c r="BV13" s="104" t="str">
        <f t="shared" si="13"/>
        <v>Jakub Bína</v>
      </c>
      <c r="BW13" s="102">
        <f t="shared" si="14"/>
        <v>11</v>
      </c>
    </row>
    <row r="14" spans="1:79" ht="15" customHeight="1" thickTop="1" thickBot="1" x14ac:dyDescent="0.25">
      <c r="A14" s="458" t="str">
        <f ca="1">IFERROR(VLOOKUP(A12,OFFSET($AG$2,,,COUNTIF($AG$2:$AG$50,"?*"),23),18,FALSE),"")</f>
        <v/>
      </c>
      <c r="B14" s="459"/>
      <c r="C14" s="459"/>
      <c r="D14" s="460" t="str">
        <f ca="1">IFERROR(VLOOKUP(A12,OFFSET($AG$2,,,COUNTIF($AG$2:$AG$50,"?*"),23),19,FALSE),"")</f>
        <v/>
      </c>
      <c r="E14" s="460"/>
      <c r="F14" s="461"/>
      <c r="G14" s="429"/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8" t="str">
        <f ca="1">IFERROR(VLOOKUP(M12,OFFSET($AG$2,,,COUNTIF($AG$2:$AG$50,"?*"),23),18,FALSE),"")</f>
        <v/>
      </c>
      <c r="N14" s="459"/>
      <c r="O14" s="459"/>
      <c r="P14" s="460" t="str">
        <f ca="1">IFERROR(VLOOKUP(M12,OFFSET($AG$2,,,COUNTIF($AG$2:$AG$50,"?*"),23),19,FALSE),"")</f>
        <v/>
      </c>
      <c r="Q14" s="460"/>
      <c r="R14" s="461"/>
      <c r="S14" s="110" t="s">
        <v>385</v>
      </c>
      <c r="T14" s="102" t="s">
        <v>107</v>
      </c>
      <c r="U14" s="102">
        <v>11</v>
      </c>
      <c r="V14" s="102">
        <v>4</v>
      </c>
      <c r="W14" s="102">
        <v>0</v>
      </c>
      <c r="X14" s="102">
        <v>0</v>
      </c>
      <c r="Y14" s="102">
        <v>1</v>
      </c>
      <c r="Z14" s="102">
        <v>5</v>
      </c>
      <c r="AA14" s="102">
        <v>0</v>
      </c>
      <c r="AB14" s="102">
        <v>4</v>
      </c>
      <c r="AC14" s="102" t="str">
        <f t="shared" ca="1" si="0"/>
        <v>ANO</v>
      </c>
      <c r="AG14" s="121" t="s">
        <v>385</v>
      </c>
      <c r="AH14" s="122">
        <v>37366</v>
      </c>
      <c r="AI14" s="123">
        <v>30</v>
      </c>
      <c r="AJ14" s="123">
        <v>8</v>
      </c>
      <c r="AK14" s="123">
        <v>6</v>
      </c>
      <c r="AL14" s="124">
        <f>IF(AG14&lt;&gt;"",AJ14+AK14,"")</f>
        <v>14</v>
      </c>
      <c r="AM14" s="123">
        <v>3</v>
      </c>
      <c r="AN14" s="123">
        <v>24</v>
      </c>
      <c r="AO14" s="125"/>
      <c r="AP14" s="125" t="s">
        <v>137</v>
      </c>
      <c r="AQ14" s="123">
        <v>187</v>
      </c>
      <c r="AR14" s="123">
        <v>71</v>
      </c>
      <c r="AS14" s="126" t="s">
        <v>400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187/71</v>
      </c>
      <c r="AW14" s="128" t="str">
        <f ca="1">IF(AG14&lt;&gt;"",IF(BE14=1,BD14,IF(BH14=1,BG14,IF(BJ14=1,BI14,IF(BL14=1,BK14,BM14)))),"")</f>
        <v>Korych</v>
      </c>
      <c r="AX14" s="129" t="str">
        <f t="shared" ca="1" si="1"/>
        <v>11 OZ, 5 (4+1), +4 ±</v>
      </c>
      <c r="AY14" s="129" t="str">
        <f t="shared" ca="1" si="2"/>
        <v>41 OZ, 19 (12+7)</v>
      </c>
      <c r="AZ14" s="130"/>
      <c r="BA14" s="130"/>
      <c r="BB14" s="130"/>
      <c r="BC14" s="130"/>
      <c r="BD14" s="3" t="str">
        <f t="shared" si="3"/>
        <v>Korych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7"/>
      <c r="BT14" s="104" t="s">
        <v>1078</v>
      </c>
      <c r="BU14" s="103">
        <v>10</v>
      </c>
      <c r="BV14" s="104" t="str">
        <f t="shared" si="13"/>
        <v>Jiří Curney</v>
      </c>
      <c r="BW14" s="102">
        <f t="shared" si="14"/>
        <v>10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/>
      </c>
      <c r="B15" s="447"/>
      <c r="C15" s="448"/>
      <c r="D15" s="449" t="str">
        <f ca="1">IFERROR(IF(VLOOKUP(A12,OFFSET($AG$2,,,COUNTIF($AG$2:$AG$50,"?*"),23),14,FALSE)&lt;&gt;0,VLOOKUP(A12,OFFSET($AG$2,,,COUNTIF($AG$2:$AG$50,"?*"),23),14,FALSE),"?"),"")</f>
        <v/>
      </c>
      <c r="E15" s="4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2" t="str">
        <f ca="1">IFERROR(IF(VLOOKUP(G14,OFFSET($AG$2,,,COUNTIF($AG$2:$AG$50,"?*"),23),2,FALSE)&lt;&gt;0,YEAR(VLOOKUP(G14,OFFSET($AG$2,,,COUNTIF($AG$2:$AG$50,"?*"),23),2,FALSE)),""),"")</f>
        <v/>
      </c>
      <c r="I15" s="423"/>
      <c r="J15" s="117" t="str">
        <f ca="1">IFERROR(VLOOKUP(G14,OFFSET($AG$2,,,COUNTIF($AG$2:$AG$50,"?*"),23),15,FALSE),"")</f>
        <v/>
      </c>
      <c r="K15" s="424" t="str">
        <f ca="1">IFERROR(VLOOKUP(G14,OFFSET($AG$2,,,COUNTIF($AG$2:$AG$50,"?*"),23),16,FALSE),"")</f>
        <v/>
      </c>
      <c r="L15" s="425"/>
      <c r="M15" s="446" t="str">
        <f ca="1">IFERROR(IF(VLOOKUP(M12,OFFSET($AG$2,,,COUNTIF($AG$2:$AG$50,"?*"),23),13,FALSE)&lt;&gt;0,VLOOKUP(M12,OFFSET($AG$2,,,COUNTIF($AG$2:$AG$50,"?*"),23),13,FALSE),"?"),"")</f>
        <v/>
      </c>
      <c r="N15" s="447"/>
      <c r="O15" s="448"/>
      <c r="P15" s="449" t="str">
        <f ca="1">IFERROR(IF(VLOOKUP(M12,OFFSET($AG$2,,,COUNTIF($AG$2:$AG$50,"?*"),23),14,FALSE)&lt;&gt;0,VLOOKUP(M12,OFFSET($AG$2,,,COUNTIF($AG$2:$AG$50,"?*"),23),14,FALSE),"?"),"")</f>
        <v/>
      </c>
      <c r="Q15" s="4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386</v>
      </c>
      <c r="U15" s="102">
        <v>11</v>
      </c>
      <c r="V15" s="102">
        <v>3</v>
      </c>
      <c r="W15" s="102">
        <v>0</v>
      </c>
      <c r="X15" s="102">
        <v>0</v>
      </c>
      <c r="Y15" s="102">
        <v>2</v>
      </c>
      <c r="Z15" s="102">
        <v>5</v>
      </c>
      <c r="AA15" s="102">
        <v>6</v>
      </c>
      <c r="AB15" s="102">
        <v>11</v>
      </c>
      <c r="AC15" s="102" t="str">
        <f t="shared" ca="1" si="0"/>
        <v>ANO</v>
      </c>
      <c r="AG15" s="121" t="s">
        <v>390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137</v>
      </c>
      <c r="AQ15" s="123">
        <v>174</v>
      </c>
      <c r="AR15" s="123">
        <v>64</v>
      </c>
      <c r="AS15" s="126" t="s">
        <v>76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7"/>
      <c r="BT15" s="104" t="s">
        <v>817</v>
      </c>
      <c r="BU15" s="103">
        <v>8</v>
      </c>
      <c r="BV15" s="104" t="str">
        <f t="shared" si="13"/>
        <v>Martin Tokoš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/>
      </c>
      <c r="H16" s="459"/>
      <c r="I16" s="459"/>
      <c r="J16" s="460" t="str">
        <f ca="1">IFERROR(VLOOKUP(G14,OFFSET($AG$2,,,COUNTIF($AG$2:$AG$50,"?*"),23),19,FALSE),"")</f>
        <v/>
      </c>
      <c r="K16" s="460"/>
      <c r="L16" s="461"/>
      <c r="S16" s="110" t="s">
        <v>383</v>
      </c>
      <c r="U16" s="102">
        <v>11</v>
      </c>
      <c r="V16" s="102">
        <v>1</v>
      </c>
      <c r="W16" s="102">
        <v>0</v>
      </c>
      <c r="X16" s="102">
        <v>0</v>
      </c>
      <c r="Y16" s="102">
        <v>4</v>
      </c>
      <c r="Z16" s="102">
        <v>5</v>
      </c>
      <c r="AA16" s="102">
        <v>0</v>
      </c>
      <c r="AB16" s="102">
        <v>13</v>
      </c>
      <c r="AC16" s="102" t="str">
        <f t="shared" ca="1" si="0"/>
        <v>ANO</v>
      </c>
      <c r="AG16" s="121" t="s">
        <v>391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401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7"/>
      <c r="BT16" s="104" t="s">
        <v>1265</v>
      </c>
      <c r="BU16" s="103">
        <v>7</v>
      </c>
      <c r="BV16" s="104" t="str">
        <f t="shared" si="13"/>
        <v>Tadeáš Chroust</v>
      </c>
      <c r="BW16" s="102">
        <f t="shared" si="14"/>
        <v>7</v>
      </c>
    </row>
    <row r="17" spans="1:75" ht="15" customHeight="1" thickTop="1" thickBot="1" x14ac:dyDescent="0.25">
      <c r="A17" s="429"/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6" t="str">
        <f ca="1">IFERROR(IF(VLOOKUP(G14,OFFSET($AG$2,,,COUNTIF($AG$2:$AG$50,"?*"),23),13,FALSE)&lt;&gt;0,VLOOKUP(G14,OFFSET($AG$2,,,COUNTIF($AG$2:$AG$50,"?*"),23),13,FALSE),"?"),"")</f>
        <v/>
      </c>
      <c r="H17" s="447"/>
      <c r="I17" s="448"/>
      <c r="J17" s="449" t="str">
        <f ca="1">IFERROR(IF(VLOOKUP(G14,OFFSET($AG$2,,,COUNTIF($AG$2:$AG$50,"?*"),23),14,FALSE)&lt;&gt;0,VLOOKUP(G14,OFFSET($AG$2,,,COUNTIF($AG$2:$AG$50,"?*"),23),14,FALSE),"?"),"")</f>
        <v/>
      </c>
      <c r="K17" s="450"/>
      <c r="L17" s="7" t="str">
        <f ca="1">IFERROR(IF(VLOOKUP(G14,OFFSET($AG$2,,,COUNTIF($AG$2:$AG$50,"?*"),23),7,FALSE)&lt;&gt;0,VLOOKUP(G14,OFFSET($AG$2,,,COUNTIF($AG$2:$AG$50,"?*"),23),7,FALSE),"?"),"")</f>
        <v/>
      </c>
      <c r="M17" s="429"/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373</v>
      </c>
      <c r="T17" s="102" t="s">
        <v>58</v>
      </c>
      <c r="U17" s="102">
        <v>11</v>
      </c>
      <c r="V17" s="102">
        <v>0</v>
      </c>
      <c r="W17" s="102">
        <v>0</v>
      </c>
      <c r="X17" s="102">
        <v>0</v>
      </c>
      <c r="Y17" s="102">
        <v>5</v>
      </c>
      <c r="Z17" s="102">
        <v>5</v>
      </c>
      <c r="AA17" s="102">
        <v>0</v>
      </c>
      <c r="AB17" s="102">
        <v>12</v>
      </c>
      <c r="AC17" s="102" t="str">
        <f t="shared" ca="1" si="0"/>
        <v>ANO</v>
      </c>
      <c r="AG17" s="121" t="s">
        <v>372</v>
      </c>
      <c r="AH17" s="122">
        <v>33919</v>
      </c>
      <c r="AI17" s="123">
        <v>273</v>
      </c>
      <c r="AJ17" s="123">
        <v>275</v>
      </c>
      <c r="AK17" s="123">
        <v>181</v>
      </c>
      <c r="AL17" s="124">
        <f>IF(AG17&lt;&gt;"",AJ17+AK17,"")</f>
        <v>456</v>
      </c>
      <c r="AM17" s="123">
        <v>14</v>
      </c>
      <c r="AN17" s="123">
        <v>88</v>
      </c>
      <c r="AO17" s="125" t="s">
        <v>150</v>
      </c>
      <c r="AP17" s="125" t="s">
        <v>27</v>
      </c>
      <c r="AQ17" s="123">
        <v>181</v>
      </c>
      <c r="AR17" s="123">
        <v>76</v>
      </c>
      <c r="AS17" s="126" t="s">
        <v>402</v>
      </c>
      <c r="AT17" s="123">
        <v>2000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181/76</v>
      </c>
      <c r="AW17" s="128" t="str">
        <f ca="1">IF(AG17&lt;&gt;"",IF(BE17=1,BD17,IF(BH17=1,BG17,IF(BJ17=1,BI17,IF(BL17=1,BK17,BM17)))),"")</f>
        <v>Natov</v>
      </c>
      <c r="AX17" s="129" t="str">
        <f t="shared" ca="1" si="1"/>
        <v>6 OZ, 6 (4+2), +8 ±</v>
      </c>
      <c r="AY17" s="129" t="str">
        <f t="shared" ca="1" si="2"/>
        <v>279 OZ, 462 (279+183)</v>
      </c>
      <c r="AZ17" s="130"/>
      <c r="BA17" s="130"/>
      <c r="BB17" s="130"/>
      <c r="BC17" s="130"/>
      <c r="BD17" s="89" t="str">
        <f t="shared" si="3"/>
        <v>Natov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7" t="s">
        <v>41</v>
      </c>
      <c r="BT17" s="104" t="s">
        <v>417</v>
      </c>
      <c r="BU17" s="103">
        <v>9</v>
      </c>
      <c r="BV17" s="104" t="str">
        <f t="shared" si="13"/>
        <v>Lukáš Bauer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2" t="str">
        <f ca="1">IFERROR(IF(VLOOKUP(A17,OFFSET($AG$2,,,COUNTIF($AG$2:$AG$50,"?*"),23),2,FALSE)&lt;&gt;0,YEAR(VLOOKUP(A17,OFFSET($AG$2,,,COUNTIF($AG$2:$AG$50,"?*"),23),2,FALSE)),""),"")</f>
        <v/>
      </c>
      <c r="C18" s="423"/>
      <c r="D18" s="149" t="str">
        <f ca="1">IFERROR(VLOOKUP(A17,OFFSET($AG$2,,,COUNTIF($AG$2:$AG$50,"?*"),23),15,FALSE),"")</f>
        <v/>
      </c>
      <c r="E18" s="424" t="str">
        <f ca="1">IFERROR(VLOOKUP(A17,OFFSET($AG$2,,,COUNTIF($AG$2:$AG$50,"?*"),23),16,FALSE),"")</f>
        <v/>
      </c>
      <c r="F18" s="425"/>
      <c r="M18" s="4" t="str">
        <f ca="1">IFERROR(IF(VLOOKUP(M17,OFFSET($AG$2,,,COUNTIF($AG$2:$AG$50,"?*"),23),10,FALSE)&lt;&gt;0,VLOOKUP(M17,OFFSET($AG$2,,,COUNTIF($AG$2:$AG$50,"?*"),23),10,FALSE),""),"")</f>
        <v/>
      </c>
      <c r="N18" s="422" t="str">
        <f ca="1">IFERROR(IF(VLOOKUP(M17,OFFSET($AG$2,,,COUNTIF($AG$2:$AG$50,"?*"),23),2,FALSE)&lt;&gt;0,YEAR(VLOOKUP(M17,OFFSET($AG$2,,,COUNTIF($AG$2:$AG$50,"?*"),23),2,FALSE)),""),"")</f>
        <v/>
      </c>
      <c r="O18" s="423"/>
      <c r="P18" s="117" t="str">
        <f ca="1">IFERROR(VLOOKUP(M17,OFFSET($AG$2,,,COUNTIF($AG$2:$AG$50,"?*"),23),15,FALSE),"")</f>
        <v/>
      </c>
      <c r="Q18" s="424" t="str">
        <f ca="1">IFERROR(VLOOKUP(M17,OFFSET($AG$2,,,COUNTIF($AG$2:$AG$50,"?*"),23),16,FALSE),"")</f>
        <v/>
      </c>
      <c r="R18" s="425"/>
      <c r="S18" s="110" t="s">
        <v>384</v>
      </c>
      <c r="U18" s="102">
        <v>11</v>
      </c>
      <c r="V18" s="102">
        <v>1</v>
      </c>
      <c r="W18" s="102">
        <v>0</v>
      </c>
      <c r="X18" s="102">
        <v>0</v>
      </c>
      <c r="Y18" s="102">
        <v>3</v>
      </c>
      <c r="Z18" s="102">
        <v>4</v>
      </c>
      <c r="AA18" s="102">
        <v>0</v>
      </c>
      <c r="AB18" s="102">
        <v>13</v>
      </c>
      <c r="AC18" s="102" t="str">
        <f t="shared" ca="1" si="0"/>
        <v>ANO</v>
      </c>
      <c r="AG18" s="121" t="s">
        <v>210</v>
      </c>
      <c r="AH18" s="122">
        <v>37001</v>
      </c>
      <c r="AI18" s="123">
        <v>9</v>
      </c>
      <c r="AJ18" s="123">
        <v>0</v>
      </c>
      <c r="AK18" s="123">
        <v>0</v>
      </c>
      <c r="AL18" s="124">
        <f>IF(AG18&lt;&gt;"",AJ18+AK18,"")</f>
        <v>0</v>
      </c>
      <c r="AM18" s="123">
        <v>3</v>
      </c>
      <c r="AN18" s="123">
        <v>48</v>
      </c>
      <c r="AO18" s="125"/>
      <c r="AP18" s="125" t="s">
        <v>27</v>
      </c>
      <c r="AQ18" s="123">
        <v>179</v>
      </c>
      <c r="AR18" s="123">
        <v>66</v>
      </c>
      <c r="AS18" s="126" t="s">
        <v>400</v>
      </c>
      <c r="AT18" s="123">
        <v>2010</v>
      </c>
      <c r="AU18" s="127">
        <f ca="1">IF(AG18&lt;&gt;"",IF(AH18&lt;&gt;"",INT((TODAY()-AH18)/365),"?"),"")</f>
        <v>20</v>
      </c>
      <c r="AV18" s="127" t="str">
        <f>IF(AG18&lt;&gt;"",CONCATENATE(IF(AQ18&lt;&gt;"",AQ18,"? "),"/",IF(AR18&lt;&gt;"",AR18," ?")),"")</f>
        <v>179/66</v>
      </c>
      <c r="AW18" s="128" t="str">
        <f ca="1">IF(AG18&lt;&gt;"",IF(BE18=1,BD18,IF(BH18=1,BG18,IF(BJ18=1,BI18,IF(BL18=1,BK18,BM18)))),"")</f>
        <v>Pařízek</v>
      </c>
      <c r="AX18" s="129" t="str">
        <f t="shared" ca="1" si="1"/>
        <v>0 OZ, 0 (0+0)</v>
      </c>
      <c r="AY18" s="129" t="str">
        <f t="shared" ca="1" si="2"/>
        <v>9 OZ, 0 (0+0)</v>
      </c>
      <c r="AZ18" s="130"/>
      <c r="BA18" s="130"/>
      <c r="BB18" s="130"/>
      <c r="BC18" s="130"/>
      <c r="BD18" s="3" t="str">
        <f t="shared" si="3"/>
        <v>Pařízek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7"/>
      <c r="BT18" s="104" t="s">
        <v>418</v>
      </c>
      <c r="BU18" s="103">
        <v>1</v>
      </c>
      <c r="BV18" s="104" t="str">
        <f t="shared" si="13"/>
        <v>Ondřej Tomšík</v>
      </c>
      <c r="BW18" s="102">
        <f t="shared" si="14"/>
        <v>1</v>
      </c>
    </row>
    <row r="19" spans="1:75" ht="15" customHeight="1" x14ac:dyDescent="0.2">
      <c r="A19" s="458" t="str">
        <f ca="1">IFERROR(VLOOKUP(A17,OFFSET($AG$2,,,COUNTIF($AG$2:$AG$50,"?*"),23),18,FALSE),"")</f>
        <v/>
      </c>
      <c r="B19" s="459"/>
      <c r="C19" s="459"/>
      <c r="D19" s="460" t="str">
        <f ca="1">IFERROR(VLOOKUP(A17,OFFSET($AG$2,,,COUNTIF($AG$2:$AG$50,"?*"),23),19,FALSE),"")</f>
        <v/>
      </c>
      <c r="E19" s="460"/>
      <c r="F19" s="461"/>
      <c r="H19" s="462" t="str">
        <f>H$8</f>
        <v>MB</v>
      </c>
      <c r="I19" s="462"/>
      <c r="J19" s="462"/>
      <c r="K19" s="462"/>
      <c r="M19" s="458" t="str">
        <f ca="1">IFERROR(VLOOKUP(M17,OFFSET($AG$2,,,COUNTIF($AG$2:$AG$50,"?*"),23),18,FALSE),"")</f>
        <v/>
      </c>
      <c r="N19" s="459"/>
      <c r="O19" s="459"/>
      <c r="P19" s="460" t="str">
        <f ca="1">IFERROR(VLOOKUP(M17,OFFSET($AG$2,,,COUNTIF($AG$2:$AG$50,"?*"),23),19,FALSE),"")</f>
        <v/>
      </c>
      <c r="Q19" s="460"/>
      <c r="R19" s="461"/>
      <c r="S19" s="110" t="s">
        <v>376</v>
      </c>
      <c r="T19" s="102" t="s">
        <v>107</v>
      </c>
      <c r="U19" s="102">
        <v>8</v>
      </c>
      <c r="V19" s="102">
        <v>1</v>
      </c>
      <c r="W19" s="102">
        <v>0</v>
      </c>
      <c r="X19" s="102">
        <v>0</v>
      </c>
      <c r="Y19" s="102">
        <v>0</v>
      </c>
      <c r="Z19" s="102">
        <v>1</v>
      </c>
      <c r="AA19" s="102">
        <v>0</v>
      </c>
      <c r="AB19" s="102">
        <v>3</v>
      </c>
      <c r="AC19" s="102" t="str">
        <f t="shared" ca="1" si="0"/>
        <v>ANO</v>
      </c>
      <c r="AG19" s="121" t="s">
        <v>370</v>
      </c>
      <c r="AH19" s="122">
        <v>37358</v>
      </c>
      <c r="AI19" s="123">
        <v>33</v>
      </c>
      <c r="AJ19" s="123">
        <v>31</v>
      </c>
      <c r="AK19" s="123">
        <v>15</v>
      </c>
      <c r="AL19" s="124">
        <v>46</v>
      </c>
      <c r="AM19" s="123">
        <v>3</v>
      </c>
      <c r="AN19" s="123">
        <v>41</v>
      </c>
      <c r="AO19" s="125"/>
      <c r="AP19" s="125" t="s">
        <v>27</v>
      </c>
      <c r="AQ19" s="123">
        <v>168</v>
      </c>
      <c r="AR19" s="123">
        <v>75</v>
      </c>
      <c r="AS19" s="126" t="s">
        <v>399</v>
      </c>
      <c r="AT19" s="123">
        <v>2011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168/75</v>
      </c>
      <c r="AW19" s="128" t="str">
        <f ca="1">IF(AG19&lt;&gt;"",IF(BE19=1,BD19,IF(BH19=1,BG19,IF(BJ19=1,BI19,IF(BL19=1,BK19,BM19)))),"")</f>
        <v>Pěnička</v>
      </c>
      <c r="AX19" s="129" t="str">
        <f t="shared" ca="1" si="1"/>
        <v>11 OZ, 15 (12+3), +13 ±</v>
      </c>
      <c r="AY19" s="129" t="str">
        <f t="shared" ca="1" si="2"/>
        <v>44 OZ, 61 (43+18)</v>
      </c>
      <c r="AZ19" s="130"/>
      <c r="BA19" s="130"/>
      <c r="BB19" s="130"/>
      <c r="BC19" s="130"/>
      <c r="BD19" s="89" t="str">
        <f t="shared" si="3"/>
        <v>Pěnička</v>
      </c>
      <c r="BE19" s="91">
        <f t="shared" ca="1" si="4"/>
        <v>1</v>
      </c>
      <c r="BF19" s="90" t="str">
        <f t="shared" si="5"/>
        <v>M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7"/>
      <c r="BT19" s="104" t="s">
        <v>1266</v>
      </c>
      <c r="BU19" s="103">
        <v>0</v>
      </c>
      <c r="BV19" s="104" t="str">
        <f t="shared" si="13"/>
        <v>Dominik Hanuš</v>
      </c>
      <c r="BW19" s="102">
        <f t="shared" si="14"/>
        <v>0</v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/>
      </c>
      <c r="B20" s="447"/>
      <c r="C20" s="448"/>
      <c r="D20" s="449" t="str">
        <f ca="1">IFERROR(IF(VLOOKUP(A17,OFFSET($AG$2,,,COUNTIF($AG$2:$AG$50,"?*"),23),14,FALSE)&lt;&gt;0,VLOOKUP(A17,OFFSET($AG$2,,,COUNTIF($AG$2:$AG$50,"?*"),23),14,FALSE),"?"),"")</f>
        <v/>
      </c>
      <c r="E20" s="450"/>
      <c r="F20" s="7" t="str">
        <f ca="1">IFERROR(IF(VLOOKUP(A17,OFFSET($AG$2,,,COUNTIF($AG$2:$AG$50,"?*"),23),7,FALSE)&lt;&gt;0,VLOOKUP(A17,OFFSET($AG$2,,,COUNTIF($AG$2:$AG$50,"?*"),23),7,FALSE),"?"),"")</f>
        <v/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/>
      </c>
      <c r="N20" s="447"/>
      <c r="O20" s="448"/>
      <c r="P20" s="449" t="str">
        <f ca="1">IFERROR(IF(VLOOKUP(M17,OFFSET($AG$2,,,COUNTIF($AG$2:$AG$50,"?*"),23),14,FALSE)&lt;&gt;0,VLOOKUP(M17,OFFSET($AG$2,,,COUNTIF($AG$2:$AG$50,"?*"),23),14,FALSE),"?"),"")</f>
        <v/>
      </c>
      <c r="Q20" s="4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1255</v>
      </c>
      <c r="T20" s="102" t="s">
        <v>105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383</v>
      </c>
      <c r="AH20" s="122">
        <v>37578</v>
      </c>
      <c r="AI20" s="123">
        <v>15</v>
      </c>
      <c r="AJ20" s="123">
        <v>4</v>
      </c>
      <c r="AK20" s="123">
        <v>3</v>
      </c>
      <c r="AL20" s="124">
        <v>7</v>
      </c>
      <c r="AM20" s="123">
        <v>2</v>
      </c>
      <c r="AN20" s="123">
        <v>77</v>
      </c>
      <c r="AO20" s="125"/>
      <c r="AP20" s="125" t="s">
        <v>137</v>
      </c>
      <c r="AQ20" s="123">
        <v>187</v>
      </c>
      <c r="AR20" s="123">
        <v>73</v>
      </c>
      <c r="AS20" s="126" t="s">
        <v>141</v>
      </c>
      <c r="AT20" s="123">
        <v>2014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187/73</v>
      </c>
      <c r="AW20" s="128" t="str">
        <f ca="1">IF(AG20&lt;&gt;"",IF(BE20=1,BD20,IF(BH20=1,BG20,IF(BJ20=1,BI20,IF(BL20=1,BK20,BM20)))),"")</f>
        <v>Punčochář</v>
      </c>
      <c r="AX20" s="129" t="str">
        <f t="shared" ca="1" si="1"/>
        <v>11 OZ, 5 (1+4), +13 ±</v>
      </c>
      <c r="AY20" s="129" t="str">
        <f t="shared" ca="1" si="2"/>
        <v>26 OZ, 12 (5+7)</v>
      </c>
      <c r="AZ20" s="130"/>
      <c r="BA20" s="130"/>
      <c r="BB20" s="130"/>
      <c r="BC20" s="130"/>
      <c r="BD20" s="3" t="str">
        <f t="shared" si="3"/>
        <v>Punčochář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815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ANO</v>
      </c>
      <c r="AG21" s="121" t="s">
        <v>379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343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11 OZ, 10 (3+7), +12 ±</v>
      </c>
      <c r="AY21" s="129" t="str">
        <f t="shared" ca="1" si="2"/>
        <v>194 OZ, 193 (90+103)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387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381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295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9 OZ, 11 (6+5), +11 ±</v>
      </c>
      <c r="AY22" s="129" t="str">
        <f t="shared" ca="1" si="2"/>
        <v>150 OZ, 199 (107+92)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7" t="s">
        <v>38</v>
      </c>
      <c r="BT22" s="104" t="s">
        <v>883</v>
      </c>
      <c r="BU22" s="103">
        <v>12</v>
      </c>
      <c r="BV22" s="104" t="str">
        <f t="shared" si="13"/>
        <v>Jiří Curney</v>
      </c>
      <c r="BW22" s="102">
        <f t="shared" si="14"/>
        <v>12</v>
      </c>
    </row>
    <row r="23" spans="1:75" ht="15" customHeight="1" thickTop="1" thickBot="1" x14ac:dyDescent="0.25">
      <c r="A23" s="429"/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3" t="s">
        <v>13</v>
      </c>
      <c r="I23" s="463"/>
      <c r="J23" s="463"/>
      <c r="K23" s="463"/>
      <c r="M23" s="429"/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382</v>
      </c>
      <c r="T23" s="102" t="s">
        <v>105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371</v>
      </c>
      <c r="AH23" s="122">
        <v>33157</v>
      </c>
      <c r="AI23" s="123">
        <v>233</v>
      </c>
      <c r="AJ23" s="123">
        <v>183</v>
      </c>
      <c r="AK23" s="123">
        <v>112</v>
      </c>
      <c r="AL23" s="124">
        <f>IF(AG23&lt;&gt;"",AJ23+AK23,"")</f>
        <v>295</v>
      </c>
      <c r="AM23" s="123">
        <v>12</v>
      </c>
      <c r="AN23" s="123">
        <v>20</v>
      </c>
      <c r="AO23" s="125"/>
      <c r="AP23" s="125" t="s">
        <v>137</v>
      </c>
      <c r="AQ23" s="123">
        <v>183</v>
      </c>
      <c r="AR23" s="123">
        <v>76</v>
      </c>
      <c r="AS23" s="126" t="s">
        <v>405</v>
      </c>
      <c r="AT23" s="123">
        <v>1998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183/76</v>
      </c>
      <c r="AW23" s="128" t="str">
        <f ca="1">IF(AG23&lt;&gt;"",IF(BE23=1,BD23,IF(BH23=1,BG23,IF(BJ23=1,BI23,IF(BL23=1,BK23,BM23)))),"")</f>
        <v>Tokoš</v>
      </c>
      <c r="AX23" s="129" t="str">
        <f t="shared" ca="1" si="1"/>
        <v>11 OZ, 12 (8+4), +16 ±</v>
      </c>
      <c r="AY23" s="129" t="str">
        <f t="shared" ca="1" si="2"/>
        <v>244 OZ, 307 (191+116)</v>
      </c>
      <c r="AZ23" s="130"/>
      <c r="BA23" s="130"/>
      <c r="BB23" s="130"/>
      <c r="BC23" s="130"/>
      <c r="BD23" s="89" t="str">
        <f t="shared" si="3"/>
        <v>Tokoš</v>
      </c>
      <c r="BE23" s="91">
        <f t="shared" ca="1" si="4"/>
        <v>1</v>
      </c>
      <c r="BF23" s="90" t="str">
        <f t="shared" si="5"/>
        <v>M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7"/>
      <c r="BT23" s="104" t="s">
        <v>1267</v>
      </c>
      <c r="BU23" s="103">
        <v>8</v>
      </c>
      <c r="BV23" s="104" t="str">
        <f t="shared" si="13"/>
        <v>Dominik Beneš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2" t="str">
        <f ca="1">IFERROR(IF(VLOOKUP(A23,OFFSET($AG$2,,,COUNTIF($AG$2:$AG$50,"?*"),23),2,FALSE)&lt;&gt;0,YEAR(VLOOKUP(A23,OFFSET($AG$2,,,COUNTIF($AG$2:$AG$50,"?*"),23),2,FALSE)),""),"")</f>
        <v/>
      </c>
      <c r="C24" s="423"/>
      <c r="D24" s="117" t="str">
        <f ca="1">IFERROR(VLOOKUP(A23,OFFSET($AG$2,,,COUNTIF($AG$2:$AG$50,"?*"),23),15,FALSE),"")</f>
        <v/>
      </c>
      <c r="E24" s="424" t="str">
        <f ca="1">IFERROR(VLOOKUP(A23,OFFSET($AG$2,,,COUNTIF($AG$2:$AG$50,"?*"),23),16,FALSE),"")</f>
        <v/>
      </c>
      <c r="F24" s="425"/>
      <c r="M24" s="4" t="str">
        <f ca="1">IFERROR(IF(VLOOKUP(M23,OFFSET($AG$2,,,COUNTIF($AG$2:$AG$50,"?*"),23),10,FALSE)&lt;&gt;0,VLOOKUP(M23,OFFSET($AG$2,,,COUNTIF($AG$2:$AG$50,"?*"),23),10,FALSE),""),"")</f>
        <v/>
      </c>
      <c r="N24" s="422" t="str">
        <f ca="1">IFERROR(IF(VLOOKUP(M23,OFFSET($AG$2,,,COUNTIF($AG$2:$AG$50,"?*"),23),2,FALSE)&lt;&gt;0,YEAR(VLOOKUP(M23,OFFSET($AG$2,,,COUNTIF($AG$2:$AG$50,"?*"),23),2,FALSE)),""),"")</f>
        <v/>
      </c>
      <c r="O24" s="423"/>
      <c r="P24" s="117" t="str">
        <f ca="1">IFERROR(VLOOKUP(M23,OFFSET($AG$2,,,COUNTIF($AG$2:$AG$50,"?*"),23),15,FALSE),"")</f>
        <v/>
      </c>
      <c r="Q24" s="424" t="str">
        <f ca="1">IFERROR(VLOOKUP(M23,OFFSET($AG$2,,,COUNTIF($AG$2:$AG$50,"?*"),23),16,FALSE),"")</f>
        <v/>
      </c>
      <c r="R24" s="425"/>
      <c r="S24" s="111"/>
      <c r="AC24" s="102" t="str">
        <f t="shared" ca="1" si="0"/>
        <v/>
      </c>
      <c r="AG24" s="121" t="s">
        <v>378</v>
      </c>
      <c r="AH24" s="122">
        <v>32329</v>
      </c>
      <c r="AI24" s="123">
        <v>218</v>
      </c>
      <c r="AJ24" s="123">
        <v>184</v>
      </c>
      <c r="AK24" s="123">
        <v>174</v>
      </c>
      <c r="AL24" s="124">
        <f>IF(AG24&lt;&gt;"",AJ24+AK24,"")</f>
        <v>358</v>
      </c>
      <c r="AM24" s="123">
        <v>12</v>
      </c>
      <c r="AN24" s="123">
        <v>7</v>
      </c>
      <c r="AO24" s="125"/>
      <c r="AP24" s="125" t="s">
        <v>137</v>
      </c>
      <c r="AQ24" s="123">
        <v>181</v>
      </c>
      <c r="AR24" s="123">
        <v>85</v>
      </c>
      <c r="AS24" s="126" t="s">
        <v>405</v>
      </c>
      <c r="AT24" s="123">
        <v>1995</v>
      </c>
      <c r="AU24" s="127">
        <f ca="1">IF(AG24&lt;&gt;"",IF(AH24&lt;&gt;"",INT((TODAY()-AH24)/365),"?"),"")</f>
        <v>33</v>
      </c>
      <c r="AV24" s="127" t="str">
        <f>IF(AG24&lt;&gt;"",CONCATENATE(IF(AQ24&lt;&gt;"",AQ24,"? "),"/",IF(AR24&lt;&gt;"",AR24," ?")),"")</f>
        <v>181/85</v>
      </c>
      <c r="AW24" s="128" t="str">
        <f ca="1">IF(AG24&lt;&gt;"",IF(BE24=1,BD24,IF(BH24=1,BG24,IF(BJ24=1,BI24,IF(BL24=1,BK24,BM24)))),"")</f>
        <v>Tomašík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10 OZ, 10 (4+6), +13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228 OZ, 368 (188+180)</v>
      </c>
      <c r="AZ24" s="130"/>
      <c r="BA24" s="130"/>
      <c r="BB24" s="130"/>
      <c r="BC24" s="130"/>
      <c r="BD24" s="3" t="str">
        <f t="shared" si="3"/>
        <v>Tomašík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7"/>
      <c r="BT24" s="104" t="s">
        <v>1268</v>
      </c>
      <c r="BU24" s="103">
        <v>7</v>
      </c>
      <c r="BV24" s="104" t="str">
        <f t="shared" si="13"/>
        <v>Patrik Suchánek</v>
      </c>
      <c r="BW24" s="102">
        <f t="shared" si="14"/>
        <v>7</v>
      </c>
    </row>
    <row r="25" spans="1:75" ht="15" customHeight="1" thickTop="1" thickBot="1" x14ac:dyDescent="0.25">
      <c r="A25" s="458" t="str">
        <f ca="1">IFERROR(VLOOKUP(A23,OFFSET($AG$2,,,COUNTIF($AG$2:$AG$50,"?*"),23),18,FALSE),"")</f>
        <v/>
      </c>
      <c r="B25" s="459"/>
      <c r="C25" s="459"/>
      <c r="D25" s="460" t="str">
        <f ca="1">IFERROR(VLOOKUP(A23,OFFSET($AG$2,,,COUNTIF($AG$2:$AG$50,"?*"),23),19,FALSE),"")</f>
        <v/>
      </c>
      <c r="E25" s="460"/>
      <c r="F25" s="461"/>
      <c r="G25" s="429"/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8" t="str">
        <f ca="1">IFERROR(VLOOKUP(M23,OFFSET($AG$2,,,COUNTIF($AG$2:$AG$50,"?*"),23),18,FALSE),"")</f>
        <v/>
      </c>
      <c r="N25" s="459"/>
      <c r="O25" s="459"/>
      <c r="P25" s="460" t="str">
        <f ca="1">IFERROR(VLOOKUP(M23,OFFSET($AG$2,,,COUNTIF($AG$2:$AG$50,"?*"),23),19,FALSE),"")</f>
        <v/>
      </c>
      <c r="Q25" s="460"/>
      <c r="R25" s="461"/>
      <c r="S25" s="111"/>
      <c r="AC25" s="102" t="str">
        <f t="shared" ca="1" si="0"/>
        <v/>
      </c>
      <c r="AG25" s="121" t="s">
        <v>387</v>
      </c>
      <c r="AH25" s="122">
        <v>37659</v>
      </c>
      <c r="AI25" s="123">
        <v>1</v>
      </c>
      <c r="AJ25" s="123">
        <v>0</v>
      </c>
      <c r="AK25" s="123">
        <v>0</v>
      </c>
      <c r="AL25" s="124">
        <f>IF(AG25&lt;&gt;"",AJ25+AK25,"")</f>
        <v>0</v>
      </c>
      <c r="AM25" s="123">
        <v>2</v>
      </c>
      <c r="AN25" s="123">
        <v>31</v>
      </c>
      <c r="AO25" s="125"/>
      <c r="AP25" s="125"/>
      <c r="AQ25" s="123">
        <v>189</v>
      </c>
      <c r="AR25" s="123">
        <v>77</v>
      </c>
      <c r="AS25" s="126" t="s">
        <v>221</v>
      </c>
      <c r="AT25" s="123">
        <v>2009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189/77</v>
      </c>
      <c r="AW25" s="128" t="str">
        <f ca="1">IF(AG25&lt;&gt;"",IF(BE25=1,BD25,IF(BH25=1,BG25,IF(BJ25=1,BI25,IF(BL25=1,BK25,BM25)))),"")</f>
        <v>Tomšík</v>
      </c>
      <c r="AX25" s="129" t="str">
        <f t="shared" ca="1" si="15"/>
        <v>1 V, 0 P</v>
      </c>
      <c r="AY25" s="129" t="str">
        <f t="shared" ca="1" si="16"/>
        <v>2 OZ, 0 A</v>
      </c>
      <c r="AZ25" s="130"/>
      <c r="BA25" s="130"/>
      <c r="BB25" s="130"/>
      <c r="BC25" s="130"/>
      <c r="BD25" s="89" t="str">
        <f t="shared" si="3"/>
        <v>Tomšík</v>
      </c>
      <c r="BE25" s="91">
        <f t="shared" ca="1" si="4"/>
        <v>1</v>
      </c>
      <c r="BF25" s="90" t="str">
        <f t="shared" si="5"/>
        <v>O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7"/>
      <c r="BT25" s="104" t="s">
        <v>1269</v>
      </c>
      <c r="BU25" s="103">
        <v>6</v>
      </c>
      <c r="BV25" s="104" t="str">
        <f t="shared" si="13"/>
        <v>Milan Tomašík</v>
      </c>
      <c r="BW25" s="102">
        <f t="shared" si="14"/>
        <v>6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/>
      </c>
      <c r="B26" s="447"/>
      <c r="C26" s="448"/>
      <c r="D26" s="449" t="str">
        <f ca="1">IFERROR(IF(VLOOKUP(A23,OFFSET($AG$2,,,COUNTIF($AG$2:$AG$50,"?*"),23),14,FALSE)&lt;&gt;0,VLOOKUP(A23,OFFSET($AG$2,,,COUNTIF($AG$2:$AG$50,"?*"),23),14,FALSE),"?"),"")</f>
        <v/>
      </c>
      <c r="E26" s="4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2" t="str">
        <f ca="1">IFERROR(IF(VLOOKUP(G25,OFFSET($AG$2,,,COUNTIF($AG$2:$AG$50,"?*"),23),2,FALSE)&lt;&gt;0,YEAR(VLOOKUP(G25,OFFSET($AG$2,,,COUNTIF($AG$2:$AG$50,"?*"),23),2,FALSE)),""),"")</f>
        <v/>
      </c>
      <c r="I26" s="423"/>
      <c r="J26" s="117" t="str">
        <f ca="1">IFERROR(VLOOKUP(G25,OFFSET($AG$2,,,COUNTIF($AG$2:$AG$50,"?*"),23),15,FALSE),"")</f>
        <v/>
      </c>
      <c r="K26" s="424" t="str">
        <f ca="1">IFERROR(VLOOKUP(G25,OFFSET($AG$2,,,COUNTIF($AG$2:$AG$50,"?*"),23),16,FALSE),"")</f>
        <v/>
      </c>
      <c r="L26" s="425"/>
      <c r="M26" s="446" t="str">
        <f ca="1">IFERROR(IF(VLOOKUP(M23,OFFSET($AG$2,,,COUNTIF($AG$2:$AG$50,"?*"),23),13,FALSE)&lt;&gt;0,VLOOKUP(M23,OFFSET($AG$2,,,COUNTIF($AG$2:$AG$50,"?*"),23),13,FALSE),"?"),"")</f>
        <v/>
      </c>
      <c r="N26" s="447"/>
      <c r="O26" s="448"/>
      <c r="P26" s="449" t="str">
        <f ca="1">IFERROR(IF(VLOOKUP(M23,OFFSET($AG$2,,,COUNTIF($AG$2:$AG$50,"?*"),23),14,FALSE)&lt;&gt;0,VLOOKUP(M23,OFFSET($AG$2,,,COUNTIF($AG$2:$AG$50,"?*"),23),14,FALSE),"?"),"")</f>
        <v/>
      </c>
      <c r="Q26" s="4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393</v>
      </c>
      <c r="AH26" s="122">
        <v>37307</v>
      </c>
      <c r="AI26" s="123">
        <v>3</v>
      </c>
      <c r="AJ26" s="123">
        <v>0</v>
      </c>
      <c r="AK26" s="123">
        <v>0</v>
      </c>
      <c r="AL26" s="124">
        <f>IF(AG26&lt;&gt;"",AJ26+AK26,"")</f>
        <v>0</v>
      </c>
      <c r="AM26" s="123">
        <v>3</v>
      </c>
      <c r="AN26" s="123">
        <v>2</v>
      </c>
      <c r="AO26" s="125"/>
      <c r="AP26" s="125" t="s">
        <v>137</v>
      </c>
      <c r="AQ26" s="123"/>
      <c r="AR26" s="123"/>
      <c r="AS26" s="126" t="s">
        <v>221</v>
      </c>
      <c r="AT26" s="123">
        <v>2010</v>
      </c>
      <c r="AU26" s="127">
        <f ca="1">IF(AG26&lt;&gt;"",IF(AH26&lt;&gt;"",INT((TODAY()-AH26)/365),"?"),"")</f>
        <v>19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Vyhnánek</v>
      </c>
      <c r="AX26" s="129" t="str">
        <f t="shared" ca="1" si="15"/>
        <v>0 OZ, 0 (0+0)</v>
      </c>
      <c r="AY26" s="129" t="str">
        <f t="shared" ca="1" si="16"/>
        <v>3 OZ, 0 (0+0)</v>
      </c>
      <c r="AZ26" s="130"/>
      <c r="BA26" s="130"/>
      <c r="BB26" s="130"/>
      <c r="BC26" s="130"/>
      <c r="BD26" s="3" t="str">
        <f t="shared" si="3"/>
        <v>Vyhnánek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7"/>
      <c r="BT26" s="104" t="s">
        <v>1270</v>
      </c>
      <c r="BU26" s="103">
        <v>5</v>
      </c>
      <c r="BV26" s="104" t="str">
        <f t="shared" si="13"/>
        <v>Adam Hemerka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/>
      </c>
      <c r="H27" s="459"/>
      <c r="I27" s="459"/>
      <c r="J27" s="460" t="str">
        <f ca="1">IFERROR(VLOOKUP(G25,OFFSET($AG$2,,,COUNTIF($AG$2:$AG$50,"?*"),23),19,FALSE),"")</f>
        <v/>
      </c>
      <c r="K27" s="460"/>
      <c r="L27" s="461"/>
      <c r="S27" s="111"/>
      <c r="AC27" s="102" t="str">
        <f t="shared" ca="1" si="0"/>
        <v/>
      </c>
      <c r="AG27" s="121" t="s">
        <v>384</v>
      </c>
      <c r="AH27" s="122">
        <v>36377</v>
      </c>
      <c r="AI27" s="123">
        <v>122</v>
      </c>
      <c r="AJ27" s="123">
        <v>18</v>
      </c>
      <c r="AK27" s="123">
        <v>25</v>
      </c>
      <c r="AL27" s="124">
        <v>43</v>
      </c>
      <c r="AM27" s="123">
        <v>6</v>
      </c>
      <c r="AN27" s="123">
        <v>58</v>
      </c>
      <c r="AO27" s="125"/>
      <c r="AP27" s="125" t="s">
        <v>137</v>
      </c>
      <c r="AQ27" s="123">
        <v>186</v>
      </c>
      <c r="AR27" s="123">
        <v>78</v>
      </c>
      <c r="AS27" s="126" t="s">
        <v>400</v>
      </c>
      <c r="AT27" s="123">
        <v>2009</v>
      </c>
      <c r="AU27" s="127">
        <f ca="1">IF(AG27&lt;&gt;"",IF(AH27&lt;&gt;"",INT((TODAY()-AH27)/365),"?"),"")</f>
        <v>22</v>
      </c>
      <c r="AV27" s="127" t="str">
        <f>IF(AG27&lt;&gt;"",CONCATENATE(IF(AQ27&lt;&gt;"",AQ27,"? "),"/",IF(AR27&lt;&gt;"",AR27," ?")),"")</f>
        <v>186/78</v>
      </c>
      <c r="AW27" s="128" t="str">
        <f ca="1">IF(AG27&lt;&gt;"",IF(BE27=1,BD27,IF(BH27=1,BG27,IF(BJ27=1,BI27,IF(BL27=1,BK27,BM27)))),"")</f>
        <v>Zakonov</v>
      </c>
      <c r="AX27" s="129" t="str">
        <f t="shared" ca="1" si="15"/>
        <v>11 OZ, 4 (1+3), +13 ±</v>
      </c>
      <c r="AY27" s="129" t="str">
        <f t="shared" ca="1" si="16"/>
        <v>133 OZ, 47 (19+28)</v>
      </c>
      <c r="AZ27" s="130"/>
      <c r="BA27" s="130"/>
      <c r="BB27" s="130"/>
      <c r="BC27" s="130"/>
      <c r="BD27" s="89" t="str">
        <f t="shared" si="3"/>
        <v>Zakonov</v>
      </c>
      <c r="BE27" s="91">
        <f t="shared" ca="1" si="4"/>
        <v>1</v>
      </c>
      <c r="BF27" s="90" t="str">
        <f t="shared" si="5"/>
        <v>F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7" t="s">
        <v>39</v>
      </c>
      <c r="BT27" s="104" t="s">
        <v>1271</v>
      </c>
      <c r="BU27" s="103">
        <v>10</v>
      </c>
      <c r="BV27" s="104" t="str">
        <f t="shared" si="13"/>
        <v>Martin Tokoš</v>
      </c>
      <c r="BW27" s="102">
        <f t="shared" si="14"/>
        <v>10</v>
      </c>
    </row>
    <row r="28" spans="1:75" ht="15" customHeight="1" thickTop="1" thickBot="1" x14ac:dyDescent="0.25">
      <c r="A28" s="429"/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6" t="str">
        <f ca="1">IFERROR(IF(VLOOKUP(G25,OFFSET($AG$2,,,COUNTIF($AG$2:$AG$50,"?*"),23),13,FALSE)&lt;&gt;0,VLOOKUP(G25,OFFSET($AG$2,,,COUNTIF($AG$2:$AG$50,"?*"),23),13,FALSE),"?"),"")</f>
        <v/>
      </c>
      <c r="H28" s="447"/>
      <c r="I28" s="448"/>
      <c r="J28" s="449" t="str">
        <f ca="1">IFERROR(IF(VLOOKUP(G25,OFFSET($AG$2,,,COUNTIF($AG$2:$AG$50,"?*"),23),14,FALSE)&lt;&gt;0,VLOOKUP(G25,OFFSET($AG$2,,,COUNTIF($AG$2:$AG$50,"?*"),23),14,FALSE),"?"),"")</f>
        <v/>
      </c>
      <c r="K28" s="450"/>
      <c r="L28" s="7" t="str">
        <f ca="1">IFERROR(IF(VLOOKUP(G25,OFFSET($AG$2,,,COUNTIF($AG$2:$AG$50,"?*"),23),7,FALSE)&lt;&gt;0,VLOOKUP(G25,OFFSET($AG$2,,,COUNTIF($AG$2:$AG$50,"?*"),23),7,FALSE),"?"),"")</f>
        <v/>
      </c>
      <c r="M28" s="429"/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376</v>
      </c>
      <c r="AH28" s="122">
        <v>37744</v>
      </c>
      <c r="AI28" s="123">
        <v>25</v>
      </c>
      <c r="AJ28" s="123">
        <v>6</v>
      </c>
      <c r="AK28" s="123">
        <v>5</v>
      </c>
      <c r="AL28" s="124">
        <v>11</v>
      </c>
      <c r="AM28" s="123">
        <v>2</v>
      </c>
      <c r="AN28" s="123">
        <v>39</v>
      </c>
      <c r="AO28" s="125"/>
      <c r="AP28" s="125" t="s">
        <v>137</v>
      </c>
      <c r="AQ28" s="123">
        <v>185</v>
      </c>
      <c r="AR28" s="123">
        <v>71</v>
      </c>
      <c r="AS28" s="126" t="s">
        <v>400</v>
      </c>
      <c r="AT28" s="123">
        <v>2011</v>
      </c>
      <c r="AU28" s="127">
        <f ca="1">IF(AG28&lt;&gt;"",IF(AH28&lt;&gt;"",INT((TODAY()-AH28)/365),"?"),"")</f>
        <v>18</v>
      </c>
      <c r="AV28" s="127" t="str">
        <f>IF(AG28&lt;&gt;"",CONCATENATE(IF(AQ28&lt;&gt;"",AQ28,"? "),"/",IF(AR28&lt;&gt;"",AR28," ?")),"")</f>
        <v>185/71</v>
      </c>
      <c r="AW28" s="128" t="str">
        <f ca="1">IF(AG28&lt;&gt;"",IF(BE28=1,BD28,IF(BH28=1,BG28,IF(BJ28=1,BI28,IF(BL28=1,BK28,BM28)))),"")</f>
        <v>Zoufalý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8 OZ, 1 (1+0), +3 ±</v>
      </c>
      <c r="AY28" s="129" t="str">
        <f t="shared" ca="1" si="16"/>
        <v>33 OZ, 12 (7+5)</v>
      </c>
      <c r="AZ28" s="130"/>
      <c r="BA28" s="130"/>
      <c r="BB28" s="130"/>
      <c r="BC28" s="130"/>
      <c r="BD28" s="3" t="str">
        <f t="shared" si="3"/>
        <v>Zoufalý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7"/>
      <c r="BT28" s="104" t="s">
        <v>1077</v>
      </c>
      <c r="BU28" s="103">
        <v>8</v>
      </c>
      <c r="BV28" s="104" t="str">
        <f t="shared" si="13"/>
        <v>Patrik Suchánek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2" t="str">
        <f ca="1">IFERROR(IF(VLOOKUP(A28,OFFSET($AG$2,,,COUNTIF($AG$2:$AG$50,"?*"),23),2,FALSE)&lt;&gt;0,YEAR(VLOOKUP(A28,OFFSET($AG$2,,,COUNTIF($AG$2:$AG$50,"?*"),23),2,FALSE)),""),"")</f>
        <v/>
      </c>
      <c r="C29" s="423"/>
      <c r="D29" s="117" t="str">
        <f ca="1">IFERROR(VLOOKUP(A28,OFFSET($AG$2,,,COUNTIF($AG$2:$AG$50,"?*"),23),15,FALSE),"")</f>
        <v/>
      </c>
      <c r="E29" s="424" t="str">
        <f ca="1">IFERROR(VLOOKUP(A28,OFFSET($AG$2,,,COUNTIF($AG$2:$AG$50,"?*"),23),16,FALSE),"")</f>
        <v/>
      </c>
      <c r="F29" s="425"/>
      <c r="M29" s="4" t="str">
        <f ca="1">IFERROR(IF(VLOOKUP(M28,OFFSET($AG$2,,,COUNTIF($AG$2:$AG$50,"?*"),23),10,FALSE)&lt;&gt;0,VLOOKUP(M28,OFFSET($AG$2,,,COUNTIF($AG$2:$AG$50,"?*"),23),10,FALSE),""),"")</f>
        <v/>
      </c>
      <c r="N29" s="422" t="str">
        <f ca="1">IFERROR(IF(VLOOKUP(M28,OFFSET($AG$2,,,COUNTIF($AG$2:$AG$50,"?*"),23),2,FALSE)&lt;&gt;0,YEAR(VLOOKUP(M28,OFFSET($AG$2,,,COUNTIF($AG$2:$AG$50,"?*"),23),2,FALSE)),""),"")</f>
        <v/>
      </c>
      <c r="O29" s="423"/>
      <c r="P29" s="117" t="str">
        <f ca="1">IFERROR(VLOOKUP(M28,OFFSET($AG$2,,,COUNTIF($AG$2:$AG$50,"?*"),23),15,FALSE),"")</f>
        <v/>
      </c>
      <c r="Q29" s="424" t="str">
        <f ca="1">IFERROR(VLOOKUP(M28,OFFSET($AG$2,,,COUNTIF($AG$2:$AG$50,"?*"),23),16,FALSE),"")</f>
        <v/>
      </c>
      <c r="R29" s="425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/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30" ca="1" si="17">IF(AG29&lt;&gt;"",IF(AH29&lt;&gt;"",INT((TODAY()-AH29)/365),"?"),"")</f>
        <v/>
      </c>
      <c r="AV29" s="127" t="str">
        <f t="shared" ref="AV29:AV30" si="18">IF(AG29&lt;&gt;"",CONCATENATE(IF(AQ29&lt;&gt;"",AQ29,"? "),"/",IF(AR29&lt;&gt;"",AR29," ?")),"")</f>
        <v/>
      </c>
      <c r="AW29" s="128" t="str">
        <f t="shared" ref="AW29:AW30" si="19">IF(AG29&lt;&gt;"",IF(BE29=1,BD29,IF(BH29=1,BG29,IF(BJ29=1,BI29,IF(BL29=1,BK29,BM29)))),"")</f>
        <v/>
      </c>
      <c r="AX29" s="129" t="str">
        <f t="shared" ref="AX29:AX50" ca="1" si="20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7"/>
      <c r="BT29" s="104" t="s">
        <v>1272</v>
      </c>
      <c r="BU29" s="103">
        <v>6</v>
      </c>
      <c r="BV29" s="104" t="str">
        <f t="shared" si="13"/>
        <v>Miroslav Fořt</v>
      </c>
      <c r="BW29" s="102">
        <f t="shared" si="14"/>
        <v>6</v>
      </c>
    </row>
    <row r="30" spans="1:75" ht="15" customHeight="1" x14ac:dyDescent="0.2">
      <c r="A30" s="458" t="str">
        <f ca="1">IFERROR(VLOOKUP(A28,OFFSET($AG$2,,,COUNTIF($AG$2:$AG$50,"?*"),23),18,FALSE),"")</f>
        <v/>
      </c>
      <c r="B30" s="459"/>
      <c r="C30" s="459"/>
      <c r="D30" s="460" t="str">
        <f ca="1">IFERROR(VLOOKUP(A28,OFFSET($AG$2,,,COUNTIF($AG$2:$AG$50,"?*"),23),19,FALSE),"")</f>
        <v/>
      </c>
      <c r="E30" s="460"/>
      <c r="F30" s="461"/>
      <c r="H30" s="462" t="str">
        <f>H$8</f>
        <v>MB</v>
      </c>
      <c r="I30" s="462"/>
      <c r="J30" s="462"/>
      <c r="K30" s="462"/>
      <c r="M30" s="458" t="str">
        <f ca="1">IFERROR(VLOOKUP(M28,OFFSET($AG$2,,,COUNTIF($AG$2:$AG$50,"?*"),23),18,FALSE),"")</f>
        <v/>
      </c>
      <c r="N30" s="459"/>
      <c r="O30" s="459"/>
      <c r="P30" s="460" t="str">
        <f ca="1">IFERROR(VLOOKUP(M28,OFFSET($AG$2,,,COUNTIF($AG$2:$AG$50,"?*"),23),19,FALSE),"")</f>
        <v/>
      </c>
      <c r="Q30" s="460"/>
      <c r="R30" s="46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/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0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7"/>
      <c r="BT30" s="104" t="s">
        <v>1079</v>
      </c>
      <c r="BU30" s="103">
        <v>4</v>
      </c>
      <c r="BV30" s="104" t="str">
        <f t="shared" si="13"/>
        <v>Adam Hemerka</v>
      </c>
      <c r="BW30" s="102">
        <f t="shared" si="14"/>
        <v>4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/>
      </c>
      <c r="B31" s="447"/>
      <c r="C31" s="448"/>
      <c r="D31" s="449" t="str">
        <f ca="1">IFERROR(IF(VLOOKUP(A28,OFFSET($AG$2,,,COUNTIF($AG$2:$AG$50,"?*"),23),14,FALSE)&lt;&gt;0,VLOOKUP(A28,OFFSET($AG$2,,,COUNTIF($AG$2:$AG$50,"?*"),23),14,FALSE),"?"),"")</f>
        <v/>
      </c>
      <c r="E31" s="450"/>
      <c r="F31" s="7" t="str">
        <f ca="1">IFERROR(IF(VLOOKUP(A28,OFFSET($AG$2,,,COUNTIF($AG$2:$AG$50,"?*"),23),7,FALSE)&lt;&gt;0,VLOOKUP(A28,OFFSET($AG$2,,,COUNTIF($AG$2:$AG$50,"?*"),23),7,FALSE),"?"),"")</f>
        <v/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/>
      </c>
      <c r="N31" s="447"/>
      <c r="O31" s="448"/>
      <c r="P31" s="449" t="str">
        <f ca="1">IFERROR(IF(VLOOKUP(M28,OFFSET($AG$2,,,COUNTIF($AG$2:$AG$50,"?*"),23),14,FALSE)&lt;&gt;0,VLOOKUP(M28,OFFSET($AG$2,,,COUNTIF($AG$2:$AG$50,"?*"),23),14,FALSE),"?"),"")</f>
        <v/>
      </c>
      <c r="Q31" s="4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21">IF(AG31&lt;&gt;"",IF(AH31&lt;&gt;"",INT((TODAY()-AH31)/365),"?"),"")</f>
        <v/>
      </c>
      <c r="AV31" s="127" t="str">
        <f t="shared" ref="AV31:AV50" si="22">IF(AG31&lt;&gt;"",CONCATENATE(IF(AQ31&lt;&gt;"",AQ31,"? "),"/",IF(AR31&lt;&gt;"",AR31," ?")),"")</f>
        <v/>
      </c>
      <c r="AW31" s="128" t="str">
        <f t="shared" ref="AW31:AW50" si="23">IF(AG31&lt;&gt;"",IF(BE31=1,BD31,IF(BH31=1,BG31,IF(BJ31=1,BI31,IF(BL31=1,BK31,BM31)))),"")</f>
        <v/>
      </c>
      <c r="AX31" s="129" t="str">
        <f t="shared" ca="1" si="20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7"/>
      <c r="BT31" s="104" t="s">
        <v>1258</v>
      </c>
      <c r="BU31" s="103">
        <v>4</v>
      </c>
      <c r="BV31" s="104" t="str">
        <f t="shared" si="13"/>
        <v>Daniel Šebek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21"/>
        <v/>
      </c>
      <c r="AV32" s="127" t="str">
        <f t="shared" si="22"/>
        <v/>
      </c>
      <c r="AW32" s="128" t="str">
        <f t="shared" si="23"/>
        <v/>
      </c>
      <c r="AX32" s="129" t="str">
        <f t="shared" ca="1" si="20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21"/>
        <v/>
      </c>
      <c r="AV33" s="127" t="str">
        <f t="shared" si="22"/>
        <v/>
      </c>
      <c r="AW33" s="128" t="str">
        <f t="shared" si="23"/>
        <v/>
      </c>
      <c r="AX33" s="129" t="str">
        <f t="shared" ca="1" si="20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9"/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7" t="s">
        <v>16</v>
      </c>
      <c r="J34" s="429"/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21"/>
        <v/>
      </c>
      <c r="AV34" s="127" t="str">
        <f t="shared" si="22"/>
        <v/>
      </c>
      <c r="AW34" s="128" t="str">
        <f t="shared" si="23"/>
        <v/>
      </c>
      <c r="AX34" s="129" t="str">
        <f t="shared" ca="1" si="20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2" t="str">
        <f ca="1">IFERROR(IF(VLOOKUP(A34,OFFSET($AG$2,,,COUNTIF($AG$2:$AG$50,"?*"),23),2,FALSE)&lt;&gt;0,YEAR(VLOOKUP(A34,OFFSET($AG$2,,,COUNTIF($AG$2:$AG$50,"?*"),23),2,FALSE)),""),"")</f>
        <v/>
      </c>
      <c r="C35" s="423"/>
      <c r="D35" s="117" t="str">
        <f ca="1">IFERROR(VLOOKUP(A34,OFFSET($AG$2,,,COUNTIF($AG$2:$AG$50,"?*"),23),15,FALSE),"")</f>
        <v/>
      </c>
      <c r="E35" s="424" t="str">
        <f ca="1">IFERROR(VLOOKUP(A34,OFFSET($AG$2,,,COUNTIF($AG$2:$AG$50,"?*"),23),16,FALSE),"")</f>
        <v/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/>
      </c>
      <c r="K35" s="423" t="str">
        <f ca="1">IFERROR(IF(VLOOKUP(J34,OFFSET($AG$2,,,COUNTIF($AG$2:$AG$50,"?*"),23),2,FALSE)&lt;&gt;0,YEAR(VLOOKUP(J34,OFFSET($AG$2,,,COUNTIF($AG$2:$AG$50,"?*"),23),2,FALSE)),""),"")</f>
        <v/>
      </c>
      <c r="L35" s="431"/>
      <c r="M35" s="118" t="str">
        <f ca="1">IFERROR(VLOOKUP(J34,OFFSET($AG$2,,,COUNTIF($AG$2:$AG$50,"?*"),23),15,FALSE),"")</f>
        <v/>
      </c>
      <c r="N35" s="431" t="str">
        <f ca="1">IFERROR(VLOOKUP(J34,OFFSET($AG$2,,,COUNTIF($AG$2:$AG$50,"?*"),23),16,FALSE),"")</f>
        <v/>
      </c>
      <c r="O35" s="431"/>
      <c r="P35" s="431" t="str">
        <f ca="1">IFERROR(VLOOKUP(J34,OFFSET($AG$2,,,COUNTIF($AG$2:$AG$50,"?*"),23),18,FALSE),"")</f>
        <v/>
      </c>
      <c r="Q35" s="431"/>
      <c r="R35" s="43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0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6" t="str">
        <f ca="1">IFERROR(VLOOKUP(A34,OFFSET($AG$2,,,COUNTIF($AG$2:$AG$50,"?*"),23),18,FALSE),"")</f>
        <v/>
      </c>
      <c r="C36" s="426"/>
      <c r="D36" s="427" t="str">
        <f ca="1">IFERROR(VLOOKUP(A34,OFFSET($S$45,,,COUNTIF($S$45:$S$50,"?*"),14),5,FALSE),"")</f>
        <v/>
      </c>
      <c r="E36" s="428"/>
      <c r="F36" s="17" t="str">
        <f ca="1">IFERROR(VLOOKUP(A34,OFFSET($S$45,,,COUNTIF($S$45:$S$50,"?*"),14),14,FALSE),"")</f>
        <v/>
      </c>
      <c r="H36" s="457"/>
      <c r="J36" s="18" t="str">
        <f ca="1">IFERROR(IF(VLOOKUP(J34,OFFSET($AG$2,,,COUNTIF($AG$2:$AG$50,"?*"),23),7,FALSE)&lt;&gt;0,VLOOKUP(J34,OFFSET($AG$2,,,COUNTIF($AG$2:$AG$50,"?*"),23),7,FALSE),"?"),"")</f>
        <v/>
      </c>
      <c r="K36" s="433" t="str">
        <f ca="1">IFERROR(VLOOKUP(J34,OFFSET($AG$2,,,COUNTIF($AG$2:$AG$50,"?*"),23),19,FALSE),"")</f>
        <v/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/>
      </c>
      <c r="O36" s="434"/>
      <c r="P36" s="434"/>
      <c r="Q36" s="433" t="str">
        <f ca="1">IFERROR(IF(VLOOKUP(J34,OFFSET($AG$2,,,COUNTIF($AG$2:$AG$50,"?*"),23),14,FALSE)&lt;&gt;0,VLOOKUP(J34,OFFSET($AG$2,,,COUNTIF($AG$2:$AG$50,"?*"),23),14,FALSE),"?"),"")</f>
        <v/>
      </c>
      <c r="R36" s="43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0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1" t="str">
        <f ca="1">IFERROR(VLOOKUP(A34,OFFSET($S$45,,,COUNTIF($S$45:$S$50,"?*"),14),3,FALSE),"")</f>
        <v/>
      </c>
      <c r="B37" s="452"/>
      <c r="C37" s="453" t="str">
        <f ca="1">IFERROR(VLOOKUP(A34,OFFSET($S$45,,,COUNTIF($S$45:$S$50,"?*"),14),13,FALSE),"")</f>
        <v/>
      </c>
      <c r="D37" s="454"/>
      <c r="E37" s="455" t="str">
        <f ca="1">IFERROR(VLOOKUP(A34,OFFSET($AG$2,,,COUNTIF($AG$2:$AG$50,"?*"),23),19,FALSE),"")</f>
        <v/>
      </c>
      <c r="F37" s="456"/>
      <c r="H37" s="45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0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/>
      </c>
      <c r="B38" s="447"/>
      <c r="C38" s="448"/>
      <c r="D38" s="449" t="str">
        <f ca="1">IFERROR(IF(VLOOKUP(A34,OFFSET($AG$2,,,COUNTIF($AG$2:$AG$50,"?*"),23),14,FALSE)&lt;&gt;0,VLOOKUP(A34,OFFSET($AG$2,,,COUNTIF($AG$2:$AG$50,"?*"),23),14,FALSE),"?"),"")</f>
        <v/>
      </c>
      <c r="E38" s="450"/>
      <c r="F38" s="19" t="str">
        <f ca="1">IFERROR(VLOOKUP(A34,OFFSET($S$45,,,COUNTIF($S$45:$S$50,"?*"),14),6,FALSE),"")</f>
        <v/>
      </c>
      <c r="H38" s="457"/>
      <c r="J38" s="429"/>
      <c r="K38" s="430"/>
      <c r="L38" s="430"/>
      <c r="M38" s="430"/>
      <c r="N38" s="430"/>
      <c r="O38" s="430"/>
      <c r="P38" s="4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ref="AL38:AL50" si="25">IF(AG38&lt;&gt;"",AJ38+AK38,"")</f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0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/>
      </c>
      <c r="K39" s="423" t="str">
        <f ca="1">IFERROR(IF(VLOOKUP(J38,OFFSET($AG$2,,,COUNTIF($AG$2:$AG$50,"?*"),23),2,FALSE)&lt;&gt;0,YEAR(VLOOKUP(J38,OFFSET($AG$2,,,COUNTIF($AG$2:$AG$50,"?*"),23),2,FALSE)),""),"")</f>
        <v/>
      </c>
      <c r="L39" s="431"/>
      <c r="M39" s="150" t="str">
        <f ca="1">IFERROR(VLOOKUP(J38,OFFSET($AG$2,,,COUNTIF($AG$2:$AG$50,"?*"),23),15,FALSE),"")</f>
        <v/>
      </c>
      <c r="N39" s="431" t="str">
        <f ca="1">IFERROR(VLOOKUP(J38,OFFSET($AG$2,,,COUNTIF($AG$2:$AG$50,"?*"),23),16,FALSE),"")</f>
        <v/>
      </c>
      <c r="O39" s="431"/>
      <c r="P39" s="431" t="str">
        <f ca="1">IFERROR(VLOOKUP(J38,OFFSET($AG$2,,,COUNTIF($AG$2:$AG$50,"?*"),23),18,FALSE),"")</f>
        <v/>
      </c>
      <c r="Q39" s="431"/>
      <c r="R39" s="43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0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9"/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7"/>
      <c r="J40" s="18" t="str">
        <f ca="1">IFERROR(IF(VLOOKUP(J38,OFFSET($AG$2,,,COUNTIF($AG$2:$AG$50,"?*"),23),7,FALSE)&lt;&gt;0,VLOOKUP(J38,OFFSET($AG$2,,,COUNTIF($AG$2:$AG$50,"?*"),23),7,FALSE),"?"),"")</f>
        <v/>
      </c>
      <c r="K40" s="433" t="str">
        <f ca="1">IFERROR(VLOOKUP(J38,OFFSET($AG$2,,,COUNTIF($AG$2:$AG$50,"?*"),23),19,FALSE),"")</f>
        <v/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/>
      </c>
      <c r="O40" s="434"/>
      <c r="P40" s="434"/>
      <c r="Q40" s="433" t="str">
        <f ca="1">IFERROR(IF(VLOOKUP(J38,OFFSET($AG$2,,,COUNTIF($AG$2:$AG$50,"?*"),23),14,FALSE)&lt;&gt;0,VLOOKUP(J38,OFFSET($AG$2,,,COUNTIF($AG$2:$AG$50,"?*"),23),14,FALSE),"?"),"")</f>
        <v/>
      </c>
      <c r="R40" s="43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0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2" t="str">
        <f ca="1">IFERROR(IF(VLOOKUP(A40,OFFSET($AG$2,,,COUNTIF($AG$2:$AG$50,"?*"),23),2,FALSE)&lt;&gt;0,YEAR(VLOOKUP(A40,OFFSET($AG$2,,,COUNTIF($AG$2:$AG$50,"?*"),23),2,FALSE)),""),"")</f>
        <v/>
      </c>
      <c r="C41" s="423"/>
      <c r="D41" s="117" t="str">
        <f ca="1">IFERROR(VLOOKUP(A40,OFFSET($AG$2,,,COUNTIF($AG$2:$AG$50,"?*"),23),15,FALSE),"")</f>
        <v/>
      </c>
      <c r="E41" s="424" t="str">
        <f ca="1">IFERROR(VLOOKUP(A40,OFFSET($AG$2,,,COUNTIF($AG$2:$AG$50,"?*"),23),16,FALSE),"")</f>
        <v/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0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6" t="str">
        <f ca="1">IFERROR(VLOOKUP(A40,OFFSET($AG$2,,,COUNTIF($AG$2:$AG$50,"?*"),23),18,FALSE),"")</f>
        <v/>
      </c>
      <c r="C42" s="426"/>
      <c r="D42" s="427" t="str">
        <f ca="1">IFERROR(VLOOKUP(A40,OFFSET($S$45,,,COUNTIF($S$45:$S$50,"?*"),14),5,FALSE),"")</f>
        <v/>
      </c>
      <c r="E42" s="428"/>
      <c r="F42" s="17" t="str">
        <f ca="1">IFERROR(VLOOKUP(A40,OFFSET($S$45,,,COUNTIF($S$45:$S$50,"?*"),14),14,FALSE),"")</f>
        <v/>
      </c>
      <c r="H42" s="457"/>
      <c r="J42" s="429"/>
      <c r="K42" s="430"/>
      <c r="L42" s="430"/>
      <c r="M42" s="430"/>
      <c r="N42" s="430"/>
      <c r="O42" s="430"/>
      <c r="P42" s="4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0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1" t="str">
        <f ca="1">IFERROR(VLOOKUP(A40,OFFSET($S$45,,,COUNTIF($S$45:$S$50,"?*"),14),3,FALSE),"")</f>
        <v/>
      </c>
      <c r="B43" s="452"/>
      <c r="C43" s="453" t="str">
        <f ca="1">IFERROR(VLOOKUP(A40,OFFSET($S$45,,,COUNTIF($S$45:$S$50,"?*"),14),13,FALSE),"")</f>
        <v/>
      </c>
      <c r="D43" s="454"/>
      <c r="E43" s="455" t="str">
        <f ca="1">IFERROR(VLOOKUP(A40,OFFSET($AG$2,,,COUNTIF($AG$2:$AG$50,"?*"),23),19,FALSE),"")</f>
        <v/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/>
      </c>
      <c r="K43" s="423" t="str">
        <f ca="1">IFERROR(IF(VLOOKUP(J42,OFFSET($AG$2,,,COUNTIF($AG$2:$AG$50,"?*"),23),2,FALSE)&lt;&gt;0,YEAR(VLOOKUP(J42,OFFSET($AG$2,,,COUNTIF($AG$2:$AG$50,"?*"),23),2,FALSE)),""),"")</f>
        <v/>
      </c>
      <c r="L43" s="431"/>
      <c r="M43" s="150" t="str">
        <f ca="1">IFERROR(VLOOKUP(J42,OFFSET($AG$2,,,COUNTIF($AG$2:$AG$50,"?*"),23),15,FALSE),"")</f>
        <v/>
      </c>
      <c r="N43" s="431" t="str">
        <f ca="1">IFERROR(VLOOKUP(J42,OFFSET($AG$2,,,COUNTIF($AG$2:$AG$50,"?*"),23),16,FALSE),"")</f>
        <v/>
      </c>
      <c r="O43" s="431"/>
      <c r="P43" s="431" t="str">
        <f ca="1">IFERROR(VLOOKUP(J42,OFFSET($AG$2,,,COUNTIF($AG$2:$AG$50,"?*"),23),18,FALSE),"")</f>
        <v/>
      </c>
      <c r="Q43" s="431"/>
      <c r="R43" s="432"/>
      <c r="AG43" s="121"/>
      <c r="AH43" s="122"/>
      <c r="AI43" s="123"/>
      <c r="AJ43" s="123"/>
      <c r="AK43" s="123"/>
      <c r="AL43" s="124" t="str">
        <f t="shared" si="2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0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/>
      </c>
      <c r="B44" s="447"/>
      <c r="C44" s="448"/>
      <c r="D44" s="449" t="str">
        <f ca="1">IFERROR(IF(VLOOKUP(A40,OFFSET($AG$2,,,COUNTIF($AG$2:$AG$50,"?*"),23),14,FALSE)&lt;&gt;0,VLOOKUP(A40,OFFSET($AG$2,,,COUNTIF($AG$2:$AG$50,"?*"),23),14,FALSE),"?"),"")</f>
        <v/>
      </c>
      <c r="E44" s="450"/>
      <c r="F44" s="19" t="str">
        <f ca="1">IFERROR(VLOOKUP(A40,OFFSET($S$45,,,COUNTIF($S$45:$S$50,"?*"),14),6,FALSE),"")</f>
        <v/>
      </c>
      <c r="H44" s="457"/>
      <c r="J44" s="18" t="str">
        <f ca="1">IFERROR(IF(VLOOKUP(J42,OFFSET($AG$2,,,COUNTIF($AG$2:$AG$50,"?*"),23),7,FALSE)&lt;&gt;0,VLOOKUP(J42,OFFSET($AG$2,,,COUNTIF($AG$2:$AG$50,"?*"),23),7,FALSE),"?"),"")</f>
        <v/>
      </c>
      <c r="K44" s="433" t="str">
        <f ca="1">IFERROR(VLOOKUP(J42,OFFSET($AG$2,,,COUNTIF($AG$2:$AG$50,"?*"),23),19,FALSE),"")</f>
        <v/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/>
      </c>
      <c r="O44" s="434"/>
      <c r="P44" s="434"/>
      <c r="Q44" s="433" t="str">
        <f ca="1">IFERROR(IF(VLOOKUP(J42,OFFSET($AG$2,,,COUNTIF($AG$2:$AG$50,"?*"),23),14,FALSE)&lt;&gt;0,VLOOKUP(J42,OFFSET($AG$2,,,COUNTIF($AG$2:$AG$50,"?*"),23),14,FALSE),"?"),"")</f>
        <v/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2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0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382</v>
      </c>
      <c r="T45" s="102">
        <v>10</v>
      </c>
      <c r="U45" s="112">
        <v>603.20000000000005</v>
      </c>
      <c r="V45" s="102">
        <v>9</v>
      </c>
      <c r="W45" s="102">
        <v>30</v>
      </c>
      <c r="X45" s="102">
        <v>0</v>
      </c>
      <c r="Y45" s="102">
        <v>137</v>
      </c>
      <c r="Z45" s="102">
        <v>0</v>
      </c>
      <c r="AA45" s="102">
        <v>1</v>
      </c>
      <c r="AB45" s="102">
        <v>107</v>
      </c>
      <c r="AC45" s="102">
        <v>0</v>
      </c>
      <c r="AD45" s="102">
        <v>0</v>
      </c>
      <c r="AE45" s="112">
        <f>IF(S45&lt;&gt;"",IF(T45&gt;0,W45/(U45/60),0),"")</f>
        <v>2.9840848806366043</v>
      </c>
      <c r="AF45" s="112">
        <f>IF(S45&lt;&gt;"",IF(Y45&gt;0,(AB45/Y45)*100,"-"),"")</f>
        <v>78.102189781021906</v>
      </c>
      <c r="AG45" s="121"/>
      <c r="AH45" s="122"/>
      <c r="AI45" s="123"/>
      <c r="AJ45" s="123"/>
      <c r="AK45" s="123"/>
      <c r="AL45" s="124" t="str">
        <f t="shared" si="2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0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387</v>
      </c>
      <c r="T46" s="102">
        <v>1</v>
      </c>
      <c r="U46" s="112">
        <v>60</v>
      </c>
      <c r="V46" s="102">
        <v>1</v>
      </c>
      <c r="W46" s="102">
        <v>1</v>
      </c>
      <c r="X46" s="102">
        <v>0</v>
      </c>
      <c r="Y46" s="102">
        <v>11</v>
      </c>
      <c r="Z46" s="102">
        <v>0</v>
      </c>
      <c r="AA46" s="102">
        <v>0</v>
      </c>
      <c r="AB46" s="102">
        <v>10</v>
      </c>
      <c r="AC46" s="102">
        <v>0</v>
      </c>
      <c r="AD46" s="102">
        <v>0</v>
      </c>
      <c r="AE46" s="112">
        <f t="shared" ref="AE46:AE50" si="26">IF(S46&lt;&gt;"",IF(T46&gt;0,W46/(U46/60),0),"")</f>
        <v>1</v>
      </c>
      <c r="AF46" s="112">
        <f t="shared" ref="AF46:AF50" si="27">IF(S46&lt;&gt;"",IF(Y46&gt;0,(AB46/Y46)*100,"-"),"")</f>
        <v>90.909090909090907</v>
      </c>
      <c r="AG46" s="121"/>
      <c r="AH46" s="122"/>
      <c r="AI46" s="123"/>
      <c r="AJ46" s="123"/>
      <c r="AK46" s="123"/>
      <c r="AL46" s="124" t="str">
        <f t="shared" si="2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0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8"/>
      <c r="B47" s="419"/>
      <c r="C47" s="419"/>
      <c r="D47" s="419"/>
      <c r="E47" s="420" t="str">
        <f ca="1">IFERROR(VLOOKUP(A47,OFFSET($BN$2,,,COUNTIF($BN$2:$BN$11,"?*"),5),3,FALSE),"")</f>
        <v/>
      </c>
      <c r="F47" s="420"/>
      <c r="G47" s="420"/>
      <c r="H47" s="420"/>
      <c r="I47" s="421"/>
      <c r="J47" s="418"/>
      <c r="K47" s="419"/>
      <c r="L47" s="419"/>
      <c r="M47" s="419"/>
      <c r="N47" s="420" t="str">
        <f ca="1">IFERROR(VLOOKUP(J47,OFFSET($BN$2,,,COUNTIF($BN$2:$BN$11,"?*"),5),3,FALSE),"")</f>
        <v/>
      </c>
      <c r="O47" s="420"/>
      <c r="P47" s="420"/>
      <c r="Q47" s="420"/>
      <c r="R47" s="421"/>
      <c r="S47" s="111" t="s">
        <v>1255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6"/>
        <v>0</v>
      </c>
      <c r="AF47" s="112" t="str">
        <f t="shared" si="27"/>
        <v>-</v>
      </c>
      <c r="AG47" s="121"/>
      <c r="AH47" s="122"/>
      <c r="AI47" s="123"/>
      <c r="AJ47" s="123"/>
      <c r="AK47" s="123"/>
      <c r="AL47" s="124" t="str">
        <f t="shared" si="2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0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6" t="str">
        <f ca="1">IFERROR(VLOOKUP(A47,OFFSET($BN$2,,,COUNTIF($BN$2:$BN$11,"?*"),5),5,FALSE),"")</f>
        <v/>
      </c>
      <c r="B48" s="438" t="str">
        <f ca="1">IFERROR(IF(VLOOKUP(A47,OFFSET($BN$2,,,COUNTIF($BN$2:$BN$11,"?*"),5),4,FALSE)&lt;&gt;0,VLOOKUP(A47,OFFSET($BN$2,,,COUNTIF($BN$2:$BN$11,"?*"),5),4,FALSE),"-"),"")</f>
        <v/>
      </c>
      <c r="C48" s="438"/>
      <c r="D48" s="438"/>
      <c r="E48" s="438"/>
      <c r="F48" s="438"/>
      <c r="G48" s="438"/>
      <c r="H48" s="438"/>
      <c r="I48" s="439"/>
      <c r="J48" s="119" t="str">
        <f ca="1">IFERROR(VLOOKUP(J47,OFFSET($BN$2,,,COUNTIF($BN$2:$BN$11,"?*"),5),5,FALSE),"")</f>
        <v/>
      </c>
      <c r="K48" s="442" t="str">
        <f ca="1">IFERROR(IF(VLOOKUP(J47,OFFSET($BN$2,,,COUNTIF($BN$2:$BN$11,"?*"),5),4,FALSE)&lt;&gt;0,VLOOKUP(J47,OFFSET($BN$2,,,COUNTIF($BN$2:$BN$11,"?*"),5),4,FALSE),"-"),"")</f>
        <v/>
      </c>
      <c r="L48" s="442"/>
      <c r="M48" s="442"/>
      <c r="N48" s="442"/>
      <c r="O48" s="442"/>
      <c r="P48" s="442"/>
      <c r="Q48" s="442"/>
      <c r="R48" s="443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0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/>
      <c r="K49" s="445"/>
      <c r="L49" s="445"/>
      <c r="M49" s="445"/>
      <c r="N49" s="420" t="str">
        <f ca="1">IFERROR(VLOOKUP(J49,OFFSET($BN$2,,,COUNTIF($BN$2:$BN$11,"?*"),5),3,FALSE),"")</f>
        <v/>
      </c>
      <c r="O49" s="420"/>
      <c r="P49" s="420"/>
      <c r="Q49" s="420"/>
      <c r="R49" s="421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0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119" t="str">
        <f ca="1">IFERROR(VLOOKUP(J49,OFFSET($BN$2,,,COUNTIF($BN$2:$BN$11,"?*"),5),5,FALSE),"")</f>
        <v/>
      </c>
      <c r="K50" s="442" t="str">
        <f ca="1">IFERROR(IF(VLOOKUP(J49,OFFSET($BN$2,,,COUNTIF($BN$2:$BN$11,"?*"),5),4,FALSE)&lt;&gt;0,VLOOKUP(J49,OFFSET($BN$2,,,COUNTIF($BN$2:$BN$11,"?*"),5),4,FALSE),"-"),"")</f>
        <v/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0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D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D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D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D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/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3" t="s">
        <v>1</v>
      </c>
      <c r="I1" s="463"/>
      <c r="J1" s="463"/>
      <c r="K1" s="463"/>
      <c r="M1" s="429"/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2" t="str">
        <f ca="1">IFERROR(IF(VLOOKUP(A1,OFFSET($AG$2,,,COUNTIF($AG$2:$AG$50,"?*"),23),2,FALSE)&lt;&gt;0,YEAR(VLOOKUP(A1,OFFSET($AG$2,,,COUNTIF($AG$2:$AG$50,"?*"),23),2,FALSE)),""),"")</f>
        <v/>
      </c>
      <c r="C2" s="423"/>
      <c r="D2" s="117" t="str">
        <f ca="1">IFERROR(VLOOKUP(A1,OFFSET($AG$2,,,COUNTIF($AG$2:$AG$50,"?*"),23),15,FALSE),"")</f>
        <v/>
      </c>
      <c r="E2" s="424" t="str">
        <f ca="1">IFERROR(VLOOKUP(A1,OFFSET($AG$2,,,COUNTIF($AG$2:$AG$50,"?*"),23),16,FALSE),"")</f>
        <v/>
      </c>
      <c r="F2" s="425"/>
      <c r="M2" s="4" t="str">
        <f ca="1">IFERROR(IF(VLOOKUP(M1,OFFSET($AG$2,,,COUNTIF($AG$2:$AG$50,"?*"),23),10,FALSE)&lt;&gt;0,VLOOKUP(M1,OFFSET($AG$2,,,COUNTIF($AG$2:$AG$50,"?*"),23),10,FALSE),""),"")</f>
        <v/>
      </c>
      <c r="N2" s="422" t="str">
        <f ca="1">IFERROR(IF(VLOOKUP(M1,OFFSET($AG$2,,,COUNTIF($AG$2:$AG$50,"?*"),23),2,FALSE)&lt;&gt;0,YEAR(VLOOKUP(M1,OFFSET($AG$2,,,COUNTIF($AG$2:$AG$50,"?*"),23),2,FALSE)),""),"")</f>
        <v/>
      </c>
      <c r="O2" s="423"/>
      <c r="P2" s="117" t="str">
        <f ca="1">IFERROR(VLOOKUP(M1,OFFSET($AG$2,,,COUNTIF($AG$2:$AG$50,"?*"),23),15,FALSE),"")</f>
        <v/>
      </c>
      <c r="Q2" s="424" t="str">
        <f ca="1">IFERROR(VLOOKUP(M1,OFFSET($AG$2,,,COUNTIF($AG$2:$AG$50,"?*"),23),16,FALSE),"")</f>
        <v/>
      </c>
      <c r="R2" s="425"/>
      <c r="S2" s="110" t="s">
        <v>721</v>
      </c>
      <c r="T2" s="102" t="s">
        <v>107</v>
      </c>
      <c r="U2" s="102">
        <v>11</v>
      </c>
      <c r="V2" s="102">
        <v>11</v>
      </c>
      <c r="W2" s="102">
        <v>3</v>
      </c>
      <c r="X2" s="102">
        <v>0</v>
      </c>
      <c r="Y2" s="102">
        <v>10</v>
      </c>
      <c r="Z2" s="102">
        <v>21</v>
      </c>
      <c r="AA2" s="102">
        <v>2</v>
      </c>
      <c r="AB2" s="102">
        <v>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725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V, 5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417" t="s">
        <v>36</v>
      </c>
      <c r="BT2" s="104" t="s">
        <v>1278</v>
      </c>
      <c r="BU2" s="103">
        <v>21</v>
      </c>
      <c r="BV2" s="104" t="str">
        <f>IFERROR(RIGHT(BT2,LEN(BT2)-SEARCH(" ",BT2)),"")</f>
        <v>Michal Sládek</v>
      </c>
      <c r="BW2" s="102">
        <f>IF(BT2&lt;&gt;0,_xlfn.NUMBERVALUE(BU2,","),"")</f>
        <v>21</v>
      </c>
      <c r="BX2" s="416" t="s">
        <v>192</v>
      </c>
      <c r="BY2" s="103" t="s">
        <v>861</v>
      </c>
      <c r="BZ2" s="103" t="s">
        <v>840</v>
      </c>
      <c r="CA2" s="115" t="s">
        <v>311</v>
      </c>
    </row>
    <row r="3" spans="1:79" ht="15" customHeight="1" thickTop="1" thickBot="1" x14ac:dyDescent="0.25">
      <c r="A3" s="458" t="str">
        <f ca="1">IFERROR(VLOOKUP(A1,OFFSET($AG$2,,,COUNTIF($AG$2:$AG$50,"?*"),23),18,FALSE),"")</f>
        <v/>
      </c>
      <c r="B3" s="459"/>
      <c r="C3" s="459"/>
      <c r="D3" s="460" t="str">
        <f ca="1">IFERROR(VLOOKUP(A1,OFFSET($AG$2,,,COUNTIF($AG$2:$AG$50,"?*"),23),19,FALSE),"")</f>
        <v/>
      </c>
      <c r="E3" s="460"/>
      <c r="F3" s="461"/>
      <c r="G3" s="429"/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8" t="str">
        <f ca="1">IFERROR(VLOOKUP(M1,OFFSET($AG$2,,,COUNTIF($AG$2:$AG$50,"?*"),23),18,FALSE),"")</f>
        <v/>
      </c>
      <c r="N3" s="459"/>
      <c r="O3" s="459"/>
      <c r="P3" s="460" t="str">
        <f ca="1">IFERROR(VLOOKUP(M1,OFFSET($AG$2,,,COUNTIF($AG$2:$AG$50,"?*"),23),19,FALSE),"")</f>
        <v/>
      </c>
      <c r="Q3" s="460"/>
      <c r="R3" s="461"/>
      <c r="S3" s="110" t="s">
        <v>722</v>
      </c>
      <c r="T3" s="102" t="s">
        <v>107</v>
      </c>
      <c r="U3" s="102">
        <v>10</v>
      </c>
      <c r="V3" s="102">
        <v>7</v>
      </c>
      <c r="W3" s="102">
        <v>1</v>
      </c>
      <c r="X3" s="102">
        <v>0</v>
      </c>
      <c r="Y3" s="102">
        <v>14</v>
      </c>
      <c r="Z3" s="102">
        <v>21</v>
      </c>
      <c r="AA3" s="102">
        <v>2</v>
      </c>
      <c r="AB3" s="102">
        <v>20</v>
      </c>
      <c r="AC3" s="102" t="str">
        <f t="shared" ca="1" si="0"/>
        <v>ANO</v>
      </c>
      <c r="AG3" s="121" t="s">
        <v>489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11 OZ, 9 (9+0), +5 ±</v>
      </c>
      <c r="AY3" s="129" t="str">
        <f t="shared" ca="1" si="2"/>
        <v>11 OZ, 9 (9+0)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417"/>
      <c r="BT3" s="104" t="s">
        <v>1279</v>
      </c>
      <c r="BU3" s="103">
        <v>21</v>
      </c>
      <c r="BV3" s="104" t="str">
        <f t="shared" ref="BV3:BV31" si="13">IFERROR(RIGHT(BT3,LEN(BT3)-SEARCH(" ",BT3)),"")</f>
        <v>Lukáš Pešat</v>
      </c>
      <c r="BW3" s="102">
        <f t="shared" ref="BW3:BW31" si="14">IF(BT3&lt;&gt;0,_xlfn.NUMBERVALUE(BU3,","),"")</f>
        <v>21</v>
      </c>
      <c r="BX3" s="416"/>
      <c r="BY3" s="103" t="s">
        <v>841</v>
      </c>
      <c r="BZ3" s="103" t="s">
        <v>838</v>
      </c>
      <c r="CA3" s="115" t="s">
        <v>1275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/>
      </c>
      <c r="B4" s="447"/>
      <c r="C4" s="448"/>
      <c r="D4" s="449" t="str">
        <f ca="1">IFERROR(IF(VLOOKUP(A1,OFFSET($AG$2,,,COUNTIF($AG$2:$AG$50,"?*"),23),14,FALSE)&lt;&gt;0,VLOOKUP(A1,OFFSET($AG$2,,,COUNTIF($AG$2:$AG$50,"?*"),23),14,FALSE),"?"),"")</f>
        <v/>
      </c>
      <c r="E4" s="4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2" t="str">
        <f ca="1">IFERROR(IF(VLOOKUP(G3,OFFSET($AG$2,,,COUNTIF($AG$2:$AG$50,"?*"),23),2,FALSE)&lt;&gt;0,YEAR(VLOOKUP(G3,OFFSET($AG$2,,,COUNTIF($AG$2:$AG$50,"?*"),23),2,FALSE)),""),"")</f>
        <v/>
      </c>
      <c r="I4" s="423"/>
      <c r="J4" s="117" t="str">
        <f ca="1">IFERROR(VLOOKUP(G3,OFFSET($AG$2,,,COUNTIF($AG$2:$AG$50,"?*"),23),15,FALSE),"")</f>
        <v/>
      </c>
      <c r="K4" s="424" t="str">
        <f ca="1">IFERROR(VLOOKUP(G3,OFFSET($AG$2,,,COUNTIF($AG$2:$AG$50,"?*"),23),16,FALSE),"")</f>
        <v/>
      </c>
      <c r="L4" s="425"/>
      <c r="M4" s="446" t="str">
        <f ca="1">IFERROR(IF(VLOOKUP(M1,OFFSET($AG$2,,,COUNTIF($AG$2:$AG$50,"?*"),23),13,FALSE)&lt;&gt;0,VLOOKUP(M1,OFFSET($AG$2,,,COUNTIF($AG$2:$AG$50,"?*"),23),13,FALSE),"?"),"")</f>
        <v/>
      </c>
      <c r="N4" s="447"/>
      <c r="O4" s="448"/>
      <c r="P4" s="449" t="str">
        <f ca="1">IFERROR(IF(VLOOKUP(M1,OFFSET($AG$2,,,COUNTIF($AG$2:$AG$50,"?*"),23),14,FALSE)&lt;&gt;0,VLOOKUP(M1,OFFSET($AG$2,,,COUNTIF($AG$2:$AG$50,"?*"),23),14,FALSE),"?"),"")</f>
        <v/>
      </c>
      <c r="Q4" s="4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720</v>
      </c>
      <c r="U4" s="102">
        <v>10</v>
      </c>
      <c r="V4" s="102">
        <v>11</v>
      </c>
      <c r="W4" s="102">
        <v>4</v>
      </c>
      <c r="X4" s="102">
        <v>0</v>
      </c>
      <c r="Y4" s="102">
        <v>9</v>
      </c>
      <c r="Z4" s="102">
        <v>20</v>
      </c>
      <c r="AA4" s="102">
        <v>0</v>
      </c>
      <c r="AB4" s="102">
        <v>19</v>
      </c>
      <c r="AC4" s="102" t="str">
        <f t="shared" ca="1" si="0"/>
        <v>ANO</v>
      </c>
      <c r="AG4" s="121" t="s">
        <v>729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11 OZ, 1 (0+1), -6 ±</v>
      </c>
      <c r="AY4" s="129" t="str">
        <f t="shared" ca="1" si="2"/>
        <v>11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417"/>
      <c r="BT4" s="104" t="s">
        <v>1280</v>
      </c>
      <c r="BU4" s="103">
        <v>20</v>
      </c>
      <c r="BV4" s="104" t="str">
        <f t="shared" si="13"/>
        <v>Wojciech Malajka</v>
      </c>
      <c r="BW4" s="102">
        <f t="shared" si="14"/>
        <v>20</v>
      </c>
      <c r="BX4" s="416"/>
      <c r="BY4" s="103" t="s">
        <v>839</v>
      </c>
      <c r="BZ4" s="103" t="s">
        <v>865</v>
      </c>
      <c r="CA4" s="115" t="s">
        <v>792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/>
      </c>
      <c r="H5" s="459"/>
      <c r="I5" s="459"/>
      <c r="J5" s="460" t="str">
        <f ca="1">IFERROR(VLOOKUP(G3,OFFSET($AG$2,,,COUNTIF($AG$2:$AG$50,"?*"),23),19,FALSE),"")</f>
        <v/>
      </c>
      <c r="K5" s="460"/>
      <c r="L5" s="461"/>
      <c r="S5" s="110" t="s">
        <v>335</v>
      </c>
      <c r="T5" s="102" t="s">
        <v>58</v>
      </c>
      <c r="U5" s="102">
        <v>11</v>
      </c>
      <c r="V5" s="102">
        <v>4</v>
      </c>
      <c r="W5" s="102">
        <v>0</v>
      </c>
      <c r="X5" s="102">
        <v>0</v>
      </c>
      <c r="Y5" s="102">
        <v>11</v>
      </c>
      <c r="Z5" s="102">
        <v>15</v>
      </c>
      <c r="AA5" s="102">
        <v>2</v>
      </c>
      <c r="AB5" s="102">
        <v>18</v>
      </c>
      <c r="AC5" s="102" t="str">
        <f t="shared" ca="1" si="0"/>
        <v>ANO</v>
      </c>
      <c r="AG5" s="121" t="s">
        <v>731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9 OZ, 1 (1+0), -5 ±</v>
      </c>
      <c r="AY5" s="129" t="str">
        <f t="shared" ca="1" si="2"/>
        <v>9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17"/>
      <c r="BT5" s="104" t="s">
        <v>1281</v>
      </c>
      <c r="BU5" s="103">
        <v>15</v>
      </c>
      <c r="BV5" s="104" t="str">
        <f t="shared" si="13"/>
        <v>Šimon Kuczera</v>
      </c>
      <c r="BW5" s="102">
        <f t="shared" si="14"/>
        <v>15</v>
      </c>
      <c r="BX5" s="416"/>
      <c r="BY5" s="103" t="s">
        <v>1141</v>
      </c>
      <c r="BZ5" s="103" t="s">
        <v>831</v>
      </c>
      <c r="CA5" s="115" t="s">
        <v>1276</v>
      </c>
    </row>
    <row r="6" spans="1:79" ht="15" customHeight="1" thickTop="1" thickBot="1" x14ac:dyDescent="0.25">
      <c r="A6" s="429"/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6" t="str">
        <f ca="1">IFERROR(IF(VLOOKUP(G3,OFFSET($AG$2,,,COUNTIF($AG$2:$AG$50,"?*"),23),13,FALSE)&lt;&gt;0,VLOOKUP(G3,OFFSET($AG$2,,,COUNTIF($AG$2:$AG$50,"?*"),23),13,FALSE),"?"),"")</f>
        <v/>
      </c>
      <c r="H6" s="447"/>
      <c r="I6" s="448"/>
      <c r="J6" s="449" t="str">
        <f ca="1">IFERROR(IF(VLOOKUP(G3,OFFSET($AG$2,,,COUNTIF($AG$2:$AG$50,"?*"),23),14,FALSE)&lt;&gt;0,VLOOKUP(G3,OFFSET($AG$2,,,COUNTIF($AG$2:$AG$50,"?*"),23),14,FALSE),"?"),"")</f>
        <v/>
      </c>
      <c r="K6" s="450"/>
      <c r="L6" s="7" t="str">
        <f ca="1">IFERROR(IF(VLOOKUP(G3,OFFSET($AG$2,,,COUNTIF($AG$2:$AG$50,"?*"),23),7,FALSE)&lt;&gt;0,VLOOKUP(G3,OFFSET($AG$2,,,COUNTIF($AG$2:$AG$50,"?*"),23),7,FALSE),"?"),"")</f>
        <v/>
      </c>
      <c r="M6" s="429"/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723</v>
      </c>
      <c r="U6" s="102">
        <v>11</v>
      </c>
      <c r="V6" s="102">
        <v>10</v>
      </c>
      <c r="W6" s="102">
        <v>2</v>
      </c>
      <c r="X6" s="102">
        <v>0</v>
      </c>
      <c r="Y6" s="102">
        <v>3</v>
      </c>
      <c r="Z6" s="102">
        <v>13</v>
      </c>
      <c r="AA6" s="102">
        <v>4</v>
      </c>
      <c r="AB6" s="102">
        <v>-3</v>
      </c>
      <c r="AC6" s="102" t="str">
        <f t="shared" ca="1" si="0"/>
        <v>ANO</v>
      </c>
      <c r="AG6" s="121" t="s">
        <v>723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11 OZ, 13 (10+3), -3 ±</v>
      </c>
      <c r="AY6" s="129" t="str">
        <f t="shared" ca="1" si="2"/>
        <v>11 OZ, 13 (10+3)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7"/>
      <c r="BT6" s="104" t="s">
        <v>886</v>
      </c>
      <c r="BU6" s="103">
        <v>13</v>
      </c>
      <c r="BV6" s="104" t="str">
        <f t="shared" si="13"/>
        <v>Daniel Chatrný</v>
      </c>
      <c r="BW6" s="102">
        <f t="shared" si="14"/>
        <v>13</v>
      </c>
      <c r="BX6" s="416"/>
      <c r="BY6" s="103" t="s">
        <v>758</v>
      </c>
      <c r="BZ6" s="103" t="s">
        <v>832</v>
      </c>
      <c r="CA6" s="115" t="s">
        <v>1084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2" t="str">
        <f ca="1">IFERROR(IF(VLOOKUP(A6,OFFSET($AG$2,,,COUNTIF($AG$2:$AG$50,"?*"),23),2,FALSE)&lt;&gt;0,YEAR(VLOOKUP(A6,OFFSET($AG$2,,,COUNTIF($AG$2:$AG$50,"?*"),23),2,FALSE)),""),"")</f>
        <v/>
      </c>
      <c r="C7" s="423"/>
      <c r="D7" s="117" t="str">
        <f ca="1">IFERROR(VLOOKUP(A6,OFFSET($AG$2,,,COUNTIF($AG$2:$AG$50,"?*"),23),15,FALSE),"")</f>
        <v/>
      </c>
      <c r="E7" s="424" t="str">
        <f ca="1">IFERROR(VLOOKUP(A6,OFFSET($AG$2,,,COUNTIF($AG$2:$AG$50,"?*"),23),16,FALSE),"")</f>
        <v/>
      </c>
      <c r="F7" s="425"/>
      <c r="M7" s="4" t="str">
        <f ca="1">IFERROR(IF(VLOOKUP(M6,OFFSET($AG$2,,,COUNTIF($AG$2:$AG$50,"?*"),23),10,FALSE)&lt;&gt;0,VLOOKUP(M6,OFFSET($AG$2,,,COUNTIF($AG$2:$AG$50,"?*"),23),10,FALSE),""),"")</f>
        <v/>
      </c>
      <c r="N7" s="422" t="str">
        <f ca="1">IFERROR(IF(VLOOKUP(M6,OFFSET($AG$2,,,COUNTIF($AG$2:$AG$50,"?*"),23),2,FALSE)&lt;&gt;0,YEAR(VLOOKUP(M6,OFFSET($AG$2,,,COUNTIF($AG$2:$AG$50,"?*"),23),2,FALSE)),""),"")</f>
        <v/>
      </c>
      <c r="O7" s="423"/>
      <c r="P7" s="117" t="str">
        <f ca="1">IFERROR(VLOOKUP(M6,OFFSET($AG$2,,,COUNTIF($AG$2:$AG$50,"?*"),23),15,FALSE),"")</f>
        <v/>
      </c>
      <c r="Q7" s="424" t="str">
        <f ca="1">IFERROR(VLOOKUP(M6,OFFSET($AG$2,,,COUNTIF($AG$2:$AG$50,"?*"),23),16,FALSE),"")</f>
        <v/>
      </c>
      <c r="R7" s="425"/>
      <c r="S7" s="110" t="s">
        <v>489</v>
      </c>
      <c r="T7" s="102" t="s">
        <v>107</v>
      </c>
      <c r="U7" s="102">
        <v>11</v>
      </c>
      <c r="V7" s="102">
        <v>9</v>
      </c>
      <c r="W7" s="102">
        <v>0</v>
      </c>
      <c r="X7" s="102">
        <v>0</v>
      </c>
      <c r="Y7" s="102">
        <v>0</v>
      </c>
      <c r="Z7" s="102">
        <v>9</v>
      </c>
      <c r="AA7" s="102">
        <v>4</v>
      </c>
      <c r="AB7" s="102">
        <v>5</v>
      </c>
      <c r="AC7" s="102" t="str">
        <f t="shared" ca="1" si="0"/>
        <v>ANO</v>
      </c>
      <c r="AG7" s="121" t="s">
        <v>332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7" t="s">
        <v>40</v>
      </c>
      <c r="BT7" s="104" t="s">
        <v>734</v>
      </c>
      <c r="BU7" s="103" t="s">
        <v>1282</v>
      </c>
      <c r="BV7" s="104" t="str">
        <f t="shared" si="13"/>
        <v>Jan Binder</v>
      </c>
      <c r="BW7" s="112">
        <f t="shared" si="14"/>
        <v>4.97</v>
      </c>
      <c r="BX7" s="416" t="s">
        <v>193</v>
      </c>
      <c r="BY7" s="103" t="s">
        <v>1085</v>
      </c>
      <c r="BZ7" s="103" t="s">
        <v>859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/>
      </c>
      <c r="B8" s="459"/>
      <c r="C8" s="459"/>
      <c r="D8" s="460" t="str">
        <f ca="1">IFERROR(VLOOKUP(A6,OFFSET($AG$2,,,COUNTIF($AG$2:$AG$50,"?*"),23),19,FALSE),"")</f>
        <v/>
      </c>
      <c r="E8" s="460"/>
      <c r="F8" s="461"/>
      <c r="H8" s="462" t="s">
        <v>93</v>
      </c>
      <c r="I8" s="462"/>
      <c r="J8" s="462"/>
      <c r="K8" s="462"/>
      <c r="M8" s="458" t="str">
        <f ca="1">IFERROR(VLOOKUP(M6,OFFSET($AG$2,,,COUNTIF($AG$2:$AG$50,"?*"),23),18,FALSE),"")</f>
        <v/>
      </c>
      <c r="N8" s="459"/>
      <c r="O8" s="459"/>
      <c r="P8" s="460" t="str">
        <f ca="1">IFERROR(VLOOKUP(M6,OFFSET($AG$2,,,COUNTIF($AG$2:$AG$50,"?*"),23),19,FALSE),"")</f>
        <v/>
      </c>
      <c r="Q8" s="460"/>
      <c r="R8" s="461"/>
      <c r="S8" s="110" t="s">
        <v>732</v>
      </c>
      <c r="U8" s="102">
        <v>11</v>
      </c>
      <c r="V8" s="102">
        <v>2</v>
      </c>
      <c r="W8" s="102">
        <v>0</v>
      </c>
      <c r="X8" s="102">
        <v>0</v>
      </c>
      <c r="Y8" s="102">
        <v>6</v>
      </c>
      <c r="Z8" s="102">
        <v>8</v>
      </c>
      <c r="AA8" s="102">
        <v>0</v>
      </c>
      <c r="AB8" s="102">
        <v>-6</v>
      </c>
      <c r="AC8" s="102" t="str">
        <f t="shared" ca="1" si="0"/>
        <v>ANO</v>
      </c>
      <c r="AG8" s="121" t="s">
        <v>724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11 OZ, 2 (2+0), -7 ±</v>
      </c>
      <c r="AY8" s="129" t="str">
        <f t="shared" ca="1" si="2"/>
        <v>11 OZ, 2 (2+0)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7"/>
      <c r="BT8" s="104" t="s">
        <v>783</v>
      </c>
      <c r="BU8" s="103" t="s">
        <v>1283</v>
      </c>
      <c r="BV8" s="104" t="str">
        <f t="shared" si="13"/>
        <v>Martin Janík</v>
      </c>
      <c r="BW8" s="112">
        <f t="shared" si="14"/>
        <v>4.37</v>
      </c>
      <c r="BX8" s="416"/>
      <c r="BY8" s="103" t="s">
        <v>1160</v>
      </c>
      <c r="BZ8" s="103" t="s">
        <v>847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/>
      </c>
      <c r="B9" s="447"/>
      <c r="C9" s="448"/>
      <c r="D9" s="449" t="str">
        <f ca="1">IFERROR(IF(VLOOKUP(A6,OFFSET($AG$2,,,COUNTIF($AG$2:$AG$50,"?*"),23),14,FALSE)&lt;&gt;0,VLOOKUP(A6,OFFSET($AG$2,,,COUNTIF($AG$2:$AG$50,"?*"),23),14,FALSE),"?"),"")</f>
        <v/>
      </c>
      <c r="E9" s="450"/>
      <c r="F9" s="7" t="str">
        <f ca="1">IFERROR(IF(VLOOKUP(A6,OFFSET($AG$2,,,COUNTIF($AG$2:$AG$50,"?*"),23),7,FALSE)&lt;&gt;0,VLOOKUP(A6,OFFSET($AG$2,,,COUNTIF($AG$2:$AG$50,"?*"),23),7,FALSE),"?"),"")</f>
        <v/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/>
      </c>
      <c r="N9" s="447"/>
      <c r="O9" s="448"/>
      <c r="P9" s="449" t="str">
        <f ca="1">IFERROR(IF(VLOOKUP(M6,OFFSET($AG$2,,,COUNTIF($AG$2:$AG$50,"?*"),23),14,FALSE)&lt;&gt;0,VLOOKUP(M6,OFFSET($AG$2,,,COUNTIF($AG$2:$AG$50,"?*"),23),14,FALSE),"?"),"")</f>
        <v/>
      </c>
      <c r="Q9" s="4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733</v>
      </c>
      <c r="U9" s="102">
        <v>11</v>
      </c>
      <c r="V9" s="102">
        <v>3</v>
      </c>
      <c r="W9" s="102">
        <v>1</v>
      </c>
      <c r="X9" s="102">
        <v>0</v>
      </c>
      <c r="Y9" s="102">
        <v>3</v>
      </c>
      <c r="Z9" s="102">
        <v>6</v>
      </c>
      <c r="AA9" s="102">
        <v>2</v>
      </c>
      <c r="AB9" s="102">
        <v>16</v>
      </c>
      <c r="AC9" s="102" t="str">
        <f t="shared" ca="1" si="0"/>
        <v>ANO</v>
      </c>
      <c r="AG9" s="121" t="s">
        <v>733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11 OZ, 6 (3+3), +16 ±</v>
      </c>
      <c r="AY9" s="129" t="str">
        <f t="shared" ca="1" si="2"/>
        <v>11 OZ, 6 (3+3)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7"/>
      <c r="BT9" s="104" t="s">
        <v>784</v>
      </c>
      <c r="BU9" s="103" t="s">
        <v>1284</v>
      </c>
      <c r="BV9" s="104" t="str">
        <f t="shared" si="13"/>
        <v>Jan Klinka</v>
      </c>
      <c r="BW9" s="112">
        <f t="shared" si="14"/>
        <v>5.01</v>
      </c>
      <c r="BX9" s="416"/>
      <c r="BY9" s="103" t="s">
        <v>1143</v>
      </c>
      <c r="BZ9" s="103" t="s">
        <v>846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724</v>
      </c>
      <c r="U10" s="102">
        <v>11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4</v>
      </c>
      <c r="AB10" s="102">
        <v>-7</v>
      </c>
      <c r="AC10" s="102" t="str">
        <f t="shared" ca="1" si="0"/>
        <v>ANO</v>
      </c>
      <c r="AG10" s="121" t="s">
        <v>726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2 V, 1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7"/>
      <c r="BV10" s="104" t="str">
        <f t="shared" si="13"/>
        <v/>
      </c>
      <c r="BW10" s="112" t="str">
        <f t="shared" si="14"/>
        <v/>
      </c>
      <c r="BX10" s="416"/>
      <c r="BY10" s="103" t="s">
        <v>1161</v>
      </c>
      <c r="BZ10" s="103" t="s">
        <v>835</v>
      </c>
      <c r="CA10" s="115" t="s">
        <v>188</v>
      </c>
    </row>
    <row r="11" spans="1:79" ht="15" customHeight="1" thickTop="1" thickBot="1" x14ac:dyDescent="0.25">
      <c r="R11" s="13"/>
      <c r="S11" s="110" t="s">
        <v>728</v>
      </c>
      <c r="T11" s="102" t="s">
        <v>58</v>
      </c>
      <c r="U11" s="102">
        <v>7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0</v>
      </c>
      <c r="AB11" s="102">
        <v>-1</v>
      </c>
      <c r="AC11" s="102" t="str">
        <f t="shared" ca="1" si="0"/>
        <v>ANO</v>
      </c>
      <c r="AG11" s="121" t="s">
        <v>335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11 OZ, 15 (4+11), +18 ±</v>
      </c>
      <c r="AY11" s="129" t="str">
        <f t="shared" ca="1" si="2"/>
        <v>11 OZ, 15 (4+11)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7"/>
      <c r="BV11" s="104" t="str">
        <f t="shared" si="13"/>
        <v/>
      </c>
      <c r="BW11" s="112" t="str">
        <f t="shared" si="14"/>
        <v/>
      </c>
      <c r="BX11" s="416"/>
      <c r="BY11" s="103" t="s">
        <v>1224</v>
      </c>
      <c r="BZ11" s="103" t="s">
        <v>836</v>
      </c>
      <c r="CA11" s="115" t="s">
        <v>188</v>
      </c>
    </row>
    <row r="12" spans="1:79" ht="15" customHeight="1" thickTop="1" thickBot="1" x14ac:dyDescent="0.25">
      <c r="A12" s="429"/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3" t="s">
        <v>7</v>
      </c>
      <c r="I12" s="463"/>
      <c r="J12" s="463"/>
      <c r="K12" s="463"/>
      <c r="M12" s="429"/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731</v>
      </c>
      <c r="U12" s="102">
        <v>9</v>
      </c>
      <c r="V12" s="102">
        <v>1</v>
      </c>
      <c r="W12" s="102">
        <v>1</v>
      </c>
      <c r="X12" s="102">
        <v>0</v>
      </c>
      <c r="Y12" s="102">
        <v>0</v>
      </c>
      <c r="Z12" s="102">
        <v>1</v>
      </c>
      <c r="AA12" s="102">
        <v>2</v>
      </c>
      <c r="AB12" s="102">
        <v>-5</v>
      </c>
      <c r="AC12" s="102" t="str">
        <f t="shared" ca="1" si="0"/>
        <v>ANO</v>
      </c>
      <c r="AG12" s="121" t="s">
        <v>728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7" t="s">
        <v>37</v>
      </c>
      <c r="BT12" s="104" t="s">
        <v>1278</v>
      </c>
      <c r="BU12" s="103">
        <v>11</v>
      </c>
      <c r="BV12" s="104" t="str">
        <f t="shared" si="13"/>
        <v>Michal Sládek</v>
      </c>
      <c r="BW12" s="102">
        <f t="shared" si="14"/>
        <v>11</v>
      </c>
      <c r="BX12" s="120" t="s">
        <v>191</v>
      </c>
      <c r="BY12" s="100" t="s">
        <v>1277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2" t="str">
        <f ca="1">IFERROR(IF(VLOOKUP(A12,OFFSET($AG$2,,,COUNTIF($AG$2:$AG$50,"?*"),23),2,FALSE)&lt;&gt;0,YEAR(VLOOKUP(A12,OFFSET($AG$2,,,COUNTIF($AG$2:$AG$50,"?*"),23),2,FALSE)),""),"")</f>
        <v/>
      </c>
      <c r="C13" s="423"/>
      <c r="D13" s="117" t="str">
        <f ca="1">IFERROR(VLOOKUP(A12,OFFSET($AG$2,,,COUNTIF($AG$2:$AG$50,"?*"),23),15,FALSE),"")</f>
        <v/>
      </c>
      <c r="E13" s="424" t="str">
        <f ca="1">IFERROR(VLOOKUP(A12,OFFSET($AG$2,,,COUNTIF($AG$2:$AG$50,"?*"),23),16,FALSE),"")</f>
        <v/>
      </c>
      <c r="F13" s="425"/>
      <c r="M13" s="4" t="str">
        <f ca="1">IFERROR(IF(VLOOKUP(M12,OFFSET($AG$2,,,COUNTIF($AG$2:$AG$50,"?*"),23),10,FALSE)&lt;&gt;0,VLOOKUP(M12,OFFSET($AG$2,,,COUNTIF($AG$2:$AG$50,"?*"),23),10,FALSE),""),"")</f>
        <v/>
      </c>
      <c r="N13" s="422" t="str">
        <f ca="1">IFERROR(IF(VLOOKUP(M12,OFFSET($AG$2,,,COUNTIF($AG$2:$AG$50,"?*"),23),2,FALSE)&lt;&gt;0,YEAR(VLOOKUP(M12,OFFSET($AG$2,,,COUNTIF($AG$2:$AG$50,"?*"),23),2,FALSE)),""),"")</f>
        <v/>
      </c>
      <c r="O13" s="423"/>
      <c r="P13" s="117" t="str">
        <f ca="1">IFERROR(VLOOKUP(M12,OFFSET($AG$2,,,COUNTIF($AG$2:$AG$50,"?*"),23),15,FALSE),"")</f>
        <v/>
      </c>
      <c r="Q13" s="424" t="str">
        <f ca="1">IFERROR(VLOOKUP(M12,OFFSET($AG$2,,,COUNTIF($AG$2:$AG$50,"?*"),23),16,FALSE),"")</f>
        <v/>
      </c>
      <c r="R13" s="425"/>
      <c r="S13" s="110" t="s">
        <v>780</v>
      </c>
      <c r="T13" s="102" t="s">
        <v>107</v>
      </c>
      <c r="U13" s="102">
        <v>9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720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10 OZ, 20 (11+9), +19 ±</v>
      </c>
      <c r="AY13" s="129" t="str">
        <f t="shared" ca="1" si="2"/>
        <v>10 OZ, 20 (11+9)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7"/>
      <c r="BT13" s="104" t="s">
        <v>1285</v>
      </c>
      <c r="BU13" s="103">
        <v>11</v>
      </c>
      <c r="BV13" s="104" t="str">
        <f t="shared" si="13"/>
        <v>Wojciech Malajka</v>
      </c>
      <c r="BW13" s="102">
        <f t="shared" si="14"/>
        <v>11</v>
      </c>
    </row>
    <row r="14" spans="1:79" ht="15" customHeight="1" thickTop="1" thickBot="1" x14ac:dyDescent="0.25">
      <c r="A14" s="458" t="str">
        <f ca="1">IFERROR(VLOOKUP(A12,OFFSET($AG$2,,,COUNTIF($AG$2:$AG$50,"?*"),23),18,FALSE),"")</f>
        <v/>
      </c>
      <c r="B14" s="459"/>
      <c r="C14" s="459"/>
      <c r="D14" s="460" t="str">
        <f ca="1">IFERROR(VLOOKUP(A12,OFFSET($AG$2,,,COUNTIF($AG$2:$AG$50,"?*"),23),19,FALSE),"")</f>
        <v/>
      </c>
      <c r="E14" s="460"/>
      <c r="F14" s="461"/>
      <c r="G14" s="429"/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8" t="str">
        <f ca="1">IFERROR(VLOOKUP(M12,OFFSET($AG$2,,,COUNTIF($AG$2:$AG$50,"?*"),23),18,FALSE),"")</f>
        <v/>
      </c>
      <c r="N14" s="459"/>
      <c r="O14" s="459"/>
      <c r="P14" s="460" t="str">
        <f ca="1">IFERROR(VLOOKUP(M12,OFFSET($AG$2,,,COUNTIF($AG$2:$AG$50,"?*"),23),19,FALSE),"")</f>
        <v/>
      </c>
      <c r="Q14" s="460"/>
      <c r="R14" s="461"/>
      <c r="S14" s="110" t="s">
        <v>729</v>
      </c>
      <c r="U14" s="102">
        <v>11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-6</v>
      </c>
      <c r="AC14" s="102" t="str">
        <f t="shared" ca="1" si="0"/>
        <v>ANO</v>
      </c>
      <c r="AG14" s="121" t="s">
        <v>722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10 OZ, 21 (7+14), +20 ±</v>
      </c>
      <c r="AY14" s="129" t="str">
        <f t="shared" ca="1" si="2"/>
        <v>10 OZ, 21 (7+14)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7"/>
      <c r="BT14" s="104" t="s">
        <v>1286</v>
      </c>
      <c r="BU14" s="103">
        <v>10</v>
      </c>
      <c r="BV14" s="104" t="str">
        <f t="shared" si="13"/>
        <v>Daniel Chatrný</v>
      </c>
      <c r="BW14" s="102">
        <f t="shared" si="14"/>
        <v>10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/>
      </c>
      <c r="B15" s="447"/>
      <c r="C15" s="448"/>
      <c r="D15" s="449" t="str">
        <f ca="1">IFERROR(IF(VLOOKUP(A12,OFFSET($AG$2,,,COUNTIF($AG$2:$AG$50,"?*"),23),14,FALSE)&lt;&gt;0,VLOOKUP(A12,OFFSET($AG$2,,,COUNTIF($AG$2:$AG$50,"?*"),23),14,FALSE),"?"),"")</f>
        <v/>
      </c>
      <c r="E15" s="4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2" t="str">
        <f ca="1">IFERROR(IF(VLOOKUP(G14,OFFSET($AG$2,,,COUNTIF($AG$2:$AG$50,"?*"),23),2,FALSE)&lt;&gt;0,YEAR(VLOOKUP(G14,OFFSET($AG$2,,,COUNTIF($AG$2:$AG$50,"?*"),23),2,FALSE)),""),"")</f>
        <v/>
      </c>
      <c r="I15" s="423"/>
      <c r="J15" s="117" t="str">
        <f ca="1">IFERROR(VLOOKUP(G14,OFFSET($AG$2,,,COUNTIF($AG$2:$AG$50,"?*"),23),15,FALSE),"")</f>
        <v/>
      </c>
      <c r="K15" s="424" t="str">
        <f ca="1">IFERROR(VLOOKUP(G14,OFFSET($AG$2,,,COUNTIF($AG$2:$AG$50,"?*"),23),16,FALSE),"")</f>
        <v/>
      </c>
      <c r="L15" s="425"/>
      <c r="M15" s="446" t="str">
        <f ca="1">IFERROR(IF(VLOOKUP(M12,OFFSET($AG$2,,,COUNTIF($AG$2:$AG$50,"?*"),23),13,FALSE)&lt;&gt;0,VLOOKUP(M12,OFFSET($AG$2,,,COUNTIF($AG$2:$AG$50,"?*"),23),13,FALSE),"?"),"")</f>
        <v/>
      </c>
      <c r="N15" s="447"/>
      <c r="O15" s="448"/>
      <c r="P15" s="449" t="str">
        <f ca="1">IFERROR(IF(VLOOKUP(M12,OFFSET($AG$2,,,COUNTIF($AG$2:$AG$50,"?*"),23),14,FALSE)&lt;&gt;0,VLOOKUP(M12,OFFSET($AG$2,,,COUNTIF($AG$2:$AG$50,"?*"),23),14,FALSE),"?"),"")</f>
        <v/>
      </c>
      <c r="Q15" s="4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1273</v>
      </c>
      <c r="T15" s="102" t="s">
        <v>58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-3</v>
      </c>
      <c r="AC15" s="102" t="str">
        <f t="shared" ca="1" si="0"/>
        <v>NE</v>
      </c>
      <c r="AG15" s="121" t="s">
        <v>727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9 OZ, 0 (0+0), -4 ±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7"/>
      <c r="BT15" s="104" t="s">
        <v>1081</v>
      </c>
      <c r="BU15" s="103">
        <v>9</v>
      </c>
      <c r="BV15" s="104" t="str">
        <f t="shared" si="13"/>
        <v>Ladislav Gál</v>
      </c>
      <c r="BW15" s="102">
        <f t="shared" si="14"/>
        <v>9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/>
      </c>
      <c r="H16" s="459"/>
      <c r="I16" s="459"/>
      <c r="J16" s="460" t="str">
        <f ca="1">IFERROR(VLOOKUP(G14,OFFSET($AG$2,,,COUNTIF($AG$2:$AG$50,"?*"),23),19,FALSE),"")</f>
        <v/>
      </c>
      <c r="K16" s="460"/>
      <c r="L16" s="461"/>
      <c r="S16" s="110" t="s">
        <v>1274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721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11 OZ, 21 (11+10), +5 ±</v>
      </c>
      <c r="AY16" s="129" t="str">
        <f t="shared" ca="1" si="2"/>
        <v>11 OZ, 21 (11+10)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7"/>
      <c r="BT16" s="104" t="s">
        <v>1082</v>
      </c>
      <c r="BU16" s="103">
        <v>7</v>
      </c>
      <c r="BV16" s="104" t="str">
        <f t="shared" si="13"/>
        <v>Lukáš Pešat</v>
      </c>
      <c r="BW16" s="102">
        <f t="shared" si="14"/>
        <v>7</v>
      </c>
    </row>
    <row r="17" spans="1:75" ht="15" customHeight="1" thickTop="1" thickBot="1" x14ac:dyDescent="0.25">
      <c r="A17" s="429"/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6" t="str">
        <f ca="1">IFERROR(IF(VLOOKUP(G14,OFFSET($AG$2,,,COUNTIF($AG$2:$AG$50,"?*"),23),13,FALSE)&lt;&gt;0,VLOOKUP(G14,OFFSET($AG$2,,,COUNTIF($AG$2:$AG$50,"?*"),23),13,FALSE),"?"),"")</f>
        <v/>
      </c>
      <c r="H17" s="447"/>
      <c r="I17" s="448"/>
      <c r="J17" s="449" t="str">
        <f ca="1">IFERROR(IF(VLOOKUP(G14,OFFSET($AG$2,,,COUNTIF($AG$2:$AG$50,"?*"),23),14,FALSE)&lt;&gt;0,VLOOKUP(G14,OFFSET($AG$2,,,COUNTIF($AG$2:$AG$50,"?*"),23),14,FALSE),"?"),"")</f>
        <v/>
      </c>
      <c r="K17" s="450"/>
      <c r="L17" s="7" t="str">
        <f ca="1">IFERROR(IF(VLOOKUP(G14,OFFSET($AG$2,,,COUNTIF($AG$2:$AG$50,"?*"),23),7,FALSE)&lt;&gt;0,VLOOKUP(G14,OFFSET($AG$2,,,COUNTIF($AG$2:$AG$50,"?*"),23),7,FALSE),"?"),"")</f>
        <v/>
      </c>
      <c r="M17" s="429"/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332</v>
      </c>
      <c r="T17" s="102" t="s">
        <v>107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-6</v>
      </c>
      <c r="AC17" s="102" t="str">
        <f t="shared" ca="1" si="0"/>
        <v>ANO</v>
      </c>
      <c r="AG17" s="121" t="s">
        <v>732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11 OZ, 8 (2+6), -6 ±</v>
      </c>
      <c r="AY17" s="129" t="str">
        <f t="shared" ca="1" si="2"/>
        <v>11 OZ, 8 (2+6)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7" t="s">
        <v>41</v>
      </c>
      <c r="BT17" s="104" t="s">
        <v>734</v>
      </c>
      <c r="BU17" s="103">
        <v>4</v>
      </c>
      <c r="BV17" s="104" t="str">
        <f t="shared" si="13"/>
        <v>Jan Binder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2" t="str">
        <f ca="1">IFERROR(IF(VLOOKUP(A17,OFFSET($AG$2,,,COUNTIF($AG$2:$AG$50,"?*"),23),2,FALSE)&lt;&gt;0,YEAR(VLOOKUP(A17,OFFSET($AG$2,,,COUNTIF($AG$2:$AG$50,"?*"),23),2,FALSE)),""),"")</f>
        <v/>
      </c>
      <c r="C18" s="423"/>
      <c r="D18" s="149" t="str">
        <f ca="1">IFERROR(VLOOKUP(A17,OFFSET($AG$2,,,COUNTIF($AG$2:$AG$50,"?*"),23),15,FALSE),"")</f>
        <v/>
      </c>
      <c r="E18" s="424" t="str">
        <f ca="1">IFERROR(VLOOKUP(A17,OFFSET($AG$2,,,COUNTIF($AG$2:$AG$50,"?*"),23),16,FALSE),"")</f>
        <v/>
      </c>
      <c r="F18" s="425"/>
      <c r="M18" s="4" t="str">
        <f ca="1">IFERROR(IF(VLOOKUP(M17,OFFSET($AG$2,,,COUNTIF($AG$2:$AG$50,"?*"),23),10,FALSE)&lt;&gt;0,VLOOKUP(M17,OFFSET($AG$2,,,COUNTIF($AG$2:$AG$50,"?*"),23),10,FALSE),""),"")</f>
        <v/>
      </c>
      <c r="N18" s="422" t="str">
        <f ca="1">IFERROR(IF(VLOOKUP(M17,OFFSET($AG$2,,,COUNTIF($AG$2:$AG$50,"?*"),23),2,FALSE)&lt;&gt;0,YEAR(VLOOKUP(M17,OFFSET($AG$2,,,COUNTIF($AG$2:$AG$50,"?*"),23),2,FALSE)),""),"")</f>
        <v/>
      </c>
      <c r="O18" s="423"/>
      <c r="P18" s="117" t="str">
        <f ca="1">IFERROR(VLOOKUP(M17,OFFSET($AG$2,,,COUNTIF($AG$2:$AG$50,"?*"),23),15,FALSE),"")</f>
        <v/>
      </c>
      <c r="Q18" s="424" t="str">
        <f ca="1">IFERROR(VLOOKUP(M17,OFFSET($AG$2,,,COUNTIF($AG$2:$AG$50,"?*"),23),16,FALSE),"")</f>
        <v/>
      </c>
      <c r="R18" s="425"/>
      <c r="S18" s="110" t="s">
        <v>778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730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7"/>
      <c r="BT18" s="104" t="s">
        <v>735</v>
      </c>
      <c r="BU18" s="103">
        <v>2</v>
      </c>
      <c r="BV18" s="104" t="str">
        <f t="shared" si="13"/>
        <v>Jan Klinka</v>
      </c>
      <c r="BW18" s="102">
        <f t="shared" si="14"/>
        <v>2</v>
      </c>
    </row>
    <row r="19" spans="1:75" ht="15" customHeight="1" x14ac:dyDescent="0.2">
      <c r="A19" s="458" t="str">
        <f ca="1">IFERROR(VLOOKUP(A17,OFFSET($AG$2,,,COUNTIF($AG$2:$AG$50,"?*"),23),18,FALSE),"")</f>
        <v/>
      </c>
      <c r="B19" s="459"/>
      <c r="C19" s="459"/>
      <c r="D19" s="460" t="str">
        <f ca="1">IFERROR(VLOOKUP(A17,OFFSET($AG$2,,,COUNTIF($AG$2:$AG$50,"?*"),23),19,FALSE),"")</f>
        <v/>
      </c>
      <c r="E19" s="460"/>
      <c r="F19" s="461"/>
      <c r="H19" s="462" t="str">
        <f>H$8</f>
        <v>OST</v>
      </c>
      <c r="I19" s="462"/>
      <c r="J19" s="462"/>
      <c r="K19" s="462"/>
      <c r="M19" s="458" t="str">
        <f ca="1">IFERROR(VLOOKUP(M17,OFFSET($AG$2,,,COUNTIF($AG$2:$AG$50,"?*"),23),18,FALSE),"")</f>
        <v/>
      </c>
      <c r="N19" s="459"/>
      <c r="O19" s="459"/>
      <c r="P19" s="460" t="str">
        <f ca="1">IFERROR(VLOOKUP(M17,OFFSET($AG$2,,,COUNTIF($AG$2:$AG$50,"?*"),23),19,FALSE),"")</f>
        <v/>
      </c>
      <c r="Q19" s="460"/>
      <c r="R19" s="461"/>
      <c r="S19" s="110" t="s">
        <v>730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2</v>
      </c>
      <c r="AC19" s="102" t="str">
        <f t="shared" ca="1" si="0"/>
        <v>ANO</v>
      </c>
      <c r="AG19" s="121" t="s">
        <v>509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9 OZ, 0 (0+0), -8 ±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7"/>
      <c r="BT19" s="104" t="s">
        <v>782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/>
      </c>
      <c r="B20" s="447"/>
      <c r="C20" s="448"/>
      <c r="D20" s="449" t="str">
        <f ca="1">IFERROR(IF(VLOOKUP(A17,OFFSET($AG$2,,,COUNTIF($AG$2:$AG$50,"?*"),23),14,FALSE)&lt;&gt;0,VLOOKUP(A17,OFFSET($AG$2,,,COUNTIF($AG$2:$AG$50,"?*"),23),14,FALSE),"?"),"")</f>
        <v/>
      </c>
      <c r="E20" s="450"/>
      <c r="F20" s="7" t="str">
        <f ca="1">IFERROR(IF(VLOOKUP(A17,OFFSET($AG$2,,,COUNTIF($AG$2:$AG$50,"?*"),23),7,FALSE)&lt;&gt;0,VLOOKUP(A17,OFFSET($AG$2,,,COUNTIF($AG$2:$AG$50,"?*"),23),7,FALSE),"?"),"")</f>
        <v/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/>
      </c>
      <c r="N20" s="447"/>
      <c r="O20" s="448"/>
      <c r="P20" s="449" t="str">
        <f ca="1">IFERROR(IF(VLOOKUP(M17,OFFSET($AG$2,,,COUNTIF($AG$2:$AG$50,"?*"),23),14,FALSE)&lt;&gt;0,VLOOKUP(M17,OFFSET($AG$2,,,COUNTIF($AG$2:$AG$50,"?*"),23),14,FALSE),"?"),"")</f>
        <v/>
      </c>
      <c r="Q20" s="4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1083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41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779</v>
      </c>
      <c r="U21" s="102">
        <v>8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1</v>
      </c>
      <c r="AC21" s="102" t="str">
        <f t="shared" ca="1" si="0"/>
        <v>NE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41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726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417" t="s">
        <v>38</v>
      </c>
      <c r="BT22" s="104" t="s">
        <v>1287</v>
      </c>
      <c r="BU22" s="103">
        <v>14</v>
      </c>
      <c r="BV22" s="104" t="str">
        <f t="shared" si="13"/>
        <v>Lukáš Pešat</v>
      </c>
      <c r="BW22" s="102">
        <f t="shared" si="14"/>
        <v>14</v>
      </c>
    </row>
    <row r="23" spans="1:75" ht="15" customHeight="1" thickTop="1" thickBot="1" x14ac:dyDescent="0.25">
      <c r="A23" s="429"/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3" t="s">
        <v>13</v>
      </c>
      <c r="I23" s="463"/>
      <c r="J23" s="463"/>
      <c r="K23" s="463"/>
      <c r="M23" s="429"/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727</v>
      </c>
      <c r="U23" s="102">
        <v>9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4</v>
      </c>
      <c r="AB23" s="102">
        <v>-4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17"/>
      <c r="BT23" s="104" t="s">
        <v>1288</v>
      </c>
      <c r="BU23" s="103">
        <v>11</v>
      </c>
      <c r="BV23" s="104" t="str">
        <f t="shared" si="13"/>
        <v>Šimon Kuczera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2" t="str">
        <f ca="1">IFERROR(IF(VLOOKUP(A23,OFFSET($AG$2,,,COUNTIF($AG$2:$AG$50,"?*"),23),2,FALSE)&lt;&gt;0,YEAR(VLOOKUP(A23,OFFSET($AG$2,,,COUNTIF($AG$2:$AG$50,"?*"),23),2,FALSE)),""),"")</f>
        <v/>
      </c>
      <c r="C24" s="423"/>
      <c r="D24" s="117" t="str">
        <f ca="1">IFERROR(VLOOKUP(A23,OFFSET($AG$2,,,COUNTIF($AG$2:$AG$50,"?*"),23),15,FALSE),"")</f>
        <v/>
      </c>
      <c r="E24" s="424" t="str">
        <f ca="1">IFERROR(VLOOKUP(A23,OFFSET($AG$2,,,COUNTIF($AG$2:$AG$50,"?*"),23),16,FALSE),"")</f>
        <v/>
      </c>
      <c r="F24" s="425"/>
      <c r="M24" s="4" t="str">
        <f ca="1">IFERROR(IF(VLOOKUP(M23,OFFSET($AG$2,,,COUNTIF($AG$2:$AG$50,"?*"),23),10,FALSE)&lt;&gt;0,VLOOKUP(M23,OFFSET($AG$2,,,COUNTIF($AG$2:$AG$50,"?*"),23),10,FALSE),""),"")</f>
        <v/>
      </c>
      <c r="N24" s="422" t="str">
        <f ca="1">IFERROR(IF(VLOOKUP(M23,OFFSET($AG$2,,,COUNTIF($AG$2:$AG$50,"?*"),23),2,FALSE)&lt;&gt;0,YEAR(VLOOKUP(M23,OFFSET($AG$2,,,COUNTIF($AG$2:$AG$50,"?*"),23),2,FALSE)),""),"")</f>
        <v/>
      </c>
      <c r="O24" s="423"/>
      <c r="P24" s="117" t="str">
        <f ca="1">IFERROR(VLOOKUP(M23,OFFSET($AG$2,,,COUNTIF($AG$2:$AG$50,"?*"),23),15,FALSE),"")</f>
        <v/>
      </c>
      <c r="Q24" s="424" t="str">
        <f ca="1">IFERROR(VLOOKUP(M23,OFFSET($AG$2,,,COUNTIF($AG$2:$AG$50,"?*"),23),16,FALSE),"")</f>
        <v/>
      </c>
      <c r="R24" s="425"/>
      <c r="S24" s="110" t="s">
        <v>725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0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17"/>
      <c r="BT24" s="104" t="s">
        <v>1080</v>
      </c>
      <c r="BU24" s="103">
        <v>10</v>
      </c>
      <c r="BV24" s="104" t="str">
        <f t="shared" si="13"/>
        <v>Michal Sládek</v>
      </c>
      <c r="BW24" s="102">
        <f t="shared" si="14"/>
        <v>10</v>
      </c>
    </row>
    <row r="25" spans="1:75" ht="15" customHeight="1" thickTop="1" thickBot="1" x14ac:dyDescent="0.25">
      <c r="A25" s="458" t="str">
        <f ca="1">IFERROR(VLOOKUP(A23,OFFSET($AG$2,,,COUNTIF($AG$2:$AG$50,"?*"),23),18,FALSE),"")</f>
        <v/>
      </c>
      <c r="B25" s="459"/>
      <c r="C25" s="459"/>
      <c r="D25" s="460" t="str">
        <f ca="1">IFERROR(VLOOKUP(A23,OFFSET($AG$2,,,COUNTIF($AG$2:$AG$50,"?*"),23),19,FALSE),"")</f>
        <v/>
      </c>
      <c r="E25" s="460"/>
      <c r="F25" s="461"/>
      <c r="G25" s="429"/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8" t="str">
        <f ca="1">IFERROR(VLOOKUP(M23,OFFSET($AG$2,,,COUNTIF($AG$2:$AG$50,"?*"),23),18,FALSE),"")</f>
        <v/>
      </c>
      <c r="N25" s="459"/>
      <c r="O25" s="459"/>
      <c r="P25" s="460" t="str">
        <f ca="1">IFERROR(VLOOKUP(M23,OFFSET($AG$2,,,COUNTIF($AG$2:$AG$50,"?*"),23),19,FALSE),"")</f>
        <v/>
      </c>
      <c r="Q25" s="460"/>
      <c r="R25" s="461"/>
      <c r="S25" s="110" t="s">
        <v>509</v>
      </c>
      <c r="T25" s="102" t="s">
        <v>58</v>
      </c>
      <c r="U25" s="102">
        <v>9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-8</v>
      </c>
      <c r="AC25" s="102" t="str">
        <f t="shared" ca="1" si="0"/>
        <v>ANO</v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17"/>
      <c r="BT25" s="104" t="s">
        <v>785</v>
      </c>
      <c r="BU25" s="103">
        <v>9</v>
      </c>
      <c r="BV25" s="104" t="str">
        <f t="shared" si="13"/>
        <v>Wojciech Malajka</v>
      </c>
      <c r="BW25" s="102">
        <f t="shared" si="14"/>
        <v>9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/>
      </c>
      <c r="B26" s="447"/>
      <c r="C26" s="448"/>
      <c r="D26" s="449" t="str">
        <f ca="1">IFERROR(IF(VLOOKUP(A23,OFFSET($AG$2,,,COUNTIF($AG$2:$AG$50,"?*"),23),14,FALSE)&lt;&gt;0,VLOOKUP(A23,OFFSET($AG$2,,,COUNTIF($AG$2:$AG$50,"?*"),23),14,FALSE),"?"),"")</f>
        <v/>
      </c>
      <c r="E26" s="4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2" t="str">
        <f ca="1">IFERROR(IF(VLOOKUP(G25,OFFSET($AG$2,,,COUNTIF($AG$2:$AG$50,"?*"),23),2,FALSE)&lt;&gt;0,YEAR(VLOOKUP(G25,OFFSET($AG$2,,,COUNTIF($AG$2:$AG$50,"?*"),23),2,FALSE)),""),"")</f>
        <v/>
      </c>
      <c r="I26" s="423"/>
      <c r="J26" s="117" t="str">
        <f ca="1">IFERROR(VLOOKUP(G25,OFFSET($AG$2,,,COUNTIF($AG$2:$AG$50,"?*"),23),15,FALSE),"")</f>
        <v/>
      </c>
      <c r="K26" s="424" t="str">
        <f ca="1">IFERROR(VLOOKUP(G25,OFFSET($AG$2,,,COUNTIF($AG$2:$AG$50,"?*"),23),16,FALSE),"")</f>
        <v/>
      </c>
      <c r="L26" s="425"/>
      <c r="M26" s="446" t="str">
        <f ca="1">IFERROR(IF(VLOOKUP(M23,OFFSET($AG$2,,,COUNTIF($AG$2:$AG$50,"?*"),23),13,FALSE)&lt;&gt;0,VLOOKUP(M23,OFFSET($AG$2,,,COUNTIF($AG$2:$AG$50,"?*"),23),13,FALSE),"?"),"")</f>
        <v/>
      </c>
      <c r="N26" s="447"/>
      <c r="O26" s="448"/>
      <c r="P26" s="449" t="str">
        <f ca="1">IFERROR(IF(VLOOKUP(M23,OFFSET($AG$2,,,COUNTIF($AG$2:$AG$50,"?*"),23),14,FALSE)&lt;&gt;0,VLOOKUP(M23,OFFSET($AG$2,,,COUNTIF($AG$2:$AG$50,"?*"),23),14,FALSE),"?"),"")</f>
        <v/>
      </c>
      <c r="Q26" s="45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781</v>
      </c>
      <c r="U26" s="102">
        <v>9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1</v>
      </c>
      <c r="AC26" s="102" t="str">
        <f t="shared" ca="1" si="0"/>
        <v>NE</v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17"/>
      <c r="BT26" s="104" t="s">
        <v>1289</v>
      </c>
      <c r="BU26" s="103">
        <v>6</v>
      </c>
      <c r="BV26" s="104" t="str">
        <f t="shared" si="13"/>
        <v>Šimon Soukup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/>
      </c>
      <c r="H27" s="459"/>
      <c r="I27" s="459"/>
      <c r="J27" s="460" t="str">
        <f ca="1">IFERROR(VLOOKUP(G25,OFFSET($AG$2,,,COUNTIF($AG$2:$AG$50,"?*"),23),19,FALSE),"")</f>
        <v/>
      </c>
      <c r="K27" s="460"/>
      <c r="L27" s="461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7" t="s">
        <v>39</v>
      </c>
      <c r="BT27" s="104" t="s">
        <v>1290</v>
      </c>
      <c r="BU27" s="103">
        <v>4</v>
      </c>
      <c r="BV27" s="104" t="str">
        <f t="shared" si="13"/>
        <v>Daniel Chatrný</v>
      </c>
      <c r="BW27" s="102">
        <f t="shared" si="14"/>
        <v>4</v>
      </c>
    </row>
    <row r="28" spans="1:75" ht="15" customHeight="1" thickTop="1" thickBot="1" x14ac:dyDescent="0.25">
      <c r="A28" s="429"/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6" t="str">
        <f ca="1">IFERROR(IF(VLOOKUP(G25,OFFSET($AG$2,,,COUNTIF($AG$2:$AG$50,"?*"),23),13,FALSE)&lt;&gt;0,VLOOKUP(G25,OFFSET($AG$2,,,COUNTIF($AG$2:$AG$50,"?*"),23),13,FALSE),"?"),"")</f>
        <v/>
      </c>
      <c r="H28" s="447"/>
      <c r="I28" s="448"/>
      <c r="J28" s="449" t="str">
        <f ca="1">IFERROR(IF(VLOOKUP(G25,OFFSET($AG$2,,,COUNTIF($AG$2:$AG$50,"?*"),23),14,FALSE)&lt;&gt;0,VLOOKUP(G25,OFFSET($AG$2,,,COUNTIF($AG$2:$AG$50,"?*"),23),14,FALSE),"?"),"")</f>
        <v/>
      </c>
      <c r="K28" s="450"/>
      <c r="L28" s="7" t="str">
        <f ca="1">IFERROR(IF(VLOOKUP(G25,OFFSET($AG$2,,,COUNTIF($AG$2:$AG$50,"?*"),23),7,FALSE)&lt;&gt;0,VLOOKUP(G25,OFFSET($AG$2,,,COUNTIF($AG$2:$AG$50,"?*"),23),7,FALSE),"?"),"")</f>
        <v/>
      </c>
      <c r="M28" s="429"/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7"/>
      <c r="BT28" s="104" t="s">
        <v>1291</v>
      </c>
      <c r="BU28" s="103">
        <v>4</v>
      </c>
      <c r="BV28" s="104" t="str">
        <f t="shared" si="13"/>
        <v>Denis Zimmer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2" t="str">
        <f ca="1">IFERROR(IF(VLOOKUP(A28,OFFSET($AG$2,,,COUNTIF($AG$2:$AG$50,"?*"),23),2,FALSE)&lt;&gt;0,YEAR(VLOOKUP(A28,OFFSET($AG$2,,,COUNTIF($AG$2:$AG$50,"?*"),23),2,FALSE)),""),"")</f>
        <v/>
      </c>
      <c r="C29" s="423"/>
      <c r="D29" s="117" t="str">
        <f ca="1">IFERROR(VLOOKUP(A28,OFFSET($AG$2,,,COUNTIF($AG$2:$AG$50,"?*"),23),15,FALSE),"")</f>
        <v/>
      </c>
      <c r="E29" s="424" t="str">
        <f ca="1">IFERROR(VLOOKUP(A28,OFFSET($AG$2,,,COUNTIF($AG$2:$AG$50,"?*"),23),16,FALSE),"")</f>
        <v/>
      </c>
      <c r="F29" s="425"/>
      <c r="M29" s="4" t="str">
        <f ca="1">IFERROR(IF(VLOOKUP(M28,OFFSET($AG$2,,,COUNTIF($AG$2:$AG$50,"?*"),23),10,FALSE)&lt;&gt;0,VLOOKUP(M28,OFFSET($AG$2,,,COUNTIF($AG$2:$AG$50,"?*"),23),10,FALSE),""),"")</f>
        <v/>
      </c>
      <c r="N29" s="422" t="str">
        <f ca="1">IFERROR(IF(VLOOKUP(M28,OFFSET($AG$2,,,COUNTIF($AG$2:$AG$50,"?*"),23),2,FALSE)&lt;&gt;0,YEAR(VLOOKUP(M28,OFFSET($AG$2,,,COUNTIF($AG$2:$AG$50,"?*"),23),2,FALSE)),""),"")</f>
        <v/>
      </c>
      <c r="O29" s="423"/>
      <c r="P29" s="117" t="str">
        <f ca="1">IFERROR(VLOOKUP(M28,OFFSET($AG$2,,,COUNTIF($AG$2:$AG$50,"?*"),23),15,FALSE),"")</f>
        <v/>
      </c>
      <c r="Q29" s="424" t="str">
        <f ca="1">IFERROR(VLOOKUP(M28,OFFSET($AG$2,,,COUNTIF($AG$2:$AG$50,"?*"),23),16,FALSE),"")</f>
        <v/>
      </c>
      <c r="R29" s="425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7"/>
      <c r="BT29" s="104" t="s">
        <v>1292</v>
      </c>
      <c r="BU29" s="103">
        <v>4</v>
      </c>
      <c r="BV29" s="104" t="str">
        <f t="shared" si="13"/>
        <v>Ladislav Gál</v>
      </c>
      <c r="BW29" s="102">
        <f t="shared" si="14"/>
        <v>4</v>
      </c>
    </row>
    <row r="30" spans="1:75" ht="15" customHeight="1" x14ac:dyDescent="0.2">
      <c r="A30" s="458" t="str">
        <f ca="1">IFERROR(VLOOKUP(A28,OFFSET($AG$2,,,COUNTIF($AG$2:$AG$50,"?*"),23),18,FALSE),"")</f>
        <v/>
      </c>
      <c r="B30" s="459"/>
      <c r="C30" s="459"/>
      <c r="D30" s="460" t="str">
        <f ca="1">IFERROR(VLOOKUP(A28,OFFSET($AG$2,,,COUNTIF($AG$2:$AG$50,"?*"),23),19,FALSE),"")</f>
        <v/>
      </c>
      <c r="E30" s="460"/>
      <c r="F30" s="461"/>
      <c r="H30" s="462" t="str">
        <f>H$8</f>
        <v>OST</v>
      </c>
      <c r="I30" s="462"/>
      <c r="J30" s="462"/>
      <c r="K30" s="462"/>
      <c r="M30" s="458" t="str">
        <f ca="1">IFERROR(VLOOKUP(M28,OFFSET($AG$2,,,COUNTIF($AG$2:$AG$50,"?*"),23),18,FALSE),"")</f>
        <v/>
      </c>
      <c r="N30" s="459"/>
      <c r="O30" s="459"/>
      <c r="P30" s="460" t="str">
        <f ca="1">IFERROR(VLOOKUP(M28,OFFSET($AG$2,,,COUNTIF($AG$2:$AG$50,"?*"),23),19,FALSE),"")</f>
        <v/>
      </c>
      <c r="Q30" s="460"/>
      <c r="R30" s="46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7"/>
      <c r="BT30" s="104" t="s">
        <v>1293</v>
      </c>
      <c r="BU30" s="103">
        <v>4</v>
      </c>
      <c r="BV30" s="104" t="str">
        <f t="shared" si="13"/>
        <v>Marcel Jakubec</v>
      </c>
      <c r="BW30" s="102">
        <f t="shared" si="14"/>
        <v>4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/>
      </c>
      <c r="B31" s="447"/>
      <c r="C31" s="448"/>
      <c r="D31" s="449" t="str">
        <f ca="1">IFERROR(IF(VLOOKUP(A28,OFFSET($AG$2,,,COUNTIF($AG$2:$AG$50,"?*"),23),14,FALSE)&lt;&gt;0,VLOOKUP(A28,OFFSET($AG$2,,,COUNTIF($AG$2:$AG$50,"?*"),23),14,FALSE),"?"),"")</f>
        <v/>
      </c>
      <c r="E31" s="450"/>
      <c r="F31" s="7" t="str">
        <f ca="1">IFERROR(IF(VLOOKUP(A28,OFFSET($AG$2,,,COUNTIF($AG$2:$AG$50,"?*"),23),7,FALSE)&lt;&gt;0,VLOOKUP(A28,OFFSET($AG$2,,,COUNTIF($AG$2:$AG$50,"?*"),23),7,FALSE),"?"),"")</f>
        <v/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/>
      </c>
      <c r="N31" s="447"/>
      <c r="O31" s="448"/>
      <c r="P31" s="449" t="str">
        <f ca="1">IFERROR(IF(VLOOKUP(M28,OFFSET($AG$2,,,COUNTIF($AG$2:$AG$50,"?*"),23),14,FALSE)&lt;&gt;0,VLOOKUP(M28,OFFSET($AG$2,,,COUNTIF($AG$2:$AG$50,"?*"),23),14,FALSE),"?"),"")</f>
        <v/>
      </c>
      <c r="Q31" s="4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7"/>
      <c r="BT31" s="104" t="s">
        <v>1294</v>
      </c>
      <c r="BU31" s="103">
        <v>4</v>
      </c>
      <c r="BV31" s="104" t="str">
        <f t="shared" si="13"/>
        <v>Vojtěch Repček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9"/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7" t="s">
        <v>16</v>
      </c>
      <c r="J34" s="429"/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2" t="str">
        <f ca="1">IFERROR(IF(VLOOKUP(A34,OFFSET($AG$2,,,COUNTIF($AG$2:$AG$50,"?*"),23),2,FALSE)&lt;&gt;0,YEAR(VLOOKUP(A34,OFFSET($AG$2,,,COUNTIF($AG$2:$AG$50,"?*"),23),2,FALSE)),""),"")</f>
        <v/>
      </c>
      <c r="C35" s="423"/>
      <c r="D35" s="117" t="str">
        <f ca="1">IFERROR(VLOOKUP(A34,OFFSET($AG$2,,,COUNTIF($AG$2:$AG$50,"?*"),23),15,FALSE),"")</f>
        <v/>
      </c>
      <c r="E35" s="424" t="str">
        <f ca="1">IFERROR(VLOOKUP(A34,OFFSET($AG$2,,,COUNTIF($AG$2:$AG$50,"?*"),23),16,FALSE),"")</f>
        <v/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/>
      </c>
      <c r="K35" s="423" t="str">
        <f ca="1">IFERROR(IF(VLOOKUP(J34,OFFSET($AG$2,,,COUNTIF($AG$2:$AG$50,"?*"),23),2,FALSE)&lt;&gt;0,YEAR(VLOOKUP(J34,OFFSET($AG$2,,,COUNTIF($AG$2:$AG$50,"?*"),23),2,FALSE)),""),"")</f>
        <v/>
      </c>
      <c r="L35" s="431"/>
      <c r="M35" s="118" t="str">
        <f ca="1">IFERROR(VLOOKUP(J34,OFFSET($AG$2,,,COUNTIF($AG$2:$AG$50,"?*"),23),15,FALSE),"")</f>
        <v/>
      </c>
      <c r="N35" s="431" t="str">
        <f ca="1">IFERROR(VLOOKUP(J34,OFFSET($AG$2,,,COUNTIF($AG$2:$AG$50,"?*"),23),16,FALSE),"")</f>
        <v/>
      </c>
      <c r="O35" s="431"/>
      <c r="P35" s="431" t="str">
        <f ca="1">IFERROR(VLOOKUP(J34,OFFSET($AG$2,,,COUNTIF($AG$2:$AG$50,"?*"),23),18,FALSE),"")</f>
        <v/>
      </c>
      <c r="Q35" s="431"/>
      <c r="R35" s="43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6" t="str">
        <f ca="1">IFERROR(VLOOKUP(A34,OFFSET($AG$2,,,COUNTIF($AG$2:$AG$50,"?*"),23),18,FALSE),"")</f>
        <v/>
      </c>
      <c r="C36" s="426"/>
      <c r="D36" s="427" t="str">
        <f ca="1">IFERROR(VLOOKUP(A34,OFFSET($S$45,,,COUNTIF($S$45:$S$50,"?*"),14),5,FALSE),"")</f>
        <v/>
      </c>
      <c r="E36" s="428"/>
      <c r="F36" s="17" t="str">
        <f ca="1">IFERROR(VLOOKUP(A34,OFFSET($S$45,,,COUNTIF($S$45:$S$50,"?*"),14),14,FALSE),"")</f>
        <v/>
      </c>
      <c r="H36" s="457"/>
      <c r="J36" s="18" t="str">
        <f ca="1">IFERROR(IF(VLOOKUP(J34,OFFSET($AG$2,,,COUNTIF($AG$2:$AG$50,"?*"),23),7,FALSE)&lt;&gt;0,VLOOKUP(J34,OFFSET($AG$2,,,COUNTIF($AG$2:$AG$50,"?*"),23),7,FALSE),"?"),"")</f>
        <v/>
      </c>
      <c r="K36" s="433" t="str">
        <f ca="1">IFERROR(VLOOKUP(J34,OFFSET($AG$2,,,COUNTIF($AG$2:$AG$50,"?*"),23),19,FALSE),"")</f>
        <v/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/>
      </c>
      <c r="O36" s="434"/>
      <c r="P36" s="434"/>
      <c r="Q36" s="433" t="str">
        <f ca="1">IFERROR(IF(VLOOKUP(J34,OFFSET($AG$2,,,COUNTIF($AG$2:$AG$50,"?*"),23),14,FALSE)&lt;&gt;0,VLOOKUP(J34,OFFSET($AG$2,,,COUNTIF($AG$2:$AG$50,"?*"),23),14,FALSE),"?"),"")</f>
        <v/>
      </c>
      <c r="R36" s="43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1" t="str">
        <f ca="1">IFERROR(VLOOKUP(A34,OFFSET($S$45,,,COUNTIF($S$45:$S$50,"?*"),14),3,FALSE),"")</f>
        <v/>
      </c>
      <c r="B37" s="452"/>
      <c r="C37" s="453" t="str">
        <f ca="1">IFERROR(VLOOKUP(A34,OFFSET($S$45,,,COUNTIF($S$45:$S$50,"?*"),14),13,FALSE),"")</f>
        <v/>
      </c>
      <c r="D37" s="454"/>
      <c r="E37" s="455" t="str">
        <f ca="1">IFERROR(VLOOKUP(A34,OFFSET($AG$2,,,COUNTIF($AG$2:$AG$50,"?*"),23),19,FALSE),"")</f>
        <v/>
      </c>
      <c r="F37" s="456"/>
      <c r="H37" s="45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/>
      </c>
      <c r="B38" s="447"/>
      <c r="C38" s="448"/>
      <c r="D38" s="449" t="str">
        <f ca="1">IFERROR(IF(VLOOKUP(A34,OFFSET($AG$2,,,COUNTIF($AG$2:$AG$50,"?*"),23),14,FALSE)&lt;&gt;0,VLOOKUP(A34,OFFSET($AG$2,,,COUNTIF($AG$2:$AG$50,"?*"),23),14,FALSE),"?"),"")</f>
        <v/>
      </c>
      <c r="E38" s="450"/>
      <c r="F38" s="19" t="str">
        <f ca="1">IFERROR(VLOOKUP(A34,OFFSET($S$45,,,COUNTIF($S$45:$S$50,"?*"),14),6,FALSE),"")</f>
        <v/>
      </c>
      <c r="H38" s="457"/>
      <c r="J38" s="429"/>
      <c r="K38" s="430"/>
      <c r="L38" s="430"/>
      <c r="M38" s="430"/>
      <c r="N38" s="430"/>
      <c r="O38" s="430"/>
      <c r="P38" s="4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/>
      </c>
      <c r="K39" s="423" t="str">
        <f ca="1">IFERROR(IF(VLOOKUP(J38,OFFSET($AG$2,,,COUNTIF($AG$2:$AG$50,"?*"),23),2,FALSE)&lt;&gt;0,YEAR(VLOOKUP(J38,OFFSET($AG$2,,,COUNTIF($AG$2:$AG$50,"?*"),23),2,FALSE)),""),"")</f>
        <v/>
      </c>
      <c r="L39" s="431"/>
      <c r="M39" s="150" t="str">
        <f ca="1">IFERROR(VLOOKUP(J38,OFFSET($AG$2,,,COUNTIF($AG$2:$AG$50,"?*"),23),15,FALSE),"")</f>
        <v/>
      </c>
      <c r="N39" s="431" t="str">
        <f ca="1">IFERROR(VLOOKUP(J38,OFFSET($AG$2,,,COUNTIF($AG$2:$AG$50,"?*"),23),16,FALSE),"")</f>
        <v/>
      </c>
      <c r="O39" s="431"/>
      <c r="P39" s="431" t="str">
        <f ca="1">IFERROR(VLOOKUP(J38,OFFSET($AG$2,,,COUNTIF($AG$2:$AG$50,"?*"),23),18,FALSE),"")</f>
        <v/>
      </c>
      <c r="Q39" s="431"/>
      <c r="R39" s="43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9"/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7"/>
      <c r="J40" s="18" t="str">
        <f ca="1">IFERROR(IF(VLOOKUP(J38,OFFSET($AG$2,,,COUNTIF($AG$2:$AG$50,"?*"),23),7,FALSE)&lt;&gt;0,VLOOKUP(J38,OFFSET($AG$2,,,COUNTIF($AG$2:$AG$50,"?*"),23),7,FALSE),"?"),"")</f>
        <v/>
      </c>
      <c r="K40" s="433" t="str">
        <f ca="1">IFERROR(VLOOKUP(J38,OFFSET($AG$2,,,COUNTIF($AG$2:$AG$50,"?*"),23),19,FALSE),"")</f>
        <v/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/>
      </c>
      <c r="O40" s="434"/>
      <c r="P40" s="434"/>
      <c r="Q40" s="433" t="str">
        <f ca="1">IFERROR(IF(VLOOKUP(J38,OFFSET($AG$2,,,COUNTIF($AG$2:$AG$50,"?*"),23),14,FALSE)&lt;&gt;0,VLOOKUP(J38,OFFSET($AG$2,,,COUNTIF($AG$2:$AG$50,"?*"),23),14,FALSE),"?"),"")</f>
        <v/>
      </c>
      <c r="R40" s="43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2" t="str">
        <f ca="1">IFERROR(IF(VLOOKUP(A40,OFFSET($AG$2,,,COUNTIF($AG$2:$AG$50,"?*"),23),2,FALSE)&lt;&gt;0,YEAR(VLOOKUP(A40,OFFSET($AG$2,,,COUNTIF($AG$2:$AG$50,"?*"),23),2,FALSE)),""),"")</f>
        <v/>
      </c>
      <c r="C41" s="423"/>
      <c r="D41" s="117" t="str">
        <f ca="1">IFERROR(VLOOKUP(A40,OFFSET($AG$2,,,COUNTIF($AG$2:$AG$50,"?*"),23),15,FALSE),"")</f>
        <v/>
      </c>
      <c r="E41" s="424" t="str">
        <f ca="1">IFERROR(VLOOKUP(A40,OFFSET($AG$2,,,COUNTIF($AG$2:$AG$50,"?*"),23),16,FALSE),"")</f>
        <v/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6" t="str">
        <f ca="1">IFERROR(VLOOKUP(A40,OFFSET($AG$2,,,COUNTIF($AG$2:$AG$50,"?*"),23),18,FALSE),"")</f>
        <v/>
      </c>
      <c r="C42" s="426"/>
      <c r="D42" s="427" t="str">
        <f ca="1">IFERROR(VLOOKUP(A40,OFFSET($S$45,,,COUNTIF($S$45:$S$50,"?*"),14),5,FALSE),"")</f>
        <v/>
      </c>
      <c r="E42" s="428"/>
      <c r="F42" s="17" t="str">
        <f ca="1">IFERROR(VLOOKUP(A40,OFFSET($S$45,,,COUNTIF($S$45:$S$50,"?*"),14),14,FALSE),"")</f>
        <v/>
      </c>
      <c r="H42" s="457"/>
      <c r="J42" s="429"/>
      <c r="K42" s="430"/>
      <c r="L42" s="430"/>
      <c r="M42" s="430"/>
      <c r="N42" s="430"/>
      <c r="O42" s="430"/>
      <c r="P42" s="4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1" t="str">
        <f ca="1">IFERROR(VLOOKUP(A40,OFFSET($S$45,,,COUNTIF($S$45:$S$50,"?*"),14),3,FALSE),"")</f>
        <v/>
      </c>
      <c r="B43" s="452"/>
      <c r="C43" s="453" t="str">
        <f ca="1">IFERROR(VLOOKUP(A40,OFFSET($S$45,,,COUNTIF($S$45:$S$50,"?*"),14),13,FALSE),"")</f>
        <v/>
      </c>
      <c r="D43" s="454"/>
      <c r="E43" s="455" t="str">
        <f ca="1">IFERROR(VLOOKUP(A40,OFFSET($AG$2,,,COUNTIF($AG$2:$AG$50,"?*"),23),19,FALSE),"")</f>
        <v/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/>
      </c>
      <c r="K43" s="423" t="str">
        <f ca="1">IFERROR(IF(VLOOKUP(J42,OFFSET($AG$2,,,COUNTIF($AG$2:$AG$50,"?*"),23),2,FALSE)&lt;&gt;0,YEAR(VLOOKUP(J42,OFFSET($AG$2,,,COUNTIF($AG$2:$AG$50,"?*"),23),2,FALSE)),""),"")</f>
        <v/>
      </c>
      <c r="L43" s="431"/>
      <c r="M43" s="150" t="str">
        <f ca="1">IFERROR(VLOOKUP(J42,OFFSET($AG$2,,,COUNTIF($AG$2:$AG$50,"?*"),23),15,FALSE),"")</f>
        <v/>
      </c>
      <c r="N43" s="431" t="str">
        <f ca="1">IFERROR(VLOOKUP(J42,OFFSET($AG$2,,,COUNTIF($AG$2:$AG$50,"?*"),23),16,FALSE),"")</f>
        <v/>
      </c>
      <c r="O43" s="431"/>
      <c r="P43" s="431" t="str">
        <f ca="1">IFERROR(VLOOKUP(J42,OFFSET($AG$2,,,COUNTIF($AG$2:$AG$50,"?*"),23),18,FALSE),"")</f>
        <v/>
      </c>
      <c r="Q43" s="431"/>
      <c r="R43" s="432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/>
      </c>
      <c r="B44" s="447"/>
      <c r="C44" s="448"/>
      <c r="D44" s="449" t="str">
        <f ca="1">IFERROR(IF(VLOOKUP(A40,OFFSET($AG$2,,,COUNTIF($AG$2:$AG$50,"?*"),23),14,FALSE)&lt;&gt;0,VLOOKUP(A40,OFFSET($AG$2,,,COUNTIF($AG$2:$AG$50,"?*"),23),14,FALSE),"?"),"")</f>
        <v/>
      </c>
      <c r="E44" s="450"/>
      <c r="F44" s="19" t="str">
        <f ca="1">IFERROR(VLOOKUP(A40,OFFSET($S$45,,,COUNTIF($S$45:$S$50,"?*"),14),6,FALSE),"")</f>
        <v/>
      </c>
      <c r="H44" s="457"/>
      <c r="J44" s="18" t="str">
        <f ca="1">IFERROR(IF(VLOOKUP(J42,OFFSET($AG$2,,,COUNTIF($AG$2:$AG$50,"?*"),23),7,FALSE)&lt;&gt;0,VLOOKUP(J42,OFFSET($AG$2,,,COUNTIF($AG$2:$AG$50,"?*"),23),7,FALSE),"?"),"")</f>
        <v/>
      </c>
      <c r="K44" s="433" t="str">
        <f ca="1">IFERROR(VLOOKUP(J42,OFFSET($AG$2,,,COUNTIF($AG$2:$AG$50,"?*"),23),19,FALSE),"")</f>
        <v/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/>
      </c>
      <c r="O44" s="434"/>
      <c r="P44" s="434"/>
      <c r="Q44" s="433" t="str">
        <f ca="1">IFERROR(IF(VLOOKUP(J42,OFFSET($AG$2,,,COUNTIF($AG$2:$AG$50,"?*"),23),14,FALSE)&lt;&gt;0,VLOOKUP(J42,OFFSET($AG$2,,,COUNTIF($AG$2:$AG$50,"?*"),23),14,FALSE),"?"),"")</f>
        <v/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725</v>
      </c>
      <c r="T45" s="102">
        <v>9</v>
      </c>
      <c r="U45" s="112">
        <v>494.77</v>
      </c>
      <c r="V45" s="102">
        <v>4</v>
      </c>
      <c r="W45" s="102">
        <v>41</v>
      </c>
      <c r="X45" s="102">
        <v>0</v>
      </c>
      <c r="Y45" s="102">
        <v>186</v>
      </c>
      <c r="Z45" s="102">
        <v>0</v>
      </c>
      <c r="AA45" s="102">
        <v>5</v>
      </c>
      <c r="AB45" s="102">
        <v>145</v>
      </c>
      <c r="AC45" s="102">
        <v>0</v>
      </c>
      <c r="AD45" s="102">
        <v>2</v>
      </c>
      <c r="AE45" s="112">
        <f>IF(S45&lt;&gt;"",IF(T45&gt;0,W45/(U45/60),0),"")</f>
        <v>4.9720071952624458</v>
      </c>
      <c r="AF45" s="112">
        <f>IF(S45&lt;&gt;"",IF(Y45&gt;0,(AB45/Y45)*100,"-"),"")</f>
        <v>77.956989247311824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726</v>
      </c>
      <c r="T46" s="102">
        <v>3</v>
      </c>
      <c r="U46" s="112">
        <v>95.74</v>
      </c>
      <c r="V46" s="102">
        <v>2</v>
      </c>
      <c r="W46" s="102">
        <v>8</v>
      </c>
      <c r="X46" s="102">
        <v>0</v>
      </c>
      <c r="Y46" s="102">
        <v>37</v>
      </c>
      <c r="Z46" s="102">
        <v>0</v>
      </c>
      <c r="AA46" s="102">
        <v>1</v>
      </c>
      <c r="AB46" s="102">
        <v>29</v>
      </c>
      <c r="AC46" s="102">
        <v>0</v>
      </c>
      <c r="AD46" s="102">
        <v>0</v>
      </c>
      <c r="AE46" s="112">
        <f t="shared" ref="AE46:AE50" si="25">IF(S46&lt;&gt;"",IF(T46&gt;0,W46/(U46/60),0),"")</f>
        <v>5.0135784416127009</v>
      </c>
      <c r="AF46" s="112">
        <f t="shared" ref="AF46:AF50" si="26">IF(S46&lt;&gt;"",IF(Y46&gt;0,(AB46/Y46)*100,"-"),"")</f>
        <v>78.378378378378372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8"/>
      <c r="B47" s="419"/>
      <c r="C47" s="419"/>
      <c r="D47" s="419"/>
      <c r="E47" s="420" t="str">
        <f ca="1">IFERROR(VLOOKUP(A47,OFFSET($BN$2,,,COUNTIF($BN$2:$BN$11,"?*"),5),3,FALSE),"")</f>
        <v/>
      </c>
      <c r="F47" s="420"/>
      <c r="G47" s="420"/>
      <c r="H47" s="420"/>
      <c r="I47" s="421"/>
      <c r="J47" s="418"/>
      <c r="K47" s="419"/>
      <c r="L47" s="419"/>
      <c r="M47" s="419"/>
      <c r="N47" s="420" t="str">
        <f ca="1">IFERROR(VLOOKUP(J47,OFFSET($BN$2,,,COUNTIF($BN$2:$BN$11,"?*"),5),3,FALSE),"")</f>
        <v/>
      </c>
      <c r="O47" s="420"/>
      <c r="P47" s="420"/>
      <c r="Q47" s="420"/>
      <c r="R47" s="421"/>
      <c r="S47" s="111" t="s">
        <v>778</v>
      </c>
      <c r="T47" s="102">
        <v>2</v>
      </c>
      <c r="U47" s="112">
        <v>68.62</v>
      </c>
      <c r="V47" s="102">
        <v>1</v>
      </c>
      <c r="W47" s="102">
        <v>5</v>
      </c>
      <c r="X47" s="102">
        <v>0</v>
      </c>
      <c r="Y47" s="102">
        <v>22</v>
      </c>
      <c r="Z47" s="102">
        <v>0</v>
      </c>
      <c r="AA47" s="102">
        <v>1</v>
      </c>
      <c r="AB47" s="102">
        <v>17</v>
      </c>
      <c r="AC47" s="102">
        <v>0</v>
      </c>
      <c r="AD47" s="102">
        <v>0</v>
      </c>
      <c r="AE47" s="112">
        <f t="shared" si="25"/>
        <v>4.3719032352083937</v>
      </c>
      <c r="AF47" s="112">
        <f t="shared" si="26"/>
        <v>77.272727272727266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6" t="str">
        <f ca="1">IFERROR(VLOOKUP(A47,OFFSET($BN$2,,,COUNTIF($BN$2:$BN$11,"?*"),5),5,FALSE),"")</f>
        <v/>
      </c>
      <c r="B48" s="438" t="str">
        <f ca="1">IFERROR(IF(VLOOKUP(A47,OFFSET($BN$2,,,COUNTIF($BN$2:$BN$11,"?*"),5),4,FALSE)&lt;&gt;0,VLOOKUP(A47,OFFSET($BN$2,,,COUNTIF($BN$2:$BN$11,"?*"),5),4,FALSE),"-"),"")</f>
        <v/>
      </c>
      <c r="C48" s="438"/>
      <c r="D48" s="438"/>
      <c r="E48" s="438"/>
      <c r="F48" s="438"/>
      <c r="G48" s="438"/>
      <c r="H48" s="438"/>
      <c r="I48" s="439"/>
      <c r="J48" s="119" t="str">
        <f ca="1">IFERROR(VLOOKUP(J47,OFFSET($BN$2,,,COUNTIF($BN$2:$BN$11,"?*"),5),5,FALSE),"")</f>
        <v/>
      </c>
      <c r="K48" s="442" t="str">
        <f ca="1">IFERROR(IF(VLOOKUP(J47,OFFSET($BN$2,,,COUNTIF($BN$2:$BN$11,"?*"),5),4,FALSE)&lt;&gt;0,VLOOKUP(J47,OFFSET($BN$2,,,COUNTIF($BN$2:$BN$11,"?*"),5),4,FALSE),"-"),"")</f>
        <v/>
      </c>
      <c r="L48" s="442"/>
      <c r="M48" s="442"/>
      <c r="N48" s="442"/>
      <c r="O48" s="442"/>
      <c r="P48" s="442"/>
      <c r="Q48" s="442"/>
      <c r="R48" s="443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/>
      <c r="K49" s="445"/>
      <c r="L49" s="445"/>
      <c r="M49" s="445"/>
      <c r="N49" s="420" t="str">
        <f ca="1">IFERROR(VLOOKUP(J49,OFFSET($BN$2,,,COUNTIF($BN$2:$BN$11,"?*"),5),3,FALSE),"")</f>
        <v/>
      </c>
      <c r="O49" s="420"/>
      <c r="P49" s="420"/>
      <c r="Q49" s="420"/>
      <c r="R49" s="421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119" t="str">
        <f ca="1">IFERROR(VLOOKUP(J49,OFFSET($BN$2,,,COUNTIF($BN$2:$BN$11,"?*"),5),5,FALSE),"")</f>
        <v/>
      </c>
      <c r="K50" s="442" t="str">
        <f ca="1">IFERROR(IF(VLOOKUP(J49,OFFSET($BN$2,,,COUNTIF($BN$2:$BN$11,"?*"),5),4,FALSE)&lt;&gt;0,VLOOKUP(J49,OFFSET($BN$2,,,COUNTIF($BN$2:$BN$11,"?*"),5),4,FALSE),"-"),"")</f>
        <v/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E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E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E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E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/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3" t="s">
        <v>1</v>
      </c>
      <c r="I1" s="463"/>
      <c r="J1" s="463"/>
      <c r="K1" s="463"/>
      <c r="M1" s="429"/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2" t="str">
        <f ca="1">IFERROR(IF(VLOOKUP(A1,OFFSET($AG$2,,,COUNTIF($AG$2:$AG$50,"?*"),23),2,FALSE)&lt;&gt;0,YEAR(VLOOKUP(A1,OFFSET($AG$2,,,COUNTIF($AG$2:$AG$50,"?*"),23),2,FALSE)),""),"")</f>
        <v/>
      </c>
      <c r="C2" s="423"/>
      <c r="D2" s="117" t="str">
        <f ca="1">IFERROR(VLOOKUP(A1,OFFSET($AG$2,,,COUNTIF($AG$2:$AG$50,"?*"),23),15,FALSE),"")</f>
        <v/>
      </c>
      <c r="E2" s="424" t="str">
        <f ca="1">IFERROR(VLOOKUP(A1,OFFSET($AG$2,,,COUNTIF($AG$2:$AG$50,"?*"),23),16,FALSE),"")</f>
        <v/>
      </c>
      <c r="F2" s="425"/>
      <c r="M2" s="4" t="str">
        <f ca="1">IFERROR(IF(VLOOKUP(M1,OFFSET($AG$2,,,COUNTIF($AG$2:$AG$50,"?*"),23),10,FALSE)&lt;&gt;0,VLOOKUP(M1,OFFSET($AG$2,,,COUNTIF($AG$2:$AG$50,"?*"),23),10,FALSE),""),"")</f>
        <v/>
      </c>
      <c r="N2" s="422" t="str">
        <f ca="1">IFERROR(IF(VLOOKUP(M1,OFFSET($AG$2,,,COUNTIF($AG$2:$AG$50,"?*"),23),2,FALSE)&lt;&gt;0,YEAR(VLOOKUP(M1,OFFSET($AG$2,,,COUNTIF($AG$2:$AG$50,"?*"),23),2,FALSE)),""),"")</f>
        <v/>
      </c>
      <c r="O2" s="423"/>
      <c r="P2" s="117" t="str">
        <f ca="1">IFERROR(VLOOKUP(M1,OFFSET($AG$2,,,COUNTIF($AG$2:$AG$50,"?*"),23),15,FALSE),"")</f>
        <v/>
      </c>
      <c r="Q2" s="424" t="str">
        <f ca="1">IFERROR(VLOOKUP(M1,OFFSET($AG$2,,,COUNTIF($AG$2:$AG$50,"?*"),23),16,FALSE),"")</f>
        <v/>
      </c>
      <c r="R2" s="425"/>
      <c r="S2" s="110" t="s">
        <v>469</v>
      </c>
      <c r="T2" s="102" t="s">
        <v>107</v>
      </c>
      <c r="U2" s="102">
        <v>10</v>
      </c>
      <c r="V2" s="102">
        <v>13</v>
      </c>
      <c r="W2" s="102">
        <v>2</v>
      </c>
      <c r="X2" s="102">
        <v>0</v>
      </c>
      <c r="Y2" s="102">
        <v>6</v>
      </c>
      <c r="Z2" s="102">
        <v>19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488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510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529</v>
      </c>
      <c r="BO2" s="122">
        <v>27314</v>
      </c>
      <c r="BP2" s="131" t="s">
        <v>236</v>
      </c>
      <c r="BQ2" s="132"/>
      <c r="BR2" s="127">
        <f ca="1">IF(BN2&lt;&gt;"",IF(BO2&lt;&gt;"",INT((TODAY()-BO2)/365),"?"),"")</f>
        <v>47</v>
      </c>
      <c r="BS2" s="417" t="s">
        <v>36</v>
      </c>
      <c r="BT2" s="104" t="s">
        <v>532</v>
      </c>
      <c r="BU2" s="103">
        <v>19</v>
      </c>
      <c r="BV2" s="104" t="str">
        <f>IFERROR(RIGHT(BT2,LEN(BT2)-SEARCH(" ",BT2)),"")</f>
        <v>František Vykopal</v>
      </c>
      <c r="BW2" s="102">
        <f>IF(BT2&lt;&gt;0,_xlfn.NUMBERVALUE(BU2,","),"")</f>
        <v>19</v>
      </c>
      <c r="BX2" s="416" t="s">
        <v>192</v>
      </c>
      <c r="BY2" s="103" t="s">
        <v>861</v>
      </c>
      <c r="BZ2" s="103" t="s">
        <v>869</v>
      </c>
      <c r="CA2" s="115" t="s">
        <v>1309</v>
      </c>
    </row>
    <row r="3" spans="1:79" ht="15" customHeight="1" thickTop="1" thickBot="1" x14ac:dyDescent="0.25">
      <c r="A3" s="458" t="str">
        <f ca="1">IFERROR(VLOOKUP(A1,OFFSET($AG$2,,,COUNTIF($AG$2:$AG$50,"?*"),23),18,FALSE),"")</f>
        <v/>
      </c>
      <c r="B3" s="459"/>
      <c r="C3" s="459"/>
      <c r="D3" s="460" t="str">
        <f ca="1">IFERROR(VLOOKUP(A1,OFFSET($AG$2,,,COUNTIF($AG$2:$AG$50,"?*"),23),19,FALSE),"")</f>
        <v/>
      </c>
      <c r="E3" s="460"/>
      <c r="F3" s="461"/>
      <c r="G3" s="429"/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8" t="str">
        <f ca="1">IFERROR(VLOOKUP(M1,OFFSET($AG$2,,,COUNTIF($AG$2:$AG$50,"?*"),23),18,FALSE),"")</f>
        <v/>
      </c>
      <c r="N3" s="459"/>
      <c r="O3" s="459"/>
      <c r="P3" s="460" t="str">
        <f ca="1">IFERROR(VLOOKUP(M1,OFFSET($AG$2,,,COUNTIF($AG$2:$AG$50,"?*"),23),19,FALSE),"")</f>
        <v/>
      </c>
      <c r="Q3" s="460"/>
      <c r="R3" s="461"/>
      <c r="S3" s="110" t="s">
        <v>470</v>
      </c>
      <c r="U3" s="102">
        <v>11</v>
      </c>
      <c r="V3" s="102">
        <v>8</v>
      </c>
      <c r="W3" s="102">
        <v>1</v>
      </c>
      <c r="X3" s="102">
        <v>0</v>
      </c>
      <c r="Y3" s="102">
        <v>11</v>
      </c>
      <c r="Z3" s="102">
        <v>19</v>
      </c>
      <c r="AA3" s="102">
        <v>4</v>
      </c>
      <c r="AB3" s="102">
        <v>6</v>
      </c>
      <c r="AC3" s="102" t="str">
        <f t="shared" ca="1" si="0"/>
        <v>NE</v>
      </c>
      <c r="AG3" s="121" t="s">
        <v>486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137</v>
      </c>
      <c r="AQ3" s="123">
        <v>177</v>
      </c>
      <c r="AR3" s="123">
        <v>70</v>
      </c>
      <c r="AS3" s="126" t="s">
        <v>511</v>
      </c>
      <c r="AT3" s="123">
        <v>2015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11 OZ, 4 (2+2), -12 ±</v>
      </c>
      <c r="AY3" s="129" t="str">
        <f t="shared" ca="1" si="2"/>
        <v>59 OZ, 24 (11+13)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530</v>
      </c>
      <c r="BO3" s="122">
        <v>33731</v>
      </c>
      <c r="BP3" s="131" t="s">
        <v>237</v>
      </c>
      <c r="BQ3" s="132"/>
      <c r="BR3" s="127">
        <f t="shared" ref="BR3:BR11" ca="1" si="12">IF(BN3&lt;&gt;"",IF(BO3&lt;&gt;"",INT((TODAY()-BO3)/365),"?"),"")</f>
        <v>29</v>
      </c>
      <c r="BS3" s="417"/>
      <c r="BT3" s="104" t="s">
        <v>818</v>
      </c>
      <c r="BU3" s="103">
        <v>19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19</v>
      </c>
      <c r="BX3" s="416"/>
      <c r="BY3" s="103" t="s">
        <v>841</v>
      </c>
      <c r="BZ3" s="103" t="s">
        <v>870</v>
      </c>
      <c r="CA3" s="115" t="s">
        <v>1310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/>
      </c>
      <c r="B4" s="447"/>
      <c r="C4" s="448"/>
      <c r="D4" s="449" t="str">
        <f ca="1">IFERROR(IF(VLOOKUP(A1,OFFSET($AG$2,,,COUNTIF($AG$2:$AG$50,"?*"),23),14,FALSE)&lt;&gt;0,VLOOKUP(A1,OFFSET($AG$2,,,COUNTIF($AG$2:$AG$50,"?*"),23),14,FALSE),"?"),"")</f>
        <v/>
      </c>
      <c r="E4" s="4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2" t="str">
        <f ca="1">IFERROR(IF(VLOOKUP(G3,OFFSET($AG$2,,,COUNTIF($AG$2:$AG$50,"?*"),23),2,FALSE)&lt;&gt;0,YEAR(VLOOKUP(G3,OFFSET($AG$2,,,COUNTIF($AG$2:$AG$50,"?*"),23),2,FALSE)),""),"")</f>
        <v/>
      </c>
      <c r="I4" s="423"/>
      <c r="J4" s="117" t="str">
        <f ca="1">IFERROR(VLOOKUP(G3,OFFSET($AG$2,,,COUNTIF($AG$2:$AG$50,"?*"),23),15,FALSE),"")</f>
        <v/>
      </c>
      <c r="K4" s="424" t="str">
        <f ca="1">IFERROR(VLOOKUP(G3,OFFSET($AG$2,,,COUNTIF($AG$2:$AG$50,"?*"),23),16,FALSE),"")</f>
        <v/>
      </c>
      <c r="L4" s="425"/>
      <c r="M4" s="446" t="str">
        <f ca="1">IFERROR(IF(VLOOKUP(M1,OFFSET($AG$2,,,COUNTIF($AG$2:$AG$50,"?*"),23),13,FALSE)&lt;&gt;0,VLOOKUP(M1,OFFSET($AG$2,,,COUNTIF($AG$2:$AG$50,"?*"),23),13,FALSE),"?"),"")</f>
        <v/>
      </c>
      <c r="N4" s="447"/>
      <c r="O4" s="448"/>
      <c r="P4" s="449" t="str">
        <f ca="1">IFERROR(IF(VLOOKUP(M1,OFFSET($AG$2,,,COUNTIF($AG$2:$AG$50,"?*"),23),14,FALSE)&lt;&gt;0,VLOOKUP(M1,OFFSET($AG$2,,,COUNTIF($AG$2:$AG$50,"?*"),23),14,FALSE),"?"),"")</f>
        <v/>
      </c>
      <c r="Q4" s="4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473</v>
      </c>
      <c r="U4" s="102">
        <v>11</v>
      </c>
      <c r="V4" s="102">
        <v>9</v>
      </c>
      <c r="W4" s="102">
        <v>0</v>
      </c>
      <c r="X4" s="102">
        <v>0</v>
      </c>
      <c r="Y4" s="102">
        <v>4</v>
      </c>
      <c r="Z4" s="102">
        <v>13</v>
      </c>
      <c r="AA4" s="102">
        <v>2</v>
      </c>
      <c r="AB4" s="102">
        <v>-6</v>
      </c>
      <c r="AC4" s="102" t="str">
        <f t="shared" ca="1" si="0"/>
        <v>ANO</v>
      </c>
      <c r="AG4" s="121" t="s">
        <v>489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137</v>
      </c>
      <c r="AQ4" s="123">
        <v>177</v>
      </c>
      <c r="AR4" s="123">
        <v>77</v>
      </c>
      <c r="AS4" s="126" t="s">
        <v>512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531</v>
      </c>
      <c r="BO4" s="122">
        <v>25991</v>
      </c>
      <c r="BP4" s="131" t="s">
        <v>176</v>
      </c>
      <c r="BQ4" s="132"/>
      <c r="BR4" s="127">
        <f t="shared" ca="1" si="12"/>
        <v>50</v>
      </c>
      <c r="BS4" s="417"/>
      <c r="BT4" s="104" t="s">
        <v>1295</v>
      </c>
      <c r="BU4" s="103">
        <v>13</v>
      </c>
      <c r="BV4" s="104" t="str">
        <f t="shared" si="13"/>
        <v>Peter Nehila</v>
      </c>
      <c r="BW4" s="102">
        <f t="shared" si="14"/>
        <v>13</v>
      </c>
      <c r="BX4" s="416"/>
      <c r="BY4" s="103" t="s">
        <v>839</v>
      </c>
      <c r="BZ4" s="103" t="s">
        <v>871</v>
      </c>
      <c r="CA4" s="115" t="s">
        <v>806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/>
      </c>
      <c r="H5" s="459"/>
      <c r="I5" s="459"/>
      <c r="J5" s="460" t="str">
        <f ca="1">IFERROR(VLOOKUP(G3,OFFSET($AG$2,,,COUNTIF($AG$2:$AG$50,"?*"),23),19,FALSE),"")</f>
        <v/>
      </c>
      <c r="K5" s="460"/>
      <c r="L5" s="461"/>
      <c r="S5" s="110" t="s">
        <v>476</v>
      </c>
      <c r="T5" s="102" t="s">
        <v>107</v>
      </c>
      <c r="U5" s="102">
        <v>11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0</v>
      </c>
      <c r="AB5" s="102">
        <v>-15</v>
      </c>
      <c r="AC5" s="102" t="str">
        <f t="shared" ca="1" si="0"/>
        <v>ANO</v>
      </c>
      <c r="AG5" s="121" t="s">
        <v>490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137</v>
      </c>
      <c r="AQ5" s="123">
        <v>193</v>
      </c>
      <c r="AR5" s="123">
        <v>77</v>
      </c>
      <c r="AS5" s="126" t="s">
        <v>513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417"/>
      <c r="BT5" s="104" t="s">
        <v>1089</v>
      </c>
      <c r="BU5" s="103">
        <v>11</v>
      </c>
      <c r="BV5" s="104" t="str">
        <f t="shared" si="13"/>
        <v>Lukáš Petřík</v>
      </c>
      <c r="BW5" s="102">
        <f t="shared" si="14"/>
        <v>11</v>
      </c>
      <c r="BX5" s="416"/>
      <c r="BY5" s="103" t="s">
        <v>976</v>
      </c>
      <c r="BZ5" s="103" t="s">
        <v>850</v>
      </c>
      <c r="CA5" s="115" t="s">
        <v>1104</v>
      </c>
    </row>
    <row r="6" spans="1:79" ht="15" customHeight="1" thickTop="1" thickBot="1" x14ac:dyDescent="0.25">
      <c r="A6" s="429"/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6" t="str">
        <f ca="1">IFERROR(IF(VLOOKUP(G3,OFFSET($AG$2,,,COUNTIF($AG$2:$AG$50,"?*"),23),13,FALSE)&lt;&gt;0,VLOOKUP(G3,OFFSET($AG$2,,,COUNTIF($AG$2:$AG$50,"?*"),23),13,FALSE),"?"),"")</f>
        <v/>
      </c>
      <c r="H6" s="447"/>
      <c r="I6" s="448"/>
      <c r="J6" s="449" t="str">
        <f ca="1">IFERROR(IF(VLOOKUP(G3,OFFSET($AG$2,,,COUNTIF($AG$2:$AG$50,"?*"),23),14,FALSE)&lt;&gt;0,VLOOKUP(G3,OFFSET($AG$2,,,COUNTIF($AG$2:$AG$50,"?*"),23),14,FALSE),"?"),"")</f>
        <v/>
      </c>
      <c r="K6" s="450"/>
      <c r="L6" s="7" t="str">
        <f ca="1">IFERROR(IF(VLOOKUP(G3,OFFSET($AG$2,,,COUNTIF($AG$2:$AG$50,"?*"),23),7,FALSE)&lt;&gt;0,VLOOKUP(G3,OFFSET($AG$2,,,COUNTIF($AG$2:$AG$50,"?*"),23),7,FALSE),"?"),"")</f>
        <v/>
      </c>
      <c r="M6" s="429"/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503</v>
      </c>
      <c r="T6" s="102" t="s">
        <v>107</v>
      </c>
      <c r="U6" s="102">
        <v>9</v>
      </c>
      <c r="V6" s="102">
        <v>2</v>
      </c>
      <c r="W6" s="102">
        <v>0</v>
      </c>
      <c r="X6" s="102">
        <v>0</v>
      </c>
      <c r="Y6" s="102">
        <v>7</v>
      </c>
      <c r="Z6" s="102">
        <v>9</v>
      </c>
      <c r="AA6" s="102">
        <v>6</v>
      </c>
      <c r="AB6" s="102">
        <v>4</v>
      </c>
      <c r="AC6" s="102" t="str">
        <f t="shared" ca="1" si="0"/>
        <v>ANO</v>
      </c>
      <c r="AG6" s="121" t="s">
        <v>485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137</v>
      </c>
      <c r="AQ6" s="123">
        <v>180</v>
      </c>
      <c r="AR6" s="123">
        <v>80</v>
      </c>
      <c r="AS6" s="126" t="s">
        <v>511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417"/>
      <c r="BT6" s="104" t="s">
        <v>1090</v>
      </c>
      <c r="BU6" s="103">
        <v>9</v>
      </c>
      <c r="BV6" s="104" t="str">
        <f t="shared" si="13"/>
        <v>Tomáš Sovják</v>
      </c>
      <c r="BW6" s="102">
        <f t="shared" si="14"/>
        <v>9</v>
      </c>
      <c r="BX6" s="416"/>
      <c r="BY6" s="103" t="s">
        <v>1141</v>
      </c>
      <c r="BZ6" s="103" t="s">
        <v>836</v>
      </c>
      <c r="CA6" s="115" t="s">
        <v>1311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2" t="str">
        <f ca="1">IFERROR(IF(VLOOKUP(A6,OFFSET($AG$2,,,COUNTIF($AG$2:$AG$50,"?*"),23),2,FALSE)&lt;&gt;0,YEAR(VLOOKUP(A6,OFFSET($AG$2,,,COUNTIF($AG$2:$AG$50,"?*"),23),2,FALSE)),""),"")</f>
        <v/>
      </c>
      <c r="C7" s="423"/>
      <c r="D7" s="117" t="str">
        <f ca="1">IFERROR(VLOOKUP(A6,OFFSET($AG$2,,,COUNTIF($AG$2:$AG$50,"?*"),23),15,FALSE),"")</f>
        <v/>
      </c>
      <c r="E7" s="424" t="str">
        <f ca="1">IFERROR(VLOOKUP(A6,OFFSET($AG$2,,,COUNTIF($AG$2:$AG$50,"?*"),23),16,FALSE),"")</f>
        <v/>
      </c>
      <c r="F7" s="425"/>
      <c r="M7" s="4" t="str">
        <f ca="1">IFERROR(IF(VLOOKUP(M6,OFFSET($AG$2,,,COUNTIF($AG$2:$AG$50,"?*"),23),10,FALSE)&lt;&gt;0,VLOOKUP(M6,OFFSET($AG$2,,,COUNTIF($AG$2:$AG$50,"?*"),23),10,FALSE),""),"")</f>
        <v/>
      </c>
      <c r="N7" s="422" t="str">
        <f ca="1">IFERROR(IF(VLOOKUP(M6,OFFSET($AG$2,,,COUNTIF($AG$2:$AG$50,"?*"),23),2,FALSE)&lt;&gt;0,YEAR(VLOOKUP(M6,OFFSET($AG$2,,,COUNTIF($AG$2:$AG$50,"?*"),23),2,FALSE)),""),"")</f>
        <v/>
      </c>
      <c r="O7" s="423"/>
      <c r="P7" s="117" t="str">
        <f ca="1">IFERROR(VLOOKUP(M6,OFFSET($AG$2,,,COUNTIF($AG$2:$AG$50,"?*"),23),15,FALSE),"")</f>
        <v/>
      </c>
      <c r="Q7" s="424" t="str">
        <f ca="1">IFERROR(VLOOKUP(M6,OFFSET($AG$2,,,COUNTIF($AG$2:$AG$50,"?*"),23),16,FALSE),"")</f>
        <v/>
      </c>
      <c r="R7" s="425"/>
      <c r="S7" s="110" t="s">
        <v>1086</v>
      </c>
      <c r="U7" s="102">
        <v>6</v>
      </c>
      <c r="V7" s="102">
        <v>5</v>
      </c>
      <c r="W7" s="102">
        <v>0</v>
      </c>
      <c r="X7" s="102">
        <v>0</v>
      </c>
      <c r="Y7" s="102">
        <v>2</v>
      </c>
      <c r="Z7" s="102">
        <v>7</v>
      </c>
      <c r="AA7" s="102">
        <v>0</v>
      </c>
      <c r="AB7" s="102">
        <v>2</v>
      </c>
      <c r="AC7" s="102" t="str">
        <f t="shared" ca="1" si="0"/>
        <v>NE</v>
      </c>
      <c r="AG7" s="121" t="s">
        <v>474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137</v>
      </c>
      <c r="AQ7" s="123">
        <v>174</v>
      </c>
      <c r="AR7" s="123">
        <v>73</v>
      </c>
      <c r="AS7" s="126" t="s">
        <v>514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10 OZ, 6 (2+4), -8 ±</v>
      </c>
      <c r="AY7" s="129" t="str">
        <f t="shared" ca="1" si="2"/>
        <v>181 OZ, 166 (101+65)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7" t="s">
        <v>40</v>
      </c>
      <c r="BT7" s="104" t="s">
        <v>888</v>
      </c>
      <c r="BU7" s="103" t="s">
        <v>1296</v>
      </c>
      <c r="BV7" s="104" t="str">
        <f t="shared" si="13"/>
        <v>Adam Kohút</v>
      </c>
      <c r="BW7" s="112">
        <f t="shared" si="14"/>
        <v>6.03</v>
      </c>
      <c r="BX7" s="416" t="s">
        <v>193</v>
      </c>
      <c r="BY7" s="103" t="s">
        <v>972</v>
      </c>
      <c r="BZ7" s="103" t="s">
        <v>868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/>
      </c>
      <c r="B8" s="459"/>
      <c r="C8" s="459"/>
      <c r="D8" s="460" t="str">
        <f ca="1">IFERROR(VLOOKUP(A6,OFFSET($AG$2,,,COUNTIF($AG$2:$AG$50,"?*"),23),19,FALSE),"")</f>
        <v/>
      </c>
      <c r="E8" s="460"/>
      <c r="F8" s="461"/>
      <c r="H8" s="462" t="s">
        <v>94</v>
      </c>
      <c r="I8" s="462"/>
      <c r="J8" s="462"/>
      <c r="K8" s="462"/>
      <c r="M8" s="458" t="str">
        <f ca="1">IFERROR(VLOOKUP(M6,OFFSET($AG$2,,,COUNTIF($AG$2:$AG$50,"?*"),23),18,FALSE),"")</f>
        <v/>
      </c>
      <c r="N8" s="459"/>
      <c r="O8" s="459"/>
      <c r="P8" s="460" t="str">
        <f ca="1">IFERROR(VLOOKUP(M6,OFFSET($AG$2,,,COUNTIF($AG$2:$AG$50,"?*"),23),19,FALSE),"")</f>
        <v/>
      </c>
      <c r="Q8" s="460"/>
      <c r="R8" s="461"/>
      <c r="S8" s="110" t="s">
        <v>471</v>
      </c>
      <c r="T8" s="102" t="s">
        <v>107</v>
      </c>
      <c r="U8" s="102">
        <v>11</v>
      </c>
      <c r="V8" s="102">
        <v>4</v>
      </c>
      <c r="W8" s="102">
        <v>1</v>
      </c>
      <c r="X8" s="102">
        <v>0</v>
      </c>
      <c r="Y8" s="102">
        <v>2</v>
      </c>
      <c r="Z8" s="102">
        <v>6</v>
      </c>
      <c r="AA8" s="102">
        <v>6</v>
      </c>
      <c r="AB8" s="102">
        <v>-9</v>
      </c>
      <c r="AC8" s="102" t="str">
        <f t="shared" ca="1" si="0"/>
        <v>NE</v>
      </c>
      <c r="AG8" s="121" t="s">
        <v>491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137</v>
      </c>
      <c r="AQ8" s="123">
        <v>185</v>
      </c>
      <c r="AR8" s="123">
        <v>75</v>
      </c>
      <c r="AS8" s="126" t="s">
        <v>515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7"/>
      <c r="BT8" s="104" t="s">
        <v>889</v>
      </c>
      <c r="BU8" s="103" t="s">
        <v>890</v>
      </c>
      <c r="BV8" s="104" t="str">
        <f t="shared" si="13"/>
        <v>Kevin Majrich</v>
      </c>
      <c r="BW8" s="112">
        <f t="shared" si="14"/>
        <v>8.09</v>
      </c>
      <c r="BX8" s="416"/>
      <c r="BY8" s="103" t="s">
        <v>1085</v>
      </c>
      <c r="BZ8" s="103" t="s">
        <v>857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/>
      </c>
      <c r="B9" s="447"/>
      <c r="C9" s="448"/>
      <c r="D9" s="449" t="str">
        <f ca="1">IFERROR(IF(VLOOKUP(A6,OFFSET($AG$2,,,COUNTIF($AG$2:$AG$50,"?*"),23),14,FALSE)&lt;&gt;0,VLOOKUP(A6,OFFSET($AG$2,,,COUNTIF($AG$2:$AG$50,"?*"),23),14,FALSE),"?"),"")</f>
        <v/>
      </c>
      <c r="E9" s="450"/>
      <c r="F9" s="7" t="str">
        <f ca="1">IFERROR(IF(VLOOKUP(A6,OFFSET($AG$2,,,COUNTIF($AG$2:$AG$50,"?*"),23),7,FALSE)&lt;&gt;0,VLOOKUP(A6,OFFSET($AG$2,,,COUNTIF($AG$2:$AG$50,"?*"),23),7,FALSE),"?"),"")</f>
        <v/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/>
      </c>
      <c r="N9" s="447"/>
      <c r="O9" s="448"/>
      <c r="P9" s="449" t="str">
        <f ca="1">IFERROR(IF(VLOOKUP(M6,OFFSET($AG$2,,,COUNTIF($AG$2:$AG$50,"?*"),23),14,FALSE)&lt;&gt;0,VLOOKUP(M6,OFFSET($AG$2,,,COUNTIF($AG$2:$AG$50,"?*"),23),14,FALSE),"?"),"")</f>
        <v/>
      </c>
      <c r="Q9" s="4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474</v>
      </c>
      <c r="T9" s="102" t="s">
        <v>107</v>
      </c>
      <c r="U9" s="102">
        <v>10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0</v>
      </c>
      <c r="AB9" s="102">
        <v>-8</v>
      </c>
      <c r="AC9" s="102" t="str">
        <f t="shared" ca="1" si="0"/>
        <v>ANO</v>
      </c>
      <c r="AG9" s="121" t="s">
        <v>492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137</v>
      </c>
      <c r="AQ9" s="123">
        <v>193</v>
      </c>
      <c r="AR9" s="123">
        <v>90</v>
      </c>
      <c r="AS9" s="126" t="s">
        <v>516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7"/>
      <c r="BT9" s="104" t="s">
        <v>891</v>
      </c>
      <c r="BU9" s="103" t="s">
        <v>1297</v>
      </c>
      <c r="BV9" s="104" t="str">
        <f t="shared" si="13"/>
        <v>Miroslav Steiger</v>
      </c>
      <c r="BW9" s="112">
        <f t="shared" si="14"/>
        <v>11.35</v>
      </c>
      <c r="BX9" s="416"/>
      <c r="BY9" s="103" t="s">
        <v>1160</v>
      </c>
      <c r="BZ9" s="103" t="s">
        <v>832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472</v>
      </c>
      <c r="T10" s="102" t="s">
        <v>107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0</v>
      </c>
      <c r="AB10" s="102">
        <v>-1</v>
      </c>
      <c r="AC10" s="102" t="str">
        <f t="shared" ca="1" si="0"/>
        <v>NE</v>
      </c>
      <c r="AG10" s="121" t="s">
        <v>333</v>
      </c>
      <c r="AH10" s="122"/>
      <c r="AI10" s="123"/>
      <c r="AJ10" s="123"/>
      <c r="AK10" s="123"/>
      <c r="AL10" s="124">
        <f>IF(AG10&lt;&gt;"",AJ10+AK10,"")</f>
        <v>0</v>
      </c>
      <c r="AM10" s="123" t="s">
        <v>282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7"/>
      <c r="BV10" s="104" t="str">
        <f t="shared" si="13"/>
        <v/>
      </c>
      <c r="BW10" s="112" t="str">
        <f t="shared" si="14"/>
        <v/>
      </c>
      <c r="BX10" s="416"/>
      <c r="BY10" s="103" t="s">
        <v>1143</v>
      </c>
      <c r="BZ10" s="103" t="s">
        <v>831</v>
      </c>
      <c r="CA10" s="115" t="s">
        <v>188</v>
      </c>
    </row>
    <row r="11" spans="1:79" ht="15" customHeight="1" thickTop="1" thickBot="1" x14ac:dyDescent="0.25">
      <c r="R11" s="13"/>
      <c r="S11" s="110" t="s">
        <v>479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0</v>
      </c>
      <c r="AB11" s="102">
        <v>-9</v>
      </c>
      <c r="AC11" s="102" t="str">
        <f t="shared" ca="1" si="0"/>
        <v>ANO</v>
      </c>
      <c r="AG11" s="121" t="s">
        <v>493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137</v>
      </c>
      <c r="AQ11" s="123">
        <v>188</v>
      </c>
      <c r="AR11" s="123">
        <v>78</v>
      </c>
      <c r="AS11" s="126" t="s">
        <v>511</v>
      </c>
      <c r="AT11" s="123">
        <v>2014</v>
      </c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7"/>
      <c r="BV11" s="104" t="str">
        <f t="shared" si="13"/>
        <v/>
      </c>
      <c r="BW11" s="112" t="str">
        <f t="shared" si="14"/>
        <v/>
      </c>
      <c r="BX11" s="416"/>
      <c r="BY11" s="103" t="s">
        <v>1161</v>
      </c>
      <c r="BZ11" s="103" t="s">
        <v>837</v>
      </c>
      <c r="CA11" s="115" t="s">
        <v>188</v>
      </c>
    </row>
    <row r="12" spans="1:79" ht="15" customHeight="1" thickTop="1" thickBot="1" x14ac:dyDescent="0.25">
      <c r="A12" s="429"/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3" t="s">
        <v>7</v>
      </c>
      <c r="I12" s="463"/>
      <c r="J12" s="463"/>
      <c r="K12" s="463"/>
      <c r="M12" s="429"/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486</v>
      </c>
      <c r="T12" s="102" t="s">
        <v>107</v>
      </c>
      <c r="U12" s="102">
        <v>11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0</v>
      </c>
      <c r="AB12" s="102">
        <v>-12</v>
      </c>
      <c r="AC12" s="102" t="str">
        <f t="shared" ca="1" si="0"/>
        <v>ANO</v>
      </c>
      <c r="AG12" s="121" t="s">
        <v>479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517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11 OZ, 5 (4+1), -9 ±</v>
      </c>
      <c r="AY12" s="129" t="str">
        <f t="shared" ca="1" si="2"/>
        <v>152 OZ, 66 (45+21)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7" t="s">
        <v>37</v>
      </c>
      <c r="BT12" s="104" t="s">
        <v>532</v>
      </c>
      <c r="BU12" s="103">
        <v>13</v>
      </c>
      <c r="BV12" s="104" t="str">
        <f t="shared" si="13"/>
        <v>František Vykopal</v>
      </c>
      <c r="BW12" s="102">
        <f t="shared" si="14"/>
        <v>13</v>
      </c>
      <c r="BX12" s="120" t="s">
        <v>191</v>
      </c>
      <c r="BY12" s="100" t="s">
        <v>1312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2" t="str">
        <f ca="1">IFERROR(IF(VLOOKUP(A12,OFFSET($AG$2,,,COUNTIF($AG$2:$AG$50,"?*"),23),2,FALSE)&lt;&gt;0,YEAR(VLOOKUP(A12,OFFSET($AG$2,,,COUNTIF($AG$2:$AG$50,"?*"),23),2,FALSE)),""),"")</f>
        <v/>
      </c>
      <c r="C13" s="423"/>
      <c r="D13" s="117" t="str">
        <f ca="1">IFERROR(VLOOKUP(A12,OFFSET($AG$2,,,COUNTIF($AG$2:$AG$50,"?*"),23),15,FALSE),"")</f>
        <v/>
      </c>
      <c r="E13" s="424" t="str">
        <f ca="1">IFERROR(VLOOKUP(A12,OFFSET($AG$2,,,COUNTIF($AG$2:$AG$50,"?*"),23),16,FALSE),"")</f>
        <v/>
      </c>
      <c r="F13" s="425"/>
      <c r="M13" s="4" t="str">
        <f ca="1">IFERROR(IF(VLOOKUP(M12,OFFSET($AG$2,,,COUNTIF($AG$2:$AG$50,"?*"),23),10,FALSE)&lt;&gt;0,VLOOKUP(M12,OFFSET($AG$2,,,COUNTIF($AG$2:$AG$50,"?*"),23),10,FALSE),""),"")</f>
        <v/>
      </c>
      <c r="N13" s="422" t="str">
        <f ca="1">IFERROR(IF(VLOOKUP(M12,OFFSET($AG$2,,,COUNTIF($AG$2:$AG$50,"?*"),23),2,FALSE)&lt;&gt;0,YEAR(VLOOKUP(M12,OFFSET($AG$2,,,COUNTIF($AG$2:$AG$50,"?*"),23),2,FALSE)),""),"")</f>
        <v/>
      </c>
      <c r="O13" s="423"/>
      <c r="P13" s="117" t="str">
        <f ca="1">IFERROR(VLOOKUP(M12,OFFSET($AG$2,,,COUNTIF($AG$2:$AG$50,"?*"),23),15,FALSE),"")</f>
        <v/>
      </c>
      <c r="Q13" s="424" t="str">
        <f ca="1">IFERROR(VLOOKUP(M12,OFFSET($AG$2,,,COUNTIF($AG$2:$AG$50,"?*"),23),16,FALSE),"")</f>
        <v/>
      </c>
      <c r="R13" s="425"/>
      <c r="S13" s="110" t="s">
        <v>478</v>
      </c>
      <c r="U13" s="102">
        <v>11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4</v>
      </c>
      <c r="AB13" s="102">
        <v>-11</v>
      </c>
      <c r="AC13" s="102" t="str">
        <f t="shared" ca="1" si="0"/>
        <v>NE</v>
      </c>
      <c r="AG13" s="121" t="s">
        <v>494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137</v>
      </c>
      <c r="AQ13" s="123">
        <v>172</v>
      </c>
      <c r="AR13" s="123">
        <v>67</v>
      </c>
      <c r="AS13" s="126" t="s">
        <v>516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7"/>
      <c r="BT13" s="104" t="s">
        <v>1087</v>
      </c>
      <c r="BU13" s="103">
        <v>9</v>
      </c>
      <c r="BV13" s="104" t="str">
        <f t="shared" si="13"/>
        <v>Peter Nehila</v>
      </c>
      <c r="BW13" s="102">
        <f t="shared" si="14"/>
        <v>9</v>
      </c>
    </row>
    <row r="14" spans="1:79" ht="15" customHeight="1" thickTop="1" thickBot="1" x14ac:dyDescent="0.25">
      <c r="A14" s="458" t="str">
        <f ca="1">IFERROR(VLOOKUP(A12,OFFSET($AG$2,,,COUNTIF($AG$2:$AG$50,"?*"),23),18,FALSE),"")</f>
        <v/>
      </c>
      <c r="B14" s="459"/>
      <c r="C14" s="459"/>
      <c r="D14" s="460" t="str">
        <f ca="1">IFERROR(VLOOKUP(A12,OFFSET($AG$2,,,COUNTIF($AG$2:$AG$50,"?*"),23),19,FALSE),"")</f>
        <v/>
      </c>
      <c r="E14" s="460"/>
      <c r="F14" s="461"/>
      <c r="G14" s="429"/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8" t="str">
        <f ca="1">IFERROR(VLOOKUP(M12,OFFSET($AG$2,,,COUNTIF($AG$2:$AG$50,"?*"),23),18,FALSE),"")</f>
        <v/>
      </c>
      <c r="N14" s="459"/>
      <c r="O14" s="459"/>
      <c r="P14" s="460" t="str">
        <f ca="1">IFERROR(VLOOKUP(M12,OFFSET($AG$2,,,COUNTIF($AG$2:$AG$50,"?*"),23),19,FALSE),"")</f>
        <v/>
      </c>
      <c r="Q14" s="460"/>
      <c r="R14" s="461"/>
      <c r="S14" s="110" t="s">
        <v>483</v>
      </c>
      <c r="T14" s="102" t="s">
        <v>58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0</v>
      </c>
      <c r="AB14" s="102">
        <v>-8</v>
      </c>
      <c r="AC14" s="102" t="str">
        <f t="shared" ca="1" si="0"/>
        <v>ANO</v>
      </c>
      <c r="AG14" s="121" t="s">
        <v>495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137</v>
      </c>
      <c r="AQ14" s="123">
        <v>181</v>
      </c>
      <c r="AR14" s="123">
        <v>80</v>
      </c>
      <c r="AS14" s="126" t="s">
        <v>518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7"/>
      <c r="BT14" s="104" t="s">
        <v>1088</v>
      </c>
      <c r="BU14" s="103">
        <v>8</v>
      </c>
      <c r="BV14" s="104" t="str">
        <f t="shared" si="13"/>
        <v>Ronald Gašparík</v>
      </c>
      <c r="BW14" s="102">
        <f t="shared" si="14"/>
        <v>8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/>
      </c>
      <c r="B15" s="447"/>
      <c r="C15" s="448"/>
      <c r="D15" s="449" t="str">
        <f ca="1">IFERROR(IF(VLOOKUP(A12,OFFSET($AG$2,,,COUNTIF($AG$2:$AG$50,"?*"),23),14,FALSE)&lt;&gt;0,VLOOKUP(A12,OFFSET($AG$2,,,COUNTIF($AG$2:$AG$50,"?*"),23),14,FALSE),"?"),"")</f>
        <v/>
      </c>
      <c r="E15" s="4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2" t="str">
        <f ca="1">IFERROR(IF(VLOOKUP(G14,OFFSET($AG$2,,,COUNTIF($AG$2:$AG$50,"?*"),23),2,FALSE)&lt;&gt;0,YEAR(VLOOKUP(G14,OFFSET($AG$2,,,COUNTIF($AG$2:$AG$50,"?*"),23),2,FALSE)),""),"")</f>
        <v/>
      </c>
      <c r="I15" s="423"/>
      <c r="J15" s="117" t="str">
        <f ca="1">IFERROR(VLOOKUP(G14,OFFSET($AG$2,,,COUNTIF($AG$2:$AG$50,"?*"),23),15,FALSE),"")</f>
        <v/>
      </c>
      <c r="K15" s="424" t="str">
        <f ca="1">IFERROR(VLOOKUP(G14,OFFSET($AG$2,,,COUNTIF($AG$2:$AG$50,"?*"),23),16,FALSE),"")</f>
        <v/>
      </c>
      <c r="L15" s="425"/>
      <c r="M15" s="446" t="str">
        <f ca="1">IFERROR(IF(VLOOKUP(M12,OFFSET($AG$2,,,COUNTIF($AG$2:$AG$50,"?*"),23),13,FALSE)&lt;&gt;0,VLOOKUP(M12,OFFSET($AG$2,,,COUNTIF($AG$2:$AG$50,"?*"),23),13,FALSE),"?"),"")</f>
        <v/>
      </c>
      <c r="N15" s="447"/>
      <c r="O15" s="448"/>
      <c r="P15" s="449" t="str">
        <f ca="1">IFERROR(IF(VLOOKUP(M12,OFFSET($AG$2,,,COUNTIF($AG$2:$AG$50,"?*"),23),14,FALSE)&lt;&gt;0,VLOOKUP(M12,OFFSET($AG$2,,,COUNTIF($AG$2:$AG$50,"?*"),23),14,FALSE),"?"),"")</f>
        <v/>
      </c>
      <c r="Q15" s="4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475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-8</v>
      </c>
      <c r="AC15" s="102" t="str">
        <f t="shared" ca="1" si="0"/>
        <v>NE</v>
      </c>
      <c r="AG15" s="121" t="s">
        <v>380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137</v>
      </c>
      <c r="AQ15" s="123">
        <v>185</v>
      </c>
      <c r="AR15" s="123">
        <v>77</v>
      </c>
      <c r="AS15" s="126" t="s">
        <v>141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7"/>
      <c r="BT15" s="104" t="s">
        <v>1298</v>
      </c>
      <c r="BU15" s="103">
        <v>5</v>
      </c>
      <c r="BV15" s="104" t="str">
        <f t="shared" si="13"/>
        <v>Jakub Grich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/>
      </c>
      <c r="H16" s="459"/>
      <c r="I16" s="459"/>
      <c r="J16" s="460" t="str">
        <f ca="1">IFERROR(VLOOKUP(G14,OFFSET($AG$2,,,COUNTIF($AG$2:$AG$50,"?*"),23),19,FALSE),"")</f>
        <v/>
      </c>
      <c r="K16" s="460"/>
      <c r="L16" s="461"/>
      <c r="S16" s="110" t="s">
        <v>482</v>
      </c>
      <c r="T16" s="102" t="s">
        <v>58</v>
      </c>
      <c r="U16" s="102">
        <v>3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1</v>
      </c>
      <c r="AC16" s="102" t="str">
        <f t="shared" ca="1" si="0"/>
        <v>ANO</v>
      </c>
      <c r="AG16" s="121" t="s">
        <v>496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137</v>
      </c>
      <c r="AQ16" s="123">
        <v>196</v>
      </c>
      <c r="AR16" s="123">
        <v>91</v>
      </c>
      <c r="AS16" s="126" t="s">
        <v>516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7"/>
      <c r="BT16" s="104" t="s">
        <v>1299</v>
      </c>
      <c r="BU16" s="103">
        <v>4</v>
      </c>
      <c r="BV16" s="104" t="str">
        <f t="shared" si="13"/>
        <v>Lukáš Petřík</v>
      </c>
      <c r="BW16" s="102">
        <f t="shared" si="14"/>
        <v>4</v>
      </c>
    </row>
    <row r="17" spans="1:75" ht="15" customHeight="1" thickTop="1" thickBot="1" x14ac:dyDescent="0.25">
      <c r="A17" s="429"/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6" t="str">
        <f ca="1">IFERROR(IF(VLOOKUP(G14,OFFSET($AG$2,,,COUNTIF($AG$2:$AG$50,"?*"),23),13,FALSE)&lt;&gt;0,VLOOKUP(G14,OFFSET($AG$2,,,COUNTIF($AG$2:$AG$50,"?*"),23),13,FALSE),"?"),"")</f>
        <v/>
      </c>
      <c r="H17" s="447"/>
      <c r="I17" s="448"/>
      <c r="J17" s="449" t="str">
        <f ca="1">IFERROR(IF(VLOOKUP(G14,OFFSET($AG$2,,,COUNTIF($AG$2:$AG$50,"?*"),23),14,FALSE)&lt;&gt;0,VLOOKUP(G14,OFFSET($AG$2,,,COUNTIF($AG$2:$AG$50,"?*"),23),14,FALSE),"?"),"")</f>
        <v/>
      </c>
      <c r="K17" s="450"/>
      <c r="L17" s="7" t="str">
        <f ca="1">IFERROR(IF(VLOOKUP(G14,OFFSET($AG$2,,,COUNTIF($AG$2:$AG$50,"?*"),23),7,FALSE)&lt;&gt;0,VLOOKUP(G14,OFFSET($AG$2,,,COUNTIF($AG$2:$AG$50,"?*"),23),7,FALSE),"?"),"")</f>
        <v/>
      </c>
      <c r="M17" s="429"/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485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497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519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7" t="s">
        <v>41</v>
      </c>
      <c r="BT17" s="104" t="s">
        <v>888</v>
      </c>
      <c r="BU17" s="103">
        <v>1</v>
      </c>
      <c r="BV17" s="104" t="str">
        <f t="shared" si="13"/>
        <v>Adam Kohút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2" t="str">
        <f ca="1">IFERROR(IF(VLOOKUP(A17,OFFSET($AG$2,,,COUNTIF($AG$2:$AG$50,"?*"),23),2,FALSE)&lt;&gt;0,YEAR(VLOOKUP(A17,OFFSET($AG$2,,,COUNTIF($AG$2:$AG$50,"?*"),23),2,FALSE)),""),"")</f>
        <v/>
      </c>
      <c r="C18" s="423"/>
      <c r="D18" s="149" t="str">
        <f ca="1">IFERROR(VLOOKUP(A17,OFFSET($AG$2,,,COUNTIF($AG$2:$AG$50,"?*"),23),15,FALSE),"")</f>
        <v/>
      </c>
      <c r="E18" s="424" t="str">
        <f ca="1">IFERROR(VLOOKUP(A17,OFFSET($AG$2,,,COUNTIF($AG$2:$AG$50,"?*"),23),16,FALSE),"")</f>
        <v/>
      </c>
      <c r="F18" s="425"/>
      <c r="M18" s="4" t="str">
        <f ca="1">IFERROR(IF(VLOOKUP(M17,OFFSET($AG$2,,,COUNTIF($AG$2:$AG$50,"?*"),23),10,FALSE)&lt;&gt;0,VLOOKUP(M17,OFFSET($AG$2,,,COUNTIF($AG$2:$AG$50,"?*"),23),10,FALSE),""),"")</f>
        <v/>
      </c>
      <c r="N18" s="422" t="str">
        <f ca="1">IFERROR(IF(VLOOKUP(M17,OFFSET($AG$2,,,COUNTIF($AG$2:$AG$50,"?*"),23),2,FALSE)&lt;&gt;0,YEAR(VLOOKUP(M17,OFFSET($AG$2,,,COUNTIF($AG$2:$AG$50,"?*"),23),2,FALSE)),""),"")</f>
        <v/>
      </c>
      <c r="O18" s="423"/>
      <c r="P18" s="117" t="str">
        <f ca="1">IFERROR(VLOOKUP(M17,OFFSET($AG$2,,,COUNTIF($AG$2:$AG$50,"?*"),23),15,FALSE),"")</f>
        <v/>
      </c>
      <c r="Q18" s="424" t="str">
        <f ca="1">IFERROR(VLOOKUP(M17,OFFSET($AG$2,,,COUNTIF($AG$2:$AG$50,"?*"),23),16,FALSE),"")</f>
        <v/>
      </c>
      <c r="R18" s="425"/>
      <c r="S18" s="110" t="s">
        <v>487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483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150</v>
      </c>
      <c r="AP18" s="125" t="s">
        <v>27</v>
      </c>
      <c r="AQ18" s="123">
        <v>181</v>
      </c>
      <c r="AR18" s="123">
        <v>72</v>
      </c>
      <c r="AS18" s="126" t="s">
        <v>401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11 OZ, 2 (1+1), -8 ±</v>
      </c>
      <c r="AY18" s="129" t="str">
        <f t="shared" ca="1" si="2"/>
        <v>99 OZ, 27 (15+12)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7"/>
      <c r="BT18" s="104" t="s">
        <v>889</v>
      </c>
      <c r="BU18" s="103">
        <v>1</v>
      </c>
      <c r="BV18" s="104" t="str">
        <f t="shared" si="13"/>
        <v>Kevin Majrich</v>
      </c>
      <c r="BW18" s="102">
        <f t="shared" si="14"/>
        <v>1</v>
      </c>
    </row>
    <row r="19" spans="1:75" ht="15" customHeight="1" x14ac:dyDescent="0.2">
      <c r="A19" s="458" t="str">
        <f ca="1">IFERROR(VLOOKUP(A17,OFFSET($AG$2,,,COUNTIF($AG$2:$AG$50,"?*"),23),18,FALSE),"")</f>
        <v/>
      </c>
      <c r="B19" s="459"/>
      <c r="C19" s="459"/>
      <c r="D19" s="460" t="str">
        <f ca="1">IFERROR(VLOOKUP(A17,OFFSET($AG$2,,,COUNTIF($AG$2:$AG$50,"?*"),23),19,FALSE),"")</f>
        <v/>
      </c>
      <c r="E19" s="460"/>
      <c r="F19" s="461"/>
      <c r="H19" s="462" t="str">
        <f>H$8</f>
        <v>OTR</v>
      </c>
      <c r="I19" s="462"/>
      <c r="J19" s="462"/>
      <c r="K19" s="462"/>
      <c r="M19" s="458" t="str">
        <f ca="1">IFERROR(VLOOKUP(M17,OFFSET($AG$2,,,COUNTIF($AG$2:$AG$50,"?*"),23),18,FALSE),"")</f>
        <v/>
      </c>
      <c r="N19" s="459"/>
      <c r="O19" s="459"/>
      <c r="P19" s="460" t="str">
        <f ca="1">IFERROR(VLOOKUP(M17,OFFSET($AG$2,,,COUNTIF($AG$2:$AG$50,"?*"),23),19,FALSE),"")</f>
        <v/>
      </c>
      <c r="Q19" s="460"/>
      <c r="R19" s="461"/>
      <c r="S19" s="110" t="s">
        <v>480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498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7"/>
      <c r="BT19" s="104" t="s">
        <v>891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/>
      </c>
      <c r="B20" s="447"/>
      <c r="C20" s="448"/>
      <c r="D20" s="449" t="str">
        <f ca="1">IFERROR(IF(VLOOKUP(A17,OFFSET($AG$2,,,COUNTIF($AG$2:$AG$50,"?*"),23),14,FALSE)&lt;&gt;0,VLOOKUP(A17,OFFSET($AG$2,,,COUNTIF($AG$2:$AG$50,"?*"),23),14,FALSE),"?"),"")</f>
        <v/>
      </c>
      <c r="E20" s="450"/>
      <c r="F20" s="7" t="str">
        <f ca="1">IFERROR(IF(VLOOKUP(A17,OFFSET($AG$2,,,COUNTIF($AG$2:$AG$50,"?*"),23),7,FALSE)&lt;&gt;0,VLOOKUP(A17,OFFSET($AG$2,,,COUNTIF($AG$2:$AG$50,"?*"),23),7,FALSE),"?"),"")</f>
        <v/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/>
      </c>
      <c r="N20" s="447"/>
      <c r="O20" s="448"/>
      <c r="P20" s="449" t="str">
        <f ca="1">IFERROR(IF(VLOOKUP(M17,OFFSET($AG$2,,,COUNTIF($AG$2:$AG$50,"?*"),23),14,FALSE)&lt;&gt;0,VLOOKUP(M17,OFFSET($AG$2,,,COUNTIF($AG$2:$AG$50,"?*"),23),14,FALSE),"?"),"")</f>
        <v/>
      </c>
      <c r="Q20" s="4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477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480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520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892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482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137</v>
      </c>
      <c r="AQ21" s="123">
        <v>182</v>
      </c>
      <c r="AR21" s="123">
        <v>74</v>
      </c>
      <c r="AS21" s="126" t="s">
        <v>521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894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-11</v>
      </c>
      <c r="AC22" s="102" t="str">
        <f t="shared" ca="1" si="0"/>
        <v>NE</v>
      </c>
      <c r="AG22" s="121" t="s">
        <v>499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137</v>
      </c>
      <c r="AQ22" s="123">
        <v>182</v>
      </c>
      <c r="AR22" s="123">
        <v>79</v>
      </c>
      <c r="AS22" s="126" t="s">
        <v>516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7" t="s">
        <v>38</v>
      </c>
      <c r="BT22" s="104" t="s">
        <v>786</v>
      </c>
      <c r="BU22" s="103">
        <v>11</v>
      </c>
      <c r="BV22" s="104" t="str">
        <f t="shared" si="13"/>
        <v>Ronald Gašparík</v>
      </c>
      <c r="BW22" s="102">
        <f t="shared" si="14"/>
        <v>11</v>
      </c>
    </row>
    <row r="23" spans="1:75" ht="15" customHeight="1" thickTop="1" thickBot="1" x14ac:dyDescent="0.25">
      <c r="A23" s="429"/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3" t="s">
        <v>13</v>
      </c>
      <c r="I23" s="463"/>
      <c r="J23" s="463"/>
      <c r="K23" s="463"/>
      <c r="M23" s="429"/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893</v>
      </c>
      <c r="T23" s="102" t="s">
        <v>58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-9</v>
      </c>
      <c r="AC23" s="102" t="str">
        <f t="shared" ca="1" si="0"/>
        <v>NE</v>
      </c>
      <c r="AG23" s="121" t="s">
        <v>473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137</v>
      </c>
      <c r="AQ23" s="123">
        <v>179</v>
      </c>
      <c r="AR23" s="123">
        <v>77</v>
      </c>
      <c r="AS23" s="126" t="s">
        <v>522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11 OZ, 13 (9+4), -6 ±</v>
      </c>
      <c r="AY23" s="129" t="str">
        <f t="shared" ca="1" si="2"/>
        <v>73 OZ, 46 (28+18)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7"/>
      <c r="BT23" s="104" t="s">
        <v>1300</v>
      </c>
      <c r="BU23" s="103">
        <v>7</v>
      </c>
      <c r="BV23" s="104" t="str">
        <f t="shared" si="13"/>
        <v>Lukáš Petřík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2" t="str">
        <f ca="1">IFERROR(IF(VLOOKUP(A23,OFFSET($AG$2,,,COUNTIF($AG$2:$AG$50,"?*"),23),2,FALSE)&lt;&gt;0,YEAR(VLOOKUP(A23,OFFSET($AG$2,,,COUNTIF($AG$2:$AG$50,"?*"),23),2,FALSE)),""),"")</f>
        <v/>
      </c>
      <c r="C24" s="423"/>
      <c r="D24" s="117" t="str">
        <f ca="1">IFERROR(VLOOKUP(A23,OFFSET($AG$2,,,COUNTIF($AG$2:$AG$50,"?*"),23),15,FALSE),"")</f>
        <v/>
      </c>
      <c r="E24" s="424" t="str">
        <f ca="1">IFERROR(VLOOKUP(A23,OFFSET($AG$2,,,COUNTIF($AG$2:$AG$50,"?*"),23),16,FALSE),"")</f>
        <v/>
      </c>
      <c r="F24" s="425"/>
      <c r="M24" s="4" t="str">
        <f ca="1">IFERROR(IF(VLOOKUP(M23,OFFSET($AG$2,,,COUNTIF($AG$2:$AG$50,"?*"),23),10,FALSE)&lt;&gt;0,VLOOKUP(M23,OFFSET($AG$2,,,COUNTIF($AG$2:$AG$50,"?*"),23),10,FALSE),""),"")</f>
        <v/>
      </c>
      <c r="N24" s="422" t="str">
        <f ca="1">IFERROR(IF(VLOOKUP(M23,OFFSET($AG$2,,,COUNTIF($AG$2:$AG$50,"?*"),23),2,FALSE)&lt;&gt;0,YEAR(VLOOKUP(M23,OFFSET($AG$2,,,COUNTIF($AG$2:$AG$50,"?*"),23),2,FALSE)),""),"")</f>
        <v/>
      </c>
      <c r="O24" s="423"/>
      <c r="P24" s="117" t="str">
        <f ca="1">IFERROR(VLOOKUP(M23,OFFSET($AG$2,,,COUNTIF($AG$2:$AG$50,"?*"),23),15,FALSE),"")</f>
        <v/>
      </c>
      <c r="Q24" s="424" t="str">
        <f ca="1">IFERROR(VLOOKUP(M23,OFFSET($AG$2,,,COUNTIF($AG$2:$AG$50,"?*"),23),16,FALSE),"")</f>
        <v/>
      </c>
      <c r="R24" s="425"/>
      <c r="S24" s="110" t="s">
        <v>481</v>
      </c>
      <c r="T24" s="102" t="s">
        <v>107</v>
      </c>
      <c r="U24" s="102">
        <v>8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476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137</v>
      </c>
      <c r="AQ24" s="123">
        <v>192</v>
      </c>
      <c r="AR24" s="123">
        <v>81</v>
      </c>
      <c r="AS24" s="126" t="s">
        <v>523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11 (4+7), -15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317 OZ, 273 (125+148)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7"/>
      <c r="BT24" s="104" t="s">
        <v>1301</v>
      </c>
      <c r="BU24" s="103">
        <v>7</v>
      </c>
      <c r="BV24" s="104" t="str">
        <f t="shared" si="13"/>
        <v>Tomáš Sovják</v>
      </c>
      <c r="BW24" s="102">
        <f t="shared" si="14"/>
        <v>7</v>
      </c>
    </row>
    <row r="25" spans="1:75" ht="15" customHeight="1" thickTop="1" thickBot="1" x14ac:dyDescent="0.25">
      <c r="A25" s="458" t="str">
        <f ca="1">IFERROR(VLOOKUP(A23,OFFSET($AG$2,,,COUNTIF($AG$2:$AG$50,"?*"),23),18,FALSE),"")</f>
        <v/>
      </c>
      <c r="B25" s="459"/>
      <c r="C25" s="459"/>
      <c r="D25" s="460" t="str">
        <f ca="1">IFERROR(VLOOKUP(A23,OFFSET($AG$2,,,COUNTIF($AG$2:$AG$50,"?*"),23),19,FALSE),"")</f>
        <v/>
      </c>
      <c r="E25" s="460"/>
      <c r="F25" s="461"/>
      <c r="G25" s="429"/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8" t="str">
        <f ca="1">IFERROR(VLOOKUP(M23,OFFSET($AG$2,,,COUNTIF($AG$2:$AG$50,"?*"),23),18,FALSE),"")</f>
        <v/>
      </c>
      <c r="N25" s="459"/>
      <c r="O25" s="459"/>
      <c r="P25" s="460" t="str">
        <f ca="1">IFERROR(VLOOKUP(M23,OFFSET($AG$2,,,COUNTIF($AG$2:$AG$50,"?*"),23),19,FALSE),"")</f>
        <v/>
      </c>
      <c r="Q25" s="460"/>
      <c r="R25" s="461"/>
      <c r="S25" s="110" t="s">
        <v>484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NE</v>
      </c>
      <c r="AG25" s="121" t="s">
        <v>500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137</v>
      </c>
      <c r="AQ25" s="123">
        <v>187</v>
      </c>
      <c r="AR25" s="123">
        <v>78</v>
      </c>
      <c r="AS25" s="126" t="s">
        <v>516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7"/>
      <c r="BT25" s="104" t="s">
        <v>1302</v>
      </c>
      <c r="BU25" s="103">
        <v>6</v>
      </c>
      <c r="BV25" s="104" t="str">
        <f t="shared" si="13"/>
        <v>František Vykopal</v>
      </c>
      <c r="BW25" s="102">
        <f t="shared" si="14"/>
        <v>6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/>
      </c>
      <c r="B26" s="447"/>
      <c r="C26" s="448"/>
      <c r="D26" s="449" t="str">
        <f ca="1">IFERROR(IF(VLOOKUP(A23,OFFSET($AG$2,,,COUNTIF($AG$2:$AG$50,"?*"),23),14,FALSE)&lt;&gt;0,VLOOKUP(A23,OFFSET($AG$2,,,COUNTIF($AG$2:$AG$50,"?*"),23),14,FALSE),"?"),"")</f>
        <v/>
      </c>
      <c r="E26" s="4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2" t="str">
        <f ca="1">IFERROR(IF(VLOOKUP(G25,OFFSET($AG$2,,,COUNTIF($AG$2:$AG$50,"?*"),23),2,FALSE)&lt;&gt;0,YEAR(VLOOKUP(G25,OFFSET($AG$2,,,COUNTIF($AG$2:$AG$50,"?*"),23),2,FALSE)),""),"")</f>
        <v/>
      </c>
      <c r="I26" s="423"/>
      <c r="J26" s="117" t="str">
        <f ca="1">IFERROR(VLOOKUP(G25,OFFSET($AG$2,,,COUNTIF($AG$2:$AG$50,"?*"),23),15,FALSE),"")</f>
        <v/>
      </c>
      <c r="K26" s="424" t="str">
        <f ca="1">IFERROR(VLOOKUP(G25,OFFSET($AG$2,,,COUNTIF($AG$2:$AG$50,"?*"),23),16,FALSE),"")</f>
        <v/>
      </c>
      <c r="L26" s="425"/>
      <c r="M26" s="446" t="str">
        <f ca="1">IFERROR(IF(VLOOKUP(M23,OFFSET($AG$2,,,COUNTIF($AG$2:$AG$50,"?*"),23),13,FALSE)&lt;&gt;0,VLOOKUP(M23,OFFSET($AG$2,,,COUNTIF($AG$2:$AG$50,"?*"),23),13,FALSE),"?"),"")</f>
        <v/>
      </c>
      <c r="N26" s="447"/>
      <c r="O26" s="448"/>
      <c r="P26" s="449" t="str">
        <f ca="1">IFERROR(IF(VLOOKUP(M23,OFFSET($AG$2,,,COUNTIF($AG$2:$AG$50,"?*"),23),14,FALSE)&lt;&gt;0,VLOOKUP(M23,OFFSET($AG$2,,,COUNTIF($AG$2:$AG$50,"?*"),23),14,FALSE),"?"),"")</f>
        <v/>
      </c>
      <c r="Q26" s="4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501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524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7"/>
      <c r="BT26" s="104" t="s">
        <v>1303</v>
      </c>
      <c r="BU26" s="103">
        <v>4</v>
      </c>
      <c r="BV26" s="104" t="str">
        <f t="shared" si="13"/>
        <v>David Ležatka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/>
      </c>
      <c r="H27" s="459"/>
      <c r="I27" s="459"/>
      <c r="J27" s="460" t="str">
        <f ca="1">IFERROR(VLOOKUP(G25,OFFSET($AG$2,,,COUNTIF($AG$2:$AG$50,"?*"),23),19,FALSE),"")</f>
        <v/>
      </c>
      <c r="K27" s="460"/>
      <c r="L27" s="461"/>
      <c r="S27" s="111"/>
      <c r="AC27" s="102" t="str">
        <f t="shared" ca="1" si="0"/>
        <v/>
      </c>
      <c r="AG27" s="121" t="s">
        <v>502</v>
      </c>
      <c r="AH27" s="122"/>
      <c r="AI27" s="123"/>
      <c r="AJ27" s="123"/>
      <c r="AK27" s="123"/>
      <c r="AL27" s="124">
        <f>IF(AG27&lt;&gt;"",AJ27+AK27,"")</f>
        <v>0</v>
      </c>
      <c r="AM27" s="123" t="s">
        <v>282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7" t="s">
        <v>39</v>
      </c>
      <c r="BT27" s="104" t="s">
        <v>1304</v>
      </c>
      <c r="BU27" s="103">
        <v>6</v>
      </c>
      <c r="BV27" s="104" t="str">
        <f t="shared" si="13"/>
        <v>Martin Ležatka</v>
      </c>
      <c r="BW27" s="102">
        <f t="shared" si="14"/>
        <v>6</v>
      </c>
    </row>
    <row r="28" spans="1:75" ht="15" customHeight="1" thickTop="1" thickBot="1" x14ac:dyDescent="0.25">
      <c r="A28" s="429"/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6" t="str">
        <f ca="1">IFERROR(IF(VLOOKUP(G25,OFFSET($AG$2,,,COUNTIF($AG$2:$AG$50,"?*"),23),13,FALSE)&lt;&gt;0,VLOOKUP(G25,OFFSET($AG$2,,,COUNTIF($AG$2:$AG$50,"?*"),23),13,FALSE),"?"),"")</f>
        <v/>
      </c>
      <c r="H28" s="447"/>
      <c r="I28" s="448"/>
      <c r="J28" s="449" t="str">
        <f ca="1">IFERROR(IF(VLOOKUP(G25,OFFSET($AG$2,,,COUNTIF($AG$2:$AG$50,"?*"),23),14,FALSE)&lt;&gt;0,VLOOKUP(G25,OFFSET($AG$2,,,COUNTIF($AG$2:$AG$50,"?*"),23),14,FALSE),"?"),"")</f>
        <v/>
      </c>
      <c r="K28" s="450"/>
      <c r="L28" s="7" t="str">
        <f ca="1">IFERROR(IF(VLOOKUP(G25,OFFSET($AG$2,,,COUNTIF($AG$2:$AG$50,"?*"),23),7,FALSE)&lt;&gt;0,VLOOKUP(G25,OFFSET($AG$2,,,COUNTIF($AG$2:$AG$50,"?*"),23),7,FALSE),"?"),"")</f>
        <v/>
      </c>
      <c r="M28" s="429"/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503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137</v>
      </c>
      <c r="AQ28" s="123">
        <v>190</v>
      </c>
      <c r="AR28" s="123">
        <v>82</v>
      </c>
      <c r="AS28" s="126" t="s">
        <v>516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9 OZ, 9 (2+7), +4 ±</v>
      </c>
      <c r="AY28" s="129" t="str">
        <f t="shared" ca="1" si="16"/>
        <v>218 OZ, 179 (109+70)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7"/>
      <c r="BT28" s="104" t="s">
        <v>1305</v>
      </c>
      <c r="BU28" s="103">
        <v>6</v>
      </c>
      <c r="BV28" s="104" t="str">
        <f t="shared" si="13"/>
        <v>Tomáš Sovják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2" t="str">
        <f ca="1">IFERROR(IF(VLOOKUP(A28,OFFSET($AG$2,,,COUNTIF($AG$2:$AG$50,"?*"),23),2,FALSE)&lt;&gt;0,YEAR(VLOOKUP(A28,OFFSET($AG$2,,,COUNTIF($AG$2:$AG$50,"?*"),23),2,FALSE)),""),"")</f>
        <v/>
      </c>
      <c r="C29" s="423"/>
      <c r="D29" s="117" t="str">
        <f ca="1">IFERROR(VLOOKUP(A28,OFFSET($AG$2,,,COUNTIF($AG$2:$AG$50,"?*"),23),15,FALSE),"")</f>
        <v/>
      </c>
      <c r="E29" s="424" t="str">
        <f ca="1">IFERROR(VLOOKUP(A28,OFFSET($AG$2,,,COUNTIF($AG$2:$AG$50,"?*"),23),16,FALSE),"")</f>
        <v/>
      </c>
      <c r="F29" s="425"/>
      <c r="M29" s="4" t="str">
        <f ca="1">IFERROR(IF(VLOOKUP(M28,OFFSET($AG$2,,,COUNTIF($AG$2:$AG$50,"?*"),23),10,FALSE)&lt;&gt;0,VLOOKUP(M28,OFFSET($AG$2,,,COUNTIF($AG$2:$AG$50,"?*"),23),10,FALSE),""),"")</f>
        <v/>
      </c>
      <c r="N29" s="422" t="str">
        <f ca="1">IFERROR(IF(VLOOKUP(M28,OFFSET($AG$2,,,COUNTIF($AG$2:$AG$50,"?*"),23),2,FALSE)&lt;&gt;0,YEAR(VLOOKUP(M28,OFFSET($AG$2,,,COUNTIF($AG$2:$AG$50,"?*"),23),2,FALSE)),""),"")</f>
        <v/>
      </c>
      <c r="O29" s="423"/>
      <c r="P29" s="117" t="str">
        <f ca="1">IFERROR(VLOOKUP(M28,OFFSET($AG$2,,,COUNTIF($AG$2:$AG$50,"?*"),23),15,FALSE),"")</f>
        <v/>
      </c>
      <c r="Q29" s="424" t="str">
        <f ca="1">IFERROR(VLOOKUP(M28,OFFSET($AG$2,,,COUNTIF($AG$2:$AG$50,"?*"),23),16,FALSE),"")</f>
        <v/>
      </c>
      <c r="R29" s="425"/>
      <c r="S29" s="111"/>
      <c r="AC29" s="102" t="str">
        <f t="shared" ca="1" si="0"/>
        <v/>
      </c>
      <c r="AG29" s="121" t="s">
        <v>504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137</v>
      </c>
      <c r="AQ29" s="123">
        <v>185</v>
      </c>
      <c r="AR29" s="123">
        <v>78</v>
      </c>
      <c r="AS29" s="126" t="s">
        <v>525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7"/>
      <c r="BT29" s="104" t="s">
        <v>1306</v>
      </c>
      <c r="BU29" s="103">
        <v>4</v>
      </c>
      <c r="BV29" s="104" t="str">
        <f t="shared" si="13"/>
        <v>Jiří Halama</v>
      </c>
      <c r="BW29" s="102">
        <f t="shared" si="14"/>
        <v>4</v>
      </c>
    </row>
    <row r="30" spans="1:75" ht="15" customHeight="1" x14ac:dyDescent="0.2">
      <c r="A30" s="458" t="str">
        <f ca="1">IFERROR(VLOOKUP(A28,OFFSET($AG$2,,,COUNTIF($AG$2:$AG$50,"?*"),23),18,FALSE),"")</f>
        <v/>
      </c>
      <c r="B30" s="459"/>
      <c r="C30" s="459"/>
      <c r="D30" s="460" t="str">
        <f ca="1">IFERROR(VLOOKUP(A28,OFFSET($AG$2,,,COUNTIF($AG$2:$AG$50,"?*"),23),19,FALSE),"")</f>
        <v/>
      </c>
      <c r="E30" s="460"/>
      <c r="F30" s="461"/>
      <c r="H30" s="462" t="str">
        <f>H$8</f>
        <v>OTR</v>
      </c>
      <c r="I30" s="462"/>
      <c r="J30" s="462"/>
      <c r="K30" s="462"/>
      <c r="M30" s="458" t="str">
        <f ca="1">IFERROR(VLOOKUP(M28,OFFSET($AG$2,,,COUNTIF($AG$2:$AG$50,"?*"),23),18,FALSE),"")</f>
        <v/>
      </c>
      <c r="N30" s="459"/>
      <c r="O30" s="459"/>
      <c r="P30" s="460" t="str">
        <f ca="1">IFERROR(VLOOKUP(M28,OFFSET($AG$2,,,COUNTIF($AG$2:$AG$50,"?*"),23),19,FALSE),"")</f>
        <v/>
      </c>
      <c r="Q30" s="460"/>
      <c r="R30" s="461"/>
      <c r="S30" s="111"/>
      <c r="AC30" s="102" t="str">
        <f t="shared" ca="1" si="0"/>
        <v/>
      </c>
      <c r="AG30" s="121" t="s">
        <v>505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7"/>
      <c r="BT30" s="104" t="s">
        <v>1307</v>
      </c>
      <c r="BU30" s="103">
        <v>4</v>
      </c>
      <c r="BV30" s="104" t="str">
        <f t="shared" si="13"/>
        <v>Josef Štourač</v>
      </c>
      <c r="BW30" s="102">
        <f t="shared" si="14"/>
        <v>4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/>
      </c>
      <c r="B31" s="447"/>
      <c r="C31" s="448"/>
      <c r="D31" s="449" t="str">
        <f ca="1">IFERROR(IF(VLOOKUP(A28,OFFSET($AG$2,,,COUNTIF($AG$2:$AG$50,"?*"),23),14,FALSE)&lt;&gt;0,VLOOKUP(A28,OFFSET($AG$2,,,COUNTIF($AG$2:$AG$50,"?*"),23),14,FALSE),"?"),"")</f>
        <v/>
      </c>
      <c r="E31" s="450"/>
      <c r="F31" s="7" t="str">
        <f ca="1">IFERROR(IF(VLOOKUP(A28,OFFSET($AG$2,,,COUNTIF($AG$2:$AG$50,"?*"),23),7,FALSE)&lt;&gt;0,VLOOKUP(A28,OFFSET($AG$2,,,COUNTIF($AG$2:$AG$50,"?*"),23),7,FALSE),"?"),"")</f>
        <v/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/>
      </c>
      <c r="N31" s="447"/>
      <c r="O31" s="448"/>
      <c r="P31" s="449" t="str">
        <f ca="1">IFERROR(IF(VLOOKUP(M28,OFFSET($AG$2,,,COUNTIF($AG$2:$AG$50,"?*"),23),14,FALSE)&lt;&gt;0,VLOOKUP(M28,OFFSET($AG$2,,,COUNTIF($AG$2:$AG$50,"?*"),23),14,FALSE),"?"),"")</f>
        <v/>
      </c>
      <c r="Q31" s="4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481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137</v>
      </c>
      <c r="AQ31" s="123">
        <v>184</v>
      </c>
      <c r="AR31" s="123">
        <v>72</v>
      </c>
      <c r="AS31" s="126" t="s">
        <v>516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8 OZ, 0 (0+0), -5 ±</v>
      </c>
      <c r="AY31" s="129" t="str">
        <f t="shared" ca="1" si="16"/>
        <v>27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7"/>
      <c r="BT31" s="104" t="s">
        <v>1308</v>
      </c>
      <c r="BU31" s="103">
        <v>4</v>
      </c>
      <c r="BV31" s="104" t="str">
        <f t="shared" si="13"/>
        <v>Ronald Gašparík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506</v>
      </c>
      <c r="AH32" s="122"/>
      <c r="AI32" s="123"/>
      <c r="AJ32" s="123"/>
      <c r="AK32" s="123"/>
      <c r="AL32" s="124">
        <f>IF(AG32&lt;&gt;"",AJ32+AK32,"")</f>
        <v>0</v>
      </c>
      <c r="AM32" s="123" t="s">
        <v>282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507</v>
      </c>
      <c r="AH33" s="122"/>
      <c r="AI33" s="123"/>
      <c r="AJ33" s="123"/>
      <c r="AK33" s="123"/>
      <c r="AL33" s="124">
        <f>IF(AG33&lt;&gt;"",AJ33+AK33,"")</f>
        <v>0</v>
      </c>
      <c r="AM33" s="123" t="s">
        <v>282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429"/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7" t="s">
        <v>16</v>
      </c>
      <c r="J34" s="429"/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469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526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10 OZ, 19 (13+6), 0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109 OZ, 89 (54+35)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2" t="str">
        <f ca="1">IFERROR(IF(VLOOKUP(A34,OFFSET($AG$2,,,COUNTIF($AG$2:$AG$50,"?*"),23),2,FALSE)&lt;&gt;0,YEAR(VLOOKUP(A34,OFFSET($AG$2,,,COUNTIF($AG$2:$AG$50,"?*"),23),2,FALSE)),""),"")</f>
        <v/>
      </c>
      <c r="C35" s="423"/>
      <c r="D35" s="117" t="str">
        <f ca="1">IFERROR(VLOOKUP(A34,OFFSET($AG$2,,,COUNTIF($AG$2:$AG$50,"?*"),23),15,FALSE),"")</f>
        <v/>
      </c>
      <c r="E35" s="424" t="str">
        <f ca="1">IFERROR(VLOOKUP(A34,OFFSET($AG$2,,,COUNTIF($AG$2:$AG$50,"?*"),23),16,FALSE),"")</f>
        <v/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/>
      </c>
      <c r="K35" s="423" t="str">
        <f ca="1">IFERROR(IF(VLOOKUP(J34,OFFSET($AG$2,,,COUNTIF($AG$2:$AG$50,"?*"),23),2,FALSE)&lt;&gt;0,YEAR(VLOOKUP(J34,OFFSET($AG$2,,,COUNTIF($AG$2:$AG$50,"?*"),23),2,FALSE)),""),"")</f>
        <v/>
      </c>
      <c r="L35" s="431"/>
      <c r="M35" s="118" t="str">
        <f ca="1">IFERROR(VLOOKUP(J34,OFFSET($AG$2,,,COUNTIF($AG$2:$AG$50,"?*"),23),15,FALSE),"")</f>
        <v/>
      </c>
      <c r="N35" s="431" t="str">
        <f ca="1">IFERROR(VLOOKUP(J34,OFFSET($AG$2,,,COUNTIF($AG$2:$AG$50,"?*"),23),16,FALSE),"")</f>
        <v/>
      </c>
      <c r="O35" s="431"/>
      <c r="P35" s="431" t="str">
        <f ca="1">IFERROR(VLOOKUP(J34,OFFSET($AG$2,,,COUNTIF($AG$2:$AG$50,"?*"),23),18,FALSE),"")</f>
        <v/>
      </c>
      <c r="Q35" s="431"/>
      <c r="R35" s="432"/>
      <c r="S35" s="111"/>
      <c r="AC35" s="102" t="str">
        <f t="shared" ca="1" si="0"/>
        <v/>
      </c>
      <c r="AG35" s="121" t="s">
        <v>508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527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6" t="str">
        <f ca="1">IFERROR(VLOOKUP(A34,OFFSET($AG$2,,,COUNTIF($AG$2:$AG$50,"?*"),23),18,FALSE),"")</f>
        <v/>
      </c>
      <c r="C36" s="426"/>
      <c r="D36" s="427" t="str">
        <f ca="1">IFERROR(VLOOKUP(A34,OFFSET($S$45,,,COUNTIF($S$45:$S$50,"?*"),14),5,FALSE),"")</f>
        <v/>
      </c>
      <c r="E36" s="428"/>
      <c r="F36" s="17" t="str">
        <f ca="1">IFERROR(VLOOKUP(A34,OFFSET($S$45,,,COUNTIF($S$45:$S$50,"?*"),14),14,FALSE),"")</f>
        <v/>
      </c>
      <c r="H36" s="457"/>
      <c r="J36" s="18" t="str">
        <f ca="1">IFERROR(IF(VLOOKUP(J34,OFFSET($AG$2,,,COUNTIF($AG$2:$AG$50,"?*"),23),7,FALSE)&lt;&gt;0,VLOOKUP(J34,OFFSET($AG$2,,,COUNTIF($AG$2:$AG$50,"?*"),23),7,FALSE),"?"),"")</f>
        <v/>
      </c>
      <c r="K36" s="433" t="str">
        <f ca="1">IFERROR(VLOOKUP(J34,OFFSET($AG$2,,,COUNTIF($AG$2:$AG$50,"?*"),23),19,FALSE),"")</f>
        <v/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/>
      </c>
      <c r="O36" s="434"/>
      <c r="P36" s="434"/>
      <c r="Q36" s="433" t="str">
        <f ca="1">IFERROR(IF(VLOOKUP(J34,OFFSET($AG$2,,,COUNTIF($AG$2:$AG$50,"?*"),23),14,FALSE)&lt;&gt;0,VLOOKUP(J34,OFFSET($AG$2,,,COUNTIF($AG$2:$AG$50,"?*"),23),14,FALSE),"?"),"")</f>
        <v/>
      </c>
      <c r="R36" s="435"/>
      <c r="S36" s="111"/>
      <c r="AC36" s="102" t="str">
        <f t="shared" ca="1" si="0"/>
        <v/>
      </c>
      <c r="AG36" s="121" t="s">
        <v>509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137</v>
      </c>
      <c r="AQ36" s="123">
        <v>188</v>
      </c>
      <c r="AR36" s="123">
        <v>85</v>
      </c>
      <c r="AS36" s="126" t="s">
        <v>528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451" t="str">
        <f ca="1">IFERROR(VLOOKUP(A34,OFFSET($S$45,,,COUNTIF($S$45:$S$50,"?*"),14),3,FALSE),"")</f>
        <v/>
      </c>
      <c r="B37" s="452"/>
      <c r="C37" s="453" t="str">
        <f ca="1">IFERROR(VLOOKUP(A34,OFFSET($S$45,,,COUNTIF($S$45:$S$50,"?*"),14),13,FALSE),"")</f>
        <v/>
      </c>
      <c r="D37" s="454"/>
      <c r="E37" s="455" t="str">
        <f ca="1">IFERROR(VLOOKUP(A34,OFFSET($AG$2,,,COUNTIF($AG$2:$AG$50,"?*"),23),19,FALSE),"")</f>
        <v/>
      </c>
      <c r="F37" s="456"/>
      <c r="H37" s="45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/>
      </c>
      <c r="B38" s="447"/>
      <c r="C38" s="448"/>
      <c r="D38" s="449" t="str">
        <f ca="1">IFERROR(IF(VLOOKUP(A34,OFFSET($AG$2,,,COUNTIF($AG$2:$AG$50,"?*"),23),14,FALSE)&lt;&gt;0,VLOOKUP(A34,OFFSET($AG$2,,,COUNTIF($AG$2:$AG$50,"?*"),23),14,FALSE),"?"),"")</f>
        <v/>
      </c>
      <c r="E38" s="450"/>
      <c r="F38" s="19" t="str">
        <f ca="1">IFERROR(VLOOKUP(A34,OFFSET($S$45,,,COUNTIF($S$45:$S$50,"?*"),14),6,FALSE),"")</f>
        <v/>
      </c>
      <c r="H38" s="457"/>
      <c r="J38" s="429"/>
      <c r="K38" s="430"/>
      <c r="L38" s="430"/>
      <c r="M38" s="430"/>
      <c r="N38" s="430"/>
      <c r="O38" s="430"/>
      <c r="P38" s="4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/>
      </c>
      <c r="K39" s="423" t="str">
        <f ca="1">IFERROR(IF(VLOOKUP(J38,OFFSET($AG$2,,,COUNTIF($AG$2:$AG$50,"?*"),23),2,FALSE)&lt;&gt;0,YEAR(VLOOKUP(J38,OFFSET($AG$2,,,COUNTIF($AG$2:$AG$50,"?*"),23),2,FALSE)),""),"")</f>
        <v/>
      </c>
      <c r="L39" s="431"/>
      <c r="M39" s="150" t="str">
        <f ca="1">IFERROR(VLOOKUP(J38,OFFSET($AG$2,,,COUNTIF($AG$2:$AG$50,"?*"),23),15,FALSE),"")</f>
        <v/>
      </c>
      <c r="N39" s="431" t="str">
        <f ca="1">IFERROR(VLOOKUP(J38,OFFSET($AG$2,,,COUNTIF($AG$2:$AG$50,"?*"),23),16,FALSE),"")</f>
        <v/>
      </c>
      <c r="O39" s="431"/>
      <c r="P39" s="431" t="str">
        <f ca="1">IFERROR(VLOOKUP(J38,OFFSET($AG$2,,,COUNTIF($AG$2:$AG$50,"?*"),23),18,FALSE),"")</f>
        <v/>
      </c>
      <c r="Q39" s="431"/>
      <c r="R39" s="43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9"/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7"/>
      <c r="J40" s="18" t="str">
        <f ca="1">IFERROR(IF(VLOOKUP(J38,OFFSET($AG$2,,,COUNTIF($AG$2:$AG$50,"?*"),23),7,FALSE)&lt;&gt;0,VLOOKUP(J38,OFFSET($AG$2,,,COUNTIF($AG$2:$AG$50,"?*"),23),7,FALSE),"?"),"")</f>
        <v/>
      </c>
      <c r="K40" s="433" t="str">
        <f ca="1">IFERROR(VLOOKUP(J38,OFFSET($AG$2,,,COUNTIF($AG$2:$AG$50,"?*"),23),19,FALSE),"")</f>
        <v/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/>
      </c>
      <c r="O40" s="434"/>
      <c r="P40" s="434"/>
      <c r="Q40" s="433" t="str">
        <f ca="1">IFERROR(IF(VLOOKUP(J38,OFFSET($AG$2,,,COUNTIF($AG$2:$AG$50,"?*"),23),14,FALSE)&lt;&gt;0,VLOOKUP(J38,OFFSET($AG$2,,,COUNTIF($AG$2:$AG$50,"?*"),23),14,FALSE),"?"),"")</f>
        <v/>
      </c>
      <c r="R40" s="43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2" t="str">
        <f ca="1">IFERROR(IF(VLOOKUP(A40,OFFSET($AG$2,,,COUNTIF($AG$2:$AG$50,"?*"),23),2,FALSE)&lt;&gt;0,YEAR(VLOOKUP(A40,OFFSET($AG$2,,,COUNTIF($AG$2:$AG$50,"?*"),23),2,FALSE)),""),"")</f>
        <v/>
      </c>
      <c r="C41" s="423"/>
      <c r="D41" s="117" t="str">
        <f ca="1">IFERROR(VLOOKUP(A40,OFFSET($AG$2,,,COUNTIF($AG$2:$AG$50,"?*"),23),15,FALSE),"")</f>
        <v/>
      </c>
      <c r="E41" s="424" t="str">
        <f ca="1">IFERROR(VLOOKUP(A40,OFFSET($AG$2,,,COUNTIF($AG$2:$AG$50,"?*"),23),16,FALSE),"")</f>
        <v/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6" t="str">
        <f ca="1">IFERROR(VLOOKUP(A40,OFFSET($AG$2,,,COUNTIF($AG$2:$AG$50,"?*"),23),18,FALSE),"")</f>
        <v/>
      </c>
      <c r="C42" s="426"/>
      <c r="D42" s="427" t="str">
        <f ca="1">IFERROR(VLOOKUP(A40,OFFSET($S$45,,,COUNTIF($S$45:$S$50,"?*"),14),5,FALSE),"")</f>
        <v/>
      </c>
      <c r="E42" s="428"/>
      <c r="F42" s="17" t="str">
        <f ca="1">IFERROR(VLOOKUP(A40,OFFSET($S$45,,,COUNTIF($S$45:$S$50,"?*"),14),14,FALSE),"")</f>
        <v/>
      </c>
      <c r="H42" s="457"/>
      <c r="J42" s="429"/>
      <c r="K42" s="430"/>
      <c r="L42" s="430"/>
      <c r="M42" s="430"/>
      <c r="N42" s="430"/>
      <c r="O42" s="430"/>
      <c r="P42" s="4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1" t="str">
        <f ca="1">IFERROR(VLOOKUP(A40,OFFSET($S$45,,,COUNTIF($S$45:$S$50,"?*"),14),3,FALSE),"")</f>
        <v/>
      </c>
      <c r="B43" s="452"/>
      <c r="C43" s="453" t="str">
        <f ca="1">IFERROR(VLOOKUP(A40,OFFSET($S$45,,,COUNTIF($S$45:$S$50,"?*"),14),13,FALSE),"")</f>
        <v/>
      </c>
      <c r="D43" s="454"/>
      <c r="E43" s="455" t="str">
        <f ca="1">IFERROR(VLOOKUP(A40,OFFSET($AG$2,,,COUNTIF($AG$2:$AG$50,"?*"),23),19,FALSE),"")</f>
        <v/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/>
      </c>
      <c r="K43" s="423" t="str">
        <f ca="1">IFERROR(IF(VLOOKUP(J42,OFFSET($AG$2,,,COUNTIF($AG$2:$AG$50,"?*"),23),2,FALSE)&lt;&gt;0,YEAR(VLOOKUP(J42,OFFSET($AG$2,,,COUNTIF($AG$2:$AG$50,"?*"),23),2,FALSE)),""),"")</f>
        <v/>
      </c>
      <c r="L43" s="431"/>
      <c r="M43" s="150" t="str">
        <f ca="1">IFERROR(VLOOKUP(J42,OFFSET($AG$2,,,COUNTIF($AG$2:$AG$50,"?*"),23),15,FALSE),"")</f>
        <v/>
      </c>
      <c r="N43" s="431" t="str">
        <f ca="1">IFERROR(VLOOKUP(J42,OFFSET($AG$2,,,COUNTIF($AG$2:$AG$50,"?*"),23),16,FALSE),"")</f>
        <v/>
      </c>
      <c r="O43" s="431"/>
      <c r="P43" s="431" t="str">
        <f ca="1">IFERROR(VLOOKUP(J42,OFFSET($AG$2,,,COUNTIF($AG$2:$AG$50,"?*"),23),18,FALSE),"")</f>
        <v/>
      </c>
      <c r="Q43" s="431"/>
      <c r="R43" s="432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/>
      </c>
      <c r="B44" s="447"/>
      <c r="C44" s="448"/>
      <c r="D44" s="449" t="str">
        <f ca="1">IFERROR(IF(VLOOKUP(A40,OFFSET($AG$2,,,COUNTIF($AG$2:$AG$50,"?*"),23),14,FALSE)&lt;&gt;0,VLOOKUP(A40,OFFSET($AG$2,,,COUNTIF($AG$2:$AG$50,"?*"),23),14,FALSE),"?"),"")</f>
        <v/>
      </c>
      <c r="E44" s="450"/>
      <c r="F44" s="19" t="str">
        <f ca="1">IFERROR(VLOOKUP(A40,OFFSET($S$45,,,COUNTIF($S$45:$S$50,"?*"),14),6,FALSE),"")</f>
        <v/>
      </c>
      <c r="H44" s="457"/>
      <c r="J44" s="18" t="str">
        <f ca="1">IFERROR(IF(VLOOKUP(J42,OFFSET($AG$2,,,COUNTIF($AG$2:$AG$50,"?*"),23),7,FALSE)&lt;&gt;0,VLOOKUP(J42,OFFSET($AG$2,,,COUNTIF($AG$2:$AG$50,"?*"),23),7,FALSE),"?"),"")</f>
        <v/>
      </c>
      <c r="K44" s="433" t="str">
        <f ca="1">IFERROR(VLOOKUP(J42,OFFSET($AG$2,,,COUNTIF($AG$2:$AG$50,"?*"),23),19,FALSE),"")</f>
        <v/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/>
      </c>
      <c r="O44" s="434"/>
      <c r="P44" s="434"/>
      <c r="Q44" s="433" t="str">
        <f ca="1">IFERROR(IF(VLOOKUP(J42,OFFSET($AG$2,,,COUNTIF($AG$2:$AG$50,"?*"),23),14,FALSE)&lt;&gt;0,VLOOKUP(J42,OFFSET($AG$2,,,COUNTIF($AG$2:$AG$50,"?*"),23),14,FALSE),"?"),"")</f>
        <v/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480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484</v>
      </c>
      <c r="T46" s="102">
        <v>8</v>
      </c>
      <c r="U46" s="112">
        <v>478.01</v>
      </c>
      <c r="V46" s="102">
        <v>1</v>
      </c>
      <c r="W46" s="102">
        <v>48</v>
      </c>
      <c r="X46" s="102">
        <v>0</v>
      </c>
      <c r="Y46" s="102">
        <v>162</v>
      </c>
      <c r="Z46" s="102">
        <v>0</v>
      </c>
      <c r="AA46" s="102">
        <v>7</v>
      </c>
      <c r="AB46" s="102">
        <v>114</v>
      </c>
      <c r="AC46" s="102">
        <v>0</v>
      </c>
      <c r="AD46" s="102">
        <v>0</v>
      </c>
      <c r="AE46" s="112">
        <f t="shared" ref="AE46:AE50" si="23">IF(S46&lt;&gt;"",IF(T46&gt;0,W46/(U46/60),0),"")</f>
        <v>6.0249785569339558</v>
      </c>
      <c r="AF46" s="112">
        <f t="shared" ref="AF46:AF50" si="24">IF(S46&lt;&gt;"",IF(Y46&gt;0,(AB46/Y46)*100,"-"),"")</f>
        <v>70.370370370370367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8"/>
      <c r="B47" s="419"/>
      <c r="C47" s="419"/>
      <c r="D47" s="419"/>
      <c r="E47" s="420" t="str">
        <f ca="1">IFERROR(VLOOKUP(A47,OFFSET($BN$2,,,COUNTIF($BN$2:$BN$11,"?*"),5),3,FALSE),"")</f>
        <v/>
      </c>
      <c r="F47" s="420"/>
      <c r="G47" s="420"/>
      <c r="H47" s="420"/>
      <c r="I47" s="421"/>
      <c r="J47" s="418"/>
      <c r="K47" s="419"/>
      <c r="L47" s="419"/>
      <c r="M47" s="419"/>
      <c r="N47" s="420" t="str">
        <f ca="1">IFERROR(VLOOKUP(J47,OFFSET($BN$2,,,COUNTIF($BN$2:$BN$11,"?*"),5),3,FALSE),"")</f>
        <v/>
      </c>
      <c r="O47" s="420"/>
      <c r="P47" s="420"/>
      <c r="Q47" s="420"/>
      <c r="R47" s="421"/>
      <c r="S47" s="111" t="s">
        <v>892</v>
      </c>
      <c r="T47" s="102">
        <v>2</v>
      </c>
      <c r="U47" s="112">
        <v>74</v>
      </c>
      <c r="V47" s="102">
        <v>0</v>
      </c>
      <c r="W47" s="102">
        <v>14</v>
      </c>
      <c r="X47" s="102">
        <v>0</v>
      </c>
      <c r="Y47" s="102">
        <v>32</v>
      </c>
      <c r="Z47" s="102">
        <v>0</v>
      </c>
      <c r="AA47" s="102">
        <v>2</v>
      </c>
      <c r="AB47" s="102">
        <v>18</v>
      </c>
      <c r="AC47" s="102">
        <v>0</v>
      </c>
      <c r="AD47" s="102">
        <v>0</v>
      </c>
      <c r="AE47" s="112">
        <f t="shared" si="23"/>
        <v>11.351351351351351</v>
      </c>
      <c r="AF47" s="112">
        <f t="shared" si="24"/>
        <v>56.25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6" t="str">
        <f ca="1">IFERROR(VLOOKUP(A47,OFFSET($BN$2,,,COUNTIF($BN$2:$BN$11,"?*"),5),5,FALSE),"")</f>
        <v/>
      </c>
      <c r="B48" s="438" t="str">
        <f ca="1">IFERROR(IF(VLOOKUP(A47,OFFSET($BN$2,,,COUNTIF($BN$2:$BN$11,"?*"),5),4,FALSE)&lt;&gt;0,VLOOKUP(A47,OFFSET($BN$2,,,COUNTIF($BN$2:$BN$11,"?*"),5),4,FALSE),"-"),"")</f>
        <v/>
      </c>
      <c r="C48" s="438"/>
      <c r="D48" s="438"/>
      <c r="E48" s="438"/>
      <c r="F48" s="438"/>
      <c r="G48" s="438"/>
      <c r="H48" s="438"/>
      <c r="I48" s="439"/>
      <c r="J48" s="119" t="str">
        <f ca="1">IFERROR(VLOOKUP(J47,OFFSET($BN$2,,,COUNTIF($BN$2:$BN$11,"?*"),5),5,FALSE),"")</f>
        <v/>
      </c>
      <c r="K48" s="442" t="str">
        <f ca="1">IFERROR(IF(VLOOKUP(J47,OFFSET($BN$2,,,COUNTIF($BN$2:$BN$11,"?*"),5),4,FALSE)&lt;&gt;0,VLOOKUP(J47,OFFSET($BN$2,,,COUNTIF($BN$2:$BN$11,"?*"),5),4,FALSE),"-"),"")</f>
        <v/>
      </c>
      <c r="L48" s="442"/>
      <c r="M48" s="442"/>
      <c r="N48" s="442"/>
      <c r="O48" s="442"/>
      <c r="P48" s="442"/>
      <c r="Q48" s="442"/>
      <c r="R48" s="443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/>
      <c r="K49" s="445"/>
      <c r="L49" s="445"/>
      <c r="M49" s="445"/>
      <c r="N49" s="420" t="str">
        <f ca="1">IFERROR(VLOOKUP(J49,OFFSET($BN$2,,,COUNTIF($BN$2:$BN$11,"?*"),5),3,FALSE),"")</f>
        <v/>
      </c>
      <c r="O49" s="420"/>
      <c r="P49" s="420"/>
      <c r="Q49" s="420"/>
      <c r="R49" s="42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119" t="str">
        <f ca="1">IFERROR(VLOOKUP(J49,OFFSET($BN$2,,,COUNTIF($BN$2:$BN$11,"?*"),5),5,FALSE),"")</f>
        <v/>
      </c>
      <c r="K50" s="442" t="str">
        <f ca="1">IFERROR(IF(VLOOKUP(J49,OFFSET($BN$2,,,COUNTIF($BN$2:$BN$11,"?*"),5),4,FALSE)&lt;&gt;0,VLOOKUP(J49,OFFSET($BN$2,,,COUNTIF($BN$2:$BN$11,"?*"),5),4,FALSE),"-"),"")</f>
        <v/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0F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0F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0F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0F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List17">
    <tabColor rgb="FFFF7C80"/>
  </sheetPr>
  <dimension ref="A1:CA51"/>
  <sheetViews>
    <sheetView view="pageLayout" zoomScaleNormal="100" zoomScaleSheetLayoutView="100" workbookViewId="0">
      <selection activeCell="AG22" sqref="AG22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/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3" t="s">
        <v>1</v>
      </c>
      <c r="I1" s="463"/>
      <c r="J1" s="463"/>
      <c r="K1" s="463"/>
      <c r="M1" s="429"/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2" t="str">
        <f ca="1">IFERROR(IF(VLOOKUP(A1,OFFSET($AG$2,,,COUNTIF($AG$2:$AG$50,"?*"),23),2,FALSE)&lt;&gt;0,YEAR(VLOOKUP(A1,OFFSET($AG$2,,,COUNTIF($AG$2:$AG$50,"?*"),23),2,FALSE)),""),"")</f>
        <v/>
      </c>
      <c r="C2" s="423"/>
      <c r="D2" s="117" t="str">
        <f ca="1">IFERROR(VLOOKUP(A1,OFFSET($AG$2,,,COUNTIF($AG$2:$AG$50,"?*"),23),15,FALSE),"")</f>
        <v/>
      </c>
      <c r="E2" s="424" t="str">
        <f ca="1">IFERROR(VLOOKUP(A1,OFFSET($AG$2,,,COUNTIF($AG$2:$AG$50,"?*"),23),16,FALSE),"")</f>
        <v/>
      </c>
      <c r="F2" s="425"/>
      <c r="M2" s="4" t="str">
        <f ca="1">IFERROR(IF(VLOOKUP(M1,OFFSET($AG$2,,,COUNTIF($AG$2:$AG$50,"?*"),23),10,FALSE)&lt;&gt;0,VLOOKUP(M1,OFFSET($AG$2,,,COUNTIF($AG$2:$AG$50,"?*"),23),10,FALSE),""),"")</f>
        <v/>
      </c>
      <c r="N2" s="422" t="str">
        <f ca="1">IFERROR(IF(VLOOKUP(M1,OFFSET($AG$2,,,COUNTIF($AG$2:$AG$50,"?*"),23),2,FALSE)&lt;&gt;0,YEAR(VLOOKUP(M1,OFFSET($AG$2,,,COUNTIF($AG$2:$AG$50,"?*"),23),2,FALSE)),""),"")</f>
        <v/>
      </c>
      <c r="O2" s="423"/>
      <c r="P2" s="117" t="str">
        <f ca="1">IFERROR(VLOOKUP(M1,OFFSET($AG$2,,,COUNTIF($AG$2:$AG$50,"?*"),23),15,FALSE),"")</f>
        <v/>
      </c>
      <c r="Q2" s="424" t="str">
        <f ca="1">IFERROR(VLOOKUP(M1,OFFSET($AG$2,,,COUNTIF($AG$2:$AG$50,"?*"),23),16,FALSE),"")</f>
        <v/>
      </c>
      <c r="R2" s="425"/>
      <c r="S2" s="110" t="s">
        <v>739</v>
      </c>
      <c r="U2" s="102">
        <v>9</v>
      </c>
      <c r="V2" s="102">
        <v>7</v>
      </c>
      <c r="W2" s="102">
        <v>1</v>
      </c>
      <c r="X2" s="102">
        <v>0</v>
      </c>
      <c r="Y2" s="102">
        <v>6</v>
      </c>
      <c r="Z2" s="102">
        <v>13</v>
      </c>
      <c r="AA2" s="102">
        <v>4</v>
      </c>
      <c r="AB2" s="102">
        <v>-12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750</v>
      </c>
      <c r="AH2" s="122">
        <v>36773</v>
      </c>
      <c r="AI2" s="123">
        <v>6</v>
      </c>
      <c r="AJ2" s="123">
        <v>0</v>
      </c>
      <c r="AK2" s="123">
        <v>0</v>
      </c>
      <c r="AL2" s="124">
        <f>IF(AG2&lt;&gt;"",AJ2+AK2,"")</f>
        <v>0</v>
      </c>
      <c r="AM2" s="123">
        <v>2</v>
      </c>
      <c r="AN2" s="123">
        <v>70</v>
      </c>
      <c r="AO2" s="125"/>
      <c r="AP2" s="125"/>
      <c r="AQ2" s="123">
        <v>186</v>
      </c>
      <c r="AR2" s="123">
        <v>87</v>
      </c>
      <c r="AS2" s="126" t="s">
        <v>1465</v>
      </c>
      <c r="AT2" s="123">
        <v>2012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186/87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3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9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1469</v>
      </c>
      <c r="BO2" s="122">
        <v>32006</v>
      </c>
      <c r="BP2" s="131" t="s">
        <v>236</v>
      </c>
      <c r="BQ2" s="132"/>
      <c r="BR2" s="127">
        <f ca="1">IF(BN2&lt;&gt;"",IF(BO2&lt;&gt;"",INT((TODAY()-BO2)/365),"?"),"")</f>
        <v>34</v>
      </c>
      <c r="BS2" s="417" t="s">
        <v>36</v>
      </c>
      <c r="BT2" s="104" t="s">
        <v>1316</v>
      </c>
      <c r="BU2" s="103">
        <v>13</v>
      </c>
      <c r="BV2" s="104" t="str">
        <f>IFERROR(RIGHT(BT2,LEN(BT2)-SEARCH(" ",BT2)),"")</f>
        <v>Adam Šmíd</v>
      </c>
      <c r="BW2" s="102">
        <f>IF(BT2&lt;&gt;0,_xlfn.NUMBERVALUE(BU2,","),"")</f>
        <v>13</v>
      </c>
      <c r="BX2" s="416" t="s">
        <v>192</v>
      </c>
      <c r="BY2" s="103" t="s">
        <v>861</v>
      </c>
      <c r="BZ2" s="103" t="s">
        <v>860</v>
      </c>
      <c r="CA2" s="115" t="s">
        <v>1313</v>
      </c>
    </row>
    <row r="3" spans="1:79" ht="15" customHeight="1" thickTop="1" thickBot="1" x14ac:dyDescent="0.25">
      <c r="A3" s="458" t="str">
        <f ca="1">IFERROR(VLOOKUP(A1,OFFSET($AG$2,,,COUNTIF($AG$2:$AG$50,"?*"),23),18,FALSE),"")</f>
        <v/>
      </c>
      <c r="B3" s="459"/>
      <c r="C3" s="459"/>
      <c r="D3" s="460" t="str">
        <f ca="1">IFERROR(VLOOKUP(A1,OFFSET($AG$2,,,COUNTIF($AG$2:$AG$50,"?*"),23),19,FALSE),"")</f>
        <v/>
      </c>
      <c r="E3" s="460"/>
      <c r="F3" s="461"/>
      <c r="G3" s="429"/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8" t="str">
        <f ca="1">IFERROR(VLOOKUP(M1,OFFSET($AG$2,,,COUNTIF($AG$2:$AG$50,"?*"),23),18,FALSE),"")</f>
        <v/>
      </c>
      <c r="N3" s="459"/>
      <c r="O3" s="459"/>
      <c r="P3" s="460" t="str">
        <f ca="1">IFERROR(VLOOKUP(M1,OFFSET($AG$2,,,COUNTIF($AG$2:$AG$50,"?*"),23),19,FALSE),"")</f>
        <v/>
      </c>
      <c r="Q3" s="460"/>
      <c r="R3" s="461"/>
      <c r="S3" s="110" t="s">
        <v>745</v>
      </c>
      <c r="T3" s="102" t="s">
        <v>107</v>
      </c>
      <c r="U3" s="102">
        <v>11</v>
      </c>
      <c r="V3" s="102">
        <v>6</v>
      </c>
      <c r="W3" s="102">
        <v>1</v>
      </c>
      <c r="X3" s="102">
        <v>0</v>
      </c>
      <c r="Y3" s="102">
        <v>5</v>
      </c>
      <c r="Z3" s="102">
        <v>11</v>
      </c>
      <c r="AA3" s="102">
        <v>4</v>
      </c>
      <c r="AB3" s="102">
        <v>-14</v>
      </c>
      <c r="AC3" s="102" t="str">
        <f t="shared" ca="1" si="0"/>
        <v>ANO</v>
      </c>
      <c r="AG3" s="121" t="s">
        <v>743</v>
      </c>
      <c r="AH3" s="122">
        <v>36177</v>
      </c>
      <c r="AI3" s="123">
        <v>84</v>
      </c>
      <c r="AJ3" s="123">
        <v>24</v>
      </c>
      <c r="AK3" s="123">
        <v>5</v>
      </c>
      <c r="AL3" s="124">
        <f>IF(AG3&lt;&gt;"",AJ3+AK3,"")</f>
        <v>29</v>
      </c>
      <c r="AM3" s="123">
        <v>5</v>
      </c>
      <c r="AN3" s="123">
        <v>93</v>
      </c>
      <c r="AO3" s="125"/>
      <c r="AP3" s="125" t="s">
        <v>137</v>
      </c>
      <c r="AQ3" s="123">
        <v>171</v>
      </c>
      <c r="AR3" s="123">
        <v>71</v>
      </c>
      <c r="AS3" s="126" t="s">
        <v>217</v>
      </c>
      <c r="AT3" s="123">
        <v>2009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171/71</v>
      </c>
      <c r="AW3" s="128" t="str">
        <f ca="1">IF(AG3&lt;&gt;"",IF(BE3=1,BD3,IF(BH3=1,BG3,IF(BJ3=1,BI3,IF(BL3=1,BK3,BM3)))),"")</f>
        <v>Černý</v>
      </c>
      <c r="AX3" s="129" t="str">
        <f t="shared" ca="1" si="1"/>
        <v>6 OZ, 3 (2+1), -6 ±</v>
      </c>
      <c r="AY3" s="129" t="str">
        <f t="shared" ca="1" si="2"/>
        <v>90 OZ, 32 (26+6)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1470</v>
      </c>
      <c r="BO3" s="122"/>
      <c r="BP3" s="131" t="s">
        <v>237</v>
      </c>
      <c r="BQ3" s="132"/>
      <c r="BR3" s="127" t="str">
        <f t="shared" ref="BR3:BR11" ca="1" si="12">IF(BN3&lt;&gt;"",IF(BO3&lt;&gt;"",INT((TODAY()-BO3)/365),"?"),"")</f>
        <v>?</v>
      </c>
      <c r="BS3" s="417"/>
      <c r="BT3" s="104" t="s">
        <v>1317</v>
      </c>
      <c r="BU3" s="103">
        <v>11</v>
      </c>
      <c r="BV3" s="104" t="str">
        <f t="shared" ref="BV3:BV31" si="13">IFERROR(RIGHT(BT3,LEN(BT3)-SEARCH(" ",BT3)),"")</f>
        <v>Ivo Teichman</v>
      </c>
      <c r="BW3" s="102">
        <f t="shared" ref="BW3:BW31" si="14">IF(BT3&lt;&gt;0,_xlfn.NUMBERVALUE(BU3,","),"")</f>
        <v>11</v>
      </c>
      <c r="BX3" s="416"/>
      <c r="BY3" s="103" t="s">
        <v>1076</v>
      </c>
      <c r="BZ3" s="103" t="s">
        <v>887</v>
      </c>
      <c r="CA3" s="115" t="s">
        <v>792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/>
      </c>
      <c r="B4" s="447"/>
      <c r="C4" s="448"/>
      <c r="D4" s="449" t="str">
        <f ca="1">IFERROR(IF(VLOOKUP(A1,OFFSET($AG$2,,,COUNTIF($AG$2:$AG$50,"?*"),23),14,FALSE)&lt;&gt;0,VLOOKUP(A1,OFFSET($AG$2,,,COUNTIF($AG$2:$AG$50,"?*"),23),14,FALSE),"?"),"")</f>
        <v/>
      </c>
      <c r="E4" s="4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2" t="str">
        <f ca="1">IFERROR(IF(VLOOKUP(G3,OFFSET($AG$2,,,COUNTIF($AG$2:$AG$50,"?*"),23),2,FALSE)&lt;&gt;0,YEAR(VLOOKUP(G3,OFFSET($AG$2,,,COUNTIF($AG$2:$AG$50,"?*"),23),2,FALSE)),""),"")</f>
        <v/>
      </c>
      <c r="I4" s="423"/>
      <c r="J4" s="117" t="str">
        <f ca="1">IFERROR(VLOOKUP(G3,OFFSET($AG$2,,,COUNTIF($AG$2:$AG$50,"?*"),23),15,FALSE),"")</f>
        <v/>
      </c>
      <c r="K4" s="424" t="str">
        <f ca="1">IFERROR(VLOOKUP(G3,OFFSET($AG$2,,,COUNTIF($AG$2:$AG$50,"?*"),23),16,FALSE),"")</f>
        <v/>
      </c>
      <c r="L4" s="425"/>
      <c r="M4" s="446" t="str">
        <f ca="1">IFERROR(IF(VLOOKUP(M1,OFFSET($AG$2,,,COUNTIF($AG$2:$AG$50,"?*"),23),13,FALSE)&lt;&gt;0,VLOOKUP(M1,OFFSET($AG$2,,,COUNTIF($AG$2:$AG$50,"?*"),23),13,FALSE),"?"),"")</f>
        <v/>
      </c>
      <c r="N4" s="447"/>
      <c r="O4" s="448"/>
      <c r="P4" s="449" t="str">
        <f ca="1">IFERROR(IF(VLOOKUP(M1,OFFSET($AG$2,,,COUNTIF($AG$2:$AG$50,"?*"),23),14,FALSE)&lt;&gt;0,VLOOKUP(M1,OFFSET($AG$2,,,COUNTIF($AG$2:$AG$50,"?*"),23),14,FALSE),"?"),"")</f>
        <v/>
      </c>
      <c r="Q4" s="4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607</v>
      </c>
      <c r="U4" s="102">
        <v>11</v>
      </c>
      <c r="V4" s="102">
        <v>6</v>
      </c>
      <c r="W4" s="102">
        <v>0</v>
      </c>
      <c r="X4" s="102">
        <v>0</v>
      </c>
      <c r="Y4" s="102">
        <v>4</v>
      </c>
      <c r="Z4" s="102">
        <v>10</v>
      </c>
      <c r="AA4" s="102">
        <v>0</v>
      </c>
      <c r="AB4" s="102">
        <v>-21</v>
      </c>
      <c r="AC4" s="102" t="str">
        <f t="shared" ca="1" si="0"/>
        <v>ANO</v>
      </c>
      <c r="AG4" s="121" t="s">
        <v>898</v>
      </c>
      <c r="AH4" s="122">
        <v>37831</v>
      </c>
      <c r="AI4" s="123">
        <v>1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80</v>
      </c>
      <c r="AO4" s="125"/>
      <c r="AP4" s="125"/>
      <c r="AQ4" s="123">
        <v>190</v>
      </c>
      <c r="AR4" s="123">
        <v>81</v>
      </c>
      <c r="AS4" s="126" t="s">
        <v>217</v>
      </c>
      <c r="AT4" s="123">
        <v>2013</v>
      </c>
      <c r="AU4" s="127">
        <f ca="1">IF(AG4&lt;&gt;"",IF(AH4&lt;&gt;"",INT((TODAY()-AH4)/365),"?"),"")</f>
        <v>18</v>
      </c>
      <c r="AV4" s="127" t="str">
        <f>IF(AG4&lt;&gt;"",CONCATENATE(IF(AQ4&lt;&gt;"",AQ4,"? "),"/",IF(AR4&lt;&gt;"",AR4," ?")),"")</f>
        <v>190/81</v>
      </c>
      <c r="AW4" s="128" t="str">
        <f ca="1">IF(AG4&lt;&gt;"",IF(BE4=1,BD4,IF(BH4=1,BG4,IF(BJ4=1,BI4,IF(BL4=1,BK4,BM4)))),"")</f>
        <v>Denemark</v>
      </c>
      <c r="AX4" s="129" t="str">
        <f t="shared" ca="1" si="1"/>
        <v>0 V, 2 P</v>
      </c>
      <c r="AY4" s="129" t="str">
        <f t="shared" ca="1" si="2"/>
        <v>3 OZ, 0 A</v>
      </c>
      <c r="AZ4" s="130"/>
      <c r="BA4" s="130"/>
      <c r="BB4" s="130"/>
      <c r="BC4" s="130"/>
      <c r="BD4" s="3" t="str">
        <f t="shared" si="3"/>
        <v>Denemark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1472</v>
      </c>
      <c r="BO4" s="122"/>
      <c r="BP4" s="131" t="s">
        <v>176</v>
      </c>
      <c r="BQ4" s="132"/>
      <c r="BR4" s="127" t="str">
        <f t="shared" ca="1" si="12"/>
        <v>?</v>
      </c>
      <c r="BS4" s="417"/>
      <c r="BT4" s="104" t="s">
        <v>820</v>
      </c>
      <c r="BU4" s="103">
        <v>10</v>
      </c>
      <c r="BV4" s="104" t="str">
        <f t="shared" si="13"/>
        <v>Matyáš Velc</v>
      </c>
      <c r="BW4" s="102">
        <f t="shared" si="14"/>
        <v>10</v>
      </c>
      <c r="BX4" s="416"/>
      <c r="BY4" s="103" t="s">
        <v>839</v>
      </c>
      <c r="BZ4" s="103" t="s">
        <v>857</v>
      </c>
      <c r="CA4" s="115" t="s">
        <v>791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/>
      </c>
      <c r="H5" s="459"/>
      <c r="I5" s="459"/>
      <c r="J5" s="460" t="str">
        <f ca="1">IFERROR(VLOOKUP(G3,OFFSET($AG$2,,,COUNTIF($AG$2:$AG$50,"?*"),23),19,FALSE),"")</f>
        <v/>
      </c>
      <c r="K5" s="460"/>
      <c r="L5" s="461"/>
      <c r="S5" s="110" t="s">
        <v>747</v>
      </c>
      <c r="T5" s="102" t="s">
        <v>107</v>
      </c>
      <c r="U5" s="102">
        <v>11</v>
      </c>
      <c r="V5" s="102">
        <v>3</v>
      </c>
      <c r="W5" s="102">
        <v>0</v>
      </c>
      <c r="X5" s="102">
        <v>0</v>
      </c>
      <c r="Y5" s="102">
        <v>6</v>
      </c>
      <c r="Z5" s="102">
        <v>9</v>
      </c>
      <c r="AA5" s="102">
        <v>2</v>
      </c>
      <c r="AB5" s="102">
        <v>-13</v>
      </c>
      <c r="AC5" s="102" t="str">
        <f t="shared" ca="1" si="0"/>
        <v>ANO</v>
      </c>
      <c r="AG5" s="121" t="s">
        <v>748</v>
      </c>
      <c r="AH5" s="122">
        <v>37027</v>
      </c>
      <c r="AI5" s="123">
        <v>61</v>
      </c>
      <c r="AJ5" s="123">
        <v>0</v>
      </c>
      <c r="AK5" s="123">
        <v>2</v>
      </c>
      <c r="AL5" s="124">
        <f>IF(AG5&lt;&gt;"",AJ5+AK5,"")</f>
        <v>2</v>
      </c>
      <c r="AM5" s="123">
        <v>3</v>
      </c>
      <c r="AN5" s="123">
        <v>1</v>
      </c>
      <c r="AO5" s="125"/>
      <c r="AP5" s="125"/>
      <c r="AQ5" s="123">
        <v>188</v>
      </c>
      <c r="AR5" s="123">
        <v>85</v>
      </c>
      <c r="AS5" s="126" t="s">
        <v>1466</v>
      </c>
      <c r="AT5" s="123">
        <v>2008</v>
      </c>
      <c r="AU5" s="127">
        <f ca="1">IF(AG5&lt;&gt;"",IF(AH5&lt;&gt;"",INT((TODAY()-AH5)/365),"?"),"")</f>
        <v>20</v>
      </c>
      <c r="AV5" s="127" t="str">
        <f>IF(AG5&lt;&gt;"",CONCATENATE(IF(AQ5&lt;&gt;"",AQ5,"? "),"/",IF(AR5&lt;&gt;"",AR5," ?")),"")</f>
        <v>188/85</v>
      </c>
      <c r="AW5" s="128" t="str">
        <f ca="1">IF(AG5&lt;&gt;"",IF(BE5=1,BD5,IF(BH5=1,BG5,IF(BJ5=1,BI5,IF(BL5=1,BK5,BM5)))),"")</f>
        <v>Haleš</v>
      </c>
      <c r="AX5" s="129" t="str">
        <f t="shared" ca="1" si="1"/>
        <v>2 V, 7 P</v>
      </c>
      <c r="AY5" s="129" t="str">
        <f t="shared" ca="1" si="2"/>
        <v>70 OZ, 2 A</v>
      </c>
      <c r="AZ5" s="130"/>
      <c r="BA5" s="130"/>
      <c r="BB5" s="130"/>
      <c r="BC5" s="130"/>
      <c r="BD5" s="89" t="str">
        <f t="shared" si="3"/>
        <v>Haleš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1471</v>
      </c>
      <c r="BO5" s="122"/>
      <c r="BP5" s="131" t="s">
        <v>416</v>
      </c>
      <c r="BQ5" s="132"/>
      <c r="BR5" s="127" t="str">
        <f t="shared" ca="1" si="12"/>
        <v>?</v>
      </c>
      <c r="BS5" s="417"/>
      <c r="BT5" s="104" t="s">
        <v>819</v>
      </c>
      <c r="BU5" s="103">
        <v>9</v>
      </c>
      <c r="BV5" s="104" t="str">
        <f t="shared" si="13"/>
        <v>Přemek Pakosta</v>
      </c>
      <c r="BW5" s="102">
        <f t="shared" si="14"/>
        <v>9</v>
      </c>
      <c r="BX5" s="416"/>
      <c r="BY5" s="103" t="s">
        <v>1141</v>
      </c>
      <c r="BZ5" s="103" t="s">
        <v>868</v>
      </c>
      <c r="CA5" s="115" t="s">
        <v>1314</v>
      </c>
    </row>
    <row r="6" spans="1:79" ht="15" customHeight="1" thickTop="1" thickBot="1" x14ac:dyDescent="0.25">
      <c r="A6" s="429"/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6" t="str">
        <f ca="1">IFERROR(IF(VLOOKUP(G3,OFFSET($AG$2,,,COUNTIF($AG$2:$AG$50,"?*"),23),13,FALSE)&lt;&gt;0,VLOOKUP(G3,OFFSET($AG$2,,,COUNTIF($AG$2:$AG$50,"?*"),23),13,FALSE),"?"),"")</f>
        <v/>
      </c>
      <c r="H6" s="447"/>
      <c r="I6" s="448"/>
      <c r="J6" s="449" t="str">
        <f ca="1">IFERROR(IF(VLOOKUP(G3,OFFSET($AG$2,,,COUNTIF($AG$2:$AG$50,"?*"),23),14,FALSE)&lt;&gt;0,VLOOKUP(G3,OFFSET($AG$2,,,COUNTIF($AG$2:$AG$50,"?*"),23),14,FALSE),"?"),"")</f>
        <v/>
      </c>
      <c r="K6" s="450"/>
      <c r="L6" s="7" t="str">
        <f ca="1">IFERROR(IF(VLOOKUP(G3,OFFSET($AG$2,,,COUNTIF($AG$2:$AG$50,"?*"),23),7,FALSE)&lt;&gt;0,VLOOKUP(G3,OFFSET($AG$2,,,COUNTIF($AG$2:$AG$50,"?*"),23),7,FALSE),"?"),"")</f>
        <v/>
      </c>
      <c r="M6" s="429"/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751</v>
      </c>
      <c r="T6" s="102" t="s">
        <v>107</v>
      </c>
      <c r="U6" s="102">
        <v>6</v>
      </c>
      <c r="V6" s="102">
        <v>4</v>
      </c>
      <c r="W6" s="102">
        <v>1</v>
      </c>
      <c r="X6" s="102">
        <v>0</v>
      </c>
      <c r="Y6" s="102">
        <v>3</v>
      </c>
      <c r="Z6" s="102">
        <v>7</v>
      </c>
      <c r="AA6" s="102">
        <v>0</v>
      </c>
      <c r="AB6" s="102">
        <v>-6</v>
      </c>
      <c r="AC6" s="102" t="str">
        <f t="shared" ca="1" si="0"/>
        <v>ANO</v>
      </c>
      <c r="AG6" s="121" t="s">
        <v>738</v>
      </c>
      <c r="AH6" s="122">
        <v>35514</v>
      </c>
      <c r="AI6" s="123">
        <v>49</v>
      </c>
      <c r="AJ6" s="123">
        <v>2</v>
      </c>
      <c r="AK6" s="123">
        <v>4</v>
      </c>
      <c r="AL6" s="124">
        <f>IF(AG6&lt;&gt;"",AJ6+AK6,"")</f>
        <v>6</v>
      </c>
      <c r="AM6" s="123">
        <v>3</v>
      </c>
      <c r="AN6" s="123">
        <v>42</v>
      </c>
      <c r="AO6" s="125"/>
      <c r="AP6" s="125" t="s">
        <v>27</v>
      </c>
      <c r="AQ6" s="123">
        <v>190</v>
      </c>
      <c r="AR6" s="123">
        <v>88</v>
      </c>
      <c r="AS6" s="126" t="s">
        <v>1467</v>
      </c>
      <c r="AT6" s="123">
        <v>2010</v>
      </c>
      <c r="AU6" s="127">
        <f ca="1">IF(AG6&lt;&gt;"",IF(AH6&lt;&gt;"",INT((TODAY()-AH6)/365),"?"),"")</f>
        <v>24</v>
      </c>
      <c r="AV6" s="127" t="str">
        <f>IF(AG6&lt;&gt;"",CONCATENATE(IF(AQ6&lt;&gt;"",AQ6,"? "),"/",IF(AR6&lt;&gt;"",AR6," ?")),"")</f>
        <v>190/88</v>
      </c>
      <c r="AW6" s="128" t="str">
        <f ca="1">IF(AG6&lt;&gt;"",IF(BE6=1,BD6,IF(BH6=1,BG6,IF(BJ6=1,BI6,IF(BL6=1,BK6,BM6)))),"")</f>
        <v>Klein</v>
      </c>
      <c r="AX6" s="129" t="str">
        <f t="shared" ca="1" si="1"/>
        <v>11 OZ, 2 (2+0), -10 ±</v>
      </c>
      <c r="AY6" s="129" t="str">
        <f t="shared" ca="1" si="2"/>
        <v>60 OZ, 8 (4+4)</v>
      </c>
      <c r="AZ6" s="130"/>
      <c r="BA6" s="130"/>
      <c r="BB6" s="130"/>
      <c r="BC6" s="130"/>
      <c r="BD6" s="3" t="str">
        <f t="shared" si="3"/>
        <v>Klein</v>
      </c>
      <c r="BE6" s="84">
        <f t="shared" ca="1" si="4"/>
        <v>1</v>
      </c>
      <c r="BF6" s="62" t="str">
        <f t="shared" si="5"/>
        <v>V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1473</v>
      </c>
      <c r="BO6" s="122"/>
      <c r="BP6" s="131" t="s">
        <v>413</v>
      </c>
      <c r="BQ6" s="132"/>
      <c r="BR6" s="127" t="str">
        <f t="shared" ca="1" si="12"/>
        <v>?</v>
      </c>
      <c r="BS6" s="417"/>
      <c r="BT6" s="104" t="s">
        <v>1092</v>
      </c>
      <c r="BU6" s="103">
        <v>7</v>
      </c>
      <c r="BV6" s="104" t="str">
        <f t="shared" si="13"/>
        <v>Jan Savický</v>
      </c>
      <c r="BW6" s="102">
        <f t="shared" si="14"/>
        <v>7</v>
      </c>
      <c r="BX6" s="416"/>
      <c r="BY6" s="103" t="s">
        <v>758</v>
      </c>
      <c r="BZ6" s="103" t="s">
        <v>846</v>
      </c>
      <c r="CA6" s="115" t="s">
        <v>1091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2" t="str">
        <f ca="1">IFERROR(IF(VLOOKUP(A6,OFFSET($AG$2,,,COUNTIF($AG$2:$AG$50,"?*"),23),2,FALSE)&lt;&gt;0,YEAR(VLOOKUP(A6,OFFSET($AG$2,,,COUNTIF($AG$2:$AG$50,"?*"),23),2,FALSE)),""),"")</f>
        <v/>
      </c>
      <c r="C7" s="423"/>
      <c r="D7" s="117" t="str">
        <f ca="1">IFERROR(VLOOKUP(A6,OFFSET($AG$2,,,COUNTIF($AG$2:$AG$50,"?*"),23),15,FALSE),"")</f>
        <v/>
      </c>
      <c r="E7" s="424" t="str">
        <f ca="1">IFERROR(VLOOKUP(A6,OFFSET($AG$2,,,COUNTIF($AG$2:$AG$50,"?*"),23),16,FALSE),"")</f>
        <v/>
      </c>
      <c r="F7" s="425"/>
      <c r="M7" s="4" t="str">
        <f ca="1">IFERROR(IF(VLOOKUP(M6,OFFSET($AG$2,,,COUNTIF($AG$2:$AG$50,"?*"),23),10,FALSE)&lt;&gt;0,VLOOKUP(M6,OFFSET($AG$2,,,COUNTIF($AG$2:$AG$50,"?*"),23),10,FALSE),""),"")</f>
        <v/>
      </c>
      <c r="N7" s="422" t="str">
        <f ca="1">IFERROR(IF(VLOOKUP(M6,OFFSET($AG$2,,,COUNTIF($AG$2:$AG$50,"?*"),23),2,FALSE)&lt;&gt;0,YEAR(VLOOKUP(M6,OFFSET($AG$2,,,COUNTIF($AG$2:$AG$50,"?*"),23),2,FALSE)),""),"")</f>
        <v/>
      </c>
      <c r="O7" s="423"/>
      <c r="P7" s="117" t="str">
        <f ca="1">IFERROR(VLOOKUP(M6,OFFSET($AG$2,,,COUNTIF($AG$2:$AG$50,"?*"),23),15,FALSE),"")</f>
        <v/>
      </c>
      <c r="Q7" s="424" t="str">
        <f ca="1">IFERROR(VLOOKUP(M6,OFFSET($AG$2,,,COUNTIF($AG$2:$AG$50,"?*"),23),16,FALSE),"")</f>
        <v/>
      </c>
      <c r="R7" s="425"/>
      <c r="S7" s="110" t="s">
        <v>742</v>
      </c>
      <c r="U7" s="102">
        <v>11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2</v>
      </c>
      <c r="AB7" s="102">
        <v>-13</v>
      </c>
      <c r="AC7" s="102" t="str">
        <f t="shared" ca="1" si="0"/>
        <v>ANO</v>
      </c>
      <c r="AG7" s="121" t="s">
        <v>744</v>
      </c>
      <c r="AH7" s="122">
        <v>37203</v>
      </c>
      <c r="AI7" s="123">
        <v>15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17</v>
      </c>
      <c r="AO7" s="125"/>
      <c r="AP7" s="125" t="s">
        <v>27</v>
      </c>
      <c r="AQ7" s="123">
        <v>184</v>
      </c>
      <c r="AR7" s="123">
        <v>80</v>
      </c>
      <c r="AS7" s="126" t="s">
        <v>217</v>
      </c>
      <c r="AT7" s="123">
        <v>2008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184/80</v>
      </c>
      <c r="AW7" s="128" t="str">
        <f ca="1">IF(AG7&lt;&gt;"",IF(BE7=1,BD7,IF(BH7=1,BG7,IF(BJ7=1,BI7,IF(BL7=1,BK7,BM7)))),"")</f>
        <v>Kohoutek</v>
      </c>
      <c r="AX7" s="129" t="str">
        <f t="shared" ca="1" si="1"/>
        <v>10 OZ, 0 (0+0), -1 ±</v>
      </c>
      <c r="AY7" s="129" t="str">
        <f t="shared" ca="1" si="2"/>
        <v>25 OZ, 1 (0+1)</v>
      </c>
      <c r="AZ7" s="130"/>
      <c r="BA7" s="130"/>
      <c r="BB7" s="130"/>
      <c r="BC7" s="130"/>
      <c r="BD7" s="89" t="str">
        <f t="shared" si="3"/>
        <v>Kohoutek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7" t="s">
        <v>40</v>
      </c>
      <c r="BT7" s="104" t="s">
        <v>752</v>
      </c>
      <c r="BU7" s="103" t="s">
        <v>1318</v>
      </c>
      <c r="BV7" s="104" t="str">
        <f t="shared" si="13"/>
        <v>Martin Haleš</v>
      </c>
      <c r="BW7" s="112">
        <f t="shared" si="14"/>
        <v>7.79</v>
      </c>
      <c r="BX7" s="416" t="s">
        <v>193</v>
      </c>
      <c r="BY7" s="103" t="s">
        <v>972</v>
      </c>
      <c r="BZ7" s="103" t="s">
        <v>880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/>
      </c>
      <c r="B8" s="459"/>
      <c r="C8" s="459"/>
      <c r="D8" s="460" t="str">
        <f ca="1">IFERROR(VLOOKUP(A6,OFFSET($AG$2,,,COUNTIF($AG$2:$AG$50,"?*"),23),19,FALSE),"")</f>
        <v/>
      </c>
      <c r="E8" s="460"/>
      <c r="F8" s="461"/>
      <c r="H8" s="462" t="s">
        <v>98</v>
      </c>
      <c r="I8" s="462"/>
      <c r="J8" s="462"/>
      <c r="K8" s="462"/>
      <c r="M8" s="458" t="str">
        <f ca="1">IFERROR(VLOOKUP(M6,OFFSET($AG$2,,,COUNTIF($AG$2:$AG$50,"?*"),23),18,FALSE),"")</f>
        <v/>
      </c>
      <c r="N8" s="459"/>
      <c r="O8" s="459"/>
      <c r="P8" s="460" t="str">
        <f ca="1">IFERROR(VLOOKUP(M6,OFFSET($AG$2,,,COUNTIF($AG$2:$AG$50,"?*"),23),19,FALSE),"")</f>
        <v/>
      </c>
      <c r="Q8" s="460"/>
      <c r="R8" s="461"/>
      <c r="S8" s="110" t="s">
        <v>740</v>
      </c>
      <c r="U8" s="102">
        <v>11</v>
      </c>
      <c r="V8" s="102">
        <v>2</v>
      </c>
      <c r="W8" s="102">
        <v>0</v>
      </c>
      <c r="X8" s="102">
        <v>0</v>
      </c>
      <c r="Y8" s="102">
        <v>3</v>
      </c>
      <c r="Z8" s="102">
        <v>5</v>
      </c>
      <c r="AA8" s="102">
        <v>6</v>
      </c>
      <c r="AB8" s="102">
        <v>-10</v>
      </c>
      <c r="AC8" s="102" t="str">
        <f t="shared" ca="1" si="0"/>
        <v>ANO</v>
      </c>
      <c r="AG8" s="121" t="s">
        <v>798</v>
      </c>
      <c r="AH8" s="122">
        <v>38044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55</v>
      </c>
      <c r="AO8" s="125"/>
      <c r="AP8" s="125" t="s">
        <v>137</v>
      </c>
      <c r="AQ8" s="123">
        <v>173</v>
      </c>
      <c r="AR8" s="123">
        <v>64</v>
      </c>
      <c r="AS8" s="126" t="s">
        <v>1479</v>
      </c>
      <c r="AT8" s="123">
        <v>2011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173/64</v>
      </c>
      <c r="AW8" s="128" t="str">
        <f ca="1">IF(AG8&lt;&gt;"",IF(BE8=1,BD8,IF(BH8=1,BG8,IF(BJ8=1,BI8,IF(BL8=1,BK8,BM8)))),"")</f>
        <v>Křinka</v>
      </c>
      <c r="AX8" s="129" t="str">
        <f t="shared" ca="1" si="1"/>
        <v>10 OZ, 1 (0+1), -10 ±</v>
      </c>
      <c r="AY8" s="129" t="str">
        <f t="shared" ca="1" si="2"/>
        <v>10 OZ, 1 (0+1)</v>
      </c>
      <c r="AZ8" s="130"/>
      <c r="BA8" s="130"/>
      <c r="BB8" s="130"/>
      <c r="BC8" s="130"/>
      <c r="BD8" s="3" t="str">
        <f t="shared" si="3"/>
        <v>Křinka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7"/>
      <c r="BT8" s="104" t="s">
        <v>753</v>
      </c>
      <c r="BU8" s="103" t="s">
        <v>1319</v>
      </c>
      <c r="BV8" s="104" t="str">
        <f t="shared" si="13"/>
        <v>Karel Aubus</v>
      </c>
      <c r="BW8" s="112">
        <f t="shared" si="14"/>
        <v>7.32</v>
      </c>
      <c r="BX8" s="416"/>
      <c r="BY8" s="103" t="s">
        <v>1063</v>
      </c>
      <c r="BZ8" s="103" t="s">
        <v>873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/>
      </c>
      <c r="B9" s="447"/>
      <c r="C9" s="448"/>
      <c r="D9" s="449" t="str">
        <f ca="1">IFERROR(IF(VLOOKUP(A6,OFFSET($AG$2,,,COUNTIF($AG$2:$AG$50,"?*"),23),14,FALSE)&lt;&gt;0,VLOOKUP(A6,OFFSET($AG$2,,,COUNTIF($AG$2:$AG$50,"?*"),23),14,FALSE),"?"),"")</f>
        <v/>
      </c>
      <c r="E9" s="450"/>
      <c r="F9" s="7" t="str">
        <f ca="1">IFERROR(IF(VLOOKUP(A6,OFFSET($AG$2,,,COUNTIF($AG$2:$AG$50,"?*"),23),7,FALSE)&lt;&gt;0,VLOOKUP(A6,OFFSET($AG$2,,,COUNTIF($AG$2:$AG$50,"?*"),23),7,FALSE),"?"),"")</f>
        <v/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/>
      </c>
      <c r="N9" s="447"/>
      <c r="O9" s="448"/>
      <c r="P9" s="449" t="str">
        <f ca="1">IFERROR(IF(VLOOKUP(M6,OFFSET($AG$2,,,COUNTIF($AG$2:$AG$50,"?*"),23),14,FALSE)&lt;&gt;0,VLOOKUP(M6,OFFSET($AG$2,,,COUNTIF($AG$2:$AG$50,"?*"),23),14,FALSE),"?"),"")</f>
        <v/>
      </c>
      <c r="Q9" s="4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737</v>
      </c>
      <c r="U9" s="102">
        <v>11</v>
      </c>
      <c r="V9" s="102">
        <v>3</v>
      </c>
      <c r="W9" s="102">
        <v>0</v>
      </c>
      <c r="X9" s="102">
        <v>0</v>
      </c>
      <c r="Y9" s="102">
        <v>1</v>
      </c>
      <c r="Z9" s="102">
        <v>4</v>
      </c>
      <c r="AA9" s="102">
        <v>2</v>
      </c>
      <c r="AB9" s="102">
        <v>-9</v>
      </c>
      <c r="AC9" s="102" t="str">
        <f t="shared" ca="1" si="0"/>
        <v>ANO</v>
      </c>
      <c r="AG9" s="121" t="s">
        <v>708</v>
      </c>
      <c r="AH9" s="122">
        <v>37261</v>
      </c>
      <c r="AI9" s="123">
        <v>26</v>
      </c>
      <c r="AJ9" s="123">
        <v>10</v>
      </c>
      <c r="AK9" s="123">
        <v>10</v>
      </c>
      <c r="AL9" s="124">
        <f>IF(AG9&lt;&gt;"",AJ9+AK9,"")</f>
        <v>20</v>
      </c>
      <c r="AM9" s="123">
        <v>3</v>
      </c>
      <c r="AN9" s="123">
        <v>18</v>
      </c>
      <c r="AO9" s="125"/>
      <c r="AP9" s="125" t="s">
        <v>27</v>
      </c>
      <c r="AQ9" s="123">
        <v>181</v>
      </c>
      <c r="AR9" s="123">
        <v>62</v>
      </c>
      <c r="AS9" s="126" t="s">
        <v>1468</v>
      </c>
      <c r="AT9" s="123">
        <v>2009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181/62</v>
      </c>
      <c r="AW9" s="128" t="str">
        <f ca="1">IF(AG9&lt;&gt;"",IF(BE9=1,BD9,IF(BH9=1,BG9,IF(BJ9=1,BI9,IF(BL9=1,BK9,BM9)))),"")</f>
        <v>Kučera</v>
      </c>
      <c r="AX9" s="129" t="str">
        <f t="shared" ca="1" si="1"/>
        <v>11 OZ, 4 (2+2), -9 ±</v>
      </c>
      <c r="AY9" s="129" t="str">
        <f t="shared" ca="1" si="2"/>
        <v>37 OZ, 24 (12+12)</v>
      </c>
      <c r="AZ9" s="130"/>
      <c r="BA9" s="130"/>
      <c r="BB9" s="130"/>
      <c r="BC9" s="130"/>
      <c r="BD9" s="89" t="str">
        <f t="shared" si="3"/>
        <v>Kučera</v>
      </c>
      <c r="BE9" s="91">
        <f t="shared" ca="1" si="4"/>
        <v>1</v>
      </c>
      <c r="BF9" s="90" t="str">
        <f t="shared" si="5"/>
        <v>L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7"/>
      <c r="BT9" s="104" t="s">
        <v>897</v>
      </c>
      <c r="BU9" s="103" t="s">
        <v>1320</v>
      </c>
      <c r="BV9" s="104" t="str">
        <f t="shared" si="13"/>
        <v>Matěj Denemark</v>
      </c>
      <c r="BW9" s="112">
        <f t="shared" si="14"/>
        <v>10.14</v>
      </c>
      <c r="BX9" s="416"/>
      <c r="BY9" s="103" t="s">
        <v>1160</v>
      </c>
      <c r="BZ9" s="103" t="s">
        <v>851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708</v>
      </c>
      <c r="U10" s="102">
        <v>11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4</v>
      </c>
      <c r="AB10" s="102">
        <v>-9</v>
      </c>
      <c r="AC10" s="102" t="str">
        <f t="shared" ca="1" si="0"/>
        <v>ANO</v>
      </c>
      <c r="AG10" s="121" t="s">
        <v>749</v>
      </c>
      <c r="AH10" s="122">
        <v>38002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22</v>
      </c>
      <c r="AO10" s="125"/>
      <c r="AP10" s="125" t="s">
        <v>137</v>
      </c>
      <c r="AQ10" s="123">
        <v>176</v>
      </c>
      <c r="AR10" s="123">
        <v>69</v>
      </c>
      <c r="AS10" s="126" t="s">
        <v>217</v>
      </c>
      <c r="AT10" s="123">
        <v>2011</v>
      </c>
      <c r="AU10" s="127">
        <f ca="1">IF(AG10&lt;&gt;"",IF(AH10&lt;&gt;"",INT((TODAY()-AH10)/365),"?"),"")</f>
        <v>17</v>
      </c>
      <c r="AV10" s="127" t="str">
        <f>IF(AG10&lt;&gt;"",CONCATENATE(IF(AQ10&lt;&gt;"",AQ10,"? "),"/",IF(AR10&lt;&gt;"",AR10," ?")),"")</f>
        <v>176/69</v>
      </c>
      <c r="AW10" s="128" t="str">
        <f ca="1">IF(AG10&lt;&gt;"",IF(BE10=1,BD10,IF(BH10=1,BG10,IF(BJ10=1,BI10,IF(BL10=1,BK10,BM10)))),"")</f>
        <v>Nezval</v>
      </c>
      <c r="AX10" s="129" t="str">
        <f t="shared" ca="1" si="1"/>
        <v>6 OZ, 0 (0+0), -5 ±</v>
      </c>
      <c r="AY10" s="129" t="str">
        <f t="shared" ca="1" si="2"/>
        <v>6 OZ, 0 (0+0)</v>
      </c>
      <c r="AZ10" s="130"/>
      <c r="BA10" s="130"/>
      <c r="BB10" s="130"/>
      <c r="BC10" s="130"/>
      <c r="BD10" s="3" t="str">
        <f t="shared" si="3"/>
        <v>Nezval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7"/>
      <c r="BV10" s="104" t="str">
        <f t="shared" si="13"/>
        <v/>
      </c>
      <c r="BW10" s="112" t="str">
        <f t="shared" si="14"/>
        <v/>
      </c>
      <c r="BX10" s="416"/>
      <c r="BY10" s="103" t="s">
        <v>1143</v>
      </c>
      <c r="BZ10" s="103" t="s">
        <v>850</v>
      </c>
      <c r="CA10" s="115" t="s">
        <v>188</v>
      </c>
    </row>
    <row r="11" spans="1:79" ht="15" customHeight="1" thickTop="1" thickBot="1" x14ac:dyDescent="0.25">
      <c r="R11" s="13"/>
      <c r="S11" s="110" t="s">
        <v>736</v>
      </c>
      <c r="U11" s="102">
        <v>10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0</v>
      </c>
      <c r="AB11" s="102">
        <v>-4</v>
      </c>
      <c r="AC11" s="102" t="str">
        <f t="shared" ca="1" si="0"/>
        <v>ANO</v>
      </c>
      <c r="AG11" s="121" t="s">
        <v>747</v>
      </c>
      <c r="AH11" s="122">
        <v>36104</v>
      </c>
      <c r="AI11" s="123">
        <v>130</v>
      </c>
      <c r="AJ11" s="123">
        <v>59</v>
      </c>
      <c r="AK11" s="123">
        <v>65</v>
      </c>
      <c r="AL11" s="124">
        <f>IF(AG11&lt;&gt;"",AJ11+AK11,"")</f>
        <v>124</v>
      </c>
      <c r="AM11" s="123">
        <v>6</v>
      </c>
      <c r="AN11" s="123">
        <v>11</v>
      </c>
      <c r="AO11" s="125"/>
      <c r="AP11" s="125" t="s">
        <v>137</v>
      </c>
      <c r="AQ11" s="123">
        <v>183</v>
      </c>
      <c r="AR11" s="123">
        <v>78</v>
      </c>
      <c r="AS11" s="126" t="s">
        <v>1468</v>
      </c>
      <c r="AT11" s="123">
        <v>2009</v>
      </c>
      <c r="AU11" s="127">
        <f ca="1">IF(AG11&lt;&gt;"",IF(AH11&lt;&gt;"",INT((TODAY()-AH11)/365),"?"),"")</f>
        <v>23</v>
      </c>
      <c r="AV11" s="127" t="str">
        <f>IF(AG11&lt;&gt;"",CONCATENATE(IF(AQ11&lt;&gt;"",AQ11,"? "),"/",IF(AR11&lt;&gt;"",AR11," ?")),"")</f>
        <v>183/78</v>
      </c>
      <c r="AW11" s="128" t="str">
        <f ca="1">IF(AG11&lt;&gt;"",IF(BE11=1,BD11,IF(BH11=1,BG11,IF(BJ11=1,BI11,IF(BL11=1,BK11,BM11)))),"")</f>
        <v>Pakosta</v>
      </c>
      <c r="AX11" s="129" t="str">
        <f t="shared" ca="1" si="1"/>
        <v>11 OZ, 9 (3+6), -13 ±</v>
      </c>
      <c r="AY11" s="129" t="str">
        <f t="shared" ca="1" si="2"/>
        <v>141 OZ, 133 (62+71)</v>
      </c>
      <c r="AZ11" s="130"/>
      <c r="BA11" s="130"/>
      <c r="BB11" s="130"/>
      <c r="BC11" s="130"/>
      <c r="BD11" s="89" t="str">
        <f t="shared" si="3"/>
        <v>Pakosta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7"/>
      <c r="BV11" s="104" t="str">
        <f t="shared" si="13"/>
        <v/>
      </c>
      <c r="BW11" s="112" t="str">
        <f t="shared" si="14"/>
        <v/>
      </c>
      <c r="BX11" s="416"/>
      <c r="BY11" s="103" t="s">
        <v>1161</v>
      </c>
      <c r="BZ11" s="103" t="s">
        <v>859</v>
      </c>
      <c r="CA11" s="115" t="s">
        <v>188</v>
      </c>
    </row>
    <row r="12" spans="1:79" ht="15" customHeight="1" thickTop="1" thickBot="1" x14ac:dyDescent="0.25">
      <c r="A12" s="429"/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3" t="s">
        <v>7</v>
      </c>
      <c r="I12" s="463"/>
      <c r="J12" s="463"/>
      <c r="K12" s="463"/>
      <c r="M12" s="429"/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743</v>
      </c>
      <c r="U12" s="102">
        <v>6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-6</v>
      </c>
      <c r="AC12" s="102" t="str">
        <f t="shared" ca="1" si="0"/>
        <v>ANO</v>
      </c>
      <c r="AG12" s="121" t="s">
        <v>741</v>
      </c>
      <c r="AH12" s="122">
        <v>35920</v>
      </c>
      <c r="AI12" s="123">
        <v>86</v>
      </c>
      <c r="AJ12" s="123">
        <v>20</v>
      </c>
      <c r="AK12" s="123">
        <v>13</v>
      </c>
      <c r="AL12" s="124">
        <f>IF(AG12&lt;&gt;"",AJ12+AK12,"")</f>
        <v>33</v>
      </c>
      <c r="AM12" s="123">
        <v>6</v>
      </c>
      <c r="AN12" s="123">
        <v>10</v>
      </c>
      <c r="AO12" s="125"/>
      <c r="AP12" s="125" t="s">
        <v>137</v>
      </c>
      <c r="AQ12" s="123">
        <v>163</v>
      </c>
      <c r="AR12" s="123">
        <v>68</v>
      </c>
      <c r="AS12" s="126" t="s">
        <v>1474</v>
      </c>
      <c r="AT12" s="123">
        <v>2008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163/68</v>
      </c>
      <c r="AW12" s="128" t="str">
        <f ca="1">IF(AG12&lt;&gt;"",IF(BE12=1,BD12,IF(BH12=1,BG12,IF(BJ12=1,BI12,IF(BL12=1,BK12,BM12)))),"")</f>
        <v>Petr</v>
      </c>
      <c r="AX12" s="129" t="str">
        <f t="shared" ca="1" si="1"/>
        <v>11 OZ, 1 (1+0), -9 ±</v>
      </c>
      <c r="AY12" s="129" t="str">
        <f t="shared" ca="1" si="2"/>
        <v>97 OZ, 34 (21+13)</v>
      </c>
      <c r="AZ12" s="130"/>
      <c r="BA12" s="130"/>
      <c r="BB12" s="130"/>
      <c r="BC12" s="130"/>
      <c r="BD12" s="3" t="str">
        <f t="shared" si="3"/>
        <v>Petr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7" t="s">
        <v>37</v>
      </c>
      <c r="BT12" s="104" t="s">
        <v>1316</v>
      </c>
      <c r="BU12" s="103">
        <v>7</v>
      </c>
      <c r="BV12" s="104" t="str">
        <f t="shared" si="13"/>
        <v>Adam Šmíd</v>
      </c>
      <c r="BW12" s="102">
        <f t="shared" si="14"/>
        <v>7</v>
      </c>
      <c r="BX12" s="120" t="s">
        <v>191</v>
      </c>
      <c r="BY12" s="100" t="s">
        <v>1315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2" t="str">
        <f ca="1">IFERROR(IF(VLOOKUP(A12,OFFSET($AG$2,,,COUNTIF($AG$2:$AG$50,"?*"),23),2,FALSE)&lt;&gt;0,YEAR(VLOOKUP(A12,OFFSET($AG$2,,,COUNTIF($AG$2:$AG$50,"?*"),23),2,FALSE)),""),"")</f>
        <v/>
      </c>
      <c r="C13" s="423"/>
      <c r="D13" s="117" t="str">
        <f ca="1">IFERROR(VLOOKUP(A12,OFFSET($AG$2,,,COUNTIF($AG$2:$AG$50,"?*"),23),15,FALSE),"")</f>
        <v/>
      </c>
      <c r="E13" s="424" t="str">
        <f ca="1">IFERROR(VLOOKUP(A12,OFFSET($AG$2,,,COUNTIF($AG$2:$AG$50,"?*"),23),16,FALSE),"")</f>
        <v/>
      </c>
      <c r="F13" s="425"/>
      <c r="M13" s="4" t="str">
        <f ca="1">IFERROR(IF(VLOOKUP(M12,OFFSET($AG$2,,,COUNTIF($AG$2:$AG$50,"?*"),23),10,FALSE)&lt;&gt;0,VLOOKUP(M12,OFFSET($AG$2,,,COUNTIF($AG$2:$AG$50,"?*"),23),10,FALSE),""),"")</f>
        <v/>
      </c>
      <c r="N13" s="422" t="str">
        <f ca="1">IFERROR(IF(VLOOKUP(M12,OFFSET($AG$2,,,COUNTIF($AG$2:$AG$50,"?*"),23),2,FALSE)&lt;&gt;0,YEAR(VLOOKUP(M12,OFFSET($AG$2,,,COUNTIF($AG$2:$AG$50,"?*"),23),2,FALSE)),""),"")</f>
        <v/>
      </c>
      <c r="O13" s="423"/>
      <c r="P13" s="117" t="str">
        <f ca="1">IFERROR(VLOOKUP(M12,OFFSET($AG$2,,,COUNTIF($AG$2:$AG$50,"?*"),23),15,FALSE),"")</f>
        <v/>
      </c>
      <c r="Q13" s="424" t="str">
        <f ca="1">IFERROR(VLOOKUP(M12,OFFSET($AG$2,,,COUNTIF($AG$2:$AG$50,"?*"),23),16,FALSE),"")</f>
        <v/>
      </c>
      <c r="R13" s="425"/>
      <c r="S13" s="110" t="s">
        <v>738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0</v>
      </c>
      <c r="Z13" s="102">
        <v>2</v>
      </c>
      <c r="AA13" s="102">
        <v>8</v>
      </c>
      <c r="AB13" s="102">
        <v>-10</v>
      </c>
      <c r="AC13" s="102" t="str">
        <f t="shared" ca="1" si="0"/>
        <v>ANO</v>
      </c>
      <c r="AG13" s="121" t="s">
        <v>736</v>
      </c>
      <c r="AH13" s="122">
        <v>36652</v>
      </c>
      <c r="AI13" s="123">
        <v>56</v>
      </c>
      <c r="AJ13" s="123">
        <v>13</v>
      </c>
      <c r="AK13" s="123">
        <v>7</v>
      </c>
      <c r="AL13" s="124">
        <f>IF(AG13&lt;&gt;"",AJ13+AK13,"")</f>
        <v>20</v>
      </c>
      <c r="AM13" s="123">
        <v>4</v>
      </c>
      <c r="AN13" s="123">
        <v>66</v>
      </c>
      <c r="AO13" s="125"/>
      <c r="AP13" s="125" t="s">
        <v>137</v>
      </c>
      <c r="AQ13" s="123">
        <v>183</v>
      </c>
      <c r="AR13" s="123">
        <v>90</v>
      </c>
      <c r="AS13" s="126" t="s">
        <v>1475</v>
      </c>
      <c r="AT13" s="123">
        <v>2010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183/90</v>
      </c>
      <c r="AW13" s="128" t="str">
        <f ca="1">IF(AG13&lt;&gt;"",IF(BE13=1,BD13,IF(BH13=1,BG13,IF(BJ13=1,BI13,IF(BL13=1,BK13,BM13)))),"")</f>
        <v>Petržela</v>
      </c>
      <c r="AX13" s="129" t="str">
        <f t="shared" ca="1" si="1"/>
        <v>10 OZ, 4 (1+3), -4 ±</v>
      </c>
      <c r="AY13" s="129" t="str">
        <f t="shared" ca="1" si="2"/>
        <v>66 OZ, 24 (14+10)</v>
      </c>
      <c r="AZ13" s="130"/>
      <c r="BA13" s="130"/>
      <c r="BB13" s="130"/>
      <c r="BC13" s="130"/>
      <c r="BD13" s="89" t="str">
        <f t="shared" si="3"/>
        <v>Petržela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7"/>
      <c r="BT13" s="104" t="s">
        <v>1317</v>
      </c>
      <c r="BU13" s="103">
        <v>6</v>
      </c>
      <c r="BV13" s="104" t="str">
        <f t="shared" si="13"/>
        <v>Ivo Teichman</v>
      </c>
      <c r="BW13" s="102">
        <f t="shared" si="14"/>
        <v>6</v>
      </c>
    </row>
    <row r="14" spans="1:79" ht="15" customHeight="1" thickTop="1" thickBot="1" x14ac:dyDescent="0.25">
      <c r="A14" s="458" t="str">
        <f ca="1">IFERROR(VLOOKUP(A12,OFFSET($AG$2,,,COUNTIF($AG$2:$AG$50,"?*"),23),18,FALSE),"")</f>
        <v/>
      </c>
      <c r="B14" s="459"/>
      <c r="C14" s="459"/>
      <c r="D14" s="460" t="str">
        <f ca="1">IFERROR(VLOOKUP(A12,OFFSET($AG$2,,,COUNTIF($AG$2:$AG$50,"?*"),23),19,FALSE),"")</f>
        <v/>
      </c>
      <c r="E14" s="460"/>
      <c r="F14" s="461"/>
      <c r="G14" s="429"/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8" t="str">
        <f ca="1">IFERROR(VLOOKUP(M12,OFFSET($AG$2,,,COUNTIF($AG$2:$AG$50,"?*"),23),18,FALSE),"")</f>
        <v/>
      </c>
      <c r="N14" s="459"/>
      <c r="O14" s="459"/>
      <c r="P14" s="460" t="str">
        <f ca="1">IFERROR(VLOOKUP(M12,OFFSET($AG$2,,,COUNTIF($AG$2:$AG$50,"?*"),23),19,FALSE),"")</f>
        <v/>
      </c>
      <c r="Q14" s="460"/>
      <c r="R14" s="461"/>
      <c r="S14" s="110" t="s">
        <v>746</v>
      </c>
      <c r="U14" s="102">
        <v>11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-18</v>
      </c>
      <c r="AC14" s="102" t="str">
        <f t="shared" ca="1" si="0"/>
        <v>ANO</v>
      </c>
      <c r="AG14" s="121" t="s">
        <v>740</v>
      </c>
      <c r="AH14" s="122">
        <v>36243</v>
      </c>
      <c r="AI14" s="123">
        <v>74</v>
      </c>
      <c r="AJ14" s="123">
        <v>15</v>
      </c>
      <c r="AK14" s="123">
        <v>10</v>
      </c>
      <c r="AL14" s="124">
        <f>IF(AG14&lt;&gt;"",AJ14+AK14,"")</f>
        <v>25</v>
      </c>
      <c r="AM14" s="123">
        <v>4</v>
      </c>
      <c r="AN14" s="123">
        <v>48</v>
      </c>
      <c r="AO14" s="125"/>
      <c r="AP14" s="125" t="s">
        <v>27</v>
      </c>
      <c r="AQ14" s="123">
        <v>191</v>
      </c>
      <c r="AR14" s="123">
        <v>85</v>
      </c>
      <c r="AS14" s="126" t="s">
        <v>217</v>
      </c>
      <c r="AT14" s="123">
        <v>2010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191/85</v>
      </c>
      <c r="AW14" s="128" t="str">
        <f ca="1">IF(AG14&lt;&gt;"",IF(BE14=1,BD14,IF(BH14=1,BG14,IF(BJ14=1,BI14,IF(BL14=1,BK14,BM14)))),"")</f>
        <v>Prix</v>
      </c>
      <c r="AX14" s="129" t="str">
        <f t="shared" ca="1" si="1"/>
        <v>11 OZ, 5 (2+3), -10 ±</v>
      </c>
      <c r="AY14" s="129" t="str">
        <f t="shared" ca="1" si="2"/>
        <v>85 OZ, 30 (17+13)</v>
      </c>
      <c r="AZ14" s="130"/>
      <c r="BA14" s="130"/>
      <c r="BB14" s="130"/>
      <c r="BC14" s="130"/>
      <c r="BD14" s="3" t="str">
        <f t="shared" si="3"/>
        <v>Prix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7"/>
      <c r="BT14" s="104" t="s">
        <v>820</v>
      </c>
      <c r="BU14" s="103">
        <v>6</v>
      </c>
      <c r="BV14" s="104" t="str">
        <f t="shared" si="13"/>
        <v>Matyáš Velc</v>
      </c>
      <c r="BW14" s="102">
        <f t="shared" si="14"/>
        <v>6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/>
      </c>
      <c r="B15" s="447"/>
      <c r="C15" s="448"/>
      <c r="D15" s="449" t="str">
        <f ca="1">IFERROR(IF(VLOOKUP(A12,OFFSET($AG$2,,,COUNTIF($AG$2:$AG$50,"?*"),23),14,FALSE)&lt;&gt;0,VLOOKUP(A12,OFFSET($AG$2,,,COUNTIF($AG$2:$AG$50,"?*"),23),14,FALSE),"?"),"")</f>
        <v/>
      </c>
      <c r="E15" s="4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2" t="str">
        <f ca="1">IFERROR(IF(VLOOKUP(G14,OFFSET($AG$2,,,COUNTIF($AG$2:$AG$50,"?*"),23),2,FALSE)&lt;&gt;0,YEAR(VLOOKUP(G14,OFFSET($AG$2,,,COUNTIF($AG$2:$AG$50,"?*"),23),2,FALSE)),""),"")</f>
        <v/>
      </c>
      <c r="I15" s="423"/>
      <c r="J15" s="117" t="str">
        <f ca="1">IFERROR(VLOOKUP(G14,OFFSET($AG$2,,,COUNTIF($AG$2:$AG$50,"?*"),23),15,FALSE),"")</f>
        <v/>
      </c>
      <c r="K15" s="424" t="str">
        <f ca="1">IFERROR(VLOOKUP(G14,OFFSET($AG$2,,,COUNTIF($AG$2:$AG$50,"?*"),23),16,FALSE),"")</f>
        <v/>
      </c>
      <c r="L15" s="425"/>
      <c r="M15" s="446" t="str">
        <f ca="1">IFERROR(IF(VLOOKUP(M12,OFFSET($AG$2,,,COUNTIF($AG$2:$AG$50,"?*"),23),13,FALSE)&lt;&gt;0,VLOOKUP(M12,OFFSET($AG$2,,,COUNTIF($AG$2:$AG$50,"?*"),23),13,FALSE),"?"),"")</f>
        <v/>
      </c>
      <c r="N15" s="447"/>
      <c r="O15" s="448"/>
      <c r="P15" s="449" t="str">
        <f ca="1">IFERROR(IF(VLOOKUP(M12,OFFSET($AG$2,,,COUNTIF($AG$2:$AG$50,"?*"),23),14,FALSE)&lt;&gt;0,VLOOKUP(M12,OFFSET($AG$2,,,COUNTIF($AG$2:$AG$50,"?*"),23),14,FALSE),"?"),"")</f>
        <v/>
      </c>
      <c r="Q15" s="4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741</v>
      </c>
      <c r="T15" s="102" t="s">
        <v>107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-9</v>
      </c>
      <c r="AC15" s="102" t="str">
        <f t="shared" ca="1" si="0"/>
        <v>ANO</v>
      </c>
      <c r="AG15" s="121" t="s">
        <v>737</v>
      </c>
      <c r="AH15" s="122">
        <v>37663</v>
      </c>
      <c r="AI15" s="123">
        <v>20</v>
      </c>
      <c r="AJ15" s="123">
        <v>2</v>
      </c>
      <c r="AK15" s="123">
        <v>0</v>
      </c>
      <c r="AL15" s="124">
        <f>IF(AG15&lt;&gt;"",AJ15+AK15,"")</f>
        <v>2</v>
      </c>
      <c r="AM15" s="123">
        <v>2</v>
      </c>
      <c r="AN15" s="123">
        <v>77</v>
      </c>
      <c r="AO15" s="125"/>
      <c r="AP15" s="125" t="s">
        <v>137</v>
      </c>
      <c r="AQ15" s="123">
        <v>186</v>
      </c>
      <c r="AR15" s="123">
        <v>85</v>
      </c>
      <c r="AS15" s="126" t="s">
        <v>1476</v>
      </c>
      <c r="AT15" s="123">
        <v>2018</v>
      </c>
      <c r="AU15" s="127">
        <f ca="1">IF(AG15&lt;&gt;"",IF(AH15&lt;&gt;"",INT((TODAY()-AH15)/365),"?"),"")</f>
        <v>18</v>
      </c>
      <c r="AV15" s="127" t="str">
        <f>IF(AG15&lt;&gt;"",CONCATENATE(IF(AQ15&lt;&gt;"",AQ15,"? "),"/",IF(AR15&lt;&gt;"",AR15," ?")),"")</f>
        <v>186/85</v>
      </c>
      <c r="AW15" s="128" t="str">
        <f ca="1">IF(AG15&lt;&gt;"",IF(BE15=1,BD15,IF(BH15=1,BG15,IF(BJ15=1,BI15,IF(BL15=1,BK15,BM15)))),"")</f>
        <v>Rusin</v>
      </c>
      <c r="AX15" s="129" t="str">
        <f t="shared" ca="1" si="1"/>
        <v>11 OZ, 4 (3+1), -9 ±</v>
      </c>
      <c r="AY15" s="129" t="str">
        <f t="shared" ca="1" si="2"/>
        <v>31 OZ, 6 (5+1)</v>
      </c>
      <c r="AZ15" s="130"/>
      <c r="BA15" s="130"/>
      <c r="BB15" s="130"/>
      <c r="BC15" s="130"/>
      <c r="BD15" s="89" t="str">
        <f t="shared" si="3"/>
        <v>Rusin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7"/>
      <c r="BT15" s="104" t="s">
        <v>1321</v>
      </c>
      <c r="BU15" s="103">
        <v>4</v>
      </c>
      <c r="BV15" s="104" t="str">
        <f t="shared" si="13"/>
        <v>Jan Savický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/>
      </c>
      <c r="H16" s="459"/>
      <c r="I16" s="459"/>
      <c r="J16" s="460" t="str">
        <f ca="1">IFERROR(VLOOKUP(G14,OFFSET($AG$2,,,COUNTIF($AG$2:$AG$50,"?*"),23),19,FALSE),"")</f>
        <v/>
      </c>
      <c r="K16" s="460"/>
      <c r="L16" s="461"/>
      <c r="S16" s="110" t="s">
        <v>797</v>
      </c>
      <c r="T16" s="102" t="s">
        <v>58</v>
      </c>
      <c r="U16" s="102">
        <v>10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-13</v>
      </c>
      <c r="AC16" s="102" t="str">
        <f t="shared" ca="1" si="0"/>
        <v>ANO</v>
      </c>
      <c r="AG16" s="121" t="s">
        <v>751</v>
      </c>
      <c r="AH16" s="122">
        <v>35826</v>
      </c>
      <c r="AI16" s="123">
        <v>77</v>
      </c>
      <c r="AJ16" s="123">
        <v>40</v>
      </c>
      <c r="AK16" s="123">
        <v>19</v>
      </c>
      <c r="AL16" s="124">
        <f>IF(AG16&lt;&gt;"",AJ16+AK16,"")</f>
        <v>59</v>
      </c>
      <c r="AM16" s="123">
        <v>6</v>
      </c>
      <c r="AN16" s="123">
        <v>58</v>
      </c>
      <c r="AO16" s="125"/>
      <c r="AP16" s="125" t="s">
        <v>27</v>
      </c>
      <c r="AQ16" s="123">
        <v>185</v>
      </c>
      <c r="AR16" s="123">
        <v>77</v>
      </c>
      <c r="AS16" s="126" t="s">
        <v>217</v>
      </c>
      <c r="AT16" s="123">
        <v>2013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185/77</v>
      </c>
      <c r="AW16" s="128" t="str">
        <f ca="1">IF(AG16&lt;&gt;"",IF(BE16=1,BD16,IF(BH16=1,BG16,IF(BJ16=1,BI16,IF(BL16=1,BK16,BM16)))),"")</f>
        <v>Savický</v>
      </c>
      <c r="AX16" s="129" t="str">
        <f t="shared" ca="1" si="1"/>
        <v>6 OZ, 7 (4+3), -6 ±</v>
      </c>
      <c r="AY16" s="129" t="str">
        <f t="shared" ca="1" si="2"/>
        <v>83 OZ, 66 (44+22)</v>
      </c>
      <c r="AZ16" s="130"/>
      <c r="BA16" s="130"/>
      <c r="BB16" s="130"/>
      <c r="BC16" s="130"/>
      <c r="BD16" s="3" t="str">
        <f t="shared" si="3"/>
        <v>Savický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7"/>
      <c r="BT16" s="104" t="s">
        <v>895</v>
      </c>
      <c r="BU16" s="103">
        <v>3</v>
      </c>
      <c r="BV16" s="104" t="str">
        <f t="shared" si="13"/>
        <v>David Žáček</v>
      </c>
      <c r="BW16" s="102">
        <f t="shared" si="14"/>
        <v>3</v>
      </c>
    </row>
    <row r="17" spans="1:75" ht="15" customHeight="1" thickTop="1" thickBot="1" x14ac:dyDescent="0.25">
      <c r="A17" s="429"/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6" t="str">
        <f ca="1">IFERROR(IF(VLOOKUP(G14,OFFSET($AG$2,,,COUNTIF($AG$2:$AG$50,"?*"),23),13,FALSE)&lt;&gt;0,VLOOKUP(G14,OFFSET($AG$2,,,COUNTIF($AG$2:$AG$50,"?*"),23),13,FALSE),"?"),"")</f>
        <v/>
      </c>
      <c r="H17" s="447"/>
      <c r="I17" s="448"/>
      <c r="J17" s="449" t="str">
        <f ca="1">IFERROR(IF(VLOOKUP(G14,OFFSET($AG$2,,,COUNTIF($AG$2:$AG$50,"?*"),23),14,FALSE)&lt;&gt;0,VLOOKUP(G14,OFFSET($AG$2,,,COUNTIF($AG$2:$AG$50,"?*"),23),14,FALSE),"?"),"")</f>
        <v/>
      </c>
      <c r="K17" s="450"/>
      <c r="L17" s="7" t="str">
        <f ca="1">IFERROR(IF(VLOOKUP(G14,OFFSET($AG$2,,,COUNTIF($AG$2:$AG$50,"?*"),23),7,FALSE)&lt;&gt;0,VLOOKUP(G14,OFFSET($AG$2,,,COUNTIF($AG$2:$AG$50,"?*"),23),7,FALSE),"?"),"")</f>
        <v/>
      </c>
      <c r="M17" s="429"/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798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-10</v>
      </c>
      <c r="AC17" s="102" t="str">
        <f t="shared" ca="1" si="0"/>
        <v>ANO</v>
      </c>
      <c r="AG17" s="121" t="s">
        <v>797</v>
      </c>
      <c r="AH17" s="122">
        <v>36370</v>
      </c>
      <c r="AI17" s="123">
        <v>76</v>
      </c>
      <c r="AJ17" s="123">
        <v>0</v>
      </c>
      <c r="AK17" s="123">
        <v>4</v>
      </c>
      <c r="AL17" s="124">
        <f>IF(AG17&lt;&gt;"",AJ17+AK17,"")</f>
        <v>4</v>
      </c>
      <c r="AM17" s="123">
        <v>5</v>
      </c>
      <c r="AN17" s="123">
        <v>35</v>
      </c>
      <c r="AO17" s="125"/>
      <c r="AP17" s="125" t="s">
        <v>137</v>
      </c>
      <c r="AQ17" s="123">
        <v>195</v>
      </c>
      <c r="AR17" s="123">
        <v>90</v>
      </c>
      <c r="AS17" s="126" t="s">
        <v>217</v>
      </c>
      <c r="AT17" s="123">
        <v>2013</v>
      </c>
      <c r="AU17" s="127">
        <f ca="1">IF(AG17&lt;&gt;"",IF(AH17&lt;&gt;"",INT((TODAY()-AH17)/365),"?"),"")</f>
        <v>22</v>
      </c>
      <c r="AV17" s="127" t="str">
        <f>IF(AG17&lt;&gt;"",CONCATENATE(IF(AQ17&lt;&gt;"",AQ17,"? "),"/",IF(AR17&lt;&gt;"",AR17," ?")),"")</f>
        <v>195/90</v>
      </c>
      <c r="AW17" s="128" t="str">
        <f ca="1">IF(AG17&lt;&gt;"",IF(BE17=1,BD17,IF(BH17=1,BG17,IF(BJ17=1,BI17,IF(BL17=1,BK17,BM17)))),"")</f>
        <v>Slabý</v>
      </c>
      <c r="AX17" s="129" t="str">
        <f t="shared" ca="1" si="1"/>
        <v>10 OZ, 1 (0+1), -13 ±</v>
      </c>
      <c r="AY17" s="129" t="str">
        <f t="shared" ca="1" si="2"/>
        <v>86 OZ, 5 (0+5)</v>
      </c>
      <c r="AZ17" s="130"/>
      <c r="BA17" s="130"/>
      <c r="BB17" s="130"/>
      <c r="BC17" s="130"/>
      <c r="BD17" s="89" t="str">
        <f t="shared" si="3"/>
        <v>Slabý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7" t="s">
        <v>41</v>
      </c>
      <c r="BT17" s="104" t="s">
        <v>752</v>
      </c>
      <c r="BU17" s="103">
        <v>2</v>
      </c>
      <c r="BV17" s="104" t="str">
        <f t="shared" si="13"/>
        <v>Martin Haleš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2" t="str">
        <f ca="1">IFERROR(IF(VLOOKUP(A17,OFFSET($AG$2,,,COUNTIF($AG$2:$AG$50,"?*"),23),2,FALSE)&lt;&gt;0,YEAR(VLOOKUP(A17,OFFSET($AG$2,,,COUNTIF($AG$2:$AG$50,"?*"),23),2,FALSE)),""),"")</f>
        <v/>
      </c>
      <c r="C18" s="423"/>
      <c r="D18" s="149" t="str">
        <f ca="1">IFERROR(VLOOKUP(A17,OFFSET($AG$2,,,COUNTIF($AG$2:$AG$50,"?*"),23),15,FALSE),"")</f>
        <v/>
      </c>
      <c r="E18" s="424" t="str">
        <f ca="1">IFERROR(VLOOKUP(A17,OFFSET($AG$2,,,COUNTIF($AG$2:$AG$50,"?*"),23),16,FALSE),"")</f>
        <v/>
      </c>
      <c r="F18" s="425"/>
      <c r="M18" s="4" t="str">
        <f ca="1">IFERROR(IF(VLOOKUP(M17,OFFSET($AG$2,,,COUNTIF($AG$2:$AG$50,"?*"),23),10,FALSE)&lt;&gt;0,VLOOKUP(M17,OFFSET($AG$2,,,COUNTIF($AG$2:$AG$50,"?*"),23),10,FALSE),""),"")</f>
        <v/>
      </c>
      <c r="N18" s="422" t="str">
        <f ca="1">IFERROR(IF(VLOOKUP(M17,OFFSET($AG$2,,,COUNTIF($AG$2:$AG$50,"?*"),23),2,FALSE)&lt;&gt;0,YEAR(VLOOKUP(M17,OFFSET($AG$2,,,COUNTIF($AG$2:$AG$50,"?*"),23),2,FALSE)),""),"")</f>
        <v/>
      </c>
      <c r="O18" s="423"/>
      <c r="P18" s="117" t="str">
        <f ca="1">IFERROR(VLOOKUP(M17,OFFSET($AG$2,,,COUNTIF($AG$2:$AG$50,"?*"),23),15,FALSE),"")</f>
        <v/>
      </c>
      <c r="Q18" s="424" t="str">
        <f ca="1">IFERROR(VLOOKUP(M17,OFFSET($AG$2,,,COUNTIF($AG$2:$AG$50,"?*"),23),16,FALSE),"")</f>
        <v/>
      </c>
      <c r="R18" s="425"/>
      <c r="S18" s="110" t="s">
        <v>898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746</v>
      </c>
      <c r="AH18" s="122">
        <v>37301</v>
      </c>
      <c r="AI18" s="123">
        <v>30</v>
      </c>
      <c r="AJ18" s="123">
        <v>4</v>
      </c>
      <c r="AK18" s="123">
        <v>8</v>
      </c>
      <c r="AL18" s="124">
        <f>IF(AG18&lt;&gt;"",AJ18+AK18,"")</f>
        <v>12</v>
      </c>
      <c r="AM18" s="123">
        <v>3</v>
      </c>
      <c r="AN18" s="123">
        <v>82</v>
      </c>
      <c r="AO18" s="125"/>
      <c r="AP18" s="125" t="s">
        <v>137</v>
      </c>
      <c r="AQ18" s="123">
        <v>177</v>
      </c>
      <c r="AR18" s="123">
        <v>63</v>
      </c>
      <c r="AS18" s="126" t="s">
        <v>1477</v>
      </c>
      <c r="AT18" s="123">
        <v>2012</v>
      </c>
      <c r="AU18" s="127">
        <f ca="1">IF(AG18&lt;&gt;"",IF(AH18&lt;&gt;"",INT((TODAY()-AH18)/365),"?"),"")</f>
        <v>19</v>
      </c>
      <c r="AV18" s="127" t="str">
        <f>IF(AG18&lt;&gt;"",CONCATENATE(IF(AQ18&lt;&gt;"",AQ18,"? "),"/",IF(AR18&lt;&gt;"",AR18," ?")),"")</f>
        <v>177/63</v>
      </c>
      <c r="AW18" s="128" t="str">
        <f ca="1">IF(AG18&lt;&gt;"",IF(BE18=1,BD18,IF(BH18=1,BG18,IF(BJ18=1,BI18,IF(BL18=1,BK18,BM18)))),"")</f>
        <v>Smola</v>
      </c>
      <c r="AX18" s="129" t="str">
        <f t="shared" ca="1" si="1"/>
        <v>11 OZ, 2 (1+1), -18 ±</v>
      </c>
      <c r="AY18" s="129" t="str">
        <f t="shared" ca="1" si="2"/>
        <v>41 OZ, 14 (5+9)</v>
      </c>
      <c r="AZ18" s="130"/>
      <c r="BA18" s="130"/>
      <c r="BB18" s="130"/>
      <c r="BC18" s="130"/>
      <c r="BD18" s="3" t="str">
        <f t="shared" si="3"/>
        <v>Smola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7"/>
      <c r="BT18" s="104" t="s">
        <v>753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458" t="str">
        <f ca="1">IFERROR(VLOOKUP(A17,OFFSET($AG$2,,,COUNTIF($AG$2:$AG$50,"?*"),23),18,FALSE),"")</f>
        <v/>
      </c>
      <c r="B19" s="459"/>
      <c r="C19" s="459"/>
      <c r="D19" s="460" t="str">
        <f ca="1">IFERROR(VLOOKUP(A17,OFFSET($AG$2,,,COUNTIF($AG$2:$AG$50,"?*"),23),19,FALSE),"")</f>
        <v/>
      </c>
      <c r="E19" s="460"/>
      <c r="F19" s="461"/>
      <c r="H19" s="462" t="str">
        <f>H$8</f>
        <v>PAR</v>
      </c>
      <c r="I19" s="462"/>
      <c r="J19" s="462"/>
      <c r="K19" s="462"/>
      <c r="M19" s="458" t="str">
        <f ca="1">IFERROR(VLOOKUP(M17,OFFSET($AG$2,,,COUNTIF($AG$2:$AG$50,"?*"),23),18,FALSE),"")</f>
        <v/>
      </c>
      <c r="N19" s="459"/>
      <c r="O19" s="459"/>
      <c r="P19" s="460" t="str">
        <f ca="1">IFERROR(VLOOKUP(M17,OFFSET($AG$2,,,COUNTIF($AG$2:$AG$50,"?*"),23),19,FALSE),"")</f>
        <v/>
      </c>
      <c r="Q19" s="460"/>
      <c r="R19" s="461"/>
      <c r="S19" s="110" t="s">
        <v>749</v>
      </c>
      <c r="T19" s="102" t="s">
        <v>107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-5</v>
      </c>
      <c r="AC19" s="102" t="str">
        <f t="shared" ca="1" si="0"/>
        <v>ANO</v>
      </c>
      <c r="AG19" s="121" t="s">
        <v>739</v>
      </c>
      <c r="AH19" s="122">
        <v>37214</v>
      </c>
      <c r="AI19" s="123">
        <v>75</v>
      </c>
      <c r="AJ19" s="123">
        <v>49</v>
      </c>
      <c r="AK19" s="123">
        <v>47</v>
      </c>
      <c r="AL19" s="124">
        <f>IF(AG19&lt;&gt;"",AJ19+AK19,"")</f>
        <v>96</v>
      </c>
      <c r="AM19" s="123">
        <v>3</v>
      </c>
      <c r="AN19" s="123">
        <v>47</v>
      </c>
      <c r="AO19" s="125"/>
      <c r="AP19" s="125" t="s">
        <v>137</v>
      </c>
      <c r="AQ19" s="123">
        <v>180</v>
      </c>
      <c r="AR19" s="123">
        <v>70</v>
      </c>
      <c r="AS19" s="126" t="s">
        <v>217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180/70</v>
      </c>
      <c r="AW19" s="128" t="str">
        <f ca="1">IF(AG19&lt;&gt;"",IF(BE19=1,BD19,IF(BH19=1,BG19,IF(BJ19=1,BI19,IF(BL19=1,BK19,BM19)))),"")</f>
        <v>Šmíd</v>
      </c>
      <c r="AX19" s="129" t="str">
        <f t="shared" ca="1" si="1"/>
        <v>9 OZ, 13 (7+6), -12 ±</v>
      </c>
      <c r="AY19" s="129" t="str">
        <f t="shared" ca="1" si="2"/>
        <v>84 OZ, 109 (56+53)</v>
      </c>
      <c r="AZ19" s="130"/>
      <c r="BA19" s="130"/>
      <c r="BB19" s="130"/>
      <c r="BC19" s="130"/>
      <c r="BD19" s="89" t="str">
        <f t="shared" si="3"/>
        <v>Šmíd</v>
      </c>
      <c r="BE19" s="91">
        <f t="shared" ca="1" si="4"/>
        <v>1</v>
      </c>
      <c r="BF19" s="90" t="str">
        <f t="shared" si="5"/>
        <v>A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7"/>
      <c r="BT19" s="104" t="s">
        <v>897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/>
      </c>
      <c r="B20" s="447"/>
      <c r="C20" s="448"/>
      <c r="D20" s="449" t="str">
        <f ca="1">IFERROR(IF(VLOOKUP(A17,OFFSET($AG$2,,,COUNTIF($AG$2:$AG$50,"?*"),23),14,FALSE)&lt;&gt;0,VLOOKUP(A17,OFFSET($AG$2,,,COUNTIF($AG$2:$AG$50,"?*"),23),14,FALSE),"?"),"")</f>
        <v/>
      </c>
      <c r="E20" s="450"/>
      <c r="F20" s="7" t="str">
        <f ca="1">IFERROR(IF(VLOOKUP(A17,OFFSET($AG$2,,,COUNTIF($AG$2:$AG$50,"?*"),23),7,FALSE)&lt;&gt;0,VLOOKUP(A17,OFFSET($AG$2,,,COUNTIF($AG$2:$AG$50,"?*"),23),7,FALSE),"?"),"")</f>
        <v/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/>
      </c>
      <c r="N20" s="447"/>
      <c r="O20" s="448"/>
      <c r="P20" s="449" t="str">
        <f ca="1">IFERROR(IF(VLOOKUP(M17,OFFSET($AG$2,,,COUNTIF($AG$2:$AG$50,"?*"),23),14,FALSE)&lt;&gt;0,VLOOKUP(M17,OFFSET($AG$2,,,COUNTIF($AG$2:$AG$50,"?*"),23),14,FALSE),"?"),"")</f>
        <v/>
      </c>
      <c r="Q20" s="4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750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745</v>
      </c>
      <c r="AH20" s="122">
        <v>33309</v>
      </c>
      <c r="AI20" s="123">
        <v>247</v>
      </c>
      <c r="AJ20" s="123">
        <v>153</v>
      </c>
      <c r="AK20" s="123">
        <v>83</v>
      </c>
      <c r="AL20" s="124">
        <f>IF(AG20&lt;&gt;"",AJ20+AK20,"")</f>
        <v>236</v>
      </c>
      <c r="AM20" s="123">
        <v>12</v>
      </c>
      <c r="AN20" s="123">
        <v>21</v>
      </c>
      <c r="AO20" s="125" t="s">
        <v>150</v>
      </c>
      <c r="AP20" s="125" t="s">
        <v>137</v>
      </c>
      <c r="AQ20" s="123">
        <v>170</v>
      </c>
      <c r="AR20" s="123">
        <v>79</v>
      </c>
      <c r="AS20" s="126" t="s">
        <v>1478</v>
      </c>
      <c r="AT20" s="123">
        <v>2008</v>
      </c>
      <c r="AU20" s="127">
        <f ca="1">IF(AG20&lt;&gt;"",IF(AH20&lt;&gt;"",INT((TODAY()-AH20)/365),"?"),"")</f>
        <v>30</v>
      </c>
      <c r="AV20" s="127" t="str">
        <f>IF(AG20&lt;&gt;"",CONCATENATE(IF(AQ20&lt;&gt;"",AQ20,"? "),"/",IF(AR20&lt;&gt;"",AR20," ?")),"")</f>
        <v>170/79</v>
      </c>
      <c r="AW20" s="128" t="str">
        <f ca="1">IF(AG20&lt;&gt;"",IF(BE20=1,BD20,IF(BH20=1,BG20,IF(BJ20=1,BI20,IF(BL20=1,BK20,BM20)))),"")</f>
        <v>Teichman</v>
      </c>
      <c r="AX20" s="129" t="str">
        <f t="shared" ca="1" si="1"/>
        <v>11 OZ, 11 (6+5), -14 ±</v>
      </c>
      <c r="AY20" s="129" t="str">
        <f t="shared" ca="1" si="2"/>
        <v>258 OZ, 247 (159+88)</v>
      </c>
      <c r="AZ20" s="130"/>
      <c r="BA20" s="130"/>
      <c r="BB20" s="130"/>
      <c r="BC20" s="130"/>
      <c r="BD20" s="3" t="str">
        <f t="shared" si="3"/>
        <v>Teichman</v>
      </c>
      <c r="BE20" s="84">
        <f t="shared" ca="1" si="4"/>
        <v>1</v>
      </c>
      <c r="BF20" s="62" t="str">
        <f t="shared" si="5"/>
        <v>I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748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607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Velc</v>
      </c>
      <c r="AX21" s="129" t="str">
        <f t="shared" ca="1" si="1"/>
        <v>11 OZ, 10 (6+4), -21 ±</v>
      </c>
      <c r="AY21" s="129" t="str">
        <f t="shared" ca="1" si="2"/>
        <v>11 OZ, 10 (6+4)</v>
      </c>
      <c r="AZ21" s="130"/>
      <c r="BA21" s="130"/>
      <c r="BB21" s="130"/>
      <c r="BC21" s="130"/>
      <c r="BD21" s="89" t="str">
        <f t="shared" si="3"/>
        <v>Velc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744</v>
      </c>
      <c r="U22" s="102">
        <v>10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 t="s">
        <v>742</v>
      </c>
      <c r="AH22" s="122">
        <v>36271</v>
      </c>
      <c r="AI22" s="123">
        <v>78</v>
      </c>
      <c r="AJ22" s="123">
        <v>21</v>
      </c>
      <c r="AK22" s="123">
        <v>22</v>
      </c>
      <c r="AL22" s="124">
        <f>IF(AG22&lt;&gt;"",AJ22+AK22,"")</f>
        <v>43</v>
      </c>
      <c r="AM22" s="123">
        <v>5</v>
      </c>
      <c r="AN22" s="123">
        <v>83</v>
      </c>
      <c r="AO22" s="125"/>
      <c r="AP22" s="125" t="s">
        <v>137</v>
      </c>
      <c r="AQ22" s="123">
        <v>176</v>
      </c>
      <c r="AR22" s="123">
        <v>68</v>
      </c>
      <c r="AS22" s="126" t="s">
        <v>217</v>
      </c>
      <c r="AT22" s="123">
        <v>2009</v>
      </c>
      <c r="AU22" s="127">
        <f ca="1">IF(AG22&lt;&gt;"",IF(AH22&lt;&gt;"",INT((TODAY()-AH22)/365),"?"),"")</f>
        <v>22</v>
      </c>
      <c r="AV22" s="127" t="str">
        <f>IF(AG22&lt;&gt;"",CONCATENATE(IF(AQ22&lt;&gt;"",AQ22,"? "),"/",IF(AR22&lt;&gt;"",AR22," ?")),"")</f>
        <v>176/68</v>
      </c>
      <c r="AW22" s="128" t="str">
        <f ca="1">IF(AG22&lt;&gt;"",IF(BE22=1,BD22,IF(BH22=1,BG22,IF(BJ22=1,BI22,IF(BL22=1,BK22,BM22)))),"")</f>
        <v>Žáček</v>
      </c>
      <c r="AX22" s="129" t="str">
        <f t="shared" ca="1" si="1"/>
        <v>11 OZ, 5 (3+2), -13 ±</v>
      </c>
      <c r="AY22" s="129" t="str">
        <f t="shared" ca="1" si="2"/>
        <v>89 OZ, 48 (24+24)</v>
      </c>
      <c r="AZ22" s="130"/>
      <c r="BA22" s="130"/>
      <c r="BB22" s="130"/>
      <c r="BC22" s="130"/>
      <c r="BD22" s="3" t="str">
        <f t="shared" si="3"/>
        <v>Žáček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7" t="s">
        <v>38</v>
      </c>
      <c r="BT22" s="104" t="s">
        <v>1316</v>
      </c>
      <c r="BU22" s="103">
        <v>6</v>
      </c>
      <c r="BV22" s="104" t="str">
        <f t="shared" si="13"/>
        <v>Adam Šmíd</v>
      </c>
      <c r="BW22" s="102">
        <f t="shared" si="14"/>
        <v>6</v>
      </c>
    </row>
    <row r="23" spans="1:75" ht="15" customHeight="1" thickTop="1" thickBot="1" x14ac:dyDescent="0.25">
      <c r="A23" s="429"/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3" t="s">
        <v>13</v>
      </c>
      <c r="I23" s="463"/>
      <c r="J23" s="463"/>
      <c r="K23" s="463"/>
      <c r="M23" s="429"/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ref="AL20:AL50" si="15">IF(AG23&lt;&gt;"",AJ23+AK23,"")</f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ref="AU20:AU23" ca="1" si="16">IF(AG23&lt;&gt;"",IF(AH23&lt;&gt;"",INT((TODAY()-AH23)/365),"?"),"")</f>
        <v/>
      </c>
      <c r="AV23" s="127" t="str">
        <f t="shared" ref="AV20:AV23" si="17">IF(AG23&lt;&gt;"",CONCATENATE(IF(AQ23&lt;&gt;"",AQ23,"? "),"/",IF(AR23&lt;&gt;"",AR23," ?")),"")</f>
        <v/>
      </c>
      <c r="AW23" s="128" t="str">
        <f t="shared" ref="AW20:AW50" si="18">IF(AG23&lt;&gt;"",IF(BE23=1,BD23,IF(BH23=1,BG23,IF(BJ23=1,BI23,IF(BL23=1,BK23,BM23)))),"")</f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417"/>
      <c r="BT23" s="104" t="s">
        <v>1322</v>
      </c>
      <c r="BU23" s="103">
        <v>6</v>
      </c>
      <c r="BV23" s="104" t="str">
        <f t="shared" si="13"/>
        <v>Přemek Pakosta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2" t="str">
        <f ca="1">IFERROR(IF(VLOOKUP(A23,OFFSET($AG$2,,,COUNTIF($AG$2:$AG$50,"?*"),23),2,FALSE)&lt;&gt;0,YEAR(VLOOKUP(A23,OFFSET($AG$2,,,COUNTIF($AG$2:$AG$50,"?*"),23),2,FALSE)),""),"")</f>
        <v/>
      </c>
      <c r="C24" s="423"/>
      <c r="D24" s="117" t="str">
        <f ca="1">IFERROR(VLOOKUP(A23,OFFSET($AG$2,,,COUNTIF($AG$2:$AG$50,"?*"),23),15,FALSE),"")</f>
        <v/>
      </c>
      <c r="E24" s="424" t="str">
        <f ca="1">IFERROR(VLOOKUP(A23,OFFSET($AG$2,,,COUNTIF($AG$2:$AG$50,"?*"),23),16,FALSE),"")</f>
        <v/>
      </c>
      <c r="F24" s="425"/>
      <c r="M24" s="4" t="str">
        <f ca="1">IFERROR(IF(VLOOKUP(M23,OFFSET($AG$2,,,COUNTIF($AG$2:$AG$50,"?*"),23),10,FALSE)&lt;&gt;0,VLOOKUP(M23,OFFSET($AG$2,,,COUNTIF($AG$2:$AG$50,"?*"),23),10,FALSE),""),"")</f>
        <v/>
      </c>
      <c r="N24" s="422" t="str">
        <f ca="1">IFERROR(IF(VLOOKUP(M23,OFFSET($AG$2,,,COUNTIF($AG$2:$AG$50,"?*"),23),2,FALSE)&lt;&gt;0,YEAR(VLOOKUP(M23,OFFSET($AG$2,,,COUNTIF($AG$2:$AG$50,"?*"),23),2,FALSE)),""),"")</f>
        <v/>
      </c>
      <c r="O24" s="423"/>
      <c r="P24" s="117" t="str">
        <f ca="1">IFERROR(VLOOKUP(M23,OFFSET($AG$2,,,COUNTIF($AG$2:$AG$50,"?*"),23),15,FALSE),"")</f>
        <v/>
      </c>
      <c r="Q24" s="424" t="str">
        <f ca="1">IFERROR(VLOOKUP(M23,OFFSET($AG$2,,,COUNTIF($AG$2:$AG$50,"?*"),23),16,FALSE),"")</f>
        <v/>
      </c>
      <c r="R24" s="425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417"/>
      <c r="BT24" s="104" t="s">
        <v>1323</v>
      </c>
      <c r="BU24" s="103">
        <v>5</v>
      </c>
      <c r="BV24" s="104" t="str">
        <f t="shared" si="13"/>
        <v>Ivo Teichman</v>
      </c>
      <c r="BW24" s="102">
        <f t="shared" si="14"/>
        <v>5</v>
      </c>
    </row>
    <row r="25" spans="1:75" ht="15" customHeight="1" thickTop="1" thickBot="1" x14ac:dyDescent="0.25">
      <c r="A25" s="458" t="str">
        <f ca="1">IFERROR(VLOOKUP(A23,OFFSET($AG$2,,,COUNTIF($AG$2:$AG$50,"?*"),23),18,FALSE),"")</f>
        <v/>
      </c>
      <c r="B25" s="459"/>
      <c r="C25" s="459"/>
      <c r="D25" s="460" t="str">
        <f ca="1">IFERROR(VLOOKUP(A23,OFFSET($AG$2,,,COUNTIF($AG$2:$AG$50,"?*"),23),19,FALSE),"")</f>
        <v/>
      </c>
      <c r="E25" s="460"/>
      <c r="F25" s="461"/>
      <c r="G25" s="429"/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8" t="str">
        <f ca="1">IFERROR(VLOOKUP(M23,OFFSET($AG$2,,,COUNTIF($AG$2:$AG$50,"?*"),23),18,FALSE),"")</f>
        <v/>
      </c>
      <c r="N25" s="459"/>
      <c r="O25" s="459"/>
      <c r="P25" s="460" t="str">
        <f ca="1">IFERROR(VLOOKUP(M23,OFFSET($AG$2,,,COUNTIF($AG$2:$AG$50,"?*"),23),19,FALSE),"")</f>
        <v/>
      </c>
      <c r="Q25" s="460"/>
      <c r="R25" s="461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417"/>
      <c r="BT25" s="104" t="s">
        <v>1093</v>
      </c>
      <c r="BU25" s="103">
        <v>4</v>
      </c>
      <c r="BV25" s="104" t="str">
        <f t="shared" si="13"/>
        <v>Matyáš Velc</v>
      </c>
      <c r="BW25" s="102">
        <f t="shared" si="14"/>
        <v>4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/>
      </c>
      <c r="B26" s="447"/>
      <c r="C26" s="448"/>
      <c r="D26" s="449" t="str">
        <f ca="1">IFERROR(IF(VLOOKUP(A23,OFFSET($AG$2,,,COUNTIF($AG$2:$AG$50,"?*"),23),14,FALSE)&lt;&gt;0,VLOOKUP(A23,OFFSET($AG$2,,,COUNTIF($AG$2:$AG$50,"?*"),23),14,FALSE),"?"),"")</f>
        <v/>
      </c>
      <c r="E26" s="4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2" t="str">
        <f ca="1">IFERROR(IF(VLOOKUP(G25,OFFSET($AG$2,,,COUNTIF($AG$2:$AG$50,"?*"),23),2,FALSE)&lt;&gt;0,YEAR(VLOOKUP(G25,OFFSET($AG$2,,,COUNTIF($AG$2:$AG$50,"?*"),23),2,FALSE)),""),"")</f>
        <v/>
      </c>
      <c r="I26" s="423"/>
      <c r="J26" s="117" t="str">
        <f ca="1">IFERROR(VLOOKUP(G25,OFFSET($AG$2,,,COUNTIF($AG$2:$AG$50,"?*"),23),15,FALSE),"")</f>
        <v/>
      </c>
      <c r="K26" s="424" t="str">
        <f ca="1">IFERROR(VLOOKUP(G25,OFFSET($AG$2,,,COUNTIF($AG$2:$AG$50,"?*"),23),16,FALSE),"")</f>
        <v/>
      </c>
      <c r="L26" s="425"/>
      <c r="M26" s="446" t="str">
        <f ca="1">IFERROR(IF(VLOOKUP(M23,OFFSET($AG$2,,,COUNTIF($AG$2:$AG$50,"?*"),23),13,FALSE)&lt;&gt;0,VLOOKUP(M23,OFFSET($AG$2,,,COUNTIF($AG$2:$AG$50,"?*"),23),13,FALSE),"?"),"")</f>
        <v/>
      </c>
      <c r="N26" s="447"/>
      <c r="O26" s="448"/>
      <c r="P26" s="449" t="str">
        <f ca="1">IFERROR(IF(VLOOKUP(M23,OFFSET($AG$2,,,COUNTIF($AG$2:$AG$50,"?*"),23),14,FALSE)&lt;&gt;0,VLOOKUP(M23,OFFSET($AG$2,,,COUNTIF($AG$2:$AG$50,"?*"),23),14,FALSE),"?"),"")</f>
        <v/>
      </c>
      <c r="Q26" s="4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417"/>
      <c r="BT26" s="104" t="s">
        <v>1324</v>
      </c>
      <c r="BU26" s="103">
        <v>3</v>
      </c>
      <c r="BV26" s="104" t="str">
        <f t="shared" si="13"/>
        <v>David Petržela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/>
      </c>
      <c r="H27" s="459"/>
      <c r="I27" s="459"/>
      <c r="J27" s="460" t="str">
        <f ca="1">IFERROR(VLOOKUP(G25,OFFSET($AG$2,,,COUNTIF($AG$2:$AG$50,"?*"),23),19,FALSE),"")</f>
        <v/>
      </c>
      <c r="K27" s="460"/>
      <c r="L27" s="461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417" t="s">
        <v>39</v>
      </c>
      <c r="BT27" s="104" t="s">
        <v>1325</v>
      </c>
      <c r="BU27" s="103">
        <v>8</v>
      </c>
      <c r="BV27" s="104" t="str">
        <f t="shared" si="13"/>
        <v>Vojtěch Klein</v>
      </c>
      <c r="BW27" s="102">
        <f t="shared" si="14"/>
        <v>8</v>
      </c>
    </row>
    <row r="28" spans="1:75" ht="15" customHeight="1" thickTop="1" thickBot="1" x14ac:dyDescent="0.25">
      <c r="A28" s="429"/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6" t="str">
        <f ca="1">IFERROR(IF(VLOOKUP(G25,OFFSET($AG$2,,,COUNTIF($AG$2:$AG$50,"?*"),23),13,FALSE)&lt;&gt;0,VLOOKUP(G25,OFFSET($AG$2,,,COUNTIF($AG$2:$AG$50,"?*"),23),13,FALSE),"?"),"")</f>
        <v/>
      </c>
      <c r="H28" s="447"/>
      <c r="I28" s="448"/>
      <c r="J28" s="449" t="str">
        <f ca="1">IFERROR(IF(VLOOKUP(G25,OFFSET($AG$2,,,COUNTIF($AG$2:$AG$50,"?*"),23),14,FALSE)&lt;&gt;0,VLOOKUP(G25,OFFSET($AG$2,,,COUNTIF($AG$2:$AG$50,"?*"),23),14,FALSE),"?"),"")</f>
        <v/>
      </c>
      <c r="K28" s="450"/>
      <c r="L28" s="7" t="str">
        <f ca="1">IFERROR(IF(VLOOKUP(G25,OFFSET($AG$2,,,COUNTIF($AG$2:$AG$50,"?*"),23),7,FALSE)&lt;&gt;0,VLOOKUP(G25,OFFSET($AG$2,,,COUNTIF($AG$2:$AG$50,"?*"),23),7,FALSE),"?"),"")</f>
        <v/>
      </c>
      <c r="M28" s="429"/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417"/>
      <c r="BT28" s="104" t="s">
        <v>1326</v>
      </c>
      <c r="BU28" s="103">
        <v>6</v>
      </c>
      <c r="BV28" s="104" t="str">
        <f t="shared" si="13"/>
        <v>Lukáš Prix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2" t="str">
        <f ca="1">IFERROR(IF(VLOOKUP(A28,OFFSET($AG$2,,,COUNTIF($AG$2:$AG$50,"?*"),23),2,FALSE)&lt;&gt;0,YEAR(VLOOKUP(A28,OFFSET($AG$2,,,COUNTIF($AG$2:$AG$50,"?*"),23),2,FALSE)),""),"")</f>
        <v/>
      </c>
      <c r="C29" s="423"/>
      <c r="D29" s="117" t="str">
        <f ca="1">IFERROR(VLOOKUP(A28,OFFSET($AG$2,,,COUNTIF($AG$2:$AG$50,"?*"),23),15,FALSE),"")</f>
        <v/>
      </c>
      <c r="E29" s="424" t="str">
        <f ca="1">IFERROR(VLOOKUP(A28,OFFSET($AG$2,,,COUNTIF($AG$2:$AG$50,"?*"),23),16,FALSE),"")</f>
        <v/>
      </c>
      <c r="F29" s="425"/>
      <c r="M29" s="4" t="str">
        <f ca="1">IFERROR(IF(VLOOKUP(M28,OFFSET($AG$2,,,COUNTIF($AG$2:$AG$50,"?*"),23),10,FALSE)&lt;&gt;0,VLOOKUP(M28,OFFSET($AG$2,,,COUNTIF($AG$2:$AG$50,"?*"),23),10,FALSE),""),"")</f>
        <v/>
      </c>
      <c r="N29" s="422" t="str">
        <f ca="1">IFERROR(IF(VLOOKUP(M28,OFFSET($AG$2,,,COUNTIF($AG$2:$AG$50,"?*"),23),2,FALSE)&lt;&gt;0,YEAR(VLOOKUP(M28,OFFSET($AG$2,,,COUNTIF($AG$2:$AG$50,"?*"),23),2,FALSE)),""),"")</f>
        <v/>
      </c>
      <c r="O29" s="423"/>
      <c r="P29" s="117" t="str">
        <f ca="1">IFERROR(VLOOKUP(M28,OFFSET($AG$2,,,COUNTIF($AG$2:$AG$50,"?*"),23),15,FALSE),"")</f>
        <v/>
      </c>
      <c r="Q29" s="424" t="str">
        <f ca="1">IFERROR(VLOOKUP(M28,OFFSET($AG$2,,,COUNTIF($AG$2:$AG$50,"?*"),23),16,FALSE),"")</f>
        <v/>
      </c>
      <c r="R29" s="425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7"/>
      <c r="BT29" s="104" t="s">
        <v>1094</v>
      </c>
      <c r="BU29" s="103">
        <v>4</v>
      </c>
      <c r="BV29" s="104" t="str">
        <f t="shared" si="13"/>
        <v>Adam Šmíd</v>
      </c>
      <c r="BW29" s="102">
        <f t="shared" si="14"/>
        <v>4</v>
      </c>
    </row>
    <row r="30" spans="1:75" ht="15" customHeight="1" x14ac:dyDescent="0.2">
      <c r="A30" s="458" t="str">
        <f ca="1">IFERROR(VLOOKUP(A28,OFFSET($AG$2,,,COUNTIF($AG$2:$AG$50,"?*"),23),18,FALSE),"")</f>
        <v/>
      </c>
      <c r="B30" s="459"/>
      <c r="C30" s="459"/>
      <c r="D30" s="460" t="str">
        <f ca="1">IFERROR(VLOOKUP(A28,OFFSET($AG$2,,,COUNTIF($AG$2:$AG$50,"?*"),23),19,FALSE),"")</f>
        <v/>
      </c>
      <c r="E30" s="460"/>
      <c r="F30" s="461"/>
      <c r="H30" s="462" t="str">
        <f>H$8</f>
        <v>PAR</v>
      </c>
      <c r="I30" s="462"/>
      <c r="J30" s="462"/>
      <c r="K30" s="462"/>
      <c r="M30" s="458" t="str">
        <f ca="1">IFERROR(VLOOKUP(M28,OFFSET($AG$2,,,COUNTIF($AG$2:$AG$50,"?*"),23),18,FALSE),"")</f>
        <v/>
      </c>
      <c r="N30" s="459"/>
      <c r="O30" s="459"/>
      <c r="P30" s="460" t="str">
        <f ca="1">IFERROR(VLOOKUP(M28,OFFSET($AG$2,,,COUNTIF($AG$2:$AG$50,"?*"),23),19,FALSE),"")</f>
        <v/>
      </c>
      <c r="Q30" s="460"/>
      <c r="R30" s="46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7"/>
      <c r="BT30" s="104" t="s">
        <v>1327</v>
      </c>
      <c r="BU30" s="103">
        <v>4</v>
      </c>
      <c r="BV30" s="104" t="str">
        <f t="shared" si="13"/>
        <v>Ivo Teichman</v>
      </c>
      <c r="BW30" s="102">
        <f t="shared" si="14"/>
        <v>4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/>
      </c>
      <c r="B31" s="447"/>
      <c r="C31" s="448"/>
      <c r="D31" s="449" t="str">
        <f ca="1">IFERROR(IF(VLOOKUP(A28,OFFSET($AG$2,,,COUNTIF($AG$2:$AG$50,"?*"),23),14,FALSE)&lt;&gt;0,VLOOKUP(A28,OFFSET($AG$2,,,COUNTIF($AG$2:$AG$50,"?*"),23),14,FALSE),"?"),"")</f>
        <v/>
      </c>
      <c r="E31" s="450"/>
      <c r="F31" s="7" t="str">
        <f ca="1">IFERROR(IF(VLOOKUP(A28,OFFSET($AG$2,,,COUNTIF($AG$2:$AG$50,"?*"),23),7,FALSE)&lt;&gt;0,VLOOKUP(A28,OFFSET($AG$2,,,COUNTIF($AG$2:$AG$50,"?*"),23),7,FALSE),"?"),"")</f>
        <v/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/>
      </c>
      <c r="N31" s="447"/>
      <c r="O31" s="448"/>
      <c r="P31" s="449" t="str">
        <f ca="1">IFERROR(IF(VLOOKUP(M28,OFFSET($AG$2,,,COUNTIF($AG$2:$AG$50,"?*"),23),14,FALSE)&lt;&gt;0,VLOOKUP(M28,OFFSET($AG$2,,,COUNTIF($AG$2:$AG$50,"?*"),23),14,FALSE),"?"),"")</f>
        <v/>
      </c>
      <c r="Q31" s="4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7"/>
      <c r="BT31" s="104" t="s">
        <v>1328</v>
      </c>
      <c r="BU31" s="103">
        <v>4</v>
      </c>
      <c r="BV31" s="104" t="str">
        <f t="shared" si="13"/>
        <v>Lukáš Kučera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9"/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7" t="s">
        <v>16</v>
      </c>
      <c r="J34" s="429"/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2" t="str">
        <f ca="1">IFERROR(IF(VLOOKUP(A34,OFFSET($AG$2,,,COUNTIF($AG$2:$AG$50,"?*"),23),2,FALSE)&lt;&gt;0,YEAR(VLOOKUP(A34,OFFSET($AG$2,,,COUNTIF($AG$2:$AG$50,"?*"),23),2,FALSE)),""),"")</f>
        <v/>
      </c>
      <c r="C35" s="423"/>
      <c r="D35" s="117" t="str">
        <f ca="1">IFERROR(VLOOKUP(A34,OFFSET($AG$2,,,COUNTIF($AG$2:$AG$50,"?*"),23),15,FALSE),"")</f>
        <v/>
      </c>
      <c r="E35" s="424" t="str">
        <f ca="1">IFERROR(VLOOKUP(A34,OFFSET($AG$2,,,COUNTIF($AG$2:$AG$50,"?*"),23),16,FALSE),"")</f>
        <v/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/>
      </c>
      <c r="K35" s="423" t="str">
        <f ca="1">IFERROR(IF(VLOOKUP(J34,OFFSET($AG$2,,,COUNTIF($AG$2:$AG$50,"?*"),23),2,FALSE)&lt;&gt;0,YEAR(VLOOKUP(J34,OFFSET($AG$2,,,COUNTIF($AG$2:$AG$50,"?*"),23),2,FALSE)),""),"")</f>
        <v/>
      </c>
      <c r="L35" s="431"/>
      <c r="M35" s="118" t="str">
        <f ca="1">IFERROR(VLOOKUP(J34,OFFSET($AG$2,,,COUNTIF($AG$2:$AG$50,"?*"),23),15,FALSE),"")</f>
        <v/>
      </c>
      <c r="N35" s="431" t="str">
        <f ca="1">IFERROR(VLOOKUP(J34,OFFSET($AG$2,,,COUNTIF($AG$2:$AG$50,"?*"),23),16,FALSE),"")</f>
        <v/>
      </c>
      <c r="O35" s="431"/>
      <c r="P35" s="431" t="str">
        <f ca="1">IFERROR(VLOOKUP(J34,OFFSET($AG$2,,,COUNTIF($AG$2:$AG$50,"?*"),23),18,FALSE),"")</f>
        <v/>
      </c>
      <c r="Q35" s="431"/>
      <c r="R35" s="43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6" t="str">
        <f ca="1">IFERROR(VLOOKUP(A34,OFFSET($AG$2,,,COUNTIF($AG$2:$AG$50,"?*"),23),18,FALSE),"")</f>
        <v/>
      </c>
      <c r="C36" s="426"/>
      <c r="D36" s="427" t="str">
        <f ca="1">IFERROR(VLOOKUP(A34,OFFSET($S$45,,,COUNTIF($S$45:$S$50,"?*"),14),5,FALSE),"")</f>
        <v/>
      </c>
      <c r="E36" s="428"/>
      <c r="F36" s="17" t="str">
        <f ca="1">IFERROR(VLOOKUP(A34,OFFSET($S$45,,,COUNTIF($S$45:$S$50,"?*"),14),14,FALSE),"")</f>
        <v/>
      </c>
      <c r="H36" s="457"/>
      <c r="J36" s="18" t="str">
        <f ca="1">IFERROR(IF(VLOOKUP(J34,OFFSET($AG$2,,,COUNTIF($AG$2:$AG$50,"?*"),23),7,FALSE)&lt;&gt;0,VLOOKUP(J34,OFFSET($AG$2,,,COUNTIF($AG$2:$AG$50,"?*"),23),7,FALSE),"?"),"")</f>
        <v/>
      </c>
      <c r="K36" s="433" t="str">
        <f ca="1">IFERROR(VLOOKUP(J34,OFFSET($AG$2,,,COUNTIF($AG$2:$AG$50,"?*"),23),19,FALSE),"")</f>
        <v/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/>
      </c>
      <c r="O36" s="434"/>
      <c r="P36" s="434"/>
      <c r="Q36" s="433" t="str">
        <f ca="1">IFERROR(IF(VLOOKUP(J34,OFFSET($AG$2,,,COUNTIF($AG$2:$AG$50,"?*"),23),14,FALSE)&lt;&gt;0,VLOOKUP(J34,OFFSET($AG$2,,,COUNTIF($AG$2:$AG$50,"?*"),23),14,FALSE),"?"),"")</f>
        <v/>
      </c>
      <c r="R36" s="43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1" t="str">
        <f ca="1">IFERROR(VLOOKUP(A34,OFFSET($S$45,,,COUNTIF($S$45:$S$50,"?*"),14),3,FALSE),"")</f>
        <v/>
      </c>
      <c r="B37" s="452"/>
      <c r="C37" s="453" t="str">
        <f ca="1">IFERROR(VLOOKUP(A34,OFFSET($S$45,,,COUNTIF($S$45:$S$50,"?*"),14),13,FALSE),"")</f>
        <v/>
      </c>
      <c r="D37" s="454"/>
      <c r="E37" s="455" t="str">
        <f ca="1">IFERROR(VLOOKUP(A34,OFFSET($AG$2,,,COUNTIF($AG$2:$AG$50,"?*"),23),19,FALSE),"")</f>
        <v/>
      </c>
      <c r="F37" s="456"/>
      <c r="H37" s="45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/>
      </c>
      <c r="B38" s="447"/>
      <c r="C38" s="448"/>
      <c r="D38" s="449" t="str">
        <f ca="1">IFERROR(IF(VLOOKUP(A34,OFFSET($AG$2,,,COUNTIF($AG$2:$AG$50,"?*"),23),14,FALSE)&lt;&gt;0,VLOOKUP(A34,OFFSET($AG$2,,,COUNTIF($AG$2:$AG$50,"?*"),23),14,FALSE),"?"),"")</f>
        <v/>
      </c>
      <c r="E38" s="450"/>
      <c r="F38" s="19" t="str">
        <f ca="1">IFERROR(VLOOKUP(A34,OFFSET($S$45,,,COUNTIF($S$45:$S$50,"?*"),14),6,FALSE),"")</f>
        <v/>
      </c>
      <c r="H38" s="457"/>
      <c r="J38" s="429"/>
      <c r="K38" s="430"/>
      <c r="L38" s="430"/>
      <c r="M38" s="430"/>
      <c r="N38" s="430"/>
      <c r="O38" s="430"/>
      <c r="P38" s="4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/>
      </c>
      <c r="K39" s="423" t="str">
        <f ca="1">IFERROR(IF(VLOOKUP(J38,OFFSET($AG$2,,,COUNTIF($AG$2:$AG$50,"?*"),23),2,FALSE)&lt;&gt;0,YEAR(VLOOKUP(J38,OFFSET($AG$2,,,COUNTIF($AG$2:$AG$50,"?*"),23),2,FALSE)),""),"")</f>
        <v/>
      </c>
      <c r="L39" s="431"/>
      <c r="M39" s="150" t="str">
        <f ca="1">IFERROR(VLOOKUP(J38,OFFSET($AG$2,,,COUNTIF($AG$2:$AG$50,"?*"),23),15,FALSE),"")</f>
        <v/>
      </c>
      <c r="N39" s="431" t="str">
        <f ca="1">IFERROR(VLOOKUP(J38,OFFSET($AG$2,,,COUNTIF($AG$2:$AG$50,"?*"),23),16,FALSE),"")</f>
        <v/>
      </c>
      <c r="O39" s="431"/>
      <c r="P39" s="431" t="str">
        <f ca="1">IFERROR(VLOOKUP(J38,OFFSET($AG$2,,,COUNTIF($AG$2:$AG$50,"?*"),23),18,FALSE),"")</f>
        <v/>
      </c>
      <c r="Q39" s="431"/>
      <c r="R39" s="43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9"/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7"/>
      <c r="J40" s="18" t="str">
        <f ca="1">IFERROR(IF(VLOOKUP(J38,OFFSET($AG$2,,,COUNTIF($AG$2:$AG$50,"?*"),23),7,FALSE)&lt;&gt;0,VLOOKUP(J38,OFFSET($AG$2,,,COUNTIF($AG$2:$AG$50,"?*"),23),7,FALSE),"?"),"")</f>
        <v/>
      </c>
      <c r="K40" s="433" t="str">
        <f ca="1">IFERROR(VLOOKUP(J38,OFFSET($AG$2,,,COUNTIF($AG$2:$AG$50,"?*"),23),19,FALSE),"")</f>
        <v/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/>
      </c>
      <c r="O40" s="434"/>
      <c r="P40" s="434"/>
      <c r="Q40" s="433" t="str">
        <f ca="1">IFERROR(IF(VLOOKUP(J38,OFFSET($AG$2,,,COUNTIF($AG$2:$AG$50,"?*"),23),14,FALSE)&lt;&gt;0,VLOOKUP(J38,OFFSET($AG$2,,,COUNTIF($AG$2:$AG$50,"?*"),23),14,FALSE),"?"),"")</f>
        <v/>
      </c>
      <c r="R40" s="43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2" t="str">
        <f ca="1">IFERROR(IF(VLOOKUP(A40,OFFSET($AG$2,,,COUNTIF($AG$2:$AG$50,"?*"),23),2,FALSE)&lt;&gt;0,YEAR(VLOOKUP(A40,OFFSET($AG$2,,,COUNTIF($AG$2:$AG$50,"?*"),23),2,FALSE)),""),"")</f>
        <v/>
      </c>
      <c r="C41" s="423"/>
      <c r="D41" s="117" t="str">
        <f ca="1">IFERROR(VLOOKUP(A40,OFFSET($AG$2,,,COUNTIF($AG$2:$AG$50,"?*"),23),15,FALSE),"")</f>
        <v/>
      </c>
      <c r="E41" s="424" t="str">
        <f ca="1">IFERROR(VLOOKUP(A40,OFFSET($AG$2,,,COUNTIF($AG$2:$AG$50,"?*"),23),16,FALSE),"")</f>
        <v/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6" t="str">
        <f ca="1">IFERROR(VLOOKUP(A40,OFFSET($AG$2,,,COUNTIF($AG$2:$AG$50,"?*"),23),18,FALSE),"")</f>
        <v/>
      </c>
      <c r="C42" s="426"/>
      <c r="D42" s="427" t="str">
        <f ca="1">IFERROR(VLOOKUP(A40,OFFSET($S$45,,,COUNTIF($S$45:$S$50,"?*"),14),5,FALSE),"")</f>
        <v/>
      </c>
      <c r="E42" s="428"/>
      <c r="F42" s="17" t="str">
        <f ca="1">IFERROR(VLOOKUP(A40,OFFSET($S$45,,,COUNTIF($S$45:$S$50,"?*"),14),14,FALSE),"")</f>
        <v/>
      </c>
      <c r="H42" s="457"/>
      <c r="J42" s="429"/>
      <c r="K42" s="430"/>
      <c r="L42" s="430"/>
      <c r="M42" s="430"/>
      <c r="N42" s="430"/>
      <c r="O42" s="430"/>
      <c r="P42" s="4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1" t="str">
        <f ca="1">IFERROR(VLOOKUP(A40,OFFSET($S$45,,,COUNTIF($S$45:$S$50,"?*"),14),3,FALSE),"")</f>
        <v/>
      </c>
      <c r="B43" s="452"/>
      <c r="C43" s="453" t="str">
        <f ca="1">IFERROR(VLOOKUP(A40,OFFSET($S$45,,,COUNTIF($S$45:$S$50,"?*"),14),13,FALSE),"")</f>
        <v/>
      </c>
      <c r="D43" s="454"/>
      <c r="E43" s="455" t="str">
        <f ca="1">IFERROR(VLOOKUP(A40,OFFSET($AG$2,,,COUNTIF($AG$2:$AG$50,"?*"),23),19,FALSE),"")</f>
        <v/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/>
      </c>
      <c r="K43" s="423" t="str">
        <f ca="1">IFERROR(IF(VLOOKUP(J42,OFFSET($AG$2,,,COUNTIF($AG$2:$AG$50,"?*"),23),2,FALSE)&lt;&gt;0,YEAR(VLOOKUP(J42,OFFSET($AG$2,,,COUNTIF($AG$2:$AG$50,"?*"),23),2,FALSE)),""),"")</f>
        <v/>
      </c>
      <c r="L43" s="431"/>
      <c r="M43" s="150" t="str">
        <f ca="1">IFERROR(VLOOKUP(J42,OFFSET($AG$2,,,COUNTIF($AG$2:$AG$50,"?*"),23),15,FALSE),"")</f>
        <v/>
      </c>
      <c r="N43" s="431" t="str">
        <f ca="1">IFERROR(VLOOKUP(J42,OFFSET($AG$2,,,COUNTIF($AG$2:$AG$50,"?*"),23),16,FALSE),"")</f>
        <v/>
      </c>
      <c r="O43" s="431"/>
      <c r="P43" s="431" t="str">
        <f ca="1">IFERROR(VLOOKUP(J42,OFFSET($AG$2,,,COUNTIF($AG$2:$AG$50,"?*"),23),18,FALSE),"")</f>
        <v/>
      </c>
      <c r="Q43" s="431"/>
      <c r="R43" s="432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/>
      </c>
      <c r="B44" s="447"/>
      <c r="C44" s="448"/>
      <c r="D44" s="449" t="str">
        <f ca="1">IFERROR(IF(VLOOKUP(A40,OFFSET($AG$2,,,COUNTIF($AG$2:$AG$50,"?*"),23),14,FALSE)&lt;&gt;0,VLOOKUP(A40,OFFSET($AG$2,,,COUNTIF($AG$2:$AG$50,"?*"),23),14,FALSE),"?"),"")</f>
        <v/>
      </c>
      <c r="E44" s="450"/>
      <c r="F44" s="19" t="str">
        <f ca="1">IFERROR(VLOOKUP(A40,OFFSET($S$45,,,COUNTIF($S$45:$S$50,"?*"),14),6,FALSE),"")</f>
        <v/>
      </c>
      <c r="H44" s="457"/>
      <c r="J44" s="18" t="str">
        <f ca="1">IFERROR(IF(VLOOKUP(J42,OFFSET($AG$2,,,COUNTIF($AG$2:$AG$50,"?*"),23),7,FALSE)&lt;&gt;0,VLOOKUP(J42,OFFSET($AG$2,,,COUNTIF($AG$2:$AG$50,"?*"),23),7,FALSE),"?"),"")</f>
        <v/>
      </c>
      <c r="K44" s="433" t="str">
        <f ca="1">IFERROR(VLOOKUP(J42,OFFSET($AG$2,,,COUNTIF($AG$2:$AG$50,"?*"),23),19,FALSE),"")</f>
        <v/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/>
      </c>
      <c r="O44" s="434"/>
      <c r="P44" s="434"/>
      <c r="Q44" s="433" t="str">
        <f ca="1">IFERROR(IF(VLOOKUP(J42,OFFSET($AG$2,,,COUNTIF($AG$2:$AG$50,"?*"),23),14,FALSE)&lt;&gt;0,VLOOKUP(J42,OFFSET($AG$2,,,COUNTIF($AG$2:$AG$50,"?*"),23),14,FALSE),"?"),"")</f>
        <v/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748</v>
      </c>
      <c r="T45" s="102">
        <v>9</v>
      </c>
      <c r="U45" s="112">
        <v>431.08</v>
      </c>
      <c r="V45" s="102">
        <v>2</v>
      </c>
      <c r="W45" s="102">
        <v>56</v>
      </c>
      <c r="X45" s="102">
        <v>0</v>
      </c>
      <c r="Y45" s="102">
        <v>214</v>
      </c>
      <c r="Z45" s="102">
        <v>0</v>
      </c>
      <c r="AA45" s="102">
        <v>7</v>
      </c>
      <c r="AB45" s="102">
        <v>158</v>
      </c>
      <c r="AC45" s="102">
        <v>0</v>
      </c>
      <c r="AD45" s="102">
        <v>0</v>
      </c>
      <c r="AE45" s="112">
        <f>IF(S45&lt;&gt;"",IF(T45&gt;0,W45/(U45/60),0),"")</f>
        <v>7.7943769137979029</v>
      </c>
      <c r="AF45" s="112">
        <f>IF(S45&lt;&gt;"",IF(Y45&gt;0,(AB45/Y45)*100,"-"),"")</f>
        <v>73.831775700934571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750</v>
      </c>
      <c r="T46" s="102">
        <v>3</v>
      </c>
      <c r="U46" s="112">
        <v>106.57</v>
      </c>
      <c r="V46" s="102">
        <v>0</v>
      </c>
      <c r="W46" s="102">
        <v>13</v>
      </c>
      <c r="X46" s="102">
        <v>0</v>
      </c>
      <c r="Y46" s="102">
        <v>59</v>
      </c>
      <c r="Z46" s="102">
        <v>0</v>
      </c>
      <c r="AA46" s="102">
        <v>3</v>
      </c>
      <c r="AB46" s="102">
        <v>46</v>
      </c>
      <c r="AC46" s="102">
        <v>0</v>
      </c>
      <c r="AD46" s="102">
        <v>0</v>
      </c>
      <c r="AE46" s="112">
        <f t="shared" ref="AE46:AE50" si="25">IF(S46&lt;&gt;"",IF(T46&gt;0,W46/(U46/60),0),"")</f>
        <v>7.3191329642488512</v>
      </c>
      <c r="AF46" s="112">
        <f t="shared" ref="AF46:AF50" si="26">IF(S46&lt;&gt;"",IF(Y46&gt;0,(AB46/Y46)*100,"-"),"")</f>
        <v>77.966101694915253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8"/>
      <c r="B47" s="419"/>
      <c r="C47" s="419"/>
      <c r="D47" s="419"/>
      <c r="E47" s="420" t="str">
        <f ca="1">IFERROR(VLOOKUP(A47,OFFSET($BN$2,,,COUNTIF($BN$2:$BN$11,"?*"),5),3,FALSE),"")</f>
        <v/>
      </c>
      <c r="F47" s="420"/>
      <c r="G47" s="420"/>
      <c r="H47" s="420"/>
      <c r="I47" s="421"/>
      <c r="J47" s="418"/>
      <c r="K47" s="419"/>
      <c r="L47" s="419"/>
      <c r="M47" s="419"/>
      <c r="N47" s="420" t="str">
        <f ca="1">IFERROR(VLOOKUP(J47,OFFSET($BN$2,,,COUNTIF($BN$2:$BN$11,"?*"),5),3,FALSE),"")</f>
        <v/>
      </c>
      <c r="O47" s="420"/>
      <c r="P47" s="420"/>
      <c r="Q47" s="420"/>
      <c r="R47" s="421"/>
      <c r="S47" s="111" t="s">
        <v>898</v>
      </c>
      <c r="T47" s="102">
        <v>2</v>
      </c>
      <c r="U47" s="112">
        <v>118.4</v>
      </c>
      <c r="V47" s="102">
        <v>0</v>
      </c>
      <c r="W47" s="102">
        <v>20</v>
      </c>
      <c r="X47" s="102">
        <v>0</v>
      </c>
      <c r="Y47" s="102">
        <v>75</v>
      </c>
      <c r="Z47" s="102">
        <v>0</v>
      </c>
      <c r="AA47" s="102">
        <v>2</v>
      </c>
      <c r="AB47" s="102">
        <v>55</v>
      </c>
      <c r="AC47" s="102">
        <v>0</v>
      </c>
      <c r="AD47" s="102">
        <v>0</v>
      </c>
      <c r="AE47" s="112">
        <f t="shared" si="25"/>
        <v>10.135135135135135</v>
      </c>
      <c r="AF47" s="112">
        <f t="shared" si="26"/>
        <v>73.333333333333329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6" t="str">
        <f ca="1">IFERROR(VLOOKUP(A47,OFFSET($BN$2,,,COUNTIF($BN$2:$BN$11,"?*"),5),5,FALSE),"")</f>
        <v/>
      </c>
      <c r="B48" s="438" t="str">
        <f ca="1">IFERROR(IF(VLOOKUP(A47,OFFSET($BN$2,,,COUNTIF($BN$2:$BN$11,"?*"),5),4,FALSE)&lt;&gt;0,VLOOKUP(A47,OFFSET($BN$2,,,COUNTIF($BN$2:$BN$11,"?*"),5),4,FALSE),"-"),"")</f>
        <v/>
      </c>
      <c r="C48" s="438"/>
      <c r="D48" s="438"/>
      <c r="E48" s="438"/>
      <c r="F48" s="438"/>
      <c r="G48" s="438"/>
      <c r="H48" s="438"/>
      <c r="I48" s="439"/>
      <c r="J48" s="119" t="str">
        <f ca="1">IFERROR(VLOOKUP(J47,OFFSET($BN$2,,,COUNTIF($BN$2:$BN$11,"?*"),5),5,FALSE),"")</f>
        <v/>
      </c>
      <c r="K48" s="442" t="str">
        <f ca="1">IFERROR(IF(VLOOKUP(J47,OFFSET($BN$2,,,COUNTIF($BN$2:$BN$11,"?*"),5),4,FALSE)&lt;&gt;0,VLOOKUP(J47,OFFSET($BN$2,,,COUNTIF($BN$2:$BN$11,"?*"),5),4,FALSE),"-"),"")</f>
        <v/>
      </c>
      <c r="L48" s="442"/>
      <c r="M48" s="442"/>
      <c r="N48" s="442"/>
      <c r="O48" s="442"/>
      <c r="P48" s="442"/>
      <c r="Q48" s="442"/>
      <c r="R48" s="443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/>
      <c r="K49" s="445"/>
      <c r="L49" s="445"/>
      <c r="M49" s="445"/>
      <c r="N49" s="420" t="str">
        <f ca="1">IFERROR(VLOOKUP(J49,OFFSET($BN$2,,,COUNTIF($BN$2:$BN$11,"?*"),5),3,FALSE),"")</f>
        <v/>
      </c>
      <c r="O49" s="420"/>
      <c r="P49" s="420"/>
      <c r="Q49" s="420"/>
      <c r="R49" s="421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119" t="str">
        <f ca="1">IFERROR(VLOOKUP(J49,OFFSET($BN$2,,,COUNTIF($BN$2:$BN$11,"?*"),5),5,FALSE),"")</f>
        <v/>
      </c>
      <c r="K50" s="442" t="str">
        <f ca="1">IFERROR(IF(VLOOKUP(J49,OFFSET($BN$2,,,COUNTIF($BN$2:$BN$11,"?*"),5),4,FALSE)&lt;&gt;0,VLOOKUP(J49,OFFSET($BN$2,,,COUNTIF($BN$2:$BN$11,"?*"),5),4,FALSE),"-"),"")</f>
        <v/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2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0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0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0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0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/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3" t="s">
        <v>1</v>
      </c>
      <c r="I1" s="463"/>
      <c r="J1" s="463"/>
      <c r="K1" s="463"/>
      <c r="M1" s="429"/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2" t="str">
        <f ca="1">IFERROR(IF(VLOOKUP(A1,OFFSET($AG$2,,,COUNTIF($AG$2:$AG$50,"?*"),23),2,FALSE)&lt;&gt;0,YEAR(VLOOKUP(A1,OFFSET($AG$2,,,COUNTIF($AG$2:$AG$50,"?*"),23),2,FALSE)),""),"")</f>
        <v/>
      </c>
      <c r="C2" s="423"/>
      <c r="D2" s="117" t="str">
        <f ca="1">IFERROR(VLOOKUP(A1,OFFSET($AG$2,,,COUNTIF($AG$2:$AG$50,"?*"),23),15,FALSE),"")</f>
        <v/>
      </c>
      <c r="E2" s="424" t="str">
        <f ca="1">IFERROR(VLOOKUP(A1,OFFSET($AG$2,,,COUNTIF($AG$2:$AG$50,"?*"),23),16,FALSE),"")</f>
        <v/>
      </c>
      <c r="F2" s="425"/>
      <c r="M2" s="4" t="str">
        <f ca="1">IFERROR(IF(VLOOKUP(M1,OFFSET($AG$2,,,COUNTIF($AG$2:$AG$50,"?*"),23),10,FALSE)&lt;&gt;0,VLOOKUP(M1,OFFSET($AG$2,,,COUNTIF($AG$2:$AG$50,"?*"),23),10,FALSE),""),"")</f>
        <v/>
      </c>
      <c r="N2" s="422" t="str">
        <f ca="1">IFERROR(IF(VLOOKUP(M1,OFFSET($AG$2,,,COUNTIF($AG$2:$AG$50,"?*"),23),2,FALSE)&lt;&gt;0,YEAR(VLOOKUP(M1,OFFSET($AG$2,,,COUNTIF($AG$2:$AG$50,"?*"),23),2,FALSE)),""),"")</f>
        <v/>
      </c>
      <c r="O2" s="423"/>
      <c r="P2" s="117" t="str">
        <f ca="1">IFERROR(VLOOKUP(M1,OFFSET($AG$2,,,COUNTIF($AG$2:$AG$50,"?*"),23),15,FALSE),"")</f>
        <v/>
      </c>
      <c r="Q2" s="424" t="str">
        <f ca="1">IFERROR(VLOOKUP(M1,OFFSET($AG$2,,,COUNTIF($AG$2:$AG$50,"?*"),23),16,FALSE),"")</f>
        <v/>
      </c>
      <c r="R2" s="425"/>
      <c r="S2" s="110" t="s">
        <v>579</v>
      </c>
      <c r="T2" s="102" t="s">
        <v>107</v>
      </c>
      <c r="U2" s="102">
        <v>11</v>
      </c>
      <c r="V2" s="102">
        <v>11</v>
      </c>
      <c r="W2" s="102">
        <v>3</v>
      </c>
      <c r="X2" s="102">
        <v>1</v>
      </c>
      <c r="Y2" s="102">
        <v>7</v>
      </c>
      <c r="Z2" s="102">
        <v>18</v>
      </c>
      <c r="AA2" s="102">
        <v>4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598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137</v>
      </c>
      <c r="AQ2" s="123">
        <v>173</v>
      </c>
      <c r="AR2" s="123">
        <v>62</v>
      </c>
      <c r="AS2" s="126" t="s">
        <v>610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624</v>
      </c>
      <c r="BO2" s="122">
        <v>29384</v>
      </c>
      <c r="BP2" s="131" t="s">
        <v>236</v>
      </c>
      <c r="BQ2" s="132" t="s">
        <v>625</v>
      </c>
      <c r="BR2" s="127">
        <f ca="1">IF(BN2&lt;&gt;"",IF(BO2&lt;&gt;"",INT((TODAY()-BO2)/365),"?"),"")</f>
        <v>41</v>
      </c>
      <c r="BS2" s="417" t="s">
        <v>36</v>
      </c>
      <c r="BT2" s="104" t="s">
        <v>632</v>
      </c>
      <c r="BU2" s="103">
        <v>18</v>
      </c>
      <c r="BV2" s="104" t="str">
        <f>IFERROR(RIGHT(BT2,LEN(BT2)-SEARCH(" ",BT2)),"")</f>
        <v>Lukáš Ujhélyi</v>
      </c>
      <c r="BW2" s="102">
        <f>IF(BT2&lt;&gt;0,_xlfn.NUMBERVALUE(BU2,","),"")</f>
        <v>18</v>
      </c>
      <c r="BX2" s="416" t="s">
        <v>192</v>
      </c>
      <c r="BY2" s="103" t="s">
        <v>861</v>
      </c>
      <c r="BZ2" s="103" t="s">
        <v>848</v>
      </c>
      <c r="CA2" s="115" t="s">
        <v>806</v>
      </c>
    </row>
    <row r="3" spans="1:79" ht="15" customHeight="1" thickTop="1" thickBot="1" x14ac:dyDescent="0.25">
      <c r="A3" s="458" t="str">
        <f ca="1">IFERROR(VLOOKUP(A1,OFFSET($AG$2,,,COUNTIF($AG$2:$AG$50,"?*"),23),18,FALSE),"")</f>
        <v/>
      </c>
      <c r="B3" s="459"/>
      <c r="C3" s="459"/>
      <c r="D3" s="460" t="str">
        <f ca="1">IFERROR(VLOOKUP(A1,OFFSET($AG$2,,,COUNTIF($AG$2:$AG$50,"?*"),23),19,FALSE),"")</f>
        <v/>
      </c>
      <c r="E3" s="460"/>
      <c r="F3" s="461"/>
      <c r="G3" s="429"/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8" t="str">
        <f ca="1">IFERROR(VLOOKUP(M1,OFFSET($AG$2,,,COUNTIF($AG$2:$AG$50,"?*"),23),18,FALSE),"")</f>
        <v/>
      </c>
      <c r="N3" s="459"/>
      <c r="O3" s="459"/>
      <c r="P3" s="460" t="str">
        <f ca="1">IFERROR(VLOOKUP(M1,OFFSET($AG$2,,,COUNTIF($AG$2:$AG$50,"?*"),23),19,FALSE),"")</f>
        <v/>
      </c>
      <c r="Q3" s="460"/>
      <c r="R3" s="461"/>
      <c r="S3" s="110" t="s">
        <v>580</v>
      </c>
      <c r="U3" s="102">
        <v>11</v>
      </c>
      <c r="V3" s="102">
        <v>9</v>
      </c>
      <c r="W3" s="102">
        <v>0</v>
      </c>
      <c r="X3" s="102">
        <v>0</v>
      </c>
      <c r="Y3" s="102">
        <v>7</v>
      </c>
      <c r="Z3" s="102">
        <v>16</v>
      </c>
      <c r="AA3" s="102">
        <v>4</v>
      </c>
      <c r="AB3" s="102">
        <v>14</v>
      </c>
      <c r="AC3" s="102" t="str">
        <f t="shared" ca="1" si="0"/>
        <v>ANO</v>
      </c>
      <c r="AG3" s="121" t="s">
        <v>584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611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11 OZ, 7 (3+4), +6 ±</v>
      </c>
      <c r="AY3" s="129" t="str">
        <f t="shared" ca="1" si="2"/>
        <v>138 OZ, 33 (12+21)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626</v>
      </c>
      <c r="BO3" s="122">
        <v>31166</v>
      </c>
      <c r="BP3" s="131" t="s">
        <v>237</v>
      </c>
      <c r="BQ3" s="132" t="s">
        <v>627</v>
      </c>
      <c r="BR3" s="127">
        <f t="shared" ref="BR3:BR11" ca="1" si="12">IF(BN3&lt;&gt;"",IF(BO3&lt;&gt;"",INT((TODAY()-BO3)/365),"?"),"")</f>
        <v>36</v>
      </c>
      <c r="BS3" s="417"/>
      <c r="BT3" s="104" t="s">
        <v>633</v>
      </c>
      <c r="BU3" s="103">
        <v>16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16</v>
      </c>
      <c r="BX3" s="416"/>
      <c r="BY3" s="103" t="s">
        <v>841</v>
      </c>
      <c r="BZ3" s="103" t="s">
        <v>849</v>
      </c>
      <c r="CA3" s="115" t="s">
        <v>1331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/>
      </c>
      <c r="B4" s="447"/>
      <c r="C4" s="448"/>
      <c r="D4" s="449" t="str">
        <f ca="1">IFERROR(IF(VLOOKUP(A1,OFFSET($AG$2,,,COUNTIF($AG$2:$AG$50,"?*"),23),14,FALSE)&lt;&gt;0,VLOOKUP(A1,OFFSET($AG$2,,,COUNTIF($AG$2:$AG$50,"?*"),23),14,FALSE),"?"),"")</f>
        <v/>
      </c>
      <c r="E4" s="4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2" t="str">
        <f ca="1">IFERROR(IF(VLOOKUP(G3,OFFSET($AG$2,,,COUNTIF($AG$2:$AG$50,"?*"),23),2,FALSE)&lt;&gt;0,YEAR(VLOOKUP(G3,OFFSET($AG$2,,,COUNTIF($AG$2:$AG$50,"?*"),23),2,FALSE)),""),"")</f>
        <v/>
      </c>
      <c r="I4" s="423"/>
      <c r="J4" s="117" t="str">
        <f ca="1">IFERROR(VLOOKUP(G3,OFFSET($AG$2,,,COUNTIF($AG$2:$AG$50,"?*"),23),15,FALSE),"")</f>
        <v/>
      </c>
      <c r="K4" s="424" t="str">
        <f ca="1">IFERROR(VLOOKUP(G3,OFFSET($AG$2,,,COUNTIF($AG$2:$AG$50,"?*"),23),16,FALSE),"")</f>
        <v/>
      </c>
      <c r="L4" s="425"/>
      <c r="M4" s="446" t="str">
        <f ca="1">IFERROR(IF(VLOOKUP(M1,OFFSET($AG$2,,,COUNTIF($AG$2:$AG$50,"?*"),23),13,FALSE)&lt;&gt;0,VLOOKUP(M1,OFFSET($AG$2,,,COUNTIF($AG$2:$AG$50,"?*"),23),13,FALSE),"?"),"")</f>
        <v/>
      </c>
      <c r="N4" s="447"/>
      <c r="O4" s="448"/>
      <c r="P4" s="449" t="str">
        <f ca="1">IFERROR(IF(VLOOKUP(M1,OFFSET($AG$2,,,COUNTIF($AG$2:$AG$50,"?*"),23),14,FALSE)&lt;&gt;0,VLOOKUP(M1,OFFSET($AG$2,,,COUNTIF($AG$2:$AG$50,"?*"),23),14,FALSE),"?"),"")</f>
        <v/>
      </c>
      <c r="Q4" s="4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581</v>
      </c>
      <c r="U4" s="102">
        <v>11</v>
      </c>
      <c r="V4" s="102">
        <v>8</v>
      </c>
      <c r="W4" s="102">
        <v>1</v>
      </c>
      <c r="X4" s="102">
        <v>0</v>
      </c>
      <c r="Y4" s="102">
        <v>8</v>
      </c>
      <c r="Z4" s="102">
        <v>16</v>
      </c>
      <c r="AA4" s="102">
        <v>6</v>
      </c>
      <c r="AB4" s="102">
        <v>9</v>
      </c>
      <c r="AC4" s="102" t="str">
        <f t="shared" ca="1" si="0"/>
        <v>ANO</v>
      </c>
      <c r="AG4" s="121" t="s">
        <v>374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137</v>
      </c>
      <c r="AQ4" s="123">
        <v>185</v>
      </c>
      <c r="AR4" s="123">
        <v>75</v>
      </c>
      <c r="AS4" s="126" t="s">
        <v>250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628</v>
      </c>
      <c r="BO4" s="122">
        <v>32564</v>
      </c>
      <c r="BP4" s="131" t="s">
        <v>237</v>
      </c>
      <c r="BQ4" s="132" t="s">
        <v>629</v>
      </c>
      <c r="BR4" s="127">
        <f t="shared" ca="1" si="12"/>
        <v>32</v>
      </c>
      <c r="BS4" s="417"/>
      <c r="BT4" s="104" t="s">
        <v>1096</v>
      </c>
      <c r="BU4" s="103">
        <v>16</v>
      </c>
      <c r="BV4" s="104" t="str">
        <f t="shared" si="13"/>
        <v>Mikuláš Krbec</v>
      </c>
      <c r="BW4" s="102">
        <f t="shared" si="14"/>
        <v>16</v>
      </c>
      <c r="BX4" s="416"/>
      <c r="BY4" s="103" t="s">
        <v>853</v>
      </c>
      <c r="BZ4" s="103" t="s">
        <v>850</v>
      </c>
      <c r="CA4" s="115" t="s">
        <v>1068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/>
      </c>
      <c r="H5" s="459"/>
      <c r="I5" s="459"/>
      <c r="J5" s="460" t="str">
        <f ca="1">IFERROR(VLOOKUP(G3,OFFSET($AG$2,,,COUNTIF($AG$2:$AG$50,"?*"),23),19,FALSE),"")</f>
        <v/>
      </c>
      <c r="K5" s="460"/>
      <c r="L5" s="461"/>
      <c r="S5" s="110" t="s">
        <v>582</v>
      </c>
      <c r="T5" s="102" t="s">
        <v>107</v>
      </c>
      <c r="U5" s="102">
        <v>11</v>
      </c>
      <c r="V5" s="102">
        <v>6</v>
      </c>
      <c r="W5" s="102">
        <v>1</v>
      </c>
      <c r="X5" s="102">
        <v>0</v>
      </c>
      <c r="Y5" s="102">
        <v>9</v>
      </c>
      <c r="Z5" s="102">
        <v>15</v>
      </c>
      <c r="AA5" s="102">
        <v>2</v>
      </c>
      <c r="AB5" s="102">
        <v>12</v>
      </c>
      <c r="AC5" s="102" t="str">
        <f t="shared" ca="1" si="0"/>
        <v>ANO</v>
      </c>
      <c r="AG5" s="121" t="s">
        <v>594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612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6 V, 4 P</v>
      </c>
      <c r="AY5" s="129" t="str">
        <f t="shared" ca="1" si="2"/>
        <v>217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630</v>
      </c>
      <c r="BO5" s="122">
        <v>33689</v>
      </c>
      <c r="BP5" s="131" t="s">
        <v>416</v>
      </c>
      <c r="BQ5" s="132"/>
      <c r="BR5" s="127">
        <f t="shared" ca="1" si="12"/>
        <v>29</v>
      </c>
      <c r="BS5" s="417"/>
      <c r="BT5" s="104" t="s">
        <v>1333</v>
      </c>
      <c r="BU5" s="103">
        <v>15</v>
      </c>
      <c r="BV5" s="104" t="str">
        <f t="shared" si="13"/>
        <v>Marek Zouzal</v>
      </c>
      <c r="BW5" s="102">
        <f t="shared" si="14"/>
        <v>15</v>
      </c>
      <c r="BX5" s="416"/>
      <c r="BY5" s="103" t="s">
        <v>1141</v>
      </c>
      <c r="BZ5" s="103" t="s">
        <v>851</v>
      </c>
      <c r="CA5" s="115" t="s">
        <v>768</v>
      </c>
    </row>
    <row r="6" spans="1:79" ht="15" customHeight="1" thickTop="1" thickBot="1" x14ac:dyDescent="0.25">
      <c r="A6" s="429"/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6" t="str">
        <f ca="1">IFERROR(IF(VLOOKUP(G3,OFFSET($AG$2,,,COUNTIF($AG$2:$AG$50,"?*"),23),13,FALSE)&lt;&gt;0,VLOOKUP(G3,OFFSET($AG$2,,,COUNTIF($AG$2:$AG$50,"?*"),23),13,FALSE),"?"),"")</f>
        <v/>
      </c>
      <c r="H6" s="447"/>
      <c r="I6" s="448"/>
      <c r="J6" s="449" t="str">
        <f ca="1">IFERROR(IF(VLOOKUP(G3,OFFSET($AG$2,,,COUNTIF($AG$2:$AG$50,"?*"),23),14,FALSE)&lt;&gt;0,VLOOKUP(G3,OFFSET($AG$2,,,COUNTIF($AG$2:$AG$50,"?*"),23),14,FALSE),"?"),"")</f>
        <v/>
      </c>
      <c r="K6" s="450"/>
      <c r="L6" s="7" t="str">
        <f ca="1">IFERROR(IF(VLOOKUP(G3,OFFSET($AG$2,,,COUNTIF($AG$2:$AG$50,"?*"),23),7,FALSE)&lt;&gt;0,VLOOKUP(G3,OFFSET($AG$2,,,COUNTIF($AG$2:$AG$50,"?*"),23),7,FALSE),"?"),"")</f>
        <v/>
      </c>
      <c r="M6" s="429"/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583</v>
      </c>
      <c r="U6" s="102">
        <v>11</v>
      </c>
      <c r="V6" s="102">
        <v>5</v>
      </c>
      <c r="W6" s="102">
        <v>0</v>
      </c>
      <c r="X6" s="102">
        <v>0</v>
      </c>
      <c r="Y6" s="102">
        <v>7</v>
      </c>
      <c r="Z6" s="102">
        <v>12</v>
      </c>
      <c r="AA6" s="102">
        <v>2</v>
      </c>
      <c r="AB6" s="102">
        <v>9</v>
      </c>
      <c r="AC6" s="102" t="str">
        <f t="shared" ca="1" si="0"/>
        <v>ANO</v>
      </c>
      <c r="AG6" s="121" t="s">
        <v>586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137</v>
      </c>
      <c r="AQ6" s="123">
        <v>185</v>
      </c>
      <c r="AR6" s="123">
        <v>79</v>
      </c>
      <c r="AS6" s="126" t="s">
        <v>613</v>
      </c>
      <c r="AT6" s="123"/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11 OZ, 8 (5+3), -5 ±</v>
      </c>
      <c r="AY6" s="129" t="str">
        <f t="shared" ca="1" si="2"/>
        <v>63 OZ, 54 (30+24)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631</v>
      </c>
      <c r="BO6" s="122">
        <v>35048</v>
      </c>
      <c r="BP6" s="131" t="s">
        <v>176</v>
      </c>
      <c r="BQ6" s="132" t="s">
        <v>625</v>
      </c>
      <c r="BR6" s="127">
        <f t="shared" ca="1" si="12"/>
        <v>25</v>
      </c>
      <c r="BS6" s="417"/>
      <c r="BT6" s="104" t="s">
        <v>1097</v>
      </c>
      <c r="BU6" s="103">
        <v>12</v>
      </c>
      <c r="BV6" s="104" t="str">
        <f t="shared" si="13"/>
        <v>Jakub Kolstrunk</v>
      </c>
      <c r="BW6" s="102">
        <f t="shared" si="14"/>
        <v>12</v>
      </c>
      <c r="BX6" s="416"/>
      <c r="BY6" s="103" t="s">
        <v>758</v>
      </c>
      <c r="BZ6" s="103" t="s">
        <v>858</v>
      </c>
      <c r="CA6" s="115" t="s">
        <v>1095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2" t="str">
        <f ca="1">IFERROR(IF(VLOOKUP(A6,OFFSET($AG$2,,,COUNTIF($AG$2:$AG$50,"?*"),23),2,FALSE)&lt;&gt;0,YEAR(VLOOKUP(A6,OFFSET($AG$2,,,COUNTIF($AG$2:$AG$50,"?*"),23),2,FALSE)),""),"")</f>
        <v/>
      </c>
      <c r="C7" s="423"/>
      <c r="D7" s="117" t="str">
        <f ca="1">IFERROR(VLOOKUP(A6,OFFSET($AG$2,,,COUNTIF($AG$2:$AG$50,"?*"),23),15,FALSE),"")</f>
        <v/>
      </c>
      <c r="E7" s="424" t="str">
        <f ca="1">IFERROR(VLOOKUP(A6,OFFSET($AG$2,,,COUNTIF($AG$2:$AG$50,"?*"),23),16,FALSE),"")</f>
        <v/>
      </c>
      <c r="F7" s="425"/>
      <c r="M7" s="4" t="str">
        <f ca="1">IFERROR(IF(VLOOKUP(M6,OFFSET($AG$2,,,COUNTIF($AG$2:$AG$50,"?*"),23),10,FALSE)&lt;&gt;0,VLOOKUP(M6,OFFSET($AG$2,,,COUNTIF($AG$2:$AG$50,"?*"),23),10,FALSE),""),"")</f>
        <v/>
      </c>
      <c r="N7" s="422" t="str">
        <f ca="1">IFERROR(IF(VLOOKUP(M6,OFFSET($AG$2,,,COUNTIF($AG$2:$AG$50,"?*"),23),2,FALSE)&lt;&gt;0,YEAR(VLOOKUP(M6,OFFSET($AG$2,,,COUNTIF($AG$2:$AG$50,"?*"),23),2,FALSE)),""),"")</f>
        <v/>
      </c>
      <c r="O7" s="423"/>
      <c r="P7" s="117" t="str">
        <f ca="1">IFERROR(VLOOKUP(M6,OFFSET($AG$2,,,COUNTIF($AG$2:$AG$50,"?*"),23),15,FALSE),"")</f>
        <v/>
      </c>
      <c r="Q7" s="424" t="str">
        <f ca="1">IFERROR(VLOOKUP(M6,OFFSET($AG$2,,,COUNTIF($AG$2:$AG$50,"?*"),23),16,FALSE),"")</f>
        <v/>
      </c>
      <c r="R7" s="425"/>
      <c r="S7" s="110" t="s">
        <v>586</v>
      </c>
      <c r="U7" s="102">
        <v>11</v>
      </c>
      <c r="V7" s="102">
        <v>5</v>
      </c>
      <c r="W7" s="102">
        <v>0</v>
      </c>
      <c r="X7" s="102">
        <v>0</v>
      </c>
      <c r="Y7" s="102">
        <v>3</v>
      </c>
      <c r="Z7" s="102">
        <v>8</v>
      </c>
      <c r="AA7" s="102">
        <v>2</v>
      </c>
      <c r="AB7" s="102">
        <v>-5</v>
      </c>
      <c r="AC7" s="102" t="str">
        <f t="shared" ca="1" si="0"/>
        <v>ANO</v>
      </c>
      <c r="AG7" s="121" t="s">
        <v>599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7" t="s">
        <v>40</v>
      </c>
      <c r="BT7" s="104" t="s">
        <v>634</v>
      </c>
      <c r="BU7" s="103" t="s">
        <v>896</v>
      </c>
      <c r="BV7" s="104" t="str">
        <f t="shared" si="13"/>
        <v>Martin Beneš</v>
      </c>
      <c r="BW7" s="112">
        <f t="shared" si="14"/>
        <v>5.12</v>
      </c>
      <c r="BX7" s="416" t="s">
        <v>193</v>
      </c>
      <c r="BY7" s="103" t="s">
        <v>972</v>
      </c>
      <c r="BZ7" s="103" t="s">
        <v>836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/>
      </c>
      <c r="B8" s="459"/>
      <c r="C8" s="459"/>
      <c r="D8" s="460" t="str">
        <f ca="1">IFERROR(VLOOKUP(A6,OFFSET($AG$2,,,COUNTIF($AG$2:$AG$50,"?*"),23),19,FALSE),"")</f>
        <v/>
      </c>
      <c r="E8" s="460"/>
      <c r="F8" s="461"/>
      <c r="H8" s="462" t="s">
        <v>95</v>
      </c>
      <c r="I8" s="462"/>
      <c r="J8" s="462"/>
      <c r="K8" s="462"/>
      <c r="M8" s="458" t="str">
        <f ca="1">IFERROR(VLOOKUP(M6,OFFSET($AG$2,,,COUNTIF($AG$2:$AG$50,"?*"),23),18,FALSE),"")</f>
        <v/>
      </c>
      <c r="N8" s="459"/>
      <c r="O8" s="459"/>
      <c r="P8" s="460" t="str">
        <f ca="1">IFERROR(VLOOKUP(M6,OFFSET($AG$2,,,COUNTIF($AG$2:$AG$50,"?*"),23),19,FALSE),"")</f>
        <v/>
      </c>
      <c r="Q8" s="460"/>
      <c r="R8" s="461"/>
      <c r="S8" s="110" t="s">
        <v>584</v>
      </c>
      <c r="T8" s="102" t="s">
        <v>58</v>
      </c>
      <c r="U8" s="102">
        <v>11</v>
      </c>
      <c r="V8" s="102">
        <v>3</v>
      </c>
      <c r="W8" s="102">
        <v>0</v>
      </c>
      <c r="X8" s="102">
        <v>0</v>
      </c>
      <c r="Y8" s="102">
        <v>4</v>
      </c>
      <c r="Z8" s="102">
        <v>7</v>
      </c>
      <c r="AA8" s="102">
        <v>2</v>
      </c>
      <c r="AB8" s="102">
        <v>6</v>
      </c>
      <c r="AC8" s="102" t="str">
        <f t="shared" ca="1" si="0"/>
        <v>ANO</v>
      </c>
      <c r="AG8" s="121" t="s">
        <v>600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614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7"/>
      <c r="BT8" s="104" t="s">
        <v>1334</v>
      </c>
      <c r="BU8" s="103" t="s">
        <v>183</v>
      </c>
      <c r="BV8" s="104" t="str">
        <f t="shared" si="13"/>
        <v>Roman Nový</v>
      </c>
      <c r="BW8" s="112">
        <f t="shared" si="14"/>
        <v>0</v>
      </c>
      <c r="BX8" s="416"/>
      <c r="BY8" s="103" t="s">
        <v>1053</v>
      </c>
      <c r="BZ8" s="103" t="s">
        <v>869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/>
      </c>
      <c r="B9" s="447"/>
      <c r="C9" s="448"/>
      <c r="D9" s="449" t="str">
        <f ca="1">IFERROR(IF(VLOOKUP(A6,OFFSET($AG$2,,,COUNTIF($AG$2:$AG$50,"?*"),23),14,FALSE)&lt;&gt;0,VLOOKUP(A6,OFFSET($AG$2,,,COUNTIF($AG$2:$AG$50,"?*"),23),14,FALSE),"?"),"")</f>
        <v/>
      </c>
      <c r="E9" s="450"/>
      <c r="F9" s="7" t="str">
        <f ca="1">IFERROR(IF(VLOOKUP(A6,OFFSET($AG$2,,,COUNTIF($AG$2:$AG$50,"?*"),23),7,FALSE)&lt;&gt;0,VLOOKUP(A6,OFFSET($AG$2,,,COUNTIF($AG$2:$AG$50,"?*"),23),7,FALSE),"?"),"")</f>
        <v/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/>
      </c>
      <c r="N9" s="447"/>
      <c r="O9" s="448"/>
      <c r="P9" s="449" t="str">
        <f ca="1">IFERROR(IF(VLOOKUP(M6,OFFSET($AG$2,,,COUNTIF($AG$2:$AG$50,"?*"),23),14,FALSE)&lt;&gt;0,VLOOKUP(M6,OFFSET($AG$2,,,COUNTIF($AG$2:$AG$50,"?*"),23),14,FALSE),"?"),"")</f>
        <v/>
      </c>
      <c r="Q9" s="4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588</v>
      </c>
      <c r="T9" s="102" t="s">
        <v>107</v>
      </c>
      <c r="U9" s="102">
        <v>11</v>
      </c>
      <c r="V9" s="102">
        <v>4</v>
      </c>
      <c r="W9" s="102">
        <v>0</v>
      </c>
      <c r="X9" s="102">
        <v>0</v>
      </c>
      <c r="Y9" s="102">
        <v>2</v>
      </c>
      <c r="Z9" s="102">
        <v>6</v>
      </c>
      <c r="AA9" s="102">
        <v>2</v>
      </c>
      <c r="AB9" s="102">
        <v>4</v>
      </c>
      <c r="AC9" s="102" t="str">
        <f t="shared" ca="1" si="0"/>
        <v>ANO</v>
      </c>
      <c r="AG9" s="121" t="s">
        <v>587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150</v>
      </c>
      <c r="AP9" s="125" t="s">
        <v>137</v>
      </c>
      <c r="AQ9" s="123">
        <v>180</v>
      </c>
      <c r="AR9" s="123">
        <v>81</v>
      </c>
      <c r="AS9" s="126" t="s">
        <v>76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11 OZ, 5 (3+2), -9 ±</v>
      </c>
      <c r="AY9" s="129" t="str">
        <f t="shared" ca="1" si="2"/>
        <v>299 OZ, 292 (158+134)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7"/>
      <c r="BT9" s="104" t="s">
        <v>1335</v>
      </c>
      <c r="BU9" s="103" t="s">
        <v>367</v>
      </c>
      <c r="BV9" s="104" t="str">
        <f t="shared" si="13"/>
        <v>Viktor Hejna</v>
      </c>
      <c r="BW9" s="112">
        <f t="shared" si="14"/>
        <v>4</v>
      </c>
      <c r="BX9" s="416"/>
      <c r="BY9" s="103" t="s">
        <v>1160</v>
      </c>
      <c r="BZ9" s="103" t="s">
        <v>834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597</v>
      </c>
      <c r="T10" s="102" t="s">
        <v>58</v>
      </c>
      <c r="U10" s="102">
        <v>11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8</v>
      </c>
      <c r="AB10" s="102">
        <v>3</v>
      </c>
      <c r="AC10" s="102" t="str">
        <f t="shared" ca="1" si="0"/>
        <v>ANO</v>
      </c>
      <c r="AG10" s="121" t="s">
        <v>596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225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9 OZ, 0 (0+0), -6 ±</v>
      </c>
      <c r="AY10" s="129" t="str">
        <f t="shared" ca="1" si="2"/>
        <v>35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7"/>
      <c r="BV10" s="104" t="str">
        <f t="shared" si="13"/>
        <v/>
      </c>
      <c r="BW10" s="112" t="str">
        <f t="shared" si="14"/>
        <v/>
      </c>
      <c r="BX10" s="416"/>
      <c r="BY10" s="103" t="s">
        <v>1143</v>
      </c>
      <c r="BZ10" s="103" t="s">
        <v>833</v>
      </c>
      <c r="CA10" s="115" t="s">
        <v>188</v>
      </c>
    </row>
    <row r="11" spans="1:79" ht="15" customHeight="1" thickTop="1" thickBot="1" x14ac:dyDescent="0.25">
      <c r="R11" s="13"/>
      <c r="S11" s="110" t="s">
        <v>591</v>
      </c>
      <c r="T11" s="102" t="s">
        <v>107</v>
      </c>
      <c r="U11" s="102">
        <v>11</v>
      </c>
      <c r="V11" s="102">
        <v>4</v>
      </c>
      <c r="W11" s="102">
        <v>0</v>
      </c>
      <c r="X11" s="102">
        <v>0</v>
      </c>
      <c r="Y11" s="102">
        <v>1</v>
      </c>
      <c r="Z11" s="102">
        <v>5</v>
      </c>
      <c r="AA11" s="102">
        <v>2</v>
      </c>
      <c r="AB11" s="102">
        <v>7</v>
      </c>
      <c r="AC11" s="102" t="str">
        <f t="shared" ca="1" si="0"/>
        <v>ANO</v>
      </c>
      <c r="AG11" s="121" t="s">
        <v>580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137</v>
      </c>
      <c r="AQ11" s="123">
        <v>179</v>
      </c>
      <c r="AR11" s="123">
        <v>82</v>
      </c>
      <c r="AS11" s="126" t="s">
        <v>68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11 OZ, 16 (9+7), +14 ±</v>
      </c>
      <c r="AY11" s="129" t="str">
        <f t="shared" ca="1" si="2"/>
        <v>80 OZ, 77 (42+35)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7"/>
      <c r="BV11" s="104" t="str">
        <f t="shared" si="13"/>
        <v/>
      </c>
      <c r="BW11" s="112" t="str">
        <f t="shared" si="14"/>
        <v/>
      </c>
      <c r="BX11" s="416"/>
      <c r="BY11" s="103" t="s">
        <v>1162</v>
      </c>
      <c r="BZ11" s="103" t="s">
        <v>832</v>
      </c>
      <c r="CA11" s="115" t="s">
        <v>188</v>
      </c>
    </row>
    <row r="12" spans="1:79" ht="15" customHeight="1" thickTop="1" thickBot="1" x14ac:dyDescent="0.25">
      <c r="A12" s="429"/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3" t="s">
        <v>7</v>
      </c>
      <c r="I12" s="463"/>
      <c r="J12" s="463"/>
      <c r="K12" s="463"/>
      <c r="M12" s="429"/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587</v>
      </c>
      <c r="T12" s="102" t="s">
        <v>58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2</v>
      </c>
      <c r="AB12" s="102">
        <v>-9</v>
      </c>
      <c r="AC12" s="102" t="str">
        <f t="shared" ca="1" si="0"/>
        <v>ANO</v>
      </c>
      <c r="AG12" s="121" t="s">
        <v>591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137</v>
      </c>
      <c r="AQ12" s="123">
        <v>186</v>
      </c>
      <c r="AR12" s="123">
        <v>89</v>
      </c>
      <c r="AS12" s="126" t="s">
        <v>615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11 OZ, 5 (4+1), +7 ±</v>
      </c>
      <c r="AY12" s="129" t="str">
        <f t="shared" ca="1" si="2"/>
        <v>120 OZ, 64 (38+26)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7" t="s">
        <v>37</v>
      </c>
      <c r="BT12" s="104" t="s">
        <v>632</v>
      </c>
      <c r="BU12" s="103">
        <v>11</v>
      </c>
      <c r="BV12" s="104" t="str">
        <f t="shared" si="13"/>
        <v>Lukáš Ujhélyi</v>
      </c>
      <c r="BW12" s="102">
        <f t="shared" si="14"/>
        <v>11</v>
      </c>
      <c r="BX12" s="120" t="s">
        <v>191</v>
      </c>
      <c r="BY12" s="100" t="s">
        <v>1332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2" t="str">
        <f ca="1">IFERROR(IF(VLOOKUP(A12,OFFSET($AG$2,,,COUNTIF($AG$2:$AG$50,"?*"),23),2,FALSE)&lt;&gt;0,YEAR(VLOOKUP(A12,OFFSET($AG$2,,,COUNTIF($AG$2:$AG$50,"?*"),23),2,FALSE)),""),"")</f>
        <v/>
      </c>
      <c r="C13" s="423"/>
      <c r="D13" s="117" t="str">
        <f ca="1">IFERROR(VLOOKUP(A12,OFFSET($AG$2,,,COUNTIF($AG$2:$AG$50,"?*"),23),15,FALSE),"")</f>
        <v/>
      </c>
      <c r="E13" s="424" t="str">
        <f ca="1">IFERROR(VLOOKUP(A12,OFFSET($AG$2,,,COUNTIF($AG$2:$AG$50,"?*"),23),16,FALSE),"")</f>
        <v/>
      </c>
      <c r="F13" s="425"/>
      <c r="M13" s="4" t="str">
        <f ca="1">IFERROR(IF(VLOOKUP(M12,OFFSET($AG$2,,,COUNTIF($AG$2:$AG$50,"?*"),23),10,FALSE)&lt;&gt;0,VLOOKUP(M12,OFFSET($AG$2,,,COUNTIF($AG$2:$AG$50,"?*"),23),10,FALSE),""),"")</f>
        <v/>
      </c>
      <c r="N13" s="422" t="str">
        <f ca="1">IFERROR(IF(VLOOKUP(M12,OFFSET($AG$2,,,COUNTIF($AG$2:$AG$50,"?*"),23),2,FALSE)&lt;&gt;0,YEAR(VLOOKUP(M12,OFFSET($AG$2,,,COUNTIF($AG$2:$AG$50,"?*"),23),2,FALSE)),""),"")</f>
        <v/>
      </c>
      <c r="O13" s="423"/>
      <c r="P13" s="117" t="str">
        <f ca="1">IFERROR(VLOOKUP(M12,OFFSET($AG$2,,,COUNTIF($AG$2:$AG$50,"?*"),23),15,FALSE),"")</f>
        <v/>
      </c>
      <c r="Q13" s="424" t="str">
        <f ca="1">IFERROR(VLOOKUP(M12,OFFSET($AG$2,,,COUNTIF($AG$2:$AG$50,"?*"),23),16,FALSE),"")</f>
        <v/>
      </c>
      <c r="R13" s="425"/>
      <c r="S13" s="110" t="s">
        <v>595</v>
      </c>
      <c r="T13" s="102" t="s">
        <v>58</v>
      </c>
      <c r="U13" s="102">
        <v>11</v>
      </c>
      <c r="V13" s="102">
        <v>2</v>
      </c>
      <c r="W13" s="102">
        <v>0</v>
      </c>
      <c r="X13" s="102">
        <v>0</v>
      </c>
      <c r="Y13" s="102">
        <v>3</v>
      </c>
      <c r="Z13" s="102">
        <v>5</v>
      </c>
      <c r="AA13" s="102">
        <v>4</v>
      </c>
      <c r="AB13" s="102">
        <v>9</v>
      </c>
      <c r="AC13" s="102" t="str">
        <f t="shared" ca="1" si="0"/>
        <v>ANO</v>
      </c>
      <c r="AG13" s="121" t="s">
        <v>583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137</v>
      </c>
      <c r="AQ13" s="123">
        <v>189</v>
      </c>
      <c r="AR13" s="123">
        <v>86</v>
      </c>
      <c r="AS13" s="126" t="s">
        <v>250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11 OZ, 12 (5+7), +9 ±</v>
      </c>
      <c r="AY13" s="129" t="str">
        <f t="shared" ca="1" si="2"/>
        <v>99 OZ, 95 (65+30)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7"/>
      <c r="BT13" s="104" t="s">
        <v>633</v>
      </c>
      <c r="BU13" s="103">
        <v>9</v>
      </c>
      <c r="BV13" s="104" t="str">
        <f t="shared" si="13"/>
        <v>Josef Juha</v>
      </c>
      <c r="BW13" s="102">
        <f t="shared" si="14"/>
        <v>9</v>
      </c>
    </row>
    <row r="14" spans="1:79" ht="15" customHeight="1" thickTop="1" thickBot="1" x14ac:dyDescent="0.25">
      <c r="A14" s="458" t="str">
        <f ca="1">IFERROR(VLOOKUP(A12,OFFSET($AG$2,,,COUNTIF($AG$2:$AG$50,"?*"),23),18,FALSE),"")</f>
        <v/>
      </c>
      <c r="B14" s="459"/>
      <c r="C14" s="459"/>
      <c r="D14" s="460" t="str">
        <f ca="1">IFERROR(VLOOKUP(A12,OFFSET($AG$2,,,COUNTIF($AG$2:$AG$50,"?*"),23),19,FALSE),"")</f>
        <v/>
      </c>
      <c r="E14" s="460"/>
      <c r="F14" s="461"/>
      <c r="G14" s="429"/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8" t="str">
        <f ca="1">IFERROR(VLOOKUP(M12,OFFSET($AG$2,,,COUNTIF($AG$2:$AG$50,"?*"),23),18,FALSE),"")</f>
        <v/>
      </c>
      <c r="N14" s="459"/>
      <c r="O14" s="459"/>
      <c r="P14" s="460" t="str">
        <f ca="1">IFERROR(VLOOKUP(M12,OFFSET($AG$2,,,COUNTIF($AG$2:$AG$50,"?*"),23),19,FALSE),"")</f>
        <v/>
      </c>
      <c r="Q14" s="460"/>
      <c r="R14" s="461"/>
      <c r="S14" s="110" t="s">
        <v>602</v>
      </c>
      <c r="U14" s="102">
        <v>10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4</v>
      </c>
      <c r="AB14" s="102">
        <v>-5</v>
      </c>
      <c r="AC14" s="102" t="str">
        <f t="shared" ca="1" si="0"/>
        <v>ANO</v>
      </c>
      <c r="AG14" s="121" t="s">
        <v>601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282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7"/>
      <c r="BT14" s="104" t="s">
        <v>1096</v>
      </c>
      <c r="BU14" s="103">
        <v>8</v>
      </c>
      <c r="BV14" s="104" t="str">
        <f t="shared" si="13"/>
        <v>Mikuláš Krbec</v>
      </c>
      <c r="BW14" s="102">
        <f t="shared" si="14"/>
        <v>8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/>
      </c>
      <c r="B15" s="447"/>
      <c r="C15" s="448"/>
      <c r="D15" s="449" t="str">
        <f ca="1">IFERROR(IF(VLOOKUP(A12,OFFSET($AG$2,,,COUNTIF($AG$2:$AG$50,"?*"),23),14,FALSE)&lt;&gt;0,VLOOKUP(A12,OFFSET($AG$2,,,COUNTIF($AG$2:$AG$50,"?*"),23),14,FALSE),"?"),"")</f>
        <v/>
      </c>
      <c r="E15" s="4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2" t="str">
        <f ca="1">IFERROR(IF(VLOOKUP(G14,OFFSET($AG$2,,,COUNTIF($AG$2:$AG$50,"?*"),23),2,FALSE)&lt;&gt;0,YEAR(VLOOKUP(G14,OFFSET($AG$2,,,COUNTIF($AG$2:$AG$50,"?*"),23),2,FALSE)),""),"")</f>
        <v/>
      </c>
      <c r="I15" s="423"/>
      <c r="J15" s="117" t="str">
        <f ca="1">IFERROR(VLOOKUP(G14,OFFSET($AG$2,,,COUNTIF($AG$2:$AG$50,"?*"),23),15,FALSE),"")</f>
        <v/>
      </c>
      <c r="K15" s="424" t="str">
        <f ca="1">IFERROR(VLOOKUP(G14,OFFSET($AG$2,,,COUNTIF($AG$2:$AG$50,"?*"),23),16,FALSE),"")</f>
        <v/>
      </c>
      <c r="L15" s="425"/>
      <c r="M15" s="446" t="str">
        <f ca="1">IFERROR(IF(VLOOKUP(M12,OFFSET($AG$2,,,COUNTIF($AG$2:$AG$50,"?*"),23),13,FALSE)&lt;&gt;0,VLOOKUP(M12,OFFSET($AG$2,,,COUNTIF($AG$2:$AG$50,"?*"),23),13,FALSE),"?"),"")</f>
        <v/>
      </c>
      <c r="N15" s="447"/>
      <c r="O15" s="448"/>
      <c r="P15" s="449" t="str">
        <f ca="1">IFERROR(IF(VLOOKUP(M12,OFFSET($AG$2,,,COUNTIF($AG$2:$AG$50,"?*"),23),14,FALSE)&lt;&gt;0,VLOOKUP(M12,OFFSET($AG$2,,,COUNTIF($AG$2:$AG$50,"?*"),23),14,FALSE),"?"),"")</f>
        <v/>
      </c>
      <c r="Q15" s="4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593</v>
      </c>
      <c r="U15" s="102">
        <v>11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-9</v>
      </c>
      <c r="AC15" s="102" t="str">
        <f t="shared" ca="1" si="0"/>
        <v>NE</v>
      </c>
      <c r="AG15" s="121" t="s">
        <v>602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616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10 OZ, 2 (1+1), -5 ±</v>
      </c>
      <c r="AY15" s="129" t="str">
        <f t="shared" ca="1" si="2"/>
        <v>58 OZ, 12 (9+3)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7"/>
      <c r="BT15" s="104" t="s">
        <v>1333</v>
      </c>
      <c r="BU15" s="103">
        <v>6</v>
      </c>
      <c r="BV15" s="104" t="str">
        <f t="shared" si="13"/>
        <v>Marek Zouzal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/>
      </c>
      <c r="H16" s="459"/>
      <c r="I16" s="459"/>
      <c r="J16" s="460" t="str">
        <f ca="1">IFERROR(VLOOKUP(G14,OFFSET($AG$2,,,COUNTIF($AG$2:$AG$50,"?*"),23),19,FALSE),"")</f>
        <v/>
      </c>
      <c r="K16" s="460"/>
      <c r="L16" s="461"/>
      <c r="S16" s="110" t="s">
        <v>900</v>
      </c>
      <c r="T16" s="102" t="s">
        <v>58</v>
      </c>
      <c r="U16" s="102">
        <v>5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2</v>
      </c>
      <c r="AB16" s="102">
        <v>-1</v>
      </c>
      <c r="AC16" s="102" t="str">
        <f t="shared" ca="1" si="0"/>
        <v>NE</v>
      </c>
      <c r="AG16" s="121" t="s">
        <v>581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137</v>
      </c>
      <c r="AQ16" s="123">
        <v>189</v>
      </c>
      <c r="AR16" s="123">
        <v>87</v>
      </c>
      <c r="AS16" s="126" t="s">
        <v>617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11 OZ, 16 (8+8), +9 ±</v>
      </c>
      <c r="AY16" s="129" t="str">
        <f t="shared" ca="1" si="2"/>
        <v>110 OZ, 158 (63+95)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7"/>
      <c r="BT16" s="104" t="s">
        <v>1097</v>
      </c>
      <c r="BU16" s="103">
        <v>5</v>
      </c>
      <c r="BV16" s="104" t="str">
        <f t="shared" si="13"/>
        <v>Jakub Kolstrunk</v>
      </c>
      <c r="BW16" s="102">
        <f t="shared" si="14"/>
        <v>5</v>
      </c>
    </row>
    <row r="17" spans="1:75" ht="15" customHeight="1" thickTop="1" thickBot="1" x14ac:dyDescent="0.25">
      <c r="A17" s="429"/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6" t="str">
        <f ca="1">IFERROR(IF(VLOOKUP(G14,OFFSET($AG$2,,,COUNTIF($AG$2:$AG$50,"?*"),23),13,FALSE)&lt;&gt;0,VLOOKUP(G14,OFFSET($AG$2,,,COUNTIF($AG$2:$AG$50,"?*"),23),13,FALSE),"?"),"")</f>
        <v/>
      </c>
      <c r="H17" s="447"/>
      <c r="I17" s="448"/>
      <c r="J17" s="449" t="str">
        <f ca="1">IFERROR(IF(VLOOKUP(G14,OFFSET($AG$2,,,COUNTIF($AG$2:$AG$50,"?*"),23),14,FALSE)&lt;&gt;0,VLOOKUP(G14,OFFSET($AG$2,,,COUNTIF($AG$2:$AG$50,"?*"),23),14,FALSE),"?"),"")</f>
        <v/>
      </c>
      <c r="K17" s="450"/>
      <c r="L17" s="7" t="str">
        <f ca="1">IFERROR(IF(VLOOKUP(G14,OFFSET($AG$2,,,COUNTIF($AG$2:$AG$50,"?*"),23),7,FALSE)&lt;&gt;0,VLOOKUP(G14,OFFSET($AG$2,,,COUNTIF($AG$2:$AG$50,"?*"),23),7,FALSE),"?"),"")</f>
        <v/>
      </c>
      <c r="M17" s="429"/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590</v>
      </c>
      <c r="T17" s="102" t="s">
        <v>107</v>
      </c>
      <c r="U17" s="102">
        <v>10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-3</v>
      </c>
      <c r="AC17" s="102" t="str">
        <f t="shared" ca="1" si="0"/>
        <v>ANO</v>
      </c>
      <c r="AG17" s="121" t="s">
        <v>595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137</v>
      </c>
      <c r="AQ17" s="123">
        <v>184</v>
      </c>
      <c r="AR17" s="123">
        <v>74</v>
      </c>
      <c r="AS17" s="126" t="s">
        <v>294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11 OZ, 5 (2+3), +9 ±</v>
      </c>
      <c r="AY17" s="129" t="str">
        <f t="shared" ca="1" si="2"/>
        <v>352 OZ, 321 (143+178)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7" t="s">
        <v>41</v>
      </c>
      <c r="BT17" s="104" t="s">
        <v>634</v>
      </c>
      <c r="BU17" s="103">
        <v>6</v>
      </c>
      <c r="BV17" s="104" t="str">
        <f t="shared" si="13"/>
        <v>Martin Beneš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2" t="str">
        <f ca="1">IFERROR(IF(VLOOKUP(A17,OFFSET($AG$2,,,COUNTIF($AG$2:$AG$50,"?*"),23),2,FALSE)&lt;&gt;0,YEAR(VLOOKUP(A17,OFFSET($AG$2,,,COUNTIF($AG$2:$AG$50,"?*"),23),2,FALSE)),""),"")</f>
        <v/>
      </c>
      <c r="C18" s="423"/>
      <c r="D18" s="149" t="str">
        <f ca="1">IFERROR(VLOOKUP(A17,OFFSET($AG$2,,,COUNTIF($AG$2:$AG$50,"?*"),23),15,FALSE),"")</f>
        <v/>
      </c>
      <c r="E18" s="424" t="str">
        <f ca="1">IFERROR(VLOOKUP(A17,OFFSET($AG$2,,,COUNTIF($AG$2:$AG$50,"?*"),23),16,FALSE),"")</f>
        <v/>
      </c>
      <c r="F18" s="425"/>
      <c r="M18" s="4" t="str">
        <f ca="1">IFERROR(IF(VLOOKUP(M17,OFFSET($AG$2,,,COUNTIF($AG$2:$AG$50,"?*"),23),10,FALSE)&lt;&gt;0,VLOOKUP(M17,OFFSET($AG$2,,,COUNTIF($AG$2:$AG$50,"?*"),23),10,FALSE),""),"")</f>
        <v/>
      </c>
      <c r="N18" s="422" t="str">
        <f ca="1">IFERROR(IF(VLOOKUP(M17,OFFSET($AG$2,,,COUNTIF($AG$2:$AG$50,"?*"),23),2,FALSE)&lt;&gt;0,YEAR(VLOOKUP(M17,OFFSET($AG$2,,,COUNTIF($AG$2:$AG$50,"?*"),23),2,FALSE)),""),"")</f>
        <v/>
      </c>
      <c r="O18" s="423"/>
      <c r="P18" s="117" t="str">
        <f ca="1">IFERROR(VLOOKUP(M17,OFFSET($AG$2,,,COUNTIF($AG$2:$AG$50,"?*"),23),15,FALSE),"")</f>
        <v/>
      </c>
      <c r="Q18" s="424" t="str">
        <f ca="1">IFERROR(VLOOKUP(M17,OFFSET($AG$2,,,COUNTIF($AG$2:$AG$50,"?*"),23),16,FALSE),"")</f>
        <v/>
      </c>
      <c r="R18" s="425"/>
      <c r="S18" s="110" t="s">
        <v>1330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592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137</v>
      </c>
      <c r="AQ18" s="123">
        <v>179</v>
      </c>
      <c r="AR18" s="123">
        <v>78</v>
      </c>
      <c r="AS18" s="126" t="s">
        <v>225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6 OZ, 0 (0+0), 0 ±</v>
      </c>
      <c r="AY18" s="129" t="str">
        <f t="shared" ca="1" si="2"/>
        <v>221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7"/>
      <c r="BT18" s="104" t="s">
        <v>821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458" t="str">
        <f ca="1">IFERROR(VLOOKUP(A17,OFFSET($AG$2,,,COUNTIF($AG$2:$AG$50,"?*"),23),18,FALSE),"")</f>
        <v/>
      </c>
      <c r="B19" s="459"/>
      <c r="C19" s="459"/>
      <c r="D19" s="460" t="str">
        <f ca="1">IFERROR(VLOOKUP(A17,OFFSET($AG$2,,,COUNTIF($AG$2:$AG$50,"?*"),23),19,FALSE),"")</f>
        <v/>
      </c>
      <c r="E19" s="460"/>
      <c r="F19" s="461"/>
      <c r="H19" s="462" t="str">
        <f>H$8</f>
        <v>SPA</v>
      </c>
      <c r="I19" s="462"/>
      <c r="J19" s="462"/>
      <c r="K19" s="462"/>
      <c r="M19" s="458" t="str">
        <f ca="1">IFERROR(VLOOKUP(M17,OFFSET($AG$2,,,COUNTIF($AG$2:$AG$50,"?*"),23),18,FALSE),"")</f>
        <v/>
      </c>
      <c r="N19" s="459"/>
      <c r="O19" s="459"/>
      <c r="P19" s="460" t="str">
        <f ca="1">IFERROR(VLOOKUP(M17,OFFSET($AG$2,,,COUNTIF($AG$2:$AG$50,"?*"),23),19,FALSE),"")</f>
        <v/>
      </c>
      <c r="Q19" s="460"/>
      <c r="R19" s="461"/>
      <c r="S19" s="110" t="s">
        <v>1329</v>
      </c>
      <c r="T19" s="102" t="s">
        <v>105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603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7"/>
      <c r="BT19" s="104" t="s">
        <v>1336</v>
      </c>
      <c r="BU19" s="103">
        <v>0</v>
      </c>
      <c r="BV19" s="104" t="str">
        <f t="shared" si="13"/>
        <v>Roman Nový</v>
      </c>
      <c r="BW19" s="102">
        <f t="shared" si="14"/>
        <v>0</v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/>
      </c>
      <c r="B20" s="447"/>
      <c r="C20" s="448"/>
      <c r="D20" s="449" t="str">
        <f ca="1">IFERROR(IF(VLOOKUP(A17,OFFSET($AG$2,,,COUNTIF($AG$2:$AG$50,"?*"),23),14,FALSE)&lt;&gt;0,VLOOKUP(A17,OFFSET($AG$2,,,COUNTIF($AG$2:$AG$50,"?*"),23),14,FALSE),"?"),"")</f>
        <v/>
      </c>
      <c r="E20" s="450"/>
      <c r="F20" s="7" t="str">
        <f ca="1">IFERROR(IF(VLOOKUP(A17,OFFSET($AG$2,,,COUNTIF($AG$2:$AG$50,"?*"),23),7,FALSE)&lt;&gt;0,VLOOKUP(A17,OFFSET($AG$2,,,COUNTIF($AG$2:$AG$50,"?*"),23),7,FALSE),"?"),"")</f>
        <v/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/>
      </c>
      <c r="N20" s="447"/>
      <c r="O20" s="448"/>
      <c r="P20" s="449" t="str">
        <f ca="1">IFERROR(IF(VLOOKUP(M17,OFFSET($AG$2,,,COUNTIF($AG$2:$AG$50,"?*"),23),14,FALSE)&lt;&gt;0,VLOOKUP(M17,OFFSET($AG$2,,,COUNTIF($AG$2:$AG$50,"?*"),23),14,FALSE),"?"),"")</f>
        <v/>
      </c>
      <c r="Q20" s="4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585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590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616</v>
      </c>
      <c r="AT20" s="123"/>
      <c r="AU20" s="127">
        <f ca="1">IF(AG20&lt;&gt;"",IF(AH20&lt;&gt;"",INT((TODAY()-AH20)/365),"?"),"")</f>
        <v>24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10 OZ, 1 (0+1), -3 ±</v>
      </c>
      <c r="AY20" s="129" t="str">
        <f t="shared" ca="1" si="2"/>
        <v>76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592</v>
      </c>
      <c r="T21" s="102" t="s">
        <v>58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604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618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596</v>
      </c>
      <c r="U22" s="102">
        <v>9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 t="s">
        <v>588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137</v>
      </c>
      <c r="AQ22" s="123">
        <v>191</v>
      </c>
      <c r="AR22" s="123">
        <v>87</v>
      </c>
      <c r="AS22" s="126" t="s">
        <v>619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11 OZ, 6 (4+2), +4 ±</v>
      </c>
      <c r="AY22" s="129" t="str">
        <f t="shared" ca="1" si="2"/>
        <v>155 OZ, 101 (47+54)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7" t="s">
        <v>38</v>
      </c>
      <c r="BT22" s="104" t="s">
        <v>1337</v>
      </c>
      <c r="BU22" s="103">
        <v>9</v>
      </c>
      <c r="BV22" s="104" t="str">
        <f t="shared" si="13"/>
        <v>Marek Zouzal</v>
      </c>
      <c r="BW22" s="102">
        <f t="shared" si="14"/>
        <v>9</v>
      </c>
    </row>
    <row r="23" spans="1:75" ht="15" customHeight="1" thickTop="1" thickBot="1" x14ac:dyDescent="0.25">
      <c r="A23" s="429"/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3" t="s">
        <v>13</v>
      </c>
      <c r="I23" s="463"/>
      <c r="J23" s="463"/>
      <c r="K23" s="463"/>
      <c r="M23" s="429"/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589</v>
      </c>
      <c r="U23" s="102">
        <v>1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605</v>
      </c>
      <c r="AH23" s="122"/>
      <c r="AI23" s="123"/>
      <c r="AJ23" s="123"/>
      <c r="AK23" s="123"/>
      <c r="AL23" s="124">
        <f>IF(AG23&lt;&gt;"",AJ23+AK23,"")</f>
        <v>0</v>
      </c>
      <c r="AM23" s="123" t="s">
        <v>282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7"/>
      <c r="BT23" s="104" t="s">
        <v>899</v>
      </c>
      <c r="BU23" s="103">
        <v>8</v>
      </c>
      <c r="BV23" s="104" t="str">
        <f t="shared" si="13"/>
        <v>Mikuláš Krbec</v>
      </c>
      <c r="BW23" s="102">
        <f t="shared" si="14"/>
        <v>8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2" t="str">
        <f ca="1">IFERROR(IF(VLOOKUP(A23,OFFSET($AG$2,,,COUNTIF($AG$2:$AG$50,"?*"),23),2,FALSE)&lt;&gt;0,YEAR(VLOOKUP(A23,OFFSET($AG$2,,,COUNTIF($AG$2:$AG$50,"?*"),23),2,FALSE)),""),"")</f>
        <v/>
      </c>
      <c r="C24" s="423"/>
      <c r="D24" s="117" t="str">
        <f ca="1">IFERROR(VLOOKUP(A23,OFFSET($AG$2,,,COUNTIF($AG$2:$AG$50,"?*"),23),15,FALSE),"")</f>
        <v/>
      </c>
      <c r="E24" s="424" t="str">
        <f ca="1">IFERROR(VLOOKUP(A23,OFFSET($AG$2,,,COUNTIF($AG$2:$AG$50,"?*"),23),16,FALSE),"")</f>
        <v/>
      </c>
      <c r="F24" s="425"/>
      <c r="M24" s="4" t="str">
        <f ca="1">IFERROR(IF(VLOOKUP(M23,OFFSET($AG$2,,,COUNTIF($AG$2:$AG$50,"?*"),23),10,FALSE)&lt;&gt;0,VLOOKUP(M23,OFFSET($AG$2,,,COUNTIF($AG$2:$AG$50,"?*"),23),10,FALSE),""),"")</f>
        <v/>
      </c>
      <c r="N24" s="422" t="str">
        <f ca="1">IFERROR(IF(VLOOKUP(M23,OFFSET($AG$2,,,COUNTIF($AG$2:$AG$50,"?*"),23),2,FALSE)&lt;&gt;0,YEAR(VLOOKUP(M23,OFFSET($AG$2,,,COUNTIF($AG$2:$AG$50,"?*"),23),2,FALSE)),""),"")</f>
        <v/>
      </c>
      <c r="O24" s="423"/>
      <c r="P24" s="117" t="str">
        <f ca="1">IFERROR(VLOOKUP(M23,OFFSET($AG$2,,,COUNTIF($AG$2:$AG$50,"?*"),23),15,FALSE),"")</f>
        <v/>
      </c>
      <c r="Q24" s="424" t="str">
        <f ca="1">IFERROR(VLOOKUP(M23,OFFSET($AG$2,,,COUNTIF($AG$2:$AG$50,"?*"),23),16,FALSE),"")</f>
        <v/>
      </c>
      <c r="R24" s="425"/>
      <c r="S24" s="110" t="s">
        <v>594</v>
      </c>
      <c r="T24" s="102" t="s">
        <v>105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606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620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7"/>
      <c r="BT24" s="104" t="s">
        <v>1338</v>
      </c>
      <c r="BU24" s="103">
        <v>7</v>
      </c>
      <c r="BV24" s="104" t="str">
        <f t="shared" si="13"/>
        <v>Jakub Kolstrunk</v>
      </c>
      <c r="BW24" s="102">
        <f t="shared" si="14"/>
        <v>7</v>
      </c>
    </row>
    <row r="25" spans="1:75" ht="15" customHeight="1" thickTop="1" thickBot="1" x14ac:dyDescent="0.25">
      <c r="A25" s="458" t="str">
        <f ca="1">IFERROR(VLOOKUP(A23,OFFSET($AG$2,,,COUNTIF($AG$2:$AG$50,"?*"),23),18,FALSE),"")</f>
        <v/>
      </c>
      <c r="B25" s="459"/>
      <c r="C25" s="459"/>
      <c r="D25" s="460" t="str">
        <f ca="1">IFERROR(VLOOKUP(A23,OFFSET($AG$2,,,COUNTIF($AG$2:$AG$50,"?*"),23),19,FALSE),"")</f>
        <v/>
      </c>
      <c r="E25" s="460"/>
      <c r="F25" s="461"/>
      <c r="G25" s="429"/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8" t="str">
        <f ca="1">IFERROR(VLOOKUP(M23,OFFSET($AG$2,,,COUNTIF($AG$2:$AG$50,"?*"),23),18,FALSE),"")</f>
        <v/>
      </c>
      <c r="N25" s="459"/>
      <c r="O25" s="459"/>
      <c r="P25" s="460" t="str">
        <f ca="1">IFERROR(VLOOKUP(M23,OFFSET($AG$2,,,COUNTIF($AG$2:$AG$50,"?*"),23),19,FALSE),"")</f>
        <v/>
      </c>
      <c r="Q25" s="460"/>
      <c r="R25" s="461"/>
      <c r="S25" s="111"/>
      <c r="AC25" s="102" t="str">
        <f t="shared" ca="1" si="0"/>
        <v/>
      </c>
      <c r="AG25" s="121" t="s">
        <v>607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137</v>
      </c>
      <c r="AQ25" s="123">
        <v>181</v>
      </c>
      <c r="AR25" s="123">
        <v>76</v>
      </c>
      <c r="AS25" s="126" t="s">
        <v>621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7"/>
      <c r="BT25" s="104" t="s">
        <v>1339</v>
      </c>
      <c r="BU25" s="103">
        <v>7</v>
      </c>
      <c r="BV25" s="104" t="str">
        <f t="shared" si="13"/>
        <v>Josef Juha</v>
      </c>
      <c r="BW25" s="102">
        <f t="shared" si="14"/>
        <v>7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/>
      </c>
      <c r="B26" s="447"/>
      <c r="C26" s="448"/>
      <c r="D26" s="449" t="str">
        <f ca="1">IFERROR(IF(VLOOKUP(A23,OFFSET($AG$2,,,COUNTIF($AG$2:$AG$50,"?*"),23),14,FALSE)&lt;&gt;0,VLOOKUP(A23,OFFSET($AG$2,,,COUNTIF($AG$2:$AG$50,"?*"),23),14,FALSE),"?"),"")</f>
        <v/>
      </c>
      <c r="E26" s="4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2" t="str">
        <f ca="1">IFERROR(IF(VLOOKUP(G25,OFFSET($AG$2,,,COUNTIF($AG$2:$AG$50,"?*"),23),2,FALSE)&lt;&gt;0,YEAR(VLOOKUP(G25,OFFSET($AG$2,,,COUNTIF($AG$2:$AG$50,"?*"),23),2,FALSE)),""),"")</f>
        <v/>
      </c>
      <c r="I26" s="423"/>
      <c r="J26" s="117" t="str">
        <f ca="1">IFERROR(VLOOKUP(G25,OFFSET($AG$2,,,COUNTIF($AG$2:$AG$50,"?*"),23),15,FALSE),"")</f>
        <v/>
      </c>
      <c r="K26" s="424" t="str">
        <f ca="1">IFERROR(VLOOKUP(G25,OFFSET($AG$2,,,COUNTIF($AG$2:$AG$50,"?*"),23),16,FALSE),"")</f>
        <v/>
      </c>
      <c r="L26" s="425"/>
      <c r="M26" s="446" t="str">
        <f ca="1">IFERROR(IF(VLOOKUP(M23,OFFSET($AG$2,,,COUNTIF($AG$2:$AG$50,"?*"),23),13,FALSE)&lt;&gt;0,VLOOKUP(M23,OFFSET($AG$2,,,COUNTIF($AG$2:$AG$50,"?*"),23),13,FALSE),"?"),"")</f>
        <v/>
      </c>
      <c r="N26" s="447"/>
      <c r="O26" s="448"/>
      <c r="P26" s="449" t="str">
        <f ca="1">IFERROR(IF(VLOOKUP(M23,OFFSET($AG$2,,,COUNTIF($AG$2:$AG$50,"?*"),23),14,FALSE)&lt;&gt;0,VLOOKUP(M23,OFFSET($AG$2,,,COUNTIF($AG$2:$AG$50,"?*"),23),14,FALSE),"?"),"")</f>
        <v/>
      </c>
      <c r="Q26" s="45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608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137</v>
      </c>
      <c r="AQ26" s="123">
        <v>190</v>
      </c>
      <c r="AR26" s="123">
        <v>77</v>
      </c>
      <c r="AS26" s="126" t="s">
        <v>622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7"/>
      <c r="BT26" s="104" t="s">
        <v>1340</v>
      </c>
      <c r="BU26" s="103">
        <v>7</v>
      </c>
      <c r="BV26" s="104" t="str">
        <f t="shared" si="13"/>
        <v>Lukáš Ujhélyi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/>
      </c>
      <c r="H27" s="459"/>
      <c r="I27" s="459"/>
      <c r="J27" s="460" t="str">
        <f ca="1">IFERROR(VLOOKUP(G25,OFFSET($AG$2,,,COUNTIF($AG$2:$AG$50,"?*"),23),19,FALSE),"")</f>
        <v/>
      </c>
      <c r="K27" s="460"/>
      <c r="L27" s="461"/>
      <c r="S27" s="111"/>
      <c r="AC27" s="102" t="str">
        <f t="shared" ca="1" si="0"/>
        <v/>
      </c>
      <c r="AG27" s="121" t="s">
        <v>597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137</v>
      </c>
      <c r="AQ27" s="123">
        <v>192</v>
      </c>
      <c r="AR27" s="123">
        <v>86</v>
      </c>
      <c r="AS27" s="126" t="s">
        <v>403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11 OZ, 6 (2+4), +3 ±</v>
      </c>
      <c r="AY27" s="129" t="str">
        <f t="shared" ca="1" si="16"/>
        <v>137 OZ, 43 (19+24)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7" t="s">
        <v>39</v>
      </c>
      <c r="BT27" s="104" t="s">
        <v>1098</v>
      </c>
      <c r="BU27" s="103">
        <v>8</v>
      </c>
      <c r="BV27" s="104" t="str">
        <f t="shared" si="13"/>
        <v>Michal Zeman</v>
      </c>
      <c r="BW27" s="102">
        <f t="shared" si="14"/>
        <v>8</v>
      </c>
    </row>
    <row r="28" spans="1:75" ht="15" customHeight="1" thickTop="1" thickBot="1" x14ac:dyDescent="0.25">
      <c r="A28" s="429"/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6" t="str">
        <f ca="1">IFERROR(IF(VLOOKUP(G25,OFFSET($AG$2,,,COUNTIF($AG$2:$AG$50,"?*"),23),13,FALSE)&lt;&gt;0,VLOOKUP(G25,OFFSET($AG$2,,,COUNTIF($AG$2:$AG$50,"?*"),23),13,FALSE),"?"),"")</f>
        <v/>
      </c>
      <c r="H28" s="447"/>
      <c r="I28" s="448"/>
      <c r="J28" s="449" t="str">
        <f ca="1">IFERROR(IF(VLOOKUP(G25,OFFSET($AG$2,,,COUNTIF($AG$2:$AG$50,"?*"),23),14,FALSE)&lt;&gt;0,VLOOKUP(G25,OFFSET($AG$2,,,COUNTIF($AG$2:$AG$50,"?*"),23),14,FALSE),"?"),"")</f>
        <v/>
      </c>
      <c r="K28" s="450"/>
      <c r="L28" s="7" t="str">
        <f ca="1">IFERROR(IF(VLOOKUP(G25,OFFSET($AG$2,,,COUNTIF($AG$2:$AG$50,"?*"),23),7,FALSE)&lt;&gt;0,VLOOKUP(G25,OFFSET($AG$2,,,COUNTIF($AG$2:$AG$50,"?*"),23),7,FALSE),"?"),"")</f>
        <v/>
      </c>
      <c r="M28" s="429"/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609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623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7"/>
      <c r="BT28" s="104" t="s">
        <v>899</v>
      </c>
      <c r="BU28" s="103">
        <v>6</v>
      </c>
      <c r="BV28" s="104" t="str">
        <f t="shared" si="13"/>
        <v>Mikuláš Krbec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2" t="str">
        <f ca="1">IFERROR(IF(VLOOKUP(A28,OFFSET($AG$2,,,COUNTIF($AG$2:$AG$50,"?*"),23),2,FALSE)&lt;&gt;0,YEAR(VLOOKUP(A28,OFFSET($AG$2,,,COUNTIF($AG$2:$AG$50,"?*"),23),2,FALSE)),""),"")</f>
        <v/>
      </c>
      <c r="C29" s="423"/>
      <c r="D29" s="117" t="str">
        <f ca="1">IFERROR(VLOOKUP(A28,OFFSET($AG$2,,,COUNTIF($AG$2:$AG$50,"?*"),23),15,FALSE),"")</f>
        <v/>
      </c>
      <c r="E29" s="424" t="str">
        <f ca="1">IFERROR(VLOOKUP(A28,OFFSET($AG$2,,,COUNTIF($AG$2:$AG$50,"?*"),23),16,FALSE),"")</f>
        <v/>
      </c>
      <c r="F29" s="425"/>
      <c r="M29" s="4" t="str">
        <f ca="1">IFERROR(IF(VLOOKUP(M28,OFFSET($AG$2,,,COUNTIF($AG$2:$AG$50,"?*"),23),10,FALSE)&lt;&gt;0,VLOOKUP(M28,OFFSET($AG$2,,,COUNTIF($AG$2:$AG$50,"?*"),23),10,FALSE),""),"")</f>
        <v/>
      </c>
      <c r="N29" s="422" t="str">
        <f ca="1">IFERROR(IF(VLOOKUP(M28,OFFSET($AG$2,,,COUNTIF($AG$2:$AG$50,"?*"),23),2,FALSE)&lt;&gt;0,YEAR(VLOOKUP(M28,OFFSET($AG$2,,,COUNTIF($AG$2:$AG$50,"?*"),23),2,FALSE)),""),"")</f>
        <v/>
      </c>
      <c r="O29" s="423"/>
      <c r="P29" s="117" t="str">
        <f ca="1">IFERROR(VLOOKUP(M28,OFFSET($AG$2,,,COUNTIF($AG$2:$AG$50,"?*"),23),15,FALSE),"")</f>
        <v/>
      </c>
      <c r="Q29" s="424" t="str">
        <f ca="1">IFERROR(VLOOKUP(M28,OFFSET($AG$2,,,COUNTIF($AG$2:$AG$50,"?*"),23),16,FALSE),"")</f>
        <v/>
      </c>
      <c r="R29" s="425"/>
      <c r="S29" s="111"/>
      <c r="AC29" s="102" t="str">
        <f t="shared" ca="1" si="0"/>
        <v/>
      </c>
      <c r="AG29" s="121" t="s">
        <v>582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137</v>
      </c>
      <c r="AQ29" s="123">
        <v>173</v>
      </c>
      <c r="AR29" s="123">
        <v>64</v>
      </c>
      <c r="AS29" s="126" t="s">
        <v>225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11 OZ, 15 (6+9), +12 ±</v>
      </c>
      <c r="AY29" s="129" t="str">
        <f t="shared" ca="1" si="16"/>
        <v>150 OZ, 151 (69+82)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7"/>
      <c r="BT29" s="104" t="s">
        <v>1341</v>
      </c>
      <c r="BU29" s="103">
        <v>4</v>
      </c>
      <c r="BV29" s="104" t="str">
        <f t="shared" si="13"/>
        <v>Josef Juha</v>
      </c>
      <c r="BW29" s="102">
        <f t="shared" si="14"/>
        <v>4</v>
      </c>
    </row>
    <row r="30" spans="1:75" ht="15" customHeight="1" x14ac:dyDescent="0.2">
      <c r="A30" s="458" t="str">
        <f ca="1">IFERROR(VLOOKUP(A28,OFFSET($AG$2,,,COUNTIF($AG$2:$AG$50,"?*"),23),18,FALSE),"")</f>
        <v/>
      </c>
      <c r="B30" s="459"/>
      <c r="C30" s="459"/>
      <c r="D30" s="460" t="str">
        <f ca="1">IFERROR(VLOOKUP(A28,OFFSET($AG$2,,,COUNTIF($AG$2:$AG$50,"?*"),23),19,FALSE),"")</f>
        <v/>
      </c>
      <c r="E30" s="460"/>
      <c r="F30" s="461"/>
      <c r="H30" s="462" t="str">
        <f>H$8</f>
        <v>SPA</v>
      </c>
      <c r="I30" s="462"/>
      <c r="J30" s="462"/>
      <c r="K30" s="462"/>
      <c r="M30" s="458" t="str">
        <f ca="1">IFERROR(VLOOKUP(M28,OFFSET($AG$2,,,COUNTIF($AG$2:$AG$50,"?*"),23),18,FALSE),"")</f>
        <v/>
      </c>
      <c r="N30" s="459"/>
      <c r="O30" s="459"/>
      <c r="P30" s="460" t="str">
        <f ca="1">IFERROR(VLOOKUP(M28,OFFSET($AG$2,,,COUNTIF($AG$2:$AG$50,"?*"),23),19,FALSE),"")</f>
        <v/>
      </c>
      <c r="Q30" s="460"/>
      <c r="R30" s="46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7"/>
      <c r="BT30" s="104" t="s">
        <v>1342</v>
      </c>
      <c r="BU30" s="103">
        <v>4</v>
      </c>
      <c r="BV30" s="104" t="str">
        <f t="shared" si="13"/>
        <v>Kristián Kozák</v>
      </c>
      <c r="BW30" s="102">
        <f t="shared" si="14"/>
        <v>4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/>
      </c>
      <c r="B31" s="447"/>
      <c r="C31" s="448"/>
      <c r="D31" s="449" t="str">
        <f ca="1">IFERROR(IF(VLOOKUP(A28,OFFSET($AG$2,,,COUNTIF($AG$2:$AG$50,"?*"),23),14,FALSE)&lt;&gt;0,VLOOKUP(A28,OFFSET($AG$2,,,COUNTIF($AG$2:$AG$50,"?*"),23),14,FALSE),"?"),"")</f>
        <v/>
      </c>
      <c r="E31" s="450"/>
      <c r="F31" s="7" t="str">
        <f ca="1">IFERROR(IF(VLOOKUP(A28,OFFSET($AG$2,,,COUNTIF($AG$2:$AG$50,"?*"),23),7,FALSE)&lt;&gt;0,VLOOKUP(A28,OFFSET($AG$2,,,COUNTIF($AG$2:$AG$50,"?*"),23),7,FALSE),"?"),"")</f>
        <v/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/>
      </c>
      <c r="N31" s="447"/>
      <c r="O31" s="448"/>
      <c r="P31" s="449" t="str">
        <f ca="1">IFERROR(IF(VLOOKUP(M28,OFFSET($AG$2,,,COUNTIF($AG$2:$AG$50,"?*"),23),14,FALSE)&lt;&gt;0,VLOOKUP(M28,OFFSET($AG$2,,,COUNTIF($AG$2:$AG$50,"?*"),23),14,FALSE),"?"),"")</f>
        <v/>
      </c>
      <c r="Q31" s="4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7"/>
      <c r="BT31" s="104" t="s">
        <v>1340</v>
      </c>
      <c r="BU31" s="103">
        <v>4</v>
      </c>
      <c r="BV31" s="104" t="str">
        <f t="shared" si="13"/>
        <v>Lukáš Ujhélyi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9"/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7" t="s">
        <v>16</v>
      </c>
      <c r="J34" s="429"/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2" t="str">
        <f ca="1">IFERROR(IF(VLOOKUP(A34,OFFSET($AG$2,,,COUNTIF($AG$2:$AG$50,"?*"),23),2,FALSE)&lt;&gt;0,YEAR(VLOOKUP(A34,OFFSET($AG$2,,,COUNTIF($AG$2:$AG$50,"?*"),23),2,FALSE)),""),"")</f>
        <v/>
      </c>
      <c r="C35" s="423"/>
      <c r="D35" s="117" t="str">
        <f ca="1">IFERROR(VLOOKUP(A34,OFFSET($AG$2,,,COUNTIF($AG$2:$AG$50,"?*"),23),15,FALSE),"")</f>
        <v/>
      </c>
      <c r="E35" s="424" t="str">
        <f ca="1">IFERROR(VLOOKUP(A34,OFFSET($AG$2,,,COUNTIF($AG$2:$AG$50,"?*"),23),16,FALSE),"")</f>
        <v/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/>
      </c>
      <c r="K35" s="423" t="str">
        <f ca="1">IFERROR(IF(VLOOKUP(J34,OFFSET($AG$2,,,COUNTIF($AG$2:$AG$50,"?*"),23),2,FALSE)&lt;&gt;0,YEAR(VLOOKUP(J34,OFFSET($AG$2,,,COUNTIF($AG$2:$AG$50,"?*"),23),2,FALSE)),""),"")</f>
        <v/>
      </c>
      <c r="L35" s="431"/>
      <c r="M35" s="118" t="str">
        <f ca="1">IFERROR(VLOOKUP(J34,OFFSET($AG$2,,,COUNTIF($AG$2:$AG$50,"?*"),23),15,FALSE),"")</f>
        <v/>
      </c>
      <c r="N35" s="431" t="str">
        <f ca="1">IFERROR(VLOOKUP(J34,OFFSET($AG$2,,,COUNTIF($AG$2:$AG$50,"?*"),23),16,FALSE),"")</f>
        <v/>
      </c>
      <c r="O35" s="431"/>
      <c r="P35" s="431" t="str">
        <f ca="1">IFERROR(VLOOKUP(J34,OFFSET($AG$2,,,COUNTIF($AG$2:$AG$50,"?*"),23),18,FALSE),"")</f>
        <v/>
      </c>
      <c r="Q35" s="431"/>
      <c r="R35" s="43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6" t="str">
        <f ca="1">IFERROR(VLOOKUP(A34,OFFSET($AG$2,,,COUNTIF($AG$2:$AG$50,"?*"),23),18,FALSE),"")</f>
        <v/>
      </c>
      <c r="C36" s="426"/>
      <c r="D36" s="427" t="str">
        <f ca="1">IFERROR(VLOOKUP(A34,OFFSET($S$45,,,COUNTIF($S$45:$S$50,"?*"),14),5,FALSE),"")</f>
        <v/>
      </c>
      <c r="E36" s="428"/>
      <c r="F36" s="17" t="str">
        <f ca="1">IFERROR(VLOOKUP(A34,OFFSET($S$45,,,COUNTIF($S$45:$S$50,"?*"),14),14,FALSE),"")</f>
        <v/>
      </c>
      <c r="H36" s="457"/>
      <c r="J36" s="18" t="str">
        <f ca="1">IFERROR(IF(VLOOKUP(J34,OFFSET($AG$2,,,COUNTIF($AG$2:$AG$50,"?*"),23),7,FALSE)&lt;&gt;0,VLOOKUP(J34,OFFSET($AG$2,,,COUNTIF($AG$2:$AG$50,"?*"),23),7,FALSE),"?"),"")</f>
        <v/>
      </c>
      <c r="K36" s="433" t="str">
        <f ca="1">IFERROR(VLOOKUP(J34,OFFSET($AG$2,,,COUNTIF($AG$2:$AG$50,"?*"),23),19,FALSE),"")</f>
        <v/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/>
      </c>
      <c r="O36" s="434"/>
      <c r="P36" s="434"/>
      <c r="Q36" s="433" t="str">
        <f ca="1">IFERROR(IF(VLOOKUP(J34,OFFSET($AG$2,,,COUNTIF($AG$2:$AG$50,"?*"),23),14,FALSE)&lt;&gt;0,VLOOKUP(J34,OFFSET($AG$2,,,COUNTIF($AG$2:$AG$50,"?*"),23),14,FALSE),"?"),"")</f>
        <v/>
      </c>
      <c r="R36" s="43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1" t="str">
        <f ca="1">IFERROR(VLOOKUP(A34,OFFSET($S$45,,,COUNTIF($S$45:$S$50,"?*"),14),3,FALSE),"")</f>
        <v/>
      </c>
      <c r="B37" s="452"/>
      <c r="C37" s="453" t="str">
        <f ca="1">IFERROR(VLOOKUP(A34,OFFSET($S$45,,,COUNTIF($S$45:$S$50,"?*"),14),13,FALSE),"")</f>
        <v/>
      </c>
      <c r="D37" s="454"/>
      <c r="E37" s="455" t="str">
        <f ca="1">IFERROR(VLOOKUP(A34,OFFSET($AG$2,,,COUNTIF($AG$2:$AG$50,"?*"),23),19,FALSE),"")</f>
        <v/>
      </c>
      <c r="F37" s="456"/>
      <c r="H37" s="45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/>
      </c>
      <c r="B38" s="447"/>
      <c r="C38" s="448"/>
      <c r="D38" s="449" t="str">
        <f ca="1">IFERROR(IF(VLOOKUP(A34,OFFSET($AG$2,,,COUNTIF($AG$2:$AG$50,"?*"),23),14,FALSE)&lt;&gt;0,VLOOKUP(A34,OFFSET($AG$2,,,COUNTIF($AG$2:$AG$50,"?*"),23),14,FALSE),"?"),"")</f>
        <v/>
      </c>
      <c r="E38" s="450"/>
      <c r="F38" s="19" t="str">
        <f ca="1">IFERROR(VLOOKUP(A34,OFFSET($S$45,,,COUNTIF($S$45:$S$50,"?*"),14),6,FALSE),"")</f>
        <v/>
      </c>
      <c r="H38" s="457"/>
      <c r="J38" s="429"/>
      <c r="K38" s="430"/>
      <c r="L38" s="430"/>
      <c r="M38" s="430"/>
      <c r="N38" s="430"/>
      <c r="O38" s="430"/>
      <c r="P38" s="4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/>
      </c>
      <c r="K39" s="423" t="str">
        <f ca="1">IFERROR(IF(VLOOKUP(J38,OFFSET($AG$2,,,COUNTIF($AG$2:$AG$50,"?*"),23),2,FALSE)&lt;&gt;0,YEAR(VLOOKUP(J38,OFFSET($AG$2,,,COUNTIF($AG$2:$AG$50,"?*"),23),2,FALSE)),""),"")</f>
        <v/>
      </c>
      <c r="L39" s="431"/>
      <c r="M39" s="150" t="str">
        <f ca="1">IFERROR(VLOOKUP(J38,OFFSET($AG$2,,,COUNTIF($AG$2:$AG$50,"?*"),23),15,FALSE),"")</f>
        <v/>
      </c>
      <c r="N39" s="431" t="str">
        <f ca="1">IFERROR(VLOOKUP(J38,OFFSET($AG$2,,,COUNTIF($AG$2:$AG$50,"?*"),23),16,FALSE),"")</f>
        <v/>
      </c>
      <c r="O39" s="431"/>
      <c r="P39" s="431" t="str">
        <f ca="1">IFERROR(VLOOKUP(J38,OFFSET($AG$2,,,COUNTIF($AG$2:$AG$50,"?*"),23),18,FALSE),"")</f>
        <v/>
      </c>
      <c r="Q39" s="431"/>
      <c r="R39" s="43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9"/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7"/>
      <c r="J40" s="18" t="str">
        <f ca="1">IFERROR(IF(VLOOKUP(J38,OFFSET($AG$2,,,COUNTIF($AG$2:$AG$50,"?*"),23),7,FALSE)&lt;&gt;0,VLOOKUP(J38,OFFSET($AG$2,,,COUNTIF($AG$2:$AG$50,"?*"),23),7,FALSE),"?"),"")</f>
        <v/>
      </c>
      <c r="K40" s="433" t="str">
        <f ca="1">IFERROR(VLOOKUP(J38,OFFSET($AG$2,,,COUNTIF($AG$2:$AG$50,"?*"),23),19,FALSE),"")</f>
        <v/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/>
      </c>
      <c r="O40" s="434"/>
      <c r="P40" s="434"/>
      <c r="Q40" s="433" t="str">
        <f ca="1">IFERROR(IF(VLOOKUP(J38,OFFSET($AG$2,,,COUNTIF($AG$2:$AG$50,"?*"),23),14,FALSE)&lt;&gt;0,VLOOKUP(J38,OFFSET($AG$2,,,COUNTIF($AG$2:$AG$50,"?*"),23),14,FALSE),"?"),"")</f>
        <v/>
      </c>
      <c r="R40" s="43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2" t="str">
        <f ca="1">IFERROR(IF(VLOOKUP(A40,OFFSET($AG$2,,,COUNTIF($AG$2:$AG$50,"?*"),23),2,FALSE)&lt;&gt;0,YEAR(VLOOKUP(A40,OFFSET($AG$2,,,COUNTIF($AG$2:$AG$50,"?*"),23),2,FALSE)),""),"")</f>
        <v/>
      </c>
      <c r="C41" s="423"/>
      <c r="D41" s="117" t="str">
        <f ca="1">IFERROR(VLOOKUP(A40,OFFSET($AG$2,,,COUNTIF($AG$2:$AG$50,"?*"),23),15,FALSE),"")</f>
        <v/>
      </c>
      <c r="E41" s="424" t="str">
        <f ca="1">IFERROR(VLOOKUP(A40,OFFSET($AG$2,,,COUNTIF($AG$2:$AG$50,"?*"),23),16,FALSE),"")</f>
        <v/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6" t="str">
        <f ca="1">IFERROR(VLOOKUP(A40,OFFSET($AG$2,,,COUNTIF($AG$2:$AG$50,"?*"),23),18,FALSE),"")</f>
        <v/>
      </c>
      <c r="C42" s="426"/>
      <c r="D42" s="427" t="str">
        <f ca="1">IFERROR(VLOOKUP(A40,OFFSET($S$45,,,COUNTIF($S$45:$S$50,"?*"),14),5,FALSE),"")</f>
        <v/>
      </c>
      <c r="E42" s="428"/>
      <c r="F42" s="17" t="str">
        <f ca="1">IFERROR(VLOOKUP(A40,OFFSET($S$45,,,COUNTIF($S$45:$S$50,"?*"),14),14,FALSE),"")</f>
        <v/>
      </c>
      <c r="H42" s="457"/>
      <c r="J42" s="429"/>
      <c r="K42" s="430"/>
      <c r="L42" s="430"/>
      <c r="M42" s="430"/>
      <c r="N42" s="430"/>
      <c r="O42" s="430"/>
      <c r="P42" s="4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1" t="str">
        <f ca="1">IFERROR(VLOOKUP(A40,OFFSET($S$45,,,COUNTIF($S$45:$S$50,"?*"),14),3,FALSE),"")</f>
        <v/>
      </c>
      <c r="B43" s="452"/>
      <c r="C43" s="453" t="str">
        <f ca="1">IFERROR(VLOOKUP(A40,OFFSET($S$45,,,COUNTIF($S$45:$S$50,"?*"),14),13,FALSE),"")</f>
        <v/>
      </c>
      <c r="D43" s="454"/>
      <c r="E43" s="455" t="str">
        <f ca="1">IFERROR(VLOOKUP(A40,OFFSET($AG$2,,,COUNTIF($AG$2:$AG$50,"?*"),23),19,FALSE),"")</f>
        <v/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/>
      </c>
      <c r="K43" s="423" t="str">
        <f ca="1">IFERROR(IF(VLOOKUP(J42,OFFSET($AG$2,,,COUNTIF($AG$2:$AG$50,"?*"),23),2,FALSE)&lt;&gt;0,YEAR(VLOOKUP(J42,OFFSET($AG$2,,,COUNTIF($AG$2:$AG$50,"?*"),23),2,FALSE)),""),"")</f>
        <v/>
      </c>
      <c r="L43" s="431"/>
      <c r="M43" s="150" t="str">
        <f ca="1">IFERROR(VLOOKUP(J42,OFFSET($AG$2,,,COUNTIF($AG$2:$AG$50,"?*"),23),15,FALSE),"")</f>
        <v/>
      </c>
      <c r="N43" s="431" t="str">
        <f ca="1">IFERROR(VLOOKUP(J42,OFFSET($AG$2,,,COUNTIF($AG$2:$AG$50,"?*"),23),16,FALSE),"")</f>
        <v/>
      </c>
      <c r="O43" s="431"/>
      <c r="P43" s="431" t="str">
        <f ca="1">IFERROR(VLOOKUP(J42,OFFSET($AG$2,,,COUNTIF($AG$2:$AG$50,"?*"),23),18,FALSE),"")</f>
        <v/>
      </c>
      <c r="Q43" s="431"/>
      <c r="R43" s="432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/>
      </c>
      <c r="B44" s="447"/>
      <c r="C44" s="448"/>
      <c r="D44" s="449" t="str">
        <f ca="1">IFERROR(IF(VLOOKUP(A40,OFFSET($AG$2,,,COUNTIF($AG$2:$AG$50,"?*"),23),14,FALSE)&lt;&gt;0,VLOOKUP(A40,OFFSET($AG$2,,,COUNTIF($AG$2:$AG$50,"?*"),23),14,FALSE),"?"),"")</f>
        <v/>
      </c>
      <c r="E44" s="450"/>
      <c r="F44" s="19" t="str">
        <f ca="1">IFERROR(VLOOKUP(A40,OFFSET($S$45,,,COUNTIF($S$45:$S$50,"?*"),14),6,FALSE),"")</f>
        <v/>
      </c>
      <c r="H44" s="457"/>
      <c r="J44" s="18" t="str">
        <f ca="1">IFERROR(IF(VLOOKUP(J42,OFFSET($AG$2,,,COUNTIF($AG$2:$AG$50,"?*"),23),7,FALSE)&lt;&gt;0,VLOOKUP(J42,OFFSET($AG$2,,,COUNTIF($AG$2:$AG$50,"?*"),23),7,FALSE),"?"),"")</f>
        <v/>
      </c>
      <c r="K44" s="433" t="str">
        <f ca="1">IFERROR(VLOOKUP(J42,OFFSET($AG$2,,,COUNTIF($AG$2:$AG$50,"?*"),23),19,FALSE),"")</f>
        <v/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/>
      </c>
      <c r="O44" s="434"/>
      <c r="P44" s="434"/>
      <c r="Q44" s="433" t="str">
        <f ca="1">IFERROR(IF(VLOOKUP(J42,OFFSET($AG$2,,,COUNTIF($AG$2:$AG$50,"?*"),23),14,FALSE)&lt;&gt;0,VLOOKUP(J42,OFFSET($AG$2,,,COUNTIF($AG$2:$AG$50,"?*"),23),14,FALSE),"?"),"")</f>
        <v/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594</v>
      </c>
      <c r="T45" s="102">
        <v>10</v>
      </c>
      <c r="U45" s="112">
        <v>598.01</v>
      </c>
      <c r="V45" s="102">
        <v>6</v>
      </c>
      <c r="W45" s="102">
        <v>51</v>
      </c>
      <c r="X45" s="102">
        <v>0</v>
      </c>
      <c r="Y45" s="102">
        <v>206</v>
      </c>
      <c r="Z45" s="102">
        <v>0</v>
      </c>
      <c r="AA45" s="102">
        <v>4</v>
      </c>
      <c r="AB45" s="102">
        <v>155</v>
      </c>
      <c r="AC45" s="102">
        <v>0</v>
      </c>
      <c r="AD45" s="102">
        <v>0</v>
      </c>
      <c r="AE45" s="112">
        <f>IF(S45&lt;&gt;"",IF(T45&gt;0,W45/(U45/60),0),"")</f>
        <v>5.1169712881055496</v>
      </c>
      <c r="AF45" s="112">
        <f>IF(S45&lt;&gt;"",IF(Y45&gt;0,(AB45/Y45)*100,"-"),"")</f>
        <v>75.242718446601941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589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8"/>
      <c r="B47" s="419"/>
      <c r="C47" s="419"/>
      <c r="D47" s="419"/>
      <c r="E47" s="420" t="str">
        <f ca="1">IFERROR(VLOOKUP(A47,OFFSET($BN$2,,,COUNTIF($BN$2:$BN$11,"?*"),5),3,FALSE),"")</f>
        <v/>
      </c>
      <c r="F47" s="420"/>
      <c r="G47" s="420"/>
      <c r="H47" s="420"/>
      <c r="I47" s="421"/>
      <c r="J47" s="418"/>
      <c r="K47" s="419"/>
      <c r="L47" s="419"/>
      <c r="M47" s="419"/>
      <c r="N47" s="420" t="str">
        <f ca="1">IFERROR(VLOOKUP(J47,OFFSET($BN$2,,,COUNTIF($BN$2:$BN$11,"?*"),5),3,FALSE),"")</f>
        <v/>
      </c>
      <c r="O47" s="420"/>
      <c r="P47" s="420"/>
      <c r="Q47" s="420"/>
      <c r="R47" s="421"/>
      <c r="S47" s="111" t="s">
        <v>1329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6" t="str">
        <f ca="1">IFERROR(VLOOKUP(A47,OFFSET($BN$2,,,COUNTIF($BN$2:$BN$11,"?*"),5),5,FALSE),"")</f>
        <v/>
      </c>
      <c r="B48" s="438" t="str">
        <f ca="1">IFERROR(IF(VLOOKUP(A47,OFFSET($BN$2,,,COUNTIF($BN$2:$BN$11,"?*"),5),4,FALSE)&lt;&gt;0,VLOOKUP(A47,OFFSET($BN$2,,,COUNTIF($BN$2:$BN$11,"?*"),5),4,FALSE),"-"),"")</f>
        <v/>
      </c>
      <c r="C48" s="438"/>
      <c r="D48" s="438"/>
      <c r="E48" s="438"/>
      <c r="F48" s="438"/>
      <c r="G48" s="438"/>
      <c r="H48" s="438"/>
      <c r="I48" s="439"/>
      <c r="J48" s="119" t="str">
        <f ca="1">IFERROR(VLOOKUP(J47,OFFSET($BN$2,,,COUNTIF($BN$2:$BN$11,"?*"),5),5,FALSE),"")</f>
        <v/>
      </c>
      <c r="K48" s="442" t="str">
        <f ca="1">IFERROR(IF(VLOOKUP(J47,OFFSET($BN$2,,,COUNTIF($BN$2:$BN$11,"?*"),5),4,FALSE)&lt;&gt;0,VLOOKUP(J47,OFFSET($BN$2,,,COUNTIF($BN$2:$BN$11,"?*"),5),4,FALSE),"-"),"")</f>
        <v/>
      </c>
      <c r="L48" s="442"/>
      <c r="M48" s="442"/>
      <c r="N48" s="442"/>
      <c r="O48" s="442"/>
      <c r="P48" s="442"/>
      <c r="Q48" s="442"/>
      <c r="R48" s="443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/>
      <c r="K49" s="445"/>
      <c r="L49" s="445"/>
      <c r="M49" s="445"/>
      <c r="N49" s="420" t="str">
        <f ca="1">IFERROR(VLOOKUP(J49,OFFSET($BN$2,,,COUNTIF($BN$2:$BN$11,"?*"),5),3,FALSE),"")</f>
        <v/>
      </c>
      <c r="O49" s="420"/>
      <c r="P49" s="420"/>
      <c r="Q49" s="420"/>
      <c r="R49" s="42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119" t="str">
        <f ca="1">IFERROR(VLOOKUP(J49,OFFSET($BN$2,,,COUNTIF($BN$2:$BN$11,"?*"),5),5,FALSE),"")</f>
        <v/>
      </c>
      <c r="K50" s="442" t="str">
        <f ca="1">IFERROR(IF(VLOOKUP(J49,OFFSET($BN$2,,,COUNTIF($BN$2:$BN$11,"?*"),5),4,FALSE)&lt;&gt;0,VLOOKUP(J49,OFFSET($BN$2,,,COUNTIF($BN$2:$BN$11,"?*"),5),4,FALSE),"-"),"")</f>
        <v/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100-000000000000}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100-000001000000}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100-000002000000}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100-000003000000}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/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3" t="s">
        <v>1</v>
      </c>
      <c r="I1" s="463"/>
      <c r="J1" s="463"/>
      <c r="K1" s="463"/>
      <c r="M1" s="429"/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2" t="str">
        <f ca="1">IFERROR(IF(VLOOKUP(A1,OFFSET($AG$2,,,COUNTIF($AG$2:$AG$50,"?*"),23),2,FALSE)&lt;&gt;0,YEAR(VLOOKUP(A1,OFFSET($AG$2,,,COUNTIF($AG$2:$AG$50,"?*"),23),2,FALSE)),""),"")</f>
        <v/>
      </c>
      <c r="C2" s="423"/>
      <c r="D2" s="117" t="str">
        <f ca="1">IFERROR(VLOOKUP(A1,OFFSET($AG$2,,,COUNTIF($AG$2:$AG$50,"?*"),23),15,FALSE),"")</f>
        <v/>
      </c>
      <c r="E2" s="424" t="str">
        <f ca="1">IFERROR(VLOOKUP(A1,OFFSET($AG$2,,,COUNTIF($AG$2:$AG$50,"?*"),23),16,FALSE),"")</f>
        <v/>
      </c>
      <c r="F2" s="425"/>
      <c r="M2" s="4" t="str">
        <f ca="1">IFERROR(IF(VLOOKUP(M1,OFFSET($AG$2,,,COUNTIF($AG$2:$AG$50,"?*"),23),10,FALSE)&lt;&gt;0,VLOOKUP(M1,OFFSET($AG$2,,,COUNTIF($AG$2:$AG$50,"?*"),23),10,FALSE),""),"")</f>
        <v/>
      </c>
      <c r="N2" s="422" t="str">
        <f ca="1">IFERROR(IF(VLOOKUP(M1,OFFSET($AG$2,,,COUNTIF($AG$2:$AG$50,"?*"),23),2,FALSE)&lt;&gt;0,YEAR(VLOOKUP(M1,OFFSET($AG$2,,,COUNTIF($AG$2:$AG$50,"?*"),23),2,FALSE)),""),"")</f>
        <v/>
      </c>
      <c r="O2" s="423"/>
      <c r="P2" s="117" t="str">
        <f ca="1">IFERROR(VLOOKUP(M1,OFFSET($AG$2,,,COUNTIF($AG$2:$AG$50,"?*"),23),15,FALSE),"")</f>
        <v/>
      </c>
      <c r="Q2" s="424" t="str">
        <f ca="1">IFERROR(VLOOKUP(M1,OFFSET($AG$2,,,COUNTIF($AG$2:$AG$50,"?*"),23),16,FALSE),"")</f>
        <v/>
      </c>
      <c r="R2" s="425"/>
      <c r="S2" s="110" t="s">
        <v>419</v>
      </c>
      <c r="U2" s="102">
        <v>8</v>
      </c>
      <c r="V2" s="102">
        <v>12</v>
      </c>
      <c r="W2" s="102">
        <v>1</v>
      </c>
      <c r="X2" s="102">
        <v>0</v>
      </c>
      <c r="Y2" s="102">
        <v>15</v>
      </c>
      <c r="Z2" s="102">
        <v>27</v>
      </c>
      <c r="AA2" s="102">
        <v>4</v>
      </c>
      <c r="AB2" s="102">
        <v>20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428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137</v>
      </c>
      <c r="AQ2" s="123">
        <v>183</v>
      </c>
      <c r="AR2" s="123">
        <v>79</v>
      </c>
      <c r="AS2" s="126" t="s">
        <v>68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14 (8+6), +14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110 OZ, 98 (67+31)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460</v>
      </c>
      <c r="BO2" s="122">
        <v>29164</v>
      </c>
      <c r="BP2" s="131" t="s">
        <v>175</v>
      </c>
      <c r="BQ2" s="132" t="s">
        <v>461</v>
      </c>
      <c r="BR2" s="127">
        <f ca="1">IF(BN2&lt;&gt;"",IF(BO2&lt;&gt;"",INT((TODAY()-BO2)/365),"?"),"")</f>
        <v>42</v>
      </c>
      <c r="BS2" s="417" t="s">
        <v>36</v>
      </c>
      <c r="BT2" s="104" t="s">
        <v>466</v>
      </c>
      <c r="BU2" s="103">
        <v>27</v>
      </c>
      <c r="BV2" s="104" t="str">
        <f>IFERROR(RIGHT(BT2,LEN(BT2)-SEARCH(" ",BT2)),"")</f>
        <v>Marek Beneš</v>
      </c>
      <c r="BW2" s="102">
        <f>IF(BT2&lt;&gt;0,_xlfn.NUMBERVALUE(BU2,","),"")</f>
        <v>27</v>
      </c>
      <c r="BX2" s="416" t="s">
        <v>192</v>
      </c>
      <c r="BY2" s="103" t="s">
        <v>861</v>
      </c>
      <c r="BZ2" s="103" t="s">
        <v>850</v>
      </c>
      <c r="CA2" s="115" t="s">
        <v>1345</v>
      </c>
    </row>
    <row r="3" spans="1:79" ht="15" customHeight="1" thickTop="1" thickBot="1" x14ac:dyDescent="0.25">
      <c r="A3" s="458" t="str">
        <f ca="1">IFERROR(VLOOKUP(A1,OFFSET($AG$2,,,COUNTIF($AG$2:$AG$50,"?*"),23),18,FALSE),"")</f>
        <v/>
      </c>
      <c r="B3" s="459"/>
      <c r="C3" s="459"/>
      <c r="D3" s="460" t="str">
        <f ca="1">IFERROR(VLOOKUP(A1,OFFSET($AG$2,,,COUNTIF($AG$2:$AG$50,"?*"),23),19,FALSE),"")</f>
        <v/>
      </c>
      <c r="E3" s="460"/>
      <c r="F3" s="461"/>
      <c r="G3" s="429"/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8" t="str">
        <f ca="1">IFERROR(VLOOKUP(M1,OFFSET($AG$2,,,COUNTIF($AG$2:$AG$50,"?*"),23),18,FALSE),"")</f>
        <v/>
      </c>
      <c r="N3" s="459"/>
      <c r="O3" s="459"/>
      <c r="P3" s="460" t="str">
        <f ca="1">IFERROR(VLOOKUP(M1,OFFSET($AG$2,,,COUNTIF($AG$2:$AG$50,"?*"),23),19,FALSE),"")</f>
        <v/>
      </c>
      <c r="Q3" s="460"/>
      <c r="R3" s="461"/>
      <c r="S3" s="110" t="s">
        <v>423</v>
      </c>
      <c r="U3" s="102">
        <v>11</v>
      </c>
      <c r="V3" s="102">
        <v>15</v>
      </c>
      <c r="W3" s="102">
        <v>3</v>
      </c>
      <c r="X3" s="102">
        <v>0</v>
      </c>
      <c r="Y3" s="102">
        <v>7</v>
      </c>
      <c r="Z3" s="102">
        <v>22</v>
      </c>
      <c r="AA3" s="102">
        <v>0</v>
      </c>
      <c r="AB3" s="102">
        <v>20</v>
      </c>
      <c r="AC3" s="102" t="str">
        <f t="shared" ca="1" si="0"/>
        <v>NE</v>
      </c>
      <c r="AG3" s="121" t="s">
        <v>439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451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462</v>
      </c>
      <c r="BO3" s="122">
        <v>27190</v>
      </c>
      <c r="BP3" s="131" t="s">
        <v>305</v>
      </c>
      <c r="BQ3" s="132"/>
      <c r="BR3" s="127">
        <f t="shared" ref="BR3:BR11" ca="1" si="12">IF(BN3&lt;&gt;"",IF(BO3&lt;&gt;"",INT((TODAY()-BO3)/365),"?"),"")</f>
        <v>47</v>
      </c>
      <c r="BS3" s="417"/>
      <c r="BT3" s="104" t="s">
        <v>789</v>
      </c>
      <c r="BU3" s="103">
        <v>22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22</v>
      </c>
      <c r="BX3" s="416"/>
      <c r="BY3" s="103" t="s">
        <v>841</v>
      </c>
      <c r="BZ3" s="103" t="s">
        <v>851</v>
      </c>
      <c r="CA3" s="115" t="s">
        <v>769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/>
      </c>
      <c r="B4" s="447"/>
      <c r="C4" s="448"/>
      <c r="D4" s="449" t="str">
        <f ca="1">IFERROR(IF(VLOOKUP(A1,OFFSET($AG$2,,,COUNTIF($AG$2:$AG$50,"?*"),23),14,FALSE)&lt;&gt;0,VLOOKUP(A1,OFFSET($AG$2,,,COUNTIF($AG$2:$AG$50,"?*"),23),14,FALSE),"?"),"")</f>
        <v/>
      </c>
      <c r="E4" s="4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2" t="str">
        <f ca="1">IFERROR(IF(VLOOKUP(G3,OFFSET($AG$2,,,COUNTIF($AG$2:$AG$50,"?*"),23),2,FALSE)&lt;&gt;0,YEAR(VLOOKUP(G3,OFFSET($AG$2,,,COUNTIF($AG$2:$AG$50,"?*"),23),2,FALSE)),""),"")</f>
        <v/>
      </c>
      <c r="I4" s="423"/>
      <c r="J4" s="117" t="str">
        <f ca="1">IFERROR(VLOOKUP(G3,OFFSET($AG$2,,,COUNTIF($AG$2:$AG$50,"?*"),23),15,FALSE),"")</f>
        <v/>
      </c>
      <c r="K4" s="424" t="str">
        <f ca="1">IFERROR(VLOOKUP(G3,OFFSET($AG$2,,,COUNTIF($AG$2:$AG$50,"?*"),23),16,FALSE),"")</f>
        <v/>
      </c>
      <c r="L4" s="425"/>
      <c r="M4" s="446" t="str">
        <f ca="1">IFERROR(IF(VLOOKUP(M1,OFFSET($AG$2,,,COUNTIF($AG$2:$AG$50,"?*"),23),13,FALSE)&lt;&gt;0,VLOOKUP(M1,OFFSET($AG$2,,,COUNTIF($AG$2:$AG$50,"?*"),23),13,FALSE),"?"),"")</f>
        <v/>
      </c>
      <c r="N4" s="447"/>
      <c r="O4" s="448"/>
      <c r="P4" s="449" t="str">
        <f ca="1">IFERROR(IF(VLOOKUP(M1,OFFSET($AG$2,,,COUNTIF($AG$2:$AG$50,"?*"),23),14,FALSE)&lt;&gt;0,VLOOKUP(M1,OFFSET($AG$2,,,COUNTIF($AG$2:$AG$50,"?*"),23),14,FALSE),"?"),"")</f>
        <v/>
      </c>
      <c r="Q4" s="4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421</v>
      </c>
      <c r="U4" s="102">
        <v>11</v>
      </c>
      <c r="V4" s="102">
        <v>8</v>
      </c>
      <c r="W4" s="102">
        <v>4</v>
      </c>
      <c r="X4" s="102">
        <v>0</v>
      </c>
      <c r="Y4" s="102">
        <v>9</v>
      </c>
      <c r="Z4" s="102">
        <v>17</v>
      </c>
      <c r="AA4" s="102">
        <v>4</v>
      </c>
      <c r="AB4" s="102">
        <v>22</v>
      </c>
      <c r="AC4" s="102" t="str">
        <f t="shared" ca="1" si="0"/>
        <v>ANO</v>
      </c>
      <c r="AG4" s="121" t="s">
        <v>434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137</v>
      </c>
      <c r="AQ4" s="123">
        <v>181</v>
      </c>
      <c r="AR4" s="123">
        <v>66</v>
      </c>
      <c r="AS4" s="126" t="s">
        <v>64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11 OZ, 14 (9+5), +12 ±</v>
      </c>
      <c r="AY4" s="129" t="str">
        <f t="shared" ca="1" si="2"/>
        <v>35 OZ, 59 (31+28)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463</v>
      </c>
      <c r="BO4" s="122"/>
      <c r="BP4" s="131" t="s">
        <v>176</v>
      </c>
      <c r="BQ4" s="132"/>
      <c r="BR4" s="127" t="str">
        <f t="shared" ca="1" si="12"/>
        <v>?</v>
      </c>
      <c r="BS4" s="417"/>
      <c r="BT4" s="104" t="s">
        <v>822</v>
      </c>
      <c r="BU4" s="103">
        <v>17</v>
      </c>
      <c r="BV4" s="104" t="str">
        <f t="shared" si="13"/>
        <v>Ondřej Němeček</v>
      </c>
      <c r="BW4" s="102">
        <f t="shared" si="14"/>
        <v>17</v>
      </c>
      <c r="BX4" s="416"/>
      <c r="BY4" s="103" t="s">
        <v>839</v>
      </c>
      <c r="BZ4" s="103" t="s">
        <v>858</v>
      </c>
      <c r="CA4" s="115" t="s">
        <v>787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/>
      </c>
      <c r="H5" s="459"/>
      <c r="I5" s="459"/>
      <c r="J5" s="460" t="str">
        <f ca="1">IFERROR(VLOOKUP(G3,OFFSET($AG$2,,,COUNTIF($AG$2:$AG$50,"?*"),23),19,FALSE),"")</f>
        <v/>
      </c>
      <c r="K5" s="460"/>
      <c r="L5" s="461"/>
      <c r="S5" s="110" t="s">
        <v>426</v>
      </c>
      <c r="T5" s="102" t="s">
        <v>107</v>
      </c>
      <c r="U5" s="102">
        <v>11</v>
      </c>
      <c r="V5" s="102">
        <v>6</v>
      </c>
      <c r="W5" s="102">
        <v>0</v>
      </c>
      <c r="X5" s="102">
        <v>0</v>
      </c>
      <c r="Y5" s="102">
        <v>9</v>
      </c>
      <c r="Z5" s="102">
        <v>15</v>
      </c>
      <c r="AA5" s="102">
        <v>0</v>
      </c>
      <c r="AB5" s="102">
        <v>19</v>
      </c>
      <c r="AC5" s="102" t="str">
        <f t="shared" ca="1" si="0"/>
        <v>ANO</v>
      </c>
      <c r="AG5" s="121" t="s">
        <v>440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452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1 V, 1 P</v>
      </c>
      <c r="AY5" s="129" t="str">
        <f t="shared" ca="1" si="2"/>
        <v>6 OZ, 0 A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464</v>
      </c>
      <c r="BO5" s="122"/>
      <c r="BP5" s="131" t="s">
        <v>239</v>
      </c>
      <c r="BQ5" s="132"/>
      <c r="BR5" s="127" t="str">
        <f t="shared" ca="1" si="12"/>
        <v>?</v>
      </c>
      <c r="BS5" s="417"/>
      <c r="BT5" s="104" t="s">
        <v>901</v>
      </c>
      <c r="BU5" s="103">
        <v>15</v>
      </c>
      <c r="BV5" s="104" t="str">
        <f t="shared" si="13"/>
        <v>Jakub Kolísko</v>
      </c>
      <c r="BW5" s="102">
        <f t="shared" si="14"/>
        <v>15</v>
      </c>
      <c r="BX5" s="416"/>
      <c r="BY5" s="103" t="s">
        <v>852</v>
      </c>
      <c r="BZ5" s="103" t="s">
        <v>880</v>
      </c>
      <c r="CA5" s="115" t="s">
        <v>808</v>
      </c>
    </row>
    <row r="6" spans="1:79" ht="15" customHeight="1" thickTop="1" thickBot="1" x14ac:dyDescent="0.25">
      <c r="A6" s="429"/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6" t="str">
        <f ca="1">IFERROR(IF(VLOOKUP(G3,OFFSET($AG$2,,,COUNTIF($AG$2:$AG$50,"?*"),23),13,FALSE)&lt;&gt;0,VLOOKUP(G3,OFFSET($AG$2,,,COUNTIF($AG$2:$AG$50,"?*"),23),13,FALSE),"?"),"")</f>
        <v/>
      </c>
      <c r="H6" s="447"/>
      <c r="I6" s="448"/>
      <c r="J6" s="449" t="str">
        <f ca="1">IFERROR(IF(VLOOKUP(G3,OFFSET($AG$2,,,COUNTIF($AG$2:$AG$50,"?*"),23),14,FALSE)&lt;&gt;0,VLOOKUP(G3,OFFSET($AG$2,,,COUNTIF($AG$2:$AG$50,"?*"),23),14,FALSE),"?"),"")</f>
        <v/>
      </c>
      <c r="K6" s="450"/>
      <c r="L6" s="7" t="str">
        <f ca="1">IFERROR(IF(VLOOKUP(G3,OFFSET($AG$2,,,COUNTIF($AG$2:$AG$50,"?*"),23),7,FALSE)&lt;&gt;0,VLOOKUP(G3,OFFSET($AG$2,,,COUNTIF($AG$2:$AG$50,"?*"),23),7,FALSE),"?"),"")</f>
        <v/>
      </c>
      <c r="M6" s="429"/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420</v>
      </c>
      <c r="T6" s="102" t="s">
        <v>107</v>
      </c>
      <c r="U6" s="102">
        <v>11</v>
      </c>
      <c r="V6" s="102">
        <v>6</v>
      </c>
      <c r="W6" s="102">
        <v>2</v>
      </c>
      <c r="X6" s="102">
        <v>0</v>
      </c>
      <c r="Y6" s="102">
        <v>9</v>
      </c>
      <c r="Z6" s="102">
        <v>15</v>
      </c>
      <c r="AA6" s="102">
        <v>2</v>
      </c>
      <c r="AB6" s="102">
        <v>1</v>
      </c>
      <c r="AC6" s="102" t="str">
        <f t="shared" ca="1" si="0"/>
        <v>ANO</v>
      </c>
      <c r="AG6" s="121" t="s">
        <v>441</v>
      </c>
      <c r="AH6" s="122"/>
      <c r="AI6" s="123"/>
      <c r="AJ6" s="123"/>
      <c r="AK6" s="123"/>
      <c r="AL6" s="124">
        <f>IF(AG6&lt;&gt;"",AJ6+AK6,"")</f>
        <v>0</v>
      </c>
      <c r="AM6" s="123" t="s">
        <v>282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465</v>
      </c>
      <c r="BO6" s="122"/>
      <c r="BP6" s="131" t="s">
        <v>175</v>
      </c>
      <c r="BQ6" s="132"/>
      <c r="BR6" s="127" t="str">
        <f t="shared" ca="1" si="12"/>
        <v>?</v>
      </c>
      <c r="BS6" s="417"/>
      <c r="BT6" s="104" t="s">
        <v>1348</v>
      </c>
      <c r="BU6" s="103">
        <v>15</v>
      </c>
      <c r="BV6" s="104" t="str">
        <f t="shared" si="13"/>
        <v>Martin Šindelář</v>
      </c>
      <c r="BW6" s="102">
        <f t="shared" si="14"/>
        <v>15</v>
      </c>
      <c r="BX6" s="416"/>
      <c r="BY6" s="103" t="s">
        <v>1141</v>
      </c>
      <c r="BZ6" s="103" t="s">
        <v>837</v>
      </c>
      <c r="CA6" s="115" t="s">
        <v>1346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2" t="str">
        <f ca="1">IFERROR(IF(VLOOKUP(A6,OFFSET($AG$2,,,COUNTIF($AG$2:$AG$50,"?*"),23),2,FALSE)&lt;&gt;0,YEAR(VLOOKUP(A6,OFFSET($AG$2,,,COUNTIF($AG$2:$AG$50,"?*"),23),2,FALSE)),""),"")</f>
        <v/>
      </c>
      <c r="C7" s="423"/>
      <c r="D7" s="117" t="str">
        <f ca="1">IFERROR(VLOOKUP(A6,OFFSET($AG$2,,,COUNTIF($AG$2:$AG$50,"?*"),23),15,FALSE),"")</f>
        <v/>
      </c>
      <c r="E7" s="424" t="str">
        <f ca="1">IFERROR(VLOOKUP(A6,OFFSET($AG$2,,,COUNTIF($AG$2:$AG$50,"?*"),23),16,FALSE),"")</f>
        <v/>
      </c>
      <c r="F7" s="425"/>
      <c r="M7" s="4" t="str">
        <f ca="1">IFERROR(IF(VLOOKUP(M6,OFFSET($AG$2,,,COUNTIF($AG$2:$AG$50,"?*"),23),10,FALSE)&lt;&gt;0,VLOOKUP(M6,OFFSET($AG$2,,,COUNTIF($AG$2:$AG$50,"?*"),23),10,FALSE),""),"")</f>
        <v/>
      </c>
      <c r="N7" s="422" t="str">
        <f ca="1">IFERROR(IF(VLOOKUP(M6,OFFSET($AG$2,,,COUNTIF($AG$2:$AG$50,"?*"),23),2,FALSE)&lt;&gt;0,YEAR(VLOOKUP(M6,OFFSET($AG$2,,,COUNTIF($AG$2:$AG$50,"?*"),23),2,FALSE)),""),"")</f>
        <v/>
      </c>
      <c r="O7" s="423"/>
      <c r="P7" s="117" t="str">
        <f ca="1">IFERROR(VLOOKUP(M6,OFFSET($AG$2,,,COUNTIF($AG$2:$AG$50,"?*"),23),15,FALSE),"")</f>
        <v/>
      </c>
      <c r="Q7" s="424" t="str">
        <f ca="1">IFERROR(VLOOKUP(M6,OFFSET($AG$2,,,COUNTIF($AG$2:$AG$50,"?*"),23),16,FALSE),"")</f>
        <v/>
      </c>
      <c r="R7" s="425"/>
      <c r="S7" s="110" t="s">
        <v>434</v>
      </c>
      <c r="U7" s="102">
        <v>11</v>
      </c>
      <c r="V7" s="102">
        <v>9</v>
      </c>
      <c r="W7" s="102">
        <v>1</v>
      </c>
      <c r="X7" s="102">
        <v>1</v>
      </c>
      <c r="Y7" s="102">
        <v>5</v>
      </c>
      <c r="Z7" s="102">
        <v>14</v>
      </c>
      <c r="AA7" s="102">
        <v>6</v>
      </c>
      <c r="AB7" s="102">
        <v>12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145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7" t="s">
        <v>40</v>
      </c>
      <c r="BT7" s="104" t="s">
        <v>467</v>
      </c>
      <c r="BU7" s="103" t="s">
        <v>1349</v>
      </c>
      <c r="BV7" s="104" t="str">
        <f t="shared" si="13"/>
        <v>Lukáš Kříž</v>
      </c>
      <c r="BW7" s="112">
        <f t="shared" si="14"/>
        <v>3.96</v>
      </c>
      <c r="BX7" s="416" t="s">
        <v>193</v>
      </c>
      <c r="BY7" s="103" t="s">
        <v>972</v>
      </c>
      <c r="BZ7" s="103" t="s">
        <v>849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/>
      </c>
      <c r="B8" s="459"/>
      <c r="C8" s="459"/>
      <c r="D8" s="460" t="str">
        <f ca="1">IFERROR(VLOOKUP(A6,OFFSET($AG$2,,,COUNTIF($AG$2:$AG$50,"?*"),23),19,FALSE),"")</f>
        <v/>
      </c>
      <c r="E8" s="460"/>
      <c r="F8" s="461"/>
      <c r="H8" s="462" t="s">
        <v>88</v>
      </c>
      <c r="I8" s="462"/>
      <c r="J8" s="462"/>
      <c r="K8" s="462"/>
      <c r="M8" s="458" t="str">
        <f ca="1">IFERROR(VLOOKUP(M6,OFFSET($AG$2,,,COUNTIF($AG$2:$AG$50,"?*"),23),18,FALSE),"")</f>
        <v/>
      </c>
      <c r="N8" s="459"/>
      <c r="O8" s="459"/>
      <c r="P8" s="460" t="str">
        <f ca="1">IFERROR(VLOOKUP(M6,OFFSET($AG$2,,,COUNTIF($AG$2:$AG$50,"?*"),23),19,FALSE),"")</f>
        <v/>
      </c>
      <c r="Q8" s="460"/>
      <c r="R8" s="461"/>
      <c r="S8" s="110" t="s">
        <v>428</v>
      </c>
      <c r="U8" s="102">
        <v>11</v>
      </c>
      <c r="V8" s="102">
        <v>8</v>
      </c>
      <c r="W8" s="102">
        <v>0</v>
      </c>
      <c r="X8" s="102">
        <v>1</v>
      </c>
      <c r="Y8" s="102">
        <v>6</v>
      </c>
      <c r="Z8" s="102">
        <v>14</v>
      </c>
      <c r="AA8" s="102">
        <v>2</v>
      </c>
      <c r="AB8" s="102">
        <v>14</v>
      </c>
      <c r="AC8" s="102" t="str">
        <f t="shared" ca="1" si="0"/>
        <v>ANO</v>
      </c>
      <c r="AG8" s="121" t="s">
        <v>426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64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11 OZ, 15 (6+9), +19 ±</v>
      </c>
      <c r="AY8" s="129" t="str">
        <f t="shared" ca="1" si="2"/>
        <v>131 OZ, 107 (62+45)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7"/>
      <c r="BT8" s="104" t="s">
        <v>468</v>
      </c>
      <c r="BU8" s="103" t="s">
        <v>1350</v>
      </c>
      <c r="BV8" s="104" t="str">
        <f t="shared" si="13"/>
        <v>Jan Buzík</v>
      </c>
      <c r="BW8" s="112">
        <f t="shared" si="14"/>
        <v>1.5</v>
      </c>
      <c r="BX8" s="416"/>
      <c r="BY8" s="103" t="s">
        <v>1063</v>
      </c>
      <c r="BZ8" s="103" t="s">
        <v>848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/>
      </c>
      <c r="B9" s="447"/>
      <c r="C9" s="448"/>
      <c r="D9" s="449" t="str">
        <f ca="1">IFERROR(IF(VLOOKUP(A6,OFFSET($AG$2,,,COUNTIF($AG$2:$AG$50,"?*"),23),14,FALSE)&lt;&gt;0,VLOOKUP(A6,OFFSET($AG$2,,,COUNTIF($AG$2:$AG$50,"?*"),23),14,FALSE),"?"),"")</f>
        <v/>
      </c>
      <c r="E9" s="450"/>
      <c r="F9" s="7" t="str">
        <f ca="1">IFERROR(IF(VLOOKUP(A6,OFFSET($AG$2,,,COUNTIF($AG$2:$AG$50,"?*"),23),7,FALSE)&lt;&gt;0,VLOOKUP(A6,OFFSET($AG$2,,,COUNTIF($AG$2:$AG$50,"?*"),23),7,FALSE),"?"),"")</f>
        <v/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/>
      </c>
      <c r="N9" s="447"/>
      <c r="O9" s="448"/>
      <c r="P9" s="449" t="str">
        <f ca="1">IFERROR(IF(VLOOKUP(M6,OFFSET($AG$2,,,COUNTIF($AG$2:$AG$50,"?*"),23),14,FALSE)&lt;&gt;0,VLOOKUP(M6,OFFSET($AG$2,,,COUNTIF($AG$2:$AG$50,"?*"),23),14,FALSE),"?"),"")</f>
        <v/>
      </c>
      <c r="Q9" s="4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422</v>
      </c>
      <c r="U9" s="102">
        <v>11</v>
      </c>
      <c r="V9" s="102">
        <v>6</v>
      </c>
      <c r="W9" s="102">
        <v>0</v>
      </c>
      <c r="X9" s="102">
        <v>0</v>
      </c>
      <c r="Y9" s="102">
        <v>4</v>
      </c>
      <c r="Z9" s="102">
        <v>10</v>
      </c>
      <c r="AA9" s="102">
        <v>4</v>
      </c>
      <c r="AB9" s="102">
        <v>-3</v>
      </c>
      <c r="AC9" s="102" t="str">
        <f t="shared" ca="1" si="0"/>
        <v>ANO</v>
      </c>
      <c r="AG9" s="121" t="s">
        <v>442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150</v>
      </c>
      <c r="AP9" s="125" t="s">
        <v>27</v>
      </c>
      <c r="AQ9" s="123">
        <v>189</v>
      </c>
      <c r="AR9" s="123">
        <v>82</v>
      </c>
      <c r="AS9" s="126" t="s">
        <v>64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7"/>
      <c r="BT9" s="104" t="s">
        <v>1351</v>
      </c>
      <c r="BU9" s="103" t="s">
        <v>1352</v>
      </c>
      <c r="BV9" s="104" t="str">
        <f t="shared" si="13"/>
        <v>Tomáš Jurco</v>
      </c>
      <c r="BW9" s="112">
        <f t="shared" si="14"/>
        <v>3.59</v>
      </c>
      <c r="BX9" s="416"/>
      <c r="BY9" s="103" t="s">
        <v>1142</v>
      </c>
      <c r="BZ9" s="103" t="s">
        <v>869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424</v>
      </c>
      <c r="T10" s="102" t="s">
        <v>107</v>
      </c>
      <c r="U10" s="102">
        <v>8</v>
      </c>
      <c r="V10" s="102">
        <v>5</v>
      </c>
      <c r="W10" s="102">
        <v>2</v>
      </c>
      <c r="X10" s="102">
        <v>0</v>
      </c>
      <c r="Y10" s="102">
        <v>4</v>
      </c>
      <c r="Z10" s="102">
        <v>9</v>
      </c>
      <c r="AA10" s="102">
        <v>2</v>
      </c>
      <c r="AB10" s="102">
        <v>8</v>
      </c>
      <c r="AC10" s="102" t="str">
        <f t="shared" ca="1" si="0"/>
        <v>ANO</v>
      </c>
      <c r="AG10" s="121" t="s">
        <v>422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137</v>
      </c>
      <c r="AQ10" s="123">
        <v>196</v>
      </c>
      <c r="AR10" s="123">
        <v>92</v>
      </c>
      <c r="AS10" s="126" t="s">
        <v>453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11 OZ, 10 (6+4), -3 ±</v>
      </c>
      <c r="AY10" s="129" t="str">
        <f t="shared" ca="1" si="2"/>
        <v>79 OZ, 63 (42+21)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7"/>
      <c r="BV10" s="104" t="str">
        <f t="shared" si="13"/>
        <v/>
      </c>
      <c r="BW10" s="112" t="str">
        <f t="shared" si="14"/>
        <v/>
      </c>
      <c r="BX10" s="416"/>
      <c r="BY10" s="103" t="s">
        <v>1143</v>
      </c>
      <c r="BZ10" s="103" t="s">
        <v>836</v>
      </c>
      <c r="CA10" s="115" t="s">
        <v>188</v>
      </c>
    </row>
    <row r="11" spans="1:79" ht="15" customHeight="1" thickTop="1" thickBot="1" x14ac:dyDescent="0.25">
      <c r="R11" s="13"/>
      <c r="S11" s="110" t="s">
        <v>438</v>
      </c>
      <c r="T11" s="102" t="s">
        <v>58</v>
      </c>
      <c r="U11" s="102">
        <v>11</v>
      </c>
      <c r="V11" s="102">
        <v>4</v>
      </c>
      <c r="W11" s="102">
        <v>0</v>
      </c>
      <c r="X11" s="102">
        <v>0</v>
      </c>
      <c r="Y11" s="102">
        <v>2</v>
      </c>
      <c r="Z11" s="102">
        <v>6</v>
      </c>
      <c r="AA11" s="102">
        <v>2</v>
      </c>
      <c r="AB11" s="102">
        <v>15</v>
      </c>
      <c r="AC11" s="102" t="str">
        <f t="shared" ca="1" si="0"/>
        <v>ANO</v>
      </c>
      <c r="AG11" s="121" t="s">
        <v>427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454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9 V, 0 P</v>
      </c>
      <c r="AY11" s="129" t="str">
        <f t="shared" ca="1" si="2"/>
        <v>45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7"/>
      <c r="BV11" s="104" t="str">
        <f t="shared" si="13"/>
        <v/>
      </c>
      <c r="BW11" s="112" t="str">
        <f t="shared" si="14"/>
        <v/>
      </c>
      <c r="BX11" s="416"/>
      <c r="BY11" s="103" t="s">
        <v>1161</v>
      </c>
      <c r="BZ11" s="103" t="s">
        <v>834</v>
      </c>
      <c r="CA11" s="115" t="s">
        <v>188</v>
      </c>
    </row>
    <row r="12" spans="1:79" ht="15" customHeight="1" thickTop="1" thickBot="1" x14ac:dyDescent="0.25">
      <c r="A12" s="429"/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3" t="s">
        <v>7</v>
      </c>
      <c r="I12" s="463"/>
      <c r="J12" s="463"/>
      <c r="K12" s="463"/>
      <c r="M12" s="429"/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437</v>
      </c>
      <c r="U12" s="102">
        <v>11</v>
      </c>
      <c r="V12" s="102">
        <v>3</v>
      </c>
      <c r="W12" s="102">
        <v>0</v>
      </c>
      <c r="X12" s="102">
        <v>0</v>
      </c>
      <c r="Y12" s="102">
        <v>2</v>
      </c>
      <c r="Z12" s="102">
        <v>5</v>
      </c>
      <c r="AA12" s="102">
        <v>4</v>
      </c>
      <c r="AB12" s="102">
        <v>-5</v>
      </c>
      <c r="AC12" s="102" t="str">
        <f t="shared" ca="1" si="0"/>
        <v>NE</v>
      </c>
      <c r="AG12" s="121" t="s">
        <v>443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137</v>
      </c>
      <c r="AQ12" s="123">
        <v>184</v>
      </c>
      <c r="AR12" s="123">
        <v>78</v>
      </c>
      <c r="AS12" s="126" t="s">
        <v>64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7" t="s">
        <v>37</v>
      </c>
      <c r="BT12" s="104" t="s">
        <v>1099</v>
      </c>
      <c r="BU12" s="103">
        <v>15</v>
      </c>
      <c r="BV12" s="104" t="str">
        <f t="shared" si="13"/>
        <v>David Šimek</v>
      </c>
      <c r="BW12" s="102">
        <f t="shared" si="14"/>
        <v>15</v>
      </c>
      <c r="BX12" s="120" t="s">
        <v>191</v>
      </c>
      <c r="BY12" s="100" t="s">
        <v>1347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2" t="str">
        <f ca="1">IFERROR(IF(VLOOKUP(A12,OFFSET($AG$2,,,COUNTIF($AG$2:$AG$50,"?*"),23),2,FALSE)&lt;&gt;0,YEAR(VLOOKUP(A12,OFFSET($AG$2,,,COUNTIF($AG$2:$AG$50,"?*"),23),2,FALSE)),""),"")</f>
        <v/>
      </c>
      <c r="C13" s="423"/>
      <c r="D13" s="117" t="str">
        <f ca="1">IFERROR(VLOOKUP(A12,OFFSET($AG$2,,,COUNTIF($AG$2:$AG$50,"?*"),23),15,FALSE),"")</f>
        <v/>
      </c>
      <c r="E13" s="424" t="str">
        <f ca="1">IFERROR(VLOOKUP(A12,OFFSET($AG$2,,,COUNTIF($AG$2:$AG$50,"?*"),23),16,FALSE),"")</f>
        <v/>
      </c>
      <c r="F13" s="425"/>
      <c r="M13" s="4" t="str">
        <f ca="1">IFERROR(IF(VLOOKUP(M12,OFFSET($AG$2,,,COUNTIF($AG$2:$AG$50,"?*"),23),10,FALSE)&lt;&gt;0,VLOOKUP(M12,OFFSET($AG$2,,,COUNTIF($AG$2:$AG$50,"?*"),23),10,FALSE),""),"")</f>
        <v/>
      </c>
      <c r="N13" s="422" t="str">
        <f ca="1">IFERROR(IF(VLOOKUP(M12,OFFSET($AG$2,,,COUNTIF($AG$2:$AG$50,"?*"),23),2,FALSE)&lt;&gt;0,YEAR(VLOOKUP(M12,OFFSET($AG$2,,,COUNTIF($AG$2:$AG$50,"?*"),23),2,FALSE)),""),"")</f>
        <v/>
      </c>
      <c r="O13" s="423"/>
      <c r="P13" s="117" t="str">
        <f ca="1">IFERROR(VLOOKUP(M12,OFFSET($AG$2,,,COUNTIF($AG$2:$AG$50,"?*"),23),15,FALSE),"")</f>
        <v/>
      </c>
      <c r="Q13" s="424" t="str">
        <f ca="1">IFERROR(VLOOKUP(M12,OFFSET($AG$2,,,COUNTIF($AG$2:$AG$50,"?*"),23),16,FALSE),"")</f>
        <v/>
      </c>
      <c r="R13" s="425"/>
      <c r="S13" s="110" t="s">
        <v>425</v>
      </c>
      <c r="T13" s="102" t="s">
        <v>58</v>
      </c>
      <c r="U13" s="102">
        <v>10</v>
      </c>
      <c r="V13" s="102">
        <v>1</v>
      </c>
      <c r="W13" s="102">
        <v>0</v>
      </c>
      <c r="X13" s="102">
        <v>1</v>
      </c>
      <c r="Y13" s="102">
        <v>3</v>
      </c>
      <c r="Z13" s="102">
        <v>4</v>
      </c>
      <c r="AA13" s="102">
        <v>0</v>
      </c>
      <c r="AB13" s="102">
        <v>11</v>
      </c>
      <c r="AC13" s="102" t="str">
        <f t="shared" ca="1" si="0"/>
        <v>ANO</v>
      </c>
      <c r="AG13" s="121" t="s">
        <v>424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68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8 OZ, 9 (5+4), +8 ±</v>
      </c>
      <c r="AY13" s="129" t="str">
        <f t="shared" ca="1" si="2"/>
        <v>146 OZ, 176 (93+83)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7"/>
      <c r="BT13" s="104" t="s">
        <v>1100</v>
      </c>
      <c r="BU13" s="103">
        <v>12</v>
      </c>
      <c r="BV13" s="104" t="str">
        <f t="shared" si="13"/>
        <v>Marek Beneš</v>
      </c>
      <c r="BW13" s="102">
        <f t="shared" si="14"/>
        <v>12</v>
      </c>
    </row>
    <row r="14" spans="1:79" ht="15" customHeight="1" thickTop="1" thickBot="1" x14ac:dyDescent="0.25">
      <c r="A14" s="458" t="str">
        <f ca="1">IFERROR(VLOOKUP(A12,OFFSET($AG$2,,,COUNTIF($AG$2:$AG$50,"?*"),23),18,FALSE),"")</f>
        <v/>
      </c>
      <c r="B14" s="459"/>
      <c r="C14" s="459"/>
      <c r="D14" s="460" t="str">
        <f ca="1">IFERROR(VLOOKUP(A12,OFFSET($AG$2,,,COUNTIF($AG$2:$AG$50,"?*"),23),19,FALSE),"")</f>
        <v/>
      </c>
      <c r="E14" s="460"/>
      <c r="F14" s="461"/>
      <c r="G14" s="429"/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8" t="str">
        <f ca="1">IFERROR(VLOOKUP(M12,OFFSET($AG$2,,,COUNTIF($AG$2:$AG$50,"?*"),23),18,FALSE),"")</f>
        <v/>
      </c>
      <c r="N14" s="459"/>
      <c r="O14" s="459"/>
      <c r="P14" s="460" t="str">
        <f ca="1">IFERROR(VLOOKUP(M12,OFFSET($AG$2,,,COUNTIF($AG$2:$AG$50,"?*"),23),19,FALSE),"")</f>
        <v/>
      </c>
      <c r="Q14" s="460"/>
      <c r="R14" s="461"/>
      <c r="S14" s="110" t="s">
        <v>429</v>
      </c>
      <c r="U14" s="102">
        <v>8</v>
      </c>
      <c r="V14" s="102">
        <v>1</v>
      </c>
      <c r="W14" s="102">
        <v>0</v>
      </c>
      <c r="X14" s="102">
        <v>0</v>
      </c>
      <c r="Y14" s="102">
        <v>1</v>
      </c>
      <c r="Z14" s="102">
        <v>2</v>
      </c>
      <c r="AA14" s="102">
        <v>2</v>
      </c>
      <c r="AB14" s="102">
        <v>10</v>
      </c>
      <c r="AC14" s="102" t="str">
        <f t="shared" ca="1" si="0"/>
        <v>ANO</v>
      </c>
      <c r="AG14" s="121" t="s">
        <v>430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137</v>
      </c>
      <c r="AQ14" s="123">
        <v>172</v>
      </c>
      <c r="AR14" s="123">
        <v>72</v>
      </c>
      <c r="AS14" s="126" t="s">
        <v>451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11 OZ, 2 (1+1), +11 ±</v>
      </c>
      <c r="AY14" s="129" t="str">
        <f t="shared" ca="1" si="2"/>
        <v>138 OZ, 30 (13+17)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7"/>
      <c r="BT14" s="104" t="s">
        <v>1353</v>
      </c>
      <c r="BU14" s="103">
        <v>9</v>
      </c>
      <c r="BV14" s="104" t="str">
        <f t="shared" si="13"/>
        <v>Matěj Havlas</v>
      </c>
      <c r="BW14" s="102">
        <f t="shared" si="14"/>
        <v>9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/>
      </c>
      <c r="B15" s="447"/>
      <c r="C15" s="448"/>
      <c r="D15" s="449" t="str">
        <f ca="1">IFERROR(IF(VLOOKUP(A12,OFFSET($AG$2,,,COUNTIF($AG$2:$AG$50,"?*"),23),14,FALSE)&lt;&gt;0,VLOOKUP(A12,OFFSET($AG$2,,,COUNTIF($AG$2:$AG$50,"?*"),23),14,FALSE),"?"),"")</f>
        <v/>
      </c>
      <c r="E15" s="4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2" t="str">
        <f ca="1">IFERROR(IF(VLOOKUP(G14,OFFSET($AG$2,,,COUNTIF($AG$2:$AG$50,"?*"),23),2,FALSE)&lt;&gt;0,YEAR(VLOOKUP(G14,OFFSET($AG$2,,,COUNTIF($AG$2:$AG$50,"?*"),23),2,FALSE)),""),"")</f>
        <v/>
      </c>
      <c r="I15" s="423"/>
      <c r="J15" s="117" t="str">
        <f ca="1">IFERROR(VLOOKUP(G14,OFFSET($AG$2,,,COUNTIF($AG$2:$AG$50,"?*"),23),15,FALSE),"")</f>
        <v/>
      </c>
      <c r="K15" s="424" t="str">
        <f ca="1">IFERROR(VLOOKUP(G14,OFFSET($AG$2,,,COUNTIF($AG$2:$AG$50,"?*"),23),16,FALSE),"")</f>
        <v/>
      </c>
      <c r="L15" s="425"/>
      <c r="M15" s="446" t="str">
        <f ca="1">IFERROR(IF(VLOOKUP(M12,OFFSET($AG$2,,,COUNTIF($AG$2:$AG$50,"?*"),23),13,FALSE)&lt;&gt;0,VLOOKUP(M12,OFFSET($AG$2,,,COUNTIF($AG$2:$AG$50,"?*"),23),13,FALSE),"?"),"")</f>
        <v/>
      </c>
      <c r="N15" s="447"/>
      <c r="O15" s="448"/>
      <c r="P15" s="449" t="str">
        <f ca="1">IFERROR(IF(VLOOKUP(M12,OFFSET($AG$2,,,COUNTIF($AG$2:$AG$50,"?*"),23),14,FALSE)&lt;&gt;0,VLOOKUP(M12,OFFSET($AG$2,,,COUNTIF($AG$2:$AG$50,"?*"),23),14,FALSE),"?"),"")</f>
        <v/>
      </c>
      <c r="Q15" s="4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430</v>
      </c>
      <c r="T15" s="102" t="s">
        <v>58</v>
      </c>
      <c r="U15" s="102">
        <v>11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0</v>
      </c>
      <c r="AB15" s="102">
        <v>11</v>
      </c>
      <c r="AC15" s="102" t="str">
        <f t="shared" ca="1" si="0"/>
        <v>ANO</v>
      </c>
      <c r="AG15" s="121" t="s">
        <v>444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137</v>
      </c>
      <c r="AQ15" s="123">
        <v>18</v>
      </c>
      <c r="AR15" s="123">
        <v>68</v>
      </c>
      <c r="AS15" s="126" t="s">
        <v>64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7"/>
      <c r="BT15" s="104" t="s">
        <v>903</v>
      </c>
      <c r="BU15" s="103">
        <v>8</v>
      </c>
      <c r="BV15" s="104" t="str">
        <f t="shared" si="13"/>
        <v>Ondřej Němeček</v>
      </c>
      <c r="BW15" s="102">
        <f t="shared" si="14"/>
        <v>8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/>
      </c>
      <c r="H16" s="459"/>
      <c r="I16" s="459"/>
      <c r="J16" s="460" t="str">
        <f ca="1">IFERROR(VLOOKUP(G14,OFFSET($AG$2,,,COUNTIF($AG$2:$AG$50,"?*"),23),19,FALSE),"")</f>
        <v/>
      </c>
      <c r="K16" s="460"/>
      <c r="L16" s="461"/>
      <c r="S16" s="110" t="s">
        <v>1343</v>
      </c>
      <c r="U16" s="102">
        <v>4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6</v>
      </c>
      <c r="AC16" s="102" t="str">
        <f t="shared" ca="1" si="0"/>
        <v>NE</v>
      </c>
      <c r="AG16" s="121" t="s">
        <v>421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64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11 OZ, 17 (8+9), +22 ±</v>
      </c>
      <c r="AY16" s="129" t="str">
        <f t="shared" ca="1" si="2"/>
        <v>84 OZ, 100 (42+58)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7"/>
      <c r="BT16" s="104" t="s">
        <v>1354</v>
      </c>
      <c r="BU16" s="103">
        <v>8</v>
      </c>
      <c r="BV16" s="104" t="str">
        <f t="shared" si="13"/>
        <v>Petr Brautferger</v>
      </c>
      <c r="BW16" s="102">
        <f t="shared" si="14"/>
        <v>8</v>
      </c>
    </row>
    <row r="17" spans="1:75" ht="15" customHeight="1" thickTop="1" thickBot="1" x14ac:dyDescent="0.25">
      <c r="A17" s="429"/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6" t="str">
        <f ca="1">IFERROR(IF(VLOOKUP(G14,OFFSET($AG$2,,,COUNTIF($AG$2:$AG$50,"?*"),23),13,FALSE)&lt;&gt;0,VLOOKUP(G14,OFFSET($AG$2,,,COUNTIF($AG$2:$AG$50,"?*"),23),13,FALSE),"?"),"")</f>
        <v/>
      </c>
      <c r="H17" s="447"/>
      <c r="I17" s="448"/>
      <c r="J17" s="449" t="str">
        <f ca="1">IFERROR(IF(VLOOKUP(G14,OFFSET($AG$2,,,COUNTIF($AG$2:$AG$50,"?*"),23),14,FALSE)&lt;&gt;0,VLOOKUP(G14,OFFSET($AG$2,,,COUNTIF($AG$2:$AG$50,"?*"),23),14,FALSE),"?"),"")</f>
        <v/>
      </c>
      <c r="K17" s="450"/>
      <c r="L17" s="7" t="str">
        <f ca="1">IFERROR(IF(VLOOKUP(G14,OFFSET($AG$2,,,COUNTIF($AG$2:$AG$50,"?*"),23),7,FALSE)&lt;&gt;0,VLOOKUP(G14,OFFSET($AG$2,,,COUNTIF($AG$2:$AG$50,"?*"),23),7,FALSE),"?"),"")</f>
        <v/>
      </c>
      <c r="M17" s="429"/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433</v>
      </c>
      <c r="U17" s="102">
        <v>6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2</v>
      </c>
      <c r="AC17" s="102" t="str">
        <f t="shared" ca="1" si="0"/>
        <v>ANO</v>
      </c>
      <c r="AG17" s="121" t="s">
        <v>406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137</v>
      </c>
      <c r="AQ17" s="123">
        <v>175</v>
      </c>
      <c r="AR17" s="123">
        <v>74</v>
      </c>
      <c r="AS17" s="126" t="s">
        <v>455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7" t="s">
        <v>41</v>
      </c>
      <c r="BT17" s="104" t="s">
        <v>467</v>
      </c>
      <c r="BU17" s="103">
        <v>9</v>
      </c>
      <c r="BV17" s="104" t="str">
        <f t="shared" si="13"/>
        <v>Lukáš Kříž</v>
      </c>
      <c r="BW17" s="102">
        <f t="shared" si="14"/>
        <v>9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2" t="str">
        <f ca="1">IFERROR(IF(VLOOKUP(A17,OFFSET($AG$2,,,COUNTIF($AG$2:$AG$50,"?*"),23),2,FALSE)&lt;&gt;0,YEAR(VLOOKUP(A17,OFFSET($AG$2,,,COUNTIF($AG$2:$AG$50,"?*"),23),2,FALSE)),""),"")</f>
        <v/>
      </c>
      <c r="C18" s="423"/>
      <c r="D18" s="149" t="str">
        <f ca="1">IFERROR(VLOOKUP(A17,OFFSET($AG$2,,,COUNTIF($AG$2:$AG$50,"?*"),23),15,FALSE),"")</f>
        <v/>
      </c>
      <c r="E18" s="424" t="str">
        <f ca="1">IFERROR(VLOOKUP(A17,OFFSET($AG$2,,,COUNTIF($AG$2:$AG$50,"?*"),23),16,FALSE),"")</f>
        <v/>
      </c>
      <c r="F18" s="425"/>
      <c r="M18" s="4" t="str">
        <f ca="1">IFERROR(IF(VLOOKUP(M17,OFFSET($AG$2,,,COUNTIF($AG$2:$AG$50,"?*"),23),10,FALSE)&lt;&gt;0,VLOOKUP(M17,OFFSET($AG$2,,,COUNTIF($AG$2:$AG$50,"?*"),23),10,FALSE),""),"")</f>
        <v/>
      </c>
      <c r="N18" s="422" t="str">
        <f ca="1">IFERROR(IF(VLOOKUP(M17,OFFSET($AG$2,,,COUNTIF($AG$2:$AG$50,"?*"),23),2,FALSE)&lt;&gt;0,YEAR(VLOOKUP(M17,OFFSET($AG$2,,,COUNTIF($AG$2:$AG$50,"?*"),23),2,FALSE)),""),"")</f>
        <v/>
      </c>
      <c r="O18" s="423"/>
      <c r="P18" s="117" t="str">
        <f ca="1">IFERROR(VLOOKUP(M17,OFFSET($AG$2,,,COUNTIF($AG$2:$AG$50,"?*"),23),15,FALSE),"")</f>
        <v/>
      </c>
      <c r="Q18" s="424" t="str">
        <f ca="1">IFERROR(VLOOKUP(M17,OFFSET($AG$2,,,COUNTIF($AG$2:$AG$50,"?*"),23),16,FALSE),"")</f>
        <v/>
      </c>
      <c r="R18" s="425"/>
      <c r="S18" s="110" t="s">
        <v>788</v>
      </c>
      <c r="U18" s="102">
        <v>9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2</v>
      </c>
      <c r="AB18" s="102">
        <v>4</v>
      </c>
      <c r="AC18" s="102" t="str">
        <f t="shared" ca="1" si="0"/>
        <v>NE</v>
      </c>
      <c r="AG18" s="121" t="s">
        <v>425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137</v>
      </c>
      <c r="AQ18" s="123">
        <v>178</v>
      </c>
      <c r="AR18" s="123">
        <v>65</v>
      </c>
      <c r="AS18" s="126" t="s">
        <v>292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10 OZ, 4 (1+3), +11 ±</v>
      </c>
      <c r="AY18" s="129" t="str">
        <f t="shared" ca="1" si="2"/>
        <v>98 OZ, 82 (30+52)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7"/>
      <c r="BT18" s="104" t="s">
        <v>468</v>
      </c>
      <c r="BU18" s="103">
        <v>1</v>
      </c>
      <c r="BV18" s="104" t="str">
        <f t="shared" si="13"/>
        <v>Jan Buzík</v>
      </c>
      <c r="BW18" s="102">
        <f t="shared" si="14"/>
        <v>1</v>
      </c>
    </row>
    <row r="19" spans="1:75" ht="15" customHeight="1" x14ac:dyDescent="0.2">
      <c r="A19" s="458" t="str">
        <f ca="1">IFERROR(VLOOKUP(A17,OFFSET($AG$2,,,COUNTIF($AG$2:$AG$50,"?*"),23),18,FALSE),"")</f>
        <v/>
      </c>
      <c r="B19" s="459"/>
      <c r="C19" s="459"/>
      <c r="D19" s="460" t="str">
        <f ca="1">IFERROR(VLOOKUP(A17,OFFSET($AG$2,,,COUNTIF($AG$2:$AG$50,"?*"),23),19,FALSE),"")</f>
        <v/>
      </c>
      <c r="E19" s="460"/>
      <c r="F19" s="461"/>
      <c r="H19" s="462" t="str">
        <f>H$8</f>
        <v>TAT</v>
      </c>
      <c r="I19" s="462"/>
      <c r="J19" s="462"/>
      <c r="K19" s="462"/>
      <c r="M19" s="458" t="str">
        <f ca="1">IFERROR(VLOOKUP(M17,OFFSET($AG$2,,,COUNTIF($AG$2:$AG$50,"?*"),23),18,FALSE),"")</f>
        <v/>
      </c>
      <c r="N19" s="459"/>
      <c r="O19" s="459"/>
      <c r="P19" s="460" t="str">
        <f ca="1">IFERROR(VLOOKUP(M17,OFFSET($AG$2,,,COUNTIF($AG$2:$AG$50,"?*"),23),19,FALSE),"")</f>
        <v/>
      </c>
      <c r="Q19" s="460"/>
      <c r="R19" s="461"/>
      <c r="S19" s="110" t="s">
        <v>906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445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137</v>
      </c>
      <c r="AQ19" s="123">
        <v>187</v>
      </c>
      <c r="AR19" s="123">
        <v>77</v>
      </c>
      <c r="AS19" s="126" t="s">
        <v>64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7"/>
      <c r="BT19" s="104" t="s">
        <v>1351</v>
      </c>
      <c r="BU19" s="103">
        <v>1</v>
      </c>
      <c r="BV19" s="104" t="str">
        <f t="shared" si="13"/>
        <v>Tomáš Jurco</v>
      </c>
      <c r="BW19" s="102">
        <f t="shared" si="14"/>
        <v>1</v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/>
      </c>
      <c r="B20" s="447"/>
      <c r="C20" s="448"/>
      <c r="D20" s="449" t="str">
        <f ca="1">IFERROR(IF(VLOOKUP(A17,OFFSET($AG$2,,,COUNTIF($AG$2:$AG$50,"?*"),23),14,FALSE)&lt;&gt;0,VLOOKUP(A17,OFFSET($AG$2,,,COUNTIF($AG$2:$AG$50,"?*"),23),14,FALSE),"?"),"")</f>
        <v/>
      </c>
      <c r="E20" s="450"/>
      <c r="F20" s="7" t="str">
        <f ca="1">IFERROR(IF(VLOOKUP(A17,OFFSET($AG$2,,,COUNTIF($AG$2:$AG$50,"?*"),23),7,FALSE)&lt;&gt;0,VLOOKUP(A17,OFFSET($AG$2,,,COUNTIF($AG$2:$AG$50,"?*"),23),7,FALSE),"?"),"")</f>
        <v/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/>
      </c>
      <c r="N20" s="447"/>
      <c r="O20" s="448"/>
      <c r="P20" s="449" t="str">
        <f ca="1">IFERROR(IF(VLOOKUP(M17,OFFSET($AG$2,,,COUNTIF($AG$2:$AG$50,"?*"),23),14,FALSE)&lt;&gt;0,VLOOKUP(M17,OFFSET($AG$2,,,COUNTIF($AG$2:$AG$50,"?*"),23),14,FALSE),"?"),"")</f>
        <v/>
      </c>
      <c r="Q20" s="4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448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429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137</v>
      </c>
      <c r="AQ20" s="123">
        <v>181</v>
      </c>
      <c r="AR20" s="123">
        <v>66</v>
      </c>
      <c r="AS20" s="126" t="s">
        <v>64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8 OZ, 2 (1+1), +10 ±</v>
      </c>
      <c r="AY20" s="129" t="str">
        <f t="shared" ca="1" si="2"/>
        <v>24 OZ, 8 (7+1)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907</v>
      </c>
      <c r="T21" s="102" t="s">
        <v>107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446</v>
      </c>
      <c r="AH21" s="122"/>
      <c r="AI21" s="123"/>
      <c r="AJ21" s="123"/>
      <c r="AK21" s="123"/>
      <c r="AL21" s="124">
        <f>IF(AG21&lt;&gt;"",AJ21+AK21,"")</f>
        <v>0</v>
      </c>
      <c r="AM21" s="123" t="s">
        <v>282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440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447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137</v>
      </c>
      <c r="AQ22" s="123">
        <v>185</v>
      </c>
      <c r="AR22" s="123">
        <v>75</v>
      </c>
      <c r="AS22" s="126" t="s">
        <v>64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7" t="s">
        <v>38</v>
      </c>
      <c r="BT22" s="104" t="s">
        <v>466</v>
      </c>
      <c r="BU22" s="103">
        <v>15</v>
      </c>
      <c r="BV22" s="104" t="str">
        <f t="shared" si="13"/>
        <v>Marek Beneš</v>
      </c>
      <c r="BW22" s="102">
        <f t="shared" si="14"/>
        <v>15</v>
      </c>
    </row>
    <row r="23" spans="1:75" ht="15" customHeight="1" thickTop="1" thickBot="1" x14ac:dyDescent="0.25">
      <c r="A23" s="429"/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3" t="s">
        <v>13</v>
      </c>
      <c r="I23" s="463"/>
      <c r="J23" s="463"/>
      <c r="K23" s="463"/>
      <c r="M23" s="429"/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905</v>
      </c>
      <c r="T23" s="102" t="s">
        <v>107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433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137</v>
      </c>
      <c r="AQ23" s="123">
        <v>183</v>
      </c>
      <c r="AR23" s="123">
        <v>82</v>
      </c>
      <c r="AS23" s="126" t="s">
        <v>64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6 OZ, 1 (1+0), +2 ±</v>
      </c>
      <c r="AY23" s="129" t="str">
        <f t="shared" ca="1" si="2"/>
        <v>64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7"/>
      <c r="BT23" s="104" t="s">
        <v>1355</v>
      </c>
      <c r="BU23" s="103">
        <v>9</v>
      </c>
      <c r="BV23" s="104" t="str">
        <f t="shared" si="13"/>
        <v>Jakub Kolísko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2" t="str">
        <f ca="1">IFERROR(IF(VLOOKUP(A23,OFFSET($AG$2,,,COUNTIF($AG$2:$AG$50,"?*"),23),2,FALSE)&lt;&gt;0,YEAR(VLOOKUP(A23,OFFSET($AG$2,,,COUNTIF($AG$2:$AG$50,"?*"),23),2,FALSE)),""),"")</f>
        <v/>
      </c>
      <c r="C24" s="423"/>
      <c r="D24" s="117" t="str">
        <f ca="1">IFERROR(VLOOKUP(A23,OFFSET($AG$2,,,COUNTIF($AG$2:$AG$50,"?*"),23),15,FALSE),"")</f>
        <v/>
      </c>
      <c r="E24" s="424" t="str">
        <f ca="1">IFERROR(VLOOKUP(A23,OFFSET($AG$2,,,COUNTIF($AG$2:$AG$50,"?*"),23),16,FALSE),"")</f>
        <v/>
      </c>
      <c r="F24" s="425"/>
      <c r="M24" s="4" t="str">
        <f ca="1">IFERROR(IF(VLOOKUP(M23,OFFSET($AG$2,,,COUNTIF($AG$2:$AG$50,"?*"),23),10,FALSE)&lt;&gt;0,VLOOKUP(M23,OFFSET($AG$2,,,COUNTIF($AG$2:$AG$50,"?*"),23),10,FALSE),""),"")</f>
        <v/>
      </c>
      <c r="N24" s="422" t="str">
        <f ca="1">IFERROR(IF(VLOOKUP(M23,OFFSET($AG$2,,,COUNTIF($AG$2:$AG$50,"?*"),23),2,FALSE)&lt;&gt;0,YEAR(VLOOKUP(M23,OFFSET($AG$2,,,COUNTIF($AG$2:$AG$50,"?*"),23),2,FALSE)),""),"")</f>
        <v/>
      </c>
      <c r="O24" s="423"/>
      <c r="P24" s="117" t="str">
        <f ca="1">IFERROR(VLOOKUP(M23,OFFSET($AG$2,,,COUNTIF($AG$2:$AG$50,"?*"),23),15,FALSE),"")</f>
        <v/>
      </c>
      <c r="Q24" s="424" t="str">
        <f ca="1">IFERROR(VLOOKUP(M23,OFFSET($AG$2,,,COUNTIF($AG$2:$AG$50,"?*"),23),16,FALSE),"")</f>
        <v/>
      </c>
      <c r="R24" s="425"/>
      <c r="S24" s="110" t="s">
        <v>1344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2</v>
      </c>
      <c r="AC24" s="102" t="str">
        <f t="shared" ca="1" si="0"/>
        <v>NE</v>
      </c>
      <c r="AG24" s="121" t="s">
        <v>436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137</v>
      </c>
      <c r="AQ24" s="123">
        <v>179</v>
      </c>
      <c r="AR24" s="123">
        <v>80</v>
      </c>
      <c r="AS24" s="126" t="s">
        <v>456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11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103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7"/>
      <c r="BT24" s="104" t="s">
        <v>902</v>
      </c>
      <c r="BU24" s="103">
        <v>9</v>
      </c>
      <c r="BV24" s="104" t="str">
        <f t="shared" si="13"/>
        <v>Martin Šindelář</v>
      </c>
      <c r="BW24" s="102">
        <f t="shared" si="14"/>
        <v>9</v>
      </c>
    </row>
    <row r="25" spans="1:75" ht="15" customHeight="1" thickTop="1" thickBot="1" x14ac:dyDescent="0.25">
      <c r="A25" s="458" t="str">
        <f ca="1">IFERROR(VLOOKUP(A23,OFFSET($AG$2,,,COUNTIF($AG$2:$AG$50,"?*"),23),18,FALSE),"")</f>
        <v/>
      </c>
      <c r="B25" s="459"/>
      <c r="C25" s="459"/>
      <c r="D25" s="460" t="str">
        <f ca="1">IFERROR(VLOOKUP(A23,OFFSET($AG$2,,,COUNTIF($AG$2:$AG$50,"?*"),23),19,FALSE),"")</f>
        <v/>
      </c>
      <c r="E25" s="460"/>
      <c r="F25" s="461"/>
      <c r="G25" s="429"/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8" t="str">
        <f ca="1">IFERROR(VLOOKUP(M23,OFFSET($AG$2,,,COUNTIF($AG$2:$AG$50,"?*"),23),18,FALSE),"")</f>
        <v/>
      </c>
      <c r="N25" s="459"/>
      <c r="O25" s="459"/>
      <c r="P25" s="460" t="str">
        <f ca="1">IFERROR(VLOOKUP(M23,OFFSET($AG$2,,,COUNTIF($AG$2:$AG$50,"?*"),23),19,FALSE),"")</f>
        <v/>
      </c>
      <c r="Q25" s="460"/>
      <c r="R25" s="461"/>
      <c r="S25" s="110" t="s">
        <v>435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-1</v>
      </c>
      <c r="AC25" s="102" t="str">
        <f t="shared" ca="1" si="0"/>
        <v>ANO</v>
      </c>
      <c r="AG25" s="121" t="s">
        <v>420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137</v>
      </c>
      <c r="AQ25" s="123">
        <v>185</v>
      </c>
      <c r="AR25" s="123">
        <v>83</v>
      </c>
      <c r="AS25" s="126" t="s">
        <v>292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11 OZ, 15 (6+9), +1 ±</v>
      </c>
      <c r="AY25" s="129" t="str">
        <f t="shared" ca="1" si="16"/>
        <v>111 OZ, 148 (76+72)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7"/>
      <c r="BT25" s="104" t="s">
        <v>903</v>
      </c>
      <c r="BU25" s="103">
        <v>9</v>
      </c>
      <c r="BV25" s="104" t="str">
        <f t="shared" si="13"/>
        <v>Ondřej Němeček</v>
      </c>
      <c r="BW25" s="102">
        <f t="shared" si="14"/>
        <v>9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/>
      </c>
      <c r="B26" s="447"/>
      <c r="C26" s="448"/>
      <c r="D26" s="449" t="str">
        <f ca="1">IFERROR(IF(VLOOKUP(A23,OFFSET($AG$2,,,COUNTIF($AG$2:$AG$50,"?*"),23),14,FALSE)&lt;&gt;0,VLOOKUP(A23,OFFSET($AG$2,,,COUNTIF($AG$2:$AG$50,"?*"),23),14,FALSE),"?"),"")</f>
        <v/>
      </c>
      <c r="E26" s="4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2" t="str">
        <f ca="1">IFERROR(IF(VLOOKUP(G25,OFFSET($AG$2,,,COUNTIF($AG$2:$AG$50,"?*"),23),2,FALSE)&lt;&gt;0,YEAR(VLOOKUP(G25,OFFSET($AG$2,,,COUNTIF($AG$2:$AG$50,"?*"),23),2,FALSE)),""),"")</f>
        <v/>
      </c>
      <c r="I26" s="423"/>
      <c r="J26" s="117" t="str">
        <f ca="1">IFERROR(VLOOKUP(G25,OFFSET($AG$2,,,COUNTIF($AG$2:$AG$50,"?*"),23),15,FALSE),"")</f>
        <v/>
      </c>
      <c r="K26" s="424" t="str">
        <f ca="1">IFERROR(VLOOKUP(G25,OFFSET($AG$2,,,COUNTIF($AG$2:$AG$50,"?*"),23),16,FALSE),"")</f>
        <v/>
      </c>
      <c r="L26" s="425"/>
      <c r="M26" s="446" t="str">
        <f ca="1">IFERROR(IF(VLOOKUP(M23,OFFSET($AG$2,,,COUNTIF($AG$2:$AG$50,"?*"),23),13,FALSE)&lt;&gt;0,VLOOKUP(M23,OFFSET($AG$2,,,COUNTIF($AG$2:$AG$50,"?*"),23),13,FALSE),"?"),"")</f>
        <v/>
      </c>
      <c r="N26" s="447"/>
      <c r="O26" s="448"/>
      <c r="P26" s="449" t="str">
        <f ca="1">IFERROR(IF(VLOOKUP(M23,OFFSET($AG$2,,,COUNTIF($AG$2:$AG$50,"?*"),23),14,FALSE)&lt;&gt;0,VLOOKUP(M23,OFFSET($AG$2,,,COUNTIF($AG$2:$AG$50,"?*"),23),14,FALSE),"?"),"")</f>
        <v/>
      </c>
      <c r="Q26" s="45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431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NE</v>
      </c>
      <c r="AG26" s="121" t="s">
        <v>448</v>
      </c>
      <c r="AH26" s="122"/>
      <c r="AI26" s="123"/>
      <c r="AJ26" s="123"/>
      <c r="AK26" s="123"/>
      <c r="AL26" s="124">
        <f>IF(AG26&lt;&gt;"",AJ26+AK26,"")</f>
        <v>0</v>
      </c>
      <c r="AM26" s="123" t="s">
        <v>282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1 OZ, 0 (0+0), 0 ±</v>
      </c>
      <c r="AY26" s="129" t="str">
        <f t="shared" ca="1" si="16"/>
        <v>1 OZ, 0 (0+0)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7"/>
      <c r="BT26" s="104" t="s">
        <v>1356</v>
      </c>
      <c r="BU26" s="103">
        <v>7</v>
      </c>
      <c r="BV26" s="104" t="str">
        <f t="shared" si="13"/>
        <v>David Šimek</v>
      </c>
      <c r="BW26" s="102">
        <f t="shared" si="14"/>
        <v>7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/>
      </c>
      <c r="H27" s="459"/>
      <c r="I27" s="459"/>
      <c r="J27" s="460" t="str">
        <f ca="1">IFERROR(VLOOKUP(G25,OFFSET($AG$2,,,COUNTIF($AG$2:$AG$50,"?*"),23),19,FALSE),"")</f>
        <v/>
      </c>
      <c r="K27" s="460"/>
      <c r="L27" s="461"/>
      <c r="S27" s="110" t="s">
        <v>432</v>
      </c>
      <c r="T27" s="102" t="s">
        <v>107</v>
      </c>
      <c r="U27" s="102">
        <v>8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4</v>
      </c>
      <c r="AC27" s="102" t="str">
        <f t="shared" ca="1" si="0"/>
        <v>NE</v>
      </c>
      <c r="AG27" s="121" t="s">
        <v>435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137</v>
      </c>
      <c r="AQ27" s="123">
        <v>185</v>
      </c>
      <c r="AR27" s="123">
        <v>90</v>
      </c>
      <c r="AS27" s="126" t="s">
        <v>457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5 OZ, 0 (0+0), -1 ±</v>
      </c>
      <c r="AY27" s="129" t="str">
        <f t="shared" ca="1" si="16"/>
        <v>59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7" t="s">
        <v>39</v>
      </c>
      <c r="BT27" s="104" t="s">
        <v>1357</v>
      </c>
      <c r="BU27" s="103">
        <v>6</v>
      </c>
      <c r="BV27" s="104" t="str">
        <f t="shared" si="13"/>
        <v>Matěj Havlas</v>
      </c>
      <c r="BW27" s="102">
        <f t="shared" si="14"/>
        <v>6</v>
      </c>
    </row>
    <row r="28" spans="1:75" ht="15" customHeight="1" thickTop="1" thickBot="1" x14ac:dyDescent="0.25">
      <c r="A28" s="429"/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6" t="str">
        <f ca="1">IFERROR(IF(VLOOKUP(G25,OFFSET($AG$2,,,COUNTIF($AG$2:$AG$50,"?*"),23),13,FALSE)&lt;&gt;0,VLOOKUP(G25,OFFSET($AG$2,,,COUNTIF($AG$2:$AG$50,"?*"),23),13,FALSE),"?"),"")</f>
        <v/>
      </c>
      <c r="H28" s="447"/>
      <c r="I28" s="448"/>
      <c r="J28" s="449" t="str">
        <f ca="1">IFERROR(IF(VLOOKUP(G25,OFFSET($AG$2,,,COUNTIF($AG$2:$AG$50,"?*"),23),14,FALSE)&lt;&gt;0,VLOOKUP(G25,OFFSET($AG$2,,,COUNTIF($AG$2:$AG$50,"?*"),23),14,FALSE),"?"),"")</f>
        <v/>
      </c>
      <c r="K28" s="450"/>
      <c r="L28" s="7" t="str">
        <f ca="1">IFERROR(IF(VLOOKUP(G25,OFFSET($AG$2,,,COUNTIF($AG$2:$AG$50,"?*"),23),7,FALSE)&lt;&gt;0,VLOOKUP(G25,OFFSET($AG$2,,,COUNTIF($AG$2:$AG$50,"?*"),23),7,FALSE),"?"),"")</f>
        <v/>
      </c>
      <c r="M28" s="429"/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427</v>
      </c>
      <c r="U28" s="102">
        <v>0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0</v>
      </c>
      <c r="AB28" s="102">
        <v>0</v>
      </c>
      <c r="AC28" s="102" t="str">
        <f t="shared" ca="1" si="0"/>
        <v>ANO</v>
      </c>
      <c r="AG28" s="121" t="s">
        <v>438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137</v>
      </c>
      <c r="AQ28" s="123">
        <v>180</v>
      </c>
      <c r="AR28" s="123">
        <v>70</v>
      </c>
      <c r="AS28" s="126" t="s">
        <v>458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11 OZ, 6 (4+2), +15 ±</v>
      </c>
      <c r="AY28" s="129" t="str">
        <f t="shared" ca="1" si="16"/>
        <v>130 OZ, 63 (29+34)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7"/>
      <c r="BT28" s="104" t="s">
        <v>1358</v>
      </c>
      <c r="BU28" s="103">
        <v>4</v>
      </c>
      <c r="BV28" s="104" t="str">
        <f t="shared" si="13"/>
        <v>Jonáš Kreysa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2" t="str">
        <f ca="1">IFERROR(IF(VLOOKUP(A28,OFFSET($AG$2,,,COUNTIF($AG$2:$AG$50,"?*"),23),2,FALSE)&lt;&gt;0,YEAR(VLOOKUP(A28,OFFSET($AG$2,,,COUNTIF($AG$2:$AG$50,"?*"),23),2,FALSE)),""),"")</f>
        <v/>
      </c>
      <c r="C29" s="423"/>
      <c r="D29" s="117" t="str">
        <f ca="1">IFERROR(VLOOKUP(A28,OFFSET($AG$2,,,COUNTIF($AG$2:$AG$50,"?*"),23),15,FALSE),"")</f>
        <v/>
      </c>
      <c r="E29" s="424" t="str">
        <f ca="1">IFERROR(VLOOKUP(A28,OFFSET($AG$2,,,COUNTIF($AG$2:$AG$50,"?*"),23),16,FALSE),"")</f>
        <v/>
      </c>
      <c r="F29" s="425"/>
      <c r="M29" s="4" t="str">
        <f ca="1">IFERROR(IF(VLOOKUP(M28,OFFSET($AG$2,,,COUNTIF($AG$2:$AG$50,"?*"),23),10,FALSE)&lt;&gt;0,VLOOKUP(M28,OFFSET($AG$2,,,COUNTIF($AG$2:$AG$50,"?*"),23),10,FALSE),""),"")</f>
        <v/>
      </c>
      <c r="N29" s="422" t="str">
        <f ca="1">IFERROR(IF(VLOOKUP(M28,OFFSET($AG$2,,,COUNTIF($AG$2:$AG$50,"?*"),23),2,FALSE)&lt;&gt;0,YEAR(VLOOKUP(M28,OFFSET($AG$2,,,COUNTIF($AG$2:$AG$50,"?*"),23),2,FALSE)),""),"")</f>
        <v/>
      </c>
      <c r="O29" s="423"/>
      <c r="P29" s="117" t="str">
        <f ca="1">IFERROR(VLOOKUP(M28,OFFSET($AG$2,,,COUNTIF($AG$2:$AG$50,"?*"),23),15,FALSE),"")</f>
        <v/>
      </c>
      <c r="Q29" s="424" t="str">
        <f ca="1">IFERROR(VLOOKUP(M28,OFFSET($AG$2,,,COUNTIF($AG$2:$AG$50,"?*"),23),16,FALSE),"")</f>
        <v/>
      </c>
      <c r="R29" s="425"/>
      <c r="S29" s="110" t="s">
        <v>436</v>
      </c>
      <c r="T29" s="102" t="s">
        <v>58</v>
      </c>
      <c r="U29" s="102">
        <v>11</v>
      </c>
      <c r="V29" s="102">
        <v>0</v>
      </c>
      <c r="W29" s="102">
        <v>0</v>
      </c>
      <c r="X29" s="102">
        <v>0</v>
      </c>
      <c r="Y29" s="102">
        <v>0</v>
      </c>
      <c r="Z29" s="102">
        <v>0</v>
      </c>
      <c r="AA29" s="102">
        <v>2</v>
      </c>
      <c r="AB29" s="102">
        <v>-7</v>
      </c>
      <c r="AC29" s="102" t="str">
        <f t="shared" ca="1" si="0"/>
        <v>ANO</v>
      </c>
      <c r="AG29" s="121" t="s">
        <v>449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282</v>
      </c>
      <c r="AN29" s="123">
        <v>50</v>
      </c>
      <c r="AO29" s="125"/>
      <c r="AP29" s="125" t="s">
        <v>137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417"/>
      <c r="BT29" s="104" t="s">
        <v>1359</v>
      </c>
      <c r="BU29" s="103">
        <v>4</v>
      </c>
      <c r="BV29" s="104" t="str">
        <f t="shared" si="13"/>
        <v>Marek Beneš</v>
      </c>
      <c r="BW29" s="102">
        <f t="shared" si="14"/>
        <v>4</v>
      </c>
    </row>
    <row r="30" spans="1:75" ht="15" customHeight="1" x14ac:dyDescent="0.2">
      <c r="A30" s="458" t="str">
        <f ca="1">IFERROR(VLOOKUP(A28,OFFSET($AG$2,,,COUNTIF($AG$2:$AG$50,"?*"),23),18,FALSE),"")</f>
        <v/>
      </c>
      <c r="B30" s="459"/>
      <c r="C30" s="459"/>
      <c r="D30" s="460" t="str">
        <f ca="1">IFERROR(VLOOKUP(A28,OFFSET($AG$2,,,COUNTIF($AG$2:$AG$50,"?*"),23),19,FALSE),"")</f>
        <v/>
      </c>
      <c r="E30" s="460"/>
      <c r="F30" s="461"/>
      <c r="H30" s="462" t="str">
        <f>H$8</f>
        <v>TAT</v>
      </c>
      <c r="I30" s="462"/>
      <c r="J30" s="462"/>
      <c r="K30" s="462"/>
      <c r="M30" s="458" t="str">
        <f ca="1">IFERROR(VLOOKUP(M28,OFFSET($AG$2,,,COUNTIF($AG$2:$AG$50,"?*"),23),18,FALSE),"")</f>
        <v/>
      </c>
      <c r="N30" s="459"/>
      <c r="O30" s="459"/>
      <c r="P30" s="460" t="str">
        <f ca="1">IFERROR(VLOOKUP(M28,OFFSET($AG$2,,,COUNTIF($AG$2:$AG$50,"?*"),23),19,FALSE),"")</f>
        <v/>
      </c>
      <c r="Q30" s="460"/>
      <c r="R30" s="461"/>
      <c r="S30" s="111"/>
      <c r="AC30" s="102" t="str">
        <f t="shared" ca="1" si="0"/>
        <v/>
      </c>
      <c r="AG30" s="121" t="s">
        <v>450</v>
      </c>
      <c r="AH30" s="122"/>
      <c r="AI30" s="123"/>
      <c r="AJ30" s="123"/>
      <c r="AK30" s="123"/>
      <c r="AL30" s="124">
        <f>IF(AG30&lt;&gt;"",AJ30+AK30,"")</f>
        <v>0</v>
      </c>
      <c r="AM30" s="123" t="s">
        <v>282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417"/>
      <c r="BT30" s="104" t="s">
        <v>1360</v>
      </c>
      <c r="BU30" s="103">
        <v>4</v>
      </c>
      <c r="BV30" s="104" t="str">
        <f t="shared" si="13"/>
        <v>Martin Čermák</v>
      </c>
      <c r="BW30" s="102">
        <f t="shared" si="14"/>
        <v>4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/>
      </c>
      <c r="B31" s="447"/>
      <c r="C31" s="448"/>
      <c r="D31" s="449" t="str">
        <f ca="1">IFERROR(IF(VLOOKUP(A28,OFFSET($AG$2,,,COUNTIF($AG$2:$AG$50,"?*"),23),14,FALSE)&lt;&gt;0,VLOOKUP(A28,OFFSET($AG$2,,,COUNTIF($AG$2:$AG$50,"?*"),23),14,FALSE),"?"),"")</f>
        <v/>
      </c>
      <c r="E31" s="450"/>
      <c r="F31" s="7" t="str">
        <f ca="1">IFERROR(IF(VLOOKUP(A28,OFFSET($AG$2,,,COUNTIF($AG$2:$AG$50,"?*"),23),7,FALSE)&lt;&gt;0,VLOOKUP(A28,OFFSET($AG$2,,,COUNTIF($AG$2:$AG$50,"?*"),23),7,FALSE),"?"),"")</f>
        <v/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/>
      </c>
      <c r="N31" s="447"/>
      <c r="O31" s="448"/>
      <c r="P31" s="449" t="str">
        <f ca="1">IFERROR(IF(VLOOKUP(M28,OFFSET($AG$2,,,COUNTIF($AG$2:$AG$50,"?*"),23),14,FALSE)&lt;&gt;0,VLOOKUP(M28,OFFSET($AG$2,,,COUNTIF($AG$2:$AG$50,"?*"),23),14,FALSE),"?"),"")</f>
        <v/>
      </c>
      <c r="Q31" s="4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323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137</v>
      </c>
      <c r="AQ31" s="123">
        <v>183</v>
      </c>
      <c r="AR31" s="123">
        <v>81</v>
      </c>
      <c r="AS31" s="126" t="s">
        <v>459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417"/>
      <c r="BT31" s="104" t="s">
        <v>904</v>
      </c>
      <c r="BU31" s="103">
        <v>4</v>
      </c>
      <c r="BV31" s="104" t="str">
        <f t="shared" si="13"/>
        <v>Ondřej Němeček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9"/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7" t="s">
        <v>16</v>
      </c>
      <c r="J34" s="429"/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2" t="str">
        <f ca="1">IFERROR(IF(VLOOKUP(A34,OFFSET($AG$2,,,COUNTIF($AG$2:$AG$50,"?*"),23),2,FALSE)&lt;&gt;0,YEAR(VLOOKUP(A34,OFFSET($AG$2,,,COUNTIF($AG$2:$AG$50,"?*"),23),2,FALSE)),""),"")</f>
        <v/>
      </c>
      <c r="C35" s="423"/>
      <c r="D35" s="117" t="str">
        <f ca="1">IFERROR(VLOOKUP(A34,OFFSET($AG$2,,,COUNTIF($AG$2:$AG$50,"?*"),23),15,FALSE),"")</f>
        <v/>
      </c>
      <c r="E35" s="424" t="str">
        <f ca="1">IFERROR(VLOOKUP(A34,OFFSET($AG$2,,,COUNTIF($AG$2:$AG$50,"?*"),23),16,FALSE),"")</f>
        <v/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/>
      </c>
      <c r="K35" s="423" t="str">
        <f ca="1">IFERROR(IF(VLOOKUP(J34,OFFSET($AG$2,,,COUNTIF($AG$2:$AG$50,"?*"),23),2,FALSE)&lt;&gt;0,YEAR(VLOOKUP(J34,OFFSET($AG$2,,,COUNTIF($AG$2:$AG$50,"?*"),23),2,FALSE)),""),"")</f>
        <v/>
      </c>
      <c r="L35" s="431"/>
      <c r="M35" s="118" t="str">
        <f ca="1">IFERROR(VLOOKUP(J34,OFFSET($AG$2,,,COUNTIF($AG$2:$AG$50,"?*"),23),15,FALSE),"")</f>
        <v/>
      </c>
      <c r="N35" s="431" t="str">
        <f ca="1">IFERROR(VLOOKUP(J34,OFFSET($AG$2,,,COUNTIF($AG$2:$AG$50,"?*"),23),16,FALSE),"")</f>
        <v/>
      </c>
      <c r="O35" s="431"/>
      <c r="P35" s="431" t="str">
        <f ca="1">IFERROR(VLOOKUP(J34,OFFSET($AG$2,,,COUNTIF($AG$2:$AG$50,"?*"),23),18,FALSE),"")</f>
        <v/>
      </c>
      <c r="Q35" s="431"/>
      <c r="R35" s="43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6" t="str">
        <f ca="1">IFERROR(VLOOKUP(A34,OFFSET($AG$2,,,COUNTIF($AG$2:$AG$50,"?*"),23),18,FALSE),"")</f>
        <v/>
      </c>
      <c r="C36" s="426"/>
      <c r="D36" s="427" t="str">
        <f ca="1">IFERROR(VLOOKUP(A34,OFFSET($S$45,,,COUNTIF($S$45:$S$50,"?*"),14),5,FALSE),"")</f>
        <v/>
      </c>
      <c r="E36" s="428"/>
      <c r="F36" s="17" t="str">
        <f ca="1">IFERROR(VLOOKUP(A34,OFFSET($S$45,,,COUNTIF($S$45:$S$50,"?*"),14),14,FALSE),"")</f>
        <v/>
      </c>
      <c r="H36" s="457"/>
      <c r="J36" s="18" t="str">
        <f ca="1">IFERROR(IF(VLOOKUP(J34,OFFSET($AG$2,,,COUNTIF($AG$2:$AG$50,"?*"),23),7,FALSE)&lt;&gt;0,VLOOKUP(J34,OFFSET($AG$2,,,COUNTIF($AG$2:$AG$50,"?*"),23),7,FALSE),"?"),"")</f>
        <v/>
      </c>
      <c r="K36" s="433" t="str">
        <f ca="1">IFERROR(VLOOKUP(J34,OFFSET($AG$2,,,COUNTIF($AG$2:$AG$50,"?*"),23),19,FALSE),"")</f>
        <v/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/>
      </c>
      <c r="O36" s="434"/>
      <c r="P36" s="434"/>
      <c r="Q36" s="433" t="str">
        <f ca="1">IFERROR(IF(VLOOKUP(J34,OFFSET($AG$2,,,COUNTIF($AG$2:$AG$50,"?*"),23),14,FALSE)&lt;&gt;0,VLOOKUP(J34,OFFSET($AG$2,,,COUNTIF($AG$2:$AG$50,"?*"),23),14,FALSE),"?"),"")</f>
        <v/>
      </c>
      <c r="R36" s="43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1" t="str">
        <f ca="1">IFERROR(VLOOKUP(A34,OFFSET($S$45,,,COUNTIF($S$45:$S$50,"?*"),14),3,FALSE),"")</f>
        <v/>
      </c>
      <c r="B37" s="452"/>
      <c r="C37" s="453" t="str">
        <f ca="1">IFERROR(VLOOKUP(A34,OFFSET($S$45,,,COUNTIF($S$45:$S$50,"?*"),14),13,FALSE),"")</f>
        <v/>
      </c>
      <c r="D37" s="454"/>
      <c r="E37" s="455" t="str">
        <f ca="1">IFERROR(VLOOKUP(A34,OFFSET($AG$2,,,COUNTIF($AG$2:$AG$50,"?*"),23),19,FALSE),"")</f>
        <v/>
      </c>
      <c r="F37" s="456"/>
      <c r="H37" s="45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/>
      </c>
      <c r="B38" s="447"/>
      <c r="C38" s="448"/>
      <c r="D38" s="449" t="str">
        <f ca="1">IFERROR(IF(VLOOKUP(A34,OFFSET($AG$2,,,COUNTIF($AG$2:$AG$50,"?*"),23),14,FALSE)&lt;&gt;0,VLOOKUP(A34,OFFSET($AG$2,,,COUNTIF($AG$2:$AG$50,"?*"),23),14,FALSE),"?"),"")</f>
        <v/>
      </c>
      <c r="E38" s="450"/>
      <c r="F38" s="19" t="str">
        <f ca="1">IFERROR(VLOOKUP(A34,OFFSET($S$45,,,COUNTIF($S$45:$S$50,"?*"),14),6,FALSE),"")</f>
        <v/>
      </c>
      <c r="H38" s="457"/>
      <c r="J38" s="429"/>
      <c r="K38" s="430"/>
      <c r="L38" s="430"/>
      <c r="M38" s="430"/>
      <c r="N38" s="430"/>
      <c r="O38" s="430"/>
      <c r="P38" s="4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/>
      </c>
      <c r="K39" s="423" t="str">
        <f ca="1">IFERROR(IF(VLOOKUP(J38,OFFSET($AG$2,,,COUNTIF($AG$2:$AG$50,"?*"),23),2,FALSE)&lt;&gt;0,YEAR(VLOOKUP(J38,OFFSET($AG$2,,,COUNTIF($AG$2:$AG$50,"?*"),23),2,FALSE)),""),"")</f>
        <v/>
      </c>
      <c r="L39" s="431"/>
      <c r="M39" s="150" t="str">
        <f ca="1">IFERROR(VLOOKUP(J38,OFFSET($AG$2,,,COUNTIF($AG$2:$AG$50,"?*"),23),15,FALSE),"")</f>
        <v/>
      </c>
      <c r="N39" s="431" t="str">
        <f ca="1">IFERROR(VLOOKUP(J38,OFFSET($AG$2,,,COUNTIF($AG$2:$AG$50,"?*"),23),16,FALSE),"")</f>
        <v/>
      </c>
      <c r="O39" s="431"/>
      <c r="P39" s="431" t="str">
        <f ca="1">IFERROR(VLOOKUP(J38,OFFSET($AG$2,,,COUNTIF($AG$2:$AG$50,"?*"),23),18,FALSE),"")</f>
        <v/>
      </c>
      <c r="Q39" s="431"/>
      <c r="R39" s="43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9"/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7"/>
      <c r="J40" s="18" t="str">
        <f ca="1">IFERROR(IF(VLOOKUP(J38,OFFSET($AG$2,,,COUNTIF($AG$2:$AG$50,"?*"),23),7,FALSE)&lt;&gt;0,VLOOKUP(J38,OFFSET($AG$2,,,COUNTIF($AG$2:$AG$50,"?*"),23),7,FALSE),"?"),"")</f>
        <v/>
      </c>
      <c r="K40" s="433" t="str">
        <f ca="1">IFERROR(VLOOKUP(J38,OFFSET($AG$2,,,COUNTIF($AG$2:$AG$50,"?*"),23),19,FALSE),"")</f>
        <v/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/>
      </c>
      <c r="O40" s="434"/>
      <c r="P40" s="434"/>
      <c r="Q40" s="433" t="str">
        <f ca="1">IFERROR(IF(VLOOKUP(J38,OFFSET($AG$2,,,COUNTIF($AG$2:$AG$50,"?*"),23),14,FALSE)&lt;&gt;0,VLOOKUP(J38,OFFSET($AG$2,,,COUNTIF($AG$2:$AG$50,"?*"),23),14,FALSE),"?"),"")</f>
        <v/>
      </c>
      <c r="R40" s="43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2" t="str">
        <f ca="1">IFERROR(IF(VLOOKUP(A40,OFFSET($AG$2,,,COUNTIF($AG$2:$AG$50,"?*"),23),2,FALSE)&lt;&gt;0,YEAR(VLOOKUP(A40,OFFSET($AG$2,,,COUNTIF($AG$2:$AG$50,"?*"),23),2,FALSE)),""),"")</f>
        <v/>
      </c>
      <c r="C41" s="423"/>
      <c r="D41" s="117" t="str">
        <f ca="1">IFERROR(VLOOKUP(A40,OFFSET($AG$2,,,COUNTIF($AG$2:$AG$50,"?*"),23),15,FALSE),"")</f>
        <v/>
      </c>
      <c r="E41" s="424" t="str">
        <f ca="1">IFERROR(VLOOKUP(A40,OFFSET($AG$2,,,COUNTIF($AG$2:$AG$50,"?*"),23),16,FALSE),"")</f>
        <v/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6" t="str">
        <f ca="1">IFERROR(VLOOKUP(A40,OFFSET($AG$2,,,COUNTIF($AG$2:$AG$50,"?*"),23),18,FALSE),"")</f>
        <v/>
      </c>
      <c r="C42" s="426"/>
      <c r="D42" s="427" t="str">
        <f ca="1">IFERROR(VLOOKUP(A40,OFFSET($S$45,,,COUNTIF($S$45:$S$50,"?*"),14),5,FALSE),"")</f>
        <v/>
      </c>
      <c r="E42" s="428"/>
      <c r="F42" s="17" t="str">
        <f ca="1">IFERROR(VLOOKUP(A40,OFFSET($S$45,,,COUNTIF($S$45:$S$50,"?*"),14),14,FALSE),"")</f>
        <v/>
      </c>
      <c r="H42" s="457"/>
      <c r="J42" s="429"/>
      <c r="K42" s="430"/>
      <c r="L42" s="430"/>
      <c r="M42" s="430"/>
      <c r="N42" s="430"/>
      <c r="O42" s="430"/>
      <c r="P42" s="4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1" t="str">
        <f ca="1">IFERROR(VLOOKUP(A40,OFFSET($S$45,,,COUNTIF($S$45:$S$50,"?*"),14),3,FALSE),"")</f>
        <v/>
      </c>
      <c r="B43" s="452"/>
      <c r="C43" s="453" t="str">
        <f ca="1">IFERROR(VLOOKUP(A40,OFFSET($S$45,,,COUNTIF($S$45:$S$50,"?*"),14),13,FALSE),"")</f>
        <v/>
      </c>
      <c r="D43" s="454"/>
      <c r="E43" s="455" t="str">
        <f ca="1">IFERROR(VLOOKUP(A40,OFFSET($AG$2,,,COUNTIF($AG$2:$AG$50,"?*"),23),19,FALSE),"")</f>
        <v/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/>
      </c>
      <c r="K43" s="423" t="str">
        <f ca="1">IFERROR(IF(VLOOKUP(J42,OFFSET($AG$2,,,COUNTIF($AG$2:$AG$50,"?*"),23),2,FALSE)&lt;&gt;0,YEAR(VLOOKUP(J42,OFFSET($AG$2,,,COUNTIF($AG$2:$AG$50,"?*"),23),2,FALSE)),""),"")</f>
        <v/>
      </c>
      <c r="L43" s="431"/>
      <c r="M43" s="150" t="str">
        <f ca="1">IFERROR(VLOOKUP(J42,OFFSET($AG$2,,,COUNTIF($AG$2:$AG$50,"?*"),23),15,FALSE),"")</f>
        <v/>
      </c>
      <c r="N43" s="431" t="str">
        <f ca="1">IFERROR(VLOOKUP(J42,OFFSET($AG$2,,,COUNTIF($AG$2:$AG$50,"?*"),23),16,FALSE),"")</f>
        <v/>
      </c>
      <c r="O43" s="431"/>
      <c r="P43" s="431" t="str">
        <f ca="1">IFERROR(VLOOKUP(J42,OFFSET($AG$2,,,COUNTIF($AG$2:$AG$50,"?*"),23),18,FALSE),"")</f>
        <v/>
      </c>
      <c r="Q43" s="431"/>
      <c r="R43" s="432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/>
      </c>
      <c r="B44" s="447"/>
      <c r="C44" s="448"/>
      <c r="D44" s="449" t="str">
        <f ca="1">IFERROR(IF(VLOOKUP(A40,OFFSET($AG$2,,,COUNTIF($AG$2:$AG$50,"?*"),23),14,FALSE)&lt;&gt;0,VLOOKUP(A40,OFFSET($AG$2,,,COUNTIF($AG$2:$AG$50,"?*"),23),14,FALSE),"?"),"")</f>
        <v/>
      </c>
      <c r="E44" s="450"/>
      <c r="F44" s="19" t="str">
        <f ca="1">IFERROR(VLOOKUP(A40,OFFSET($S$45,,,COUNTIF($S$45:$S$50,"?*"),14),6,FALSE),"")</f>
        <v/>
      </c>
      <c r="H44" s="457"/>
      <c r="J44" s="18" t="str">
        <f ca="1">IFERROR(IF(VLOOKUP(J42,OFFSET($AG$2,,,COUNTIF($AG$2:$AG$50,"?*"),23),7,FALSE)&lt;&gt;0,VLOOKUP(J42,OFFSET($AG$2,,,COUNTIF($AG$2:$AG$50,"?*"),23),7,FALSE),"?"),"")</f>
        <v/>
      </c>
      <c r="K44" s="433" t="str">
        <f ca="1">IFERROR(VLOOKUP(J42,OFFSET($AG$2,,,COUNTIF($AG$2:$AG$50,"?*"),23),19,FALSE),"")</f>
        <v/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/>
      </c>
      <c r="O44" s="434"/>
      <c r="P44" s="434"/>
      <c r="Q44" s="433" t="str">
        <f ca="1">IFERROR(IF(VLOOKUP(J42,OFFSET($AG$2,,,COUNTIF($AG$2:$AG$50,"?*"),23),14,FALSE)&lt;&gt;0,VLOOKUP(J42,OFFSET($AG$2,,,COUNTIF($AG$2:$AG$50,"?*"),23),14,FALSE),"?"),"")</f>
        <v/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427</v>
      </c>
      <c r="T45" s="102">
        <v>9</v>
      </c>
      <c r="U45" s="112">
        <v>499.92</v>
      </c>
      <c r="V45" s="102">
        <v>9</v>
      </c>
      <c r="W45" s="102">
        <v>33</v>
      </c>
      <c r="X45" s="102">
        <v>0</v>
      </c>
      <c r="Y45" s="102">
        <v>182</v>
      </c>
      <c r="Z45" s="102">
        <v>0</v>
      </c>
      <c r="AA45" s="102">
        <v>0</v>
      </c>
      <c r="AB45" s="102">
        <v>149</v>
      </c>
      <c r="AC45" s="102">
        <v>0</v>
      </c>
      <c r="AD45" s="102">
        <v>0</v>
      </c>
      <c r="AE45" s="112">
        <f>IF(S45&lt;&gt;"",IF(T45&gt;0,W45/(U45/60),0),"")</f>
        <v>3.9606337013922226</v>
      </c>
      <c r="AF45" s="112">
        <f>IF(S45&lt;&gt;"",IF(Y45&gt;0,(AB45/Y45)*100,"-"),"")</f>
        <v>81.868131868131869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431</v>
      </c>
      <c r="T46" s="102">
        <v>1</v>
      </c>
      <c r="U46" s="112">
        <v>40</v>
      </c>
      <c r="V46" s="102">
        <v>1</v>
      </c>
      <c r="W46" s="102">
        <v>1</v>
      </c>
      <c r="X46" s="102">
        <v>0</v>
      </c>
      <c r="Y46" s="102">
        <v>8</v>
      </c>
      <c r="Z46" s="102">
        <v>0</v>
      </c>
      <c r="AA46" s="102">
        <v>0</v>
      </c>
      <c r="AB46" s="102">
        <v>7</v>
      </c>
      <c r="AC46" s="102">
        <v>0</v>
      </c>
      <c r="AD46" s="102">
        <v>0</v>
      </c>
      <c r="AE46" s="112">
        <f t="shared" ref="AE46:AE50" si="23">IF(S46&lt;&gt;"",IF(T46&gt;0,W46/(U46/60),0),"")</f>
        <v>1.5</v>
      </c>
      <c r="AF46" s="112">
        <f t="shared" ref="AF46:AF50" si="24">IF(S46&lt;&gt;"",IF(Y46&gt;0,(AB46/Y46)*100,"-"),"")</f>
        <v>87.5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8"/>
      <c r="B47" s="419"/>
      <c r="C47" s="419"/>
      <c r="D47" s="419"/>
      <c r="E47" s="420" t="str">
        <f ca="1">IFERROR(VLOOKUP(A47,OFFSET($BN$2,,,COUNTIF($BN$2:$BN$11,"?*"),5),3,FALSE),"")</f>
        <v/>
      </c>
      <c r="F47" s="420"/>
      <c r="G47" s="420"/>
      <c r="H47" s="420"/>
      <c r="I47" s="421"/>
      <c r="J47" s="418"/>
      <c r="K47" s="419"/>
      <c r="L47" s="419"/>
      <c r="M47" s="419"/>
      <c r="N47" s="420" t="str">
        <f ca="1">IFERROR(VLOOKUP(J47,OFFSET($BN$2,,,COUNTIF($BN$2:$BN$11,"?*"),5),3,FALSE),"")</f>
        <v/>
      </c>
      <c r="O47" s="420"/>
      <c r="P47" s="420"/>
      <c r="Q47" s="420"/>
      <c r="R47" s="421"/>
      <c r="S47" s="111" t="s">
        <v>440</v>
      </c>
      <c r="T47" s="102">
        <v>2</v>
      </c>
      <c r="U47" s="112">
        <v>117.15</v>
      </c>
      <c r="V47" s="102">
        <v>1</v>
      </c>
      <c r="W47" s="102">
        <v>7</v>
      </c>
      <c r="X47" s="102">
        <v>0</v>
      </c>
      <c r="Y47" s="102">
        <v>33</v>
      </c>
      <c r="Z47" s="102">
        <v>0</v>
      </c>
      <c r="AA47" s="102">
        <v>1</v>
      </c>
      <c r="AB47" s="102">
        <v>26</v>
      </c>
      <c r="AC47" s="102">
        <v>0</v>
      </c>
      <c r="AD47" s="102">
        <v>0</v>
      </c>
      <c r="AE47" s="112">
        <f t="shared" si="23"/>
        <v>3.5851472471190777</v>
      </c>
      <c r="AF47" s="112">
        <f t="shared" si="24"/>
        <v>78.787878787878782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6" t="str">
        <f ca="1">IFERROR(VLOOKUP(A47,OFFSET($BN$2,,,COUNTIF($BN$2:$BN$11,"?*"),5),5,FALSE),"")</f>
        <v/>
      </c>
      <c r="B48" s="438" t="str">
        <f ca="1">IFERROR(IF(VLOOKUP(A47,OFFSET($BN$2,,,COUNTIF($BN$2:$BN$11,"?*"),5),4,FALSE)&lt;&gt;0,VLOOKUP(A47,OFFSET($BN$2,,,COUNTIF($BN$2:$BN$11,"?*"),5),4,FALSE),"-"),"")</f>
        <v/>
      </c>
      <c r="C48" s="438"/>
      <c r="D48" s="438"/>
      <c r="E48" s="438"/>
      <c r="F48" s="438"/>
      <c r="G48" s="438"/>
      <c r="H48" s="438"/>
      <c r="I48" s="439"/>
      <c r="J48" s="119" t="str">
        <f ca="1">IFERROR(VLOOKUP(J47,OFFSET($BN$2,,,COUNTIF($BN$2:$BN$11,"?*"),5),5,FALSE),"")</f>
        <v/>
      </c>
      <c r="K48" s="442" t="str">
        <f ca="1">IFERROR(IF(VLOOKUP(J47,OFFSET($BN$2,,,COUNTIF($BN$2:$BN$11,"?*"),5),4,FALSE)&lt;&gt;0,VLOOKUP(J47,OFFSET($BN$2,,,COUNTIF($BN$2:$BN$11,"?*"),5),4,FALSE),"-"),"")</f>
        <v/>
      </c>
      <c r="L48" s="442"/>
      <c r="M48" s="442"/>
      <c r="N48" s="442"/>
      <c r="O48" s="442"/>
      <c r="P48" s="442"/>
      <c r="Q48" s="442"/>
      <c r="R48" s="443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/>
      <c r="K49" s="445"/>
      <c r="L49" s="445"/>
      <c r="M49" s="445"/>
      <c r="N49" s="420" t="str">
        <f ca="1">IFERROR(VLOOKUP(J49,OFFSET($BN$2,,,COUNTIF($BN$2:$BN$11,"?*"),5),3,FALSE),"")</f>
        <v/>
      </c>
      <c r="O49" s="420"/>
      <c r="P49" s="420"/>
      <c r="Q49" s="420"/>
      <c r="R49" s="42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119" t="str">
        <f ca="1">IFERROR(VLOOKUP(J49,OFFSET($BN$2,,,COUNTIF($BN$2:$BN$11,"?*"),5),5,FALSE),"")</f>
        <v/>
      </c>
      <c r="K50" s="442" t="str">
        <f ca="1">IFERROR(IF(VLOOKUP(J49,OFFSET($BN$2,,,COUNTIF($BN$2:$BN$11,"?*"),5),4,FALSE)&lt;&gt;0,VLOOKUP(J49,OFFSET($BN$2,,,COUNTIF($BN$2:$BN$11,"?*"),5),4,FALSE),"-"),"")</f>
        <v/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2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2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2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2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List7">
    <tabColor theme="8" tint="-0.499984740745262"/>
  </sheetPr>
  <dimension ref="A1:CA51"/>
  <sheetViews>
    <sheetView view="pageLayout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429"/>
      <c r="B1" s="430"/>
      <c r="C1" s="430"/>
      <c r="D1" s="43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463" t="s">
        <v>1</v>
      </c>
      <c r="I1" s="463"/>
      <c r="J1" s="463"/>
      <c r="K1" s="463"/>
      <c r="M1" s="429"/>
      <c r="N1" s="430"/>
      <c r="O1" s="430"/>
      <c r="P1" s="43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115</v>
      </c>
      <c r="T1" s="98" t="s">
        <v>116</v>
      </c>
      <c r="U1" s="98" t="s">
        <v>78</v>
      </c>
      <c r="V1" s="98" t="s">
        <v>105</v>
      </c>
      <c r="W1" s="98" t="s">
        <v>79</v>
      </c>
      <c r="X1" s="98" t="s">
        <v>53</v>
      </c>
      <c r="Y1" s="98" t="s">
        <v>117</v>
      </c>
      <c r="Z1" s="98" t="s">
        <v>42</v>
      </c>
      <c r="AA1" s="98" t="s">
        <v>31</v>
      </c>
      <c r="AB1" s="98" t="s">
        <v>118</v>
      </c>
      <c r="AC1" s="98" t="s">
        <v>249</v>
      </c>
      <c r="AG1" s="96" t="s">
        <v>115</v>
      </c>
      <c r="AH1" s="97" t="s">
        <v>124</v>
      </c>
      <c r="AI1" s="98" t="s">
        <v>125</v>
      </c>
      <c r="AJ1" s="98" t="s">
        <v>126</v>
      </c>
      <c r="AK1" s="98" t="s">
        <v>127</v>
      </c>
      <c r="AL1" s="98" t="s">
        <v>128</v>
      </c>
      <c r="AM1" s="98" t="s">
        <v>135</v>
      </c>
      <c r="AN1" s="98" t="s">
        <v>47</v>
      </c>
      <c r="AO1" s="99" t="s">
        <v>129</v>
      </c>
      <c r="AP1" s="99" t="s">
        <v>130</v>
      </c>
      <c r="AQ1" s="98" t="s">
        <v>131</v>
      </c>
      <c r="AR1" s="98" t="s">
        <v>132</v>
      </c>
      <c r="AS1" s="99" t="s">
        <v>133</v>
      </c>
      <c r="AT1" s="98" t="s">
        <v>134</v>
      </c>
      <c r="AU1" s="99" t="s">
        <v>136</v>
      </c>
      <c r="AV1" s="99" t="s">
        <v>170</v>
      </c>
      <c r="AW1" s="98" t="s">
        <v>157</v>
      </c>
      <c r="AX1" s="98" t="s">
        <v>165</v>
      </c>
      <c r="AY1" s="98" t="s">
        <v>171</v>
      </c>
      <c r="AZ1" s="85" t="s">
        <v>166</v>
      </c>
      <c r="BA1" s="85" t="s">
        <v>167</v>
      </c>
      <c r="BB1" s="63" t="s">
        <v>168</v>
      </c>
      <c r="BC1" s="63" t="s">
        <v>169</v>
      </c>
      <c r="BD1" s="63" t="s">
        <v>154</v>
      </c>
      <c r="BE1" s="85" t="s">
        <v>155</v>
      </c>
      <c r="BF1" s="63" t="s">
        <v>156</v>
      </c>
      <c r="BG1" s="63" t="s">
        <v>161</v>
      </c>
      <c r="BH1" s="63" t="s">
        <v>158</v>
      </c>
      <c r="BI1" s="63" t="s">
        <v>162</v>
      </c>
      <c r="BJ1" s="63" t="s">
        <v>159</v>
      </c>
      <c r="BK1" s="63" t="s">
        <v>163</v>
      </c>
      <c r="BL1" s="63" t="s">
        <v>160</v>
      </c>
      <c r="BM1" s="63" t="s">
        <v>164</v>
      </c>
      <c r="BN1" s="86" t="s">
        <v>115</v>
      </c>
      <c r="BO1" s="87" t="s">
        <v>124</v>
      </c>
      <c r="BP1" s="63" t="s">
        <v>172</v>
      </c>
      <c r="BQ1" s="63" t="s">
        <v>173</v>
      </c>
      <c r="BR1" s="99" t="s">
        <v>136</v>
      </c>
      <c r="BS1" s="99" t="s">
        <v>184</v>
      </c>
      <c r="BT1" s="109" t="s">
        <v>115</v>
      </c>
      <c r="BU1" s="99" t="s">
        <v>185</v>
      </c>
      <c r="BV1" s="109" t="s">
        <v>186</v>
      </c>
      <c r="BW1" s="99" t="s">
        <v>187</v>
      </c>
      <c r="BX1" s="99" t="s">
        <v>189</v>
      </c>
      <c r="BY1" s="99" t="s">
        <v>46</v>
      </c>
      <c r="BZ1" s="99" t="s">
        <v>190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422" t="str">
        <f ca="1">IFERROR(IF(VLOOKUP(A1,OFFSET($AG$2,,,COUNTIF($AG$2:$AG$50,"?*"),23),2,FALSE)&lt;&gt;0,YEAR(VLOOKUP(A1,OFFSET($AG$2,,,COUNTIF($AG$2:$AG$50,"?*"),23),2,FALSE)),""),"")</f>
        <v/>
      </c>
      <c r="C2" s="423"/>
      <c r="D2" s="117" t="str">
        <f ca="1">IFERROR(VLOOKUP(A1,OFFSET($AG$2,,,COUNTIF($AG$2:$AG$50,"?*"),23),15,FALSE),"")</f>
        <v/>
      </c>
      <c r="E2" s="424" t="str">
        <f ca="1">IFERROR(VLOOKUP(A1,OFFSET($AG$2,,,COUNTIF($AG$2:$AG$50,"?*"),23),16,FALSE),"")</f>
        <v/>
      </c>
      <c r="F2" s="425"/>
      <c r="M2" s="4" t="str">
        <f ca="1">IFERROR(IF(VLOOKUP(M1,OFFSET($AG$2,,,COUNTIF($AG$2:$AG$50,"?*"),23),10,FALSE)&lt;&gt;0,VLOOKUP(M1,OFFSET($AG$2,,,COUNTIF($AG$2:$AG$50,"?*"),23),10,FALSE),""),"")</f>
        <v/>
      </c>
      <c r="N2" s="422" t="str">
        <f ca="1">IFERROR(IF(VLOOKUP(M1,OFFSET($AG$2,,,COUNTIF($AG$2:$AG$50,"?*"),23),2,FALSE)&lt;&gt;0,YEAR(VLOOKUP(M1,OFFSET($AG$2,,,COUNTIF($AG$2:$AG$50,"?*"),23),2,FALSE)),""),"")</f>
        <v/>
      </c>
      <c r="O2" s="423"/>
      <c r="P2" s="117" t="str">
        <f ca="1">IFERROR(VLOOKUP(M1,OFFSET($AG$2,,,COUNTIF($AG$2:$AG$50,"?*"),23),15,FALSE),"")</f>
        <v/>
      </c>
      <c r="Q2" s="424" t="str">
        <f ca="1">IFERROR(VLOOKUP(M1,OFFSET($AG$2,,,COUNTIF($AG$2:$AG$50,"?*"),23),16,FALSE),"")</f>
        <v/>
      </c>
      <c r="R2" s="425"/>
      <c r="S2" s="110" t="s">
        <v>312</v>
      </c>
      <c r="T2" s="102" t="s">
        <v>107</v>
      </c>
      <c r="U2" s="102">
        <v>10</v>
      </c>
      <c r="V2" s="102">
        <v>16</v>
      </c>
      <c r="W2" s="102">
        <v>2</v>
      </c>
      <c r="X2" s="102">
        <v>0</v>
      </c>
      <c r="Y2" s="102">
        <v>11</v>
      </c>
      <c r="Z2" s="102">
        <v>27</v>
      </c>
      <c r="AA2" s="102">
        <v>2</v>
      </c>
      <c r="AB2" s="102">
        <v>19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329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137</v>
      </c>
      <c r="AQ2" s="123">
        <v>179</v>
      </c>
      <c r="AR2" s="123">
        <v>76</v>
      </c>
      <c r="AS2" s="126" t="s">
        <v>342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11 OZ, 12 (8+4), +21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138 OZ, 103 (46+57)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358</v>
      </c>
      <c r="BO2" s="122">
        <v>31830</v>
      </c>
      <c r="BP2" s="131" t="s">
        <v>236</v>
      </c>
      <c r="BQ2" s="132" t="s">
        <v>359</v>
      </c>
      <c r="BR2" s="127">
        <f ca="1">IF(BN2&lt;&gt;"",IF(BO2&lt;&gt;"",INT((TODAY()-BO2)/365),"?"),"")</f>
        <v>34</v>
      </c>
      <c r="BS2" s="417" t="s">
        <v>36</v>
      </c>
      <c r="BT2" s="104" t="s">
        <v>365</v>
      </c>
      <c r="BU2" s="103">
        <v>27</v>
      </c>
      <c r="BV2" s="104" t="str">
        <f>IFERROR(RIGHT(BT2,LEN(BT2)-SEARCH(" ",BT2)),"")</f>
        <v>Adam Delong</v>
      </c>
      <c r="BW2" s="102">
        <f>IF(BT2&lt;&gt;0,_xlfn.NUMBERVALUE(BU2,","),"")</f>
        <v>27</v>
      </c>
      <c r="BX2" s="416" t="s">
        <v>192</v>
      </c>
      <c r="BY2" s="103" t="s">
        <v>861</v>
      </c>
      <c r="BZ2" s="103" t="s">
        <v>857</v>
      </c>
      <c r="CA2" s="115" t="s">
        <v>533</v>
      </c>
    </row>
    <row r="3" spans="1:79" ht="15" customHeight="1" thickTop="1" thickBot="1" x14ac:dyDescent="0.25">
      <c r="A3" s="458" t="str">
        <f ca="1">IFERROR(VLOOKUP(A1,OFFSET($AG$2,,,COUNTIF($AG$2:$AG$50,"?*"),23),18,FALSE),"")</f>
        <v/>
      </c>
      <c r="B3" s="459"/>
      <c r="C3" s="459"/>
      <c r="D3" s="460" t="str">
        <f ca="1">IFERROR(VLOOKUP(A1,OFFSET($AG$2,,,COUNTIF($AG$2:$AG$50,"?*"),23),19,FALSE),"")</f>
        <v/>
      </c>
      <c r="E3" s="460"/>
      <c r="F3" s="461"/>
      <c r="G3" s="429"/>
      <c r="H3" s="430"/>
      <c r="I3" s="430"/>
      <c r="J3" s="43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458" t="str">
        <f ca="1">IFERROR(VLOOKUP(M1,OFFSET($AG$2,,,COUNTIF($AG$2:$AG$50,"?*"),23),18,FALSE),"")</f>
        <v/>
      </c>
      <c r="N3" s="459"/>
      <c r="O3" s="459"/>
      <c r="P3" s="460" t="str">
        <f ca="1">IFERROR(VLOOKUP(M1,OFFSET($AG$2,,,COUNTIF($AG$2:$AG$50,"?*"),23),19,FALSE),"")</f>
        <v/>
      </c>
      <c r="Q3" s="460"/>
      <c r="R3" s="461"/>
      <c r="S3" s="110" t="s">
        <v>315</v>
      </c>
      <c r="T3" s="102" t="s">
        <v>107</v>
      </c>
      <c r="U3" s="102">
        <v>11</v>
      </c>
      <c r="V3" s="102">
        <v>10</v>
      </c>
      <c r="W3" s="102">
        <v>0</v>
      </c>
      <c r="X3" s="102">
        <v>0</v>
      </c>
      <c r="Y3" s="102">
        <v>13</v>
      </c>
      <c r="Z3" s="102">
        <v>23</v>
      </c>
      <c r="AA3" s="102">
        <v>0</v>
      </c>
      <c r="AB3" s="102">
        <v>19</v>
      </c>
      <c r="AC3" s="102" t="str">
        <f t="shared" ca="1" si="0"/>
        <v>ANO</v>
      </c>
      <c r="AG3" s="121" t="s">
        <v>319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137</v>
      </c>
      <c r="AQ3" s="123">
        <v>183</v>
      </c>
      <c r="AR3" s="123">
        <v>72</v>
      </c>
      <c r="AS3" s="126" t="s">
        <v>343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11 OZ, 13 (11+2), +8 ±</v>
      </c>
      <c r="AY3" s="129" t="str">
        <f t="shared" ca="1" si="2"/>
        <v>181 OZ, 168 (133+35)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360</v>
      </c>
      <c r="BO3" s="122">
        <v>33988</v>
      </c>
      <c r="BP3" s="131" t="s">
        <v>237</v>
      </c>
      <c r="BQ3" s="132"/>
      <c r="BR3" s="127">
        <f t="shared" ref="BR3:BR11" ca="1" si="12">IF(BN3&lt;&gt;"",IF(BO3&lt;&gt;"",INT((TODAY()-BO3)/365),"?"),"")</f>
        <v>28</v>
      </c>
      <c r="BS3" s="417"/>
      <c r="BT3" s="104" t="s">
        <v>909</v>
      </c>
      <c r="BU3" s="103">
        <v>23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23</v>
      </c>
      <c r="BX3" s="416"/>
      <c r="BY3" s="103" t="s">
        <v>841</v>
      </c>
      <c r="BZ3" s="103" t="s">
        <v>868</v>
      </c>
      <c r="CA3" s="115" t="s">
        <v>761</v>
      </c>
    </row>
    <row r="4" spans="1:79" ht="15" customHeight="1" thickBot="1" x14ac:dyDescent="0.25">
      <c r="A4" s="446" t="str">
        <f ca="1">IFERROR(IF(VLOOKUP(A1,OFFSET($AG$2,,,COUNTIF($AG$2:$AG$50,"?*"),23),13,FALSE)&lt;&gt;0,VLOOKUP(A1,OFFSET($AG$2,,,COUNTIF($AG$2:$AG$50,"?*"),23),13,FALSE),"?"),"")</f>
        <v/>
      </c>
      <c r="B4" s="447"/>
      <c r="C4" s="448"/>
      <c r="D4" s="449" t="str">
        <f ca="1">IFERROR(IF(VLOOKUP(A1,OFFSET($AG$2,,,COUNTIF($AG$2:$AG$50,"?*"),23),14,FALSE)&lt;&gt;0,VLOOKUP(A1,OFFSET($AG$2,,,COUNTIF($AG$2:$AG$50,"?*"),23),14,FALSE),"?"),"")</f>
        <v/>
      </c>
      <c r="E4" s="45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422" t="str">
        <f ca="1">IFERROR(IF(VLOOKUP(G3,OFFSET($AG$2,,,COUNTIF($AG$2:$AG$50,"?*"),23),2,FALSE)&lt;&gt;0,YEAR(VLOOKUP(G3,OFFSET($AG$2,,,COUNTIF($AG$2:$AG$50,"?*"),23),2,FALSE)),""),"")</f>
        <v/>
      </c>
      <c r="I4" s="423"/>
      <c r="J4" s="117" t="str">
        <f ca="1">IFERROR(VLOOKUP(G3,OFFSET($AG$2,,,COUNTIF($AG$2:$AG$50,"?*"),23),15,FALSE),"")</f>
        <v/>
      </c>
      <c r="K4" s="424" t="str">
        <f ca="1">IFERROR(VLOOKUP(G3,OFFSET($AG$2,,,COUNTIF($AG$2:$AG$50,"?*"),23),16,FALSE),"")</f>
        <v/>
      </c>
      <c r="L4" s="425"/>
      <c r="M4" s="446" t="str">
        <f ca="1">IFERROR(IF(VLOOKUP(M1,OFFSET($AG$2,,,COUNTIF($AG$2:$AG$50,"?*"),23),13,FALSE)&lt;&gt;0,VLOOKUP(M1,OFFSET($AG$2,,,COUNTIF($AG$2:$AG$50,"?*"),23),13,FALSE),"?"),"")</f>
        <v/>
      </c>
      <c r="N4" s="447"/>
      <c r="O4" s="448"/>
      <c r="P4" s="449" t="str">
        <f ca="1">IFERROR(IF(VLOOKUP(M1,OFFSET($AG$2,,,COUNTIF($AG$2:$AG$50,"?*"),23),14,FALSE)&lt;&gt;0,VLOOKUP(M1,OFFSET($AG$2,,,COUNTIF($AG$2:$AG$50,"?*"),23),14,FALSE),"?"),"")</f>
        <v/>
      </c>
      <c r="Q4" s="45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313</v>
      </c>
      <c r="T4" s="102" t="s">
        <v>107</v>
      </c>
      <c r="U4" s="102">
        <v>11</v>
      </c>
      <c r="V4" s="102">
        <v>14</v>
      </c>
      <c r="W4" s="102">
        <v>1</v>
      </c>
      <c r="X4" s="102">
        <v>0</v>
      </c>
      <c r="Y4" s="102">
        <v>5</v>
      </c>
      <c r="Z4" s="102">
        <v>19</v>
      </c>
      <c r="AA4" s="102">
        <v>4</v>
      </c>
      <c r="AB4" s="102">
        <v>10</v>
      </c>
      <c r="AC4" s="102" t="str">
        <f t="shared" ca="1" si="0"/>
        <v>ANO</v>
      </c>
      <c r="AG4" s="121" t="s">
        <v>314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137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11 OZ, 6 (4+2), +7 ±</v>
      </c>
      <c r="AY4" s="129" t="str">
        <f t="shared" ca="1" si="2"/>
        <v>75 OZ, 46 (22+24)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361</v>
      </c>
      <c r="BO4" s="122">
        <v>35289</v>
      </c>
      <c r="BP4" s="131" t="s">
        <v>362</v>
      </c>
      <c r="BQ4" s="132"/>
      <c r="BR4" s="127">
        <f t="shared" ca="1" si="12"/>
        <v>25</v>
      </c>
      <c r="BS4" s="417"/>
      <c r="BT4" s="104" t="s">
        <v>824</v>
      </c>
      <c r="BU4" s="103">
        <v>19</v>
      </c>
      <c r="BV4" s="104" t="str">
        <f t="shared" si="13"/>
        <v>Rostislav Gattnar</v>
      </c>
      <c r="BW4" s="102">
        <f t="shared" si="14"/>
        <v>19</v>
      </c>
      <c r="BX4" s="416"/>
      <c r="BY4" s="103" t="s">
        <v>839</v>
      </c>
      <c r="BZ4" s="103" t="s">
        <v>869</v>
      </c>
      <c r="CA4" s="115" t="s">
        <v>882</v>
      </c>
    </row>
    <row r="5" spans="1:79" ht="15" customHeight="1" thickTop="1" thickBot="1" x14ac:dyDescent="0.25">
      <c r="A5" s="8"/>
      <c r="B5" s="8"/>
      <c r="C5" s="8"/>
      <c r="D5" s="8"/>
      <c r="G5" s="458" t="str">
        <f ca="1">IFERROR(VLOOKUP(G3,OFFSET($AG$2,,,COUNTIF($AG$2:$AG$50,"?*"),23),18,FALSE),"")</f>
        <v/>
      </c>
      <c r="H5" s="459"/>
      <c r="I5" s="459"/>
      <c r="J5" s="460" t="str">
        <f ca="1">IFERROR(VLOOKUP(G3,OFFSET($AG$2,,,COUNTIF($AG$2:$AG$50,"?*"),23),19,FALSE),"")</f>
        <v/>
      </c>
      <c r="K5" s="460"/>
      <c r="L5" s="461"/>
      <c r="S5" s="110" t="s">
        <v>316</v>
      </c>
      <c r="T5" s="102" t="s">
        <v>107</v>
      </c>
      <c r="U5" s="102">
        <v>9</v>
      </c>
      <c r="V5" s="102">
        <v>5</v>
      </c>
      <c r="W5" s="102">
        <v>0</v>
      </c>
      <c r="X5" s="102">
        <v>0</v>
      </c>
      <c r="Y5" s="102">
        <v>11</v>
      </c>
      <c r="Z5" s="102">
        <v>16</v>
      </c>
      <c r="AA5" s="102">
        <v>2</v>
      </c>
      <c r="AB5" s="102">
        <v>12</v>
      </c>
      <c r="AC5" s="102" t="str">
        <f t="shared" ca="1" si="0"/>
        <v>ANO</v>
      </c>
      <c r="AG5" s="121" t="s">
        <v>312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137</v>
      </c>
      <c r="AQ5" s="123">
        <v>183</v>
      </c>
      <c r="AR5" s="123">
        <v>75</v>
      </c>
      <c r="AS5" s="126" t="s">
        <v>344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10 OZ, 27 (16+11), +19 ±</v>
      </c>
      <c r="AY5" s="129" t="str">
        <f t="shared" ca="1" si="2"/>
        <v>151 OZ, 246 (138+108)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363</v>
      </c>
      <c r="BO5" s="122">
        <v>24331</v>
      </c>
      <c r="BP5" s="131" t="s">
        <v>362</v>
      </c>
      <c r="BQ5" s="132"/>
      <c r="BR5" s="127">
        <f t="shared" ca="1" si="12"/>
        <v>55</v>
      </c>
      <c r="BS5" s="417"/>
      <c r="BT5" s="104" t="s">
        <v>910</v>
      </c>
      <c r="BU5" s="103">
        <v>16</v>
      </c>
      <c r="BV5" s="104" t="str">
        <f t="shared" si="13"/>
        <v>Marek Matejčík</v>
      </c>
      <c r="BW5" s="102">
        <f t="shared" si="14"/>
        <v>16</v>
      </c>
      <c r="BX5" s="416"/>
      <c r="BY5" s="103" t="s">
        <v>1141</v>
      </c>
      <c r="BZ5" s="103" t="s">
        <v>870</v>
      </c>
      <c r="CA5" s="115" t="s">
        <v>1362</v>
      </c>
    </row>
    <row r="6" spans="1:79" ht="15" customHeight="1" thickTop="1" thickBot="1" x14ac:dyDescent="0.25">
      <c r="A6" s="429"/>
      <c r="B6" s="430"/>
      <c r="C6" s="430"/>
      <c r="D6" s="43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446" t="str">
        <f ca="1">IFERROR(IF(VLOOKUP(G3,OFFSET($AG$2,,,COUNTIF($AG$2:$AG$50,"?*"),23),13,FALSE)&lt;&gt;0,VLOOKUP(G3,OFFSET($AG$2,,,COUNTIF($AG$2:$AG$50,"?*"),23),13,FALSE),"?"),"")</f>
        <v/>
      </c>
      <c r="H6" s="447"/>
      <c r="I6" s="448"/>
      <c r="J6" s="449" t="str">
        <f ca="1">IFERROR(IF(VLOOKUP(G3,OFFSET($AG$2,,,COUNTIF($AG$2:$AG$50,"?*"),23),14,FALSE)&lt;&gt;0,VLOOKUP(G3,OFFSET($AG$2,,,COUNTIF($AG$2:$AG$50,"?*"),23),14,FALSE),"?"),"")</f>
        <v/>
      </c>
      <c r="K6" s="450"/>
      <c r="L6" s="7" t="str">
        <f ca="1">IFERROR(IF(VLOOKUP(G3,OFFSET($AG$2,,,COUNTIF($AG$2:$AG$50,"?*"),23),7,FALSE)&lt;&gt;0,VLOOKUP(G3,OFFSET($AG$2,,,COUNTIF($AG$2:$AG$50,"?*"),23),7,FALSE),"?"),"")</f>
        <v/>
      </c>
      <c r="M6" s="429"/>
      <c r="N6" s="430"/>
      <c r="O6" s="430"/>
      <c r="P6" s="43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319</v>
      </c>
      <c r="T6" s="102" t="s">
        <v>107</v>
      </c>
      <c r="U6" s="102">
        <v>11</v>
      </c>
      <c r="V6" s="102">
        <v>11</v>
      </c>
      <c r="W6" s="102">
        <v>0</v>
      </c>
      <c r="X6" s="102">
        <v>0</v>
      </c>
      <c r="Y6" s="102">
        <v>2</v>
      </c>
      <c r="Z6" s="102">
        <v>13</v>
      </c>
      <c r="AA6" s="102">
        <v>4</v>
      </c>
      <c r="AB6" s="102">
        <v>8</v>
      </c>
      <c r="AC6" s="102" t="str">
        <f t="shared" ca="1" si="0"/>
        <v>ANO</v>
      </c>
      <c r="AG6" s="121" t="s">
        <v>313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343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11 OZ, 19 (14+5), +10 ±</v>
      </c>
      <c r="AY6" s="129" t="str">
        <f t="shared" ca="1" si="2"/>
        <v>82 OZ, 92 (59+33)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364</v>
      </c>
      <c r="BO6" s="122">
        <v>31439</v>
      </c>
      <c r="BP6" s="131" t="s">
        <v>176</v>
      </c>
      <c r="BQ6" s="132"/>
      <c r="BR6" s="127">
        <f t="shared" ca="1" si="12"/>
        <v>35</v>
      </c>
      <c r="BS6" s="417"/>
      <c r="BT6" s="104" t="s">
        <v>368</v>
      </c>
      <c r="BU6" s="103">
        <v>13</v>
      </c>
      <c r="BV6" s="104" t="str">
        <f t="shared" si="13"/>
        <v>Marek Bräuer</v>
      </c>
      <c r="BW6" s="102">
        <f t="shared" si="14"/>
        <v>13</v>
      </c>
      <c r="BX6" s="416"/>
      <c r="BY6" s="103" t="s">
        <v>816</v>
      </c>
      <c r="BZ6" s="103" t="s">
        <v>871</v>
      </c>
      <c r="CA6" s="115" t="s">
        <v>761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422" t="str">
        <f ca="1">IFERROR(IF(VLOOKUP(A6,OFFSET($AG$2,,,COUNTIF($AG$2:$AG$50,"?*"),23),2,FALSE)&lt;&gt;0,YEAR(VLOOKUP(A6,OFFSET($AG$2,,,COUNTIF($AG$2:$AG$50,"?*"),23),2,FALSE)),""),"")</f>
        <v/>
      </c>
      <c r="C7" s="423"/>
      <c r="D7" s="117" t="str">
        <f ca="1">IFERROR(VLOOKUP(A6,OFFSET($AG$2,,,COUNTIF($AG$2:$AG$50,"?*"),23),15,FALSE),"")</f>
        <v/>
      </c>
      <c r="E7" s="424" t="str">
        <f ca="1">IFERROR(VLOOKUP(A6,OFFSET($AG$2,,,COUNTIF($AG$2:$AG$50,"?*"),23),16,FALSE),"")</f>
        <v/>
      </c>
      <c r="F7" s="425"/>
      <c r="M7" s="4" t="str">
        <f ca="1">IFERROR(IF(VLOOKUP(M6,OFFSET($AG$2,,,COUNTIF($AG$2:$AG$50,"?*"),23),10,FALSE)&lt;&gt;0,VLOOKUP(M6,OFFSET($AG$2,,,COUNTIF($AG$2:$AG$50,"?*"),23),10,FALSE),""),"")</f>
        <v/>
      </c>
      <c r="N7" s="422" t="str">
        <f ca="1">IFERROR(IF(VLOOKUP(M6,OFFSET($AG$2,,,COUNTIF($AG$2:$AG$50,"?*"),23),2,FALSE)&lt;&gt;0,YEAR(VLOOKUP(M6,OFFSET($AG$2,,,COUNTIF($AG$2:$AG$50,"?*"),23),2,FALSE)),""),"")</f>
        <v/>
      </c>
      <c r="O7" s="423"/>
      <c r="P7" s="117" t="str">
        <f ca="1">IFERROR(VLOOKUP(M6,OFFSET($AG$2,,,COUNTIF($AG$2:$AG$50,"?*"),23),15,FALSE),"")</f>
        <v/>
      </c>
      <c r="Q7" s="424" t="str">
        <f ca="1">IFERROR(VLOOKUP(M6,OFFSET($AG$2,,,COUNTIF($AG$2:$AG$50,"?*"),23),16,FALSE),"")</f>
        <v/>
      </c>
      <c r="R7" s="425"/>
      <c r="S7" s="110" t="s">
        <v>329</v>
      </c>
      <c r="T7" s="102" t="s">
        <v>107</v>
      </c>
      <c r="U7" s="102">
        <v>11</v>
      </c>
      <c r="V7" s="102">
        <v>8</v>
      </c>
      <c r="W7" s="102">
        <v>0</v>
      </c>
      <c r="X7" s="102">
        <v>0</v>
      </c>
      <c r="Y7" s="102">
        <v>4</v>
      </c>
      <c r="Z7" s="102">
        <v>12</v>
      </c>
      <c r="AA7" s="102">
        <v>4</v>
      </c>
      <c r="AB7" s="102">
        <v>21</v>
      </c>
      <c r="AC7" s="102" t="str">
        <f t="shared" ca="1" si="0"/>
        <v>ANO</v>
      </c>
      <c r="AG7" s="121" t="s">
        <v>331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137</v>
      </c>
      <c r="AQ7" s="123">
        <v>182</v>
      </c>
      <c r="AR7" s="123">
        <v>81</v>
      </c>
      <c r="AS7" s="126" t="s">
        <v>345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417" t="s">
        <v>40</v>
      </c>
      <c r="BT7" s="104" t="s">
        <v>366</v>
      </c>
      <c r="BU7" s="103" t="s">
        <v>1364</v>
      </c>
      <c r="BV7" s="104" t="str">
        <f t="shared" si="13"/>
        <v>Denis Jasiok</v>
      </c>
      <c r="BW7" s="112">
        <f t="shared" si="14"/>
        <v>4.03</v>
      </c>
      <c r="BX7" s="416" t="s">
        <v>193</v>
      </c>
      <c r="BY7" s="103" t="s">
        <v>972</v>
      </c>
      <c r="BZ7" s="103" t="s">
        <v>887</v>
      </c>
      <c r="CA7" s="115" t="s">
        <v>188</v>
      </c>
    </row>
    <row r="8" spans="1:79" ht="15" customHeight="1" x14ac:dyDescent="0.2">
      <c r="A8" s="458" t="str">
        <f ca="1">IFERROR(VLOOKUP(A6,OFFSET($AG$2,,,COUNTIF($AG$2:$AG$50,"?*"),23),18,FALSE),"")</f>
        <v/>
      </c>
      <c r="B8" s="459"/>
      <c r="C8" s="459"/>
      <c r="D8" s="460" t="str">
        <f ca="1">IFERROR(VLOOKUP(A6,OFFSET($AG$2,,,COUNTIF($AG$2:$AG$50,"?*"),23),19,FALSE),"")</f>
        <v/>
      </c>
      <c r="E8" s="460"/>
      <c r="F8" s="461"/>
      <c r="H8" s="462" t="s">
        <v>90</v>
      </c>
      <c r="I8" s="462"/>
      <c r="J8" s="462"/>
      <c r="K8" s="462"/>
      <c r="M8" s="458" t="str">
        <f ca="1">IFERROR(VLOOKUP(M6,OFFSET($AG$2,,,COUNTIF($AG$2:$AG$50,"?*"),23),18,FALSE),"")</f>
        <v/>
      </c>
      <c r="N8" s="459"/>
      <c r="O8" s="459"/>
      <c r="P8" s="460" t="str">
        <f ca="1">IFERROR(VLOOKUP(M6,OFFSET($AG$2,,,COUNTIF($AG$2:$AG$50,"?*"),23),19,FALSE),"")</f>
        <v/>
      </c>
      <c r="Q8" s="460"/>
      <c r="R8" s="461"/>
      <c r="S8" s="110" t="s">
        <v>317</v>
      </c>
      <c r="T8" s="102" t="s">
        <v>107</v>
      </c>
      <c r="U8" s="102">
        <v>10</v>
      </c>
      <c r="V8" s="102">
        <v>4</v>
      </c>
      <c r="W8" s="102">
        <v>0</v>
      </c>
      <c r="X8" s="102">
        <v>0</v>
      </c>
      <c r="Y8" s="102">
        <v>8</v>
      </c>
      <c r="Z8" s="102">
        <v>12</v>
      </c>
      <c r="AA8" s="102">
        <v>0</v>
      </c>
      <c r="AB8" s="102">
        <v>8</v>
      </c>
      <c r="AC8" s="102" t="str">
        <f t="shared" ca="1" si="0"/>
        <v>NE</v>
      </c>
      <c r="AG8" s="121" t="s">
        <v>322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137</v>
      </c>
      <c r="AQ8" s="123">
        <v>189</v>
      </c>
      <c r="AR8" s="123">
        <v>80</v>
      </c>
      <c r="AS8" s="126" t="s">
        <v>346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9 OZ, 3 (1+2), +5 ±</v>
      </c>
      <c r="AY8" s="129" t="str">
        <f t="shared" ca="1" si="2"/>
        <v>60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417"/>
      <c r="BT8" s="104" t="s">
        <v>912</v>
      </c>
      <c r="BU8" s="103" t="s">
        <v>1167</v>
      </c>
      <c r="BV8" s="104" t="str">
        <f t="shared" si="13"/>
        <v>Lukáš Souček</v>
      </c>
      <c r="BW8" s="112">
        <f t="shared" si="14"/>
        <v>4.5</v>
      </c>
      <c r="BX8" s="416"/>
      <c r="BY8" s="103" t="s">
        <v>1053</v>
      </c>
      <c r="BZ8" s="103" t="s">
        <v>860</v>
      </c>
      <c r="CA8" s="115" t="s">
        <v>188</v>
      </c>
    </row>
    <row r="9" spans="1:79" ht="15" customHeight="1" thickBot="1" x14ac:dyDescent="0.25">
      <c r="A9" s="446" t="str">
        <f ca="1">IFERROR(IF(VLOOKUP(A6,OFFSET($AG$2,,,COUNTIF($AG$2:$AG$50,"?*"),23),13,FALSE)&lt;&gt;0,VLOOKUP(A6,OFFSET($AG$2,,,COUNTIF($AG$2:$AG$50,"?*"),23),13,FALSE),"?"),"")</f>
        <v/>
      </c>
      <c r="B9" s="447"/>
      <c r="C9" s="448"/>
      <c r="D9" s="449" t="str">
        <f ca="1">IFERROR(IF(VLOOKUP(A6,OFFSET($AG$2,,,COUNTIF($AG$2:$AG$50,"?*"),23),14,FALSE)&lt;&gt;0,VLOOKUP(A6,OFFSET($AG$2,,,COUNTIF($AG$2:$AG$50,"?*"),23),14,FALSE),"?"),"")</f>
        <v/>
      </c>
      <c r="E9" s="450"/>
      <c r="F9" s="7" t="str">
        <f ca="1">IFERROR(IF(VLOOKUP(A6,OFFSET($AG$2,,,COUNTIF($AG$2:$AG$50,"?*"),23),7,FALSE)&lt;&gt;0,VLOOKUP(A6,OFFSET($AG$2,,,COUNTIF($AG$2:$AG$50,"?*"),23),7,FALSE),"?"),"")</f>
        <v/>
      </c>
      <c r="H9" s="462"/>
      <c r="I9" s="462"/>
      <c r="J9" s="462"/>
      <c r="K9" s="462"/>
      <c r="M9" s="446" t="str">
        <f ca="1">IFERROR(IF(VLOOKUP(M6,OFFSET($AG$2,,,COUNTIF($AG$2:$AG$50,"?*"),23),13,FALSE)&lt;&gt;0,VLOOKUP(M6,OFFSET($AG$2,,,COUNTIF($AG$2:$AG$50,"?*"),23),13,FALSE),"?"),"")</f>
        <v/>
      </c>
      <c r="N9" s="447"/>
      <c r="O9" s="448"/>
      <c r="P9" s="449" t="str">
        <f ca="1">IFERROR(IF(VLOOKUP(M6,OFFSET($AG$2,,,COUNTIF($AG$2:$AG$50,"?*"),23),14,FALSE)&lt;&gt;0,VLOOKUP(M6,OFFSET($AG$2,,,COUNTIF($AG$2:$AG$50,"?*"),23),14,FALSE),"?"),"")</f>
        <v/>
      </c>
      <c r="Q9" s="45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318</v>
      </c>
      <c r="U9" s="102">
        <v>11</v>
      </c>
      <c r="V9" s="102">
        <v>7</v>
      </c>
      <c r="W9" s="102">
        <v>0</v>
      </c>
      <c r="X9" s="102">
        <v>0</v>
      </c>
      <c r="Y9" s="102">
        <v>3</v>
      </c>
      <c r="Z9" s="102">
        <v>10</v>
      </c>
      <c r="AA9" s="102">
        <v>2</v>
      </c>
      <c r="AB9" s="102">
        <v>14</v>
      </c>
      <c r="AC9" s="102" t="str">
        <f t="shared" ca="1" si="0"/>
        <v>NE</v>
      </c>
      <c r="AG9" s="121" t="s">
        <v>320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343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9 OZ, 9 (5+4), +7 ±</v>
      </c>
      <c r="AY9" s="129" t="str">
        <f t="shared" ca="1" si="2"/>
        <v>199 OZ, 170 (82+88)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417"/>
      <c r="BT9" s="104" t="s">
        <v>913</v>
      </c>
      <c r="BU9" s="103" t="s">
        <v>183</v>
      </c>
      <c r="BV9" s="104" t="str">
        <f t="shared" si="13"/>
        <v>Michael Chalupecký</v>
      </c>
      <c r="BW9" s="112">
        <f t="shared" si="14"/>
        <v>0</v>
      </c>
      <c r="BX9" s="416"/>
      <c r="BY9" s="103" t="s">
        <v>1160</v>
      </c>
      <c r="BZ9" s="103" t="s">
        <v>865</v>
      </c>
      <c r="CA9" s="115" t="s">
        <v>188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320</v>
      </c>
      <c r="T10" s="102" t="s">
        <v>58</v>
      </c>
      <c r="U10" s="102">
        <v>9</v>
      </c>
      <c r="V10" s="102">
        <v>5</v>
      </c>
      <c r="W10" s="102">
        <v>3</v>
      </c>
      <c r="X10" s="102">
        <v>0</v>
      </c>
      <c r="Y10" s="102">
        <v>4</v>
      </c>
      <c r="Z10" s="102">
        <v>9</v>
      </c>
      <c r="AA10" s="102">
        <v>0</v>
      </c>
      <c r="AB10" s="102">
        <v>7</v>
      </c>
      <c r="AC10" s="102" t="str">
        <f t="shared" ca="1" si="0"/>
        <v>ANO</v>
      </c>
      <c r="AG10" s="121" t="s">
        <v>332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137</v>
      </c>
      <c r="AQ10" s="123">
        <v>178</v>
      </c>
      <c r="AR10" s="123">
        <v>70</v>
      </c>
      <c r="AS10" s="126" t="s">
        <v>287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417"/>
      <c r="BT10" s="104" t="s">
        <v>914</v>
      </c>
      <c r="BU10" s="103" t="s">
        <v>183</v>
      </c>
      <c r="BV10" s="104" t="str">
        <f t="shared" si="13"/>
        <v>Michal Bartoň</v>
      </c>
      <c r="BW10" s="112">
        <f t="shared" si="14"/>
        <v>0</v>
      </c>
      <c r="BX10" s="416"/>
      <c r="BY10" s="103" t="s">
        <v>1143</v>
      </c>
      <c r="BZ10" s="103" t="s">
        <v>838</v>
      </c>
      <c r="CA10" s="115" t="s">
        <v>188</v>
      </c>
    </row>
    <row r="11" spans="1:79" ht="15" customHeight="1" thickTop="1" thickBot="1" x14ac:dyDescent="0.25">
      <c r="R11" s="13"/>
      <c r="S11" s="110" t="s">
        <v>323</v>
      </c>
      <c r="U11" s="102">
        <v>11</v>
      </c>
      <c r="V11" s="102">
        <v>2</v>
      </c>
      <c r="W11" s="102">
        <v>1</v>
      </c>
      <c r="X11" s="102">
        <v>1</v>
      </c>
      <c r="Y11" s="102">
        <v>6</v>
      </c>
      <c r="Z11" s="102">
        <v>8</v>
      </c>
      <c r="AA11" s="102">
        <v>0</v>
      </c>
      <c r="AB11" s="102">
        <v>6</v>
      </c>
      <c r="AC11" s="102" t="str">
        <f t="shared" ca="1" si="0"/>
        <v>NE</v>
      </c>
      <c r="AG11" s="121" t="s">
        <v>333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137</v>
      </c>
      <c r="AQ11" s="123">
        <v>193</v>
      </c>
      <c r="AR11" s="123">
        <v>89</v>
      </c>
      <c r="AS11" s="126" t="s">
        <v>347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417"/>
      <c r="BT11" s="104" t="s">
        <v>915</v>
      </c>
      <c r="BU11" s="103" t="s">
        <v>183</v>
      </c>
      <c r="BV11" s="104" t="str">
        <f t="shared" si="13"/>
        <v>Petr Maláč</v>
      </c>
      <c r="BW11" s="112">
        <f t="shared" si="14"/>
        <v>0</v>
      </c>
      <c r="BX11" s="416"/>
      <c r="BY11" s="103" t="s">
        <v>1144</v>
      </c>
      <c r="BZ11" s="103" t="s">
        <v>873</v>
      </c>
      <c r="CA11" s="115" t="s">
        <v>188</v>
      </c>
    </row>
    <row r="12" spans="1:79" ht="15" customHeight="1" thickTop="1" thickBot="1" x14ac:dyDescent="0.25">
      <c r="A12" s="429"/>
      <c r="B12" s="430"/>
      <c r="C12" s="430"/>
      <c r="D12" s="43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463" t="s">
        <v>7</v>
      </c>
      <c r="I12" s="463"/>
      <c r="J12" s="463"/>
      <c r="K12" s="463"/>
      <c r="M12" s="429"/>
      <c r="N12" s="430"/>
      <c r="O12" s="430"/>
      <c r="P12" s="43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314</v>
      </c>
      <c r="T12" s="102" t="s">
        <v>107</v>
      </c>
      <c r="U12" s="102">
        <v>11</v>
      </c>
      <c r="V12" s="102">
        <v>4</v>
      </c>
      <c r="W12" s="102">
        <v>0</v>
      </c>
      <c r="X12" s="102">
        <v>0</v>
      </c>
      <c r="Y12" s="102">
        <v>2</v>
      </c>
      <c r="Z12" s="102">
        <v>6</v>
      </c>
      <c r="AA12" s="102">
        <v>2</v>
      </c>
      <c r="AB12" s="102">
        <v>7</v>
      </c>
      <c r="AC12" s="102" t="str">
        <f t="shared" ca="1" si="0"/>
        <v>ANO</v>
      </c>
      <c r="AG12" s="121" t="s">
        <v>326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348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5 V, 2 P</v>
      </c>
      <c r="AY12" s="129" t="str">
        <f t="shared" ca="1" si="2"/>
        <v>13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417" t="s">
        <v>37</v>
      </c>
      <c r="BT12" s="104" t="s">
        <v>365</v>
      </c>
      <c r="BU12" s="103">
        <v>16</v>
      </c>
      <c r="BV12" s="104" t="str">
        <f t="shared" si="13"/>
        <v>Adam Delong</v>
      </c>
      <c r="BW12" s="102">
        <f t="shared" si="14"/>
        <v>16</v>
      </c>
      <c r="BX12" s="120" t="s">
        <v>191</v>
      </c>
      <c r="BY12" s="100" t="s">
        <v>1363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422" t="str">
        <f ca="1">IFERROR(IF(VLOOKUP(A12,OFFSET($AG$2,,,COUNTIF($AG$2:$AG$50,"?*"),23),2,FALSE)&lt;&gt;0,YEAR(VLOOKUP(A12,OFFSET($AG$2,,,COUNTIF($AG$2:$AG$50,"?*"),23),2,FALSE)),""),"")</f>
        <v/>
      </c>
      <c r="C13" s="423"/>
      <c r="D13" s="117" t="str">
        <f ca="1">IFERROR(VLOOKUP(A12,OFFSET($AG$2,,,COUNTIF($AG$2:$AG$50,"?*"),23),15,FALSE),"")</f>
        <v/>
      </c>
      <c r="E13" s="424" t="str">
        <f ca="1">IFERROR(VLOOKUP(A12,OFFSET($AG$2,,,COUNTIF($AG$2:$AG$50,"?*"),23),16,FALSE),"")</f>
        <v/>
      </c>
      <c r="F13" s="425"/>
      <c r="M13" s="4" t="str">
        <f ca="1">IFERROR(IF(VLOOKUP(M12,OFFSET($AG$2,,,COUNTIF($AG$2:$AG$50,"?*"),23),10,FALSE)&lt;&gt;0,VLOOKUP(M12,OFFSET($AG$2,,,COUNTIF($AG$2:$AG$50,"?*"),23),10,FALSE),""),"")</f>
        <v/>
      </c>
      <c r="N13" s="422" t="str">
        <f ca="1">IFERROR(IF(VLOOKUP(M12,OFFSET($AG$2,,,COUNTIF($AG$2:$AG$50,"?*"),23),2,FALSE)&lt;&gt;0,YEAR(VLOOKUP(M12,OFFSET($AG$2,,,COUNTIF($AG$2:$AG$50,"?*"),23),2,FALSE)),""),"")</f>
        <v/>
      </c>
      <c r="O13" s="423"/>
      <c r="P13" s="117" t="str">
        <f ca="1">IFERROR(VLOOKUP(M12,OFFSET($AG$2,,,COUNTIF($AG$2:$AG$50,"?*"),23),15,FALSE),"")</f>
        <v/>
      </c>
      <c r="Q13" s="424" t="str">
        <f ca="1">IFERROR(VLOOKUP(M12,OFFSET($AG$2,,,COUNTIF($AG$2:$AG$50,"?*"),23),16,FALSE),"")</f>
        <v/>
      </c>
      <c r="R13" s="425"/>
      <c r="S13" s="110" t="s">
        <v>321</v>
      </c>
      <c r="T13" s="102" t="s">
        <v>107</v>
      </c>
      <c r="U13" s="102">
        <v>11</v>
      </c>
      <c r="V13" s="102">
        <v>1</v>
      </c>
      <c r="W13" s="102">
        <v>0</v>
      </c>
      <c r="X13" s="102">
        <v>0</v>
      </c>
      <c r="Y13" s="102">
        <v>4</v>
      </c>
      <c r="Z13" s="102">
        <v>5</v>
      </c>
      <c r="AA13" s="102">
        <v>0</v>
      </c>
      <c r="AB13" s="102">
        <v>9</v>
      </c>
      <c r="AC13" s="102" t="str">
        <f t="shared" ca="1" si="0"/>
        <v>ANO</v>
      </c>
      <c r="AG13" s="121" t="s">
        <v>334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349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417"/>
      <c r="BT13" s="104" t="s">
        <v>1365</v>
      </c>
      <c r="BU13" s="103">
        <v>14</v>
      </c>
      <c r="BV13" s="104" t="str">
        <f t="shared" si="13"/>
        <v>Rostislav Gattnar</v>
      </c>
      <c r="BW13" s="102">
        <f t="shared" si="14"/>
        <v>14</v>
      </c>
    </row>
    <row r="14" spans="1:79" ht="15" customHeight="1" thickTop="1" thickBot="1" x14ac:dyDescent="0.25">
      <c r="A14" s="458" t="str">
        <f ca="1">IFERROR(VLOOKUP(A12,OFFSET($AG$2,,,COUNTIF($AG$2:$AG$50,"?*"),23),18,FALSE),"")</f>
        <v/>
      </c>
      <c r="B14" s="459"/>
      <c r="C14" s="459"/>
      <c r="D14" s="460" t="str">
        <f ca="1">IFERROR(VLOOKUP(A12,OFFSET($AG$2,,,COUNTIF($AG$2:$AG$50,"?*"),23),19,FALSE),"")</f>
        <v/>
      </c>
      <c r="E14" s="460"/>
      <c r="F14" s="461"/>
      <c r="G14" s="429"/>
      <c r="H14" s="430"/>
      <c r="I14" s="430"/>
      <c r="J14" s="43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458" t="str">
        <f ca="1">IFERROR(VLOOKUP(M12,OFFSET($AG$2,,,COUNTIF($AG$2:$AG$50,"?*"),23),18,FALSE),"")</f>
        <v/>
      </c>
      <c r="N14" s="459"/>
      <c r="O14" s="459"/>
      <c r="P14" s="460" t="str">
        <f ca="1">IFERROR(VLOOKUP(M12,OFFSET($AG$2,,,COUNTIF($AG$2:$AG$50,"?*"),23),19,FALSE),"")</f>
        <v/>
      </c>
      <c r="Q14" s="460"/>
      <c r="R14" s="461"/>
      <c r="S14" s="110" t="s">
        <v>790</v>
      </c>
      <c r="U14" s="102">
        <v>10</v>
      </c>
      <c r="V14" s="102">
        <v>1</v>
      </c>
      <c r="W14" s="102">
        <v>0</v>
      </c>
      <c r="X14" s="102">
        <v>0</v>
      </c>
      <c r="Y14" s="102">
        <v>3</v>
      </c>
      <c r="Z14" s="102">
        <v>4</v>
      </c>
      <c r="AA14" s="102">
        <v>0</v>
      </c>
      <c r="AB14" s="102">
        <v>1</v>
      </c>
      <c r="AC14" s="102" t="str">
        <f t="shared" ca="1" si="0"/>
        <v>NE</v>
      </c>
      <c r="AG14" s="121" t="s">
        <v>330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350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11 OZ, 2 (0+2), +5 ±</v>
      </c>
      <c r="AY14" s="129" t="str">
        <f t="shared" ca="1" si="2"/>
        <v>30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417"/>
      <c r="BT14" s="104" t="s">
        <v>911</v>
      </c>
      <c r="BU14" s="103">
        <v>11</v>
      </c>
      <c r="BV14" s="104" t="str">
        <f t="shared" si="13"/>
        <v>Marek Bräuer</v>
      </c>
      <c r="BW14" s="102">
        <f t="shared" si="14"/>
        <v>11</v>
      </c>
    </row>
    <row r="15" spans="1:79" ht="15" customHeight="1" thickBot="1" x14ac:dyDescent="0.25">
      <c r="A15" s="446" t="str">
        <f ca="1">IFERROR(IF(VLOOKUP(A12,OFFSET($AG$2,,,COUNTIF($AG$2:$AG$50,"?*"),23),13,FALSE)&lt;&gt;0,VLOOKUP(A12,OFFSET($AG$2,,,COUNTIF($AG$2:$AG$50,"?*"),23),13,FALSE),"?"),"")</f>
        <v/>
      </c>
      <c r="B15" s="447"/>
      <c r="C15" s="448"/>
      <c r="D15" s="449" t="str">
        <f ca="1">IFERROR(IF(VLOOKUP(A12,OFFSET($AG$2,,,COUNTIF($AG$2:$AG$50,"?*"),23),14,FALSE)&lt;&gt;0,VLOOKUP(A12,OFFSET($AG$2,,,COUNTIF($AG$2:$AG$50,"?*"),23),14,FALSE),"?"),"")</f>
        <v/>
      </c>
      <c r="E15" s="45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422" t="str">
        <f ca="1">IFERROR(IF(VLOOKUP(G14,OFFSET($AG$2,,,COUNTIF($AG$2:$AG$50,"?*"),23),2,FALSE)&lt;&gt;0,YEAR(VLOOKUP(G14,OFFSET($AG$2,,,COUNTIF($AG$2:$AG$50,"?*"),23),2,FALSE)),""),"")</f>
        <v/>
      </c>
      <c r="I15" s="423"/>
      <c r="J15" s="117" t="str">
        <f ca="1">IFERROR(VLOOKUP(G14,OFFSET($AG$2,,,COUNTIF($AG$2:$AG$50,"?*"),23),15,FALSE),"")</f>
        <v/>
      </c>
      <c r="K15" s="424" t="str">
        <f ca="1">IFERROR(VLOOKUP(G14,OFFSET($AG$2,,,COUNTIF($AG$2:$AG$50,"?*"),23),16,FALSE),"")</f>
        <v/>
      </c>
      <c r="L15" s="425"/>
      <c r="M15" s="446" t="str">
        <f ca="1">IFERROR(IF(VLOOKUP(M12,OFFSET($AG$2,,,COUNTIF($AG$2:$AG$50,"?*"),23),13,FALSE)&lt;&gt;0,VLOOKUP(M12,OFFSET($AG$2,,,COUNTIF($AG$2:$AG$50,"?*"),23),13,FALSE),"?"),"")</f>
        <v/>
      </c>
      <c r="N15" s="447"/>
      <c r="O15" s="448"/>
      <c r="P15" s="449" t="str">
        <f ca="1">IFERROR(IF(VLOOKUP(M12,OFFSET($AG$2,,,COUNTIF($AG$2:$AG$50,"?*"),23),14,FALSE)&lt;&gt;0,VLOOKUP(M12,OFFSET($AG$2,,,COUNTIF($AG$2:$AG$50,"?*"),23),14,FALSE),"?"),"")</f>
        <v/>
      </c>
      <c r="Q15" s="45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325</v>
      </c>
      <c r="T15" s="102" t="s">
        <v>58</v>
      </c>
      <c r="U15" s="102">
        <v>9</v>
      </c>
      <c r="V15" s="102">
        <v>1</v>
      </c>
      <c r="W15" s="102">
        <v>0</v>
      </c>
      <c r="X15" s="102">
        <v>0</v>
      </c>
      <c r="Y15" s="102">
        <v>2</v>
      </c>
      <c r="Z15" s="102">
        <v>3</v>
      </c>
      <c r="AA15" s="102">
        <v>0</v>
      </c>
      <c r="AB15" s="102">
        <v>11</v>
      </c>
      <c r="AC15" s="102" t="str">
        <f t="shared" ca="1" si="0"/>
        <v>ANO</v>
      </c>
      <c r="AG15" s="121" t="s">
        <v>335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351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417"/>
      <c r="BT15" s="104" t="s">
        <v>1366</v>
      </c>
      <c r="BU15" s="103">
        <v>10</v>
      </c>
      <c r="BV15" s="104" t="str">
        <f t="shared" si="13"/>
        <v>Matyáš Šindler</v>
      </c>
      <c r="BW15" s="102">
        <f t="shared" si="14"/>
        <v>10</v>
      </c>
    </row>
    <row r="16" spans="1:79" ht="15" customHeight="1" thickTop="1" thickBot="1" x14ac:dyDescent="0.25">
      <c r="A16" s="8"/>
      <c r="B16" s="8"/>
      <c r="C16" s="8"/>
      <c r="D16" s="8"/>
      <c r="G16" s="458" t="str">
        <f ca="1">IFERROR(VLOOKUP(G14,OFFSET($AG$2,,,COUNTIF($AG$2:$AG$50,"?*"),23),18,FALSE),"")</f>
        <v/>
      </c>
      <c r="H16" s="459"/>
      <c r="I16" s="459"/>
      <c r="J16" s="460" t="str">
        <f ca="1">IFERROR(VLOOKUP(G14,OFFSET($AG$2,,,COUNTIF($AG$2:$AG$50,"?*"),23),19,FALSE),"")</f>
        <v/>
      </c>
      <c r="K16" s="460"/>
      <c r="L16" s="461"/>
      <c r="S16" s="110" t="s">
        <v>322</v>
      </c>
      <c r="T16" s="102" t="s">
        <v>58</v>
      </c>
      <c r="U16" s="102">
        <v>9</v>
      </c>
      <c r="V16" s="102">
        <v>1</v>
      </c>
      <c r="W16" s="102">
        <v>0</v>
      </c>
      <c r="X16" s="102">
        <v>0</v>
      </c>
      <c r="Y16" s="102">
        <v>2</v>
      </c>
      <c r="Z16" s="102">
        <v>3</v>
      </c>
      <c r="AA16" s="102">
        <v>2</v>
      </c>
      <c r="AB16" s="102">
        <v>5</v>
      </c>
      <c r="AC16" s="102" t="str">
        <f t="shared" ca="1" si="0"/>
        <v>ANO</v>
      </c>
      <c r="AG16" s="121" t="s">
        <v>336</v>
      </c>
      <c r="AH16" s="122"/>
      <c r="AI16" s="123"/>
      <c r="AJ16" s="123"/>
      <c r="AK16" s="123"/>
      <c r="AL16" s="124">
        <f>IF(AG16&lt;&gt;"",AJ16+AK16,"")</f>
        <v>0</v>
      </c>
      <c r="AM16" s="123" t="s">
        <v>282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417"/>
      <c r="BT16" s="104" t="s">
        <v>1367</v>
      </c>
      <c r="BU16" s="103">
        <v>8</v>
      </c>
      <c r="BV16" s="104" t="str">
        <f t="shared" si="13"/>
        <v>Jiří Besta</v>
      </c>
      <c r="BW16" s="102">
        <f t="shared" si="14"/>
        <v>8</v>
      </c>
    </row>
    <row r="17" spans="1:75" ht="15" customHeight="1" thickTop="1" thickBot="1" x14ac:dyDescent="0.25">
      <c r="A17" s="429"/>
      <c r="B17" s="430"/>
      <c r="C17" s="430"/>
      <c r="D17" s="43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446" t="str">
        <f ca="1">IFERROR(IF(VLOOKUP(G14,OFFSET($AG$2,,,COUNTIF($AG$2:$AG$50,"?*"),23),13,FALSE)&lt;&gt;0,VLOOKUP(G14,OFFSET($AG$2,,,COUNTIF($AG$2:$AG$50,"?*"),23),13,FALSE),"?"),"")</f>
        <v/>
      </c>
      <c r="H17" s="447"/>
      <c r="I17" s="448"/>
      <c r="J17" s="449" t="str">
        <f ca="1">IFERROR(IF(VLOOKUP(G14,OFFSET($AG$2,,,COUNTIF($AG$2:$AG$50,"?*"),23),14,FALSE)&lt;&gt;0,VLOOKUP(G14,OFFSET($AG$2,,,COUNTIF($AG$2:$AG$50,"?*"),23),14,FALSE),"?"),"")</f>
        <v/>
      </c>
      <c r="K17" s="450"/>
      <c r="L17" s="7" t="str">
        <f ca="1">IFERROR(IF(VLOOKUP(G14,OFFSET($AG$2,,,COUNTIF($AG$2:$AG$50,"?*"),23),7,FALSE)&lt;&gt;0,VLOOKUP(G14,OFFSET($AG$2,,,COUNTIF($AG$2:$AG$50,"?*"),23),7,FALSE),"?"),"")</f>
        <v/>
      </c>
      <c r="M17" s="429"/>
      <c r="N17" s="430"/>
      <c r="O17" s="430"/>
      <c r="P17" s="43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324</v>
      </c>
      <c r="T17" s="102" t="s">
        <v>107</v>
      </c>
      <c r="U17" s="102">
        <v>6</v>
      </c>
      <c r="V17" s="102">
        <v>0</v>
      </c>
      <c r="W17" s="102">
        <v>0</v>
      </c>
      <c r="X17" s="102">
        <v>0</v>
      </c>
      <c r="Y17" s="102">
        <v>3</v>
      </c>
      <c r="Z17" s="102">
        <v>3</v>
      </c>
      <c r="AA17" s="102">
        <v>0</v>
      </c>
      <c r="AB17" s="102">
        <v>2</v>
      </c>
      <c r="AC17" s="102" t="str">
        <f t="shared" ca="1" si="0"/>
        <v>ANO</v>
      </c>
      <c r="AG17" s="121" t="s">
        <v>327</v>
      </c>
      <c r="AH17" s="122"/>
      <c r="AI17" s="123"/>
      <c r="AJ17" s="123"/>
      <c r="AK17" s="123"/>
      <c r="AL17" s="124">
        <f>IF(AG17&lt;&gt;"",AJ17+AK17,"")</f>
        <v>0</v>
      </c>
      <c r="AM17" s="123" t="s">
        <v>282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417" t="s">
        <v>41</v>
      </c>
      <c r="BT17" s="104" t="s">
        <v>366</v>
      </c>
      <c r="BU17" s="103">
        <v>5</v>
      </c>
      <c r="BV17" s="104" t="str">
        <f t="shared" si="13"/>
        <v>Denis Jasiok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422" t="str">
        <f ca="1">IFERROR(IF(VLOOKUP(A17,OFFSET($AG$2,,,COUNTIF($AG$2:$AG$50,"?*"),23),2,FALSE)&lt;&gt;0,YEAR(VLOOKUP(A17,OFFSET($AG$2,,,COUNTIF($AG$2:$AG$50,"?*"),23),2,FALSE)),""),"")</f>
        <v/>
      </c>
      <c r="C18" s="423"/>
      <c r="D18" s="149" t="str">
        <f ca="1">IFERROR(VLOOKUP(A17,OFFSET($AG$2,,,COUNTIF($AG$2:$AG$50,"?*"),23),15,FALSE),"")</f>
        <v/>
      </c>
      <c r="E18" s="424" t="str">
        <f ca="1">IFERROR(VLOOKUP(A17,OFFSET($AG$2,,,COUNTIF($AG$2:$AG$50,"?*"),23),16,FALSE),"")</f>
        <v/>
      </c>
      <c r="F18" s="425"/>
      <c r="M18" s="4" t="str">
        <f ca="1">IFERROR(IF(VLOOKUP(M17,OFFSET($AG$2,,,COUNTIF($AG$2:$AG$50,"?*"),23),10,FALSE)&lt;&gt;0,VLOOKUP(M17,OFFSET($AG$2,,,COUNTIF($AG$2:$AG$50,"?*"),23),10,FALSE),""),"")</f>
        <v/>
      </c>
      <c r="N18" s="422" t="str">
        <f ca="1">IFERROR(IF(VLOOKUP(M17,OFFSET($AG$2,,,COUNTIF($AG$2:$AG$50,"?*"),23),2,FALSE)&lt;&gt;0,YEAR(VLOOKUP(M17,OFFSET($AG$2,,,COUNTIF($AG$2:$AG$50,"?*"),23),2,FALSE)),""),"")</f>
        <v/>
      </c>
      <c r="O18" s="423"/>
      <c r="P18" s="117" t="str">
        <f ca="1">IFERROR(VLOOKUP(M17,OFFSET($AG$2,,,COUNTIF($AG$2:$AG$50,"?*"),23),15,FALSE),"")</f>
        <v/>
      </c>
      <c r="Q18" s="424" t="str">
        <f ca="1">IFERROR(VLOOKUP(M17,OFFSET($AG$2,,,COUNTIF($AG$2:$AG$50,"?*"),23),16,FALSE),"")</f>
        <v/>
      </c>
      <c r="R18" s="425"/>
      <c r="S18" s="110" t="s">
        <v>330</v>
      </c>
      <c r="T18" s="102" t="s">
        <v>58</v>
      </c>
      <c r="U18" s="102">
        <v>11</v>
      </c>
      <c r="V18" s="102">
        <v>0</v>
      </c>
      <c r="W18" s="102">
        <v>0</v>
      </c>
      <c r="X18" s="102">
        <v>0</v>
      </c>
      <c r="Y18" s="102">
        <v>2</v>
      </c>
      <c r="Z18" s="102">
        <v>2</v>
      </c>
      <c r="AA18" s="102">
        <v>0</v>
      </c>
      <c r="AB18" s="102">
        <v>5</v>
      </c>
      <c r="AC18" s="102" t="str">
        <f t="shared" ca="1" si="0"/>
        <v>ANO</v>
      </c>
      <c r="AG18" s="121" t="s">
        <v>316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137</v>
      </c>
      <c r="AQ18" s="123">
        <v>168</v>
      </c>
      <c r="AR18" s="123">
        <v>69</v>
      </c>
      <c r="AS18" s="126" t="s">
        <v>343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9 OZ, 16 (5+11), +12 ±</v>
      </c>
      <c r="AY18" s="129" t="str">
        <f t="shared" ca="1" si="2"/>
        <v>214 OZ, 247 (127+120)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417"/>
      <c r="BT18" s="104" t="s">
        <v>912</v>
      </c>
      <c r="BU18" s="103">
        <v>3</v>
      </c>
      <c r="BV18" s="104" t="str">
        <f t="shared" si="13"/>
        <v>Lukáš Souček</v>
      </c>
      <c r="BW18" s="102">
        <f t="shared" si="14"/>
        <v>3</v>
      </c>
    </row>
    <row r="19" spans="1:75" ht="15" customHeight="1" x14ac:dyDescent="0.2">
      <c r="A19" s="458" t="str">
        <f ca="1">IFERROR(VLOOKUP(A17,OFFSET($AG$2,,,COUNTIF($AG$2:$AG$50,"?*"),23),18,FALSE),"")</f>
        <v/>
      </c>
      <c r="B19" s="459"/>
      <c r="C19" s="459"/>
      <c r="D19" s="460" t="str">
        <f ca="1">IFERROR(VLOOKUP(A17,OFFSET($AG$2,,,COUNTIF($AG$2:$AG$50,"?*"),23),19,FALSE),"")</f>
        <v/>
      </c>
      <c r="E19" s="460"/>
      <c r="F19" s="461"/>
      <c r="H19" s="462" t="str">
        <f>H$8</f>
        <v>VIT</v>
      </c>
      <c r="I19" s="462"/>
      <c r="J19" s="462"/>
      <c r="K19" s="462"/>
      <c r="M19" s="458" t="str">
        <f ca="1">IFERROR(VLOOKUP(M17,OFFSET($AG$2,,,COUNTIF($AG$2:$AG$50,"?*"),23),18,FALSE),"")</f>
        <v/>
      </c>
      <c r="N19" s="459"/>
      <c r="O19" s="459"/>
      <c r="P19" s="460" t="str">
        <f ca="1">IFERROR(VLOOKUP(M17,OFFSET($AG$2,,,COUNTIF($AG$2:$AG$50,"?*"),23),19,FALSE),"")</f>
        <v/>
      </c>
      <c r="Q19" s="460"/>
      <c r="R19" s="461"/>
      <c r="S19" s="110" t="s">
        <v>823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337</v>
      </c>
      <c r="AH19" s="122"/>
      <c r="AI19" s="123"/>
      <c r="AJ19" s="123"/>
      <c r="AK19" s="123"/>
      <c r="AL19" s="124">
        <f>IF(AG19&lt;&gt;"",AJ19+AK19,"")</f>
        <v>0</v>
      </c>
      <c r="AM19" s="123" t="s">
        <v>282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417"/>
      <c r="BT19" s="104" t="s">
        <v>913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446" t="str">
        <f ca="1">IFERROR(IF(VLOOKUP(A17,OFFSET($AG$2,,,COUNTIF($AG$2:$AG$50,"?*"),23),13,FALSE)&lt;&gt;0,VLOOKUP(A17,OFFSET($AG$2,,,COUNTIF($AG$2:$AG$50,"?*"),23),13,FALSE),"?"),"")</f>
        <v/>
      </c>
      <c r="B20" s="447"/>
      <c r="C20" s="448"/>
      <c r="D20" s="449" t="str">
        <f ca="1">IFERROR(IF(VLOOKUP(A17,OFFSET($AG$2,,,COUNTIF($AG$2:$AG$50,"?*"),23),14,FALSE)&lt;&gt;0,VLOOKUP(A17,OFFSET($AG$2,,,COUNTIF($AG$2:$AG$50,"?*"),23),14,FALSE),"?"),"")</f>
        <v/>
      </c>
      <c r="E20" s="450"/>
      <c r="F20" s="7" t="str">
        <f ca="1">IFERROR(IF(VLOOKUP(A17,OFFSET($AG$2,,,COUNTIF($AG$2:$AG$50,"?*"),23),7,FALSE)&lt;&gt;0,VLOOKUP(A17,OFFSET($AG$2,,,COUNTIF($AG$2:$AG$50,"?*"),23),7,FALSE),"?"),"")</f>
        <v/>
      </c>
      <c r="H20" s="462"/>
      <c r="I20" s="462"/>
      <c r="J20" s="462"/>
      <c r="K20" s="462"/>
      <c r="M20" s="446" t="str">
        <f ca="1">IFERROR(IF(VLOOKUP(M17,OFFSET($AG$2,,,COUNTIF($AG$2:$AG$50,"?*"),23),13,FALSE)&lt;&gt;0,VLOOKUP(M17,OFFSET($AG$2,,,COUNTIF($AG$2:$AG$50,"?*"),23),13,FALSE),"?"),"")</f>
        <v/>
      </c>
      <c r="N20" s="447"/>
      <c r="O20" s="448"/>
      <c r="P20" s="449" t="str">
        <f ca="1">IFERROR(IF(VLOOKUP(M17,OFFSET($AG$2,,,COUNTIF($AG$2:$AG$50,"?*"),23),14,FALSE)&lt;&gt;0,VLOOKUP(M17,OFFSET($AG$2,,,COUNTIF($AG$2:$AG$50,"?*"),23),14,FALSE),"?"),"")</f>
        <v/>
      </c>
      <c r="Q20" s="45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1361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NE</v>
      </c>
      <c r="AG20" s="121" t="s">
        <v>325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137</v>
      </c>
      <c r="AQ20" s="123">
        <v>179</v>
      </c>
      <c r="AR20" s="123">
        <v>69</v>
      </c>
      <c r="AS20" s="126" t="s">
        <v>352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9 OZ, 3 (1+2), +11 ±</v>
      </c>
      <c r="AY20" s="129" t="str">
        <f t="shared" ca="1" si="2"/>
        <v>148 OZ, 43 (11+32)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417"/>
      <c r="BT20" s="104" t="s">
        <v>914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908</v>
      </c>
      <c r="T21" s="102" t="s">
        <v>105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321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137</v>
      </c>
      <c r="AQ21" s="123">
        <v>186</v>
      </c>
      <c r="AR21" s="123">
        <v>70</v>
      </c>
      <c r="AS21" s="126" t="s">
        <v>353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11 OZ, 5 (1+4), +9 ±</v>
      </c>
      <c r="AY21" s="129" t="str">
        <f t="shared" ca="1" si="2"/>
        <v>53 OZ, 37 (20+17)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417"/>
      <c r="BT21" s="104" t="s">
        <v>915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327</v>
      </c>
      <c r="T22" s="102" t="s">
        <v>105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338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150</v>
      </c>
      <c r="AP22" s="125" t="s">
        <v>137</v>
      </c>
      <c r="AQ22" s="123">
        <v>186</v>
      </c>
      <c r="AR22" s="123">
        <v>80</v>
      </c>
      <c r="AS22" s="126" t="s">
        <v>343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417" t="s">
        <v>38</v>
      </c>
      <c r="BT22" s="104" t="s">
        <v>916</v>
      </c>
      <c r="BU22" s="103">
        <v>13</v>
      </c>
      <c r="BV22" s="104" t="str">
        <f t="shared" si="13"/>
        <v>Matyáš Šindler</v>
      </c>
      <c r="BW22" s="102">
        <f t="shared" si="14"/>
        <v>13</v>
      </c>
    </row>
    <row r="23" spans="1:75" ht="15" customHeight="1" thickTop="1" thickBot="1" x14ac:dyDescent="0.25">
      <c r="A23" s="429"/>
      <c r="B23" s="430"/>
      <c r="C23" s="430"/>
      <c r="D23" s="43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463" t="s">
        <v>13</v>
      </c>
      <c r="I23" s="463"/>
      <c r="J23" s="463"/>
      <c r="K23" s="463"/>
      <c r="M23" s="429"/>
      <c r="N23" s="430"/>
      <c r="O23" s="430"/>
      <c r="P23" s="43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328</v>
      </c>
      <c r="T23" s="102" t="s">
        <v>107</v>
      </c>
      <c r="U23" s="102">
        <v>2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339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354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3 V, 1 P</v>
      </c>
      <c r="AY23" s="129" t="str">
        <f t="shared" ca="1" si="2"/>
        <v>149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417"/>
      <c r="BT23" s="104" t="s">
        <v>1368</v>
      </c>
      <c r="BU23" s="103">
        <v>11</v>
      </c>
      <c r="BV23" s="104" t="str">
        <f t="shared" si="13"/>
        <v>Adam Delong</v>
      </c>
      <c r="BW23" s="102">
        <f t="shared" si="14"/>
        <v>11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422" t="str">
        <f ca="1">IFERROR(IF(VLOOKUP(A23,OFFSET($AG$2,,,COUNTIF($AG$2:$AG$50,"?*"),23),2,FALSE)&lt;&gt;0,YEAR(VLOOKUP(A23,OFFSET($AG$2,,,COUNTIF($AG$2:$AG$50,"?*"),23),2,FALSE)),""),"")</f>
        <v/>
      </c>
      <c r="C24" s="423"/>
      <c r="D24" s="117" t="str">
        <f ca="1">IFERROR(VLOOKUP(A23,OFFSET($AG$2,,,COUNTIF($AG$2:$AG$50,"?*"),23),15,FALSE),"")</f>
        <v/>
      </c>
      <c r="E24" s="424" t="str">
        <f ca="1">IFERROR(VLOOKUP(A23,OFFSET($AG$2,,,COUNTIF($AG$2:$AG$50,"?*"),23),16,FALSE),"")</f>
        <v/>
      </c>
      <c r="F24" s="425"/>
      <c r="M24" s="4" t="str">
        <f ca="1">IFERROR(IF(VLOOKUP(M23,OFFSET($AG$2,,,COUNTIF($AG$2:$AG$50,"?*"),23),10,FALSE)&lt;&gt;0,VLOOKUP(M23,OFFSET($AG$2,,,COUNTIF($AG$2:$AG$50,"?*"),23),10,FALSE),""),"")</f>
        <v/>
      </c>
      <c r="N24" s="422" t="str">
        <f ca="1">IFERROR(IF(VLOOKUP(M23,OFFSET($AG$2,,,COUNTIF($AG$2:$AG$50,"?*"),23),2,FALSE)&lt;&gt;0,YEAR(VLOOKUP(M23,OFFSET($AG$2,,,COUNTIF($AG$2:$AG$50,"?*"),23),2,FALSE)),""),"")</f>
        <v/>
      </c>
      <c r="O24" s="423"/>
      <c r="P24" s="117" t="str">
        <f ca="1">IFERROR(VLOOKUP(M23,OFFSET($AG$2,,,COUNTIF($AG$2:$AG$50,"?*"),23),15,FALSE),"")</f>
        <v/>
      </c>
      <c r="Q24" s="424" t="str">
        <f ca="1">IFERROR(VLOOKUP(M23,OFFSET($AG$2,,,COUNTIF($AG$2:$AG$50,"?*"),23),16,FALSE),"")</f>
        <v/>
      </c>
      <c r="R24" s="425"/>
      <c r="S24" s="110" t="s">
        <v>340</v>
      </c>
      <c r="T24" s="102" t="s">
        <v>107</v>
      </c>
      <c r="U24" s="102">
        <v>2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340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355</v>
      </c>
      <c r="AT24" s="123">
        <v>2011</v>
      </c>
      <c r="AU24" s="127">
        <f ca="1">IF(AG24&lt;&gt;"",IF(AH24&lt;&gt;"",INT((TODAY()-AH24)/365),"?"),"")</f>
        <v>18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417"/>
      <c r="BT24" s="104" t="s">
        <v>920</v>
      </c>
      <c r="BU24" s="103">
        <v>11</v>
      </c>
      <c r="BV24" s="104" t="str">
        <f t="shared" si="13"/>
        <v>Marek Matejčík</v>
      </c>
      <c r="BW24" s="102">
        <f t="shared" si="14"/>
        <v>11</v>
      </c>
    </row>
    <row r="25" spans="1:75" ht="15" customHeight="1" thickTop="1" thickBot="1" x14ac:dyDescent="0.25">
      <c r="A25" s="458" t="str">
        <f ca="1">IFERROR(VLOOKUP(A23,OFFSET($AG$2,,,COUNTIF($AG$2:$AG$50,"?*"),23),18,FALSE),"")</f>
        <v/>
      </c>
      <c r="B25" s="459"/>
      <c r="C25" s="459"/>
      <c r="D25" s="460" t="str">
        <f ca="1">IFERROR(VLOOKUP(A23,OFFSET($AG$2,,,COUNTIF($AG$2:$AG$50,"?*"),23),19,FALSE),"")</f>
        <v/>
      </c>
      <c r="E25" s="460"/>
      <c r="F25" s="461"/>
      <c r="G25" s="429"/>
      <c r="H25" s="430"/>
      <c r="I25" s="430"/>
      <c r="J25" s="43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458" t="str">
        <f ca="1">IFERROR(VLOOKUP(M23,OFFSET($AG$2,,,COUNTIF($AG$2:$AG$50,"?*"),23),18,FALSE),"")</f>
        <v/>
      </c>
      <c r="N25" s="459"/>
      <c r="O25" s="459"/>
      <c r="P25" s="460" t="str">
        <f ca="1">IFERROR(VLOOKUP(M23,OFFSET($AG$2,,,COUNTIF($AG$2:$AG$50,"?*"),23),19,FALSE),"")</f>
        <v/>
      </c>
      <c r="Q25" s="460"/>
      <c r="R25" s="461"/>
      <c r="S25" s="110" t="s">
        <v>339</v>
      </c>
      <c r="T25" s="102" t="s">
        <v>105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328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137</v>
      </c>
      <c r="AQ25" s="123">
        <v>182</v>
      </c>
      <c r="AR25" s="123">
        <v>78</v>
      </c>
      <c r="AS25" s="126" t="s">
        <v>345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417"/>
      <c r="BT25" s="104" t="s">
        <v>917</v>
      </c>
      <c r="BU25" s="103">
        <v>8</v>
      </c>
      <c r="BV25" s="104" t="str">
        <f t="shared" si="13"/>
        <v>Adam Zubek</v>
      </c>
      <c r="BW25" s="102">
        <f t="shared" si="14"/>
        <v>8</v>
      </c>
    </row>
    <row r="26" spans="1:75" ht="15" customHeight="1" thickBot="1" x14ac:dyDescent="0.25">
      <c r="A26" s="446" t="str">
        <f ca="1">IFERROR(IF(VLOOKUP(A23,OFFSET($AG$2,,,COUNTIF($AG$2:$AG$50,"?*"),23),13,FALSE)&lt;&gt;0,VLOOKUP(A23,OFFSET($AG$2,,,COUNTIF($AG$2:$AG$50,"?*"),23),13,FALSE),"?"),"")</f>
        <v/>
      </c>
      <c r="B26" s="447"/>
      <c r="C26" s="448"/>
      <c r="D26" s="449" t="str">
        <f ca="1">IFERROR(IF(VLOOKUP(A23,OFFSET($AG$2,,,COUNTIF($AG$2:$AG$50,"?*"),23),14,FALSE)&lt;&gt;0,VLOOKUP(A23,OFFSET($AG$2,,,COUNTIF($AG$2:$AG$50,"?*"),23),14,FALSE),"?"),"")</f>
        <v/>
      </c>
      <c r="E26" s="45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422" t="str">
        <f ca="1">IFERROR(IF(VLOOKUP(G25,OFFSET($AG$2,,,COUNTIF($AG$2:$AG$50,"?*"),23),2,FALSE)&lt;&gt;0,YEAR(VLOOKUP(G25,OFFSET($AG$2,,,COUNTIF($AG$2:$AG$50,"?*"),23),2,FALSE)),""),"")</f>
        <v/>
      </c>
      <c r="I26" s="423"/>
      <c r="J26" s="117" t="str">
        <f ca="1">IFERROR(VLOOKUP(G25,OFFSET($AG$2,,,COUNTIF($AG$2:$AG$50,"?*"),23),15,FALSE),"")</f>
        <v/>
      </c>
      <c r="K26" s="424" t="str">
        <f ca="1">IFERROR(VLOOKUP(G25,OFFSET($AG$2,,,COUNTIF($AG$2:$AG$50,"?*"),23),16,FALSE),"")</f>
        <v/>
      </c>
      <c r="L26" s="425"/>
      <c r="M26" s="446" t="str">
        <f ca="1">IFERROR(IF(VLOOKUP(M23,OFFSET($AG$2,,,COUNTIF($AG$2:$AG$50,"?*"),23),13,FALSE)&lt;&gt;0,VLOOKUP(M23,OFFSET($AG$2,,,COUNTIF($AG$2:$AG$50,"?*"),23),13,FALSE),"?"),"")</f>
        <v/>
      </c>
      <c r="N26" s="447"/>
      <c r="O26" s="448"/>
      <c r="P26" s="449" t="str">
        <f ca="1">IFERROR(IF(VLOOKUP(M23,OFFSET($AG$2,,,COUNTIF($AG$2:$AG$50,"?*"),23),14,FALSE)&lt;&gt;0,VLOOKUP(M23,OFFSET($AG$2,,,COUNTIF($AG$2:$AG$50,"?*"),23),14,FALSE),"?"),"")</f>
        <v/>
      </c>
      <c r="Q26" s="45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326</v>
      </c>
      <c r="T26" s="102" t="s">
        <v>105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315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137</v>
      </c>
      <c r="AQ26" s="123">
        <v>186</v>
      </c>
      <c r="AR26" s="123">
        <v>81</v>
      </c>
      <c r="AS26" s="126" t="s">
        <v>356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11 OZ, 23 (10+13), +19 ±</v>
      </c>
      <c r="AY26" s="129" t="str">
        <f t="shared" ca="1" si="16"/>
        <v>95 OZ, 144 (46+98)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417"/>
      <c r="BT26" s="104" t="s">
        <v>918</v>
      </c>
      <c r="BU26" s="103">
        <v>6</v>
      </c>
      <c r="BV26" s="104" t="str">
        <f t="shared" si="13"/>
        <v>Ondřej Vítovec</v>
      </c>
      <c r="BW26" s="102">
        <f t="shared" si="14"/>
        <v>6</v>
      </c>
    </row>
    <row r="27" spans="1:75" ht="15" customHeight="1" thickTop="1" thickBot="1" x14ac:dyDescent="0.25">
      <c r="A27" s="8"/>
      <c r="B27" s="8"/>
      <c r="C27" s="8"/>
      <c r="D27" s="8"/>
      <c r="G27" s="458" t="str">
        <f ca="1">IFERROR(VLOOKUP(G25,OFFSET($AG$2,,,COUNTIF($AG$2:$AG$50,"?*"),23),18,FALSE),"")</f>
        <v/>
      </c>
      <c r="H27" s="459"/>
      <c r="I27" s="459"/>
      <c r="J27" s="460" t="str">
        <f ca="1">IFERROR(VLOOKUP(G25,OFFSET($AG$2,,,COUNTIF($AG$2:$AG$50,"?*"),23),19,FALSE),"")</f>
        <v/>
      </c>
      <c r="K27" s="460"/>
      <c r="L27" s="461"/>
      <c r="S27" s="111"/>
      <c r="AC27" s="102" t="str">
        <f t="shared" ca="1" si="0"/>
        <v/>
      </c>
      <c r="AG27" s="121" t="s">
        <v>324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137</v>
      </c>
      <c r="AQ27" s="123">
        <v>179</v>
      </c>
      <c r="AR27" s="123">
        <v>76</v>
      </c>
      <c r="AS27" s="126" t="s">
        <v>287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6 OZ, 3 (0+3), +2 ±</v>
      </c>
      <c r="AY27" s="129" t="str">
        <f t="shared" ca="1" si="16"/>
        <v>185 OZ, 121 (36+85)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417" t="s">
        <v>39</v>
      </c>
      <c r="BT27" s="104" t="s">
        <v>1369</v>
      </c>
      <c r="BU27" s="103">
        <v>4</v>
      </c>
      <c r="BV27" s="104" t="str">
        <f t="shared" si="13"/>
        <v>Jiří Besta</v>
      </c>
      <c r="BW27" s="102">
        <f t="shared" si="14"/>
        <v>4</v>
      </c>
    </row>
    <row r="28" spans="1:75" ht="15" customHeight="1" thickTop="1" thickBot="1" x14ac:dyDescent="0.25">
      <c r="A28" s="429"/>
      <c r="B28" s="430"/>
      <c r="C28" s="430"/>
      <c r="D28" s="43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446" t="str">
        <f ca="1">IFERROR(IF(VLOOKUP(G25,OFFSET($AG$2,,,COUNTIF($AG$2:$AG$50,"?*"),23),13,FALSE)&lt;&gt;0,VLOOKUP(G25,OFFSET($AG$2,,,COUNTIF($AG$2:$AG$50,"?*"),23),13,FALSE),"?"),"")</f>
        <v/>
      </c>
      <c r="H28" s="447"/>
      <c r="I28" s="448"/>
      <c r="J28" s="449" t="str">
        <f ca="1">IFERROR(IF(VLOOKUP(G25,OFFSET($AG$2,,,COUNTIF($AG$2:$AG$50,"?*"),23),14,FALSE)&lt;&gt;0,VLOOKUP(G25,OFFSET($AG$2,,,COUNTIF($AG$2:$AG$50,"?*"),23),14,FALSE),"?"),"")</f>
        <v/>
      </c>
      <c r="K28" s="450"/>
      <c r="L28" s="7" t="str">
        <f ca="1">IFERROR(IF(VLOOKUP(G25,OFFSET($AG$2,,,COUNTIF($AG$2:$AG$50,"?*"),23),7,FALSE)&lt;&gt;0,VLOOKUP(G25,OFFSET($AG$2,,,COUNTIF($AG$2:$AG$50,"?*"),23),7,FALSE),"?"),"")</f>
        <v/>
      </c>
      <c r="M28" s="429"/>
      <c r="N28" s="430"/>
      <c r="O28" s="430"/>
      <c r="P28" s="43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341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137</v>
      </c>
      <c r="AQ28" s="123"/>
      <c r="AR28" s="123"/>
      <c r="AS28" s="126" t="s">
        <v>357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417"/>
      <c r="BT28" s="104" t="s">
        <v>919</v>
      </c>
      <c r="BU28" s="103">
        <v>4</v>
      </c>
      <c r="BV28" s="104" t="str">
        <f t="shared" si="13"/>
        <v>Marek Bräuer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422" t="str">
        <f ca="1">IFERROR(IF(VLOOKUP(A28,OFFSET($AG$2,,,COUNTIF($AG$2:$AG$50,"?*"),23),2,FALSE)&lt;&gt;0,YEAR(VLOOKUP(A28,OFFSET($AG$2,,,COUNTIF($AG$2:$AG$50,"?*"),23),2,FALSE)),""),"")</f>
        <v/>
      </c>
      <c r="C29" s="423"/>
      <c r="D29" s="117" t="str">
        <f ca="1">IFERROR(VLOOKUP(A28,OFFSET($AG$2,,,COUNTIF($AG$2:$AG$50,"?*"),23),15,FALSE),"")</f>
        <v/>
      </c>
      <c r="E29" s="424" t="str">
        <f ca="1">IFERROR(VLOOKUP(A28,OFFSET($AG$2,,,COUNTIF($AG$2:$AG$50,"?*"),23),16,FALSE),"")</f>
        <v/>
      </c>
      <c r="F29" s="425"/>
      <c r="M29" s="4" t="str">
        <f ca="1">IFERROR(IF(VLOOKUP(M28,OFFSET($AG$2,,,COUNTIF($AG$2:$AG$50,"?*"),23),10,FALSE)&lt;&gt;0,VLOOKUP(M28,OFFSET($AG$2,,,COUNTIF($AG$2:$AG$50,"?*"),23),10,FALSE),""),"")</f>
        <v/>
      </c>
      <c r="N29" s="422" t="str">
        <f ca="1">IFERROR(IF(VLOOKUP(M28,OFFSET($AG$2,,,COUNTIF($AG$2:$AG$50,"?*"),23),2,FALSE)&lt;&gt;0,YEAR(VLOOKUP(M28,OFFSET($AG$2,,,COUNTIF($AG$2:$AG$50,"?*"),23),2,FALSE)),""),"")</f>
        <v/>
      </c>
      <c r="O29" s="423"/>
      <c r="P29" s="117" t="str">
        <f ca="1">IFERROR(VLOOKUP(M28,OFFSET($AG$2,,,COUNTIF($AG$2:$AG$50,"?*"),23),15,FALSE),"")</f>
        <v/>
      </c>
      <c r="Q29" s="424" t="str">
        <f ca="1">IFERROR(VLOOKUP(M28,OFFSET($AG$2,,,COUNTIF($AG$2:$AG$50,"?*"),23),16,FALSE),"")</f>
        <v/>
      </c>
      <c r="R29" s="425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417"/>
      <c r="BT29" s="104" t="s">
        <v>824</v>
      </c>
      <c r="BU29" s="103">
        <v>4</v>
      </c>
      <c r="BV29" s="104" t="str">
        <f t="shared" si="13"/>
        <v>Rostislav Gattnar</v>
      </c>
      <c r="BW29" s="102">
        <f t="shared" si="14"/>
        <v>4</v>
      </c>
    </row>
    <row r="30" spans="1:75" ht="15" customHeight="1" x14ac:dyDescent="0.2">
      <c r="A30" s="458" t="str">
        <f ca="1">IFERROR(VLOOKUP(A28,OFFSET($AG$2,,,COUNTIF($AG$2:$AG$50,"?*"),23),18,FALSE),"")</f>
        <v/>
      </c>
      <c r="B30" s="459"/>
      <c r="C30" s="459"/>
      <c r="D30" s="460" t="str">
        <f ca="1">IFERROR(VLOOKUP(A28,OFFSET($AG$2,,,COUNTIF($AG$2:$AG$50,"?*"),23),19,FALSE),"")</f>
        <v/>
      </c>
      <c r="E30" s="460"/>
      <c r="F30" s="461"/>
      <c r="H30" s="462" t="str">
        <f>H$8</f>
        <v>VIT</v>
      </c>
      <c r="I30" s="462"/>
      <c r="J30" s="462"/>
      <c r="K30" s="462"/>
      <c r="M30" s="458" t="str">
        <f ca="1">IFERROR(VLOOKUP(M28,OFFSET($AG$2,,,COUNTIF($AG$2:$AG$50,"?*"),23),18,FALSE),"")</f>
        <v/>
      </c>
      <c r="N30" s="459"/>
      <c r="O30" s="459"/>
      <c r="P30" s="460" t="str">
        <f ca="1">IFERROR(VLOOKUP(M28,OFFSET($AG$2,,,COUNTIF($AG$2:$AG$50,"?*"),23),19,FALSE),"")</f>
        <v/>
      </c>
      <c r="Q30" s="460"/>
      <c r="R30" s="46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417"/>
      <c r="BT30" s="104" t="s">
        <v>1370</v>
      </c>
      <c r="BU30" s="103">
        <v>2</v>
      </c>
      <c r="BV30" s="104" t="str">
        <f t="shared" si="13"/>
        <v>Adam Delong</v>
      </c>
      <c r="BW30" s="102">
        <f t="shared" si="14"/>
        <v>2</v>
      </c>
    </row>
    <row r="31" spans="1:75" ht="15" customHeight="1" thickBot="1" x14ac:dyDescent="0.25">
      <c r="A31" s="446" t="str">
        <f ca="1">IFERROR(IF(VLOOKUP(A28,OFFSET($AG$2,,,COUNTIF($AG$2:$AG$50,"?*"),23),13,FALSE)&lt;&gt;0,VLOOKUP(A28,OFFSET($AG$2,,,COUNTIF($AG$2:$AG$50,"?*"),23),13,FALSE),"?"),"")</f>
        <v/>
      </c>
      <c r="B31" s="447"/>
      <c r="C31" s="448"/>
      <c r="D31" s="449" t="str">
        <f ca="1">IFERROR(IF(VLOOKUP(A28,OFFSET($AG$2,,,COUNTIF($AG$2:$AG$50,"?*"),23),14,FALSE)&lt;&gt;0,VLOOKUP(A28,OFFSET($AG$2,,,COUNTIF($AG$2:$AG$50,"?*"),23),14,FALSE),"?"),"")</f>
        <v/>
      </c>
      <c r="E31" s="450"/>
      <c r="F31" s="7" t="str">
        <f ca="1">IFERROR(IF(VLOOKUP(A28,OFFSET($AG$2,,,COUNTIF($AG$2:$AG$50,"?*"),23),7,FALSE)&lt;&gt;0,VLOOKUP(A28,OFFSET($AG$2,,,COUNTIF($AG$2:$AG$50,"?*"),23),7,FALSE),"?"),"")</f>
        <v/>
      </c>
      <c r="H31" s="462"/>
      <c r="I31" s="462"/>
      <c r="J31" s="462"/>
      <c r="K31" s="462"/>
      <c r="M31" s="446" t="str">
        <f ca="1">IFERROR(IF(VLOOKUP(M28,OFFSET($AG$2,,,COUNTIF($AG$2:$AG$50,"?*"),23),13,FALSE)&lt;&gt;0,VLOOKUP(M28,OFFSET($AG$2,,,COUNTIF($AG$2:$AG$50,"?*"),23),13,FALSE),"?"),"")</f>
        <v/>
      </c>
      <c r="N31" s="447"/>
      <c r="O31" s="448"/>
      <c r="P31" s="449" t="str">
        <f ca="1">IFERROR(IF(VLOOKUP(M28,OFFSET($AG$2,,,COUNTIF($AG$2:$AG$50,"?*"),23),14,FALSE)&lt;&gt;0,VLOOKUP(M28,OFFSET($AG$2,,,COUNTIF($AG$2:$AG$50,"?*"),23),14,FALSE),"?"),"")</f>
        <v/>
      </c>
      <c r="Q31" s="45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417"/>
      <c r="BT31" s="104" t="s">
        <v>1371</v>
      </c>
      <c r="BU31" s="103">
        <v>2</v>
      </c>
      <c r="BV31" s="104" t="str">
        <f t="shared" si="13"/>
        <v>Filip Čonka-Skyba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429"/>
      <c r="B34" s="430"/>
      <c r="C34" s="430"/>
      <c r="D34" s="43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457" t="s">
        <v>16</v>
      </c>
      <c r="J34" s="429"/>
      <c r="K34" s="430"/>
      <c r="L34" s="430"/>
      <c r="M34" s="430"/>
      <c r="N34" s="430"/>
      <c r="O34" s="430"/>
      <c r="P34" s="43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422" t="str">
        <f ca="1">IFERROR(IF(VLOOKUP(A34,OFFSET($AG$2,,,COUNTIF($AG$2:$AG$50,"?*"),23),2,FALSE)&lt;&gt;0,YEAR(VLOOKUP(A34,OFFSET($AG$2,,,COUNTIF($AG$2:$AG$50,"?*"),23),2,FALSE)),""),"")</f>
        <v/>
      </c>
      <c r="C35" s="423"/>
      <c r="D35" s="117" t="str">
        <f ca="1">IFERROR(VLOOKUP(A34,OFFSET($AG$2,,,COUNTIF($AG$2:$AG$50,"?*"),23),15,FALSE),"")</f>
        <v/>
      </c>
      <c r="E35" s="424" t="str">
        <f ca="1">IFERROR(VLOOKUP(A34,OFFSET($AG$2,,,COUNTIF($AG$2:$AG$50,"?*"),23),16,FALSE),"")</f>
        <v/>
      </c>
      <c r="F35" s="425"/>
      <c r="H35" s="457"/>
      <c r="J35" s="4" t="str">
        <f ca="1">IFERROR(IF(VLOOKUP(J34,OFFSET($AG$2,,,COUNTIF($AG$2:$AG$50,"?*"),23),10,FALSE)&lt;&gt;0,VLOOKUP(J34,OFFSET($AG$2,,,COUNTIF($AG$2:$AG$50,"?*"),23),10,FALSE),""),"")</f>
        <v/>
      </c>
      <c r="K35" s="423" t="str">
        <f ca="1">IFERROR(IF(VLOOKUP(J34,OFFSET($AG$2,,,COUNTIF($AG$2:$AG$50,"?*"),23),2,FALSE)&lt;&gt;0,YEAR(VLOOKUP(J34,OFFSET($AG$2,,,COUNTIF($AG$2:$AG$50,"?*"),23),2,FALSE)),""),"")</f>
        <v/>
      </c>
      <c r="L35" s="431"/>
      <c r="M35" s="118" t="str">
        <f ca="1">IFERROR(VLOOKUP(J34,OFFSET($AG$2,,,COUNTIF($AG$2:$AG$50,"?*"),23),15,FALSE),"")</f>
        <v/>
      </c>
      <c r="N35" s="431" t="str">
        <f ca="1">IFERROR(VLOOKUP(J34,OFFSET($AG$2,,,COUNTIF($AG$2:$AG$50,"?*"),23),16,FALSE),"")</f>
        <v/>
      </c>
      <c r="O35" s="431"/>
      <c r="P35" s="431" t="str">
        <f ca="1">IFERROR(VLOOKUP(J34,OFFSET($AG$2,,,COUNTIF($AG$2:$AG$50,"?*"),23),18,FALSE),"")</f>
        <v/>
      </c>
      <c r="Q35" s="431"/>
      <c r="R35" s="43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426" t="str">
        <f ca="1">IFERROR(VLOOKUP(A34,OFFSET($AG$2,,,COUNTIF($AG$2:$AG$50,"?*"),23),18,FALSE),"")</f>
        <v/>
      </c>
      <c r="C36" s="426"/>
      <c r="D36" s="427" t="str">
        <f ca="1">IFERROR(VLOOKUP(A34,OFFSET($S$45,,,COUNTIF($S$45:$S$50,"?*"),14),5,FALSE),"")</f>
        <v/>
      </c>
      <c r="E36" s="428"/>
      <c r="F36" s="17" t="str">
        <f ca="1">IFERROR(VLOOKUP(A34,OFFSET($S$45,,,COUNTIF($S$45:$S$50,"?*"),14),14,FALSE),"")</f>
        <v/>
      </c>
      <c r="H36" s="457"/>
      <c r="J36" s="18" t="str">
        <f ca="1">IFERROR(IF(VLOOKUP(J34,OFFSET($AG$2,,,COUNTIF($AG$2:$AG$50,"?*"),23),7,FALSE)&lt;&gt;0,VLOOKUP(J34,OFFSET($AG$2,,,COUNTIF($AG$2:$AG$50,"?*"),23),7,FALSE),"?"),"")</f>
        <v/>
      </c>
      <c r="K36" s="433" t="str">
        <f ca="1">IFERROR(VLOOKUP(J34,OFFSET($AG$2,,,COUNTIF($AG$2:$AG$50,"?*"),23),19,FALSE),"")</f>
        <v/>
      </c>
      <c r="L36" s="433"/>
      <c r="M36" s="433"/>
      <c r="N36" s="434" t="str">
        <f ca="1">IFERROR(IF(VLOOKUP(J34,OFFSET($AG$2,,,COUNTIF($AG$2:$AG$50,"?*"),23),13,FALSE)&lt;&gt;0,VLOOKUP(J34,OFFSET($AG$2,,,COUNTIF($AG$2:$AG$50,"?*"),23),13,FALSE),"?"),"")</f>
        <v/>
      </c>
      <c r="O36" s="434"/>
      <c r="P36" s="434"/>
      <c r="Q36" s="433" t="str">
        <f ca="1">IFERROR(IF(VLOOKUP(J34,OFFSET($AG$2,,,COUNTIF($AG$2:$AG$50,"?*"),23),14,FALSE)&lt;&gt;0,VLOOKUP(J34,OFFSET($AG$2,,,COUNTIF($AG$2:$AG$50,"?*"),23),14,FALSE),"?"),"")</f>
        <v/>
      </c>
      <c r="R36" s="43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451" t="str">
        <f ca="1">IFERROR(VLOOKUP(A34,OFFSET($S$45,,,COUNTIF($S$45:$S$50,"?*"),14),3,FALSE),"")</f>
        <v/>
      </c>
      <c r="B37" s="452"/>
      <c r="C37" s="453" t="str">
        <f ca="1">IFERROR(VLOOKUP(A34,OFFSET($S$45,,,COUNTIF($S$45:$S$50,"?*"),14),13,FALSE),"")</f>
        <v/>
      </c>
      <c r="D37" s="454"/>
      <c r="E37" s="455" t="str">
        <f ca="1">IFERROR(VLOOKUP(A34,OFFSET($AG$2,,,COUNTIF($AG$2:$AG$50,"?*"),23),19,FALSE),"")</f>
        <v/>
      </c>
      <c r="F37" s="456"/>
      <c r="H37" s="45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446" t="str">
        <f ca="1">IFERROR(IF(VLOOKUP(A34,OFFSET($AG$2,,,COUNTIF($AG$2:$AG$50,"?*"),23),13,FALSE)&lt;&gt;0,VLOOKUP(A34,OFFSET($AG$2,,,COUNTIF($AG$2:$AG$50,"?*"),23),13,FALSE),"?"),"")</f>
        <v/>
      </c>
      <c r="B38" s="447"/>
      <c r="C38" s="448"/>
      <c r="D38" s="449" t="str">
        <f ca="1">IFERROR(IF(VLOOKUP(A34,OFFSET($AG$2,,,COUNTIF($AG$2:$AG$50,"?*"),23),14,FALSE)&lt;&gt;0,VLOOKUP(A34,OFFSET($AG$2,,,COUNTIF($AG$2:$AG$50,"?*"),23),14,FALSE),"?"),"")</f>
        <v/>
      </c>
      <c r="E38" s="450"/>
      <c r="F38" s="19" t="str">
        <f ca="1">IFERROR(VLOOKUP(A34,OFFSET($S$45,,,COUNTIF($S$45:$S$50,"?*"),14),6,FALSE),"")</f>
        <v/>
      </c>
      <c r="H38" s="457"/>
      <c r="J38" s="429"/>
      <c r="K38" s="430"/>
      <c r="L38" s="430"/>
      <c r="M38" s="430"/>
      <c r="N38" s="430"/>
      <c r="O38" s="430"/>
      <c r="P38" s="43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457"/>
      <c r="J39" s="4" t="str">
        <f ca="1">IFERROR(IF(VLOOKUP(J38,OFFSET($AG$2,,,COUNTIF($AG$2:$AG$50,"?*"),23),10,FALSE)&lt;&gt;0,VLOOKUP(J38,OFFSET($AG$2,,,COUNTIF($AG$2:$AG$50,"?*"),23),10,FALSE),""),"")</f>
        <v/>
      </c>
      <c r="K39" s="423" t="str">
        <f ca="1">IFERROR(IF(VLOOKUP(J38,OFFSET($AG$2,,,COUNTIF($AG$2:$AG$50,"?*"),23),2,FALSE)&lt;&gt;0,YEAR(VLOOKUP(J38,OFFSET($AG$2,,,COUNTIF($AG$2:$AG$50,"?*"),23),2,FALSE)),""),"")</f>
        <v/>
      </c>
      <c r="L39" s="431"/>
      <c r="M39" s="150" t="str">
        <f ca="1">IFERROR(VLOOKUP(J38,OFFSET($AG$2,,,COUNTIF($AG$2:$AG$50,"?*"),23),15,FALSE),"")</f>
        <v/>
      </c>
      <c r="N39" s="431" t="str">
        <f ca="1">IFERROR(VLOOKUP(J38,OFFSET($AG$2,,,COUNTIF($AG$2:$AG$50,"?*"),23),16,FALSE),"")</f>
        <v/>
      </c>
      <c r="O39" s="431"/>
      <c r="P39" s="431" t="str">
        <f ca="1">IFERROR(VLOOKUP(J38,OFFSET($AG$2,,,COUNTIF($AG$2:$AG$50,"?*"),23),18,FALSE),"")</f>
        <v/>
      </c>
      <c r="Q39" s="431"/>
      <c r="R39" s="43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429"/>
      <c r="B40" s="430"/>
      <c r="C40" s="430"/>
      <c r="D40" s="43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457"/>
      <c r="J40" s="18" t="str">
        <f ca="1">IFERROR(IF(VLOOKUP(J38,OFFSET($AG$2,,,COUNTIF($AG$2:$AG$50,"?*"),23),7,FALSE)&lt;&gt;0,VLOOKUP(J38,OFFSET($AG$2,,,COUNTIF($AG$2:$AG$50,"?*"),23),7,FALSE),"?"),"")</f>
        <v/>
      </c>
      <c r="K40" s="433" t="str">
        <f ca="1">IFERROR(VLOOKUP(J38,OFFSET($AG$2,,,COUNTIF($AG$2:$AG$50,"?*"),23),19,FALSE),"")</f>
        <v/>
      </c>
      <c r="L40" s="433"/>
      <c r="M40" s="433"/>
      <c r="N40" s="434" t="str">
        <f ca="1">IFERROR(IF(VLOOKUP(J38,OFFSET($AG$2,,,COUNTIF($AG$2:$AG$50,"?*"),23),13,FALSE)&lt;&gt;0,VLOOKUP(J38,OFFSET($AG$2,,,COUNTIF($AG$2:$AG$50,"?*"),23),13,FALSE),"?"),"")</f>
        <v/>
      </c>
      <c r="O40" s="434"/>
      <c r="P40" s="434"/>
      <c r="Q40" s="433" t="str">
        <f ca="1">IFERROR(IF(VLOOKUP(J38,OFFSET($AG$2,,,COUNTIF($AG$2:$AG$50,"?*"),23),14,FALSE)&lt;&gt;0,VLOOKUP(J38,OFFSET($AG$2,,,COUNTIF($AG$2:$AG$50,"?*"),23),14,FALSE),"?"),"")</f>
        <v/>
      </c>
      <c r="R40" s="43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422" t="str">
        <f ca="1">IFERROR(IF(VLOOKUP(A40,OFFSET($AG$2,,,COUNTIF($AG$2:$AG$50,"?*"),23),2,FALSE)&lt;&gt;0,YEAR(VLOOKUP(A40,OFFSET($AG$2,,,COUNTIF($AG$2:$AG$50,"?*"),23),2,FALSE)),""),"")</f>
        <v/>
      </c>
      <c r="C41" s="423"/>
      <c r="D41" s="117" t="str">
        <f ca="1">IFERROR(VLOOKUP(A40,OFFSET($AG$2,,,COUNTIF($AG$2:$AG$50,"?*"),23),15,FALSE),"")</f>
        <v/>
      </c>
      <c r="E41" s="424" t="str">
        <f ca="1">IFERROR(VLOOKUP(A40,OFFSET($AG$2,,,COUNTIF($AG$2:$AG$50,"?*"),23),16,FALSE),"")</f>
        <v/>
      </c>
      <c r="F41" s="425"/>
      <c r="H41" s="45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426" t="str">
        <f ca="1">IFERROR(VLOOKUP(A40,OFFSET($AG$2,,,COUNTIF($AG$2:$AG$50,"?*"),23),18,FALSE),"")</f>
        <v/>
      </c>
      <c r="C42" s="426"/>
      <c r="D42" s="427" t="str">
        <f ca="1">IFERROR(VLOOKUP(A40,OFFSET($S$45,,,COUNTIF($S$45:$S$50,"?*"),14),5,FALSE),"")</f>
        <v/>
      </c>
      <c r="E42" s="428"/>
      <c r="F42" s="17" t="str">
        <f ca="1">IFERROR(VLOOKUP(A40,OFFSET($S$45,,,COUNTIF($S$45:$S$50,"?*"),14),14,FALSE),"")</f>
        <v/>
      </c>
      <c r="H42" s="457"/>
      <c r="J42" s="429"/>
      <c r="K42" s="430"/>
      <c r="L42" s="430"/>
      <c r="M42" s="430"/>
      <c r="N42" s="430"/>
      <c r="O42" s="430"/>
      <c r="P42" s="43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451" t="str">
        <f ca="1">IFERROR(VLOOKUP(A40,OFFSET($S$45,,,COUNTIF($S$45:$S$50,"?*"),14),3,FALSE),"")</f>
        <v/>
      </c>
      <c r="B43" s="452"/>
      <c r="C43" s="453" t="str">
        <f ca="1">IFERROR(VLOOKUP(A40,OFFSET($S$45,,,COUNTIF($S$45:$S$50,"?*"),14),13,FALSE),"")</f>
        <v/>
      </c>
      <c r="D43" s="454"/>
      <c r="E43" s="455" t="str">
        <f ca="1">IFERROR(VLOOKUP(A40,OFFSET($AG$2,,,COUNTIF($AG$2:$AG$50,"?*"),23),19,FALSE),"")</f>
        <v/>
      </c>
      <c r="F43" s="456"/>
      <c r="H43" s="457"/>
      <c r="J43" s="4" t="str">
        <f ca="1">IFERROR(IF(VLOOKUP(J42,OFFSET($AG$2,,,COUNTIF($AG$2:$AG$50,"?*"),23),10,FALSE)&lt;&gt;0,VLOOKUP(J42,OFFSET($AG$2,,,COUNTIF($AG$2:$AG$50,"?*"),23),10,FALSE),""),"")</f>
        <v/>
      </c>
      <c r="K43" s="423" t="str">
        <f ca="1">IFERROR(IF(VLOOKUP(J42,OFFSET($AG$2,,,COUNTIF($AG$2:$AG$50,"?*"),23),2,FALSE)&lt;&gt;0,YEAR(VLOOKUP(J42,OFFSET($AG$2,,,COUNTIF($AG$2:$AG$50,"?*"),23),2,FALSE)),""),"")</f>
        <v/>
      </c>
      <c r="L43" s="431"/>
      <c r="M43" s="150" t="str">
        <f ca="1">IFERROR(VLOOKUP(J42,OFFSET($AG$2,,,COUNTIF($AG$2:$AG$50,"?*"),23),15,FALSE),"")</f>
        <v/>
      </c>
      <c r="N43" s="431" t="str">
        <f ca="1">IFERROR(VLOOKUP(J42,OFFSET($AG$2,,,COUNTIF($AG$2:$AG$50,"?*"),23),16,FALSE),"")</f>
        <v/>
      </c>
      <c r="O43" s="431"/>
      <c r="P43" s="431" t="str">
        <f ca="1">IFERROR(VLOOKUP(J42,OFFSET($AG$2,,,COUNTIF($AG$2:$AG$50,"?*"),23),18,FALSE),"")</f>
        <v/>
      </c>
      <c r="Q43" s="431"/>
      <c r="R43" s="432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446" t="str">
        <f ca="1">IFERROR(IF(VLOOKUP(A40,OFFSET($AG$2,,,COUNTIF($AG$2:$AG$50,"?*"),23),13,FALSE)&lt;&gt;0,VLOOKUP(A40,OFFSET($AG$2,,,COUNTIF($AG$2:$AG$50,"?*"),23),13,FALSE),"?"),"")</f>
        <v/>
      </c>
      <c r="B44" s="447"/>
      <c r="C44" s="448"/>
      <c r="D44" s="449" t="str">
        <f ca="1">IFERROR(IF(VLOOKUP(A40,OFFSET($AG$2,,,COUNTIF($AG$2:$AG$50,"?*"),23),14,FALSE)&lt;&gt;0,VLOOKUP(A40,OFFSET($AG$2,,,COUNTIF($AG$2:$AG$50,"?*"),23),14,FALSE),"?"),"")</f>
        <v/>
      </c>
      <c r="E44" s="450"/>
      <c r="F44" s="19" t="str">
        <f ca="1">IFERROR(VLOOKUP(A40,OFFSET($S$45,,,COUNTIF($S$45:$S$50,"?*"),14),6,FALSE),"")</f>
        <v/>
      </c>
      <c r="H44" s="457"/>
      <c r="J44" s="18" t="str">
        <f ca="1">IFERROR(IF(VLOOKUP(J42,OFFSET($AG$2,,,COUNTIF($AG$2:$AG$50,"?*"),23),7,FALSE)&lt;&gt;0,VLOOKUP(J42,OFFSET($AG$2,,,COUNTIF($AG$2:$AG$50,"?*"),23),7,FALSE),"?"),"")</f>
        <v/>
      </c>
      <c r="K44" s="433" t="str">
        <f ca="1">IFERROR(VLOOKUP(J42,OFFSET($AG$2,,,COUNTIF($AG$2:$AG$50,"?*"),23),19,FALSE),"")</f>
        <v/>
      </c>
      <c r="L44" s="433"/>
      <c r="M44" s="433"/>
      <c r="N44" s="434" t="str">
        <f ca="1">IFERROR(IF(VLOOKUP(J42,OFFSET($AG$2,,,COUNTIF($AG$2:$AG$50,"?*"),23),13,FALSE)&lt;&gt;0,VLOOKUP(J42,OFFSET($AG$2,,,COUNTIF($AG$2:$AG$50,"?*"),23),13,FALSE),"?"),"")</f>
        <v/>
      </c>
      <c r="O44" s="434"/>
      <c r="P44" s="434"/>
      <c r="Q44" s="433" t="str">
        <f ca="1">IFERROR(IF(VLOOKUP(J42,OFFSET($AG$2,,,COUNTIF($AG$2:$AG$50,"?*"),23),14,FALSE)&lt;&gt;0,VLOOKUP(J42,OFFSET($AG$2,,,COUNTIF($AG$2:$AG$50,"?*"),23),14,FALSE),"?"),"")</f>
        <v/>
      </c>
      <c r="R44" s="435"/>
      <c r="S44" s="109" t="s">
        <v>115</v>
      </c>
      <c r="T44" s="98" t="s">
        <v>78</v>
      </c>
      <c r="U44" s="98" t="s">
        <v>119</v>
      </c>
      <c r="V44" s="98" t="s">
        <v>26</v>
      </c>
      <c r="W44" s="98" t="s">
        <v>121</v>
      </c>
      <c r="X44" s="98" t="s">
        <v>120</v>
      </c>
      <c r="Y44" s="98" t="s">
        <v>62</v>
      </c>
      <c r="Z44" s="98" t="s">
        <v>122</v>
      </c>
      <c r="AA44" s="98" t="s">
        <v>27</v>
      </c>
      <c r="AB44" s="98" t="s">
        <v>49</v>
      </c>
      <c r="AC44" s="98" t="s">
        <v>117</v>
      </c>
      <c r="AD44" s="98" t="s">
        <v>31</v>
      </c>
      <c r="AE44" s="99" t="s">
        <v>40</v>
      </c>
      <c r="AF44" s="99" t="s">
        <v>123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326</v>
      </c>
      <c r="T45" s="102">
        <v>7</v>
      </c>
      <c r="U45" s="112">
        <v>416.5</v>
      </c>
      <c r="V45" s="102">
        <v>5</v>
      </c>
      <c r="W45" s="102">
        <v>28</v>
      </c>
      <c r="X45" s="102">
        <v>0</v>
      </c>
      <c r="Y45" s="102">
        <v>142</v>
      </c>
      <c r="Z45" s="102">
        <v>0</v>
      </c>
      <c r="AA45" s="102">
        <v>2</v>
      </c>
      <c r="AB45" s="102">
        <v>114</v>
      </c>
      <c r="AC45" s="102">
        <v>0</v>
      </c>
      <c r="AD45" s="102">
        <v>0</v>
      </c>
      <c r="AE45" s="112">
        <f>IF(S45&lt;&gt;"",IF(T45&gt;0,W45/(U45/60),0),"")</f>
        <v>4.0336134453781511</v>
      </c>
      <c r="AF45" s="112">
        <f>IF(S45&lt;&gt;"",IF(Y45&gt;0,(AB45/Y45)*100,"-"),"")</f>
        <v>80.281690140845072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339</v>
      </c>
      <c r="T46" s="102">
        <v>4</v>
      </c>
      <c r="U46" s="112">
        <v>240</v>
      </c>
      <c r="V46" s="102">
        <v>3</v>
      </c>
      <c r="W46" s="102">
        <v>18</v>
      </c>
      <c r="X46" s="102">
        <v>0</v>
      </c>
      <c r="Y46" s="102">
        <v>66</v>
      </c>
      <c r="Z46" s="102">
        <v>0</v>
      </c>
      <c r="AA46" s="102">
        <v>1</v>
      </c>
      <c r="AB46" s="102">
        <v>48</v>
      </c>
      <c r="AC46" s="102">
        <v>0</v>
      </c>
      <c r="AD46" s="102">
        <v>0</v>
      </c>
      <c r="AE46" s="112">
        <f t="shared" ref="AE46:AE50" si="23">IF(S46&lt;&gt;"",IF(T46&gt;0,W46/(U46/60),0),"")</f>
        <v>4.5</v>
      </c>
      <c r="AF46" s="112">
        <f t="shared" ref="AF46:AF50" si="24">IF(S46&lt;&gt;"",IF(Y46&gt;0,(AB46/Y46)*100,"-"),"")</f>
        <v>72.727272727272734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418"/>
      <c r="B47" s="419"/>
      <c r="C47" s="419"/>
      <c r="D47" s="419"/>
      <c r="E47" s="420" t="str">
        <f ca="1">IFERROR(VLOOKUP(A47,OFFSET($BN$2,,,COUNTIF($BN$2:$BN$11,"?*"),5),3,FALSE),"")</f>
        <v/>
      </c>
      <c r="F47" s="420"/>
      <c r="G47" s="420"/>
      <c r="H47" s="420"/>
      <c r="I47" s="421"/>
      <c r="J47" s="418"/>
      <c r="K47" s="419"/>
      <c r="L47" s="419"/>
      <c r="M47" s="419"/>
      <c r="N47" s="420" t="str">
        <f ca="1">IFERROR(VLOOKUP(J47,OFFSET($BN$2,,,COUNTIF($BN$2:$BN$11,"?*"),5),3,FALSE),"")</f>
        <v/>
      </c>
      <c r="O47" s="420"/>
      <c r="P47" s="420"/>
      <c r="Q47" s="420"/>
      <c r="R47" s="421"/>
      <c r="S47" s="111" t="s">
        <v>327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436" t="str">
        <f ca="1">IFERROR(VLOOKUP(A47,OFFSET($BN$2,,,COUNTIF($BN$2:$BN$11,"?*"),5),5,FALSE),"")</f>
        <v/>
      </c>
      <c r="B48" s="438" t="str">
        <f ca="1">IFERROR(IF(VLOOKUP(A47,OFFSET($BN$2,,,COUNTIF($BN$2:$BN$11,"?*"),5),4,FALSE)&lt;&gt;0,VLOOKUP(A47,OFFSET($BN$2,,,COUNTIF($BN$2:$BN$11,"?*"),5),4,FALSE),"-"),"")</f>
        <v/>
      </c>
      <c r="C48" s="438"/>
      <c r="D48" s="438"/>
      <c r="E48" s="438"/>
      <c r="F48" s="438"/>
      <c r="G48" s="438"/>
      <c r="H48" s="438"/>
      <c r="I48" s="439"/>
      <c r="J48" s="119" t="str">
        <f ca="1">IFERROR(VLOOKUP(J47,OFFSET($BN$2,,,COUNTIF($BN$2:$BN$11,"?*"),5),5,FALSE),"")</f>
        <v/>
      </c>
      <c r="K48" s="442" t="str">
        <f ca="1">IFERROR(IF(VLOOKUP(J47,OFFSET($BN$2,,,COUNTIF($BN$2:$BN$11,"?*"),5),4,FALSE)&lt;&gt;0,VLOOKUP(J47,OFFSET($BN$2,,,COUNTIF($BN$2:$BN$11,"?*"),5),4,FALSE),"-"),"")</f>
        <v/>
      </c>
      <c r="L48" s="442"/>
      <c r="M48" s="442"/>
      <c r="N48" s="442"/>
      <c r="O48" s="442"/>
      <c r="P48" s="442"/>
      <c r="Q48" s="442"/>
      <c r="R48" s="443"/>
      <c r="S48" s="111" t="s">
        <v>823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436"/>
      <c r="B49" s="438"/>
      <c r="C49" s="438"/>
      <c r="D49" s="438"/>
      <c r="E49" s="438"/>
      <c r="F49" s="438"/>
      <c r="G49" s="438"/>
      <c r="H49" s="438"/>
      <c r="I49" s="439"/>
      <c r="J49" s="444"/>
      <c r="K49" s="445"/>
      <c r="L49" s="445"/>
      <c r="M49" s="445"/>
      <c r="N49" s="420" t="str">
        <f ca="1">IFERROR(VLOOKUP(J49,OFFSET($BN$2,,,COUNTIF($BN$2:$BN$11,"?*"),5),3,FALSE),"")</f>
        <v/>
      </c>
      <c r="O49" s="420"/>
      <c r="P49" s="420"/>
      <c r="Q49" s="420"/>
      <c r="R49" s="421"/>
      <c r="S49" s="111" t="s">
        <v>908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437"/>
      <c r="B50" s="440"/>
      <c r="C50" s="440"/>
      <c r="D50" s="440"/>
      <c r="E50" s="440"/>
      <c r="F50" s="440"/>
      <c r="G50" s="440"/>
      <c r="H50" s="440"/>
      <c r="I50" s="441"/>
      <c r="J50" s="119" t="str">
        <f ca="1">IFERROR(VLOOKUP(J49,OFFSET($BN$2,,,COUNTIF($BN$2:$BN$11,"?*"),5),5,FALSE),"")</f>
        <v/>
      </c>
      <c r="K50" s="442" t="str">
        <f ca="1">IFERROR(IF(VLOOKUP(J49,OFFSET($BN$2,,,COUNTIF($BN$2:$BN$11,"?*"),5),4,FALSE)&lt;&gt;0,VLOOKUP(J49,OFFSET($BN$2,,,COUNTIF($BN$2:$BN$11,"?*"),5),4,FALSE),"-"),"")</f>
        <v/>
      </c>
      <c r="L50" s="442"/>
      <c r="M50" s="442"/>
      <c r="N50" s="442"/>
      <c r="O50" s="442"/>
      <c r="P50" s="442"/>
      <c r="Q50" s="442"/>
      <c r="R50" s="44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xmlns:xlrd2="http://schemas.microsoft.com/office/spreadsheetml/2017/richdata2"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 xr:uid="{00000000-0002-0000-1300-000000000000}"/>
    <dataValidation type="list" errorStyle="warning" allowBlank="1" showInputMessage="1" showErrorMessage="1" errorTitle="Chybějící člen realizačního týmu" error="Vámi zadaný člen realizačního týmu není na soupisce týmu." sqref="A47:D47 J47:M47 J49:M49" xr:uid="{00000000-0002-0000-1300-000001000000}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 xr:uid="{00000000-0002-0000-1300-000002000000}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 xr:uid="{00000000-0002-0000-1300-000003000000}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2021-10-10T15:25:21Z</cp:lastPrinted>
  <dcterms:created xsi:type="dcterms:W3CDTF">2021-09-13T20:56:50Z</dcterms:created>
  <dcterms:modified xsi:type="dcterms:W3CDTF">2021-11-03T11:03:36Z</dcterms:modified>
</cp:coreProperties>
</file>