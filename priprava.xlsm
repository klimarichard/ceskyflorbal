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D:\klima\Documents\SKV\pripravy\"/>
    </mc:Choice>
  </mc:AlternateContent>
  <workbookProtection lockStructure="1"/>
  <bookViews>
    <workbookView xWindow="-120" yWindow="-120" windowWidth="29040" windowHeight="15840" firstSheet="1" activeTab="1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priprava_BA!$S$2:$AB$24</definedName>
    <definedName name="BOH_bestof" localSheetId="8">priprava_BOH!$BT$2:$BU$31</definedName>
    <definedName name="BOH_goalies" localSheetId="8">priprava_BOH!$S$45:$AD$46</definedName>
    <definedName name="BOH_matches" localSheetId="8">priprava_BOH!$BY$2:$CA$12</definedName>
    <definedName name="BOH_players" localSheetId="8">priprava_BOH!$S$2:$AB$26</definedName>
    <definedName name="CLP_bestof" localSheetId="9">priprava_CLP!$BT$2:$BU$31</definedName>
    <definedName name="CLP_goalies" localSheetId="9">priprava_CLP!$S$45:$AD$46</definedName>
    <definedName name="CLP_matches" localSheetId="9">priprava_CLP!$BY$2:$CA$12</definedName>
    <definedName name="CLP_players" localSheetId="9">priprava_CLP!$S$2:$AB$23</definedName>
    <definedName name="HAT_bestof" localSheetId="10">priprava_HAT!$BT$2:$BU$31</definedName>
    <definedName name="HAT_goalies" localSheetId="10">priprava_HAT!$S$45:$AD$47</definedName>
    <definedName name="HAT_matches" localSheetId="10">priprava_HAT!$BY$2:$CA$12</definedName>
    <definedName name="HAT_players" localSheetId="10">priprava_HAT!$S$2:$AB$22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priprava_CHO!$S$2:$AB$28</definedName>
    <definedName name="league_table" localSheetId="1">tabulka!$W$2:$AZ$15</definedName>
    <definedName name="LIB_bestof" localSheetId="12">priprava_LIB!$BT$2:$BU$31</definedName>
    <definedName name="LIB_goalies" localSheetId="12">priprava_LIB!$S$45:$AD$47</definedName>
    <definedName name="LIB_matches" localSheetId="12">priprava_LIB!$BY$2:$CA$12</definedName>
    <definedName name="LIB_players" localSheetId="12">priprava_LIB!$S$2:$AB$22</definedName>
    <definedName name="MB_bestof" localSheetId="13">priprava_MB!$BT$2:$BU$31</definedName>
    <definedName name="MB_goalies" localSheetId="13">priprava_MB!$S$45:$AD$46</definedName>
    <definedName name="MB_matches" localSheetId="13">priprava_MB!$BY$2:$CA$12</definedName>
    <definedName name="MB_players" localSheetId="13">priprava_MB!$S$2:$AB$22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priprava_OST!$S$2:$AB$24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priprava_OTR!$S$2:$AB$25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priprava_SKV!$S$2:$AB$25</definedName>
    <definedName name="SPA_bestof" localSheetId="17">priprava_SPA!$BT$2:$BU$31</definedName>
    <definedName name="SPA_goalies" localSheetId="17">priprava_SPA!$S$45:$AD$46</definedName>
    <definedName name="SPA_matches" localSheetId="17">priprava_SPA!$BY$2:$CA$12</definedName>
    <definedName name="SPA_players" localSheetId="17">priprava_SPA!$S$2:$AB$22</definedName>
    <definedName name="TAT_bestof" localSheetId="18">priprava_TAT!$BT$2:$BU$31</definedName>
    <definedName name="TAT_goalies" localSheetId="18">priprava_TAT!$S$45:$AD$46</definedName>
    <definedName name="TAT_matches" localSheetId="18">priprava_TAT!$BY$2:$CA$12</definedName>
    <definedName name="TAT_players" localSheetId="18">priprava_TAT!$S$2:$AB$25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priprava_VIT!$S$2:$AB$24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2" i="14" l="1"/>
  <c r="Q42" i="14"/>
  <c r="R38" i="14"/>
  <c r="Q38" i="14"/>
  <c r="R34" i="14"/>
  <c r="Q34" i="14"/>
  <c r="Q44" i="14"/>
  <c r="N44" i="14"/>
  <c r="J44" i="14"/>
  <c r="K43" i="14"/>
  <c r="J43" i="14"/>
  <c r="Q40" i="14"/>
  <c r="N40" i="14"/>
  <c r="J40" i="14"/>
  <c r="K39" i="14"/>
  <c r="J39" i="14"/>
  <c r="Q36" i="14"/>
  <c r="N36" i="14"/>
  <c r="J36" i="14"/>
  <c r="K35" i="14"/>
  <c r="J35" i="14"/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K44" i="8"/>
  <c r="J44" i="8"/>
  <c r="P43" i="8"/>
  <c r="N43" i="8"/>
  <c r="M43" i="8"/>
  <c r="K43" i="8"/>
  <c r="J43" i="8"/>
  <c r="Q40" i="8"/>
  <c r="N40" i="8"/>
  <c r="K40" i="8"/>
  <c r="J40" i="8"/>
  <c r="P39" i="8"/>
  <c r="N39" i="8"/>
  <c r="M39" i="8"/>
  <c r="K39" i="8"/>
  <c r="J39" i="8"/>
  <c r="Q36" i="8"/>
  <c r="N36" i="8"/>
  <c r="K36" i="8"/>
  <c r="J36" i="8"/>
  <c r="P35" i="8"/>
  <c r="R34" i="8"/>
  <c r="Q34" i="8"/>
  <c r="F20" i="8"/>
  <c r="D20" i="8"/>
  <c r="A20" i="8"/>
  <c r="D19" i="8"/>
  <c r="A19" i="8"/>
  <c r="E18" i="8"/>
  <c r="D18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F20" i="14"/>
  <c r="D20" i="14"/>
  <c r="A20" i="14"/>
  <c r="Q44" i="11"/>
  <c r="N44" i="11"/>
  <c r="K44" i="11"/>
  <c r="J44" i="11"/>
  <c r="P43" i="11"/>
  <c r="N43" i="11"/>
  <c r="M43" i="11"/>
  <c r="K43" i="11"/>
  <c r="J43" i="11"/>
  <c r="Q40" i="11"/>
  <c r="N40" i="11"/>
  <c r="K40" i="11"/>
  <c r="J40" i="11"/>
  <c r="P39" i="11"/>
  <c r="N39" i="11"/>
  <c r="M39" i="11"/>
  <c r="K39" i="11"/>
  <c r="J39" i="11"/>
  <c r="Q36" i="11"/>
  <c r="N36" i="11"/>
  <c r="K36" i="11"/>
  <c r="J36" i="11"/>
  <c r="P35" i="11"/>
  <c r="R34" i="11"/>
  <c r="Q34" i="11"/>
  <c r="F20" i="11"/>
  <c r="D20" i="11"/>
  <c r="A20" i="11"/>
  <c r="D19" i="11"/>
  <c r="A19" i="11"/>
  <c r="E18" i="11"/>
  <c r="D18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G21" i="19"/>
  <c r="G8" i="19"/>
  <c r="G24" i="19"/>
  <c r="A13" i="19"/>
  <c r="G25" i="19"/>
  <c r="G23" i="19"/>
  <c r="A24" i="19"/>
  <c r="G19" i="19"/>
  <c r="A26" i="19"/>
  <c r="G11" i="19"/>
  <c r="A29" i="19"/>
  <c r="G20" i="19"/>
  <c r="G15" i="19"/>
  <c r="G16" i="19"/>
  <c r="A30" i="19"/>
  <c r="A8" i="19"/>
  <c r="A25" i="19"/>
  <c r="G14" i="19"/>
  <c r="G30" i="19"/>
  <c r="A23" i="19"/>
  <c r="G31" i="19"/>
  <c r="A11" i="19"/>
  <c r="G10" i="19"/>
  <c r="G26" i="19"/>
  <c r="G12" i="19"/>
  <c r="G18" i="19"/>
  <c r="G9" i="19"/>
  <c r="G22" i="19"/>
  <c r="A21" i="19"/>
  <c r="G17" i="19"/>
  <c r="A27" i="19"/>
  <c r="G27" i="19"/>
  <c r="G13" i="19"/>
  <c r="A31" i="19"/>
  <c r="A16" i="19"/>
  <c r="G29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D13" i="19"/>
  <c r="A17" i="19"/>
  <c r="L8" i="19"/>
  <c r="H23" i="19"/>
  <c r="F27" i="19"/>
  <c r="D25" i="19"/>
  <c r="J10" i="19"/>
  <c r="H29" i="19"/>
  <c r="I13" i="19"/>
  <c r="J20" i="19"/>
  <c r="B21" i="19"/>
  <c r="K11" i="19"/>
  <c r="L11" i="19"/>
  <c r="J11" i="19"/>
  <c r="J19" i="19"/>
  <c r="I17" i="19"/>
  <c r="B26" i="19"/>
  <c r="D27" i="19"/>
  <c r="E11" i="19"/>
  <c r="L22" i="19"/>
  <c r="I9" i="19"/>
  <c r="A14" i="19"/>
  <c r="J26" i="19"/>
  <c r="B25" i="19"/>
  <c r="L27" i="19"/>
  <c r="D24" i="19"/>
  <c r="H20" i="19"/>
  <c r="J31" i="19"/>
  <c r="I15" i="19"/>
  <c r="E23" i="19"/>
  <c r="J12" i="19"/>
  <c r="C21" i="19"/>
  <c r="H21" i="19"/>
  <c r="E27" i="19"/>
  <c r="F25" i="19"/>
  <c r="L19" i="19"/>
  <c r="K23" i="19"/>
  <c r="K18" i="19"/>
  <c r="F31" i="19"/>
  <c r="L26" i="19"/>
  <c r="L21" i="19"/>
  <c r="J27" i="19"/>
  <c r="I11" i="19"/>
  <c r="I19" i="19"/>
  <c r="K14" i="19"/>
  <c r="H18" i="19"/>
  <c r="L20" i="19"/>
  <c r="L14" i="19"/>
  <c r="H10" i="19"/>
  <c r="E8" i="19"/>
  <c r="H27" i="19"/>
  <c r="L29" i="19"/>
  <c r="J29" i="19"/>
  <c r="K8" i="19"/>
  <c r="C30" i="19"/>
  <c r="L9" i="19"/>
  <c r="K17" i="19"/>
  <c r="H31" i="19"/>
  <c r="K22" i="19"/>
  <c r="K15" i="19"/>
  <c r="H25" i="19"/>
  <c r="A9" i="19"/>
  <c r="D8" i="19"/>
  <c r="J15" i="19"/>
  <c r="J22" i="19"/>
  <c r="I20" i="19"/>
  <c r="F30" i="19"/>
  <c r="E26" i="19"/>
  <c r="H22" i="19"/>
  <c r="H16" i="19"/>
  <c r="K27" i="19"/>
  <c r="H26" i="19"/>
  <c r="D21" i="19"/>
  <c r="K30" i="19"/>
  <c r="H19" i="19"/>
  <c r="H14" i="19"/>
  <c r="L31" i="19"/>
  <c r="B11" i="19"/>
  <c r="A10" i="19"/>
  <c r="L25" i="19"/>
  <c r="L12" i="19"/>
  <c r="C13" i="19"/>
  <c r="B27" i="19"/>
  <c r="E16" i="19"/>
  <c r="F26" i="19"/>
  <c r="F13" i="19"/>
  <c r="B29" i="19"/>
  <c r="I21" i="19"/>
  <c r="I26" i="19"/>
  <c r="J23" i="19"/>
  <c r="I30" i="19"/>
  <c r="J24" i="19"/>
  <c r="F21" i="19"/>
  <c r="I16" i="19"/>
  <c r="K29" i="19"/>
  <c r="C24" i="19"/>
  <c r="C29" i="19"/>
  <c r="D31" i="19"/>
  <c r="K20" i="19"/>
  <c r="L23" i="19"/>
  <c r="L30" i="19"/>
  <c r="J17" i="19"/>
  <c r="A12" i="19"/>
  <c r="H24" i="19"/>
  <c r="B16" i="19"/>
  <c r="C26" i="19"/>
  <c r="K10" i="19"/>
  <c r="F24" i="19"/>
  <c r="H30" i="19"/>
  <c r="A20" i="19"/>
  <c r="B13" i="19"/>
  <c r="I12" i="19"/>
  <c r="L24" i="19"/>
  <c r="A19" i="19"/>
  <c r="J8" i="19"/>
  <c r="J13" i="19"/>
  <c r="F11" i="19"/>
  <c r="K19" i="19"/>
  <c r="D30" i="19"/>
  <c r="K12" i="19"/>
  <c r="L17" i="19"/>
  <c r="C16" i="19"/>
  <c r="I24" i="19"/>
  <c r="E31" i="19"/>
  <c r="J21" i="19"/>
  <c r="D29" i="19"/>
  <c r="C31" i="19"/>
  <c r="H13" i="19"/>
  <c r="H8" i="19"/>
  <c r="F23" i="19"/>
  <c r="E25" i="19"/>
  <c r="H11" i="19"/>
  <c r="C8" i="19"/>
  <c r="A15" i="19"/>
  <c r="I8" i="19"/>
  <c r="I22" i="19"/>
  <c r="C27" i="19"/>
  <c r="K31" i="19"/>
  <c r="B30" i="19"/>
  <c r="I31" i="19"/>
  <c r="I14" i="19"/>
  <c r="F8" i="19"/>
  <c r="F29" i="19"/>
  <c r="H9" i="19"/>
  <c r="B24" i="19"/>
  <c r="E29" i="19"/>
  <c r="J25" i="19"/>
  <c r="I23" i="19"/>
  <c r="D23" i="19"/>
  <c r="H17" i="19"/>
  <c r="K26" i="19"/>
  <c r="I10" i="19"/>
  <c r="C23" i="19"/>
  <c r="I27" i="19"/>
  <c r="C25" i="19"/>
  <c r="E30" i="19"/>
  <c r="L18" i="19"/>
  <c r="E24" i="19"/>
  <c r="K24" i="19"/>
  <c r="I29" i="19"/>
  <c r="F16" i="19"/>
  <c r="A22" i="19"/>
  <c r="D26" i="19"/>
  <c r="J18" i="19"/>
  <c r="L16" i="19"/>
  <c r="J16" i="19"/>
  <c r="K21" i="19"/>
  <c r="L10" i="19"/>
  <c r="B23" i="19"/>
  <c r="K16" i="19"/>
  <c r="K13" i="19"/>
  <c r="K25" i="19"/>
  <c r="E13" i="19"/>
  <c r="J9" i="19"/>
  <c r="C11" i="19"/>
  <c r="B8" i="19"/>
  <c r="H15" i="19"/>
  <c r="J14" i="19"/>
  <c r="E21" i="19"/>
  <c r="H12" i="19"/>
  <c r="K9" i="19"/>
  <c r="I18" i="19"/>
  <c r="I25" i="19"/>
  <c r="J30" i="19"/>
  <c r="B31" i="19"/>
  <c r="L15" i="19"/>
  <c r="D16" i="19"/>
  <c r="L13" i="19"/>
  <c r="A18" i="19"/>
  <c r="D11" i="19"/>
  <c r="K45" i="3" l="1"/>
  <c r="O45" i="3"/>
  <c r="P45" i="3"/>
  <c r="K46" i="3"/>
  <c r="O46" i="3"/>
  <c r="P46" i="3"/>
  <c r="K47" i="3"/>
  <c r="O47" i="3"/>
  <c r="P47" i="3"/>
  <c r="K48" i="3"/>
  <c r="O48" i="3"/>
  <c r="P48" i="3"/>
  <c r="E20" i="19"/>
  <c r="F15" i="19"/>
  <c r="C12" i="19"/>
  <c r="F12" i="19"/>
  <c r="C19" i="19"/>
  <c r="B19" i="19"/>
  <c r="F19" i="19"/>
  <c r="D10" i="19"/>
  <c r="F10" i="19"/>
  <c r="B20" i="19"/>
  <c r="B22" i="19"/>
  <c r="F20" i="19"/>
  <c r="B15" i="19"/>
  <c r="D17" i="19"/>
  <c r="C10" i="19"/>
  <c r="C22" i="19"/>
  <c r="E15" i="19"/>
  <c r="D9" i="19"/>
  <c r="B12" i="19"/>
  <c r="F9" i="19"/>
  <c r="E17" i="19"/>
  <c r="F17" i="19"/>
  <c r="B17" i="19"/>
  <c r="D14" i="19"/>
  <c r="C9" i="19"/>
  <c r="C17" i="19"/>
  <c r="C18" i="19"/>
  <c r="D15" i="19"/>
  <c r="B10" i="19"/>
  <c r="D18" i="19"/>
  <c r="B9" i="19"/>
  <c r="E18" i="19"/>
  <c r="F14" i="19"/>
  <c r="D12" i="19"/>
  <c r="B18" i="19"/>
  <c r="E10" i="19"/>
  <c r="D19" i="19"/>
  <c r="C15" i="19"/>
  <c r="F18" i="19"/>
  <c r="E9" i="19"/>
  <c r="E19" i="19"/>
  <c r="C20" i="19"/>
  <c r="C14" i="19"/>
  <c r="F22" i="19"/>
  <c r="E14" i="19"/>
  <c r="D20" i="19"/>
  <c r="E12" i="19"/>
  <c r="B14" i="19"/>
  <c r="E22" i="19"/>
  <c r="D22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Y39" i="18"/>
  <c r="AX39" i="18"/>
  <c r="AW39" i="18"/>
  <c r="AV39" i="18"/>
  <c r="AU39" i="18"/>
  <c r="AL39" i="18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Y38" i="18"/>
  <c r="AX38" i="18"/>
  <c r="AW38" i="18"/>
  <c r="AV38" i="18"/>
  <c r="AU38" i="18"/>
  <c r="AL38" i="18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Y3" i="18" s="1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Y50" i="17"/>
  <c r="AX50" i="17"/>
  <c r="AW50" i="17"/>
  <c r="AV50" i="17"/>
  <c r="AU50" i="17"/>
  <c r="AL50" i="17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Y49" i="17"/>
  <c r="AX49" i="17"/>
  <c r="AW49" i="17"/>
  <c r="AV49" i="17"/>
  <c r="AU49" i="17"/>
  <c r="AL49" i="17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Y46" i="17"/>
  <c r="AX46" i="17"/>
  <c r="AW46" i="17"/>
  <c r="AV46" i="17"/>
  <c r="AU46" i="17"/>
  <c r="AL46" i="17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Y41" i="17"/>
  <c r="AX41" i="17"/>
  <c r="AW41" i="17"/>
  <c r="AV41" i="17"/>
  <c r="AU41" i="17"/>
  <c r="AL41" i="17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Y38" i="17"/>
  <c r="AX38" i="17"/>
  <c r="AW38" i="17"/>
  <c r="AV38" i="17"/>
  <c r="AU38" i="17"/>
  <c r="AL38" i="17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Y46" i="16"/>
  <c r="AX46" i="16"/>
  <c r="AW46" i="16"/>
  <c r="AV46" i="16"/>
  <c r="AU46" i="16"/>
  <c r="AL46" i="16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Y43" i="16"/>
  <c r="AX43" i="16"/>
  <c r="AW43" i="16"/>
  <c r="AV43" i="16"/>
  <c r="AU43" i="16"/>
  <c r="AL43" i="16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Y42" i="16"/>
  <c r="AX42" i="16"/>
  <c r="AW42" i="16"/>
  <c r="AV42" i="16"/>
  <c r="AU42" i="16"/>
  <c r="AL42" i="16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Y37" i="16"/>
  <c r="AX37" i="16"/>
  <c r="AW37" i="16"/>
  <c r="AV37" i="16"/>
  <c r="AU37" i="16"/>
  <c r="AL37" i="16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X25" i="16"/>
  <c r="AV25" i="16"/>
  <c r="AU25" i="16"/>
  <c r="AL25" i="16"/>
  <c r="AY25" i="16" s="1"/>
  <c r="AC25" i="16"/>
  <c r="P25" i="16"/>
  <c r="M25" i="16"/>
  <c r="L25" i="16"/>
  <c r="K25" i="16"/>
  <c r="D25" i="16"/>
  <c r="A25" i="16"/>
  <c r="BW24" i="16"/>
  <c r="BV24" i="16"/>
  <c r="BF24" i="16"/>
  <c r="BD24" i="16"/>
  <c r="AX24" i="16"/>
  <c r="AV24" i="16"/>
  <c r="AU24" i="16"/>
  <c r="AL24" i="16"/>
  <c r="AY24" i="16" s="1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C5" i="16"/>
  <c r="J5" i="16"/>
  <c r="G5" i="16"/>
  <c r="BW4" i="16"/>
  <c r="BV4" i="16"/>
  <c r="BR4" i="16"/>
  <c r="BF4" i="16"/>
  <c r="BD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Y47" i="15"/>
  <c r="AX47" i="15"/>
  <c r="AW47" i="15"/>
  <c r="AV47" i="15"/>
  <c r="AU47" i="15"/>
  <c r="AL47" i="15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Y44" i="15"/>
  <c r="AX44" i="15"/>
  <c r="AW44" i="15"/>
  <c r="AV44" i="15"/>
  <c r="AU44" i="15"/>
  <c r="AL44" i="15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Y41" i="15"/>
  <c r="AX41" i="15"/>
  <c r="AW41" i="15"/>
  <c r="AV41" i="15"/>
  <c r="AU41" i="15"/>
  <c r="AL41" i="15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Y36" i="15"/>
  <c r="AX36" i="15"/>
  <c r="AW36" i="15"/>
  <c r="AV36" i="15"/>
  <c r="AU36" i="15"/>
  <c r="AL36" i="15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Y35" i="15"/>
  <c r="AX35" i="15"/>
  <c r="AW35" i="15"/>
  <c r="AV35" i="15"/>
  <c r="AU35" i="15"/>
  <c r="AL35" i="15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P30" i="15"/>
  <c r="M30" i="15"/>
  <c r="H30" i="15"/>
  <c r="D30" i="15"/>
  <c r="A30" i="15"/>
  <c r="BW29" i="15"/>
  <c r="BV29" i="15"/>
  <c r="BF29" i="15"/>
  <c r="BD29" i="15"/>
  <c r="AX29" i="15"/>
  <c r="AV29" i="15"/>
  <c r="AU29" i="15"/>
  <c r="AL29" i="15"/>
  <c r="AY29" i="15" s="1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X24" i="15"/>
  <c r="AV24" i="15"/>
  <c r="AU24" i="15"/>
  <c r="AL24" i="15"/>
  <c r="AY24" i="15" s="1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X23" i="15"/>
  <c r="AV23" i="15"/>
  <c r="AU23" i="15"/>
  <c r="AL23" i="15"/>
  <c r="AY23" i="15" s="1"/>
  <c r="AC23" i="15"/>
  <c r="R23" i="15"/>
  <c r="Q23" i="15"/>
  <c r="F23" i="15"/>
  <c r="E23" i="15"/>
  <c r="BW22" i="15"/>
  <c r="BV22" i="15"/>
  <c r="BF22" i="15"/>
  <c r="BD22" i="15"/>
  <c r="AX22" i="15"/>
  <c r="AV22" i="15"/>
  <c r="AU22" i="15"/>
  <c r="AL22" i="15"/>
  <c r="AY22" i="15" s="1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Y7" i="15" s="1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B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Y46" i="14"/>
  <c r="AX46" i="14"/>
  <c r="AW46" i="14"/>
  <c r="AV46" i="14"/>
  <c r="AU46" i="14"/>
  <c r="AL46" i="14"/>
  <c r="AF46" i="14"/>
  <c r="F42" i="14" s="1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F36" i="14" s="1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Y42" i="14"/>
  <c r="AX42" i="14"/>
  <c r="AW42" i="14"/>
  <c r="AV42" i="14"/>
  <c r="AU42" i="14"/>
  <c r="AL42" i="14"/>
  <c r="AC42" i="14"/>
  <c r="D42" i="14"/>
  <c r="A42" i="14"/>
  <c r="BF41" i="14"/>
  <c r="BD41" i="14"/>
  <c r="AX41" i="14"/>
  <c r="AV2" i="14"/>
  <c r="N39" i="14" s="1"/>
  <c r="AU2" i="14"/>
  <c r="M39" i="14" s="1"/>
  <c r="AL2" i="14"/>
  <c r="AC41" i="14"/>
  <c r="B41" i="14"/>
  <c r="A41" i="14"/>
  <c r="BF40" i="14"/>
  <c r="BD40" i="14"/>
  <c r="AX40" i="14"/>
  <c r="AV20" i="14"/>
  <c r="E18" i="14" s="1"/>
  <c r="AU20" i="14"/>
  <c r="D18" i="14" s="1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E41" i="14" s="1"/>
  <c r="AU22" i="14"/>
  <c r="D41" i="14" s="1"/>
  <c r="AL22" i="14"/>
  <c r="AC38" i="14"/>
  <c r="F38" i="14"/>
  <c r="D38" i="14"/>
  <c r="A38" i="14"/>
  <c r="BF37" i="14"/>
  <c r="BD37" i="14"/>
  <c r="AX37" i="14"/>
  <c r="AV8" i="14"/>
  <c r="N43" i="14" s="1"/>
  <c r="AU8" i="14"/>
  <c r="M43" i="14" s="1"/>
  <c r="AL8" i="14"/>
  <c r="AC37" i="14"/>
  <c r="C37" i="14"/>
  <c r="A37" i="14"/>
  <c r="BF36" i="14"/>
  <c r="BD36" i="14"/>
  <c r="AX36" i="14"/>
  <c r="AV41" i="14"/>
  <c r="AU41" i="14"/>
  <c r="AC36" i="14"/>
  <c r="D36" i="14"/>
  <c r="A36" i="14"/>
  <c r="BF35" i="14"/>
  <c r="BD35" i="14"/>
  <c r="AX35" i="14"/>
  <c r="AV40" i="14"/>
  <c r="AU40" i="14"/>
  <c r="AC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H30" i="14"/>
  <c r="BW29" i="14"/>
  <c r="BV29" i="14"/>
  <c r="BF29" i="14"/>
  <c r="BD29" i="14"/>
  <c r="AX29" i="14"/>
  <c r="AV34" i="14"/>
  <c r="AU34" i="14"/>
  <c r="AY29" i="14"/>
  <c r="AC29" i="14"/>
  <c r="N29" i="14"/>
  <c r="M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BW26" i="14"/>
  <c r="BV26" i="14"/>
  <c r="BF26" i="14"/>
  <c r="BD26" i="14"/>
  <c r="AX26" i="14"/>
  <c r="AV26" i="14"/>
  <c r="N35" i="14" s="1"/>
  <c r="AU26" i="14"/>
  <c r="M35" i="14" s="1"/>
  <c r="AC26" i="14"/>
  <c r="R26" i="14"/>
  <c r="P26" i="14"/>
  <c r="M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L25" i="14"/>
  <c r="K25" i="14"/>
  <c r="BW24" i="14"/>
  <c r="BV24" i="14"/>
  <c r="BF24" i="14"/>
  <c r="BD24" i="14"/>
  <c r="AX24" i="14"/>
  <c r="M19" i="14" s="1"/>
  <c r="AV24" i="14"/>
  <c r="Q18" i="14" s="1"/>
  <c r="AU24" i="14"/>
  <c r="P18" i="14" s="1"/>
  <c r="AY24" i="14"/>
  <c r="P19" i="14" s="1"/>
  <c r="AC24" i="14"/>
  <c r="N24" i="14"/>
  <c r="M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B42" i="14" s="1"/>
  <c r="AV21" i="14"/>
  <c r="AU21" i="14"/>
  <c r="AL21" i="14"/>
  <c r="AC22" i="14"/>
  <c r="BW21" i="14"/>
  <c r="BV21" i="14"/>
  <c r="BF21" i="14"/>
  <c r="BD21" i="14"/>
  <c r="AX21" i="14"/>
  <c r="AV27" i="14"/>
  <c r="E29" i="14" s="1"/>
  <c r="AU27" i="14"/>
  <c r="AC21" i="14"/>
  <c r="BW20" i="14"/>
  <c r="BV20" i="14"/>
  <c r="BF20" i="14"/>
  <c r="BD20" i="14"/>
  <c r="AX20" i="14"/>
  <c r="A19" i="14" s="1"/>
  <c r="AV19" i="14"/>
  <c r="Q29" i="14" s="1"/>
  <c r="AU19" i="14"/>
  <c r="P29" i="14" s="1"/>
  <c r="AL19" i="14"/>
  <c r="AY19" i="14" s="1"/>
  <c r="P30" i="14" s="1"/>
  <c r="AC20" i="14"/>
  <c r="R20" i="14"/>
  <c r="P20" i="14"/>
  <c r="M20" i="14"/>
  <c r="BW19" i="14"/>
  <c r="BV19" i="14"/>
  <c r="BF19" i="14"/>
  <c r="BD19" i="14"/>
  <c r="AX19" i="14"/>
  <c r="M30" i="14" s="1"/>
  <c r="AV28" i="14"/>
  <c r="AU28" i="14"/>
  <c r="P7" i="14" s="1"/>
  <c r="AC19" i="14"/>
  <c r="H19" i="14"/>
  <c r="BW18" i="14"/>
  <c r="BV18" i="14"/>
  <c r="BF18" i="14"/>
  <c r="BD18" i="14"/>
  <c r="AX18" i="14"/>
  <c r="G27" i="14" s="1"/>
  <c r="AV18" i="14"/>
  <c r="K26" i="14" s="1"/>
  <c r="AU18" i="14"/>
  <c r="J26" i="14" s="1"/>
  <c r="AL18" i="14"/>
  <c r="AC18" i="14"/>
  <c r="N18" i="14"/>
  <c r="M18" i="14"/>
  <c r="B18" i="14"/>
  <c r="A18" i="14"/>
  <c r="BW17" i="14"/>
  <c r="BV17" i="14"/>
  <c r="BF17" i="14"/>
  <c r="BD17" i="14"/>
  <c r="AX17" i="14"/>
  <c r="G5" i="14" s="1"/>
  <c r="AV17" i="14"/>
  <c r="AU17" i="14"/>
  <c r="J4" i="14" s="1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M14" i="14" s="1"/>
  <c r="AV16" i="14"/>
  <c r="AU16" i="14"/>
  <c r="P13" i="14" s="1"/>
  <c r="AL16" i="14"/>
  <c r="AC16" i="14"/>
  <c r="BW15" i="14"/>
  <c r="BV15" i="14"/>
  <c r="BF15" i="14"/>
  <c r="BD15" i="14"/>
  <c r="AX15" i="14"/>
  <c r="M3" i="14" s="1"/>
  <c r="AV15" i="14"/>
  <c r="AU15" i="14"/>
  <c r="P2" i="14" s="1"/>
  <c r="AL15" i="14"/>
  <c r="AC15" i="14"/>
  <c r="R15" i="14"/>
  <c r="P15" i="14"/>
  <c r="M15" i="14"/>
  <c r="H15" i="14"/>
  <c r="G15" i="14"/>
  <c r="F15" i="14"/>
  <c r="D15" i="14"/>
  <c r="A15" i="14"/>
  <c r="BW14" i="14"/>
  <c r="BV14" i="14"/>
  <c r="BF14" i="14"/>
  <c r="BD14" i="14"/>
  <c r="AX14" i="14"/>
  <c r="A25" i="14" s="1"/>
  <c r="AV14" i="14"/>
  <c r="E24" i="14" s="1"/>
  <c r="AU14" i="14"/>
  <c r="D24" i="14" s="1"/>
  <c r="AL14" i="14"/>
  <c r="AC14" i="14"/>
  <c r="L14" i="14"/>
  <c r="K14" i="14"/>
  <c r="BW13" i="14"/>
  <c r="BV13" i="14"/>
  <c r="BF13" i="14"/>
  <c r="BD13" i="14"/>
  <c r="AX13" i="14"/>
  <c r="AV29" i="14"/>
  <c r="AU29" i="14"/>
  <c r="D7" i="14" s="1"/>
  <c r="AC13" i="14"/>
  <c r="Q13" i="14"/>
  <c r="N13" i="14"/>
  <c r="M13" i="14"/>
  <c r="B13" i="14"/>
  <c r="A13" i="14"/>
  <c r="BW12" i="14"/>
  <c r="BV12" i="14"/>
  <c r="BF12" i="14"/>
  <c r="BD12" i="14"/>
  <c r="AX12" i="14"/>
  <c r="G16" i="14" s="1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K15" i="14" s="1"/>
  <c r="AU12" i="14"/>
  <c r="J15" i="14" s="1"/>
  <c r="AL12" i="14"/>
  <c r="AC11" i="14"/>
  <c r="BW10" i="14"/>
  <c r="BV10" i="14"/>
  <c r="BR10" i="14"/>
  <c r="BF10" i="14"/>
  <c r="BD10" i="14"/>
  <c r="AX10" i="14"/>
  <c r="B36" i="14" s="1"/>
  <c r="AV11" i="14"/>
  <c r="AU11" i="14"/>
  <c r="AL11" i="14"/>
  <c r="AC10" i="14"/>
  <c r="BW9" i="14"/>
  <c r="BV9" i="14"/>
  <c r="BR9" i="14"/>
  <c r="BF9" i="14"/>
  <c r="BD9" i="14"/>
  <c r="AX9" i="14"/>
  <c r="AV10" i="14"/>
  <c r="E35" i="14" s="1"/>
  <c r="AU10" i="14"/>
  <c r="D35" i="14" s="1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P43" i="14" s="1"/>
  <c r="AV9" i="14"/>
  <c r="AU9" i="14"/>
  <c r="AL9" i="14"/>
  <c r="AC8" i="14"/>
  <c r="BW7" i="14"/>
  <c r="BV7" i="14"/>
  <c r="BR7" i="14"/>
  <c r="BF7" i="14"/>
  <c r="BD7" i="14"/>
  <c r="AX7" i="14"/>
  <c r="AV30" i="14"/>
  <c r="E13" i="14" s="1"/>
  <c r="AU30" i="14"/>
  <c r="D13" i="14" s="1"/>
  <c r="AC7" i="14"/>
  <c r="Q7" i="14"/>
  <c r="N7" i="14"/>
  <c r="M7" i="14"/>
  <c r="E7" i="14"/>
  <c r="B7" i="14"/>
  <c r="A7" i="14"/>
  <c r="BW6" i="14"/>
  <c r="BV6" i="14"/>
  <c r="BR6" i="14"/>
  <c r="BF6" i="14"/>
  <c r="BD6" i="14"/>
  <c r="AX6" i="14"/>
  <c r="A3" i="14" s="1"/>
  <c r="AV6" i="14"/>
  <c r="E2" i="14" s="1"/>
  <c r="AU6" i="14"/>
  <c r="D2" i="14" s="1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M25" i="14" s="1"/>
  <c r="AV5" i="14"/>
  <c r="Q24" i="14" s="1"/>
  <c r="AU5" i="14"/>
  <c r="P24" i="14" s="1"/>
  <c r="AL5" i="14"/>
  <c r="AC5" i="14"/>
  <c r="BW4" i="14"/>
  <c r="BV4" i="14"/>
  <c r="BR4" i="14"/>
  <c r="J50" i="14" s="1"/>
  <c r="BF4" i="14"/>
  <c r="BD4" i="14"/>
  <c r="AX4" i="14"/>
  <c r="AV4" i="14"/>
  <c r="AU4" i="14"/>
  <c r="AL4" i="14"/>
  <c r="AC4" i="14"/>
  <c r="R4" i="14"/>
  <c r="P4" i="14"/>
  <c r="M4" i="14"/>
  <c r="K4" i="14"/>
  <c r="H4" i="14"/>
  <c r="G4" i="14"/>
  <c r="F4" i="14"/>
  <c r="D4" i="14"/>
  <c r="A4" i="14"/>
  <c r="BW3" i="14"/>
  <c r="BV3" i="14"/>
  <c r="BR3" i="14"/>
  <c r="J48" i="14" s="1"/>
  <c r="BF3" i="14"/>
  <c r="BD3" i="14"/>
  <c r="AX3" i="14"/>
  <c r="AV3" i="14"/>
  <c r="AU3" i="14"/>
  <c r="AL3" i="14"/>
  <c r="AY3" i="14" s="1"/>
  <c r="AC3" i="14"/>
  <c r="L3" i="14"/>
  <c r="K3" i="14"/>
  <c r="BW2" i="14"/>
  <c r="BV2" i="14"/>
  <c r="BR2" i="14"/>
  <c r="A48" i="14" s="1"/>
  <c r="BF2" i="14"/>
  <c r="BD2" i="14"/>
  <c r="AX2" i="14"/>
  <c r="P39" i="14" s="1"/>
  <c r="AV31" i="14"/>
  <c r="AU31" i="14"/>
  <c r="AY2" i="14"/>
  <c r="K40" i="14" s="1"/>
  <c r="AC2" i="14"/>
  <c r="Q2" i="14"/>
  <c r="N2" i="14"/>
  <c r="M2" i="14"/>
  <c r="B2" i="14"/>
  <c r="A2" i="14"/>
  <c r="R1" i="14"/>
  <c r="Q1" i="14"/>
  <c r="F1" i="14"/>
  <c r="E1" i="14"/>
  <c r="A8" i="14" l="1"/>
  <c r="P35" i="14"/>
  <c r="M8" i="14"/>
  <c r="A14" i="14"/>
  <c r="D29" i="14"/>
  <c r="A30" i="14"/>
  <c r="AY9" i="14"/>
  <c r="AY11" i="15"/>
  <c r="AY6" i="17"/>
  <c r="AY19" i="17"/>
  <c r="AY17" i="17"/>
  <c r="AY7" i="16"/>
  <c r="AY12" i="14"/>
  <c r="J16" i="14" s="1"/>
  <c r="AY20" i="14"/>
  <c r="D19" i="14" s="1"/>
  <c r="AY12" i="16"/>
  <c r="AY11" i="17"/>
  <c r="AY4" i="14"/>
  <c r="AY18" i="14"/>
  <c r="AY41" i="14"/>
  <c r="AY9" i="17"/>
  <c r="AY17" i="16"/>
  <c r="AY8" i="14"/>
  <c r="K44" i="14" s="1"/>
  <c r="AY17" i="14"/>
  <c r="J5" i="14" s="1"/>
  <c r="AY13" i="14"/>
  <c r="AY30" i="14"/>
  <c r="D14" i="14" s="1"/>
  <c r="AY32" i="14"/>
  <c r="AY34" i="14"/>
  <c r="AY40" i="14"/>
  <c r="AY15" i="14"/>
  <c r="P3" i="14" s="1"/>
  <c r="AY36" i="14"/>
  <c r="AY22" i="14"/>
  <c r="E43" i="14" s="1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D3" i="14" s="1"/>
  <c r="AY21" i="14"/>
  <c r="AY7" i="14"/>
  <c r="AY10" i="14"/>
  <c r="E37" i="14" s="1"/>
  <c r="AY14" i="14"/>
  <c r="D25" i="14" s="1"/>
  <c r="AY31" i="14"/>
  <c r="AY33" i="14"/>
  <c r="AY35" i="14"/>
  <c r="AY37" i="14"/>
  <c r="AY11" i="14"/>
  <c r="AY27" i="14"/>
  <c r="AY28" i="14"/>
  <c r="D8" i="14" s="1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P25" i="14" s="1"/>
  <c r="AY16" i="14"/>
  <c r="P14" i="14" s="1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BG34" i="14" s="1"/>
  <c r="BH34" i="14" s="1"/>
  <c r="BI34" i="14" s="1"/>
  <c r="BJ34" i="14" s="1"/>
  <c r="BK34" i="14" s="1"/>
  <c r="BL34" i="14" s="1"/>
  <c r="BM34" i="14" s="1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Y50" i="12"/>
  <c r="AX50" i="12"/>
  <c r="AW50" i="12"/>
  <c r="AV50" i="12"/>
  <c r="AU50" i="12"/>
  <c r="AL50" i="12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J48" i="11"/>
  <c r="B48" i="11"/>
  <c r="A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Y44" i="11"/>
  <c r="AX44" i="11"/>
  <c r="AW44" i="11"/>
  <c r="AV44" i="11"/>
  <c r="AU44" i="11"/>
  <c r="AL44" i="1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E43" i="1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R42" i="11"/>
  <c r="F42" i="11"/>
  <c r="D42" i="11"/>
  <c r="B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E41" i="11"/>
  <c r="D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E38" i="11"/>
  <c r="BG38" i="11" s="1"/>
  <c r="BH38" i="11" s="1"/>
  <c r="BI38" i="11" s="1"/>
  <c r="BJ38" i="11" s="1"/>
  <c r="BK38" i="11" s="1"/>
  <c r="BL38" i="11" s="1"/>
  <c r="BM38" i="11" s="1"/>
  <c r="BD38" i="11"/>
  <c r="AX38" i="11"/>
  <c r="AW38" i="11"/>
  <c r="AV38" i="11"/>
  <c r="AU38" i="11"/>
  <c r="AL38" i="11"/>
  <c r="AY38" i="11" s="1"/>
  <c r="AC38" i="11"/>
  <c r="R38" i="11"/>
  <c r="Q38" i="11"/>
  <c r="F38" i="11"/>
  <c r="D38" i="11"/>
  <c r="A38" i="11"/>
  <c r="BF37" i="11"/>
  <c r="BE37" i="11"/>
  <c r="BG37" i="11" s="1"/>
  <c r="BH37" i="11" s="1"/>
  <c r="BI37" i="11" s="1"/>
  <c r="BJ37" i="11" s="1"/>
  <c r="BK37" i="11" s="1"/>
  <c r="BL37" i="11" s="1"/>
  <c r="BM37" i="11" s="1"/>
  <c r="BD37" i="11"/>
  <c r="AX37" i="11"/>
  <c r="AW37" i="11"/>
  <c r="AV37" i="11"/>
  <c r="AU37" i="11"/>
  <c r="AL37" i="11"/>
  <c r="AY37" i="11" s="1"/>
  <c r="AC37" i="11"/>
  <c r="E37" i="11"/>
  <c r="C37" i="11"/>
  <c r="A37" i="11"/>
  <c r="BF36" i="11"/>
  <c r="BD36" i="11"/>
  <c r="BE36" i="11" s="1"/>
  <c r="AX36" i="11"/>
  <c r="AV36" i="11"/>
  <c r="AU36" i="11"/>
  <c r="AL36" i="11"/>
  <c r="AY36" i="11" s="1"/>
  <c r="AC36" i="11"/>
  <c r="F36" i="11"/>
  <c r="D36" i="11"/>
  <c r="B36" i="11"/>
  <c r="A36" i="11"/>
  <c r="BF35" i="11"/>
  <c r="BD35" i="11"/>
  <c r="AX35" i="11"/>
  <c r="AV35" i="11"/>
  <c r="AU35" i="11"/>
  <c r="AL35" i="11"/>
  <c r="AY35" i="11" s="1"/>
  <c r="AC35" i="11"/>
  <c r="N35" i="11"/>
  <c r="M35" i="11"/>
  <c r="K35" i="11"/>
  <c r="J35" i="11"/>
  <c r="E35" i="11"/>
  <c r="D35" i="11"/>
  <c r="B35" i="11"/>
  <c r="A35" i="11"/>
  <c r="BF34" i="11"/>
  <c r="BD34" i="11"/>
  <c r="AX34" i="11"/>
  <c r="AV34" i="11"/>
  <c r="AU34" i="11"/>
  <c r="AL34" i="11"/>
  <c r="AY34" i="11" s="1"/>
  <c r="AC34" i="11"/>
  <c r="F34" i="11"/>
  <c r="E34" i="11"/>
  <c r="BF33" i="11"/>
  <c r="BD33" i="11"/>
  <c r="BE33" i="11" s="1"/>
  <c r="AX33" i="11"/>
  <c r="AV33" i="11"/>
  <c r="AU33" i="11"/>
  <c r="AL33" i="11"/>
  <c r="AY33" i="11" s="1"/>
  <c r="AC33" i="11"/>
  <c r="BF32" i="11"/>
  <c r="BD32" i="11"/>
  <c r="AX32" i="11"/>
  <c r="AV32" i="11"/>
  <c r="AU32" i="11"/>
  <c r="AL32" i="11"/>
  <c r="AY32" i="11" s="1"/>
  <c r="AC32" i="11"/>
  <c r="BW31" i="11"/>
  <c r="BV31" i="11"/>
  <c r="BF31" i="11"/>
  <c r="BD31" i="11"/>
  <c r="AX31" i="11"/>
  <c r="AV31" i="11"/>
  <c r="AU31" i="11"/>
  <c r="AL31" i="11"/>
  <c r="AY31" i="11" s="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0" i="11"/>
  <c r="AU30" i="11"/>
  <c r="AL30" i="11"/>
  <c r="AY30" i="11" s="1"/>
  <c r="AC30" i="11"/>
  <c r="P30" i="11"/>
  <c r="M30" i="11"/>
  <c r="H30" i="11"/>
  <c r="D30" i="11"/>
  <c r="A30" i="11"/>
  <c r="BW29" i="11"/>
  <c r="BV29" i="11"/>
  <c r="BF29" i="11"/>
  <c r="BD29" i="11"/>
  <c r="AX29" i="11"/>
  <c r="AV29" i="11"/>
  <c r="AU29" i="11"/>
  <c r="AL29" i="11"/>
  <c r="AY29" i="11" s="1"/>
  <c r="AC29" i="11"/>
  <c r="Q29" i="11"/>
  <c r="P29" i="11"/>
  <c r="N29" i="11"/>
  <c r="M29" i="11"/>
  <c r="E29" i="11"/>
  <c r="D29" i="11"/>
  <c r="B29" i="11"/>
  <c r="A29" i="11"/>
  <c r="BW28" i="11"/>
  <c r="BV28" i="11"/>
  <c r="BF28" i="11"/>
  <c r="BD28" i="11"/>
  <c r="AX28" i="11"/>
  <c r="AV28" i="11"/>
  <c r="AU28" i="11"/>
  <c r="AL28" i="11"/>
  <c r="AY28" i="11" s="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27" i="11"/>
  <c r="AU27" i="11"/>
  <c r="AL27" i="11"/>
  <c r="AY27" i="11" s="1"/>
  <c r="AC27" i="11"/>
  <c r="J27" i="11"/>
  <c r="G27" i="11"/>
  <c r="BW26" i="11"/>
  <c r="BV26" i="11"/>
  <c r="BF26" i="11"/>
  <c r="BD26" i="11"/>
  <c r="AX26" i="11"/>
  <c r="AV26" i="11"/>
  <c r="AU26" i="11"/>
  <c r="AL26" i="11"/>
  <c r="AY26" i="11" s="1"/>
  <c r="AC26" i="11"/>
  <c r="R26" i="11"/>
  <c r="P26" i="11"/>
  <c r="M26" i="11"/>
  <c r="K26" i="11"/>
  <c r="J26" i="11"/>
  <c r="H26" i="11"/>
  <c r="G26" i="11"/>
  <c r="F26" i="11"/>
  <c r="D26" i="11"/>
  <c r="A26" i="11"/>
  <c r="BW25" i="11"/>
  <c r="BV25" i="11"/>
  <c r="BF25" i="11"/>
  <c r="BD25" i="11"/>
  <c r="AX25" i="11"/>
  <c r="AV25" i="11"/>
  <c r="AU25" i="11"/>
  <c r="AL25" i="11"/>
  <c r="AY25" i="11" s="1"/>
  <c r="AC25" i="11"/>
  <c r="P25" i="11"/>
  <c r="M25" i="11"/>
  <c r="L25" i="11"/>
  <c r="K25" i="11"/>
  <c r="D25" i="11"/>
  <c r="A25" i="11"/>
  <c r="BW24" i="11"/>
  <c r="BV24" i="11"/>
  <c r="BF24" i="11"/>
  <c r="BD24" i="11"/>
  <c r="AX24" i="11"/>
  <c r="AV24" i="11"/>
  <c r="AU24" i="11"/>
  <c r="AL24" i="11"/>
  <c r="AY24" i="11" s="1"/>
  <c r="AC24" i="11"/>
  <c r="Q24" i="11"/>
  <c r="P24" i="11"/>
  <c r="N24" i="11"/>
  <c r="M24" i="11"/>
  <c r="E24" i="11"/>
  <c r="D24" i="11"/>
  <c r="B24" i="11"/>
  <c r="A24" i="11"/>
  <c r="BW23" i="11"/>
  <c r="BV23" i="11"/>
  <c r="BF23" i="11"/>
  <c r="BD23" i="11"/>
  <c r="AX23" i="11"/>
  <c r="AV23" i="11"/>
  <c r="AU23" i="11"/>
  <c r="AL23" i="11"/>
  <c r="AY23" i="11" s="1"/>
  <c r="AC23" i="11"/>
  <c r="R23" i="11"/>
  <c r="Q23" i="11"/>
  <c r="F23" i="11"/>
  <c r="E23" i="11"/>
  <c r="BW22" i="11"/>
  <c r="BV22" i="11"/>
  <c r="BF22" i="11"/>
  <c r="BD22" i="11"/>
  <c r="AX22" i="11"/>
  <c r="AV22" i="11"/>
  <c r="AU22" i="11"/>
  <c r="AL22" i="11"/>
  <c r="AY22" i="11" s="1"/>
  <c r="AC22" i="11"/>
  <c r="BW21" i="11"/>
  <c r="BV21" i="11"/>
  <c r="BF21" i="11"/>
  <c r="BD21" i="11"/>
  <c r="AX21" i="11"/>
  <c r="AV21" i="11"/>
  <c r="AU21" i="11"/>
  <c r="AL21" i="11"/>
  <c r="AY21" i="11" s="1"/>
  <c r="AC21" i="11"/>
  <c r="BW20" i="11"/>
  <c r="BV20" i="11"/>
  <c r="BF20" i="11"/>
  <c r="BD20" i="11"/>
  <c r="AX20" i="11"/>
  <c r="AV20" i="11"/>
  <c r="AU20" i="11"/>
  <c r="AL20" i="11"/>
  <c r="AY20" i="11" s="1"/>
  <c r="AC20" i="11"/>
  <c r="R20" i="11"/>
  <c r="P20" i="11"/>
  <c r="M20" i="11"/>
  <c r="BW19" i="11"/>
  <c r="BV19" i="11"/>
  <c r="BF19" i="11"/>
  <c r="BD19" i="11"/>
  <c r="AX19" i="11"/>
  <c r="AV19" i="11"/>
  <c r="AU19" i="11"/>
  <c r="AL19" i="11"/>
  <c r="AY19" i="11" s="1"/>
  <c r="AC19" i="11"/>
  <c r="P19" i="11"/>
  <c r="M19" i="11"/>
  <c r="H19" i="11"/>
  <c r="BW18" i="11"/>
  <c r="BV18" i="11"/>
  <c r="BF18" i="11"/>
  <c r="BD18" i="11"/>
  <c r="AX18" i="11"/>
  <c r="AV18" i="11"/>
  <c r="AU18" i="11"/>
  <c r="AL18" i="11"/>
  <c r="AY18" i="11" s="1"/>
  <c r="AC18" i="11"/>
  <c r="Q18" i="11"/>
  <c r="P18" i="11"/>
  <c r="N18" i="11"/>
  <c r="M18" i="11"/>
  <c r="B18" i="11"/>
  <c r="A18" i="11"/>
  <c r="BW17" i="11"/>
  <c r="BV17" i="11"/>
  <c r="BF17" i="11"/>
  <c r="BD17" i="11"/>
  <c r="AX17" i="11"/>
  <c r="AV17" i="11"/>
  <c r="AU17" i="11"/>
  <c r="AL17" i="11"/>
  <c r="AY17" i="11" s="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16" i="11"/>
  <c r="AU16" i="11"/>
  <c r="AL16" i="11"/>
  <c r="AY16" i="11" s="1"/>
  <c r="AC16" i="11"/>
  <c r="J16" i="11"/>
  <c r="G16" i="11"/>
  <c r="BW15" i="11"/>
  <c r="BV15" i="11"/>
  <c r="BF15" i="11"/>
  <c r="BD15" i="11"/>
  <c r="AX15" i="11"/>
  <c r="AV15" i="11"/>
  <c r="AU15" i="11"/>
  <c r="AL15" i="11"/>
  <c r="AY15" i="11" s="1"/>
  <c r="AC15" i="11"/>
  <c r="R15" i="11"/>
  <c r="P15" i="11"/>
  <c r="M15" i="11"/>
  <c r="K15" i="11"/>
  <c r="J15" i="11"/>
  <c r="H15" i="11"/>
  <c r="G15" i="11"/>
  <c r="F15" i="11"/>
  <c r="D15" i="11"/>
  <c r="A15" i="11"/>
  <c r="BW14" i="11"/>
  <c r="BV14" i="11"/>
  <c r="BF14" i="11"/>
  <c r="BD14" i="11"/>
  <c r="AX14" i="11"/>
  <c r="AV14" i="11"/>
  <c r="AU14" i="11"/>
  <c r="AL14" i="11"/>
  <c r="AY14" i="11" s="1"/>
  <c r="AC14" i="11"/>
  <c r="P14" i="11"/>
  <c r="M14" i="11"/>
  <c r="L14" i="11"/>
  <c r="K14" i="11"/>
  <c r="D14" i="11"/>
  <c r="A14" i="11"/>
  <c r="BW13" i="11"/>
  <c r="BV13" i="11"/>
  <c r="BF13" i="11"/>
  <c r="BD13" i="11"/>
  <c r="AX13" i="11"/>
  <c r="AV13" i="11"/>
  <c r="AU13" i="11"/>
  <c r="AL13" i="11"/>
  <c r="AY13" i="11" s="1"/>
  <c r="AC13" i="11"/>
  <c r="Q13" i="11"/>
  <c r="P13" i="11"/>
  <c r="N13" i="11"/>
  <c r="M13" i="11"/>
  <c r="E13" i="11"/>
  <c r="D13" i="11"/>
  <c r="B13" i="11"/>
  <c r="A13" i="11"/>
  <c r="BW12" i="11"/>
  <c r="BV12" i="11"/>
  <c r="BF12" i="11"/>
  <c r="BD12" i="11"/>
  <c r="AX12" i="11"/>
  <c r="AV12" i="11"/>
  <c r="AU12" i="11"/>
  <c r="AL12" i="11"/>
  <c r="AY12" i="11" s="1"/>
  <c r="AC12" i="11"/>
  <c r="R12" i="11"/>
  <c r="Q12" i="11"/>
  <c r="F12" i="11"/>
  <c r="E12" i="11"/>
  <c r="BW11" i="11"/>
  <c r="BV11" i="11"/>
  <c r="BR11" i="11"/>
  <c r="BF11" i="11"/>
  <c r="BD11" i="11"/>
  <c r="AX11" i="11"/>
  <c r="AV11" i="11"/>
  <c r="AU11" i="11"/>
  <c r="AL11" i="11"/>
  <c r="AY11" i="11" s="1"/>
  <c r="AC11" i="11"/>
  <c r="BW10" i="11"/>
  <c r="BV10" i="11"/>
  <c r="BR10" i="11"/>
  <c r="BF10" i="11"/>
  <c r="BD10" i="11"/>
  <c r="AX10" i="11"/>
  <c r="AV10" i="11"/>
  <c r="AU10" i="11"/>
  <c r="AL10" i="11"/>
  <c r="AY10" i="11" s="1"/>
  <c r="AC10" i="11"/>
  <c r="BW9" i="11"/>
  <c r="BV9" i="11"/>
  <c r="BR9" i="11"/>
  <c r="BF9" i="11"/>
  <c r="BD9" i="11"/>
  <c r="AX9" i="11"/>
  <c r="AV9" i="11"/>
  <c r="AU9" i="11"/>
  <c r="AL9" i="11"/>
  <c r="AY9" i="11" s="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8" i="11"/>
  <c r="AU8" i="11"/>
  <c r="AL8" i="11"/>
  <c r="AY8" i="11" s="1"/>
  <c r="AC8" i="11"/>
  <c r="P8" i="11"/>
  <c r="M8" i="11"/>
  <c r="D8" i="11"/>
  <c r="A8" i="11"/>
  <c r="BW7" i="11"/>
  <c r="BV7" i="11"/>
  <c r="BR7" i="11"/>
  <c r="BF7" i="11"/>
  <c r="BD7" i="11"/>
  <c r="AX7" i="11"/>
  <c r="AV7" i="11"/>
  <c r="AU7" i="11"/>
  <c r="AL7" i="11"/>
  <c r="AY7" i="11" s="1"/>
  <c r="AC7" i="11"/>
  <c r="Q7" i="11"/>
  <c r="P7" i="11"/>
  <c r="N7" i="11"/>
  <c r="M7" i="11"/>
  <c r="E7" i="11"/>
  <c r="D7" i="11"/>
  <c r="B7" i="11"/>
  <c r="A7" i="11"/>
  <c r="BW6" i="11"/>
  <c r="BV6" i="11"/>
  <c r="BR6" i="11"/>
  <c r="BF6" i="11"/>
  <c r="BD6" i="11"/>
  <c r="AX6" i="11"/>
  <c r="AV6" i="11"/>
  <c r="AU6" i="11"/>
  <c r="AL6" i="11"/>
  <c r="AY6" i="11" s="1"/>
  <c r="AC6" i="11"/>
  <c r="R6" i="11"/>
  <c r="Q6" i="11"/>
  <c r="L6" i="11"/>
  <c r="J6" i="11"/>
  <c r="G6" i="11"/>
  <c r="F6" i="11"/>
  <c r="E6" i="11"/>
  <c r="BW5" i="11"/>
  <c r="BV5" i="11"/>
  <c r="BR5" i="11"/>
  <c r="BF5" i="11"/>
  <c r="BD5" i="11"/>
  <c r="AX5" i="11"/>
  <c r="AV5" i="11"/>
  <c r="AU5" i="11"/>
  <c r="AL5" i="11"/>
  <c r="AY5" i="11" s="1"/>
  <c r="AC5" i="11"/>
  <c r="J5" i="11"/>
  <c r="G5" i="11"/>
  <c r="BW4" i="11"/>
  <c r="BV4" i="11"/>
  <c r="BR4" i="11"/>
  <c r="BF4" i="11"/>
  <c r="BD4" i="11"/>
  <c r="AX4" i="11"/>
  <c r="AV4" i="11"/>
  <c r="AU4" i="11"/>
  <c r="AL4" i="11"/>
  <c r="AY4" i="11" s="1"/>
  <c r="AC4" i="11"/>
  <c r="R4" i="11"/>
  <c r="P4" i="11"/>
  <c r="M4" i="11"/>
  <c r="K4" i="11"/>
  <c r="J4" i="11"/>
  <c r="H4" i="11"/>
  <c r="G4" i="11"/>
  <c r="F4" i="11"/>
  <c r="D4" i="11"/>
  <c r="A4" i="11"/>
  <c r="BW3" i="11"/>
  <c r="BV3" i="11"/>
  <c r="BR3" i="11"/>
  <c r="BF3" i="11"/>
  <c r="BD3" i="11"/>
  <c r="AX3" i="11"/>
  <c r="AV3" i="11"/>
  <c r="AU3" i="11"/>
  <c r="AL3" i="11"/>
  <c r="AY3" i="11" s="1"/>
  <c r="AC3" i="11"/>
  <c r="P3" i="11"/>
  <c r="M3" i="11"/>
  <c r="L3" i="11"/>
  <c r="K3" i="11"/>
  <c r="D3" i="11"/>
  <c r="A3" i="11"/>
  <c r="BW2" i="11"/>
  <c r="BV2" i="11"/>
  <c r="BR2" i="11"/>
  <c r="BF2" i="11"/>
  <c r="BD2" i="11"/>
  <c r="BE34" i="11" s="1"/>
  <c r="AX2" i="11"/>
  <c r="AV2" i="11"/>
  <c r="AU2" i="11"/>
  <c r="AL2" i="11"/>
  <c r="AY2" i="11" s="1"/>
  <c r="AC2" i="11"/>
  <c r="Q2" i="11"/>
  <c r="P2" i="11"/>
  <c r="N2" i="11"/>
  <c r="M2" i="11"/>
  <c r="E2" i="11"/>
  <c r="D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L18" i="6"/>
  <c r="AL19" i="6"/>
  <c r="AL20" i="6"/>
  <c r="AY20" i="6" s="1"/>
  <c r="AL21" i="6"/>
  <c r="AL22" i="6"/>
  <c r="AY22" i="6" s="1"/>
  <c r="AL23" i="6"/>
  <c r="AL24" i="6"/>
  <c r="AY24" i="6" s="1"/>
  <c r="AL25" i="6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L8" i="7"/>
  <c r="AY8" i="7" s="1"/>
  <c r="AL9" i="7"/>
  <c r="AL10" i="7"/>
  <c r="AY10" i="7" s="1"/>
  <c r="AL11" i="7"/>
  <c r="AL12" i="7"/>
  <c r="AL13" i="7"/>
  <c r="AL14" i="7"/>
  <c r="AL15" i="7"/>
  <c r="AL16" i="7"/>
  <c r="AY16" i="7" s="1"/>
  <c r="AL17" i="7"/>
  <c r="AL18" i="7"/>
  <c r="AY18" i="7" s="1"/>
  <c r="AL19" i="7"/>
  <c r="AL20" i="7"/>
  <c r="AY20" i="7" s="1"/>
  <c r="AL21" i="7"/>
  <c r="AL22" i="7"/>
  <c r="AL23" i="7"/>
  <c r="AL24" i="7"/>
  <c r="AY24" i="7" s="1"/>
  <c r="AL25" i="7"/>
  <c r="AY25" i="7" s="1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3" i="8"/>
  <c r="AL4" i="8"/>
  <c r="AY4" i="8" s="1"/>
  <c r="AL5" i="8"/>
  <c r="AL6" i="8"/>
  <c r="AL7" i="8"/>
  <c r="AL8" i="8"/>
  <c r="AY8" i="8" s="1"/>
  <c r="AL9" i="8"/>
  <c r="AY9" i="8" s="1"/>
  <c r="AL10" i="8"/>
  <c r="AL11" i="8"/>
  <c r="AL12" i="8"/>
  <c r="AY12" i="8" s="1"/>
  <c r="AL13" i="8"/>
  <c r="AL14" i="8"/>
  <c r="AL15" i="8"/>
  <c r="AL16" i="8"/>
  <c r="AY16" i="8" s="1"/>
  <c r="AL17" i="8"/>
  <c r="AY17" i="8" s="1"/>
  <c r="AL18" i="8"/>
  <c r="AY18" i="8" s="1"/>
  <c r="AL19" i="8"/>
  <c r="AL20" i="8"/>
  <c r="AL21" i="8"/>
  <c r="AL22" i="8"/>
  <c r="AL23" i="8"/>
  <c r="AL24" i="8"/>
  <c r="AY24" i="8" s="1"/>
  <c r="AL25" i="8"/>
  <c r="AY25" i="8" s="1"/>
  <c r="AL26" i="8"/>
  <c r="AY26" i="8" s="1"/>
  <c r="AL27" i="8"/>
  <c r="AL28" i="8"/>
  <c r="AY28" i="8" s="1"/>
  <c r="AL29" i="8"/>
  <c r="AL30" i="8"/>
  <c r="AL31" i="8"/>
  <c r="AL32" i="8"/>
  <c r="AY32" i="8" s="1"/>
  <c r="AL33" i="8"/>
  <c r="AY33" i="8" s="1"/>
  <c r="AL34" i="8"/>
  <c r="AL35" i="8"/>
  <c r="AL36" i="8"/>
  <c r="AL37" i="8"/>
  <c r="AL38" i="8"/>
  <c r="AL39" i="8"/>
  <c r="AL40" i="8"/>
  <c r="AY40" i="8" s="1"/>
  <c r="AL41" i="8"/>
  <c r="AY41" i="8" s="1"/>
  <c r="AL42" i="8"/>
  <c r="AL43" i="8"/>
  <c r="AL44" i="8"/>
  <c r="AY44" i="8" s="1"/>
  <c r="AL45" i="8"/>
  <c r="AL46" i="8"/>
  <c r="AL47" i="8"/>
  <c r="AL48" i="8"/>
  <c r="AL49" i="8"/>
  <c r="AY49" i="8" s="1"/>
  <c r="AL50" i="8"/>
  <c r="AL3" i="9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L14" i="9"/>
  <c r="AL15" i="9"/>
  <c r="AY15" i="9" s="1"/>
  <c r="AL16" i="9"/>
  <c r="AY16" i="9" s="1"/>
  <c r="AL17" i="9"/>
  <c r="AL18" i="9"/>
  <c r="AY18" i="9" s="1"/>
  <c r="AL19" i="9"/>
  <c r="AL20" i="9"/>
  <c r="AY20" i="9" s="1"/>
  <c r="AL21" i="9"/>
  <c r="AL22" i="9"/>
  <c r="AL23" i="9"/>
  <c r="AL24" i="9"/>
  <c r="AL25" i="9"/>
  <c r="AL26" i="9"/>
  <c r="AY26" i="9" s="1"/>
  <c r="AL27" i="9"/>
  <c r="AY27" i="9" s="1"/>
  <c r="AL28" i="9"/>
  <c r="AY28" i="9" s="1"/>
  <c r="AL29" i="9"/>
  <c r="AL30" i="9"/>
  <c r="AL31" i="9"/>
  <c r="AY31" i="9" s="1"/>
  <c r="AL32" i="9"/>
  <c r="AY32" i="9" s="1"/>
  <c r="AL33" i="9"/>
  <c r="AL34" i="9"/>
  <c r="AY34" i="9" s="1"/>
  <c r="AL35" i="9"/>
  <c r="AL36" i="9"/>
  <c r="AY36" i="9" s="1"/>
  <c r="AL37" i="9"/>
  <c r="AL38" i="9"/>
  <c r="AL39" i="9"/>
  <c r="AL40" i="9"/>
  <c r="AY40" i="9" s="1"/>
  <c r="AL41" i="9"/>
  <c r="AL42" i="9"/>
  <c r="AY42" i="9" s="1"/>
  <c r="AL43" i="9"/>
  <c r="AL44" i="9"/>
  <c r="AY44" i="9" s="1"/>
  <c r="AL45" i="9"/>
  <c r="AL46" i="9"/>
  <c r="AL47" i="9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Y40" i="10" s="1"/>
  <c r="AL41" i="10"/>
  <c r="AL42" i="10"/>
  <c r="AY42" i="10" s="1"/>
  <c r="AL43" i="10"/>
  <c r="AL44" i="10"/>
  <c r="AY44" i="10" s="1"/>
  <c r="AL45" i="10"/>
  <c r="AY45" i="10" s="1"/>
  <c r="AL46" i="10"/>
  <c r="AL47" i="10"/>
  <c r="AL48" i="10"/>
  <c r="AY48" i="10" s="1"/>
  <c r="AL49" i="10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9" i="6"/>
  <c r="AY10" i="8"/>
  <c r="AY34" i="8"/>
  <c r="AY50" i="8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Y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Y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Y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Y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Y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Y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Y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Y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Y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E37" i="8"/>
  <c r="BG37" i="8" s="1"/>
  <c r="BH37" i="8" s="1"/>
  <c r="BI37" i="8" s="1"/>
  <c r="BJ37" i="8" s="1"/>
  <c r="BK37" i="8" s="1"/>
  <c r="BL37" i="8" s="1"/>
  <c r="BM37" i="8" s="1"/>
  <c r="BD37" i="8"/>
  <c r="AX37" i="8"/>
  <c r="AW37" i="8"/>
  <c r="AV37" i="8"/>
  <c r="AU37" i="8"/>
  <c r="AY37" i="8"/>
  <c r="AC37" i="8"/>
  <c r="E37" i="8"/>
  <c r="C37" i="8"/>
  <c r="A37" i="8"/>
  <c r="BF36" i="8"/>
  <c r="BE36" i="8"/>
  <c r="BG36" i="8" s="1"/>
  <c r="BH36" i="8" s="1"/>
  <c r="BI36" i="8" s="1"/>
  <c r="BJ36" i="8" s="1"/>
  <c r="BK36" i="8" s="1"/>
  <c r="BL36" i="8" s="1"/>
  <c r="BM36" i="8" s="1"/>
  <c r="BD36" i="8"/>
  <c r="AY36" i="8"/>
  <c r="AX36" i="8"/>
  <c r="AW36" i="8"/>
  <c r="AV36" i="8"/>
  <c r="AU36" i="8"/>
  <c r="AC36" i="8"/>
  <c r="F36" i="8"/>
  <c r="D36" i="8"/>
  <c r="B36" i="8"/>
  <c r="A36" i="8"/>
  <c r="BF35" i="8"/>
  <c r="BE35" i="8"/>
  <c r="BG35" i="8" s="1"/>
  <c r="BH35" i="8" s="1"/>
  <c r="BI35" i="8" s="1"/>
  <c r="BJ35" i="8" s="1"/>
  <c r="BK35" i="8" s="1"/>
  <c r="BL35" i="8" s="1"/>
  <c r="BM35" i="8" s="1"/>
  <c r="BD35" i="8"/>
  <c r="AY35" i="8"/>
  <c r="AX35" i="8"/>
  <c r="AW35" i="8"/>
  <c r="AV35" i="8"/>
  <c r="AU35" i="8"/>
  <c r="AC35" i="8"/>
  <c r="N35" i="8"/>
  <c r="M35" i="8"/>
  <c r="E35" i="8"/>
  <c r="D35" i="8"/>
  <c r="A35" i="8"/>
  <c r="BF34" i="8"/>
  <c r="BE34" i="8"/>
  <c r="BG34" i="8" s="1"/>
  <c r="BH34" i="8" s="1"/>
  <c r="BI34" i="8" s="1"/>
  <c r="BJ34" i="8" s="1"/>
  <c r="BK34" i="8" s="1"/>
  <c r="BL34" i="8" s="1"/>
  <c r="BM34" i="8" s="1"/>
  <c r="BD34" i="8"/>
  <c r="AX34" i="8"/>
  <c r="AW34" i="8"/>
  <c r="AV34" i="8"/>
  <c r="AU34" i="8"/>
  <c r="AC34" i="8"/>
  <c r="E34" i="8"/>
  <c r="BF33" i="8"/>
  <c r="BE33" i="8"/>
  <c r="BG33" i="8" s="1"/>
  <c r="BH33" i="8" s="1"/>
  <c r="BI33" i="8" s="1"/>
  <c r="BJ33" i="8" s="1"/>
  <c r="BK33" i="8" s="1"/>
  <c r="BL33" i="8" s="1"/>
  <c r="BM33" i="8" s="1"/>
  <c r="BD33" i="8"/>
  <c r="AX33" i="8"/>
  <c r="AW33" i="8"/>
  <c r="AV33" i="8"/>
  <c r="AU33" i="8"/>
  <c r="AC33" i="8"/>
  <c r="BF32" i="8"/>
  <c r="BE32" i="8"/>
  <c r="BG32" i="8" s="1"/>
  <c r="BH32" i="8" s="1"/>
  <c r="BI32" i="8" s="1"/>
  <c r="BJ32" i="8" s="1"/>
  <c r="BK32" i="8" s="1"/>
  <c r="BL32" i="8" s="1"/>
  <c r="BM32" i="8" s="1"/>
  <c r="BD32" i="8"/>
  <c r="AX32" i="8"/>
  <c r="AW32" i="8"/>
  <c r="AV32" i="8"/>
  <c r="AU32" i="8"/>
  <c r="AC32" i="8"/>
  <c r="BW31" i="8"/>
  <c r="BV31" i="8"/>
  <c r="BF31" i="8"/>
  <c r="BE31" i="8"/>
  <c r="BG31" i="8" s="1"/>
  <c r="BH31" i="8" s="1"/>
  <c r="BI31" i="8" s="1"/>
  <c r="BJ31" i="8" s="1"/>
  <c r="BK31" i="8" s="1"/>
  <c r="BL31" i="8" s="1"/>
  <c r="BM31" i="8" s="1"/>
  <c r="BD31" i="8"/>
  <c r="AX31" i="8"/>
  <c r="AW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8" i="8"/>
  <c r="AU28" i="8"/>
  <c r="AC28" i="8"/>
  <c r="Q28" i="8"/>
  <c r="L28" i="8"/>
  <c r="J28" i="8"/>
  <c r="G28" i="8"/>
  <c r="E28" i="8"/>
  <c r="BW27" i="8"/>
  <c r="BV27" i="8"/>
  <c r="BF27" i="8"/>
  <c r="BD27" i="8"/>
  <c r="AX27" i="8"/>
  <c r="AV27" i="8"/>
  <c r="AU27" i="8"/>
  <c r="AY27" i="8"/>
  <c r="AC27" i="8"/>
  <c r="J27" i="8"/>
  <c r="G27" i="8"/>
  <c r="BW26" i="8"/>
  <c r="BV26" i="8"/>
  <c r="BF26" i="8"/>
  <c r="BD26" i="8"/>
  <c r="AX26" i="8"/>
  <c r="AV26" i="8"/>
  <c r="AU26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5" i="8"/>
  <c r="AU25" i="8"/>
  <c r="AC25" i="8"/>
  <c r="P25" i="8"/>
  <c r="M25" i="8"/>
  <c r="K25" i="8"/>
  <c r="D25" i="8"/>
  <c r="A25" i="8"/>
  <c r="BW24" i="8"/>
  <c r="BV24" i="8"/>
  <c r="BF24" i="8"/>
  <c r="BD24" i="8"/>
  <c r="AX24" i="8"/>
  <c r="AV24" i="8"/>
  <c r="AU24" i="8"/>
  <c r="AC24" i="8"/>
  <c r="Q24" i="8"/>
  <c r="P24" i="8"/>
  <c r="E24" i="8"/>
  <c r="D24" i="8"/>
  <c r="BW23" i="8"/>
  <c r="BV23" i="8"/>
  <c r="BF23" i="8"/>
  <c r="BD23" i="8"/>
  <c r="AX23" i="8"/>
  <c r="AV23" i="8"/>
  <c r="AU23" i="8"/>
  <c r="AY23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20" i="8"/>
  <c r="AU20" i="8"/>
  <c r="AC20" i="8"/>
  <c r="R20" i="8"/>
  <c r="P20" i="8"/>
  <c r="M20" i="8"/>
  <c r="BW19" i="8"/>
  <c r="BV19" i="8"/>
  <c r="BF19" i="8"/>
  <c r="BD19" i="8"/>
  <c r="AX19" i="8"/>
  <c r="AV19" i="8"/>
  <c r="AU19" i="8"/>
  <c r="AY19" i="8"/>
  <c r="AC19" i="8"/>
  <c r="P19" i="8"/>
  <c r="M19" i="8"/>
  <c r="H19" i="8"/>
  <c r="BW18" i="8"/>
  <c r="BV18" i="8"/>
  <c r="BF18" i="8"/>
  <c r="BD18" i="8"/>
  <c r="AX18" i="8"/>
  <c r="AV18" i="8"/>
  <c r="AU18" i="8"/>
  <c r="AC18" i="8"/>
  <c r="Q18" i="8"/>
  <c r="P18" i="8"/>
  <c r="BW17" i="8"/>
  <c r="BV17" i="8"/>
  <c r="BF17" i="8"/>
  <c r="BD17" i="8"/>
  <c r="AX17" i="8"/>
  <c r="AV17" i="8"/>
  <c r="AU17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14" i="8"/>
  <c r="AU14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3" i="8"/>
  <c r="AU13" i="8"/>
  <c r="AY13" i="8"/>
  <c r="AC13" i="8"/>
  <c r="Q13" i="8"/>
  <c r="P13" i="8"/>
  <c r="E13" i="8"/>
  <c r="D13" i="8"/>
  <c r="BW12" i="8"/>
  <c r="BV12" i="8"/>
  <c r="BF12" i="8"/>
  <c r="BD12" i="8"/>
  <c r="AX12" i="8"/>
  <c r="AV12" i="8"/>
  <c r="AU12" i="8"/>
  <c r="AC12" i="8"/>
  <c r="Q12" i="8"/>
  <c r="E12" i="8"/>
  <c r="BW11" i="8"/>
  <c r="BV11" i="8"/>
  <c r="BR11" i="8"/>
  <c r="BF11" i="8"/>
  <c r="BD11" i="8"/>
  <c r="AX11" i="8"/>
  <c r="AV11" i="8"/>
  <c r="AU11" i="8"/>
  <c r="AY11" i="8"/>
  <c r="AC11" i="8"/>
  <c r="BW10" i="8"/>
  <c r="BV10" i="8"/>
  <c r="BR10" i="8"/>
  <c r="BF10" i="8"/>
  <c r="BD10" i="8"/>
  <c r="AX10" i="8"/>
  <c r="AV10" i="8"/>
  <c r="AU10" i="8"/>
  <c r="AC10" i="8"/>
  <c r="BW9" i="8"/>
  <c r="BV9" i="8"/>
  <c r="BR9" i="8"/>
  <c r="BF9" i="8"/>
  <c r="BD9" i="8"/>
  <c r="AX9" i="8"/>
  <c r="AV9" i="8"/>
  <c r="AU9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8" i="8"/>
  <c r="AU8" i="8"/>
  <c r="AC8" i="8"/>
  <c r="P8" i="8"/>
  <c r="M8" i="8"/>
  <c r="D8" i="8"/>
  <c r="A8" i="8"/>
  <c r="BW7" i="8"/>
  <c r="BV7" i="8"/>
  <c r="BR7" i="8"/>
  <c r="BF7" i="8"/>
  <c r="BD7" i="8"/>
  <c r="AX7" i="8"/>
  <c r="AV7" i="8"/>
  <c r="AU7" i="8"/>
  <c r="AY7" i="8"/>
  <c r="AC7" i="8"/>
  <c r="Q7" i="8"/>
  <c r="P7" i="8"/>
  <c r="E7" i="8"/>
  <c r="D7" i="8"/>
  <c r="BW6" i="8"/>
  <c r="BV6" i="8"/>
  <c r="BR6" i="8"/>
  <c r="BF6" i="8"/>
  <c r="BD6" i="8"/>
  <c r="AX6" i="8"/>
  <c r="AV6" i="8"/>
  <c r="AU6" i="8"/>
  <c r="AY6" i="8"/>
  <c r="AC6" i="8"/>
  <c r="Q6" i="8"/>
  <c r="L6" i="8"/>
  <c r="J6" i="8"/>
  <c r="G6" i="8"/>
  <c r="E6" i="8"/>
  <c r="BW5" i="8"/>
  <c r="BV5" i="8"/>
  <c r="BR5" i="8"/>
  <c r="BF5" i="8"/>
  <c r="BD5" i="8"/>
  <c r="AX5" i="8"/>
  <c r="AV5" i="8"/>
  <c r="AU5" i="8"/>
  <c r="AY5" i="8"/>
  <c r="AC5" i="8"/>
  <c r="J5" i="8"/>
  <c r="G5" i="8"/>
  <c r="BW4" i="8"/>
  <c r="BV4" i="8"/>
  <c r="BR4" i="8"/>
  <c r="BF4" i="8"/>
  <c r="BD4" i="8"/>
  <c r="AX4" i="8"/>
  <c r="AV4" i="8"/>
  <c r="AU4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3" i="8"/>
  <c r="AU3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Y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Y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Y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AY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K8" i="5"/>
  <c r="F8" i="5"/>
  <c r="O8" i="5"/>
  <c r="B8" i="5"/>
  <c r="I8" i="5"/>
  <c r="B3" i="5"/>
  <c r="D8" i="5"/>
  <c r="J8" i="5"/>
  <c r="E8" i="5"/>
  <c r="L8" i="5"/>
  <c r="H8" i="5"/>
  <c r="N8" i="5"/>
  <c r="G8" i="5"/>
  <c r="M8" i="5"/>
  <c r="C8" i="5"/>
  <c r="K36" i="14" l="1"/>
  <c r="P8" i="14"/>
  <c r="D30" i="14"/>
  <c r="J27" i="14"/>
  <c r="AW3" i="14"/>
  <c r="AW35" i="14"/>
  <c r="AW36" i="14"/>
  <c r="AW30" i="14"/>
  <c r="AW27" i="14"/>
  <c r="AW11" i="14"/>
  <c r="AW25" i="14"/>
  <c r="AW20" i="14"/>
  <c r="AW14" i="14"/>
  <c r="AW8" i="14"/>
  <c r="AW31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1" s="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AW19" i="11" s="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9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8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AW5" i="11" s="1"/>
  <c r="BE12" i="11"/>
  <c r="AW12" i="11" s="1"/>
  <c r="BE17" i="11"/>
  <c r="AW17" i="11" s="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AW28" i="11" s="1"/>
  <c r="BE21" i="11"/>
  <c r="AW21" i="11" s="1"/>
  <c r="BE30" i="11"/>
  <c r="AW30" i="11" s="1"/>
  <c r="BE14" i="11"/>
  <c r="AW14" i="11" s="1"/>
  <c r="BE9" i="11"/>
  <c r="BE2" i="11"/>
  <c r="AW2" i="11" s="1"/>
  <c r="BE11" i="11"/>
  <c r="BG11" i="11" s="1"/>
  <c r="BH11" i="11" s="1"/>
  <c r="BI11" i="11" s="1"/>
  <c r="BJ11" i="11" s="1"/>
  <c r="BK11" i="11" s="1"/>
  <c r="BL11" i="11" s="1"/>
  <c r="BM11" i="11" s="1"/>
  <c r="BE24" i="11"/>
  <c r="BG24" i="11" s="1"/>
  <c r="BH24" i="11" s="1"/>
  <c r="BI24" i="11" s="1"/>
  <c r="BJ24" i="11" s="1"/>
  <c r="BK24" i="11" s="1"/>
  <c r="BL24" i="11" s="1"/>
  <c r="BM24" i="11" s="1"/>
  <c r="BE29" i="11"/>
  <c r="AW29" i="11" s="1"/>
  <c r="AW36" i="11"/>
  <c r="BG36" i="11"/>
  <c r="BH36" i="11" s="1"/>
  <c r="BI36" i="11" s="1"/>
  <c r="BJ36" i="11" s="1"/>
  <c r="BK36" i="11" s="1"/>
  <c r="BL36" i="11" s="1"/>
  <c r="BM36" i="11" s="1"/>
  <c r="AW34" i="11"/>
  <c r="BG34" i="11"/>
  <c r="BH34" i="11" s="1"/>
  <c r="BI34" i="11" s="1"/>
  <c r="BJ34" i="11" s="1"/>
  <c r="BK34" i="11" s="1"/>
  <c r="BL34" i="11" s="1"/>
  <c r="BM34" i="11" s="1"/>
  <c r="AW33" i="11"/>
  <c r="BG33" i="11"/>
  <c r="BH33" i="11" s="1"/>
  <c r="BI33" i="11" s="1"/>
  <c r="BJ33" i="11" s="1"/>
  <c r="BK33" i="11" s="1"/>
  <c r="BL33" i="11" s="1"/>
  <c r="BM33" i="11" s="1"/>
  <c r="BE15" i="11"/>
  <c r="BE18" i="11"/>
  <c r="BE32" i="11"/>
  <c r="BE35" i="11"/>
  <c r="BE6" i="11"/>
  <c r="BE3" i="1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AW18" i="8" s="1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AW27" i="8" s="1"/>
  <c r="BE28" i="8"/>
  <c r="AW28" i="8" s="1"/>
  <c r="BE5" i="8"/>
  <c r="AW5" i="8" s="1"/>
  <c r="BE17" i="8"/>
  <c r="AW17" i="8" s="1"/>
  <c r="BE24" i="8"/>
  <c r="AW24" i="8" s="1"/>
  <c r="BE11" i="8"/>
  <c r="BG11" i="8" s="1"/>
  <c r="BE30" i="8"/>
  <c r="BE12" i="8"/>
  <c r="AW12" i="8" s="1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BH31" i="14" l="1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AW27" i="11"/>
  <c r="AW24" i="11"/>
  <c r="BG12" i="11"/>
  <c r="BH12" i="11" s="1"/>
  <c r="BI12" i="11" s="1"/>
  <c r="BJ12" i="11" s="1"/>
  <c r="BK12" i="11" s="1"/>
  <c r="BL12" i="11" s="1"/>
  <c r="BM12" i="11" s="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BH5" i="11" s="1"/>
  <c r="BI5" i="11" s="1"/>
  <c r="BJ5" i="11" s="1"/>
  <c r="BK5" i="11" s="1"/>
  <c r="BL5" i="11" s="1"/>
  <c r="BM5" i="11" s="1"/>
  <c r="AW20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11" i="11"/>
  <c r="BG9" i="11"/>
  <c r="AW23" i="11"/>
  <c r="BG21" i="11"/>
  <c r="BH21" i="11" s="1"/>
  <c r="BI21" i="11" s="1"/>
  <c r="BJ21" i="11" s="1"/>
  <c r="BK21" i="11" s="1"/>
  <c r="BL21" i="11" s="1"/>
  <c r="BM21" i="11" s="1"/>
  <c r="AW35" i="11"/>
  <c r="BG35" i="11"/>
  <c r="BH35" i="11" s="1"/>
  <c r="BI35" i="11" s="1"/>
  <c r="BJ35" i="11" s="1"/>
  <c r="BK35" i="11" s="1"/>
  <c r="BL35" i="11" s="1"/>
  <c r="BM35" i="11" s="1"/>
  <c r="AW26" i="11"/>
  <c r="BG26" i="11"/>
  <c r="BH26" i="11" s="1"/>
  <c r="BI26" i="11" s="1"/>
  <c r="BJ26" i="11" s="1"/>
  <c r="BK26" i="11" s="1"/>
  <c r="BL26" i="11" s="1"/>
  <c r="BM26" i="11" s="1"/>
  <c r="AW32" i="11"/>
  <c r="BG32" i="11"/>
  <c r="BH32" i="11" s="1"/>
  <c r="BI32" i="11" s="1"/>
  <c r="BJ32" i="11" s="1"/>
  <c r="BK32" i="11" s="1"/>
  <c r="BL32" i="11" s="1"/>
  <c r="BM32" i="11" s="1"/>
  <c r="AW10" i="11"/>
  <c r="BG10" i="11"/>
  <c r="BH10" i="11" s="1"/>
  <c r="BI10" i="11" s="1"/>
  <c r="BJ10" i="11" s="1"/>
  <c r="BK10" i="11" s="1"/>
  <c r="BL10" i="11" s="1"/>
  <c r="BM10" i="11" s="1"/>
  <c r="AW22" i="11"/>
  <c r="BG22" i="11"/>
  <c r="BH22" i="11" s="1"/>
  <c r="BI22" i="11" s="1"/>
  <c r="BJ22" i="11" s="1"/>
  <c r="BK22" i="11" s="1"/>
  <c r="BL22" i="11" s="1"/>
  <c r="BM22" i="11" s="1"/>
  <c r="AW18" i="11"/>
  <c r="BG18" i="11"/>
  <c r="BH18" i="11" s="1"/>
  <c r="BI18" i="11" s="1"/>
  <c r="BJ18" i="11" s="1"/>
  <c r="BK18" i="11" s="1"/>
  <c r="BL18" i="11" s="1"/>
  <c r="BM18" i="11" s="1"/>
  <c r="AW15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AW25" i="11"/>
  <c r="BG31" i="11"/>
  <c r="BH31" i="11" s="1"/>
  <c r="BI31" i="11" s="1"/>
  <c r="BJ31" i="11" s="1"/>
  <c r="BK31" i="11" s="1"/>
  <c r="BL31" i="11" s="1"/>
  <c r="BM31" i="11" s="1"/>
  <c r="AW31" i="11"/>
  <c r="BG16" i="11"/>
  <c r="BH16" i="11" s="1"/>
  <c r="BI16" i="11" s="1"/>
  <c r="BJ16" i="11" s="1"/>
  <c r="BK16" i="11" s="1"/>
  <c r="BL16" i="11" s="1"/>
  <c r="BM16" i="11" s="1"/>
  <c r="AW16" i="11"/>
  <c r="AW3" i="11"/>
  <c r="BG3" i="11"/>
  <c r="BH3" i="11" s="1"/>
  <c r="BI3" i="11" s="1"/>
  <c r="BJ3" i="11" s="1"/>
  <c r="BK3" i="11" s="1"/>
  <c r="BL3" i="11" s="1"/>
  <c r="BM3" i="11" s="1"/>
  <c r="AW13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7" i="11"/>
  <c r="AW6" i="11"/>
  <c r="BG6" i="11"/>
  <c r="BH6" i="11" s="1"/>
  <c r="BI6" i="11" s="1"/>
  <c r="BJ6" i="11" s="1"/>
  <c r="BK6" i="11" s="1"/>
  <c r="BL6" i="11" s="1"/>
  <c r="BM6" i="11" s="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6" i="8"/>
  <c r="AW20" i="8"/>
  <c r="AW23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H24" i="8" s="1"/>
  <c r="BI24" i="8" s="1"/>
  <c r="BJ24" i="8" s="1"/>
  <c r="BK24" i="8" s="1"/>
  <c r="BL24" i="8" s="1"/>
  <c r="BM24" i="8" s="1"/>
  <c r="BG12" i="8"/>
  <c r="BH12" i="8" s="1"/>
  <c r="BI12" i="8" s="1"/>
  <c r="BJ12" i="8" s="1"/>
  <c r="BK12" i="8" s="1"/>
  <c r="BL12" i="8" s="1"/>
  <c r="BM12" i="8" s="1"/>
  <c r="AW19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H29" i="8" s="1"/>
  <c r="BI29" i="8" s="1"/>
  <c r="BJ29" i="8" s="1"/>
  <c r="BK29" i="8" s="1"/>
  <c r="BL29" i="8" s="1"/>
  <c r="BM29" i="8" s="1"/>
  <c r="AW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30" i="8"/>
  <c r="AW15" i="8"/>
  <c r="BG15" i="8"/>
  <c r="BH15" i="8" s="1"/>
  <c r="BI15" i="8" s="1"/>
  <c r="BJ15" i="8" s="1"/>
  <c r="BK15" i="8" s="1"/>
  <c r="BL15" i="8" s="1"/>
  <c r="BM15" i="8" s="1"/>
  <c r="AW14" i="8"/>
  <c r="BG14" i="8"/>
  <c r="BH14" i="8" s="1"/>
  <c r="BI14" i="8" s="1"/>
  <c r="BJ14" i="8" s="1"/>
  <c r="BK14" i="8" s="1"/>
  <c r="BL14" i="8" s="1"/>
  <c r="BM14" i="8" s="1"/>
  <c r="AW4" i="8"/>
  <c r="BG4" i="8"/>
  <c r="BH4" i="8" s="1"/>
  <c r="BI4" i="8" s="1"/>
  <c r="BJ4" i="8" s="1"/>
  <c r="BK4" i="8" s="1"/>
  <c r="BL4" i="8" s="1"/>
  <c r="BM4" i="8" s="1"/>
  <c r="BG10" i="8"/>
  <c r="AW9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3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3" i="8"/>
  <c r="AW16" i="8"/>
  <c r="BG16" i="8"/>
  <c r="BH16" i="8" s="1"/>
  <c r="BI16" i="8" s="1"/>
  <c r="BJ16" i="8" s="1"/>
  <c r="BK16" i="8" s="1"/>
  <c r="BL16" i="8" s="1"/>
  <c r="BM16" i="8" s="1"/>
  <c r="AW26" i="8"/>
  <c r="BG26" i="8"/>
  <c r="BH26" i="8" s="1"/>
  <c r="BI26" i="8" s="1"/>
  <c r="BJ26" i="8" s="1"/>
  <c r="BK26" i="8" s="1"/>
  <c r="BL26" i="8" s="1"/>
  <c r="BM26" i="8" s="1"/>
  <c r="AW8" i="8"/>
  <c r="BG8" i="8"/>
  <c r="BH8" i="8" s="1"/>
  <c r="BI8" i="8" s="1"/>
  <c r="BJ8" i="8" s="1"/>
  <c r="BK8" i="8" s="1"/>
  <c r="BL8" i="8" s="1"/>
  <c r="BM8" i="8" s="1"/>
  <c r="AW25" i="8"/>
  <c r="BG25" i="8"/>
  <c r="BH25" i="8" s="1"/>
  <c r="BI25" i="8" s="1"/>
  <c r="BJ25" i="8" s="1"/>
  <c r="BK25" i="8" s="1"/>
  <c r="BL25" i="8" s="1"/>
  <c r="BM25" i="8" s="1"/>
  <c r="AW22" i="8"/>
  <c r="BG22" i="8"/>
  <c r="BH22" i="8" s="1"/>
  <c r="BI22" i="8" s="1"/>
  <c r="BJ22" i="8" s="1"/>
  <c r="BK22" i="8" s="1"/>
  <c r="BL22" i="8" s="1"/>
  <c r="BM22" i="8" s="1"/>
  <c r="AW7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I30" i="14" l="1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J31" i="14" l="1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9" i="11"/>
  <c r="BI8" i="11"/>
  <c r="BJ8" i="11" s="1"/>
  <c r="BK8" i="11" s="1"/>
  <c r="BL8" i="11" s="1"/>
  <c r="BM8" i="11" s="1"/>
  <c r="AW8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K30" i="14" l="1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11" i="8"/>
  <c r="BK10" i="8"/>
  <c r="BL10" i="8" s="1"/>
  <c r="BM10" i="8" s="1"/>
  <c r="AW10" i="8"/>
  <c r="AW23" i="14" l="1"/>
  <c r="AW26" i="14"/>
  <c r="BL8" i="9"/>
  <c r="BM8" i="9" s="1"/>
  <c r="BK8" i="10"/>
  <c r="BL8" i="10" s="1"/>
  <c r="BM8" i="10" s="1"/>
  <c r="BK9" i="10"/>
  <c r="BL9" i="9"/>
  <c r="AW8" i="9" l="1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N6" i="5"/>
  <c r="K4" i="5"/>
  <c r="I4" i="5"/>
  <c r="C6" i="5"/>
  <c r="B6" i="5"/>
  <c r="F4" i="5"/>
  <c r="B4" i="5"/>
  <c r="G4" i="5"/>
  <c r="K6" i="5"/>
  <c r="M6" i="5"/>
  <c r="J6" i="5"/>
  <c r="I6" i="5"/>
  <c r="N4" i="5"/>
  <c r="F6" i="5"/>
  <c r="O4" i="5"/>
  <c r="E4" i="5"/>
  <c r="J4" i="5"/>
  <c r="L4" i="5"/>
  <c r="D6" i="5"/>
  <c r="H4" i="5"/>
  <c r="H6" i="5"/>
  <c r="L6" i="5"/>
  <c r="G6" i="5"/>
  <c r="C4" i="5"/>
  <c r="E6" i="5"/>
  <c r="D4" i="5"/>
  <c r="M4" i="5"/>
  <c r="O6" i="5"/>
  <c r="AW9" i="10" l="1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C43" i="4" s="1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AE45" i="4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C37" i="4"/>
  <c r="A37" i="4"/>
  <c r="BF36" i="4"/>
  <c r="BD36" i="4"/>
  <c r="AY36" i="4"/>
  <c r="AX36" i="4"/>
  <c r="AV36" i="4"/>
  <c r="AU36" i="4"/>
  <c r="F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P25" i="4" s="1"/>
  <c r="AX21" i="4"/>
  <c r="M25" i="4" s="1"/>
  <c r="AV26" i="4"/>
  <c r="AU26" i="4"/>
  <c r="P13" i="4" s="1"/>
  <c r="BW20" i="4"/>
  <c r="BV20" i="4"/>
  <c r="BF20" i="4"/>
  <c r="BD20" i="4"/>
  <c r="AY20" i="4"/>
  <c r="P3" i="4" s="1"/>
  <c r="AX20" i="4"/>
  <c r="M3" i="4" s="1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M35" i="4" s="1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Q13" i="4"/>
  <c r="BW12" i="4"/>
  <c r="BV12" i="4"/>
  <c r="BF12" i="4"/>
  <c r="BD12" i="4"/>
  <c r="AY12" i="4"/>
  <c r="J5" i="4" s="1"/>
  <c r="AX12" i="4"/>
  <c r="G5" i="4" s="1"/>
  <c r="AV12" i="4"/>
  <c r="K4" i="4" s="1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E7" i="4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Q2" i="4"/>
  <c r="E2" i="4"/>
  <c r="Q1" i="4"/>
  <c r="E1" i="4"/>
  <c r="K50" i="1"/>
  <c r="K48" i="1"/>
  <c r="B48" i="1"/>
  <c r="M3" i="5"/>
  <c r="E5" i="5"/>
  <c r="C3" i="5"/>
  <c r="H2" i="5"/>
  <c r="O5" i="5"/>
  <c r="D3" i="5"/>
  <c r="L5" i="5"/>
  <c r="B2" i="5"/>
  <c r="M5" i="5"/>
  <c r="C7" i="5"/>
  <c r="I2" i="5"/>
  <c r="E3" i="5"/>
  <c r="K2" i="5"/>
  <c r="J2" i="5"/>
  <c r="J5" i="5"/>
  <c r="G5" i="5"/>
  <c r="F5" i="5"/>
  <c r="N3" i="5"/>
  <c r="I5" i="5"/>
  <c r="F3" i="5"/>
  <c r="K5" i="5"/>
  <c r="H5" i="5"/>
  <c r="N5" i="5"/>
  <c r="L3" i="5"/>
  <c r="D7" i="5"/>
  <c r="B7" i="5"/>
  <c r="B5" i="5"/>
  <c r="D5" i="5"/>
  <c r="M7" i="5"/>
  <c r="O3" i="5"/>
  <c r="H3" i="5"/>
  <c r="G2" i="5"/>
  <c r="E2" i="5"/>
  <c r="O2" i="5"/>
  <c r="J3" i="5"/>
  <c r="K7" i="5"/>
  <c r="J7" i="5"/>
  <c r="F7" i="5"/>
  <c r="E7" i="5"/>
  <c r="L7" i="5"/>
  <c r="C2" i="5"/>
  <c r="G3" i="5"/>
  <c r="I3" i="5"/>
  <c r="G7" i="5"/>
  <c r="L2" i="5"/>
  <c r="D2" i="5"/>
  <c r="M2" i="5"/>
  <c r="K3" i="5"/>
  <c r="C5" i="5"/>
  <c r="O7" i="5"/>
  <c r="F2" i="5"/>
  <c r="H7" i="5"/>
  <c r="N2" i="5"/>
  <c r="I7" i="5"/>
  <c r="N7" i="5"/>
  <c r="J16" i="4" l="1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AX4" i="1"/>
  <c r="A19" i="1" s="1"/>
  <c r="AX5" i="1"/>
  <c r="AX6" i="1"/>
  <c r="A8" i="1" s="1"/>
  <c r="AX7" i="1"/>
  <c r="AX8" i="1"/>
  <c r="AX9" i="1"/>
  <c r="M30" i="1" s="1"/>
  <c r="AX11" i="1"/>
  <c r="M19" i="1" s="1"/>
  <c r="AX14" i="1"/>
  <c r="AX16" i="1"/>
  <c r="A30" i="1" s="1"/>
  <c r="AX17" i="1"/>
  <c r="AX18" i="1"/>
  <c r="AX19" i="1"/>
  <c r="AX20" i="1"/>
  <c r="AX22" i="1"/>
  <c r="G27" i="1" s="1"/>
  <c r="AX24" i="1"/>
  <c r="AX26" i="1"/>
  <c r="AX27" i="1"/>
  <c r="AX28" i="1"/>
  <c r="AX29" i="1"/>
  <c r="AX30" i="1"/>
  <c r="A25" i="1" s="1"/>
  <c r="AX31" i="1"/>
  <c r="AX32" i="1"/>
  <c r="AX15" i="1"/>
  <c r="AX33" i="1"/>
  <c r="AX21" i="1"/>
  <c r="P35" i="1" s="1"/>
  <c r="AX23" i="1"/>
  <c r="M25" i="1" s="1"/>
  <c r="AX12" i="1"/>
  <c r="AX10" i="1"/>
  <c r="P39" i="1" s="1"/>
  <c r="AX13" i="1"/>
  <c r="M14" i="1" s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M8" i="1" s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AY4" i="1"/>
  <c r="D19" i="1" s="1"/>
  <c r="AY5" i="1"/>
  <c r="AY6" i="1"/>
  <c r="D8" i="1" s="1"/>
  <c r="AY7" i="1"/>
  <c r="AY8" i="1"/>
  <c r="AY9" i="1"/>
  <c r="P30" i="1" s="1"/>
  <c r="AY11" i="1"/>
  <c r="P19" i="1" s="1"/>
  <c r="AY14" i="1"/>
  <c r="AY16" i="1"/>
  <c r="D30" i="1" s="1"/>
  <c r="AY17" i="1"/>
  <c r="AY18" i="1"/>
  <c r="AY19" i="1"/>
  <c r="AY20" i="1"/>
  <c r="AY22" i="1"/>
  <c r="AY24" i="1"/>
  <c r="AY26" i="1"/>
  <c r="AY27" i="1"/>
  <c r="AY28" i="1"/>
  <c r="AY29" i="1"/>
  <c r="AY30" i="1"/>
  <c r="D25" i="1" s="1"/>
  <c r="AY31" i="1"/>
  <c r="AY32" i="1"/>
  <c r="AY15" i="1"/>
  <c r="AY33" i="1"/>
  <c r="AY25" i="1"/>
  <c r="AY21" i="1"/>
  <c r="K36" i="1" s="1"/>
  <c r="AY23" i="1"/>
  <c r="P25" i="1" s="1"/>
  <c r="AY12" i="1"/>
  <c r="AY10" i="1"/>
  <c r="K40" i="1" s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P14" i="1" s="1"/>
  <c r="AV3" i="1"/>
  <c r="AV4" i="1"/>
  <c r="E18" i="1" s="1"/>
  <c r="AV5" i="1"/>
  <c r="E2" i="1" s="1"/>
  <c r="AV6" i="1"/>
  <c r="E7" i="1" s="1"/>
  <c r="AV7" i="1"/>
  <c r="AV8" i="1"/>
  <c r="AV9" i="1"/>
  <c r="Q29" i="1" s="1"/>
  <c r="AV11" i="1"/>
  <c r="Q18" i="1" s="1"/>
  <c r="AV14" i="1"/>
  <c r="E13" i="1" s="1"/>
  <c r="AV16" i="1"/>
  <c r="E29" i="1" s="1"/>
  <c r="AV17" i="1"/>
  <c r="AV18" i="1"/>
  <c r="AV19" i="1"/>
  <c r="AV20" i="1"/>
  <c r="E35" i="1" s="1"/>
  <c r="AV22" i="1"/>
  <c r="K26" i="1" s="1"/>
  <c r="AV24" i="1"/>
  <c r="Q2" i="1" s="1"/>
  <c r="AV26" i="1"/>
  <c r="K4" i="1" s="1"/>
  <c r="AV27" i="1"/>
  <c r="E41" i="1" s="1"/>
  <c r="AV28" i="1"/>
  <c r="AV29" i="1"/>
  <c r="AV30" i="1"/>
  <c r="E24" i="1" s="1"/>
  <c r="AV31" i="1"/>
  <c r="AV32" i="1"/>
  <c r="AV15" i="1"/>
  <c r="AV33" i="1"/>
  <c r="AV25" i="1"/>
  <c r="Q7" i="1" s="1"/>
  <c r="AV21" i="1"/>
  <c r="N35" i="1" s="1"/>
  <c r="AV23" i="1"/>
  <c r="Q24" i="1" s="1"/>
  <c r="AV12" i="1"/>
  <c r="AV10" i="1"/>
  <c r="N39" i="1" s="1"/>
  <c r="AV13" i="1"/>
  <c r="Q13" i="1" s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N43" i="1" s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AU4" i="1"/>
  <c r="D18" i="1" s="1"/>
  <c r="AU5" i="1"/>
  <c r="AU6" i="1"/>
  <c r="D7" i="1" s="1"/>
  <c r="AU7" i="1"/>
  <c r="AU8" i="1"/>
  <c r="AU9" i="1"/>
  <c r="P29" i="1" s="1"/>
  <c r="AU11" i="1"/>
  <c r="P18" i="1" s="1"/>
  <c r="AU14" i="1"/>
  <c r="AU16" i="1"/>
  <c r="D29" i="1" s="1"/>
  <c r="AU17" i="1"/>
  <c r="AU18" i="1"/>
  <c r="AU19" i="1"/>
  <c r="AU20" i="1"/>
  <c r="AU22" i="1"/>
  <c r="AU24" i="1"/>
  <c r="AU26" i="1"/>
  <c r="AU27" i="1"/>
  <c r="AU28" i="1"/>
  <c r="AU29" i="1"/>
  <c r="AU30" i="1"/>
  <c r="D24" i="1" s="1"/>
  <c r="AU31" i="1"/>
  <c r="AU32" i="1"/>
  <c r="AU15" i="1"/>
  <c r="AU33" i="1"/>
  <c r="AU25" i="1"/>
  <c r="AU21" i="1"/>
  <c r="M35" i="1" s="1"/>
  <c r="AU23" i="1"/>
  <c r="P24" i="1" s="1"/>
  <c r="AU12" i="1"/>
  <c r="AU10" i="1"/>
  <c r="M39" i="1" s="1"/>
  <c r="AU13" i="1"/>
  <c r="P13" i="1" s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A15" i="3"/>
  <c r="E13" i="3"/>
  <c r="M30" i="3"/>
  <c r="N13" i="3"/>
  <c r="G30" i="3"/>
  <c r="C8" i="3"/>
  <c r="E12" i="3"/>
  <c r="D29" i="3"/>
  <c r="J15" i="3"/>
  <c r="D28" i="3"/>
  <c r="A13" i="3"/>
  <c r="L8" i="3"/>
  <c r="E11" i="3"/>
  <c r="G29" i="3"/>
  <c r="D30" i="3"/>
  <c r="P29" i="3"/>
  <c r="J11" i="3"/>
  <c r="N15" i="3"/>
  <c r="J13" i="3"/>
  <c r="N11" i="3"/>
  <c r="J12" i="3"/>
  <c r="P30" i="3"/>
  <c r="A14" i="3"/>
  <c r="N14" i="3"/>
  <c r="E14" i="3"/>
  <c r="N12" i="3"/>
  <c r="J14" i="3"/>
  <c r="A12" i="3"/>
  <c r="G28" i="3"/>
  <c r="M29" i="3"/>
  <c r="A11" i="3"/>
  <c r="E15" i="3"/>
  <c r="J15" i="1" l="1"/>
  <c r="K15" i="1"/>
  <c r="G16" i="1"/>
  <c r="J16" i="1"/>
  <c r="A14" i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F42" i="1" s="1"/>
  <c r="AE46" i="1"/>
  <c r="AE47" i="1"/>
  <c r="AE48" i="1"/>
  <c r="AE49" i="1"/>
  <c r="AE50" i="1"/>
  <c r="AE45" i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E36" i="3"/>
  <c r="A36" i="3"/>
  <c r="G50" i="3"/>
  <c r="L14" i="3"/>
  <c r="L11" i="3"/>
  <c r="L15" i="3"/>
  <c r="G14" i="3"/>
  <c r="J23" i="3"/>
  <c r="G12" i="3"/>
  <c r="M22" i="3"/>
  <c r="G11" i="3"/>
  <c r="C14" i="3"/>
  <c r="M23" i="3"/>
  <c r="P11" i="3"/>
  <c r="P13" i="3"/>
  <c r="M26" i="3"/>
  <c r="G13" i="3"/>
  <c r="C15" i="3"/>
  <c r="L13" i="3"/>
  <c r="L12" i="3"/>
  <c r="P26" i="3"/>
  <c r="J30" i="3"/>
  <c r="P22" i="3"/>
  <c r="C12" i="3"/>
  <c r="P14" i="3"/>
  <c r="C11" i="3"/>
  <c r="J28" i="3"/>
  <c r="P23" i="3"/>
  <c r="C13" i="3"/>
  <c r="G15" i="3"/>
  <c r="P12" i="3"/>
  <c r="P15" i="3"/>
  <c r="C43" i="1" l="1"/>
  <c r="F36" i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20" i="1"/>
  <c r="AW12" i="1"/>
  <c r="AW10" i="1"/>
  <c r="AW11" i="1"/>
  <c r="AW19" i="1"/>
  <c r="AW14" i="1"/>
  <c r="AW21" i="1"/>
  <c r="AW17" i="1"/>
  <c r="AW22" i="1"/>
  <c r="AW18" i="1"/>
  <c r="AW23" i="1"/>
  <c r="AW16" i="1"/>
  <c r="AW24" i="1"/>
  <c r="BG33" i="1"/>
  <c r="AW13" i="1"/>
  <c r="BG34" i="1"/>
  <c r="BG25" i="1"/>
  <c r="BG26" i="1"/>
  <c r="AW15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H24" i="1" s="1"/>
  <c r="BI24" i="1" s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D3" i="2"/>
  <c r="BE2" i="2"/>
  <c r="BE10" i="2"/>
  <c r="BD14" i="2"/>
  <c r="BE13" i="2"/>
  <c r="BE9" i="2"/>
  <c r="BE5" i="2"/>
  <c r="BE14" i="2"/>
  <c r="BE6" i="2"/>
  <c r="BE12" i="2"/>
  <c r="BE8" i="2"/>
  <c r="BE4" i="2"/>
  <c r="BD6" i="2"/>
  <c r="BE15" i="2"/>
  <c r="H6" i="3" s="1"/>
  <c r="BE11" i="2"/>
  <c r="BE7" i="2"/>
  <c r="BE3" i="2"/>
  <c r="BD10" i="2"/>
  <c r="BD13" i="2"/>
  <c r="BD9" i="2"/>
  <c r="BD5" i="2"/>
  <c r="BD2" i="2"/>
  <c r="BD12" i="2"/>
  <c r="BD8" i="2"/>
  <c r="P6" i="3" s="1"/>
  <c r="BD4" i="2"/>
  <c r="BD15" i="2"/>
  <c r="G6" i="3" s="1"/>
  <c r="BD11" i="2"/>
  <c r="BD7" i="2"/>
  <c r="BF10" i="2"/>
  <c r="BF13" i="2"/>
  <c r="BF9" i="2"/>
  <c r="BF5" i="2"/>
  <c r="BF14" i="2"/>
  <c r="BF6" i="2"/>
  <c r="BF2" i="2"/>
  <c r="BF12" i="2"/>
  <c r="BF8" i="2"/>
  <c r="BF4" i="2"/>
  <c r="BF15" i="2"/>
  <c r="I6" i="3" s="1"/>
  <c r="BF11" i="2"/>
  <c r="BF7" i="2"/>
  <c r="BF3" i="2"/>
  <c r="BC3" i="2"/>
  <c r="BC10" i="2"/>
  <c r="BC13" i="2"/>
  <c r="BC9" i="2"/>
  <c r="BC5" i="2"/>
  <c r="BC14" i="2"/>
  <c r="BC6" i="2"/>
  <c r="BC2" i="2"/>
  <c r="BC12" i="2"/>
  <c r="BC8" i="2"/>
  <c r="BC4" i="2"/>
  <c r="BC15" i="2"/>
  <c r="A5" i="3" s="1"/>
  <c r="BC11" i="2"/>
  <c r="BC7" i="2"/>
  <c r="A30" i="3"/>
  <c r="R22" i="3"/>
  <c r="R26" i="3"/>
  <c r="G19" i="3"/>
  <c r="L30" i="3"/>
  <c r="L23" i="3"/>
  <c r="L28" i="3"/>
  <c r="O23" i="3"/>
  <c r="R23" i="3"/>
  <c r="O26" i="3"/>
  <c r="O22" i="3"/>
  <c r="Q6" i="3" l="1"/>
  <c r="J5" i="3"/>
  <c r="R6" i="3"/>
  <c r="BI25" i="4"/>
  <c r="AW27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AW25" i="1" s="1"/>
  <c r="BH26" i="1"/>
  <c r="AW26" i="1" s="1"/>
  <c r="BH2" i="1"/>
  <c r="BI2" i="1" s="1"/>
  <c r="H30" i="1"/>
  <c r="H19" i="1"/>
  <c r="D21" i="3"/>
  <c r="P19" i="3"/>
  <c r="M20" i="3"/>
  <c r="D20" i="3"/>
  <c r="J19" i="3"/>
  <c r="C30" i="3"/>
  <c r="A22" i="3"/>
  <c r="A21" i="3"/>
  <c r="J20" i="3"/>
  <c r="G23" i="3"/>
  <c r="A20" i="3"/>
  <c r="J27" i="3"/>
  <c r="J29" i="3"/>
  <c r="A27" i="3"/>
  <c r="P20" i="3"/>
  <c r="A26" i="3"/>
  <c r="I19" i="3"/>
  <c r="M21" i="3"/>
  <c r="J26" i="3"/>
  <c r="M19" i="3"/>
  <c r="J21" i="3"/>
  <c r="J22" i="3"/>
  <c r="P21" i="3"/>
  <c r="G20" i="3"/>
  <c r="BI30" i="1" l="1"/>
  <c r="BI32" i="1"/>
  <c r="AW29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7" i="1"/>
  <c r="BK17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A29" i="3"/>
  <c r="L26" i="3"/>
  <c r="I20" i="3"/>
  <c r="F21" i="3"/>
  <c r="O21" i="3"/>
  <c r="C22" i="3"/>
  <c r="L20" i="3"/>
  <c r="C21" i="3"/>
  <c r="D23" i="3"/>
  <c r="R20" i="3"/>
  <c r="G21" i="3"/>
  <c r="G22" i="3"/>
  <c r="R19" i="3"/>
  <c r="R21" i="3"/>
  <c r="D19" i="3"/>
  <c r="D22" i="3"/>
  <c r="L29" i="3"/>
  <c r="F20" i="3"/>
  <c r="A23" i="3"/>
  <c r="A19" i="3"/>
  <c r="L21" i="3"/>
  <c r="C20" i="3"/>
  <c r="C26" i="3"/>
  <c r="O19" i="3"/>
  <c r="I23" i="3"/>
  <c r="G26" i="3"/>
  <c r="A28" i="3"/>
  <c r="D26" i="3"/>
  <c r="L22" i="3"/>
  <c r="L19" i="3"/>
  <c r="O20" i="3"/>
  <c r="C27" i="3"/>
  <c r="L27" i="3"/>
  <c r="BK25" i="4" l="1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K29" i="1" s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BL17" i="1"/>
  <c r="BM17" i="1" s="1"/>
  <c r="C28" i="3"/>
  <c r="I22" i="3"/>
  <c r="C19" i="3"/>
  <c r="I26" i="3"/>
  <c r="F23" i="3"/>
  <c r="I21" i="3"/>
  <c r="C23" i="3"/>
  <c r="F22" i="3"/>
  <c r="C29" i="3"/>
  <c r="F26" i="3"/>
  <c r="F19" i="3"/>
  <c r="BL27" i="4" l="1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9" i="1"/>
  <c r="BM29" i="1" s="1"/>
  <c r="BL26" i="1"/>
  <c r="BM26" i="1" s="1"/>
  <c r="P27" i="3"/>
  <c r="M27" i="3"/>
  <c r="P28" i="3"/>
  <c r="M28" i="3"/>
  <c r="BM30" i="1" l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R28" i="3"/>
  <c r="O27" i="3"/>
  <c r="R27" i="3"/>
  <c r="O28" i="3"/>
  <c r="BM31" i="1" l="1"/>
  <c r="AW31" i="1" s="1"/>
  <c r="BM32" i="1"/>
  <c r="AW32" i="1" s="1"/>
  <c r="BM33" i="1"/>
  <c r="AW33" i="1" s="1"/>
  <c r="BM21" i="1"/>
  <c r="AW28" i="1" s="1"/>
  <c r="BM34" i="1"/>
  <c r="AW34" i="1" s="1"/>
  <c r="BM37" i="1"/>
  <c r="G27" i="3"/>
  <c r="D27" i="3"/>
  <c r="F27" i="3"/>
  <c r="I27" i="3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<sst xmlns="http://schemas.openxmlformats.org/spreadsheetml/2006/main" count="4062" uniqueCount="1342">
  <si>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</si>
  <si>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</si>
  <si>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</si>
  <si>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</si>
  <si>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</si>
  <si>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</si>
  <si>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</si>
  <si>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</si>
  <si>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</si>
  <si>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</si>
  <si>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</si>
  <si>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</si>
  <si>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</si>
  <si>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</si>
  <si>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</si>
  <si>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</si>
  <si>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</si>
  <si>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</si>
  <si>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</si>
  <si>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</si>
  <si>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</si>
  <si>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</si>
  <si>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</si>
  <si>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</si>
  <si>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</si>
  <si>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</si>
  <si>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</si>
  <si>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</si>
  <si>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</si>
  <si>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</si>
  <si>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</si>
  <si>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</si>
  <si>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</si>
  <si>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</si>
  <si>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</si>
  <si>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</si>
  <si>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</si>
  <si>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</si>
  <si>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</si>
  <si>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</si>
  <si>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</si>
  <si>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</si>
  <si>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celkem</t>
  </si>
  <si>
    <t>ZČ</t>
  </si>
  <si>
    <t>B</t>
  </si>
  <si>
    <t>Vzájemná bilance</t>
  </si>
  <si>
    <t>Minulé vzájemné zápasy</t>
  </si>
  <si>
    <t>Domácí</t>
  </si>
  <si>
    <t>Hosté</t>
  </si>
  <si>
    <t>Sezóna</t>
  </si>
  <si>
    <t>Soupeři</t>
  </si>
  <si>
    <t>Datum</t>
  </si>
  <si>
    <t>Převodník minulých vzájemných zápasů do správného formátu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</si>
  <si>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</si>
  <si>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</si>
  <si>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</si>
  <si>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</si>
  <si>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</si>
  <si>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</si>
  <si>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</si>
  <si>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</si>
  <si>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</si>
  <si>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</si>
  <si>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</si>
  <si>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</si>
  <si>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</si>
  <si>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</si>
  <si>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</si>
  <si>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</si>
  <si>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</si>
  <si>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</si>
  <si>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</si>
  <si>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</si>
  <si>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</si>
  <si>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</si>
  <si>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</si>
  <si>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</si>
  <si>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</si>
  <si>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</si>
  <si>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</si>
  <si>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</si>
  <si>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</si>
  <si>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</si>
  <si>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</si>
  <si>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</si>
  <si>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</si>
  <si>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</si>
  <si>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</si>
  <si>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</si>
  <si>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</si>
  <si>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</si>
  <si>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</si>
  <si>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</si>
  <si>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</si>
  <si>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</si>
  <si>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</si>
  <si>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</si>
  <si>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</si>
  <si>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</si>
  <si>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</si>
  <si>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</si>
  <si>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</si>
  <si>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</si>
  <si>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</si>
  <si>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</si>
  <si>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</si>
  <si>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</si>
  <si>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</si>
  <si>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</si>
  <si>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Rank</t>
  </si>
  <si>
    <t>pořadí v lize:</t>
  </si>
  <si>
    <t>2020/2021</t>
  </si>
  <si>
    <t>7:6p</t>
  </si>
  <si>
    <t>2019/2020</t>
  </si>
  <si>
    <t>2018/2019</t>
  </si>
  <si>
    <t>5:6p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</si>
  <si>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</si>
  <si>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</si>
  <si>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</si>
  <si>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</si>
  <si>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</si>
  <si>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</si>
  <si>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</si>
  <si>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</si>
  <si>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</si>
  <si>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</si>
  <si>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</si>
  <si>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</si>
  <si>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</si>
  <si>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</si>
  <si>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</si>
  <si>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</si>
  <si>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</si>
  <si>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</si>
  <si>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</si>
  <si>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</si>
  <si>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</si>
  <si>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</si>
  <si>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</si>
  <si>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</si>
  <si>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</si>
  <si>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</si>
  <si>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</si>
  <si>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</si>
  <si>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</si>
  <si>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</si>
  <si>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</si>
  <si>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</si>
  <si>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</si>
  <si>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</si>
  <si>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</si>
  <si>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</si>
  <si>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</si>
  <si>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</si>
  <si>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</si>
  <si>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</si>
  <si>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</si>
  <si>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</si>
  <si>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Jan Králík</t>
  </si>
  <si>
    <t>FBC Frymburk</t>
  </si>
  <si>
    <t>Lukáš Lanc</t>
  </si>
  <si>
    <t>SC Sportcentrum</t>
  </si>
  <si>
    <t>Jan Linhart</t>
  </si>
  <si>
    <t>FbC Hr. Králové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</si>
  <si>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</si>
  <si>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</si>
  <si>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</si>
  <si>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</si>
  <si>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</si>
  <si>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</si>
  <si>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</si>
  <si>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</si>
  <si>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</si>
  <si>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</si>
  <si>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</si>
  <si>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</si>
  <si>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</si>
  <si>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</si>
  <si>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</si>
  <si>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</si>
  <si>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</si>
  <si>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</si>
  <si>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</si>
  <si>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</si>
  <si>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</si>
  <si>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</si>
  <si>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</si>
  <si>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</si>
  <si>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</si>
  <si>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</si>
  <si>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</si>
  <si>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</si>
  <si>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</si>
  <si>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</si>
  <si>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</si>
  <si>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</si>
  <si>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</si>
  <si>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</si>
  <si>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</si>
  <si>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</si>
  <si>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</si>
  <si>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</si>
  <si>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</si>
  <si>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</si>
  <si>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17. 9.</t>
  </si>
  <si>
    <t>-:-</t>
  </si>
  <si>
    <t>25. 9.</t>
  </si>
  <si>
    <t>28. 9.</t>
  </si>
  <si>
    <t>Typ</t>
  </si>
  <si>
    <t>Soupeř</t>
  </si>
  <si>
    <t>Série</t>
  </si>
  <si>
    <t>Posledních 5 zápasů</t>
  </si>
  <si>
    <t>Příštích 5 zápasů</t>
  </si>
  <si>
    <t>2:11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</si>
  <si>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</si>
  <si>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</si>
  <si>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</si>
  <si>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</si>
  <si>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</si>
  <si>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</si>
  <si>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</si>
  <si>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</si>
  <si>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</si>
  <si>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</si>
  <si>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</si>
  <si>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</si>
  <si>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</si>
  <si>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</si>
  <si>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</si>
  <si>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</si>
  <si>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</si>
  <si>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</si>
  <si>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</si>
  <si>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</si>
  <si>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</si>
  <si>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</si>
  <si>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</si>
  <si>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</si>
  <si>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</si>
  <si>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</si>
  <si>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</si>
  <si>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</si>
  <si>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</si>
  <si>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</si>
  <si>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</si>
  <si>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</si>
  <si>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</si>
  <si>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</si>
  <si>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</si>
  <si>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</si>
  <si>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</si>
  <si>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</si>
  <si>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</si>
  <si>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</si>
  <si>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</si>
  <si>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</si>
  <si>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</si>
  <si>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</si>
  <si>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</si>
  <si>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</si>
  <si>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</si>
  <si>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1. Petr Chlad</t>
  </si>
  <si>
    <t>26. 9.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</si>
  <si>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</si>
  <si>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</si>
  <si>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</si>
  <si>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</si>
  <si>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</si>
  <si>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</si>
  <si>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</si>
  <si>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</si>
  <si>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</si>
  <si>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</si>
  <si>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</si>
  <si>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</si>
  <si>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</si>
  <si>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</si>
  <si>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</si>
  <si>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</si>
  <si>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</si>
  <si>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</si>
  <si>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</si>
  <si>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</si>
  <si>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</si>
  <si>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</si>
  <si>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</si>
  <si>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</si>
  <si>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</si>
  <si>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</si>
  <si>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</si>
  <si>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</si>
  <si>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</si>
  <si>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</si>
  <si>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</si>
  <si>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</si>
  <si>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</si>
  <si>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</si>
  <si>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</si>
  <si>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</si>
  <si>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</si>
  <si>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</si>
  <si>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</si>
  <si>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</si>
  <si>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</si>
  <si>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</si>
  <si>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</si>
  <si>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</si>
  <si>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</si>
  <si>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</si>
  <si>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</si>
  <si>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</si>
  <si>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</si>
  <si>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</si>
  <si>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</si>
  <si>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</si>
  <si>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</si>
  <si>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</si>
  <si>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</si>
  <si>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</si>
  <si>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</si>
  <si>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</si>
  <si>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</si>
  <si>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</si>
  <si>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</si>
  <si>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</si>
  <si>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</si>
  <si>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</si>
  <si>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</si>
  <si>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</si>
  <si>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</si>
  <si>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</si>
  <si>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</si>
  <si>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</si>
  <si>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</si>
  <si>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</si>
  <si>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</si>
  <si>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</si>
  <si>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</si>
  <si>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</si>
  <si>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</si>
  <si>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</si>
  <si>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</si>
  <si>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</si>
  <si>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</si>
  <si>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</si>
  <si>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</si>
  <si>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</si>
  <si>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</si>
  <si>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</si>
  <si>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</si>
  <si>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</si>
  <si>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</si>
  <si>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</si>
  <si>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</si>
  <si>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</si>
  <si>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</si>
  <si>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</si>
  <si>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</si>
  <si>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</si>
  <si>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</si>
  <si>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</si>
  <si>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</si>
  <si>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</si>
  <si>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</si>
  <si>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</si>
  <si>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</si>
  <si>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</si>
  <si>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</si>
  <si>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</si>
  <si>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</si>
  <si>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</si>
  <si>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</si>
  <si>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</si>
  <si>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</si>
  <si>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</si>
  <si>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</si>
  <si>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</si>
  <si>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</si>
  <si>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</si>
  <si>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</si>
  <si>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</si>
  <si>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</si>
  <si>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</si>
  <si>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</si>
  <si>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</si>
  <si>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</si>
  <si>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</si>
  <si>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</si>
  <si>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</si>
  <si>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</si>
  <si>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</si>
  <si>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</si>
  <si>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</si>
  <si>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</si>
  <si>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</si>
  <si>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</si>
  <si>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</si>
  <si>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</si>
  <si>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</si>
  <si>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</si>
  <si>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</si>
  <si>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</si>
  <si>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</si>
  <si>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</si>
  <si>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</si>
  <si>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</si>
  <si>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</si>
  <si>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</si>
  <si>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</si>
  <si>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Jan Daniš</t>
  </si>
  <si>
    <t>Daniel Goll</t>
  </si>
  <si>
    <t>Adam Hemerka</t>
  </si>
  <si>
    <t>Aleš Höffer</t>
  </si>
  <si>
    <t>Tomáš Chroust</t>
  </si>
  <si>
    <t>Petr Krzyžanek</t>
  </si>
  <si>
    <t>Filip Kučera</t>
  </si>
  <si>
    <t>Marek Macík</t>
  </si>
  <si>
    <t>Jan Řehoř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</si>
  <si>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</si>
  <si>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</si>
  <si>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</si>
  <si>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</si>
  <si>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</si>
  <si>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</si>
  <si>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</si>
  <si>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</si>
  <si>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</si>
  <si>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</si>
  <si>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</si>
  <si>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</si>
  <si>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</si>
  <si>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</si>
  <si>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</si>
  <si>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</si>
  <si>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</si>
  <si>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</si>
  <si>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</si>
  <si>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</si>
  <si>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</si>
  <si>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</si>
  <si>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</si>
  <si>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</si>
  <si>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</si>
  <si>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</si>
  <si>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</si>
  <si>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</si>
  <si>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</si>
  <si>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</si>
  <si>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</si>
  <si>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</si>
  <si>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</si>
  <si>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</si>
  <si>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</si>
  <si>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</si>
  <si>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</si>
  <si>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</si>
  <si>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</si>
  <si>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</si>
  <si>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</si>
  <si>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</si>
  <si>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</si>
  <si>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</si>
  <si>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</si>
  <si>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</si>
  <si>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</si>
  <si>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</si>
  <si>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</si>
  <si>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</si>
  <si>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</si>
  <si>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</si>
  <si>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</si>
  <si>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</si>
  <si>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</si>
  <si>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</si>
  <si>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</si>
  <si>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</si>
  <si>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</si>
  <si>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</si>
  <si>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</si>
  <si>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</si>
  <si>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</si>
  <si>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</si>
  <si>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</si>
  <si>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</si>
  <si>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</si>
  <si>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</si>
  <si>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</si>
  <si>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</si>
  <si>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</si>
  <si>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</si>
  <si>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</si>
  <si>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</si>
  <si>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</si>
  <si>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</si>
  <si>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</si>
  <si>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11:2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</si>
  <si>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</si>
  <si>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</si>
  <si>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</si>
  <si>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</si>
  <si>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</si>
  <si>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</si>
  <si>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</si>
  <si>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</si>
  <si>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</si>
  <si>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</si>
  <si>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</si>
  <si>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</si>
  <si>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</si>
  <si>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</si>
  <si>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</si>
  <si>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</si>
  <si>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</si>
  <si>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</si>
  <si>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</si>
  <si>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</si>
  <si>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</si>
  <si>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</si>
  <si>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</si>
  <si>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</si>
  <si>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</si>
  <si>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</si>
  <si>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</si>
  <si>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</si>
  <si>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</si>
  <si>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</si>
  <si>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</si>
  <si>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</si>
  <si>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</si>
  <si>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</si>
  <si>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</si>
  <si>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</si>
  <si>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</si>
  <si>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</si>
  <si>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</si>
  <si>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</si>
  <si>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</si>
  <si>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</si>
  <si>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</si>
  <si>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</si>
  <si>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</si>
  <si>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</si>
  <si>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</si>
  <si>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</si>
  <si>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</si>
  <si>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</si>
  <si>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</si>
  <si>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</si>
  <si>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</si>
  <si>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</si>
  <si>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</si>
  <si>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</si>
  <si>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</si>
  <si>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</si>
  <si>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</si>
  <si>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</si>
  <si>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</si>
  <si>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</si>
  <si>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</si>
  <si>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</si>
  <si>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1. Jiří Halama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</si>
  <si>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</si>
  <si>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</si>
  <si>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</si>
  <si>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</si>
  <si>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</si>
  <si>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</si>
  <si>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</si>
  <si>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</si>
  <si>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</si>
  <si>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</si>
  <si>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</si>
  <si>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</si>
  <si>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</si>
  <si>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</si>
  <si>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</si>
  <si>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</si>
  <si>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</si>
  <si>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</si>
  <si>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</si>
  <si>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</si>
  <si>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</si>
  <si>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</si>
  <si>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Ondřej Kawulok</t>
  </si>
  <si>
    <t>Martin Kisugite</t>
  </si>
  <si>
    <t>Kryštof Krbec</t>
  </si>
  <si>
    <t>Matyáš Krebner</t>
  </si>
  <si>
    <t>Tomáš Otcovský</t>
  </si>
  <si>
    <t>Jakub Šárka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</si>
  <si>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</si>
  <si>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</si>
  <si>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</si>
  <si>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</si>
  <si>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</si>
  <si>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</si>
  <si>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</si>
  <si>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</si>
  <si>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</si>
  <si>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</si>
  <si>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</si>
  <si>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</si>
  <si>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</si>
  <si>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</si>
  <si>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</si>
  <si>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</si>
  <si>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</si>
  <si>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</si>
  <si>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</si>
  <si>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</si>
  <si>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</si>
  <si>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2. Tomáš Hyršl</t>
  </si>
  <si>
    <t>1. Filip Forman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</si>
  <si>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</si>
  <si>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</si>
  <si>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</si>
  <si>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</si>
  <si>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</si>
  <si>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</si>
  <si>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</si>
  <si>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</si>
  <si>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</si>
  <si>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</si>
  <si>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</si>
  <si>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</si>
  <si>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</si>
  <si>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</si>
  <si>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</si>
  <si>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</si>
  <si>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</si>
  <si>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</si>
  <si>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</si>
  <si>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</si>
  <si>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</si>
  <si>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</si>
  <si>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</si>
  <si>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</si>
  <si>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</si>
  <si>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</si>
  <si>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</si>
  <si>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</si>
  <si>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</si>
  <si>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</si>
  <si>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</si>
  <si>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</si>
  <si>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</si>
  <si>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</si>
  <si>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</si>
  <si>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</si>
  <si>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</si>
  <si>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</si>
  <si>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</si>
  <si>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</si>
  <si>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</si>
  <si>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</si>
  <si>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</si>
  <si>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</si>
  <si>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</si>
  <si>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</si>
  <si>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</si>
  <si>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</si>
  <si>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</si>
  <si>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</si>
  <si>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</si>
  <si>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</si>
  <si>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</si>
  <si>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</si>
  <si>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</si>
  <si>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4. Jakub Kolstrunk</t>
  </si>
  <si>
    <t>5. Marek Zouzal</t>
  </si>
  <si>
    <t>1. Martin Beneš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</si>
  <si>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</si>
  <si>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</si>
  <si>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</si>
  <si>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</si>
  <si>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</si>
  <si>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</si>
  <si>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</si>
  <si>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</si>
  <si>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</si>
  <si>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</si>
  <si>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</si>
  <si>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</si>
  <si>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</si>
  <si>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</si>
  <si>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</si>
  <si>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</si>
  <si>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</si>
  <si>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</si>
  <si>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</si>
  <si>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</si>
  <si>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</si>
  <si>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</si>
  <si>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</si>
  <si>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</si>
  <si>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</si>
  <si>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</si>
  <si>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</si>
  <si>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</si>
  <si>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</si>
  <si>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</si>
  <si>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</si>
  <si>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</si>
  <si>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</si>
  <si>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</si>
  <si>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</si>
  <si>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</si>
  <si>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</si>
  <si>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</si>
  <si>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</si>
  <si>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</si>
  <si>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</si>
  <si>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</si>
  <si>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Radek Krajcigr</t>
  </si>
  <si>
    <t>1. Milan Tichý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</si>
  <si>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</si>
  <si>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</si>
  <si>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</si>
  <si>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</si>
  <si>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</si>
  <si>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</si>
  <si>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</si>
  <si>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</si>
  <si>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</si>
  <si>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</si>
  <si>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</si>
  <si>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</si>
  <si>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</si>
  <si>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</si>
  <si>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</si>
  <si>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</si>
  <si>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</si>
  <si>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</si>
  <si>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</si>
  <si>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</si>
  <si>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</si>
  <si>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</si>
  <si>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</si>
  <si>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</si>
  <si>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</si>
  <si>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</si>
  <si>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</si>
  <si>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</si>
  <si>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</si>
  <si>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</si>
  <si>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</si>
  <si>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</si>
  <si>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</si>
  <si>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</si>
  <si>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</si>
  <si>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</si>
  <si>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</si>
  <si>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</si>
  <si>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</si>
  <si>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</si>
  <si>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</si>
  <si>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Filip Létal</t>
  </si>
  <si>
    <t>2. Ondřej Kolajta</t>
  </si>
  <si>
    <t>1. Lukáš Jalový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</si>
  <si>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</si>
  <si>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</si>
  <si>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</si>
  <si>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</si>
  <si>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</si>
  <si>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</si>
  <si>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</si>
  <si>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</si>
  <si>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</si>
  <si>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</si>
  <si>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</si>
  <si>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</si>
  <si>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</si>
  <si>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</si>
  <si>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Wojciech Malajka</t>
  </si>
  <si>
    <t>1. Jan Binder</t>
  </si>
  <si>
    <t>2. Jan Klinka</t>
  </si>
  <si>
    <t>2. Daniel Chatrný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</si>
  <si>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</si>
  <si>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</si>
  <si>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</si>
  <si>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</si>
  <si>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</si>
  <si>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</si>
  <si>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</si>
  <si>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</si>
  <si>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</si>
  <si>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</si>
  <si>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</si>
  <si>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</si>
  <si>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</si>
  <si>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</si>
  <si>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</si>
  <si>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</si>
  <si>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</si>
  <si>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</si>
  <si>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2. Matyáš Velc</t>
  </si>
  <si>
    <t>SKF Draci 99 Liberec</t>
  </si>
  <si>
    <t>Jiří Buchta</t>
  </si>
  <si>
    <t>FBC Panthers Liberec</t>
  </si>
  <si>
    <t>1:8</t>
  </si>
  <si>
    <t>8. 10.</t>
  </si>
  <si>
    <t>1. Karel Šantora</t>
  </si>
  <si>
    <t>2. Petr Musil</t>
  </si>
  <si>
    <t>1. Jan Fiala</t>
  </si>
  <si>
    <t>6:4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</si>
  <si>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</si>
  <si>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</si>
  <si>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</si>
  <si>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</si>
  <si>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</si>
  <si>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</si>
  <si>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</si>
  <si>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4:6</t>
  </si>
  <si>
    <t>1. Marek Vávra</t>
  </si>
  <si>
    <t>3. Mikuláš Komárek</t>
  </si>
  <si>
    <t>1. Petr Majer</t>
  </si>
  <si>
    <t>Lukáš Kafka</t>
  </si>
  <si>
    <t>Jakub Levínský</t>
  </si>
  <si>
    <t>2:4</t>
  </si>
  <si>
    <t>2. Prokop Ferdan</t>
  </si>
  <si>
    <t>2. Jakub Levínský</t>
  </si>
  <si>
    <t>3. Jan Král</t>
  </si>
  <si>
    <t>Martin Janík</t>
  </si>
  <si>
    <t>Adam Mikoláš</t>
  </si>
  <si>
    <t>Martin Sedláček</t>
  </si>
  <si>
    <t>Petr Vítovec</t>
  </si>
  <si>
    <t>8:1</t>
  </si>
  <si>
    <t>3. Martin Janík</t>
  </si>
  <si>
    <t>2. Martin Janík</t>
  </si>
  <si>
    <t>3. Jan Klinka</t>
  </si>
  <si>
    <t>3. Šimon Kuczera</t>
  </si>
  <si>
    <t>4. Wojciech Malajka</t>
  </si>
  <si>
    <t>1. Ronald Gašparík</t>
  </si>
  <si>
    <t>2. František Vykopal</t>
  </si>
  <si>
    <t>4:2</t>
  </si>
  <si>
    <t>Lukáš Macháček</t>
  </si>
  <si>
    <t>2. David Šimek</t>
  </si>
  <si>
    <t>Adam Palčinský</t>
  </si>
  <si>
    <t>2. Marek Matejčík</t>
  </si>
  <si>
    <t>8:4</t>
  </si>
  <si>
    <t>4:8</t>
  </si>
  <si>
    <t>Hráči</t>
  </si>
  <si>
    <t>Trenéři</t>
  </si>
  <si>
    <t>Matyáš Kůra</t>
  </si>
  <si>
    <t>18. 9.</t>
  </si>
  <si>
    <t>1. René Slezák</t>
  </si>
  <si>
    <t>Lukáš Slabý</t>
  </si>
  <si>
    <t>Petr Křinka</t>
  </si>
  <si>
    <t>3. Jan Savický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</si>
  <si>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</si>
  <si>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</si>
  <si>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</si>
  <si>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</si>
  <si>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</si>
  <si>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</si>
  <si>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</si>
  <si>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19. 9.</t>
  </si>
  <si>
    <t>2:7</t>
  </si>
  <si>
    <t>2. Daniel Cabejšek</t>
  </si>
  <si>
    <t>2. Matěj Boček</t>
  </si>
  <si>
    <t>5. Jakub Hromada</t>
  </si>
  <si>
    <t>9:6</t>
  </si>
  <si>
    <t>4. Jan Malič</t>
  </si>
  <si>
    <t>5. Adam Růžek</t>
  </si>
  <si>
    <t>1. Jan Malič</t>
  </si>
  <si>
    <t>2. Karel Petrák</t>
  </si>
  <si>
    <t>3:8</t>
  </si>
  <si>
    <t>1. Lukáš Chyna</t>
  </si>
  <si>
    <t>2. Ivan Ponomarev</t>
  </si>
  <si>
    <t>3. René Slezák</t>
  </si>
  <si>
    <t>4. Lukáš Vlach</t>
  </si>
  <si>
    <t>5. Marek Fuchs</t>
  </si>
  <si>
    <t>6:9</t>
  </si>
  <si>
    <t>2. Tom Ondrušek</t>
  </si>
  <si>
    <t>7:2</t>
  </si>
  <si>
    <t>Michal Fišera</t>
  </si>
  <si>
    <t>6:5p</t>
  </si>
  <si>
    <t>4. 10.</t>
  </si>
  <si>
    <t>4. Martin Tokoš</t>
  </si>
  <si>
    <t>4. Dominik Beneš</t>
  </si>
  <si>
    <t>5. Jan Natov</t>
  </si>
  <si>
    <t>3. Lukáš Pešat</t>
  </si>
  <si>
    <t>4. David Ležatka</t>
  </si>
  <si>
    <t>1. Kevin Majrich</t>
  </si>
  <si>
    <t>2. Adam Kohút</t>
  </si>
  <si>
    <t>2. Ronald Gašparík</t>
  </si>
  <si>
    <t>4. Přemek Pakosta</t>
  </si>
  <si>
    <t>3. Matyáš Velc</t>
  </si>
  <si>
    <t>2. Viktor Hejna</t>
  </si>
  <si>
    <t>3. Ondřej Němeček</t>
  </si>
  <si>
    <t>Michal Bartoň</t>
  </si>
  <si>
    <t>8:3</t>
  </si>
  <si>
    <t>3. Rostislav Gattnar</t>
  </si>
  <si>
    <t>3:4p</t>
  </si>
  <si>
    <t>11:5</t>
  </si>
  <si>
    <t>6:7p</t>
  </si>
  <si>
    <t>8:5</t>
  </si>
  <si>
    <t>6 zápasů, 1 - 2 - 0 - 1 - 2, skóre 35:43</t>
  </si>
  <si>
    <t>Taifun Moskva</t>
  </si>
  <si>
    <t>Pitbulls Kolín</t>
  </si>
  <si>
    <t>Polsko</t>
  </si>
  <si>
    <t>8,48</t>
  </si>
  <si>
    <t>3. David Ježek</t>
  </si>
  <si>
    <t>4. Ondřej Stuchlík</t>
  </si>
  <si>
    <t>5. Vojtěch Klápa</t>
  </si>
  <si>
    <t>BA (d)</t>
  </si>
  <si>
    <t>CHO (h)</t>
  </si>
  <si>
    <t>7:13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</si>
  <si>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</si>
  <si>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</si>
  <si>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</si>
  <si>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</si>
  <si>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</si>
  <si>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</si>
  <si>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</si>
  <si>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</si>
  <si>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</si>
  <si>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</si>
  <si>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3. Radek Hanák</t>
  </si>
  <si>
    <t>4. Tomáš Hanák</t>
  </si>
  <si>
    <t>2,96</t>
  </si>
  <si>
    <t>3. Tomáš Hanák</t>
  </si>
  <si>
    <t>5. Jan Bauman</t>
  </si>
  <si>
    <t>1. Filip Neklan</t>
  </si>
  <si>
    <t>2. Jakub Boček</t>
  </si>
  <si>
    <t>3. Matouš Burian</t>
  </si>
  <si>
    <t>4. Matěj Boček</t>
  </si>
  <si>
    <t>5. Vojtěch Novotný</t>
  </si>
  <si>
    <t>SKV (h)</t>
  </si>
  <si>
    <t>SPA (d)</t>
  </si>
  <si>
    <t>7:8</t>
  </si>
  <si>
    <t>MB (h)</t>
  </si>
  <si>
    <t>OTR (d)</t>
  </si>
  <si>
    <t>HAT (h)</t>
  </si>
  <si>
    <t>VIT (d)</t>
  </si>
  <si>
    <t>11. 10.</t>
  </si>
  <si>
    <t>23. 10.</t>
  </si>
  <si>
    <t>4:9</t>
  </si>
  <si>
    <t>8:2</t>
  </si>
  <si>
    <t>3. Jakub Buršík</t>
  </si>
  <si>
    <t>4. Karel Petrák</t>
  </si>
  <si>
    <t>OST (d)</t>
  </si>
  <si>
    <t>5:13</t>
  </si>
  <si>
    <t>BOH (h)</t>
  </si>
  <si>
    <t>OTR (h)</t>
  </si>
  <si>
    <t>CHO (d)</t>
  </si>
  <si>
    <t>28. 10.</t>
  </si>
  <si>
    <t>4. Jaromír Ekl</t>
  </si>
  <si>
    <t>5. Štěpán Slaný</t>
  </si>
  <si>
    <t>2. Daniel Štěrba</t>
  </si>
  <si>
    <t>1. Tomáš Novák</t>
  </si>
  <si>
    <t>3. Radek Krajcigr</t>
  </si>
  <si>
    <t>4. Štěpán Slaný</t>
  </si>
  <si>
    <t>3:15</t>
  </si>
  <si>
    <t>PAR (h)</t>
  </si>
  <si>
    <t>2. Lukáš Jalový</t>
  </si>
  <si>
    <t>2. Tomáš Brom</t>
  </si>
  <si>
    <t>4. Marek Fuchs</t>
  </si>
  <si>
    <t>4. David Sládeček</t>
  </si>
  <si>
    <t>5. Jiří Juhaňák</t>
  </si>
  <si>
    <t>2. Lukáš Lhota</t>
  </si>
  <si>
    <t>3. Matěj Hronek</t>
  </si>
  <si>
    <t>TAT (h)</t>
  </si>
  <si>
    <t>SKV (d)</t>
  </si>
  <si>
    <t>13:7</t>
  </si>
  <si>
    <t>SPA (h)</t>
  </si>
  <si>
    <t>MB (d)</t>
  </si>
  <si>
    <t>9. 10.</t>
  </si>
  <si>
    <t>CLP (h)</t>
  </si>
  <si>
    <t>2. Petr Majer</t>
  </si>
  <si>
    <t>4. Tom Ondrušek</t>
  </si>
  <si>
    <t>5,64</t>
  </si>
  <si>
    <t>3. Daniel Eremiáš</t>
  </si>
  <si>
    <t>4. Martin Skřivánek</t>
  </si>
  <si>
    <t>3. Karel Pergler</t>
  </si>
  <si>
    <t>Marek Matoušek</t>
  </si>
  <si>
    <t>Matěj Netrefa</t>
  </si>
  <si>
    <t>6:5sn</t>
  </si>
  <si>
    <t>5:10</t>
  </si>
  <si>
    <t>BA (h)</t>
  </si>
  <si>
    <t>5. Jakub Kopecký</t>
  </si>
  <si>
    <t>1. Filip Smutný</t>
  </si>
  <si>
    <t>1. Jan Světlík</t>
  </si>
  <si>
    <t>4. Radek Valeš</t>
  </si>
  <si>
    <t>9:4</t>
  </si>
  <si>
    <t>1. Jiří Curney</t>
  </si>
  <si>
    <t>2. Matěj Pěnička</t>
  </si>
  <si>
    <t>3. Jakub Bína</t>
  </si>
  <si>
    <t>1. Dominik Beneš</t>
  </si>
  <si>
    <t>1. Patrik Suchánek</t>
  </si>
  <si>
    <t>2. Martin Tokoš</t>
  </si>
  <si>
    <t>3. Adam Hemerka</t>
  </si>
  <si>
    <t>4. Daniel Šebek</t>
  </si>
  <si>
    <t>5. Jiří Curney</t>
  </si>
  <si>
    <t>5:6sn</t>
  </si>
  <si>
    <t>13:5</t>
  </si>
  <si>
    <t>2. Michal Sládek</t>
  </si>
  <si>
    <t>4. Lukáš Pešat</t>
  </si>
  <si>
    <t>5. Daniel Chatrný</t>
  </si>
  <si>
    <t>7,17</t>
  </si>
  <si>
    <t>1. Adam Choma</t>
  </si>
  <si>
    <t>3. Denis Zimmer</t>
  </si>
  <si>
    <t>4. Jan Binder</t>
  </si>
  <si>
    <t>3:13</t>
  </si>
  <si>
    <t>2:8</t>
  </si>
  <si>
    <t>LIB (h)</t>
  </si>
  <si>
    <t>3. Lukáš Petřík</t>
  </si>
  <si>
    <t>4. Peter Nehila</t>
  </si>
  <si>
    <t>1. Adam Kohút</t>
  </si>
  <si>
    <t>2. Kevin Majrich</t>
  </si>
  <si>
    <t>8,09</t>
  </si>
  <si>
    <t>3. Miroslav Steiger</t>
  </si>
  <si>
    <t>11,10</t>
  </si>
  <si>
    <t>Miroslav Steiger</t>
  </si>
  <si>
    <t>Marek Maťcha</t>
  </si>
  <si>
    <t>Samuel Kelemen</t>
  </si>
  <si>
    <t>5. David Žáček</t>
  </si>
  <si>
    <t>5,12</t>
  </si>
  <si>
    <t>3. Matěj Denemark</t>
  </si>
  <si>
    <t>Matěj Denemark</t>
  </si>
  <si>
    <t>2. Mikuláš Krbec</t>
  </si>
  <si>
    <t>3. Marek Zouzal</t>
  </si>
  <si>
    <t>5. Mikuláš Krbec</t>
  </si>
  <si>
    <t>Adam Kuchynka</t>
  </si>
  <si>
    <t>8:7</t>
  </si>
  <si>
    <t>10:5</t>
  </si>
  <si>
    <t>4. Jakub Kolísko</t>
  </si>
  <si>
    <t>3. Martin Šindelář</t>
  </si>
  <si>
    <t>4. Ondřej Němeček</t>
  </si>
  <si>
    <t>5. Jakub Kolísko</t>
  </si>
  <si>
    <t>4. Milan Meliš</t>
  </si>
  <si>
    <t>5. Ondřej Němeček</t>
  </si>
  <si>
    <t>Vojtěch Kún</t>
  </si>
  <si>
    <t>Tomáš Kuchyňa</t>
  </si>
  <si>
    <t>Vojtěch Panuška</t>
  </si>
  <si>
    <t>Michael Chalupecký</t>
  </si>
  <si>
    <t>13:3</t>
  </si>
  <si>
    <t>15:3</t>
  </si>
  <si>
    <t>2. Matyáš Šindler</t>
  </si>
  <si>
    <t>4. Marek Matejčík</t>
  </si>
  <si>
    <t>2. Michael Chalupecký</t>
  </si>
  <si>
    <t>3. Michal Bartoň</t>
  </si>
  <si>
    <t>4. Petr Maláč</t>
  </si>
  <si>
    <t>5. Lukáš Souček</t>
  </si>
  <si>
    <t>3. Marek Bräuer</t>
  </si>
  <si>
    <t>2. Lukáš Souček</t>
  </si>
  <si>
    <t>3. Michael Chalupecký</t>
  </si>
  <si>
    <t>4. Michal Bartoň</t>
  </si>
  <si>
    <t>5. Petr Maláč</t>
  </si>
  <si>
    <t>1. Matyáš Šindler</t>
  </si>
  <si>
    <t>3. Adam Delong</t>
  </si>
  <si>
    <t>4. Adam Zubek</t>
  </si>
  <si>
    <t>5. Ondřej Vítovec</t>
  </si>
  <si>
    <t>2. Marek Bräuer</t>
  </si>
  <si>
    <t>3. Marek Matejčík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</si>
  <si>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</si>
  <si>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</si>
  <si>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</si>
  <si>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</si>
  <si>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</si>
  <si>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</si>
  <si>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</si>
  <si>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</si>
  <si>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</si>
  <si>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</si>
  <si>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</si>
  <si>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</si>
  <si>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</si>
  <si>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</si>
  <si>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</si>
  <si>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</si>
  <si>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</si>
  <si>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</si>
  <si>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</si>
  <si>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</si>
  <si>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</si>
  <si>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</si>
  <si>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</si>
  <si>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</si>
  <si>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</si>
  <si>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</si>
  <si>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</si>
  <si>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</si>
  <si>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</si>
  <si>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</si>
  <si>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</si>
  <si>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</si>
  <si>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</si>
  <si>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</si>
  <si>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</si>
  <si>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</si>
  <si>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</si>
  <si>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</si>
  <si>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</si>
  <si>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</si>
  <si>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</si>
  <si>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</si>
  <si>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</si>
  <si>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</si>
  <si>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</si>
  <si>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</si>
  <si>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</si>
  <si>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</si>
  <si>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klub založen 1997</t>
  </si>
  <si>
    <t>v sezóně 06/07 poprvé v extralize</t>
  </si>
  <si>
    <t>Lukáš Staněk</t>
  </si>
  <si>
    <t>29. 9.</t>
  </si>
  <si>
    <t>31. 10.</t>
  </si>
  <si>
    <t>6,47</t>
  </si>
  <si>
    <t>1. Ondřej Kopič</t>
  </si>
  <si>
    <t>2. Radek Krajcigr</t>
  </si>
  <si>
    <t>3. Jaromír Ekl</t>
  </si>
  <si>
    <t>4. Milan Tichý</t>
  </si>
  <si>
    <t>4. Jakub Jirsa</t>
  </si>
  <si>
    <t>18. 10.</t>
  </si>
  <si>
    <t>3. Filip Smutný</t>
  </si>
  <si>
    <t>2. Šimon Stránský</t>
  </si>
  <si>
    <t>1. Prokop Ferdan</t>
  </si>
  <si>
    <t>3. Jakub Kopecký</t>
  </si>
  <si>
    <t>2. Matěj Denemark</t>
  </si>
  <si>
    <t>3. Karel Aubus</t>
  </si>
  <si>
    <t>bydlí v Liberci s rodinou</t>
  </si>
  <si>
    <t>postup do 1. ligy i superligy</t>
  </si>
  <si>
    <t>bydlí v České Lípě</t>
  </si>
  <si>
    <t>chytal i v Liberci</t>
  </si>
  <si>
    <t>při angažmá Bulldogs zranění kolene</t>
  </si>
  <si>
    <t>kondiční příprava týmu</t>
  </si>
  <si>
    <t>před Vánoci 2020 návrat do ČL</t>
  </si>
  <si>
    <t>bydlí v Boleslavi</t>
  </si>
  <si>
    <t>aktuálně v solidní formě</t>
  </si>
  <si>
    <t>laboroval s meniskem</t>
  </si>
  <si>
    <t>kapitán týmu (od 11/12 do 18/19)</t>
  </si>
  <si>
    <t>nyní opět kapitán</t>
  </si>
  <si>
    <t>loni na Spartě si přetrhl vazy</t>
  </si>
  <si>
    <t>po roce návrat</t>
  </si>
  <si>
    <t>na Hattricku obnovení zranění</t>
  </si>
  <si>
    <t>přerušení kariéry</t>
  </si>
  <si>
    <t>podnikový právník v Boleslavi</t>
  </si>
  <si>
    <t>19/20 a 20/21 kapitán</t>
  </si>
  <si>
    <t>Banát/Rumunsko</t>
  </si>
  <si>
    <t>hospoda, festival, zájezdy do Banátu</t>
  </si>
  <si>
    <t>neprosadil se v Boleslavi</t>
  </si>
  <si>
    <t>bydlí a pracuje v Boleslavi</t>
  </si>
  <si>
    <t>Vojtěch Hrůza</t>
  </si>
  <si>
    <t>hrál za Boleslav a Liberec</t>
  </si>
  <si>
    <t>letní posila</t>
  </si>
  <si>
    <t>součástí výměny Tichého do MB</t>
  </si>
  <si>
    <t>loni zranění</t>
  </si>
  <si>
    <t>loni hrál hrot (192 cm)</t>
  </si>
  <si>
    <t>letos stabilně beka</t>
  </si>
  <si>
    <t>generace, co hraje od malička</t>
  </si>
  <si>
    <t>moc toho nenahrál</t>
  </si>
  <si>
    <t>útočník</t>
  </si>
  <si>
    <t>ČVUT, bydlí v Lípě</t>
  </si>
  <si>
    <t>dlouho se neprosazoval</t>
  </si>
  <si>
    <t>poslední 2 roky stabilní člen na hrotu</t>
  </si>
  <si>
    <t>Slaný si ho vyhlédl na Salming Gam.</t>
  </si>
  <si>
    <t>trenér, pracuje pro klub</t>
  </si>
  <si>
    <t>bydlí v Lípě s přítelkyní</t>
  </si>
  <si>
    <t>objevil se na kempu pod Kettunenem</t>
  </si>
  <si>
    <t>Stárek &amp; Kopič &amp; Kouba</t>
  </si>
  <si>
    <t>pohybově zdatný</t>
  </si>
  <si>
    <t>teď 2. lajna, loni spíš seděl</t>
  </si>
  <si>
    <t>zažil oba postupy</t>
  </si>
  <si>
    <t>dříč, člověk na černou práci</t>
  </si>
  <si>
    <t>původně hokej</t>
  </si>
  <si>
    <t>od elévů vynikal a sbíral body</t>
  </si>
  <si>
    <t>jezdil na výběry</t>
  </si>
  <si>
    <t>Kracjigr - Ekl - Kopič (= body)</t>
  </si>
  <si>
    <t>kempy jun. repre (bez MS ale)</t>
  </si>
  <si>
    <t>bydlí v Kolíně s manželkou</t>
  </si>
  <si>
    <t>z Lípy do Tatranu a zpět</t>
  </si>
  <si>
    <t>stará se o firmu</t>
  </si>
  <si>
    <t>v Tatranu pak spíš nehrál</t>
  </si>
  <si>
    <t>vazy 5 let zpět</t>
  </si>
  <si>
    <t>dříve hrál s Eklem (= body)</t>
  </si>
  <si>
    <t>20/21 2. nejtrest. hráč ligy</t>
  </si>
  <si>
    <t>srdcař českolipský</t>
  </si>
  <si>
    <t>Havlbrod, Brno, Pardu, Bohe, MB</t>
  </si>
  <si>
    <t>brejkový hráč (Ponomarev výhozy)</t>
  </si>
  <si>
    <t>18/19 41+9, 19/20 29+19, 20/21 37+22</t>
  </si>
  <si>
    <t>do Lípy šel už do 1. ligy</t>
  </si>
  <si>
    <t>pak zpět do MB a pak natrvalo ČL</t>
  </si>
  <si>
    <t>nedával v MB náročný harmonogram</t>
  </si>
  <si>
    <t>přebíral po Bartošové a Stožickém</t>
  </si>
  <si>
    <t>hrál za Liberec, Ústí, Bohemku</t>
  </si>
  <si>
    <t>se Slaným v Liberci a Ústí</t>
  </si>
  <si>
    <t>Krajcigr + Ekl 53 gólů 20/21</t>
  </si>
  <si>
    <t>v superlize od 17/18</t>
  </si>
  <si>
    <t>klub založen 1998</t>
  </si>
  <si>
    <t>10. místo (17/18, 18/19, 20/21)</t>
  </si>
  <si>
    <t>12. místo (19/20)</t>
  </si>
  <si>
    <t>proti CLP první výhra od 30. 1.</t>
  </si>
  <si>
    <t>proti CLP 5 využitých PP ze 6</t>
  </si>
  <si>
    <t>jediná účast v PO (19/20)</t>
  </si>
  <si>
    <t>6:5</t>
  </si>
  <si>
    <t>2. 10.</t>
  </si>
  <si>
    <t>7. 11.</t>
  </si>
  <si>
    <t>P - P - P - P - P - V - V</t>
  </si>
  <si>
    <t>2. Viktor Kopecký</t>
  </si>
  <si>
    <t>3. Ivan Pergler</t>
  </si>
  <si>
    <t>4. Vojtěch Klápa</t>
  </si>
  <si>
    <t>5. Jan Procházka</t>
  </si>
  <si>
    <t>6,42</t>
  </si>
  <si>
    <t>2. Jan Procházka</t>
  </si>
  <si>
    <t>4. Jan Fiala</t>
  </si>
  <si>
    <t>2. Ondřej Stuchlík</t>
  </si>
  <si>
    <t>3. Viktor Kopecký</t>
  </si>
  <si>
    <t>4. Ivan Pergler</t>
  </si>
  <si>
    <t>5. Petr Hartman</t>
  </si>
  <si>
    <t>V - V - PP - P - V - P</t>
  </si>
  <si>
    <t>6,50</t>
  </si>
  <si>
    <t>4. Martin Obuškevič</t>
  </si>
  <si>
    <t>5. Adam Bouček</t>
  </si>
  <si>
    <t>Lukáš Blaszczyk</t>
  </si>
  <si>
    <t>V - V - V - V - P - V - V</t>
  </si>
  <si>
    <t>5. Matúš Gajdoš</t>
  </si>
  <si>
    <t>4,25</t>
  </si>
  <si>
    <t>5,22</t>
  </si>
  <si>
    <t>2. Filip Forman</t>
  </si>
  <si>
    <t>3. Jan Malič</t>
  </si>
  <si>
    <t>3. Vojtěch Bílek</t>
  </si>
  <si>
    <t>4. Filip Forman</t>
  </si>
  <si>
    <t>5. Jakub Buršík</t>
  </si>
  <si>
    <t>2. Ondřej Kopič</t>
  </si>
  <si>
    <t>3. Milan Tichý</t>
  </si>
  <si>
    <t>8,62</t>
  </si>
  <si>
    <t>5. Jakub Karel</t>
  </si>
  <si>
    <t>5. Marek Dzierža</t>
  </si>
  <si>
    <t>6. 11.</t>
  </si>
  <si>
    <t>P - P - P - P - VP - P - P</t>
  </si>
  <si>
    <t>30. 10.</t>
  </si>
  <si>
    <t>P - P - P - P - PP - P</t>
  </si>
  <si>
    <t>5. Lukáš Vlach</t>
  </si>
  <si>
    <t>7,42</t>
  </si>
  <si>
    <t>9,09</t>
  </si>
  <si>
    <t>3. Zdeněk Raška</t>
  </si>
  <si>
    <t>8,00</t>
  </si>
  <si>
    <t>3. Tomáš Brom</t>
  </si>
  <si>
    <t>4. Jakub Procházka</t>
  </si>
  <si>
    <t>3. David Sládeček</t>
  </si>
  <si>
    <t>5. Jakub Procházka</t>
  </si>
  <si>
    <t>Adam Pospíchal</t>
  </si>
  <si>
    <t>7:3</t>
  </si>
  <si>
    <t>5:4</t>
  </si>
  <si>
    <t>V - PP - P - V - P - V - V - V</t>
  </si>
  <si>
    <t>5. Martin Skřivánek</t>
  </si>
  <si>
    <t>1. Karel Hodík</t>
  </si>
  <si>
    <t>4,76</t>
  </si>
  <si>
    <t>2. Vojtěch Šimůnek</t>
  </si>
  <si>
    <t>5. Petr Majer</t>
  </si>
  <si>
    <t>5. Marek Vávra</t>
  </si>
  <si>
    <t>1. Michal Strnad</t>
  </si>
  <si>
    <t>2. Daniel Eremiáš</t>
  </si>
  <si>
    <t>3. Michal Podhráský</t>
  </si>
  <si>
    <t>4. Mikuláš Komárek</t>
  </si>
  <si>
    <t>5. Radim Slunečko</t>
  </si>
  <si>
    <t>5,70</t>
  </si>
  <si>
    <t>2. Jan Král</t>
  </si>
  <si>
    <t>3. Jakub Levínský</t>
  </si>
  <si>
    <t>3. Šimon Stránský</t>
  </si>
  <si>
    <t>5. Vojtěch Wiener</t>
  </si>
  <si>
    <t>2. Jan Baudisch</t>
  </si>
  <si>
    <t>4. Daniel Martínek</t>
  </si>
  <si>
    <t>5. Petr Kološ</t>
  </si>
  <si>
    <t>3:7</t>
  </si>
  <si>
    <t>25. 10.</t>
  </si>
  <si>
    <t>P - P - V - P - VP - V - V - P</t>
  </si>
  <si>
    <t>6:1</t>
  </si>
  <si>
    <t>V - VP - VP - V - V - V - P</t>
  </si>
  <si>
    <t>5. Martin Tokoš</t>
  </si>
  <si>
    <t>3,26</t>
  </si>
  <si>
    <t>2. Patrik Suchánek</t>
  </si>
  <si>
    <t>3. Jiří Curney</t>
  </si>
  <si>
    <t>4. Adam Hemerka</t>
  </si>
  <si>
    <t>5. Jakub Gruber</t>
  </si>
  <si>
    <t>4,48</t>
  </si>
  <si>
    <t>3. Michal Sládek</t>
  </si>
  <si>
    <t>4. Ladislav Gál</t>
  </si>
  <si>
    <t>5. Lukáš Pešat</t>
  </si>
  <si>
    <t>1. Šimon Kuczera</t>
  </si>
  <si>
    <t>5. Ladislav Gál</t>
  </si>
  <si>
    <t>Richard Pum</t>
  </si>
  <si>
    <t>4:5</t>
  </si>
  <si>
    <t>1:6</t>
  </si>
  <si>
    <t>8. 11.</t>
  </si>
  <si>
    <t>V - V - P - V - PP - P - P</t>
  </si>
  <si>
    <t>Jakub Grich</t>
  </si>
  <si>
    <t>P - P - V - P - P - P</t>
  </si>
  <si>
    <t>5. Pavel Jurčík</t>
  </si>
  <si>
    <t>6,31</t>
  </si>
  <si>
    <t>2. Peter Nehila</t>
  </si>
  <si>
    <t>3. Ronald Gašparík</t>
  </si>
  <si>
    <t>4. Lukáš Petřík</t>
  </si>
  <si>
    <t>5. Tomáš Sovják</t>
  </si>
  <si>
    <t>3. David Medek</t>
  </si>
  <si>
    <t>4. Martin Ležatka</t>
  </si>
  <si>
    <t>5. Peter Nehila</t>
  </si>
  <si>
    <t>5:6</t>
  </si>
  <si>
    <t>P - V - P - P - P - P - P</t>
  </si>
  <si>
    <t>1. Ivo Teichman</t>
  </si>
  <si>
    <t>2. Adam Šmíd</t>
  </si>
  <si>
    <t>5. Jan Savický</t>
  </si>
  <si>
    <t>8,24</t>
  </si>
  <si>
    <t>4,07</t>
  </si>
  <si>
    <t>4. Matyáš Velc</t>
  </si>
  <si>
    <t>1. Přemek Pakosta</t>
  </si>
  <si>
    <t>3. Adam Šmíd</t>
  </si>
  <si>
    <t>4. David Petržela</t>
  </si>
  <si>
    <t>5. Ivo Teichman</t>
  </si>
  <si>
    <t>2. Lukáš Kučera</t>
  </si>
  <si>
    <t>3. Lukáš Prix</t>
  </si>
  <si>
    <t>4. David Žáček</t>
  </si>
  <si>
    <t>5. Patrik Petr</t>
  </si>
  <si>
    <t>5:8</t>
  </si>
  <si>
    <t>6:8</t>
  </si>
  <si>
    <t>P - V - V - V - V - P - P</t>
  </si>
  <si>
    <t>3. Mikuláš Krbec</t>
  </si>
  <si>
    <t>5,74</t>
  </si>
  <si>
    <t>4. Matěj Čermák</t>
  </si>
  <si>
    <t>5. Jakub Kolstrunk</t>
  </si>
  <si>
    <t>1. Josef Juha</t>
  </si>
  <si>
    <t>2. Lukáš Ujhélyi</t>
  </si>
  <si>
    <t>1. Michal Zeman</t>
  </si>
  <si>
    <t>3. Adam Kuchynka</t>
  </si>
  <si>
    <t>4. Dominik Bartoš</t>
  </si>
  <si>
    <t>8:6</t>
  </si>
  <si>
    <t>V - V - V - V - V - V</t>
  </si>
  <si>
    <t>5. Matěj Havlas</t>
  </si>
  <si>
    <t>4,17</t>
  </si>
  <si>
    <t>1. David Šimek</t>
  </si>
  <si>
    <t>2. Marek Beneš</t>
  </si>
  <si>
    <t>3. Jakub Kolísko</t>
  </si>
  <si>
    <t>2. Martin Čermák</t>
  </si>
  <si>
    <t>3. Jonáš Kreysa</t>
  </si>
  <si>
    <t>4. Martin Šindelář</t>
  </si>
  <si>
    <t>4. Rostislav Gattnar</t>
  </si>
  <si>
    <t>3,64</t>
  </si>
  <si>
    <t>3,50</t>
  </si>
  <si>
    <t>5. Martin Gattnar</t>
  </si>
  <si>
    <t>1. Filip Čonka-Skyba</t>
  </si>
  <si>
    <t>2. Jiří Besta</t>
  </si>
  <si>
    <t>V - P - V - V - V - V - 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</si>
</sst>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9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</borders>
  <cellStyleXfs count="2">
    <xf numFmtId="0" fontId="0" fillId="0" borderId="0"/>
    <xf numFmtId="0" fontId="13" fillId="0" borderId="0"/>
  </cellStyleXfs>
  <cellXfs count="383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" fillId="0" borderId="76" xfId="0" applyFont="1" applyFill="1" applyBorder="1" applyAlignment="1">
      <alignment horizontal="center" vertical="center"/>
    </xf>
    <xf numFmtId="0" fontId="1" fillId="0" borderId="77" xfId="0" applyFont="1" applyFill="1" applyBorder="1" applyAlignment="1">
      <alignment horizontal="center" vertical="center"/>
    </xf>
    <xf numFmtId="0" fontId="1" fillId="0" borderId="84" xfId="0" applyFont="1" applyFill="1" applyBorder="1" applyAlignment="1">
      <alignment horizontal="center" vertical="center"/>
    </xf>
    <xf numFmtId="0" fontId="1" fillId="0" borderId="80" xfId="0" applyFont="1" applyFill="1" applyBorder="1" applyAlignment="1">
      <alignment horizontal="center"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>
      <alignment horizontal="center" vertical="center"/>
    </xf>
    <xf numFmtId="0" fontId="2" fillId="2" borderId="86" xfId="0" applyFont="1" applyFill="1" applyBorder="1" applyAlignment="1">
      <alignment horizontal="center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2" fillId="0" borderId="0" xfId="1" applyFont="1" applyBorder="1" applyAlignment="1">
      <alignment horizontal="left" vertical="center" shrinkToFit="1"/>
    </xf>
    <xf numFmtId="0" fontId="2" fillId="0" borderId="0" xfId="1" applyFont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  <xf numFmtId="0" fontId="2" fillId="0" borderId="91" xfId="0" applyFont="1" applyBorder="1" applyAlignment="1" applyProtection="1">
      <alignment horizontal="left" vertical="center" shrinkToFit="1"/>
      <protection hidden="1"/>
    </xf>
    <xf numFmtId="0" fontId="2" fillId="0" borderId="92" xfId="0" applyFont="1" applyBorder="1" applyAlignment="1" applyProtection="1">
      <alignment horizontal="left" vertical="center" shrinkToFit="1"/>
      <protection hidden="1"/>
    </xf>
    <xf numFmtId="0" fontId="2" fillId="0" borderId="93" xfId="0" applyFont="1" applyBorder="1" applyAlignment="1" applyProtection="1">
      <alignment horizontal="left" vertical="center" shrinkToFit="1"/>
      <protection hidden="1"/>
    </xf>
    <xf numFmtId="0" fontId="1" fillId="0" borderId="91" xfId="0" applyFont="1" applyBorder="1" applyAlignment="1" applyProtection="1">
      <alignment vertical="center"/>
      <protection hidden="1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2" fontId="2" fillId="0" borderId="28" xfId="0" applyNumberFormat="1" applyFont="1" applyFill="1" applyBorder="1" applyAlignment="1" applyProtection="1">
      <alignment horizontal="center" vertical="center"/>
      <protection locked="0"/>
    </xf>
    <xf numFmtId="2" fontId="2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28" xfId="0" applyNumberFormat="1" applyFont="1" applyFill="1" applyBorder="1" applyAlignment="1" applyProtection="1">
      <alignment horizontal="center" vertical="center"/>
      <protection locked="0"/>
    </xf>
    <xf numFmtId="2" fontId="7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33" xfId="0" applyNumberFormat="1" applyFont="1" applyFill="1" applyBorder="1" applyAlignment="1" applyProtection="1">
      <alignment horizontal="center" vertical="center"/>
      <protection locked="0"/>
    </xf>
    <xf numFmtId="2" fontId="7" fillId="0" borderId="27" xfId="0" applyNumberFormat="1" applyFont="1" applyFill="1" applyBorder="1" applyAlignment="1" applyProtection="1">
      <alignment horizontal="center" vertical="center"/>
      <protection locked="0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  <protection locked="0"/>
    </xf>
    <xf numFmtId="2" fontId="2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12" xfId="0" applyNumberFormat="1" applyFont="1" applyFill="1" applyBorder="1" applyAlignment="1" applyProtection="1">
      <alignment horizontal="left" vertical="center"/>
      <protection locked="0"/>
    </xf>
    <xf numFmtId="2" fontId="7" fillId="0" borderId="13" xfId="0" applyNumberFormat="1" applyFont="1" applyFill="1" applyBorder="1" applyAlignment="1" applyProtection="1">
      <alignment horizontal="left" vertical="center"/>
      <protection locked="0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left" vertical="center"/>
      <protection locked="0"/>
    </xf>
    <xf numFmtId="2" fontId="7" fillId="0" borderId="18" xfId="0" applyNumberFormat="1" applyFont="1" applyFill="1" applyBorder="1" applyAlignment="1" applyProtection="1">
      <alignment horizontal="left" vertical="center"/>
      <protection locked="0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8" fillId="0" borderId="21" xfId="0" applyFont="1" applyFill="1" applyBorder="1" applyAlignment="1">
      <alignment horizontal="center" vertical="top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15" fillId="0" borderId="0" xfId="1" applyFont="1" applyFill="1" applyBorder="1" applyAlignment="1" applyProtection="1">
      <alignment horizontal="center" vertical="center" wrapText="1"/>
    </xf>
    <xf numFmtId="0" fontId="15" fillId="0" borderId="0" xfId="1" applyFont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2">
    <cellStyle name="Normální" xfId="0" builtinId="0"/>
    <cellStyle name="Normální 2" xfId="1"/>
  </cellStyles>
  <dxfs count="878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97</v>
      </c>
      <c r="D1" s="63" t="s">
        <v>98</v>
      </c>
      <c r="E1" s="63" t="s">
        <v>102</v>
      </c>
      <c r="F1" s="63" t="s">
        <v>103</v>
      </c>
      <c r="G1" s="63" t="s">
        <v>24</v>
      </c>
      <c r="H1" s="63" t="s">
        <v>105</v>
      </c>
      <c r="I1" s="63" t="s">
        <v>23</v>
      </c>
      <c r="J1" s="63" t="s">
        <v>99</v>
      </c>
      <c r="K1" s="63" t="s">
        <v>100</v>
      </c>
      <c r="L1" s="63" t="s">
        <v>104</v>
      </c>
      <c r="M1" s="63" t="s">
        <v>101</v>
      </c>
      <c r="N1" s="63" t="s">
        <v>94</v>
      </c>
      <c r="O1" s="63" t="s">
        <v>96</v>
      </c>
    </row>
    <row r="2" spans="1:15" s="71" customFormat="1" x14ac:dyDescent="0.25">
      <c r="A2" s="108" t="s">
        <v>264</v>
      </c>
      <c r="B2" s="71">
        <f ca="1">IFERROR(COUNTIF(INDIRECT("priprava_" &amp; B$1 &amp; "!$S$2:$S$42"),"?*"),"")</f>
        <v>24</v>
      </c>
      <c r="C2" s="71">
        <f ca="1">IFERROR(COUNTIF(INDIRECT("priprava_" &amp; C$1 &amp; "!$S$2:$S$42"),"?*"),"")</f>
        <v>23</v>
      </c>
      <c r="D2" s="71">
        <f t="shared" ref="D2:O2" ca="1" si="0">IFERROR(COUNTIF(INDIRECT("priprava_" &amp; D$1 &amp; "!$S$2:$S$42"),"?*"),"")</f>
        <v>25</v>
      </c>
      <c r="E2" s="71">
        <f t="shared" ca="1" si="0"/>
        <v>22</v>
      </c>
      <c r="F2" s="71">
        <f t="shared" ca="1" si="0"/>
        <v>21</v>
      </c>
      <c r="G2" s="71">
        <f t="shared" ca="1" si="0"/>
        <v>27</v>
      </c>
      <c r="H2" s="71">
        <f t="shared" ca="1" si="0"/>
        <v>21</v>
      </c>
      <c r="I2" s="71">
        <f t="shared" ca="1" si="0"/>
        <v>21</v>
      </c>
      <c r="J2" s="71">
        <f t="shared" ca="1" si="0"/>
        <v>23</v>
      </c>
      <c r="K2" s="71">
        <f t="shared" ca="1" si="0"/>
        <v>24</v>
      </c>
      <c r="L2" s="71">
        <f t="shared" ca="1" si="0"/>
        <v>21</v>
      </c>
      <c r="M2" s="71">
        <f t="shared" ca="1" si="0"/>
        <v>21</v>
      </c>
      <c r="N2" s="71">
        <f t="shared" ca="1" si="0"/>
        <v>24</v>
      </c>
      <c r="O2" s="71">
        <f t="shared" ca="1" si="0"/>
        <v>23</v>
      </c>
    </row>
    <row r="3" spans="1:15" s="71" customFormat="1" x14ac:dyDescent="0.25">
      <c r="A3" s="108" t="s">
        <v>269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0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0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265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3</v>
      </c>
      <c r="D4" s="71">
        <f t="shared" ca="1" si="2"/>
        <v>10</v>
      </c>
      <c r="E4" s="71">
        <f t="shared" ca="1" si="2"/>
        <v>0</v>
      </c>
      <c r="F4" s="71">
        <f t="shared" ca="1" si="2"/>
        <v>2</v>
      </c>
      <c r="G4" s="71">
        <f t="shared" ca="1" si="2"/>
        <v>7</v>
      </c>
      <c r="H4" s="71">
        <f t="shared" ca="1" si="2"/>
        <v>0</v>
      </c>
      <c r="I4" s="71">
        <f t="shared" ca="1" si="2"/>
        <v>6</v>
      </c>
      <c r="J4" s="71">
        <f t="shared" ca="1" si="2"/>
        <v>5</v>
      </c>
      <c r="K4" s="71">
        <f t="shared" ca="1" si="2"/>
        <v>12</v>
      </c>
      <c r="L4" s="71">
        <f t="shared" ca="1" si="2"/>
        <v>3</v>
      </c>
      <c r="M4" s="71">
        <f t="shared" ca="1" si="2"/>
        <v>5</v>
      </c>
      <c r="N4" s="71">
        <f t="shared" ca="1" si="2"/>
        <v>9</v>
      </c>
      <c r="O4" s="71">
        <f t="shared" ca="1" si="2"/>
        <v>6</v>
      </c>
    </row>
    <row r="5" spans="1:15" s="71" customFormat="1" x14ac:dyDescent="0.25">
      <c r="A5" s="108" t="s">
        <v>266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20</v>
      </c>
      <c r="D5" s="71">
        <f t="shared" ref="D5:O5" ca="1" si="3">IFERROR(COUNTBLANK(OFFSET(INDIRECT("priprava_" &amp; D$1 &amp; "!$AH$2"),,,COUNTIF(INDIRECT("priprava_" &amp; D$1 &amp; "!$AG$2:$AG$42"),"?*"))),"")</f>
        <v>1</v>
      </c>
      <c r="E5" s="71">
        <f t="shared" ca="1" si="3"/>
        <v>1</v>
      </c>
      <c r="F5" s="71">
        <f t="shared" ca="1" si="3"/>
        <v>19</v>
      </c>
      <c r="G5" s="71">
        <f t="shared" ca="1" si="3"/>
        <v>5</v>
      </c>
      <c r="H5" s="71">
        <f t="shared" ca="1" si="3"/>
        <v>1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267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20</v>
      </c>
      <c r="D6" s="106">
        <f t="shared" ca="1" si="4"/>
        <v>1</v>
      </c>
      <c r="E6" s="106">
        <f t="shared" ca="1" si="4"/>
        <v>1</v>
      </c>
      <c r="F6" s="106">
        <f t="shared" ca="1" si="4"/>
        <v>19</v>
      </c>
      <c r="G6" s="106">
        <f t="shared" ca="1" si="4"/>
        <v>4</v>
      </c>
      <c r="H6" s="106">
        <f t="shared" ca="1" si="4"/>
        <v>1</v>
      </c>
      <c r="I6" s="106">
        <f t="shared" ca="1" si="4"/>
        <v>0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268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20</v>
      </c>
      <c r="D7" s="106">
        <f t="shared" ref="D7:O7" ca="1" si="5">IFERROR(COUNTBLANK(OFFSET(INDIRECT("priprava_" &amp; D$1 &amp; "!$AS$2"),,,COUNTIF(INDIRECT("priprava_" &amp; D$1 &amp; "!$AG$2:$AG$50"),"?*"),2))/2,"")</f>
        <v>6.5</v>
      </c>
      <c r="E7" s="106">
        <f t="shared" ca="1" si="5"/>
        <v>1.5</v>
      </c>
      <c r="F7" s="106">
        <f t="shared" ca="1" si="5"/>
        <v>19</v>
      </c>
      <c r="G7" s="106">
        <f t="shared" ca="1" si="5"/>
        <v>6</v>
      </c>
      <c r="H7" s="106">
        <f t="shared" ca="1" si="5"/>
        <v>1</v>
      </c>
      <c r="I7" s="106">
        <f t="shared" ca="1" si="5"/>
        <v>0.5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562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877" priority="14" stopIfTrue="1" operator="greaterThan">
      <formula>40</formula>
    </cfRule>
    <cfRule type="cellIs" dxfId="876" priority="15" stopIfTrue="1" operator="between">
      <formula>35</formula>
      <formula>40</formula>
    </cfRule>
    <cfRule type="cellIs" dxfId="875" priority="16" operator="lessThan">
      <formula>35</formula>
    </cfRule>
  </conditionalFormatting>
  <conditionalFormatting sqref="B3:O3">
    <cfRule type="cellIs" dxfId="874" priority="1" stopIfTrue="1" operator="greaterThan">
      <formula>9</formula>
    </cfRule>
    <cfRule type="cellIs" dxfId="873" priority="11" stopIfTrue="1" operator="between">
      <formula>7</formula>
      <formula>9</formula>
    </cfRule>
    <cfRule type="cellIs" dxfId="872" priority="12" stopIfTrue="1" operator="equal">
      <formula>0</formula>
    </cfRule>
    <cfRule type="cellIs" dxfId="871" priority="13" operator="lessThan">
      <formula>7</formula>
    </cfRule>
  </conditionalFormatting>
  <conditionalFormatting sqref="B5:O7">
    <cfRule type="cellIs" dxfId="870" priority="7" stopIfTrue="1" operator="greaterThan">
      <formula>6</formula>
    </cfRule>
    <cfRule type="cellIs" dxfId="869" priority="8" stopIfTrue="1" operator="between">
      <formula>4</formula>
      <formula>6</formula>
    </cfRule>
    <cfRule type="cellIs" dxfId="868" priority="9" stopIfTrue="1" operator="between">
      <formula>1</formula>
      <formula>3</formula>
    </cfRule>
    <cfRule type="cellIs" dxfId="867" priority="10" operator="lessThan">
      <formula>1</formula>
    </cfRule>
  </conditionalFormatting>
  <conditionalFormatting sqref="B4:O4">
    <cfRule type="cellIs" dxfId="866" priority="4" stopIfTrue="1" operator="greaterThan">
      <formula>2</formula>
    </cfRule>
    <cfRule type="cellIs" dxfId="865" priority="5" stopIfTrue="1" operator="between">
      <formula>1</formula>
      <formula>2</formula>
    </cfRule>
    <cfRule type="cellIs" dxfId="864" priority="6" operator="lessThan">
      <formula>1</formula>
    </cfRule>
  </conditionalFormatting>
  <conditionalFormatting sqref="B8:O8">
    <cfRule type="cellIs" dxfId="863" priority="2" stopIfTrue="1" operator="greaterThan">
      <formula>0</formula>
    </cfRule>
    <cfRule type="cellIs" dxfId="862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F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4" width="0" style="3" hidden="1" customWidth="1"/>
    <col min="55" max="55" width="9.140625" style="3" hidden="1" customWidth="1"/>
    <col min="56" max="58" width="0" style="3" hidden="1" customWidth="1"/>
    <col min="59" max="16384" width="9.140625" style="3"/>
  </cols>
  <sheetData>
    <row r="1" spans="1:58" ht="24" customHeight="1" thickTop="1" thickBot="1" x14ac:dyDescent="0.3">
      <c r="A1" s="65" t="s">
        <v>53</v>
      </c>
      <c r="B1" s="66" t="s">
        <v>54</v>
      </c>
      <c r="C1" s="75" t="s">
        <v>55</v>
      </c>
      <c r="D1" s="75" t="s">
        <v>26</v>
      </c>
      <c r="E1" s="75" t="s">
        <v>56</v>
      </c>
      <c r="F1" s="75" t="s">
        <v>57</v>
      </c>
      <c r="G1" s="75" t="s">
        <v>27</v>
      </c>
      <c r="H1" s="77" t="s">
        <v>44</v>
      </c>
      <c r="I1" s="75" t="s">
        <v>58</v>
      </c>
      <c r="J1" s="75" t="s">
        <v>59</v>
      </c>
      <c r="K1" s="75" t="s">
        <v>60</v>
      </c>
      <c r="L1" s="75" t="s">
        <v>57</v>
      </c>
      <c r="M1" s="75" t="s">
        <v>61</v>
      </c>
      <c r="N1" s="75" t="s">
        <v>62</v>
      </c>
      <c r="O1" s="74" t="s">
        <v>63</v>
      </c>
      <c r="P1" s="75" t="s">
        <v>64</v>
      </c>
      <c r="Q1" s="75" t="s">
        <v>65</v>
      </c>
      <c r="R1" s="75" t="s">
        <v>66</v>
      </c>
      <c r="S1" s="74" t="s">
        <v>67</v>
      </c>
      <c r="T1" s="75" t="s">
        <v>31</v>
      </c>
      <c r="U1" s="75" t="s">
        <v>68</v>
      </c>
      <c r="V1" s="73" t="s">
        <v>69</v>
      </c>
      <c r="W1" s="69" t="s">
        <v>92</v>
      </c>
      <c r="X1" s="71" t="s">
        <v>84</v>
      </c>
      <c r="Y1" s="71" t="s">
        <v>26</v>
      </c>
      <c r="Z1" s="71" t="s">
        <v>56</v>
      </c>
      <c r="AA1" s="71" t="s">
        <v>57</v>
      </c>
      <c r="AB1" s="71" t="s">
        <v>27</v>
      </c>
      <c r="AC1" s="71" t="s">
        <v>44</v>
      </c>
      <c r="AD1" s="71" t="s">
        <v>58</v>
      </c>
      <c r="AE1" s="71" t="s">
        <v>59</v>
      </c>
      <c r="AF1" s="71" t="s">
        <v>60</v>
      </c>
      <c r="AG1" s="71" t="s">
        <v>57</v>
      </c>
      <c r="AH1" s="71" t="s">
        <v>61</v>
      </c>
      <c r="AI1" s="71" t="s">
        <v>62</v>
      </c>
      <c r="AJ1" s="70" t="s">
        <v>63</v>
      </c>
      <c r="AK1" s="71" t="s">
        <v>64</v>
      </c>
      <c r="AL1" s="71" t="s">
        <v>65</v>
      </c>
      <c r="AM1" s="71" t="s">
        <v>66</v>
      </c>
      <c r="AN1" s="70" t="s">
        <v>67</v>
      </c>
      <c r="AO1" s="71">
        <v>2</v>
      </c>
      <c r="AP1" s="71">
        <v>5</v>
      </c>
      <c r="AQ1" s="71">
        <v>10</v>
      </c>
      <c r="AR1" s="71" t="s">
        <v>86</v>
      </c>
      <c r="AS1" s="71" t="s">
        <v>87</v>
      </c>
      <c r="AT1" s="71" t="s">
        <v>88</v>
      </c>
      <c r="AU1" s="71" t="s">
        <v>31</v>
      </c>
      <c r="AV1" s="71" t="s">
        <v>68</v>
      </c>
      <c r="AW1" s="70" t="s">
        <v>69</v>
      </c>
      <c r="AX1" s="71" t="s">
        <v>89</v>
      </c>
      <c r="AY1" s="71" t="s">
        <v>90</v>
      </c>
      <c r="AZ1" s="71" t="s">
        <v>91</v>
      </c>
      <c r="BA1" s="3" t="s">
        <v>92</v>
      </c>
      <c r="BB1" s="62" t="s">
        <v>93</v>
      </c>
      <c r="BC1" s="62" t="s">
        <v>109</v>
      </c>
      <c r="BD1" s="62" t="s">
        <v>106</v>
      </c>
      <c r="BE1" s="62" t="s">
        <v>107</v>
      </c>
      <c r="BF1" s="62" t="s">
        <v>108</v>
      </c>
    </row>
    <row r="2" spans="1:58" ht="24" customHeight="1" x14ac:dyDescent="0.25">
      <c r="A2" s="138">
        <v>1</v>
      </c>
      <c r="B2" s="25" t="str">
        <f>W2</f>
        <v>1. SC TEMPISH Vítkovice</v>
      </c>
      <c r="C2" s="76">
        <f t="shared" ref="C2:S2" si="0">X2</f>
        <v>7</v>
      </c>
      <c r="D2" s="76">
        <f t="shared" si="0"/>
        <v>6</v>
      </c>
      <c r="E2" s="76">
        <f t="shared" si="0"/>
        <v>0</v>
      </c>
      <c r="F2" s="76">
        <f t="shared" si="0"/>
        <v>0</v>
      </c>
      <c r="G2" s="76">
        <f t="shared" si="0"/>
        <v>1</v>
      </c>
      <c r="H2" s="78">
        <f t="shared" si="0"/>
        <v>18</v>
      </c>
      <c r="I2" s="76">
        <f t="shared" si="0"/>
        <v>65</v>
      </c>
      <c r="J2" s="76">
        <f t="shared" si="0"/>
        <v>26</v>
      </c>
      <c r="K2" s="76">
        <f t="shared" si="0"/>
        <v>39</v>
      </c>
      <c r="L2" s="76">
        <f t="shared" si="0"/>
        <v>10</v>
      </c>
      <c r="M2" s="76">
        <f t="shared" si="0"/>
        <v>5</v>
      </c>
      <c r="N2" s="76">
        <f t="shared" si="0"/>
        <v>0</v>
      </c>
      <c r="O2" s="67">
        <f t="shared" si="0"/>
        <v>50</v>
      </c>
      <c r="P2" s="76">
        <f t="shared" si="0"/>
        <v>7</v>
      </c>
      <c r="Q2" s="76">
        <f t="shared" si="0"/>
        <v>2</v>
      </c>
      <c r="R2" s="76">
        <f t="shared" si="0"/>
        <v>1</v>
      </c>
      <c r="S2" s="67">
        <f t="shared" si="0"/>
        <v>71.430000000000007</v>
      </c>
      <c r="T2" s="76">
        <f>AU2</f>
        <v>14</v>
      </c>
      <c r="U2" s="76">
        <f t="shared" ref="U2:V2" si="1">AV2</f>
        <v>214</v>
      </c>
      <c r="V2" s="68">
        <f t="shared" si="1"/>
        <v>30.37</v>
      </c>
      <c r="W2" s="72" t="s">
        <v>72</v>
      </c>
      <c r="X2" s="71">
        <v>7</v>
      </c>
      <c r="Y2" s="71">
        <v>6</v>
      </c>
      <c r="Z2" s="71">
        <v>0</v>
      </c>
      <c r="AA2" s="71">
        <v>0</v>
      </c>
      <c r="AB2" s="71">
        <v>1</v>
      </c>
      <c r="AC2" s="71">
        <v>18</v>
      </c>
      <c r="AD2" s="71">
        <v>65</v>
      </c>
      <c r="AE2" s="71">
        <v>26</v>
      </c>
      <c r="AF2" s="71">
        <v>39</v>
      </c>
      <c r="AG2" s="71">
        <v>10</v>
      </c>
      <c r="AH2" s="71">
        <v>5</v>
      </c>
      <c r="AI2" s="71">
        <v>0</v>
      </c>
      <c r="AJ2" s="70">
        <v>50</v>
      </c>
      <c r="AK2" s="71">
        <v>7</v>
      </c>
      <c r="AL2" s="71">
        <v>2</v>
      </c>
      <c r="AM2" s="71">
        <v>1</v>
      </c>
      <c r="AN2" s="70">
        <v>71.430000000000007</v>
      </c>
      <c r="AO2" s="71">
        <v>7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14</v>
      </c>
      <c r="AV2" s="71">
        <v>214</v>
      </c>
      <c r="AW2" s="70">
        <v>30.37</v>
      </c>
      <c r="AX2" s="71">
        <v>459</v>
      </c>
      <c r="AY2" s="71">
        <v>424</v>
      </c>
      <c r="AZ2" s="71">
        <v>126</v>
      </c>
      <c r="BA2" s="3" t="s">
        <v>72</v>
      </c>
      <c r="BB2" s="62" t="s">
        <v>96</v>
      </c>
      <c r="BC2" s="62">
        <f>MATCH(BA2,$B$2:$B$15,0)</f>
        <v>1</v>
      </c>
      <c r="BD2" s="62">
        <f>_xlfn.RANK.EQ(VLOOKUP(BA2,$B$2:$V$15,14,FALSE),$O$2:$O$15,0)</f>
        <v>5</v>
      </c>
      <c r="BE2" s="62">
        <f>_xlfn.RANK.EQ(VLOOKUP(BA2,$B$2:$V$15,18,FALSE),$S$2:$S$15,0)</f>
        <v>5</v>
      </c>
      <c r="BF2" s="62">
        <f>_xlfn.RANK.EQ(VLOOKUP(BA2,$B$2:$V$16,19,FALSE),$T$2:$T$15,1)</f>
        <v>1</v>
      </c>
    </row>
    <row r="3" spans="1:58" ht="24" customHeight="1" x14ac:dyDescent="0.25">
      <c r="A3" s="138">
        <v>2</v>
      </c>
      <c r="B3" s="25" t="str">
        <f t="shared" ref="B3:B15" si="2">W3</f>
        <v>Tatran Střešovice</v>
      </c>
      <c r="C3" s="76">
        <f t="shared" ref="C3:C15" si="3">X3</f>
        <v>6</v>
      </c>
      <c r="D3" s="76">
        <f t="shared" ref="D3:D15" si="4">Y3</f>
        <v>6</v>
      </c>
      <c r="E3" s="76">
        <f t="shared" ref="E3:E15" si="5">Z3</f>
        <v>0</v>
      </c>
      <c r="F3" s="76">
        <f t="shared" ref="F3:F15" si="6">AA3</f>
        <v>0</v>
      </c>
      <c r="G3" s="76">
        <f t="shared" ref="G3:G15" si="7">AB3</f>
        <v>0</v>
      </c>
      <c r="H3" s="78">
        <f t="shared" ref="H3:H15" si="8">AC3</f>
        <v>18</v>
      </c>
      <c r="I3" s="76">
        <f t="shared" ref="I3:I15" si="9">AD3</f>
        <v>49</v>
      </c>
      <c r="J3" s="76">
        <f t="shared" ref="J3:J15" si="10">AE3</f>
        <v>25</v>
      </c>
      <c r="K3" s="76">
        <f t="shared" ref="K3:K15" si="11">AF3</f>
        <v>24</v>
      </c>
      <c r="L3" s="76">
        <f t="shared" ref="L3:L15" si="12">AG3</f>
        <v>14</v>
      </c>
      <c r="M3" s="76">
        <f t="shared" ref="M3:M15" si="13">AH3</f>
        <v>9</v>
      </c>
      <c r="N3" s="76">
        <f t="shared" ref="N3:N15" si="14">AI3</f>
        <v>1</v>
      </c>
      <c r="O3" s="67">
        <f t="shared" ref="O3:O15" si="15">AJ3</f>
        <v>64.290000000000006</v>
      </c>
      <c r="P3" s="76">
        <f t="shared" ref="P3:P15" si="16">AK3</f>
        <v>10</v>
      </c>
      <c r="Q3" s="76">
        <f t="shared" ref="Q3:Q15" si="17">AL3</f>
        <v>4</v>
      </c>
      <c r="R3" s="76">
        <f t="shared" ref="R3:R15" si="18">AM3</f>
        <v>1</v>
      </c>
      <c r="S3" s="67">
        <f t="shared" ref="S3:S15" si="19">AN3</f>
        <v>60</v>
      </c>
      <c r="T3" s="76">
        <f t="shared" ref="T3:T15" si="20">AU3</f>
        <v>22</v>
      </c>
      <c r="U3" s="76">
        <f t="shared" ref="U3:U15" si="21">AV3</f>
        <v>177</v>
      </c>
      <c r="V3" s="68">
        <f t="shared" ref="V3:V15" si="22">AW3</f>
        <v>27.68</v>
      </c>
      <c r="W3" s="72" t="s">
        <v>70</v>
      </c>
      <c r="X3" s="71">
        <v>6</v>
      </c>
      <c r="Y3" s="71">
        <v>6</v>
      </c>
      <c r="Z3" s="71">
        <v>0</v>
      </c>
      <c r="AA3" s="71">
        <v>0</v>
      </c>
      <c r="AB3" s="71">
        <v>0</v>
      </c>
      <c r="AC3" s="71">
        <v>18</v>
      </c>
      <c r="AD3" s="71">
        <v>49</v>
      </c>
      <c r="AE3" s="71">
        <v>25</v>
      </c>
      <c r="AF3" s="71">
        <v>24</v>
      </c>
      <c r="AG3" s="71">
        <v>14</v>
      </c>
      <c r="AH3" s="71">
        <v>9</v>
      </c>
      <c r="AI3" s="71">
        <v>1</v>
      </c>
      <c r="AJ3" s="70">
        <v>64.290000000000006</v>
      </c>
      <c r="AK3" s="71">
        <v>10</v>
      </c>
      <c r="AL3" s="71">
        <v>4</v>
      </c>
      <c r="AM3" s="71">
        <v>1</v>
      </c>
      <c r="AN3" s="70">
        <v>60</v>
      </c>
      <c r="AO3" s="71">
        <v>11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22</v>
      </c>
      <c r="AV3" s="71">
        <v>177</v>
      </c>
      <c r="AW3" s="70">
        <v>27.68</v>
      </c>
      <c r="AX3" s="71">
        <v>411</v>
      </c>
      <c r="AY3" s="71">
        <v>406</v>
      </c>
      <c r="AZ3" s="71">
        <v>136</v>
      </c>
      <c r="BA3" s="3" t="s">
        <v>78</v>
      </c>
      <c r="BB3" s="62" t="s">
        <v>101</v>
      </c>
      <c r="BC3" s="62">
        <f t="shared" ref="BC3:BC15" si="23">MATCH(BA3,$B$2:$B$15,0)</f>
        <v>6</v>
      </c>
      <c r="BD3" s="62">
        <f t="shared" ref="BD3:BD15" si="24">_xlfn.RANK.EQ(VLOOKUP(BA3,$B$2:$V$15,14,FALSE),$O$2:$O$15,0)</f>
        <v>3</v>
      </c>
      <c r="BE3" s="62">
        <f t="shared" ref="BE3:BE15" si="25">_xlfn.RANK.EQ(VLOOKUP(BA3,$B$2:$V$15,18,FALSE),$S$2:$S$15,0)</f>
        <v>12</v>
      </c>
      <c r="BF3" s="62">
        <f t="shared" ref="BF3:BF15" si="26">_xlfn.RANK.EQ(VLOOKUP(BA3,$B$2:$V$16,19,FALSE),$T$2:$T$15,1)</f>
        <v>12</v>
      </c>
    </row>
    <row r="4" spans="1:58" ht="24" customHeight="1" x14ac:dyDescent="0.25">
      <c r="A4" s="138">
        <v>3</v>
      </c>
      <c r="B4" s="25" t="str">
        <f t="shared" si="2"/>
        <v>FbŠ Bohemians</v>
      </c>
      <c r="C4" s="76">
        <f t="shared" si="3"/>
        <v>7</v>
      </c>
      <c r="D4" s="76">
        <f t="shared" si="4"/>
        <v>6</v>
      </c>
      <c r="E4" s="76">
        <f t="shared" si="5"/>
        <v>0</v>
      </c>
      <c r="F4" s="76">
        <f t="shared" si="6"/>
        <v>0</v>
      </c>
      <c r="G4" s="76">
        <f t="shared" si="7"/>
        <v>1</v>
      </c>
      <c r="H4" s="78">
        <f t="shared" si="8"/>
        <v>18</v>
      </c>
      <c r="I4" s="76">
        <f t="shared" si="9"/>
        <v>50</v>
      </c>
      <c r="J4" s="76">
        <f t="shared" si="10"/>
        <v>34</v>
      </c>
      <c r="K4" s="76">
        <f t="shared" si="11"/>
        <v>16</v>
      </c>
      <c r="L4" s="76">
        <f t="shared" si="12"/>
        <v>20</v>
      </c>
      <c r="M4" s="76">
        <f t="shared" si="13"/>
        <v>6</v>
      </c>
      <c r="N4" s="76">
        <f t="shared" si="14"/>
        <v>1</v>
      </c>
      <c r="O4" s="67">
        <f t="shared" si="15"/>
        <v>30</v>
      </c>
      <c r="P4" s="76">
        <f t="shared" si="16"/>
        <v>9</v>
      </c>
      <c r="Q4" s="76">
        <f t="shared" si="17"/>
        <v>2</v>
      </c>
      <c r="R4" s="76">
        <f t="shared" si="18"/>
        <v>0</v>
      </c>
      <c r="S4" s="67">
        <f t="shared" si="19"/>
        <v>77.78</v>
      </c>
      <c r="T4" s="76">
        <f t="shared" si="20"/>
        <v>20</v>
      </c>
      <c r="U4" s="76">
        <f t="shared" si="21"/>
        <v>186</v>
      </c>
      <c r="V4" s="68">
        <f t="shared" si="22"/>
        <v>26.88</v>
      </c>
      <c r="W4" s="72" t="s">
        <v>74</v>
      </c>
      <c r="X4" s="71">
        <v>7</v>
      </c>
      <c r="Y4" s="71">
        <v>6</v>
      </c>
      <c r="Z4" s="71">
        <v>0</v>
      </c>
      <c r="AA4" s="71">
        <v>0</v>
      </c>
      <c r="AB4" s="71">
        <v>1</v>
      </c>
      <c r="AC4" s="71">
        <v>18</v>
      </c>
      <c r="AD4" s="71">
        <v>50</v>
      </c>
      <c r="AE4" s="71">
        <v>34</v>
      </c>
      <c r="AF4" s="71">
        <v>16</v>
      </c>
      <c r="AG4" s="71">
        <v>20</v>
      </c>
      <c r="AH4" s="71">
        <v>6</v>
      </c>
      <c r="AI4" s="71">
        <v>1</v>
      </c>
      <c r="AJ4" s="70">
        <v>30</v>
      </c>
      <c r="AK4" s="71">
        <v>9</v>
      </c>
      <c r="AL4" s="71">
        <v>2</v>
      </c>
      <c r="AM4" s="71">
        <v>0</v>
      </c>
      <c r="AN4" s="70">
        <v>77.78</v>
      </c>
      <c r="AO4" s="71">
        <v>10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20</v>
      </c>
      <c r="AV4" s="71">
        <v>186</v>
      </c>
      <c r="AW4" s="70">
        <v>26.88</v>
      </c>
      <c r="AX4" s="71">
        <v>724</v>
      </c>
      <c r="AY4" s="71">
        <v>434</v>
      </c>
      <c r="AZ4" s="71">
        <v>165</v>
      </c>
      <c r="BA4" s="3" t="s">
        <v>73</v>
      </c>
      <c r="BB4" s="62" t="s">
        <v>97</v>
      </c>
      <c r="BC4" s="62">
        <f t="shared" si="23"/>
        <v>9</v>
      </c>
      <c r="BD4" s="62">
        <f t="shared" si="24"/>
        <v>4</v>
      </c>
      <c r="BE4" s="62">
        <f t="shared" si="25"/>
        <v>6</v>
      </c>
      <c r="BF4" s="62">
        <f t="shared" si="26"/>
        <v>10</v>
      </c>
    </row>
    <row r="5" spans="1:58" ht="24" customHeight="1" x14ac:dyDescent="0.25">
      <c r="A5" s="138">
        <v>4</v>
      </c>
      <c r="B5" s="25" t="str">
        <f t="shared" si="2"/>
        <v>Předvýběr.CZ Florbal MB</v>
      </c>
      <c r="C5" s="76">
        <f t="shared" si="3"/>
        <v>7</v>
      </c>
      <c r="D5" s="76">
        <f t="shared" si="4"/>
        <v>4</v>
      </c>
      <c r="E5" s="76">
        <f t="shared" si="5"/>
        <v>2</v>
      </c>
      <c r="F5" s="76">
        <f t="shared" si="6"/>
        <v>0</v>
      </c>
      <c r="G5" s="76">
        <f t="shared" si="7"/>
        <v>1</v>
      </c>
      <c r="H5" s="78">
        <f t="shared" si="8"/>
        <v>16</v>
      </c>
      <c r="I5" s="76">
        <f t="shared" si="9"/>
        <v>51</v>
      </c>
      <c r="J5" s="76">
        <f t="shared" si="10"/>
        <v>24</v>
      </c>
      <c r="K5" s="76">
        <f t="shared" si="11"/>
        <v>27</v>
      </c>
      <c r="L5" s="76">
        <f t="shared" si="12"/>
        <v>6</v>
      </c>
      <c r="M5" s="76">
        <f t="shared" si="13"/>
        <v>2</v>
      </c>
      <c r="N5" s="76">
        <f t="shared" si="14"/>
        <v>1</v>
      </c>
      <c r="O5" s="67">
        <f t="shared" si="15"/>
        <v>33.33</v>
      </c>
      <c r="P5" s="76">
        <f t="shared" si="16"/>
        <v>12</v>
      </c>
      <c r="Q5" s="76">
        <f t="shared" si="17"/>
        <v>2</v>
      </c>
      <c r="R5" s="76">
        <f t="shared" si="18"/>
        <v>0</v>
      </c>
      <c r="S5" s="67">
        <f t="shared" si="19"/>
        <v>83.33</v>
      </c>
      <c r="T5" s="76">
        <f t="shared" si="20"/>
        <v>26</v>
      </c>
      <c r="U5" s="76">
        <f t="shared" si="21"/>
        <v>188</v>
      </c>
      <c r="V5" s="68">
        <f t="shared" si="22"/>
        <v>27.13</v>
      </c>
      <c r="W5" s="72" t="s">
        <v>71</v>
      </c>
      <c r="X5" s="71">
        <v>7</v>
      </c>
      <c r="Y5" s="71">
        <v>4</v>
      </c>
      <c r="Z5" s="71">
        <v>2</v>
      </c>
      <c r="AA5" s="71">
        <v>0</v>
      </c>
      <c r="AB5" s="71">
        <v>1</v>
      </c>
      <c r="AC5" s="71">
        <v>16</v>
      </c>
      <c r="AD5" s="71">
        <v>51</v>
      </c>
      <c r="AE5" s="71">
        <v>24</v>
      </c>
      <c r="AF5" s="71">
        <v>27</v>
      </c>
      <c r="AG5" s="71">
        <v>6</v>
      </c>
      <c r="AH5" s="71">
        <v>2</v>
      </c>
      <c r="AI5" s="71">
        <v>1</v>
      </c>
      <c r="AJ5" s="70">
        <v>33.33</v>
      </c>
      <c r="AK5" s="71">
        <v>12</v>
      </c>
      <c r="AL5" s="71">
        <v>2</v>
      </c>
      <c r="AM5" s="71">
        <v>0</v>
      </c>
      <c r="AN5" s="70">
        <v>83.33</v>
      </c>
      <c r="AO5" s="71">
        <v>13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26</v>
      </c>
      <c r="AV5" s="71">
        <v>188</v>
      </c>
      <c r="AW5" s="70">
        <v>27.13</v>
      </c>
      <c r="AX5" s="71">
        <v>815</v>
      </c>
      <c r="AY5" s="71">
        <v>546</v>
      </c>
      <c r="AZ5" s="71">
        <v>194</v>
      </c>
      <c r="BA5" s="3" t="s">
        <v>76</v>
      </c>
      <c r="BB5" s="62" t="s">
        <v>24</v>
      </c>
      <c r="BC5" s="62">
        <f t="shared" si="23"/>
        <v>5</v>
      </c>
      <c r="BD5" s="62">
        <f t="shared" si="24"/>
        <v>7</v>
      </c>
      <c r="BE5" s="62">
        <f t="shared" si="25"/>
        <v>9</v>
      </c>
      <c r="BF5" s="62">
        <f t="shared" si="26"/>
        <v>10</v>
      </c>
    </row>
    <row r="6" spans="1:58" ht="24" customHeight="1" x14ac:dyDescent="0.25">
      <c r="A6" s="138">
        <v>5</v>
      </c>
      <c r="B6" s="25" t="str">
        <f t="shared" si="2"/>
        <v>FAT PIPE FLORBAL CHODOV</v>
      </c>
      <c r="C6" s="76">
        <f t="shared" si="3"/>
        <v>8</v>
      </c>
      <c r="D6" s="76">
        <f t="shared" si="4"/>
        <v>5</v>
      </c>
      <c r="E6" s="76">
        <f t="shared" si="5"/>
        <v>0</v>
      </c>
      <c r="F6" s="76">
        <f t="shared" si="6"/>
        <v>1</v>
      </c>
      <c r="G6" s="76">
        <f t="shared" si="7"/>
        <v>2</v>
      </c>
      <c r="H6" s="78">
        <f t="shared" si="8"/>
        <v>16</v>
      </c>
      <c r="I6" s="76">
        <f t="shared" si="9"/>
        <v>52</v>
      </c>
      <c r="J6" s="76">
        <f t="shared" si="10"/>
        <v>44</v>
      </c>
      <c r="K6" s="76">
        <f t="shared" si="11"/>
        <v>8</v>
      </c>
      <c r="L6" s="76">
        <f t="shared" si="12"/>
        <v>12</v>
      </c>
      <c r="M6" s="76">
        <f t="shared" si="13"/>
        <v>5</v>
      </c>
      <c r="N6" s="76">
        <f t="shared" si="14"/>
        <v>0</v>
      </c>
      <c r="O6" s="67">
        <f t="shared" si="15"/>
        <v>41.67</v>
      </c>
      <c r="P6" s="76">
        <f t="shared" si="16"/>
        <v>15</v>
      </c>
      <c r="Q6" s="76">
        <f t="shared" si="17"/>
        <v>7</v>
      </c>
      <c r="R6" s="76">
        <f t="shared" si="18"/>
        <v>3</v>
      </c>
      <c r="S6" s="67">
        <f t="shared" si="19"/>
        <v>53.33</v>
      </c>
      <c r="T6" s="76">
        <f t="shared" si="20"/>
        <v>30</v>
      </c>
      <c r="U6" s="76">
        <f t="shared" si="21"/>
        <v>213</v>
      </c>
      <c r="V6" s="68">
        <f t="shared" si="22"/>
        <v>24.41</v>
      </c>
      <c r="W6" s="72" t="s">
        <v>76</v>
      </c>
      <c r="X6" s="71">
        <v>8</v>
      </c>
      <c r="Y6" s="71">
        <v>5</v>
      </c>
      <c r="Z6" s="71">
        <v>0</v>
      </c>
      <c r="AA6" s="71">
        <v>1</v>
      </c>
      <c r="AB6" s="71">
        <v>2</v>
      </c>
      <c r="AC6" s="71">
        <v>16</v>
      </c>
      <c r="AD6" s="71">
        <v>52</v>
      </c>
      <c r="AE6" s="71">
        <v>44</v>
      </c>
      <c r="AF6" s="71">
        <v>8</v>
      </c>
      <c r="AG6" s="71">
        <v>12</v>
      </c>
      <c r="AH6" s="71">
        <v>5</v>
      </c>
      <c r="AI6" s="71">
        <v>0</v>
      </c>
      <c r="AJ6" s="70">
        <v>41.67</v>
      </c>
      <c r="AK6" s="71">
        <v>15</v>
      </c>
      <c r="AL6" s="71">
        <v>7</v>
      </c>
      <c r="AM6" s="71">
        <v>3</v>
      </c>
      <c r="AN6" s="70">
        <v>53.33</v>
      </c>
      <c r="AO6" s="71">
        <v>15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30</v>
      </c>
      <c r="AV6" s="71">
        <v>213</v>
      </c>
      <c r="AW6" s="70">
        <v>24.41</v>
      </c>
      <c r="AX6" s="71">
        <v>431</v>
      </c>
      <c r="AY6" s="71">
        <v>577</v>
      </c>
      <c r="AZ6" s="71">
        <v>126</v>
      </c>
      <c r="BA6" s="3" t="s">
        <v>79</v>
      </c>
      <c r="BB6" s="62" t="s">
        <v>102</v>
      </c>
      <c r="BC6" s="62">
        <f t="shared" si="23"/>
        <v>13</v>
      </c>
      <c r="BD6" s="62">
        <f t="shared" si="24"/>
        <v>5</v>
      </c>
      <c r="BE6" s="62">
        <f t="shared" si="25"/>
        <v>13</v>
      </c>
      <c r="BF6" s="62">
        <f t="shared" si="26"/>
        <v>14</v>
      </c>
    </row>
    <row r="7" spans="1:58" ht="24" customHeight="1" x14ac:dyDescent="0.25">
      <c r="A7" s="138">
        <v>6</v>
      </c>
      <c r="B7" s="25" t="str">
        <f t="shared" si="2"/>
        <v>ACEMA Sparta Praha</v>
      </c>
      <c r="C7" s="76">
        <f t="shared" si="3"/>
        <v>7</v>
      </c>
      <c r="D7" s="76">
        <f t="shared" si="4"/>
        <v>4</v>
      </c>
      <c r="E7" s="76">
        <f t="shared" si="5"/>
        <v>0</v>
      </c>
      <c r="F7" s="76">
        <f t="shared" si="6"/>
        <v>0</v>
      </c>
      <c r="G7" s="76">
        <f t="shared" si="7"/>
        <v>3</v>
      </c>
      <c r="H7" s="78">
        <f t="shared" si="8"/>
        <v>12</v>
      </c>
      <c r="I7" s="76">
        <f t="shared" si="9"/>
        <v>43</v>
      </c>
      <c r="J7" s="76">
        <f t="shared" si="10"/>
        <v>40</v>
      </c>
      <c r="K7" s="76">
        <f t="shared" si="11"/>
        <v>3</v>
      </c>
      <c r="L7" s="76">
        <f t="shared" si="12"/>
        <v>9</v>
      </c>
      <c r="M7" s="76">
        <f t="shared" si="13"/>
        <v>5</v>
      </c>
      <c r="N7" s="76">
        <f t="shared" si="14"/>
        <v>0</v>
      </c>
      <c r="O7" s="67">
        <f t="shared" si="15"/>
        <v>55.56</v>
      </c>
      <c r="P7" s="76">
        <f t="shared" si="16"/>
        <v>14</v>
      </c>
      <c r="Q7" s="76">
        <f t="shared" si="17"/>
        <v>9</v>
      </c>
      <c r="R7" s="76">
        <f t="shared" si="18"/>
        <v>0</v>
      </c>
      <c r="S7" s="67">
        <f t="shared" si="19"/>
        <v>35.71</v>
      </c>
      <c r="T7" s="76">
        <f t="shared" si="20"/>
        <v>32</v>
      </c>
      <c r="U7" s="76">
        <f t="shared" si="21"/>
        <v>190</v>
      </c>
      <c r="V7" s="68">
        <f t="shared" si="22"/>
        <v>22.63</v>
      </c>
      <c r="W7" s="72" t="s">
        <v>78</v>
      </c>
      <c r="X7" s="71">
        <v>7</v>
      </c>
      <c r="Y7" s="71">
        <v>4</v>
      </c>
      <c r="Z7" s="71">
        <v>0</v>
      </c>
      <c r="AA7" s="71">
        <v>0</v>
      </c>
      <c r="AB7" s="71">
        <v>3</v>
      </c>
      <c r="AC7" s="71">
        <v>12</v>
      </c>
      <c r="AD7" s="71">
        <v>43</v>
      </c>
      <c r="AE7" s="71">
        <v>40</v>
      </c>
      <c r="AF7" s="71">
        <v>3</v>
      </c>
      <c r="AG7" s="71">
        <v>9</v>
      </c>
      <c r="AH7" s="71">
        <v>5</v>
      </c>
      <c r="AI7" s="71">
        <v>0</v>
      </c>
      <c r="AJ7" s="70">
        <v>55.56</v>
      </c>
      <c r="AK7" s="71">
        <v>14</v>
      </c>
      <c r="AL7" s="71">
        <v>9</v>
      </c>
      <c r="AM7" s="71">
        <v>0</v>
      </c>
      <c r="AN7" s="70">
        <v>35.71</v>
      </c>
      <c r="AO7" s="71">
        <v>16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32</v>
      </c>
      <c r="AV7" s="71">
        <v>190</v>
      </c>
      <c r="AW7" s="70">
        <v>22.63</v>
      </c>
      <c r="AX7" s="71">
        <v>987</v>
      </c>
      <c r="AY7" s="71">
        <v>738</v>
      </c>
      <c r="AZ7" s="71">
        <v>246</v>
      </c>
      <c r="BA7" s="3" t="s">
        <v>75</v>
      </c>
      <c r="BB7" s="62" t="s">
        <v>99</v>
      </c>
      <c r="BC7" s="62">
        <f t="shared" si="23"/>
        <v>8</v>
      </c>
      <c r="BD7" s="62">
        <f t="shared" si="24"/>
        <v>1</v>
      </c>
      <c r="BE7" s="62">
        <f t="shared" si="25"/>
        <v>2</v>
      </c>
      <c r="BF7" s="62">
        <f t="shared" si="26"/>
        <v>3</v>
      </c>
    </row>
    <row r="8" spans="1:58" ht="24" customHeight="1" x14ac:dyDescent="0.25">
      <c r="A8" s="138">
        <v>7</v>
      </c>
      <c r="B8" s="25" t="str">
        <f t="shared" si="2"/>
        <v>FBC Liberec</v>
      </c>
      <c r="C8" s="76">
        <f t="shared" si="3"/>
        <v>8</v>
      </c>
      <c r="D8" s="76">
        <f t="shared" si="4"/>
        <v>3</v>
      </c>
      <c r="E8" s="76">
        <f t="shared" si="5"/>
        <v>1</v>
      </c>
      <c r="F8" s="76">
        <f t="shared" si="6"/>
        <v>0</v>
      </c>
      <c r="G8" s="76">
        <f t="shared" si="7"/>
        <v>4</v>
      </c>
      <c r="H8" s="78">
        <f t="shared" si="8"/>
        <v>11</v>
      </c>
      <c r="I8" s="76">
        <f t="shared" si="9"/>
        <v>40</v>
      </c>
      <c r="J8" s="76">
        <f t="shared" si="10"/>
        <v>48</v>
      </c>
      <c r="K8" s="76">
        <f t="shared" si="11"/>
        <v>-8</v>
      </c>
      <c r="L8" s="76">
        <f t="shared" si="12"/>
        <v>12</v>
      </c>
      <c r="M8" s="76">
        <f t="shared" si="13"/>
        <v>4</v>
      </c>
      <c r="N8" s="76">
        <f t="shared" si="14"/>
        <v>0</v>
      </c>
      <c r="O8" s="67">
        <f t="shared" si="15"/>
        <v>33.33</v>
      </c>
      <c r="P8" s="76">
        <f t="shared" si="16"/>
        <v>13</v>
      </c>
      <c r="Q8" s="76">
        <f t="shared" si="17"/>
        <v>7</v>
      </c>
      <c r="R8" s="76">
        <f t="shared" si="18"/>
        <v>0</v>
      </c>
      <c r="S8" s="67">
        <f t="shared" si="19"/>
        <v>46.15</v>
      </c>
      <c r="T8" s="76">
        <f t="shared" si="20"/>
        <v>26</v>
      </c>
      <c r="U8" s="76">
        <f t="shared" si="21"/>
        <v>137</v>
      </c>
      <c r="V8" s="68">
        <f t="shared" si="22"/>
        <v>29.2</v>
      </c>
      <c r="W8" s="72" t="s">
        <v>82</v>
      </c>
      <c r="X8" s="71">
        <v>8</v>
      </c>
      <c r="Y8" s="71">
        <v>3</v>
      </c>
      <c r="Z8" s="71">
        <v>1</v>
      </c>
      <c r="AA8" s="71">
        <v>0</v>
      </c>
      <c r="AB8" s="71">
        <v>4</v>
      </c>
      <c r="AC8" s="71">
        <v>11</v>
      </c>
      <c r="AD8" s="71">
        <v>40</v>
      </c>
      <c r="AE8" s="71">
        <v>48</v>
      </c>
      <c r="AF8" s="71">
        <v>-8</v>
      </c>
      <c r="AG8" s="71">
        <v>12</v>
      </c>
      <c r="AH8" s="71">
        <v>4</v>
      </c>
      <c r="AI8" s="71">
        <v>0</v>
      </c>
      <c r="AJ8" s="70">
        <v>33.33</v>
      </c>
      <c r="AK8" s="71">
        <v>13</v>
      </c>
      <c r="AL8" s="71">
        <v>7</v>
      </c>
      <c r="AM8" s="71">
        <v>0</v>
      </c>
      <c r="AN8" s="70">
        <v>46.15</v>
      </c>
      <c r="AO8" s="71">
        <v>13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26</v>
      </c>
      <c r="AV8" s="71">
        <v>137</v>
      </c>
      <c r="AW8" s="70">
        <v>29.2</v>
      </c>
      <c r="AX8" s="71">
        <v>372</v>
      </c>
      <c r="AY8" s="71">
        <v>938</v>
      </c>
      <c r="AZ8" s="71">
        <v>164</v>
      </c>
      <c r="BA8" s="3" t="s">
        <v>82</v>
      </c>
      <c r="BB8" s="62" t="s">
        <v>105</v>
      </c>
      <c r="BC8" s="62">
        <f t="shared" si="23"/>
        <v>7</v>
      </c>
      <c r="BD8" s="62">
        <f t="shared" si="24"/>
        <v>10</v>
      </c>
      <c r="BE8" s="62">
        <f t="shared" si="25"/>
        <v>10</v>
      </c>
      <c r="BF8" s="62">
        <f t="shared" si="26"/>
        <v>8</v>
      </c>
    </row>
    <row r="9" spans="1:58" ht="24" customHeight="1" x14ac:dyDescent="0.25">
      <c r="A9" s="138">
        <v>8</v>
      </c>
      <c r="B9" s="25" t="str">
        <f t="shared" si="2"/>
        <v>FBC ČPP OSTRAVA</v>
      </c>
      <c r="C9" s="76">
        <f t="shared" si="3"/>
        <v>7</v>
      </c>
      <c r="D9" s="76">
        <f t="shared" si="4"/>
        <v>3</v>
      </c>
      <c r="E9" s="76">
        <f t="shared" si="5"/>
        <v>0</v>
      </c>
      <c r="F9" s="76">
        <f t="shared" si="6"/>
        <v>1</v>
      </c>
      <c r="G9" s="76">
        <f t="shared" si="7"/>
        <v>3</v>
      </c>
      <c r="H9" s="78">
        <f t="shared" si="8"/>
        <v>10</v>
      </c>
      <c r="I9" s="76">
        <f t="shared" si="9"/>
        <v>42</v>
      </c>
      <c r="J9" s="76">
        <f t="shared" si="10"/>
        <v>34</v>
      </c>
      <c r="K9" s="76">
        <f t="shared" si="11"/>
        <v>8</v>
      </c>
      <c r="L9" s="76">
        <f t="shared" si="12"/>
        <v>11</v>
      </c>
      <c r="M9" s="76">
        <f t="shared" si="13"/>
        <v>11</v>
      </c>
      <c r="N9" s="76">
        <f t="shared" si="14"/>
        <v>0</v>
      </c>
      <c r="O9" s="67">
        <f t="shared" si="15"/>
        <v>100</v>
      </c>
      <c r="P9" s="76">
        <f t="shared" si="16"/>
        <v>9</v>
      </c>
      <c r="Q9" s="76">
        <f t="shared" si="17"/>
        <v>2</v>
      </c>
      <c r="R9" s="76">
        <f t="shared" si="18"/>
        <v>0</v>
      </c>
      <c r="S9" s="67">
        <f t="shared" si="19"/>
        <v>77.78</v>
      </c>
      <c r="T9" s="76">
        <f t="shared" si="20"/>
        <v>18</v>
      </c>
      <c r="U9" s="76">
        <f t="shared" si="21"/>
        <v>142</v>
      </c>
      <c r="V9" s="68">
        <f t="shared" si="22"/>
        <v>29.58</v>
      </c>
      <c r="W9" s="72" t="s">
        <v>75</v>
      </c>
      <c r="X9" s="71">
        <v>7</v>
      </c>
      <c r="Y9" s="71">
        <v>3</v>
      </c>
      <c r="Z9" s="71">
        <v>0</v>
      </c>
      <c r="AA9" s="71">
        <v>1</v>
      </c>
      <c r="AB9" s="71">
        <v>3</v>
      </c>
      <c r="AC9" s="71">
        <v>10</v>
      </c>
      <c r="AD9" s="71">
        <v>42</v>
      </c>
      <c r="AE9" s="71">
        <v>34</v>
      </c>
      <c r="AF9" s="71">
        <v>8</v>
      </c>
      <c r="AG9" s="71">
        <v>11</v>
      </c>
      <c r="AH9" s="71">
        <v>11</v>
      </c>
      <c r="AI9" s="71">
        <v>0</v>
      </c>
      <c r="AJ9" s="70">
        <v>100</v>
      </c>
      <c r="AK9" s="71">
        <v>9</v>
      </c>
      <c r="AL9" s="71">
        <v>2</v>
      </c>
      <c r="AM9" s="71">
        <v>0</v>
      </c>
      <c r="AN9" s="70">
        <v>77.78</v>
      </c>
      <c r="AO9" s="71">
        <v>9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18</v>
      </c>
      <c r="AV9" s="71">
        <v>142</v>
      </c>
      <c r="AW9" s="70">
        <v>29.58</v>
      </c>
      <c r="AX9" s="71">
        <v>381</v>
      </c>
      <c r="AY9" s="71">
        <v>686</v>
      </c>
      <c r="AZ9" s="71">
        <v>152</v>
      </c>
      <c r="BA9" s="3" t="s">
        <v>74</v>
      </c>
      <c r="BB9" s="62" t="s">
        <v>98</v>
      </c>
      <c r="BC9" s="62">
        <f t="shared" si="23"/>
        <v>3</v>
      </c>
      <c r="BD9" s="62">
        <f t="shared" si="24"/>
        <v>13</v>
      </c>
      <c r="BE9" s="62">
        <f t="shared" si="25"/>
        <v>2</v>
      </c>
      <c r="BF9" s="62">
        <f t="shared" si="26"/>
        <v>4</v>
      </c>
    </row>
    <row r="10" spans="1:58" ht="24" customHeight="1" x14ac:dyDescent="0.25">
      <c r="A10" s="138">
        <v>9</v>
      </c>
      <c r="B10" s="25" t="str">
        <f t="shared" si="2"/>
        <v>BLACK ANGELS</v>
      </c>
      <c r="C10" s="76">
        <f t="shared" si="3"/>
        <v>6</v>
      </c>
      <c r="D10" s="76">
        <f t="shared" si="4"/>
        <v>3</v>
      </c>
      <c r="E10" s="76">
        <f t="shared" si="5"/>
        <v>0</v>
      </c>
      <c r="F10" s="76">
        <f t="shared" si="6"/>
        <v>1</v>
      </c>
      <c r="G10" s="76">
        <f t="shared" si="7"/>
        <v>2</v>
      </c>
      <c r="H10" s="78">
        <f t="shared" si="8"/>
        <v>10</v>
      </c>
      <c r="I10" s="76">
        <f t="shared" si="9"/>
        <v>32</v>
      </c>
      <c r="J10" s="76">
        <f t="shared" si="10"/>
        <v>29</v>
      </c>
      <c r="K10" s="76">
        <f t="shared" si="11"/>
        <v>3</v>
      </c>
      <c r="L10" s="76">
        <f t="shared" si="12"/>
        <v>13</v>
      </c>
      <c r="M10" s="76">
        <f t="shared" si="13"/>
        <v>7</v>
      </c>
      <c r="N10" s="76">
        <f t="shared" si="14"/>
        <v>0</v>
      </c>
      <c r="O10" s="67">
        <f t="shared" si="15"/>
        <v>53.85</v>
      </c>
      <c r="P10" s="76">
        <f t="shared" si="16"/>
        <v>14</v>
      </c>
      <c r="Q10" s="76">
        <f t="shared" si="17"/>
        <v>5</v>
      </c>
      <c r="R10" s="76">
        <f t="shared" si="18"/>
        <v>0</v>
      </c>
      <c r="S10" s="67">
        <f t="shared" si="19"/>
        <v>64.290000000000006</v>
      </c>
      <c r="T10" s="76">
        <f t="shared" si="20"/>
        <v>30</v>
      </c>
      <c r="U10" s="76">
        <f t="shared" si="21"/>
        <v>127</v>
      </c>
      <c r="V10" s="68">
        <f t="shared" si="22"/>
        <v>25.2</v>
      </c>
      <c r="W10" s="72" t="s">
        <v>73</v>
      </c>
      <c r="X10" s="71">
        <v>6</v>
      </c>
      <c r="Y10" s="71">
        <v>3</v>
      </c>
      <c r="Z10" s="71">
        <v>0</v>
      </c>
      <c r="AA10" s="71">
        <v>1</v>
      </c>
      <c r="AB10" s="71">
        <v>2</v>
      </c>
      <c r="AC10" s="71">
        <v>10</v>
      </c>
      <c r="AD10" s="71">
        <v>32</v>
      </c>
      <c r="AE10" s="71">
        <v>29</v>
      </c>
      <c r="AF10" s="71">
        <v>3</v>
      </c>
      <c r="AG10" s="71">
        <v>13</v>
      </c>
      <c r="AH10" s="71">
        <v>7</v>
      </c>
      <c r="AI10" s="71">
        <v>0</v>
      </c>
      <c r="AJ10" s="70">
        <v>53.85</v>
      </c>
      <c r="AK10" s="71">
        <v>14</v>
      </c>
      <c r="AL10" s="71">
        <v>5</v>
      </c>
      <c r="AM10" s="71">
        <v>0</v>
      </c>
      <c r="AN10" s="70">
        <v>64.290000000000006</v>
      </c>
      <c r="AO10" s="71">
        <v>15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30</v>
      </c>
      <c r="AV10" s="71">
        <v>127</v>
      </c>
      <c r="AW10" s="70">
        <v>25.2</v>
      </c>
      <c r="AX10" s="71">
        <v>386</v>
      </c>
      <c r="AY10" s="71">
        <v>462</v>
      </c>
      <c r="AZ10" s="71">
        <v>141</v>
      </c>
      <c r="BA10" s="3" t="s">
        <v>80</v>
      </c>
      <c r="BB10" s="62" t="s">
        <v>103</v>
      </c>
      <c r="BC10" s="62">
        <f t="shared" si="23"/>
        <v>14</v>
      </c>
      <c r="BD10" s="62">
        <f t="shared" si="24"/>
        <v>12</v>
      </c>
      <c r="BE10" s="62">
        <f t="shared" si="25"/>
        <v>11</v>
      </c>
      <c r="BF10" s="62">
        <f t="shared" si="26"/>
        <v>13</v>
      </c>
    </row>
    <row r="11" spans="1:58" ht="24" customHeight="1" x14ac:dyDescent="0.25">
      <c r="A11" s="138">
        <v>10</v>
      </c>
      <c r="B11" s="25" t="str">
        <f t="shared" si="2"/>
        <v>TJ Sokol Královské Vinohrady</v>
      </c>
      <c r="C11" s="76">
        <f t="shared" si="3"/>
        <v>7</v>
      </c>
      <c r="D11" s="76">
        <f t="shared" si="4"/>
        <v>2</v>
      </c>
      <c r="E11" s="76">
        <f t="shared" si="5"/>
        <v>0</v>
      </c>
      <c r="F11" s="76">
        <f t="shared" si="6"/>
        <v>0</v>
      </c>
      <c r="G11" s="76">
        <f t="shared" si="7"/>
        <v>5</v>
      </c>
      <c r="H11" s="78">
        <f t="shared" si="8"/>
        <v>6</v>
      </c>
      <c r="I11" s="76">
        <f t="shared" si="9"/>
        <v>28</v>
      </c>
      <c r="J11" s="76">
        <f t="shared" si="10"/>
        <v>52</v>
      </c>
      <c r="K11" s="76">
        <f t="shared" si="11"/>
        <v>-24</v>
      </c>
      <c r="L11" s="76">
        <f t="shared" si="12"/>
        <v>19</v>
      </c>
      <c r="M11" s="76">
        <f t="shared" si="13"/>
        <v>7</v>
      </c>
      <c r="N11" s="76">
        <f t="shared" si="14"/>
        <v>2</v>
      </c>
      <c r="O11" s="67">
        <f t="shared" si="15"/>
        <v>36.840000000000003</v>
      </c>
      <c r="P11" s="76">
        <f t="shared" si="16"/>
        <v>10</v>
      </c>
      <c r="Q11" s="76">
        <f t="shared" si="17"/>
        <v>7</v>
      </c>
      <c r="R11" s="76">
        <f t="shared" si="18"/>
        <v>0</v>
      </c>
      <c r="S11" s="67">
        <f t="shared" si="19"/>
        <v>30</v>
      </c>
      <c r="T11" s="76">
        <f t="shared" si="20"/>
        <v>20</v>
      </c>
      <c r="U11" s="76">
        <f t="shared" si="21"/>
        <v>142</v>
      </c>
      <c r="V11" s="68">
        <f t="shared" si="22"/>
        <v>19.72</v>
      </c>
      <c r="W11" s="72" t="s">
        <v>83</v>
      </c>
      <c r="X11" s="71">
        <v>7</v>
      </c>
      <c r="Y11" s="71">
        <v>2</v>
      </c>
      <c r="Z11" s="71">
        <v>0</v>
      </c>
      <c r="AA11" s="71">
        <v>0</v>
      </c>
      <c r="AB11" s="71">
        <v>5</v>
      </c>
      <c r="AC11" s="71">
        <v>6</v>
      </c>
      <c r="AD11" s="71">
        <v>28</v>
      </c>
      <c r="AE11" s="71">
        <v>52</v>
      </c>
      <c r="AF11" s="71">
        <v>-24</v>
      </c>
      <c r="AG11" s="71">
        <v>19</v>
      </c>
      <c r="AH11" s="71">
        <v>7</v>
      </c>
      <c r="AI11" s="71">
        <v>2</v>
      </c>
      <c r="AJ11" s="70">
        <v>36.840000000000003</v>
      </c>
      <c r="AK11" s="71">
        <v>10</v>
      </c>
      <c r="AL11" s="71">
        <v>7</v>
      </c>
      <c r="AM11" s="71">
        <v>0</v>
      </c>
      <c r="AN11" s="70">
        <v>30</v>
      </c>
      <c r="AO11" s="71">
        <v>10</v>
      </c>
      <c r="AP11" s="71">
        <v>0</v>
      </c>
      <c r="AQ11" s="71">
        <v>0</v>
      </c>
      <c r="AR11" s="71">
        <v>0</v>
      </c>
      <c r="AS11" s="71">
        <v>0</v>
      </c>
      <c r="AT11" s="71">
        <v>0</v>
      </c>
      <c r="AU11" s="71">
        <v>20</v>
      </c>
      <c r="AV11" s="71">
        <v>142</v>
      </c>
      <c r="AW11" s="70">
        <v>19.72</v>
      </c>
      <c r="AX11" s="71">
        <v>505</v>
      </c>
      <c r="AY11" s="71">
        <v>185</v>
      </c>
      <c r="AZ11" s="71">
        <v>99</v>
      </c>
      <c r="BA11" s="3" t="s">
        <v>77</v>
      </c>
      <c r="BB11" s="62" t="s">
        <v>100</v>
      </c>
      <c r="BC11" s="62">
        <f t="shared" si="23"/>
        <v>11</v>
      </c>
      <c r="BD11" s="62">
        <f t="shared" si="24"/>
        <v>8</v>
      </c>
      <c r="BE11" s="62">
        <f t="shared" si="25"/>
        <v>7</v>
      </c>
      <c r="BF11" s="62">
        <f t="shared" si="26"/>
        <v>2</v>
      </c>
    </row>
    <row r="12" spans="1:58" ht="24" customHeight="1" x14ac:dyDescent="0.25">
      <c r="A12" s="138">
        <v>11</v>
      </c>
      <c r="B12" s="25" t="str">
        <f t="shared" si="2"/>
        <v>Navláčil PANTHERS OTROKOVICE</v>
      </c>
      <c r="C12" s="76">
        <f t="shared" si="3"/>
        <v>6</v>
      </c>
      <c r="D12" s="76">
        <f t="shared" si="4"/>
        <v>1</v>
      </c>
      <c r="E12" s="76">
        <f t="shared" si="5"/>
        <v>0</v>
      </c>
      <c r="F12" s="76">
        <f t="shared" si="6"/>
        <v>0</v>
      </c>
      <c r="G12" s="76">
        <f t="shared" si="7"/>
        <v>5</v>
      </c>
      <c r="H12" s="78">
        <f t="shared" si="8"/>
        <v>3</v>
      </c>
      <c r="I12" s="76">
        <f t="shared" si="9"/>
        <v>29</v>
      </c>
      <c r="J12" s="76">
        <f t="shared" si="10"/>
        <v>45</v>
      </c>
      <c r="K12" s="76">
        <f t="shared" si="11"/>
        <v>-16</v>
      </c>
      <c r="L12" s="76">
        <f t="shared" si="12"/>
        <v>13</v>
      </c>
      <c r="M12" s="76">
        <f t="shared" si="13"/>
        <v>5</v>
      </c>
      <c r="N12" s="76">
        <f t="shared" si="14"/>
        <v>0</v>
      </c>
      <c r="O12" s="67">
        <f t="shared" si="15"/>
        <v>38.46</v>
      </c>
      <c r="P12" s="76">
        <f t="shared" si="16"/>
        <v>8</v>
      </c>
      <c r="Q12" s="76">
        <f t="shared" si="17"/>
        <v>3</v>
      </c>
      <c r="R12" s="76">
        <f t="shared" si="18"/>
        <v>0</v>
      </c>
      <c r="S12" s="67">
        <f t="shared" si="19"/>
        <v>62.5</v>
      </c>
      <c r="T12" s="76">
        <f t="shared" si="20"/>
        <v>16</v>
      </c>
      <c r="U12" s="76">
        <f t="shared" si="21"/>
        <v>117</v>
      </c>
      <c r="V12" s="68">
        <f t="shared" si="22"/>
        <v>24.79</v>
      </c>
      <c r="W12" s="72" t="s">
        <v>77</v>
      </c>
      <c r="X12" s="71">
        <v>6</v>
      </c>
      <c r="Y12" s="71">
        <v>1</v>
      </c>
      <c r="Z12" s="71">
        <v>0</v>
      </c>
      <c r="AA12" s="71">
        <v>0</v>
      </c>
      <c r="AB12" s="71">
        <v>5</v>
      </c>
      <c r="AC12" s="71">
        <v>3</v>
      </c>
      <c r="AD12" s="71">
        <v>29</v>
      </c>
      <c r="AE12" s="71">
        <v>45</v>
      </c>
      <c r="AF12" s="71">
        <v>-16</v>
      </c>
      <c r="AG12" s="71">
        <v>13</v>
      </c>
      <c r="AH12" s="71">
        <v>5</v>
      </c>
      <c r="AI12" s="71">
        <v>0</v>
      </c>
      <c r="AJ12" s="70">
        <v>38.46</v>
      </c>
      <c r="AK12" s="71">
        <v>8</v>
      </c>
      <c r="AL12" s="71">
        <v>3</v>
      </c>
      <c r="AM12" s="71">
        <v>0</v>
      </c>
      <c r="AN12" s="70">
        <v>62.5</v>
      </c>
      <c r="AO12" s="71">
        <v>8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16</v>
      </c>
      <c r="AV12" s="71">
        <v>117</v>
      </c>
      <c r="AW12" s="70">
        <v>24.79</v>
      </c>
      <c r="AX12" s="71">
        <v>321</v>
      </c>
      <c r="AY12" s="71">
        <v>529</v>
      </c>
      <c r="AZ12" s="71">
        <v>142</v>
      </c>
      <c r="BA12" s="3" t="s">
        <v>71</v>
      </c>
      <c r="BB12" s="62" t="s">
        <v>23</v>
      </c>
      <c r="BC12" s="62">
        <f t="shared" si="23"/>
        <v>4</v>
      </c>
      <c r="BD12" s="62">
        <f t="shared" si="24"/>
        <v>10</v>
      </c>
      <c r="BE12" s="62">
        <f t="shared" si="25"/>
        <v>1</v>
      </c>
      <c r="BF12" s="62">
        <f t="shared" si="26"/>
        <v>8</v>
      </c>
    </row>
    <row r="13" spans="1:58" ht="24" customHeight="1" x14ac:dyDescent="0.25">
      <c r="A13" s="138">
        <v>12</v>
      </c>
      <c r="B13" s="25" t="str">
        <f t="shared" si="2"/>
        <v>SOKOLI Pardubice</v>
      </c>
      <c r="C13" s="76">
        <f t="shared" si="3"/>
        <v>7</v>
      </c>
      <c r="D13" s="76">
        <f t="shared" si="4"/>
        <v>1</v>
      </c>
      <c r="E13" s="76">
        <f t="shared" si="5"/>
        <v>0</v>
      </c>
      <c r="F13" s="76">
        <f t="shared" si="6"/>
        <v>0</v>
      </c>
      <c r="G13" s="76">
        <f t="shared" si="7"/>
        <v>6</v>
      </c>
      <c r="H13" s="78">
        <f t="shared" si="8"/>
        <v>3</v>
      </c>
      <c r="I13" s="76">
        <f t="shared" si="9"/>
        <v>28</v>
      </c>
      <c r="J13" s="76">
        <f t="shared" si="10"/>
        <v>53</v>
      </c>
      <c r="K13" s="76">
        <f t="shared" si="11"/>
        <v>-25</v>
      </c>
      <c r="L13" s="76">
        <f t="shared" si="12"/>
        <v>10</v>
      </c>
      <c r="M13" s="76">
        <f t="shared" si="13"/>
        <v>3</v>
      </c>
      <c r="N13" s="76">
        <f t="shared" si="14"/>
        <v>0</v>
      </c>
      <c r="O13" s="67">
        <f t="shared" si="15"/>
        <v>30</v>
      </c>
      <c r="P13" s="76">
        <f t="shared" si="16"/>
        <v>11</v>
      </c>
      <c r="Q13" s="76">
        <f t="shared" si="17"/>
        <v>3</v>
      </c>
      <c r="R13" s="76">
        <f t="shared" si="18"/>
        <v>0</v>
      </c>
      <c r="S13" s="67">
        <f t="shared" si="19"/>
        <v>72.73</v>
      </c>
      <c r="T13" s="76">
        <f t="shared" si="20"/>
        <v>22</v>
      </c>
      <c r="U13" s="76">
        <f t="shared" si="21"/>
        <v>127</v>
      </c>
      <c r="V13" s="68">
        <f t="shared" si="22"/>
        <v>22.05</v>
      </c>
      <c r="W13" s="72" t="s">
        <v>81</v>
      </c>
      <c r="X13" s="71">
        <v>7</v>
      </c>
      <c r="Y13" s="71">
        <v>1</v>
      </c>
      <c r="Z13" s="71">
        <v>0</v>
      </c>
      <c r="AA13" s="71">
        <v>0</v>
      </c>
      <c r="AB13" s="71">
        <v>6</v>
      </c>
      <c r="AC13" s="71">
        <v>3</v>
      </c>
      <c r="AD13" s="71">
        <v>28</v>
      </c>
      <c r="AE13" s="71">
        <v>53</v>
      </c>
      <c r="AF13" s="71">
        <v>-25</v>
      </c>
      <c r="AG13" s="71">
        <v>10</v>
      </c>
      <c r="AH13" s="71">
        <v>3</v>
      </c>
      <c r="AI13" s="71">
        <v>0</v>
      </c>
      <c r="AJ13" s="70">
        <v>30</v>
      </c>
      <c r="AK13" s="71">
        <v>11</v>
      </c>
      <c r="AL13" s="71">
        <v>3</v>
      </c>
      <c r="AM13" s="71">
        <v>0</v>
      </c>
      <c r="AN13" s="70">
        <v>72.73</v>
      </c>
      <c r="AO13" s="71">
        <v>11</v>
      </c>
      <c r="AP13" s="71">
        <v>0</v>
      </c>
      <c r="AQ13" s="71">
        <v>0</v>
      </c>
      <c r="AR13" s="71">
        <v>0</v>
      </c>
      <c r="AS13" s="71">
        <v>0</v>
      </c>
      <c r="AT13" s="71">
        <v>0</v>
      </c>
      <c r="AU13" s="71">
        <v>22</v>
      </c>
      <c r="AV13" s="71">
        <v>127</v>
      </c>
      <c r="AW13" s="70">
        <v>22.05</v>
      </c>
      <c r="AX13" s="71">
        <v>514</v>
      </c>
      <c r="AY13" s="71">
        <v>708</v>
      </c>
      <c r="AZ13" s="71">
        <v>175</v>
      </c>
      <c r="BA13" s="3" t="s">
        <v>81</v>
      </c>
      <c r="BB13" s="62" t="s">
        <v>104</v>
      </c>
      <c r="BC13" s="62">
        <f t="shared" si="23"/>
        <v>12</v>
      </c>
      <c r="BD13" s="62">
        <f t="shared" si="24"/>
        <v>13</v>
      </c>
      <c r="BE13" s="62">
        <f t="shared" si="25"/>
        <v>4</v>
      </c>
      <c r="BF13" s="62">
        <f t="shared" si="26"/>
        <v>6</v>
      </c>
    </row>
    <row r="14" spans="1:58" ht="24" customHeight="1" x14ac:dyDescent="0.25">
      <c r="A14" s="138">
        <v>13</v>
      </c>
      <c r="B14" s="25" t="str">
        <f t="shared" si="2"/>
        <v>FBC 4CLEAN Česká Lípa</v>
      </c>
      <c r="C14" s="76">
        <f t="shared" si="3"/>
        <v>7</v>
      </c>
      <c r="D14" s="76">
        <f t="shared" si="4"/>
        <v>0</v>
      </c>
      <c r="E14" s="76">
        <f t="shared" si="5"/>
        <v>1</v>
      </c>
      <c r="F14" s="76">
        <f t="shared" si="6"/>
        <v>0</v>
      </c>
      <c r="G14" s="76">
        <f t="shared" si="7"/>
        <v>6</v>
      </c>
      <c r="H14" s="78">
        <f t="shared" si="8"/>
        <v>2</v>
      </c>
      <c r="I14" s="76">
        <f t="shared" si="9"/>
        <v>30</v>
      </c>
      <c r="J14" s="76">
        <f t="shared" si="10"/>
        <v>59</v>
      </c>
      <c r="K14" s="76">
        <f t="shared" si="11"/>
        <v>-29</v>
      </c>
      <c r="L14" s="76">
        <f t="shared" si="12"/>
        <v>6</v>
      </c>
      <c r="M14" s="76">
        <f t="shared" si="13"/>
        <v>3</v>
      </c>
      <c r="N14" s="76">
        <f t="shared" si="14"/>
        <v>0</v>
      </c>
      <c r="O14" s="67">
        <f t="shared" si="15"/>
        <v>50</v>
      </c>
      <c r="P14" s="76">
        <f t="shared" si="16"/>
        <v>21</v>
      </c>
      <c r="Q14" s="76">
        <f t="shared" si="17"/>
        <v>14</v>
      </c>
      <c r="R14" s="76">
        <f t="shared" si="18"/>
        <v>1</v>
      </c>
      <c r="S14" s="67">
        <f t="shared" si="19"/>
        <v>33.33</v>
      </c>
      <c r="T14" s="76">
        <f t="shared" si="20"/>
        <v>65</v>
      </c>
      <c r="U14" s="76">
        <f t="shared" si="21"/>
        <v>163</v>
      </c>
      <c r="V14" s="68">
        <f t="shared" si="22"/>
        <v>18.399999999999999</v>
      </c>
      <c r="W14" s="72" t="s">
        <v>79</v>
      </c>
      <c r="X14" s="71">
        <v>7</v>
      </c>
      <c r="Y14" s="71">
        <v>0</v>
      </c>
      <c r="Z14" s="71">
        <v>1</v>
      </c>
      <c r="AA14" s="71">
        <v>0</v>
      </c>
      <c r="AB14" s="71">
        <v>6</v>
      </c>
      <c r="AC14" s="71">
        <v>2</v>
      </c>
      <c r="AD14" s="71">
        <v>30</v>
      </c>
      <c r="AE14" s="71">
        <v>59</v>
      </c>
      <c r="AF14" s="71">
        <v>-29</v>
      </c>
      <c r="AG14" s="71">
        <v>6</v>
      </c>
      <c r="AH14" s="71">
        <v>3</v>
      </c>
      <c r="AI14" s="71">
        <v>0</v>
      </c>
      <c r="AJ14" s="70">
        <v>50</v>
      </c>
      <c r="AK14" s="71">
        <v>21</v>
      </c>
      <c r="AL14" s="71">
        <v>14</v>
      </c>
      <c r="AM14" s="71">
        <v>1</v>
      </c>
      <c r="AN14" s="70">
        <v>33.33</v>
      </c>
      <c r="AO14" s="71">
        <v>20</v>
      </c>
      <c r="AP14" s="71">
        <v>1</v>
      </c>
      <c r="AQ14" s="71">
        <v>0</v>
      </c>
      <c r="AR14" s="71">
        <v>1</v>
      </c>
      <c r="AS14" s="71">
        <v>0</v>
      </c>
      <c r="AT14" s="71">
        <v>0</v>
      </c>
      <c r="AU14" s="71">
        <v>65</v>
      </c>
      <c r="AV14" s="71">
        <v>163</v>
      </c>
      <c r="AW14" s="70">
        <v>18.399999999999999</v>
      </c>
      <c r="AX14" s="71">
        <v>753</v>
      </c>
      <c r="AY14" s="71">
        <v>493</v>
      </c>
      <c r="AZ14" s="71">
        <v>178</v>
      </c>
      <c r="BA14" s="3" t="s">
        <v>70</v>
      </c>
      <c r="BB14" s="62" t="s">
        <v>94</v>
      </c>
      <c r="BC14" s="62">
        <f t="shared" si="23"/>
        <v>2</v>
      </c>
      <c r="BD14" s="62">
        <f t="shared" si="24"/>
        <v>2</v>
      </c>
      <c r="BE14" s="62">
        <f t="shared" si="25"/>
        <v>8</v>
      </c>
      <c r="BF14" s="62">
        <f t="shared" si="26"/>
        <v>6</v>
      </c>
    </row>
    <row r="15" spans="1:58" ht="24" customHeight="1" thickBot="1" x14ac:dyDescent="0.3">
      <c r="A15" s="139">
        <v>14</v>
      </c>
      <c r="B15" s="134" t="str">
        <f t="shared" si="2"/>
        <v>FBŠ Hummel Hattrick Brno</v>
      </c>
      <c r="C15" s="135">
        <f t="shared" si="3"/>
        <v>6</v>
      </c>
      <c r="D15" s="135">
        <f t="shared" si="4"/>
        <v>0</v>
      </c>
      <c r="E15" s="135">
        <f t="shared" si="5"/>
        <v>0</v>
      </c>
      <c r="F15" s="135">
        <f t="shared" si="6"/>
        <v>1</v>
      </c>
      <c r="G15" s="135">
        <f t="shared" si="7"/>
        <v>5</v>
      </c>
      <c r="H15" s="79">
        <f t="shared" si="8"/>
        <v>1</v>
      </c>
      <c r="I15" s="135">
        <f t="shared" si="9"/>
        <v>25</v>
      </c>
      <c r="J15" s="135">
        <f t="shared" si="10"/>
        <v>51</v>
      </c>
      <c r="K15" s="135">
        <f t="shared" si="11"/>
        <v>-26</v>
      </c>
      <c r="L15" s="135">
        <f t="shared" si="12"/>
        <v>13</v>
      </c>
      <c r="M15" s="135">
        <f t="shared" si="13"/>
        <v>4</v>
      </c>
      <c r="N15" s="135">
        <f t="shared" si="14"/>
        <v>1</v>
      </c>
      <c r="O15" s="136">
        <f t="shared" si="15"/>
        <v>30.77</v>
      </c>
      <c r="P15" s="135">
        <f t="shared" si="16"/>
        <v>15</v>
      </c>
      <c r="Q15" s="135">
        <f t="shared" si="17"/>
        <v>9</v>
      </c>
      <c r="R15" s="135">
        <f t="shared" si="18"/>
        <v>0</v>
      </c>
      <c r="S15" s="136">
        <f t="shared" si="19"/>
        <v>40</v>
      </c>
      <c r="T15" s="135">
        <f t="shared" si="20"/>
        <v>33</v>
      </c>
      <c r="U15" s="135">
        <f t="shared" si="21"/>
        <v>127</v>
      </c>
      <c r="V15" s="137">
        <f t="shared" si="22"/>
        <v>19.68</v>
      </c>
      <c r="W15" s="72" t="s">
        <v>80</v>
      </c>
      <c r="X15" s="71">
        <v>6</v>
      </c>
      <c r="Y15" s="71">
        <v>0</v>
      </c>
      <c r="Z15" s="71">
        <v>0</v>
      </c>
      <c r="AA15" s="71">
        <v>1</v>
      </c>
      <c r="AB15" s="71">
        <v>5</v>
      </c>
      <c r="AC15" s="71">
        <v>1</v>
      </c>
      <c r="AD15" s="71">
        <v>25</v>
      </c>
      <c r="AE15" s="71">
        <v>51</v>
      </c>
      <c r="AF15" s="71">
        <v>-26</v>
      </c>
      <c r="AG15" s="71">
        <v>13</v>
      </c>
      <c r="AH15" s="71">
        <v>4</v>
      </c>
      <c r="AI15" s="71">
        <v>1</v>
      </c>
      <c r="AJ15" s="70">
        <v>30.77</v>
      </c>
      <c r="AK15" s="71">
        <v>15</v>
      </c>
      <c r="AL15" s="71">
        <v>9</v>
      </c>
      <c r="AM15" s="71">
        <v>0</v>
      </c>
      <c r="AN15" s="70">
        <v>40</v>
      </c>
      <c r="AO15" s="71">
        <v>14</v>
      </c>
      <c r="AP15" s="71">
        <v>1</v>
      </c>
      <c r="AQ15" s="71">
        <v>0</v>
      </c>
      <c r="AR15" s="71">
        <v>0</v>
      </c>
      <c r="AS15" s="71">
        <v>0</v>
      </c>
      <c r="AT15" s="71">
        <v>0</v>
      </c>
      <c r="AU15" s="71">
        <v>33</v>
      </c>
      <c r="AV15" s="71">
        <v>127</v>
      </c>
      <c r="AW15" s="70">
        <v>19.68</v>
      </c>
      <c r="AX15" s="71">
        <v>435</v>
      </c>
      <c r="AY15" s="71">
        <v>368</v>
      </c>
      <c r="AZ15" s="71">
        <v>134</v>
      </c>
      <c r="BA15" s="3" t="s">
        <v>83</v>
      </c>
      <c r="BB15" s="62" t="s">
        <v>5</v>
      </c>
      <c r="BC15" s="62">
        <f t="shared" si="23"/>
        <v>10</v>
      </c>
      <c r="BD15" s="62">
        <f t="shared" si="24"/>
        <v>9</v>
      </c>
      <c r="BE15" s="62">
        <f t="shared" si="25"/>
        <v>14</v>
      </c>
      <c r="BF15" s="62">
        <f t="shared" si="26"/>
        <v>4</v>
      </c>
    </row>
    <row r="16" spans="1:58" ht="15" thickTop="1" x14ac:dyDescent="0.25"/>
  </sheetData>
  <sheetProtection sheet="1" objects="1" scenarios="1" selectLockedCells="1"/>
  <sortState ref="AG2:AW15">
    <sortCondition ref="AW2"/>
  </sortState>
  <conditionalFormatting sqref="A2:G15 I2:V15">
    <cfRule type="expression" dxfId="861" priority="20">
      <formula>MOD(ROW($A2),2)=1</formula>
    </cfRule>
  </conditionalFormatting>
  <conditionalFormatting sqref="A2:A15">
    <cfRule type="cellIs" dxfId="860" priority="1" operator="between">
      <formula>1</formula>
      <formula>6</formula>
    </cfRule>
    <cfRule type="cellIs" dxfId="859" priority="18" operator="between">
      <formula>7</formula>
      <formula>10</formula>
    </cfRule>
    <cfRule type="cellIs" dxfId="858" priority="19" operator="greaterThanOrEqual">
      <formula>11</formula>
    </cfRule>
  </conditionalFormatting>
  <conditionalFormatting sqref="I2:I15">
    <cfRule type="top10" dxfId="857" priority="16" bottom="1" rank="1"/>
    <cfRule type="top10" dxfId="856" priority="17" rank="1"/>
  </conditionalFormatting>
  <conditionalFormatting sqref="J2:J15">
    <cfRule type="top10" dxfId="855" priority="14" bottom="1" rank="1"/>
    <cfRule type="top10" dxfId="854" priority="15" rank="1"/>
  </conditionalFormatting>
  <conditionalFormatting sqref="K2:K15">
    <cfRule type="top10" dxfId="853" priority="12" bottom="1" rank="1"/>
    <cfRule type="top10" dxfId="852" priority="13" rank="1"/>
  </conditionalFormatting>
  <conditionalFormatting sqref="O2:O15">
    <cfRule type="top10" dxfId="851" priority="10" bottom="1" rank="1"/>
    <cfRule type="top10" dxfId="850" priority="11" rank="1"/>
  </conditionalFormatting>
  <conditionalFormatting sqref="S2:S15">
    <cfRule type="top10" dxfId="849" priority="8" bottom="1" rank="1"/>
    <cfRule type="top10" dxfId="848" priority="9" rank="1"/>
  </conditionalFormatting>
  <conditionalFormatting sqref="T2:T15">
    <cfRule type="top10" dxfId="847" priority="6" bottom="1" rank="1"/>
    <cfRule type="top10" dxfId="846" priority="7" rank="1"/>
  </conditionalFormatting>
  <conditionalFormatting sqref="U2:U15">
    <cfRule type="top10" dxfId="845" priority="4" bottom="1" rank="1"/>
    <cfRule type="top10" dxfId="844" priority="5" rank="1"/>
  </conditionalFormatting>
  <conditionalFormatting sqref="V2:V15">
    <cfRule type="top10" dxfId="843" priority="2" bottom="1" rank="1"/>
    <cfRule type="top10" dxfId="842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E50"/>
  <sheetViews>
    <sheetView view="pageLayout" zoomScaleNormal="100" zoomScaleSheetLayoutView="100" workbookViewId="0">
      <selection activeCell="J1" sqref="J1:R2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307" t="s">
        <v>5</v>
      </c>
      <c r="B1" s="307"/>
      <c r="C1" s="307"/>
      <c r="D1" s="307"/>
      <c r="E1" s="307"/>
      <c r="F1" s="307"/>
      <c r="G1" s="307"/>
      <c r="H1" s="307"/>
      <c r="I1" s="307"/>
      <c r="J1" s="307" t="s">
        <v>98</v>
      </c>
      <c r="K1" s="307"/>
      <c r="L1" s="307"/>
      <c r="M1" s="307"/>
      <c r="N1" s="307"/>
      <c r="O1" s="307"/>
      <c r="P1" s="307"/>
      <c r="Q1" s="307"/>
      <c r="R1" s="307"/>
      <c r="S1" s="251" t="s">
        <v>52</v>
      </c>
      <c r="T1" s="252"/>
      <c r="U1" s="252"/>
      <c r="V1" s="252"/>
      <c r="W1" s="252"/>
      <c r="X1" s="252"/>
      <c r="Y1" s="252"/>
      <c r="Z1" s="252"/>
      <c r="AA1" s="252"/>
      <c r="AB1" s="252"/>
      <c r="AC1" s="252"/>
      <c r="AD1" s="252"/>
      <c r="AE1" s="253"/>
    </row>
    <row r="2" spans="1:31" ht="15" customHeight="1" thickBot="1" x14ac:dyDescent="0.3">
      <c r="A2" s="308"/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155" t="s">
        <v>47</v>
      </c>
      <c r="T2" s="156" t="s">
        <v>48</v>
      </c>
      <c r="U2" s="156" t="s">
        <v>28</v>
      </c>
      <c r="V2" s="157" t="s">
        <v>49</v>
      </c>
      <c r="W2" s="158" t="s">
        <v>208</v>
      </c>
      <c r="X2" s="254" t="s">
        <v>50</v>
      </c>
      <c r="Y2" s="255"/>
      <c r="Z2" s="255"/>
      <c r="AA2" s="255"/>
      <c r="AB2" s="64" t="s">
        <v>28</v>
      </c>
      <c r="AC2" s="255" t="s">
        <v>49</v>
      </c>
      <c r="AD2" s="255"/>
      <c r="AE2" s="256"/>
    </row>
    <row r="3" spans="1:31" ht="15" customHeight="1" thickTop="1" thickBot="1" x14ac:dyDescent="0.3">
      <c r="A3" s="309" t="str">
        <f>INDEX(tabulka!$BA$2:$BA$15,MATCH($A$1,tabulka!$BB$2:$BB$15,0))</f>
        <v>TJ Sokol Královské Vinohrady</v>
      </c>
      <c r="B3" s="309"/>
      <c r="C3" s="309"/>
      <c r="D3" s="309"/>
      <c r="E3" s="309"/>
      <c r="F3" s="309"/>
      <c r="G3" s="309"/>
      <c r="H3" s="309"/>
      <c r="I3" s="309"/>
      <c r="J3" s="309" t="str">
        <f>INDEX(tabulka!$BA$2:$BA$15,MATCH($J$1,tabulka!$BB$2:$BB$15,0))</f>
        <v>FbŠ Bohemians</v>
      </c>
      <c r="K3" s="309"/>
      <c r="L3" s="309"/>
      <c r="M3" s="309"/>
      <c r="N3" s="309"/>
      <c r="O3" s="309"/>
      <c r="P3" s="309"/>
      <c r="Q3" s="309"/>
      <c r="R3" s="309"/>
      <c r="S3" s="159" t="s">
        <v>5</v>
      </c>
      <c r="T3" s="160" t="s">
        <v>102</v>
      </c>
      <c r="U3" s="160" t="s">
        <v>892</v>
      </c>
      <c r="V3" s="161" t="s">
        <v>111</v>
      </c>
      <c r="W3" s="162" t="s">
        <v>43</v>
      </c>
      <c r="X3" s="202" t="str">
        <f>IF(S3&lt;&gt;"",CONCATENATE(S3, " - ",T3),"")</f>
        <v>SKV - CLP</v>
      </c>
      <c r="Y3" s="202"/>
      <c r="Z3" s="202"/>
      <c r="AA3" s="257"/>
      <c r="AB3" s="171" t="str">
        <f>IF(U3&lt;&gt;"",U3,"")</f>
        <v>3:4p</v>
      </c>
      <c r="AC3" s="201" t="str">
        <f>IF(AND(V3&lt;&gt;"",W3&lt;&gt;""),CONCATENATE(V3," (",W3,")"),IF(V3&lt;&gt;"",V3,""))</f>
        <v>2020/2021 (ZČ)</v>
      </c>
      <c r="AD3" s="202"/>
      <c r="AE3" s="203"/>
    </row>
    <row r="4" spans="1:31" ht="15" customHeight="1" thickTop="1" thickBot="1" x14ac:dyDescent="0.3">
      <c r="A4" s="265" t="s">
        <v>25</v>
      </c>
      <c r="B4" s="266"/>
      <c r="C4" s="28" t="s">
        <v>26</v>
      </c>
      <c r="D4" s="28" t="s">
        <v>27</v>
      </c>
      <c r="E4" s="266" t="s">
        <v>28</v>
      </c>
      <c r="F4" s="266"/>
      <c r="G4" s="28" t="s">
        <v>29</v>
      </c>
      <c r="H4" s="28" t="s">
        <v>30</v>
      </c>
      <c r="I4" s="29" t="s">
        <v>31</v>
      </c>
      <c r="J4" s="272" t="s">
        <v>25</v>
      </c>
      <c r="K4" s="273"/>
      <c r="L4" s="30" t="s">
        <v>26</v>
      </c>
      <c r="M4" s="30" t="s">
        <v>27</v>
      </c>
      <c r="N4" s="273" t="s">
        <v>28</v>
      </c>
      <c r="O4" s="273"/>
      <c r="P4" s="30" t="s">
        <v>29</v>
      </c>
      <c r="Q4" s="30" t="s">
        <v>30</v>
      </c>
      <c r="R4" s="181" t="s">
        <v>31</v>
      </c>
      <c r="S4" s="163" t="s">
        <v>102</v>
      </c>
      <c r="T4" s="164" t="s">
        <v>5</v>
      </c>
      <c r="U4" s="164" t="s">
        <v>893</v>
      </c>
      <c r="V4" s="165" t="s">
        <v>111</v>
      </c>
      <c r="W4" s="166" t="s">
        <v>43</v>
      </c>
      <c r="X4" s="205" t="str">
        <f t="shared" ref="X4:X14" si="0">IF(S4&lt;&gt;"",CONCATENATE(S4, " - ",T4),"")</f>
        <v>CLP - SKV</v>
      </c>
      <c r="Y4" s="205"/>
      <c r="Z4" s="205"/>
      <c r="AA4" s="216"/>
      <c r="AB4" s="148" t="str">
        <f t="shared" ref="AB4:AB14" si="1">IF(U4&lt;&gt;"",U4,"")</f>
        <v>11:5</v>
      </c>
      <c r="AC4" s="204" t="str">
        <f t="shared" ref="AC4:AC14" si="2">IF(AND(V4&lt;&gt;"",W4&lt;&gt;""),CONCATENATE(V4," (",W4,")"),IF(V4&lt;&gt;"",V4,""))</f>
        <v>2020/2021 (ZČ)</v>
      </c>
      <c r="AD4" s="205"/>
      <c r="AE4" s="206"/>
    </row>
    <row r="5" spans="1:31" ht="15" customHeight="1" thickBot="1" x14ac:dyDescent="0.3">
      <c r="A5" s="314" t="str">
        <f>IFERROR(CONCATENATE(VLOOKUP($A$1,tabulka!$BB$2:$BF$15,2,FALSE),". místo"),"")</f>
        <v>10. místo</v>
      </c>
      <c r="B5" s="315"/>
      <c r="C5" s="31">
        <f>IFERROR(VLOOKUP($A$3,tabulka!$B$2:$V$15,3,FALSE)+VLOOKUP($A$3,tabulka!$B$2:$V$15,4,FALSE),"")</f>
        <v>2</v>
      </c>
      <c r="D5" s="32">
        <f>IFERROR(VLOOKUP($A$3,tabulka!$B$2:$V$15,5,FALSE)+VLOOKUP($A$3,tabulka!$B$2:$V$15,6,FALSE),"")</f>
        <v>5</v>
      </c>
      <c r="E5" s="315" t="str">
        <f>IFERROR(CONCATENATE(VLOOKUP($A$3,tabulka!$B$2:$V$15,8,FALSE),":",VLOOKUP($A$3,tabulka!$B$2:$V$15,9,FALSE)),"")</f>
        <v>28:52</v>
      </c>
      <c r="F5" s="315"/>
      <c r="G5" s="82">
        <f>IFERROR(VLOOKUP($A$3,tabulka!$B$2:$V$15,14,FALSE),"")</f>
        <v>36.840000000000003</v>
      </c>
      <c r="H5" s="82">
        <f>IFERROR(VLOOKUP($A$3,tabulka!$B$2:$V$15,18,FALSE),"")</f>
        <v>30</v>
      </c>
      <c r="I5" s="33">
        <f>IFERROR(VLOOKUP($A$3,tabulka!$B$2:$V$15,19,FALSE),"")</f>
        <v>20</v>
      </c>
      <c r="J5" s="316" t="str">
        <f>IFERROR(CONCATENATE(VLOOKUP($J$1,tabulka!$BB$2:$BF$15,2,FALSE),". místo"),"")</f>
        <v>3. místo</v>
      </c>
      <c r="K5" s="317"/>
      <c r="L5" s="34">
        <f>IFERROR(VLOOKUP($J$3,tabulka!$B$2:$V$15,3,FALSE)+VLOOKUP($J$3,tabulka!$B$2:$V$15,4,FALSE),"")</f>
        <v>6</v>
      </c>
      <c r="M5" s="35">
        <f>IFERROR(VLOOKUP($J$3,tabulka!$B$2:$V$15,5,FALSE)+VLOOKUP($J$3,tabulka!$B$2:$V$15,6,FALSE),"")</f>
        <v>1</v>
      </c>
      <c r="N5" s="317" t="str">
        <f>IFERROR(CONCATENATE(VLOOKUP($J$3,tabulka!$B$2:$V$15,8,FALSE),":",VLOOKUP($J$3,tabulka!$B$2:$V$15,9,FALSE)),"")</f>
        <v>50:34</v>
      </c>
      <c r="O5" s="317"/>
      <c r="P5" s="83">
        <f>IFERROR(VLOOKUP($J$3,tabulka!$B$2:$V$15,14,FALSE),"")</f>
        <v>30</v>
      </c>
      <c r="Q5" s="83">
        <f>IFERROR(VLOOKUP($J$3,tabulka!$B$2:$V$15,18,FALSE),"")</f>
        <v>77.78</v>
      </c>
      <c r="R5" s="182">
        <f>IFERROR(VLOOKUP($J$3,tabulka!$B$2:$V$15,19,FALSE),"")</f>
        <v>20</v>
      </c>
      <c r="S5" s="163" t="s">
        <v>102</v>
      </c>
      <c r="T5" s="164" t="s">
        <v>5</v>
      </c>
      <c r="U5" s="164" t="s">
        <v>894</v>
      </c>
      <c r="V5" s="165" t="s">
        <v>113</v>
      </c>
      <c r="W5" s="166" t="s">
        <v>43</v>
      </c>
      <c r="X5" s="205" t="str">
        <f t="shared" si="0"/>
        <v>CLP - SKV</v>
      </c>
      <c r="Y5" s="205"/>
      <c r="Z5" s="205"/>
      <c r="AA5" s="216"/>
      <c r="AB5" s="148" t="str">
        <f t="shared" si="1"/>
        <v>6:7p</v>
      </c>
      <c r="AC5" s="204" t="str">
        <f t="shared" si="2"/>
        <v>2019/2020 (ZČ)</v>
      </c>
      <c r="AD5" s="205"/>
      <c r="AE5" s="206"/>
    </row>
    <row r="6" spans="1:31" ht="15" customHeight="1" thickTop="1" x14ac:dyDescent="0.25">
      <c r="A6" s="26"/>
      <c r="B6" s="26"/>
      <c r="C6" s="26"/>
      <c r="D6" s="26"/>
      <c r="E6" s="207" t="s">
        <v>110</v>
      </c>
      <c r="F6" s="207"/>
      <c r="G6" s="36">
        <f>IFERROR(VLOOKUP($A$1,tabulka!$BB$2:$BF$15,3,FALSE),"")</f>
        <v>9</v>
      </c>
      <c r="H6" s="36">
        <f>IFERROR(VLOOKUP($A$1,tabulka!$BB$2:$BF$15,4,FALSE),"")</f>
        <v>14</v>
      </c>
      <c r="I6" s="36">
        <f>IFERROR(VLOOKUP($A$1,tabulka!$BB$2:$BF$15,5,FALSE),"")</f>
        <v>4</v>
      </c>
      <c r="J6" s="26"/>
      <c r="K6" s="26"/>
      <c r="L6" s="26"/>
      <c r="N6" s="207" t="s">
        <v>110</v>
      </c>
      <c r="O6" s="207"/>
      <c r="P6" s="36">
        <f>IFERROR(VLOOKUP($J$1,tabulka!$BB$2:$BF$15,3,FALSE),"")</f>
        <v>13</v>
      </c>
      <c r="Q6" s="36">
        <f>IFERROR(VLOOKUP($J$1,tabulka!$BB$2:$BF$15,4,FALSE),"")</f>
        <v>2</v>
      </c>
      <c r="R6" s="36">
        <f>IFERROR(VLOOKUP($J$1,tabulka!$BB$2:$BF$15,5,FALSE),"")</f>
        <v>4</v>
      </c>
      <c r="S6" s="163" t="s">
        <v>5</v>
      </c>
      <c r="T6" s="164" t="s">
        <v>102</v>
      </c>
      <c r="U6" s="164" t="s">
        <v>895</v>
      </c>
      <c r="V6" s="165" t="s">
        <v>113</v>
      </c>
      <c r="W6" s="166" t="s">
        <v>43</v>
      </c>
      <c r="X6" s="205" t="str">
        <f t="shared" si="0"/>
        <v>SKV - CLP</v>
      </c>
      <c r="Y6" s="205"/>
      <c r="Z6" s="205"/>
      <c r="AA6" s="216"/>
      <c r="AB6" s="148" t="str">
        <f t="shared" si="1"/>
        <v>8:5</v>
      </c>
      <c r="AC6" s="204" t="str">
        <f t="shared" si="2"/>
        <v>2019/2020 (ZČ)</v>
      </c>
      <c r="AD6" s="205"/>
      <c r="AE6" s="206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63" t="s">
        <v>5</v>
      </c>
      <c r="T7" s="164" t="s">
        <v>102</v>
      </c>
      <c r="U7" s="164" t="s">
        <v>112</v>
      </c>
      <c r="V7" s="165" t="s">
        <v>114</v>
      </c>
      <c r="W7" s="166" t="s">
        <v>43</v>
      </c>
      <c r="X7" s="205" t="str">
        <f t="shared" si="0"/>
        <v>SKV - CLP</v>
      </c>
      <c r="Y7" s="205"/>
      <c r="Z7" s="205"/>
      <c r="AA7" s="216"/>
      <c r="AB7" s="148" t="str">
        <f t="shared" si="1"/>
        <v>7:6p</v>
      </c>
      <c r="AC7" s="204" t="str">
        <f t="shared" si="2"/>
        <v>2018/2019 (ZČ)</v>
      </c>
      <c r="AD7" s="205"/>
      <c r="AE7" s="206"/>
    </row>
    <row r="8" spans="1:31" ht="15" customHeight="1" thickTop="1" thickBot="1" x14ac:dyDescent="0.3">
      <c r="A8" s="318" t="s">
        <v>32</v>
      </c>
      <c r="B8" s="319"/>
      <c r="C8" s="320" t="str">
        <f ca="1">IFERROR(IF(INDIRECT("priprava_" &amp; A1 &amp; "!BY12")&lt;&gt;0,INDIRECT("priprava_" &amp; A1 &amp; "!BY12"),""),"")</f>
        <v>P - P - P - P - P - V - V</v>
      </c>
      <c r="D8" s="320"/>
      <c r="E8" s="320"/>
      <c r="F8" s="320"/>
      <c r="G8" s="320"/>
      <c r="H8" s="321"/>
      <c r="I8" s="25"/>
      <c r="J8" s="322" t="s">
        <v>32</v>
      </c>
      <c r="K8" s="323"/>
      <c r="L8" s="324" t="str">
        <f ca="1">IFERROR(IF(INDIRECT("priprava_" &amp; J1 &amp; "!BY12")&lt;&gt;0,INDIRECT("priprava_" &amp; J1 &amp; "!BY12"),""),"")</f>
        <v>V - V - V - V - P - V - V</v>
      </c>
      <c r="M8" s="324"/>
      <c r="N8" s="324"/>
      <c r="O8" s="324"/>
      <c r="P8" s="324"/>
      <c r="Q8" s="325"/>
      <c r="R8" s="25"/>
      <c r="S8" s="163" t="s">
        <v>102</v>
      </c>
      <c r="T8" s="164" t="s">
        <v>5</v>
      </c>
      <c r="U8" s="164" t="s">
        <v>893</v>
      </c>
      <c r="V8" s="165" t="s">
        <v>114</v>
      </c>
      <c r="W8" s="166" t="s">
        <v>43</v>
      </c>
      <c r="X8" s="205" t="str">
        <f t="shared" si="0"/>
        <v>CLP - SKV</v>
      </c>
      <c r="Y8" s="205"/>
      <c r="Z8" s="205"/>
      <c r="AA8" s="216"/>
      <c r="AB8" s="148" t="str">
        <f t="shared" si="1"/>
        <v>11:5</v>
      </c>
      <c r="AC8" s="204" t="str">
        <f t="shared" si="2"/>
        <v>2018/2019 (ZČ)</v>
      </c>
      <c r="AD8" s="205"/>
      <c r="AE8" s="206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63"/>
      <c r="T9" s="164"/>
      <c r="U9" s="164"/>
      <c r="V9" s="165"/>
      <c r="W9" s="166"/>
      <c r="X9" s="205" t="str">
        <f t="shared" si="0"/>
        <v/>
      </c>
      <c r="Y9" s="205"/>
      <c r="Z9" s="205"/>
      <c r="AA9" s="216"/>
      <c r="AB9" s="148" t="str">
        <f t="shared" si="1"/>
        <v/>
      </c>
      <c r="AC9" s="204" t="str">
        <f t="shared" si="2"/>
        <v/>
      </c>
      <c r="AD9" s="205"/>
      <c r="AE9" s="206"/>
    </row>
    <row r="10" spans="1:31" ht="15" customHeight="1" thickTop="1" thickBot="1" x14ac:dyDescent="0.3">
      <c r="A10" s="265" t="s">
        <v>33</v>
      </c>
      <c r="B10" s="266"/>
      <c r="C10" s="266"/>
      <c r="D10" s="271"/>
      <c r="E10" s="270" t="s">
        <v>34</v>
      </c>
      <c r="F10" s="266"/>
      <c r="G10" s="266"/>
      <c r="H10" s="271"/>
      <c r="I10" s="25"/>
      <c r="J10" s="265" t="s">
        <v>33</v>
      </c>
      <c r="K10" s="266"/>
      <c r="L10" s="266"/>
      <c r="M10" s="271"/>
      <c r="N10" s="270" t="s">
        <v>34</v>
      </c>
      <c r="O10" s="266"/>
      <c r="P10" s="266"/>
      <c r="Q10" s="271"/>
      <c r="R10" s="37"/>
      <c r="S10" s="163"/>
      <c r="T10" s="164"/>
      <c r="U10" s="164"/>
      <c r="V10" s="165"/>
      <c r="W10" s="166"/>
      <c r="X10" s="205" t="str">
        <f t="shared" si="0"/>
        <v/>
      </c>
      <c r="Y10" s="205"/>
      <c r="Z10" s="205"/>
      <c r="AA10" s="216"/>
      <c r="AB10" s="148" t="str">
        <f t="shared" si="1"/>
        <v/>
      </c>
      <c r="AC10" s="204" t="str">
        <f t="shared" si="2"/>
        <v/>
      </c>
      <c r="AD10" s="205"/>
      <c r="AE10" s="206"/>
    </row>
    <row r="11" spans="1:31" ht="15" customHeight="1" x14ac:dyDescent="0.25">
      <c r="A11" s="326" t="str">
        <f ca="1">IFERROR(IF(INDIRECT("priprava_" &amp; A$1 &amp; "!BZ2")&lt;&gt;"",INDIRECT("priprava_" &amp; A$1 &amp; "!BZ2"),""),"")</f>
        <v>PAR (d)</v>
      </c>
      <c r="B11" s="222"/>
      <c r="C11" s="327" t="str">
        <f ca="1">IFERROR(IF(A11&lt;&gt;"",INDIRECT("priprava_" &amp; A$1 &amp; "!CA2"),""),"")</f>
        <v>6:5</v>
      </c>
      <c r="D11" s="328"/>
      <c r="E11" s="221" t="str">
        <f ca="1">IFERROR(IF(INDIRECT("priprava_" &amp; A$1 &amp; "!BZ7")&lt;&gt;"",INDIRECT("priprava_" &amp; A$1 &amp; "!BZ7"),""),"")</f>
        <v>VIT (h)</v>
      </c>
      <c r="F11" s="222"/>
      <c r="G11" s="327" t="str">
        <f ca="1">IFERROR(IF(E11&lt;&gt;"",INDIRECT("priprava_" &amp; A$1 &amp; "!BY7"),""),"")</f>
        <v>22. 10.</v>
      </c>
      <c r="H11" s="328"/>
      <c r="I11" s="25"/>
      <c r="J11" s="326" t="str">
        <f ca="1">IFERROR(IF(INDIRECT("priprava_" &amp; J$1 &amp; "!BZ2")&lt;&gt;"",INDIRECT("priprava_" &amp; J$1 &amp; "!BZ2"),""),"")</f>
        <v>SPA (d)</v>
      </c>
      <c r="K11" s="222"/>
      <c r="L11" s="327" t="str">
        <f ca="1">IFERROR(IF(J11&lt;&gt;"",INDIRECT("priprava_" &amp; J$1 &amp; "!CA2"),""),"")</f>
        <v>8:5</v>
      </c>
      <c r="M11" s="328"/>
      <c r="N11" s="221" t="str">
        <f ca="1">IFERROR(IF(INDIRECT("priprava_" &amp; J$1 &amp; "!BZ7")&lt;&gt;"",INDIRECT("priprava_" &amp; J$1 &amp; "!BZ7"),""),"")</f>
        <v>TAT (d)</v>
      </c>
      <c r="O11" s="222"/>
      <c r="P11" s="327" t="str">
        <f ca="1">IFERROR(IF(N11&lt;&gt;"",INDIRECT("priprava_" &amp; J$1 &amp; "!BY7"),""),"")</f>
        <v>22. 10.</v>
      </c>
      <c r="Q11" s="328"/>
      <c r="R11" s="38"/>
      <c r="S11" s="163"/>
      <c r="T11" s="164"/>
      <c r="U11" s="164"/>
      <c r="V11" s="165"/>
      <c r="W11" s="166"/>
      <c r="X11" s="205" t="str">
        <f t="shared" si="0"/>
        <v/>
      </c>
      <c r="Y11" s="205"/>
      <c r="Z11" s="205"/>
      <c r="AA11" s="216"/>
      <c r="AB11" s="148" t="str">
        <f t="shared" si="1"/>
        <v/>
      </c>
      <c r="AC11" s="204" t="str">
        <f t="shared" si="2"/>
        <v/>
      </c>
      <c r="AD11" s="205"/>
      <c r="AE11" s="206"/>
    </row>
    <row r="12" spans="1:31" ht="15" customHeight="1" x14ac:dyDescent="0.25">
      <c r="A12" s="305" t="str">
        <f ca="1">IFERROR(IF(INDIRECT("priprava_" &amp; A$1 &amp; "!BZ3")&lt;&gt;"",INDIRECT("priprava_" &amp; A$1 &amp; "!BZ3"),""),"")</f>
        <v>CLP (d)</v>
      </c>
      <c r="B12" s="304"/>
      <c r="C12" s="302" t="str">
        <f ca="1">IFERROR(IF(A12&lt;&gt;"",INDIRECT("priprava_" &amp; A$1 &amp; "!CA3"),""),"")</f>
        <v>8:1</v>
      </c>
      <c r="D12" s="303"/>
      <c r="E12" s="216" t="str">
        <f ca="1">IFERROR(IF(INDIRECT("priprava_" &amp; A$1 &amp; "!BZ8")&lt;&gt;"",INDIRECT("priprava_" &amp; A$1 &amp; "!BZ8"),""),"")</f>
        <v>HAT (d)</v>
      </c>
      <c r="F12" s="304"/>
      <c r="G12" s="302" t="str">
        <f ca="1">IFERROR(IF(E12&lt;&gt;"",INDIRECT("priprava_" &amp; A$1 &amp; "!BY8"),""),"")</f>
        <v>24. 10.</v>
      </c>
      <c r="H12" s="303"/>
      <c r="I12" s="26"/>
      <c r="J12" s="305" t="str">
        <f ca="1">IFERROR(IF(INDIRECT("priprava_" &amp; J$1 &amp; "!BZ3")&lt;&gt;"",INDIRECT("priprava_" &amp; J$1 &amp; "!BZ3"),""),"")</f>
        <v>PAR (d)</v>
      </c>
      <c r="K12" s="304"/>
      <c r="L12" s="302" t="str">
        <f ca="1">IFERROR(IF(J12&lt;&gt;"",INDIRECT("priprava_" &amp; J$1 &amp; "!CA3"),""),"")</f>
        <v>4:2</v>
      </c>
      <c r="M12" s="303"/>
      <c r="N12" s="216" t="str">
        <f ca="1">IFERROR(IF(INDIRECT("priprava_" &amp; J$1 &amp; "!BZ8")&lt;&gt;"",INDIRECT("priprava_" &amp; J$1 &amp; "!BZ8"),""),"")</f>
        <v>OST (h)</v>
      </c>
      <c r="O12" s="304"/>
      <c r="P12" s="302" t="str">
        <f ca="1">IFERROR(IF(N12&lt;&gt;"",INDIRECT("priprava_" &amp; J$1 &amp; "!BY8"),""),"")</f>
        <v>24. 10.</v>
      </c>
      <c r="Q12" s="303"/>
      <c r="R12" s="25"/>
      <c r="S12" s="163"/>
      <c r="T12" s="164"/>
      <c r="U12" s="164"/>
      <c r="V12" s="165"/>
      <c r="W12" s="166"/>
      <c r="X12" s="205" t="str">
        <f t="shared" si="0"/>
        <v/>
      </c>
      <c r="Y12" s="205"/>
      <c r="Z12" s="205"/>
      <c r="AA12" s="216"/>
      <c r="AB12" s="148" t="str">
        <f t="shared" si="1"/>
        <v/>
      </c>
      <c r="AC12" s="204" t="str">
        <f t="shared" si="2"/>
        <v/>
      </c>
      <c r="AD12" s="205"/>
      <c r="AE12" s="206"/>
    </row>
    <row r="13" spans="1:31" ht="15" customHeight="1" x14ac:dyDescent="0.25">
      <c r="A13" s="306" t="str">
        <f ca="1">IFERROR(IF(INDIRECT("priprava_" &amp; A$1 &amp; "!BZ4")&lt;&gt;"",INDIRECT("priprava_" &amp; A$1 &amp; "!BZ4"),""),"")</f>
        <v>BA (d)</v>
      </c>
      <c r="B13" s="218"/>
      <c r="C13" s="219" t="str">
        <f ca="1">IFERROR(IF(A13&lt;&gt;"",INDIRECT("priprava_" &amp; A$1 &amp; "!CA4"),""),"")</f>
        <v>2:7</v>
      </c>
      <c r="D13" s="220"/>
      <c r="E13" s="217" t="str">
        <f ca="1">IFERROR(IF(INDIRECT("priprava_" &amp; A$1 &amp; "!BZ9")&lt;&gt;"",INDIRECT("priprava_" &amp; A$1 &amp; "!BZ9"),""),"")</f>
        <v>OTR (h)</v>
      </c>
      <c r="F13" s="218"/>
      <c r="G13" s="219" t="str">
        <f ca="1">IFERROR(IF(E13&lt;&gt;"",INDIRECT("priprava_" &amp; A$1 &amp; "!BY9"),""),"")</f>
        <v>28. 10.</v>
      </c>
      <c r="H13" s="220"/>
      <c r="I13" s="25"/>
      <c r="J13" s="306" t="str">
        <f ca="1">IFERROR(IF(INDIRECT("priprava_" &amp; J$1 &amp; "!BZ4")&lt;&gt;"",INDIRECT("priprava_" &amp; J$1 &amp; "!BZ4"),""),"")</f>
        <v>MB (h)</v>
      </c>
      <c r="K13" s="218"/>
      <c r="L13" s="219" t="str">
        <f ca="1">IFERROR(IF(J13&lt;&gt;"",INDIRECT("priprava_" &amp; J$1 &amp; "!CA4"),""),"")</f>
        <v>4:9</v>
      </c>
      <c r="M13" s="220"/>
      <c r="N13" s="217" t="str">
        <f ca="1">IFERROR(IF(INDIRECT("priprava_" &amp; J$1 &amp; "!BZ9")&lt;&gt;"",INDIRECT("priprava_" &amp; J$1 &amp; "!BZ9"),""),"")</f>
        <v>LIB (d)</v>
      </c>
      <c r="O13" s="218"/>
      <c r="P13" s="219" t="str">
        <f ca="1">IFERROR(IF(N13&lt;&gt;"",INDIRECT("priprava_" &amp; J$1 &amp; "!BY9"),""),"")</f>
        <v>28. 10.</v>
      </c>
      <c r="Q13" s="220"/>
      <c r="R13" s="27"/>
      <c r="S13" s="163"/>
      <c r="T13" s="164"/>
      <c r="U13" s="164"/>
      <c r="V13" s="165"/>
      <c r="W13" s="166"/>
      <c r="X13" s="205" t="str">
        <f t="shared" si="0"/>
        <v/>
      </c>
      <c r="Y13" s="205"/>
      <c r="Z13" s="205"/>
      <c r="AA13" s="216"/>
      <c r="AB13" s="148" t="str">
        <f t="shared" si="1"/>
        <v/>
      </c>
      <c r="AC13" s="204" t="str">
        <f t="shared" si="2"/>
        <v/>
      </c>
      <c r="AD13" s="205"/>
      <c r="AE13" s="206"/>
    </row>
    <row r="14" spans="1:31" ht="15" customHeight="1" x14ac:dyDescent="0.25">
      <c r="A14" s="305" t="str">
        <f ca="1">IFERROR(IF(INDIRECT("priprava_" &amp; A$1 &amp; "!BZ5")&lt;&gt;"",INDIRECT("priprava_" &amp; A$1 &amp; "!BZ5"),""),"")</f>
        <v>CHO (h)</v>
      </c>
      <c r="B14" s="304"/>
      <c r="C14" s="302" t="str">
        <f ca="1">IFERROR(IF(A14&lt;&gt;"",INDIRECT("priprava_" &amp; A$1 &amp; "!CA5"),""),"")</f>
        <v>7:13</v>
      </c>
      <c r="D14" s="303"/>
      <c r="E14" s="216" t="str">
        <f ca="1">IFERROR(IF(INDIRECT("priprava_" &amp; A$1 &amp; "!BZ10")&lt;&gt;"",INDIRECT("priprava_" &amp; A$1 &amp; "!BZ10"),""),"")</f>
        <v>MB (d)</v>
      </c>
      <c r="F14" s="304"/>
      <c r="G14" s="302" t="str">
        <f ca="1">IFERROR(IF(E14&lt;&gt;"",INDIRECT("priprava_" &amp; A$1 &amp; "!BY10"),""),"")</f>
        <v>31. 10.</v>
      </c>
      <c r="H14" s="303"/>
      <c r="I14" s="26"/>
      <c r="J14" s="305" t="str">
        <f ca="1">IFERROR(IF(INDIRECT("priprava_" &amp; J$1 &amp; "!BZ5")&lt;&gt;"",INDIRECT("priprava_" &amp; J$1 &amp; "!BZ5"),""),"")</f>
        <v>OTR (d)</v>
      </c>
      <c r="K14" s="304"/>
      <c r="L14" s="302" t="str">
        <f ca="1">IFERROR(IF(J14&lt;&gt;"",INDIRECT("priprava_" &amp; J$1 &amp; "!CA5"),""),"")</f>
        <v>8:2</v>
      </c>
      <c r="M14" s="303"/>
      <c r="N14" s="216" t="str">
        <f ca="1">IFERROR(IF(INDIRECT("priprava_" &amp; J$1 &amp; "!BZ10")&lt;&gt;"",INDIRECT("priprava_" &amp; J$1 &amp; "!BZ10"),""),"")</f>
        <v>CHO (h)</v>
      </c>
      <c r="O14" s="304"/>
      <c r="P14" s="302" t="str">
        <f ca="1">IFERROR(IF(N14&lt;&gt;"",INDIRECT("priprava_" &amp; J$1 &amp; "!BY10"),""),"")</f>
        <v>31. 10.</v>
      </c>
      <c r="Q14" s="303"/>
      <c r="R14" s="25"/>
      <c r="S14" s="163"/>
      <c r="T14" s="164"/>
      <c r="U14" s="164"/>
      <c r="V14" s="165"/>
      <c r="W14" s="166"/>
      <c r="X14" s="205" t="str">
        <f t="shared" si="0"/>
        <v/>
      </c>
      <c r="Y14" s="205"/>
      <c r="Z14" s="205"/>
      <c r="AA14" s="216"/>
      <c r="AB14" s="148" t="str">
        <f t="shared" si="1"/>
        <v/>
      </c>
      <c r="AC14" s="204" t="str">
        <f t="shared" si="2"/>
        <v/>
      </c>
      <c r="AD14" s="205"/>
      <c r="AE14" s="206"/>
    </row>
    <row r="15" spans="1:31" ht="15" customHeight="1" thickBot="1" x14ac:dyDescent="0.3">
      <c r="A15" s="279" t="str">
        <f ca="1">IFERROR(IF(INDIRECT("priprava_" &amp; A$1 &amp; "!BZ6")&lt;&gt;"",INDIRECT("priprava_" &amp; A$1 &amp; "!BZ6"),""),"")</f>
        <v>LIB (d)</v>
      </c>
      <c r="B15" s="263"/>
      <c r="C15" s="214" t="str">
        <f ca="1">IFERROR(IF(A15&lt;&gt;"",INDIRECT("priprava_" &amp; A$1 &amp; "!CA6"),""),"")</f>
        <v>2:7</v>
      </c>
      <c r="D15" s="215"/>
      <c r="E15" s="262" t="str">
        <f ca="1">IFERROR(IF(INDIRECT("priprava_" &amp; A$1 &amp; "!BZ11")&lt;&gt;"",INDIRECT("priprava_" &amp; A$1 &amp; "!BZ11"),""),"")</f>
        <v>SPA (h)</v>
      </c>
      <c r="F15" s="263"/>
      <c r="G15" s="214" t="str">
        <f ca="1">IFERROR(IF(E15&lt;&gt;"",INDIRECT("priprava_" &amp; A$1 &amp; "!BY11"),""),"")</f>
        <v>7. 11.</v>
      </c>
      <c r="H15" s="215"/>
      <c r="I15" s="25"/>
      <c r="J15" s="279" t="str">
        <f ca="1">IFERROR(IF(INDIRECT("priprava_" &amp; J$1 &amp; "!BZ6")&lt;&gt;"",INDIRECT("priprava_" &amp; J$1 &amp; "!BZ6"),""),"")</f>
        <v>HAT (h)</v>
      </c>
      <c r="K15" s="263"/>
      <c r="L15" s="214" t="str">
        <f ca="1">IFERROR(IF(J15&lt;&gt;"",INDIRECT("priprava_" &amp; J$1 &amp; "!CA6"),""),"")</f>
        <v>9:6</v>
      </c>
      <c r="M15" s="215"/>
      <c r="N15" s="262" t="str">
        <f ca="1">IFERROR(IF(INDIRECT("priprava_" &amp; J$1 &amp; "!BZ11")&lt;&gt;"",INDIRECT("priprava_" &amp; J$1 &amp; "!BZ11"),""),"")</f>
        <v>BA (d)</v>
      </c>
      <c r="O15" s="263"/>
      <c r="P15" s="214" t="str">
        <f ca="1">IFERROR(IF(N15&lt;&gt;"",INDIRECT("priprava_" &amp; J$1 &amp; "!BY11"),""),"")</f>
        <v>7. 11.</v>
      </c>
      <c r="Q15" s="215"/>
      <c r="R15" s="25"/>
      <c r="S15" s="163"/>
      <c r="T15" s="164"/>
      <c r="U15" s="164"/>
      <c r="V15" s="165"/>
      <c r="W15" s="166"/>
      <c r="X15" s="205" t="str">
        <f t="shared" ref="X15:X18" si="3">IF(S15&lt;&gt;"",CONCATENATE(S15, " - ",T15),"")</f>
        <v/>
      </c>
      <c r="Y15" s="205"/>
      <c r="Z15" s="205"/>
      <c r="AA15" s="216"/>
      <c r="AB15" s="148" t="str">
        <f t="shared" ref="AB15:AB18" si="4">IF(U15&lt;&gt;"",U15,"")</f>
        <v/>
      </c>
      <c r="AC15" s="204" t="str">
        <f t="shared" ref="AC15:AC18" si="5">IF(AND(V15&lt;&gt;"",W15&lt;&gt;""),CONCATENATE(V15," (",W15,")"),IF(V15&lt;&gt;"",V15,""))</f>
        <v/>
      </c>
      <c r="AD15" s="205"/>
      <c r="AE15" s="206"/>
    </row>
    <row r="16" spans="1:31" ht="15" customHeight="1" thickTop="1" x14ac:dyDescent="0.25">
      <c r="R16" s="37"/>
      <c r="S16" s="163"/>
      <c r="T16" s="164"/>
      <c r="U16" s="164"/>
      <c r="V16" s="165"/>
      <c r="W16" s="166"/>
      <c r="X16" s="205" t="str">
        <f t="shared" si="3"/>
        <v/>
      </c>
      <c r="Y16" s="205"/>
      <c r="Z16" s="205"/>
      <c r="AA16" s="216"/>
      <c r="AB16" s="148" t="str">
        <f t="shared" si="4"/>
        <v/>
      </c>
      <c r="AC16" s="204" t="str">
        <f t="shared" si="5"/>
        <v/>
      </c>
      <c r="AD16" s="205"/>
      <c r="AE16" s="206"/>
    </row>
    <row r="17" spans="1:31" ht="15" customHeight="1" thickBot="1" x14ac:dyDescent="0.3">
      <c r="A17" s="264" t="s">
        <v>35</v>
      </c>
      <c r="B17" s="264"/>
      <c r="C17" s="264"/>
      <c r="D17" s="264"/>
      <c r="E17" s="264"/>
      <c r="F17" s="264"/>
      <c r="G17" s="264"/>
      <c r="H17" s="264"/>
      <c r="I17" s="264"/>
      <c r="J17" s="264"/>
      <c r="K17" s="264"/>
      <c r="L17" s="264"/>
      <c r="M17" s="264"/>
      <c r="N17" s="264"/>
      <c r="O17" s="264"/>
      <c r="P17" s="264"/>
      <c r="Q17" s="264"/>
      <c r="R17" s="264"/>
      <c r="S17" s="163"/>
      <c r="T17" s="164"/>
      <c r="U17" s="164"/>
      <c r="V17" s="165"/>
      <c r="W17" s="166"/>
      <c r="X17" s="205" t="str">
        <f t="shared" si="3"/>
        <v/>
      </c>
      <c r="Y17" s="205"/>
      <c r="Z17" s="205"/>
      <c r="AA17" s="216"/>
      <c r="AB17" s="148" t="str">
        <f t="shared" si="4"/>
        <v/>
      </c>
      <c r="AC17" s="204" t="str">
        <f t="shared" si="5"/>
        <v/>
      </c>
      <c r="AD17" s="205"/>
      <c r="AE17" s="206"/>
    </row>
    <row r="18" spans="1:31" ht="15" customHeight="1" thickTop="1" thickBot="1" x14ac:dyDescent="0.3">
      <c r="A18" s="265" t="s">
        <v>36</v>
      </c>
      <c r="B18" s="266"/>
      <c r="C18" s="267"/>
      <c r="D18" s="268" t="s">
        <v>37</v>
      </c>
      <c r="E18" s="266"/>
      <c r="F18" s="269"/>
      <c r="G18" s="270" t="s">
        <v>38</v>
      </c>
      <c r="H18" s="266"/>
      <c r="I18" s="271"/>
      <c r="J18" s="272" t="s">
        <v>36</v>
      </c>
      <c r="K18" s="273"/>
      <c r="L18" s="274"/>
      <c r="M18" s="275" t="s">
        <v>37</v>
      </c>
      <c r="N18" s="273"/>
      <c r="O18" s="276"/>
      <c r="P18" s="277" t="s">
        <v>38</v>
      </c>
      <c r="Q18" s="273"/>
      <c r="R18" s="278"/>
      <c r="S18" s="167"/>
      <c r="T18" s="168"/>
      <c r="U18" s="168"/>
      <c r="V18" s="169"/>
      <c r="W18" s="170"/>
      <c r="X18" s="310" t="str">
        <f t="shared" si="3"/>
        <v/>
      </c>
      <c r="Y18" s="310"/>
      <c r="Z18" s="310"/>
      <c r="AA18" s="311"/>
      <c r="AB18" s="172" t="str">
        <f t="shared" si="4"/>
        <v/>
      </c>
      <c r="AC18" s="312" t="str">
        <f t="shared" si="5"/>
        <v/>
      </c>
      <c r="AD18" s="310"/>
      <c r="AE18" s="313"/>
    </row>
    <row r="19" spans="1:31" ht="15" customHeight="1" x14ac:dyDescent="0.25">
      <c r="A19" s="296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Fiala</v>
      </c>
      <c r="B19" s="297"/>
      <c r="C19" s="39">
        <f ca="1">IFERROR(IF(A19&lt;&gt;"",INDIRECT("priprava_" &amp; A$1 &amp; "!BW2"),""),"")</f>
        <v>10</v>
      </c>
      <c r="D19" s="298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97"/>
      <c r="F19" s="39">
        <f ca="1">IFERROR(IF(D19&lt;&gt;"",INDIRECT("priprava_" &amp; A$1 &amp; "!BW12"),""),"")</f>
        <v>6</v>
      </c>
      <c r="G19" s="298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Fiala</v>
      </c>
      <c r="H19" s="297"/>
      <c r="I19" s="39">
        <f ca="1">IFERROR(IF(G19&lt;&gt;"",INDIRECT("priprava_" &amp; A$1 &amp; "!BW22"),""),"")</f>
        <v>7</v>
      </c>
      <c r="J19" s="299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Forman F.</v>
      </c>
      <c r="K19" s="300"/>
      <c r="L19" s="40">
        <f ca="1">IFERROR(IF(J19&lt;&gt;"",INDIRECT("priprava_" &amp; J$1 &amp; "!BW2"),""),"")</f>
        <v>24</v>
      </c>
      <c r="M19" s="301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/>
      </c>
      <c r="N19" s="300"/>
      <c r="O19" s="40" t="str">
        <f ca="1">IFERROR(IF(M19&lt;&gt;"",INDIRECT("priprava_" &amp; J$1 &amp; "!BW12"),""),"")</f>
        <v/>
      </c>
      <c r="P19" s="301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Forman F.</v>
      </c>
      <c r="Q19" s="300"/>
      <c r="R19" s="41">
        <f ca="1">IFERROR(IF(P19&lt;&gt;"",INDIRECT("priprava_" &amp; J$1 &amp; "!BW22"),""),"")</f>
        <v>15</v>
      </c>
    </row>
    <row r="20" spans="1:31" ht="15" customHeight="1" x14ac:dyDescent="0.25">
      <c r="A20" s="288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Kopecký</v>
      </c>
      <c r="B20" s="289"/>
      <c r="C20" s="42">
        <f ca="1">IFERROR(IF(A20&lt;&gt;"",INDIRECT("priprava_" &amp; A$1 &amp; "!BW3"),""),"")</f>
        <v>9</v>
      </c>
      <c r="D20" s="290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Procházka</v>
      </c>
      <c r="E20" s="289"/>
      <c r="F20" s="43">
        <f ca="1">IFERROR(IF(D20&lt;&gt;"",INDIRECT("priprava_" &amp; A$1 &amp; "!BW13"),""),"")</f>
        <v>4</v>
      </c>
      <c r="G20" s="291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Stuchlík O.</v>
      </c>
      <c r="H20" s="289"/>
      <c r="I20" s="44">
        <f ca="1">IFERROR(IF(G20&lt;&gt;"",INDIRECT("priprava_" &amp; A$1 &amp; "!BW23"),""),"")</f>
        <v>3</v>
      </c>
      <c r="J20" s="292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/>
      </c>
      <c r="K20" s="293"/>
      <c r="L20" s="45" t="str">
        <f ca="1">IFERROR(IF(J20&lt;&gt;"",INDIRECT("priprava_" &amp; J$1 &amp; "!BW3"),""),"")</f>
        <v/>
      </c>
      <c r="M20" s="294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Forman F.</v>
      </c>
      <c r="N20" s="293"/>
      <c r="O20" s="46">
        <f ca="1">IFERROR(IF(M20&lt;&gt;"",INDIRECT("priprava_" &amp; J$1 &amp; "!BW13"),""),"")</f>
        <v>9</v>
      </c>
      <c r="P20" s="295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Buršík</v>
      </c>
      <c r="Q20" s="293"/>
      <c r="R20" s="47">
        <f ca="1">IFERROR(IF(P20&lt;&gt;"",INDIRECT("priprava_" &amp; J$1 &amp; "!BW23"),""),"")</f>
        <v>7</v>
      </c>
    </row>
    <row r="21" spans="1:31" ht="15" customHeight="1" x14ac:dyDescent="0.25">
      <c r="A21" s="288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Pergler</v>
      </c>
      <c r="B21" s="289"/>
      <c r="C21" s="42">
        <f ca="1">IFERROR(IF(A21&lt;&gt;"",INDIRECT("priprava_" &amp; A$1 &amp; "!BW4"),""),"")</f>
        <v>5</v>
      </c>
      <c r="D21" s="290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Pergler</v>
      </c>
      <c r="E21" s="289"/>
      <c r="F21" s="43">
        <f ca="1">IFERROR(IF(D21&lt;&gt;"",INDIRECT("priprava_" &amp; A$1 &amp; "!BW14"),""),"")</f>
        <v>3</v>
      </c>
      <c r="G21" s="291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Kopecký</v>
      </c>
      <c r="H21" s="289"/>
      <c r="I21" s="44">
        <f ca="1">IFERROR(IF(G21&lt;&gt;"",INDIRECT("priprava_" &amp; A$1 &amp; "!BW24"),""),"")</f>
        <v>3</v>
      </c>
      <c r="J21" s="292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Buršík</v>
      </c>
      <c r="K21" s="293"/>
      <c r="L21" s="45">
        <f ca="1">IFERROR(IF(J21&lt;&gt;"",INDIRECT("priprava_" &amp; J$1 &amp; "!BW4"),""),"")</f>
        <v>16</v>
      </c>
      <c r="M21" s="294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Buršík</v>
      </c>
      <c r="N21" s="293"/>
      <c r="O21" s="46">
        <f ca="1">IFERROR(IF(M21&lt;&gt;"",INDIRECT("priprava_" &amp; J$1 &amp; "!BW14"),""),"")</f>
        <v>9</v>
      </c>
      <c r="P21" s="295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Malič</v>
      </c>
      <c r="Q21" s="293"/>
      <c r="R21" s="47">
        <f ca="1">IFERROR(IF(P21&lt;&gt;"",INDIRECT("priprava_" &amp; J$1 &amp; "!BW24"),""),"")</f>
        <v>5</v>
      </c>
    </row>
    <row r="22" spans="1:31" ht="15" customHeight="1" x14ac:dyDescent="0.25">
      <c r="A22" s="288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Klápa</v>
      </c>
      <c r="B22" s="289"/>
      <c r="C22" s="42">
        <f ca="1">IFERROR(IF(A22&lt;&gt;"",INDIRECT("priprava_" &amp; A$1 &amp; "!BW5"),""),"")</f>
        <v>5</v>
      </c>
      <c r="D22" s="290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Fiala</v>
      </c>
      <c r="E22" s="289"/>
      <c r="F22" s="43">
        <f ca="1">IFERROR(IF(D22&lt;&gt;"",INDIRECT("priprava_" &amp; A$1 &amp; "!BW15"),""),"")</f>
        <v>3</v>
      </c>
      <c r="G22" s="291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Pergler</v>
      </c>
      <c r="H22" s="289"/>
      <c r="I22" s="44">
        <f ca="1">IFERROR(IF(G22&lt;&gt;"",INDIRECT("priprava_" &amp; A$1 &amp; "!BW25"),""),"")</f>
        <v>2</v>
      </c>
      <c r="J22" s="292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Malič</v>
      </c>
      <c r="K22" s="293"/>
      <c r="L22" s="45">
        <f ca="1">IFERROR(IF(J22&lt;&gt;"",INDIRECT("priprava_" &amp; J$1 &amp; "!BW5"),""),"")</f>
        <v>9</v>
      </c>
      <c r="M22" s="294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Malič</v>
      </c>
      <c r="N22" s="293"/>
      <c r="O22" s="46">
        <f ca="1">IFERROR(IF(M22&lt;&gt;"",INDIRECT("priprava_" &amp; J$1 &amp; "!BW15"),""),"")</f>
        <v>4</v>
      </c>
      <c r="P22" s="295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/>
      </c>
      <c r="Q22" s="293"/>
      <c r="R22" s="47" t="str">
        <f ca="1">IFERROR(IF(P22&lt;&gt;"",INDIRECT("priprava_" &amp; J$1 &amp; "!BW25"),""),"")</f>
        <v/>
      </c>
    </row>
    <row r="23" spans="1:31" ht="15" customHeight="1" thickBot="1" x14ac:dyDescent="0.3">
      <c r="A23" s="223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Procházka</v>
      </c>
      <c r="B23" s="224"/>
      <c r="C23" s="48">
        <f ca="1">IFERROR(IF(A23&lt;&gt;"",INDIRECT("priprava_" &amp; A$1 &amp; "!BW6"),""),"")</f>
        <v>4</v>
      </c>
      <c r="D23" s="225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Klápa</v>
      </c>
      <c r="E23" s="224"/>
      <c r="F23" s="49">
        <f ca="1">IFERROR(IF(D23&lt;&gt;"",INDIRECT("priprava_" &amp; A$1 &amp; "!BW16"),""),"")</f>
        <v>3</v>
      </c>
      <c r="G23" s="226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Hartman</v>
      </c>
      <c r="H23" s="224"/>
      <c r="I23" s="50">
        <f ca="1">IFERROR(IF(G23&lt;&gt;"",INDIRECT("priprava_" &amp; A$1 &amp; "!BW26"),""),"")</f>
        <v>2</v>
      </c>
      <c r="J23" s="227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/>
      </c>
      <c r="K23" s="228"/>
      <c r="L23" s="51" t="str">
        <f ca="1">IFERROR(IF(J23&lt;&gt;"",INDIRECT("priprava_" &amp; J$1 &amp; "!BW6"),""),"")</f>
        <v/>
      </c>
      <c r="M23" s="229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Růžek</v>
      </c>
      <c r="N23" s="228"/>
      <c r="O23" s="52">
        <f ca="1">IFERROR(IF(M23&lt;&gt;"",INDIRECT("priprava_" &amp; J$1 &amp; "!BW16"),""),"")</f>
        <v>2</v>
      </c>
      <c r="P23" s="261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/>
      </c>
      <c r="Q23" s="228"/>
      <c r="R23" s="53" t="str">
        <f ca="1">IFERROR(IF(P23&lt;&gt;"",INDIRECT("priprava_" &amp; J$1 &amp; "!BW26"),""),"")</f>
        <v/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265" t="s">
        <v>39</v>
      </c>
      <c r="B25" s="266"/>
      <c r="C25" s="267"/>
      <c r="D25" s="268" t="s">
        <v>40</v>
      </c>
      <c r="E25" s="266"/>
      <c r="F25" s="269"/>
      <c r="G25" s="270" t="s">
        <v>41</v>
      </c>
      <c r="H25" s="266"/>
      <c r="I25" s="271"/>
      <c r="J25" s="272" t="s">
        <v>39</v>
      </c>
      <c r="K25" s="273"/>
      <c r="L25" s="274"/>
      <c r="M25" s="275" t="s">
        <v>40</v>
      </c>
      <c r="N25" s="273"/>
      <c r="O25" s="276"/>
      <c r="P25" s="277" t="s">
        <v>41</v>
      </c>
      <c r="Q25" s="273"/>
      <c r="R25" s="278"/>
    </row>
    <row r="26" spans="1:31" ht="15" customHeight="1" x14ac:dyDescent="0.25">
      <c r="A26" s="296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Fiala</v>
      </c>
      <c r="B26" s="297"/>
      <c r="C26" s="39">
        <f ca="1">IFERROR(IF(A26&lt;&gt;"",INDIRECT("priprava_" &amp; A$1 &amp; "!BW27"),""),"")</f>
        <v>6</v>
      </c>
      <c r="D26" s="298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Šantora</v>
      </c>
      <c r="E26" s="297"/>
      <c r="F26" s="54">
        <f ca="1">IFERROR(IF(D26&lt;&gt;"",INDIRECT("priprava_" &amp; A$1 &amp; "!BW7"),""),"")</f>
        <v>6.42</v>
      </c>
      <c r="G26" s="298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297"/>
      <c r="I26" s="39">
        <f ca="1">IFERROR(IF(G26&lt;&gt;"",INDIRECT("priprava_" &amp; A$1 &amp; "!BW17"),""),"")</f>
        <v>2</v>
      </c>
      <c r="J26" s="299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Malič</v>
      </c>
      <c r="K26" s="300"/>
      <c r="L26" s="40">
        <f ca="1">IFERROR(IF(J26&lt;&gt;"",INDIRECT("priprava_" &amp; J$1 &amp; "!BW27"),""),"")</f>
        <v>6</v>
      </c>
      <c r="M26" s="301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Michajlovič</v>
      </c>
      <c r="N26" s="300"/>
      <c r="O26" s="55">
        <f ca="1">IFERROR(IF(M26&lt;&gt;"",INDIRECT("priprava_" &amp; J$1 &amp; "!BW7"),""),"")</f>
        <v>4.25</v>
      </c>
      <c r="P26" s="301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Michajlovič</v>
      </c>
      <c r="Q26" s="300"/>
      <c r="R26" s="41">
        <f ca="1">IFERROR(IF(P26&lt;&gt;"",INDIRECT("priprava_" &amp; J$1 &amp; "!BW17"),""),"")</f>
        <v>4</v>
      </c>
    </row>
    <row r="27" spans="1:31" ht="15" customHeight="1" x14ac:dyDescent="0.25">
      <c r="A27" s="288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Cabejšek</v>
      </c>
      <c r="B27" s="289"/>
      <c r="C27" s="42">
        <f ca="1">IFERROR(IF(A27&lt;&gt;"",INDIRECT("priprava_" &amp; A$1 &amp; "!BW28"),""),"")</f>
        <v>2</v>
      </c>
      <c r="D27" s="290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Musil</v>
      </c>
      <c r="E27" s="289"/>
      <c r="F27" s="56">
        <f ca="1">IFERROR(IF(D27&lt;&gt;"",INDIRECT("priprava_" &amp; A$1 &amp; "!BW8"),""),"")</f>
        <v>8.48</v>
      </c>
      <c r="G27" s="291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89"/>
      <c r="I27" s="44">
        <f ca="1">IFERROR(IF(G27&lt;&gt;"",INDIRECT("priprava_" &amp; A$1 &amp; "!BW18"),""),"")</f>
        <v>0</v>
      </c>
      <c r="J27" s="292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/>
      </c>
      <c r="K27" s="293"/>
      <c r="L27" s="45" t="str">
        <f ca="1">IFERROR(IF(J27&lt;&gt;"",INDIRECT("priprava_" &amp; J$1 &amp; "!BW28"),""),"")</f>
        <v/>
      </c>
      <c r="M27" s="294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Hyršl</v>
      </c>
      <c r="N27" s="293"/>
      <c r="O27" s="57">
        <f ca="1">IFERROR(IF(M27&lt;&gt;"",INDIRECT("priprava_" &amp; J$1 &amp; "!BW8"),""),"")</f>
        <v>5.22</v>
      </c>
      <c r="P27" s="295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Hyršl</v>
      </c>
      <c r="Q27" s="293"/>
      <c r="R27" s="47">
        <f ca="1">IFERROR(IF(P27&lt;&gt;"",INDIRECT("priprava_" &amp; J$1 &amp; "!BW18"),""),"")</f>
        <v>2</v>
      </c>
    </row>
    <row r="28" spans="1:31" ht="15" customHeight="1" x14ac:dyDescent="0.25">
      <c r="A28" s="288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Ježek</v>
      </c>
      <c r="B28" s="289"/>
      <c r="C28" s="42">
        <f ca="1">IFERROR(IF(A28&lt;&gt;"",INDIRECT("priprava_" &amp; A$1 &amp; "!BW29"),""),"")</f>
        <v>2</v>
      </c>
      <c r="D28" s="290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89"/>
      <c r="F28" s="56" t="str">
        <f ca="1">IFERROR(IF(D28&lt;&gt;"",INDIRECT("priprava_" &amp; A$1 &amp; "!BW9"),""),"")</f>
        <v/>
      </c>
      <c r="G28" s="291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89"/>
      <c r="I28" s="44" t="str">
        <f ca="1">IFERROR(IF(G28&lt;&gt;"",INDIRECT("priprava_" &amp; A$1 &amp; "!BW19"),""),"")</f>
        <v/>
      </c>
      <c r="J28" s="292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/>
      </c>
      <c r="K28" s="293"/>
      <c r="L28" s="45" t="str">
        <f ca="1">IFERROR(IF(J28&lt;&gt;"",INDIRECT("priprava_" &amp; J$1 &amp; "!BW29"),""),"")</f>
        <v/>
      </c>
      <c r="M28" s="294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/>
      </c>
      <c r="N28" s="293"/>
      <c r="O28" s="57" t="str">
        <f ca="1">IFERROR(IF(M28&lt;&gt;"",INDIRECT("priprava_" &amp; J$1 &amp; "!BW9"),""),"")</f>
        <v/>
      </c>
      <c r="P28" s="295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/>
      </c>
      <c r="Q28" s="293"/>
      <c r="R28" s="47" t="str">
        <f ca="1">IFERROR(IF(P28&lt;&gt;"",INDIRECT("priprava_" &amp; J$1 &amp; "!BW19"),""),"")</f>
        <v/>
      </c>
    </row>
    <row r="29" spans="1:31" ht="15" customHeight="1" x14ac:dyDescent="0.25">
      <c r="A29" s="288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Stuchlík O.</v>
      </c>
      <c r="B29" s="289"/>
      <c r="C29" s="42">
        <f ca="1">IFERROR(IF(A29&lt;&gt;"",INDIRECT("priprava_" &amp; A$1 &amp; "!BW30"),""),"")</f>
        <v>2</v>
      </c>
      <c r="D29" s="290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89"/>
      <c r="F29" s="56" t="str">
        <f ca="1">IFERROR(IF(D29&lt;&gt;"",INDIRECT("priprava_" &amp; A$1 &amp; "!BW10"),""),"")</f>
        <v/>
      </c>
      <c r="G29" s="291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89"/>
      <c r="I29" s="44" t="str">
        <f ca="1">IFERROR(IF(G29&lt;&gt;"",INDIRECT("priprava_" &amp; A$1 &amp; "!BW20"),""),"")</f>
        <v/>
      </c>
      <c r="J29" s="292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Forman F.</v>
      </c>
      <c r="K29" s="293"/>
      <c r="L29" s="45">
        <f ca="1">IFERROR(IF(J29&lt;&gt;"",INDIRECT("priprava_" &amp; J$1 &amp; "!BW30"),""),"")</f>
        <v>2</v>
      </c>
      <c r="M29" s="294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93"/>
      <c r="O29" s="57" t="str">
        <f ca="1">IFERROR(IF(M29&lt;&gt;"",INDIRECT("priprava_" &amp; J$1 &amp; "!BW10"),""),"")</f>
        <v/>
      </c>
      <c r="P29" s="295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93"/>
      <c r="R29" s="47" t="str">
        <f ca="1">IFERROR(IF(P29&lt;&gt;"",INDIRECT("priprava_" &amp; J$1 &amp; "!BW20"),""),"")</f>
        <v/>
      </c>
    </row>
    <row r="30" spans="1:31" ht="15" customHeight="1" thickBot="1" x14ac:dyDescent="0.3">
      <c r="A30" s="223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Klápa</v>
      </c>
      <c r="B30" s="224"/>
      <c r="C30" s="48">
        <f ca="1">IFERROR(IF(A30&lt;&gt;"",INDIRECT("priprava_" &amp; A$1 &amp; "!BW31"),""),"")</f>
        <v>2</v>
      </c>
      <c r="D30" s="225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24"/>
      <c r="F30" s="58" t="str">
        <f ca="1">IFERROR(IF(D30&lt;&gt;"",INDIRECT("priprava_" &amp; A$1 &amp; "!BW11"),""),"")</f>
        <v/>
      </c>
      <c r="G30" s="226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24"/>
      <c r="I30" s="50" t="str">
        <f ca="1">IFERROR(IF(G30&lt;&gt;"",INDIRECT("priprava_" &amp; A$1 &amp; "!BW21"),""),"")</f>
        <v/>
      </c>
      <c r="J30" s="227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Buršík</v>
      </c>
      <c r="K30" s="228"/>
      <c r="L30" s="51">
        <f ca="1">IFERROR(IF(J30&lt;&gt;"",INDIRECT("priprava_" &amp; J$1 &amp; "!BW31"),""),"")</f>
        <v>2</v>
      </c>
      <c r="M30" s="229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28"/>
      <c r="O30" s="59" t="str">
        <f ca="1">IFERROR(IF(M30&lt;&gt;"",INDIRECT("priprava_" &amp; J$1 &amp; "!BW11"),""),"")</f>
        <v/>
      </c>
      <c r="P30" s="261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28"/>
      <c r="R30" s="53" t="str">
        <f ca="1">IFERROR(IF(P30&lt;&gt;"",INDIRECT("priprava_" &amp; J$1 &amp; "!BW21"),""),"")</f>
        <v/>
      </c>
    </row>
    <row r="31" spans="1:31" ht="15" customHeight="1" thickTop="1" thickBot="1" x14ac:dyDescent="0.3"/>
    <row r="32" spans="1:31" ht="15" customHeight="1" thickTop="1" thickBot="1" x14ac:dyDescent="0.3">
      <c r="I32" s="140"/>
      <c r="J32" s="140"/>
      <c r="K32" s="258" t="s">
        <v>46</v>
      </c>
      <c r="L32" s="259"/>
      <c r="M32" s="259"/>
      <c r="N32" s="259"/>
      <c r="O32" s="259"/>
      <c r="P32" s="259"/>
      <c r="Q32" s="259"/>
      <c r="R32" s="260"/>
    </row>
    <row r="33" spans="1:18" ht="15" customHeight="1" x14ac:dyDescent="0.25">
      <c r="I33" s="140"/>
      <c r="J33" s="141"/>
      <c r="K33" s="242" t="str">
        <f t="shared" ref="K33:K44" si="6">X3</f>
        <v>SKV - CLP</v>
      </c>
      <c r="L33" s="209"/>
      <c r="M33" s="209"/>
      <c r="N33" s="209"/>
      <c r="O33" s="142" t="str">
        <f t="shared" ref="O33:O44" si="7">AB3</f>
        <v>3:4p</v>
      </c>
      <c r="P33" s="208" t="str">
        <f t="shared" ref="P33:P44" si="8">AC3</f>
        <v>2020/2021 (ZČ)</v>
      </c>
      <c r="Q33" s="209"/>
      <c r="R33" s="210"/>
    </row>
    <row r="34" spans="1:18" ht="15" customHeight="1" thickBot="1" x14ac:dyDescent="0.3">
      <c r="I34" s="140"/>
      <c r="J34" s="141"/>
      <c r="K34" s="246" t="str">
        <f t="shared" si="6"/>
        <v>CLP - SKV</v>
      </c>
      <c r="L34" s="212"/>
      <c r="M34" s="212"/>
      <c r="N34" s="212"/>
      <c r="O34" s="143" t="str">
        <f t="shared" si="7"/>
        <v>11:5</v>
      </c>
      <c r="P34" s="211" t="str">
        <f t="shared" si="8"/>
        <v>2020/2021 (ZČ)</v>
      </c>
      <c r="Q34" s="212"/>
      <c r="R34" s="213"/>
    </row>
    <row r="35" spans="1:18" ht="15" customHeight="1" thickTop="1" thickBot="1" x14ac:dyDescent="0.3">
      <c r="A35" s="243" t="s">
        <v>45</v>
      </c>
      <c r="B35" s="244"/>
      <c r="C35" s="244"/>
      <c r="D35" s="244"/>
      <c r="E35" s="244"/>
      <c r="F35" s="244"/>
      <c r="G35" s="244"/>
      <c r="H35" s="245"/>
      <c r="I35" s="144"/>
      <c r="J35" s="144"/>
      <c r="K35" s="246" t="str">
        <f t="shared" si="6"/>
        <v>CLP - SKV</v>
      </c>
      <c r="L35" s="212"/>
      <c r="M35" s="212"/>
      <c r="N35" s="212"/>
      <c r="O35" s="143" t="str">
        <f t="shared" si="7"/>
        <v>6:7p</v>
      </c>
      <c r="P35" s="211" t="str">
        <f t="shared" si="8"/>
        <v>2019/2020 (ZČ)</v>
      </c>
      <c r="Q35" s="212"/>
      <c r="R35" s="213"/>
    </row>
    <row r="36" spans="1:18" ht="15" customHeight="1" x14ac:dyDescent="0.25">
      <c r="A36" s="236" t="str">
        <f>A1</f>
        <v>SKV</v>
      </c>
      <c r="B36" s="237"/>
      <c r="C36" s="237"/>
      <c r="D36" s="238"/>
      <c r="E36" s="239" t="str">
        <f>J1</f>
        <v>BOH</v>
      </c>
      <c r="F36" s="240"/>
      <c r="G36" s="240"/>
      <c r="H36" s="241"/>
      <c r="I36" s="144"/>
      <c r="J36" s="144"/>
      <c r="K36" s="196" t="str">
        <f t="shared" si="6"/>
        <v>SKV - CLP</v>
      </c>
      <c r="L36" s="194"/>
      <c r="M36" s="194"/>
      <c r="N36" s="194"/>
      <c r="O36" s="145" t="str">
        <f t="shared" si="7"/>
        <v>8:5</v>
      </c>
      <c r="P36" s="193" t="str">
        <f t="shared" si="8"/>
        <v>2019/2020 (ZČ)</v>
      </c>
      <c r="Q36" s="194"/>
      <c r="R36" s="195"/>
    </row>
    <row r="37" spans="1:18" ht="15" customHeight="1" x14ac:dyDescent="0.25">
      <c r="A37" s="230" t="s">
        <v>42</v>
      </c>
      <c r="B37" s="231"/>
      <c r="C37" s="247" t="s">
        <v>896</v>
      </c>
      <c r="D37" s="247"/>
      <c r="E37" s="247"/>
      <c r="F37" s="247"/>
      <c r="G37" s="247"/>
      <c r="H37" s="248"/>
      <c r="I37" s="144"/>
      <c r="J37" s="144"/>
      <c r="K37" s="196" t="str">
        <f t="shared" si="6"/>
        <v>SKV - CLP</v>
      </c>
      <c r="L37" s="194"/>
      <c r="M37" s="194"/>
      <c r="N37" s="194"/>
      <c r="O37" s="145" t="str">
        <f t="shared" si="7"/>
        <v>7:6p</v>
      </c>
      <c r="P37" s="193" t="str">
        <f t="shared" si="8"/>
        <v>2018/2019 (ZČ)</v>
      </c>
      <c r="Q37" s="194"/>
      <c r="R37" s="195"/>
    </row>
    <row r="38" spans="1:18" ht="15" customHeight="1" x14ac:dyDescent="0.25">
      <c r="A38" s="232" t="s">
        <v>43</v>
      </c>
      <c r="B38" s="233"/>
      <c r="C38" s="249" t="s">
        <v>896</v>
      </c>
      <c r="D38" s="249"/>
      <c r="E38" s="249"/>
      <c r="F38" s="249"/>
      <c r="G38" s="249"/>
      <c r="H38" s="250"/>
      <c r="I38" s="140"/>
      <c r="J38" s="146"/>
      <c r="K38" s="282" t="str">
        <f t="shared" si="6"/>
        <v>CLP - SKV</v>
      </c>
      <c r="L38" s="283"/>
      <c r="M38" s="283"/>
      <c r="N38" s="283"/>
      <c r="O38" s="147" t="str">
        <f t="shared" si="7"/>
        <v>11:5</v>
      </c>
      <c r="P38" s="284" t="str">
        <f t="shared" si="8"/>
        <v>2018/2019 (ZČ)</v>
      </c>
      <c r="Q38" s="283"/>
      <c r="R38" s="285"/>
    </row>
    <row r="39" spans="1:18" ht="15" customHeight="1" x14ac:dyDescent="0.25">
      <c r="A39" s="230"/>
      <c r="B39" s="231"/>
      <c r="C39" s="247"/>
      <c r="D39" s="247"/>
      <c r="E39" s="247"/>
      <c r="F39" s="247"/>
      <c r="G39" s="247"/>
      <c r="H39" s="248"/>
      <c r="I39" s="140"/>
      <c r="J39" s="146"/>
      <c r="K39" s="196" t="str">
        <f t="shared" si="6"/>
        <v/>
      </c>
      <c r="L39" s="194"/>
      <c r="M39" s="194"/>
      <c r="N39" s="194"/>
      <c r="O39" s="145" t="str">
        <f t="shared" si="7"/>
        <v/>
      </c>
      <c r="P39" s="193" t="str">
        <f t="shared" si="8"/>
        <v/>
      </c>
      <c r="Q39" s="194"/>
      <c r="R39" s="195"/>
    </row>
    <row r="40" spans="1:18" ht="15" customHeight="1" x14ac:dyDescent="0.25">
      <c r="A40" s="232"/>
      <c r="B40" s="233"/>
      <c r="C40" s="249"/>
      <c r="D40" s="249"/>
      <c r="E40" s="249"/>
      <c r="F40" s="249"/>
      <c r="G40" s="249"/>
      <c r="H40" s="250"/>
      <c r="I40" s="144"/>
      <c r="J40" s="144"/>
      <c r="K40" s="196" t="str">
        <f t="shared" si="6"/>
        <v/>
      </c>
      <c r="L40" s="194"/>
      <c r="M40" s="194"/>
      <c r="N40" s="194"/>
      <c r="O40" s="145" t="str">
        <f t="shared" si="7"/>
        <v/>
      </c>
      <c r="P40" s="193" t="str">
        <f t="shared" si="8"/>
        <v/>
      </c>
      <c r="Q40" s="194"/>
      <c r="R40" s="195"/>
    </row>
    <row r="41" spans="1:18" ht="15" customHeight="1" x14ac:dyDescent="0.25">
      <c r="A41" s="230"/>
      <c r="B41" s="231"/>
      <c r="C41" s="247"/>
      <c r="D41" s="247"/>
      <c r="E41" s="247"/>
      <c r="F41" s="247"/>
      <c r="G41" s="247"/>
      <c r="H41" s="248"/>
      <c r="I41" s="144"/>
      <c r="J41" s="144"/>
      <c r="K41" s="282" t="str">
        <f t="shared" si="6"/>
        <v/>
      </c>
      <c r="L41" s="283"/>
      <c r="M41" s="283"/>
      <c r="N41" s="283"/>
      <c r="O41" s="147" t="str">
        <f t="shared" si="7"/>
        <v/>
      </c>
      <c r="P41" s="284" t="str">
        <f t="shared" si="8"/>
        <v/>
      </c>
      <c r="Q41" s="283"/>
      <c r="R41" s="285"/>
    </row>
    <row r="42" spans="1:18" ht="15" customHeight="1" x14ac:dyDescent="0.25">
      <c r="A42" s="232"/>
      <c r="B42" s="233"/>
      <c r="C42" s="249"/>
      <c r="D42" s="249"/>
      <c r="E42" s="249"/>
      <c r="F42" s="249"/>
      <c r="G42" s="249"/>
      <c r="H42" s="250"/>
      <c r="I42" s="144"/>
      <c r="J42" s="144"/>
      <c r="K42" s="196" t="str">
        <f t="shared" si="6"/>
        <v/>
      </c>
      <c r="L42" s="194"/>
      <c r="M42" s="194"/>
      <c r="N42" s="194"/>
      <c r="O42" s="145" t="str">
        <f t="shared" si="7"/>
        <v/>
      </c>
      <c r="P42" s="193" t="str">
        <f t="shared" si="8"/>
        <v/>
      </c>
      <c r="Q42" s="194"/>
      <c r="R42" s="195"/>
    </row>
    <row r="43" spans="1:18" ht="15" customHeight="1" x14ac:dyDescent="0.25">
      <c r="A43" s="230"/>
      <c r="B43" s="231"/>
      <c r="C43" s="247"/>
      <c r="D43" s="247"/>
      <c r="E43" s="247"/>
      <c r="F43" s="247"/>
      <c r="G43" s="247"/>
      <c r="H43" s="248"/>
      <c r="I43" s="144"/>
      <c r="J43" s="144"/>
      <c r="K43" s="196" t="str">
        <f t="shared" si="6"/>
        <v/>
      </c>
      <c r="L43" s="194"/>
      <c r="M43" s="194"/>
      <c r="N43" s="194"/>
      <c r="O43" s="145" t="str">
        <f t="shared" si="7"/>
        <v/>
      </c>
      <c r="P43" s="193" t="str">
        <f t="shared" si="8"/>
        <v/>
      </c>
      <c r="Q43" s="194"/>
      <c r="R43" s="195"/>
    </row>
    <row r="44" spans="1:18" ht="15" customHeight="1" thickBot="1" x14ac:dyDescent="0.3">
      <c r="A44" s="234"/>
      <c r="B44" s="235"/>
      <c r="C44" s="286"/>
      <c r="D44" s="286"/>
      <c r="E44" s="286"/>
      <c r="F44" s="286"/>
      <c r="G44" s="286"/>
      <c r="H44" s="287"/>
      <c r="I44" s="144"/>
      <c r="J44" s="144"/>
      <c r="K44" s="196" t="str">
        <f t="shared" si="6"/>
        <v/>
      </c>
      <c r="L44" s="194"/>
      <c r="M44" s="194"/>
      <c r="N44" s="194"/>
      <c r="O44" s="145" t="str">
        <f t="shared" si="7"/>
        <v/>
      </c>
      <c r="P44" s="193" t="str">
        <f t="shared" si="8"/>
        <v/>
      </c>
      <c r="Q44" s="194"/>
      <c r="R44" s="195"/>
    </row>
    <row r="45" spans="1:18" ht="15" customHeight="1" thickTop="1" x14ac:dyDescent="0.25">
      <c r="A45" s="144"/>
      <c r="B45" s="144"/>
      <c r="C45" s="144"/>
      <c r="D45" s="144"/>
      <c r="E45" s="144"/>
      <c r="F45" s="144"/>
      <c r="G45" s="144"/>
      <c r="H45" s="144"/>
      <c r="I45" s="144"/>
      <c r="J45" s="144"/>
      <c r="K45" s="196" t="str">
        <f t="shared" ref="K45:K48" si="9">X15</f>
        <v/>
      </c>
      <c r="L45" s="194"/>
      <c r="M45" s="194"/>
      <c r="N45" s="194"/>
      <c r="O45" s="145" t="str">
        <f t="shared" ref="O45:P45" si="10">AB15</f>
        <v/>
      </c>
      <c r="P45" s="193" t="str">
        <f t="shared" si="10"/>
        <v/>
      </c>
      <c r="Q45" s="194"/>
      <c r="R45" s="195"/>
    </row>
    <row r="46" spans="1:18" ht="15" customHeight="1" x14ac:dyDescent="0.25">
      <c r="A46" s="140"/>
      <c r="B46" s="140"/>
      <c r="C46" s="140"/>
      <c r="D46" s="140"/>
      <c r="E46" s="140"/>
      <c r="F46" s="144"/>
      <c r="G46" s="144"/>
      <c r="H46" s="144"/>
      <c r="I46" s="144"/>
      <c r="J46" s="144"/>
      <c r="K46" s="196" t="str">
        <f t="shared" si="9"/>
        <v/>
      </c>
      <c r="L46" s="194"/>
      <c r="M46" s="194"/>
      <c r="N46" s="194"/>
      <c r="O46" s="145" t="str">
        <f t="shared" ref="O46:P46" si="11">AB16</f>
        <v/>
      </c>
      <c r="P46" s="193" t="str">
        <f t="shared" si="11"/>
        <v/>
      </c>
      <c r="Q46" s="194"/>
      <c r="R46" s="195"/>
    </row>
    <row r="47" spans="1:18" ht="15" customHeight="1" x14ac:dyDescent="0.25">
      <c r="A47" s="140"/>
      <c r="B47" s="140"/>
      <c r="C47" s="140"/>
      <c r="D47" s="140"/>
      <c r="E47" s="140"/>
      <c r="F47" s="144"/>
      <c r="G47" s="144"/>
      <c r="H47" s="144"/>
      <c r="I47" s="144"/>
      <c r="J47" s="144"/>
      <c r="K47" s="196" t="str">
        <f t="shared" si="9"/>
        <v/>
      </c>
      <c r="L47" s="194"/>
      <c r="M47" s="194"/>
      <c r="N47" s="194"/>
      <c r="O47" s="145" t="str">
        <f t="shared" ref="O47:P47" si="12">AB17</f>
        <v/>
      </c>
      <c r="P47" s="193" t="str">
        <f t="shared" si="12"/>
        <v/>
      </c>
      <c r="Q47" s="194"/>
      <c r="R47" s="195"/>
    </row>
    <row r="48" spans="1:18" ht="15" customHeight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197" t="str">
        <f t="shared" si="9"/>
        <v/>
      </c>
      <c r="L48" s="198"/>
      <c r="M48" s="198"/>
      <c r="N48" s="198"/>
      <c r="O48" s="149" t="str">
        <f t="shared" ref="O48:P48" si="13">AB18</f>
        <v/>
      </c>
      <c r="P48" s="199" t="str">
        <f t="shared" si="13"/>
        <v/>
      </c>
      <c r="Q48" s="198"/>
      <c r="R48" s="200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280">
        <f ca="1">TODAY()</f>
        <v>44479</v>
      </c>
      <c r="H50" s="281"/>
      <c r="I50" s="281"/>
      <c r="J50" s="281"/>
      <c r="K50" s="281"/>
      <c r="L50" s="281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23"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M28:N28"/>
    <mergeCell ref="P28:Q28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C41:H41"/>
    <mergeCell ref="C42:H42"/>
    <mergeCell ref="C43:H43"/>
    <mergeCell ref="C44:H44"/>
    <mergeCell ref="K45:N45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C15:D15"/>
    <mergeCell ref="E15:F15"/>
    <mergeCell ref="G15:H15"/>
    <mergeCell ref="J15:K15"/>
    <mergeCell ref="A30:B30"/>
    <mergeCell ref="D30:E30"/>
    <mergeCell ref="G30:H30"/>
    <mergeCell ref="J30:K30"/>
    <mergeCell ref="M30:N30"/>
    <mergeCell ref="A41:B41"/>
    <mergeCell ref="A42:B42"/>
    <mergeCell ref="A43:B43"/>
    <mergeCell ref="A44:B44"/>
    <mergeCell ref="A36:D36"/>
    <mergeCell ref="E36:H36"/>
    <mergeCell ref="K33:N33"/>
    <mergeCell ref="A35:H35"/>
    <mergeCell ref="A37:B37"/>
    <mergeCell ref="A38:B38"/>
    <mergeCell ref="A39:B39"/>
    <mergeCell ref="A40:B40"/>
    <mergeCell ref="K34:N34"/>
    <mergeCell ref="K35:N35"/>
    <mergeCell ref="C37:H37"/>
    <mergeCell ref="C38:H38"/>
    <mergeCell ref="C39:H39"/>
    <mergeCell ref="C40:H40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P45:R45"/>
    <mergeCell ref="K46:N46"/>
    <mergeCell ref="P46:R46"/>
    <mergeCell ref="K47:N47"/>
    <mergeCell ref="P47:R47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</mergeCells>
  <conditionalFormatting sqref="A1:R2">
    <cfRule type="cellIs" dxfId="841" priority="3" stopIfTrue="1" operator="equal">
      <formula>"OTR"</formula>
    </cfRule>
  </conditionalFormatting>
  <conditionalFormatting sqref="A1:R2 A36 E36">
    <cfRule type="cellIs" dxfId="840" priority="4" stopIfTrue="1" operator="equal">
      <formula>"PAR"</formula>
    </cfRule>
    <cfRule type="cellIs" dxfId="839" priority="5" stopIfTrue="1" operator="equal">
      <formula>"CLP"</formula>
    </cfRule>
    <cfRule type="cellIs" dxfId="838" priority="6" stopIfTrue="1" operator="equal">
      <formula>"HAT"</formula>
    </cfRule>
    <cfRule type="cellIs" dxfId="837" priority="7" stopIfTrue="1" operator="equal">
      <formula>"LIB"</formula>
    </cfRule>
    <cfRule type="cellIs" dxfId="836" priority="8" stopIfTrue="1" operator="equal">
      <formula>"BA"</formula>
    </cfRule>
    <cfRule type="cellIs" dxfId="835" priority="9" stopIfTrue="1" operator="equal">
      <formula>"SPA"</formula>
    </cfRule>
    <cfRule type="cellIs" dxfId="834" priority="10" stopIfTrue="1" operator="equal">
      <formula>"OST"</formula>
    </cfRule>
    <cfRule type="cellIs" dxfId="833" priority="11" stopIfTrue="1" operator="equal">
      <formula>"BOH"</formula>
    </cfRule>
    <cfRule type="cellIs" dxfId="832" priority="12" stopIfTrue="1" operator="equal">
      <formula>"TAT"</formula>
    </cfRule>
    <cfRule type="cellIs" dxfId="831" priority="13" stopIfTrue="1" operator="equal">
      <formula>"MB"</formula>
    </cfRule>
    <cfRule type="cellIs" dxfId="830" priority="14" stopIfTrue="1" operator="equal">
      <formula>"VIT"</formula>
    </cfRule>
    <cfRule type="cellIs" dxfId="829" priority="15" stopIfTrue="1" operator="equal">
      <formula>"CHO"</formula>
    </cfRule>
    <cfRule type="cellIs" dxfId="828" priority="16" stopIfTrue="1" operator="equal">
      <formula>"SKV"</formula>
    </cfRule>
  </conditionalFormatting>
  <conditionalFormatting sqref="K33:R48">
    <cfRule type="expression" dxfId="827" priority="2">
      <formula>AND($K33&lt;&gt;"", MOD(ROW($K33),2)=0)</formula>
    </cfRule>
  </conditionalFormatting>
  <conditionalFormatting sqref="A37:H44">
    <cfRule type="expression" dxfId="826" priority="1">
      <formula>AND($A37&lt;&gt;"",MOD(ROW($A37),2)=0)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>
          <x14:formula1>
            <xm:f>tabulka!$BB$2:$BB$15</xm:f>
          </x14:formula1>
          <xm:sqref>A1:I2 J1:R2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A1:L34"/>
  <sheetViews>
    <sheetView view="pageLayout" zoomScaleNormal="100" workbookViewId="0">
      <selection activeCell="A18" sqref="A18"/>
    </sheetView>
  </sheetViews>
  <sheetFormatPr defaultColWidth="9.140625" defaultRowHeight="14.25" x14ac:dyDescent="0.25"/>
  <cols>
    <col min="1" max="1" width="21.28515625" style="3" customWidth="1"/>
    <col min="2" max="6" width="21.28515625" style="187" customWidth="1"/>
    <col min="7" max="7" width="21.28515625" style="3" customWidth="1"/>
    <col min="8" max="12" width="21.28515625" style="187" customWidth="1"/>
    <col min="13" max="16384" width="9.140625" style="3"/>
  </cols>
  <sheetData>
    <row r="1" spans="1:12" x14ac:dyDescent="0.25">
      <c r="A1" s="329" t="str">
        <f>prehled!A1</f>
        <v>SKV</v>
      </c>
      <c r="B1" s="329"/>
      <c r="C1" s="329"/>
      <c r="D1" s="329"/>
      <c r="E1" s="329"/>
      <c r="F1" s="329"/>
      <c r="G1" s="329" t="str">
        <f>prehled!J1</f>
        <v>BOH</v>
      </c>
      <c r="H1" s="329"/>
      <c r="I1" s="329"/>
      <c r="J1" s="329"/>
      <c r="K1" s="329"/>
      <c r="L1" s="329"/>
    </row>
    <row r="2" spans="1:12" x14ac:dyDescent="0.25">
      <c r="A2" s="329"/>
      <c r="B2" s="329"/>
      <c r="C2" s="329"/>
      <c r="D2" s="329"/>
      <c r="E2" s="329"/>
      <c r="F2" s="329"/>
      <c r="G2" s="329"/>
      <c r="H2" s="329"/>
      <c r="I2" s="329"/>
      <c r="J2" s="329"/>
      <c r="K2" s="329"/>
      <c r="L2" s="329"/>
    </row>
    <row r="3" spans="1:12" s="153" customFormat="1" ht="19.5" x14ac:dyDescent="0.25">
      <c r="A3" s="330" t="s">
        <v>92</v>
      </c>
      <c r="B3" s="330"/>
      <c r="C3" s="330"/>
      <c r="D3" s="330"/>
      <c r="E3" s="330"/>
      <c r="F3" s="330"/>
      <c r="G3" s="330" t="s">
        <v>92</v>
      </c>
      <c r="H3" s="330"/>
      <c r="I3" s="330"/>
      <c r="J3" s="330"/>
      <c r="K3" s="330"/>
      <c r="L3" s="330"/>
    </row>
    <row r="4" spans="1:12" ht="14.25" customHeight="1" x14ac:dyDescent="0.25">
      <c r="A4" s="329" t="str">
        <f>A1</f>
        <v>SKV</v>
      </c>
      <c r="B4" s="189" t="str">
        <f ca="1">IF($A$4&lt;&gt;0,IFERROR(INDEX(zajimavosti_tymy!B:B,MATCH(prehled!$A$3,OFFSET(zajimavosti_tymy!$A$2,,,(COUNTA(zajimavosti_tymy!$A:$A)-1)*3),0)+1),""),"")</f>
        <v>proti CLP první výhra od 30. 1.</v>
      </c>
      <c r="C4" s="190" t="str">
        <f ca="1">IF($A$4&lt;&gt;0,IFERROR(INDEX(zajimavosti_tymy!C:C,MATCH(prehled!$A$3,OFFSET(zajimavosti_tymy!$A$2,,,(COUNTA(zajimavosti_tymy!$A:$A)-1)*3),0)+1),""),"")</f>
        <v>proti CLP 5 využitých PP ze 6</v>
      </c>
      <c r="D4" s="190" t="str">
        <f ca="1">IF($A$4&lt;&gt;0,IFERROR(INDEX(zajimavosti_tymy!D:D,MATCH(prehled!$A$3,OFFSET(zajimavosti_tymy!$A$2,,,(COUNTA(zajimavosti_tymy!$A:$A)-1)*3),0)+1),""),"")</f>
        <v>klub založen 1997</v>
      </c>
      <c r="E4" s="190" t="str">
        <f ca="1">IF($A$4&lt;&gt;0,IFERROR(INDEX(zajimavosti_tymy!E:E,MATCH(prehled!$A$3,OFFSET(zajimavosti_tymy!$A$2,,,(COUNTA(zajimavosti_tymy!$A:$A)-1)*3),0)+1),""),"")</f>
        <v>v sezóně 06/07 poprvé v extralize</v>
      </c>
      <c r="F4" s="191" t="str">
        <f ca="1">IF($A$4&lt;&gt;0,IFERROR(INDEX(zajimavosti_tymy!F:F,MATCH(prehled!$A$3,OFFSET(zajimavosti_tymy!$A$2,,,(COUNTA(zajimavosti_tymy!$A:$A)-1)*3),0)+1),""),"")</f>
        <v>jediná účast v PO (19/20)</v>
      </c>
      <c r="G4" s="329" t="str">
        <f>G1</f>
        <v>BOH</v>
      </c>
      <c r="H4" s="189" t="str">
        <f ca="1">IF($G$4&lt;&gt;0,IFERROR(INDEX(zajimavosti_tymy!B:B,MATCH(prehled!$J$3,OFFSET(zajimavosti_tymy!$A$2,,,(COUNTA(zajimavosti_tymy!$A:$A)-1)*3),0)+1),""),"")</f>
        <v/>
      </c>
      <c r="I4" s="190" t="str">
        <f ca="1">IF($G$4&lt;&gt;0,IFERROR(INDEX(zajimavosti_tymy!C:C,MATCH(prehled!$J$3,OFFSET(zajimavosti_tymy!$A$2,,,(COUNTA(zajimavosti_tymy!$A:$A)-1)*3),0)+1),""),"")</f>
        <v/>
      </c>
      <c r="J4" s="190" t="str">
        <f ca="1">IF($G$4&lt;&gt;0,IFERROR(INDEX(zajimavosti_tymy!D:D,MATCH(prehled!$J$3,OFFSET(zajimavosti_tymy!$A$2,,,(COUNTA(zajimavosti_tymy!$A:$A)-1)*3),0)+1),""),"")</f>
        <v/>
      </c>
      <c r="K4" s="190" t="str">
        <f ca="1">IF($G$4&lt;&gt;0,IFERROR(INDEX(zajimavosti_tymy!E:E,MATCH(prehled!$J$3,OFFSET(zajimavosti_tymy!$A$2,,,(COUNTA(zajimavosti_tymy!$A:$A)-1)*3),0)+1),""),"")</f>
        <v/>
      </c>
      <c r="L4" s="191" t="str">
        <f ca="1">IF($G$4&lt;&gt;0,IFERROR(INDEX(zajimavosti_tymy!F:F,MATCH(prehled!$J$3,OFFSET(zajimavosti_tymy!$A$2,,,(COUNTA(zajimavosti_tymy!$A:$A)-1)*3),0)+1),""),"")</f>
        <v/>
      </c>
    </row>
    <row r="5" spans="1:12" ht="14.25" customHeight="1" x14ac:dyDescent="0.25">
      <c r="A5" s="329"/>
      <c r="B5" s="189">
        <f ca="1">IF($A$4&lt;&gt;0,IFERROR(INDEX(zajimavosti_tymy!B:B,MATCH(prehled!$A$3,OFFSET(zajimavosti_tymy!$A$2,,,(COUNTA(zajimavosti_tymy!$A:$A)-1)*3),0)+2),""),"")</f>
        <v>0</v>
      </c>
      <c r="C5" s="190">
        <f ca="1">IF($A$4&lt;&gt;0,IFERROR(INDEX(zajimavosti_tymy!C:C,MATCH(prehled!$A$3,OFFSET(zajimavosti_tymy!$A$2,,,(COUNTA(zajimavosti_tymy!$A:$A)-1)*3),0)+2),""),"")</f>
        <v>0</v>
      </c>
      <c r="D5" s="190">
        <f ca="1">IF($A$4&lt;&gt;0,IFERROR(INDEX(zajimavosti_tymy!D:D,MATCH(prehled!$A$3,OFFSET(zajimavosti_tymy!$A$2,,,(COUNTA(zajimavosti_tymy!$A:$A)-1)*3),0)+2),""),"")</f>
        <v>0</v>
      </c>
      <c r="E5" s="190">
        <f ca="1">IF($A$4&lt;&gt;0,IFERROR(INDEX(zajimavosti_tymy!E:E,MATCH(prehled!$A$3,OFFSET(zajimavosti_tymy!$A$2,,,(COUNTA(zajimavosti_tymy!$A:$A)-1)*3),0)+2),""),"")</f>
        <v>0</v>
      </c>
      <c r="F5" s="191">
        <f ca="1">IF($A$4&lt;&gt;0,IFERROR(INDEX(zajimavosti_tymy!F:F,MATCH(prehled!$A$3,OFFSET(zajimavosti_tymy!$A$2,,,(COUNTA(zajimavosti_tymy!$A:$A)-1)*3),0)+2),""),"")</f>
        <v>0</v>
      </c>
      <c r="G5" s="329"/>
      <c r="H5" s="189" t="str">
        <f ca="1">IF($G$4&lt;&gt;0,IFERROR(INDEX(zajimavosti_tymy!B:B,MATCH(prehled!$J$3,OFFSET(zajimavosti_tymy!$A$2,,,(COUNTA(zajimavosti_tymy!$A:$A)-1)*3),0)+2),""),"")</f>
        <v/>
      </c>
      <c r="I5" s="190" t="str">
        <f ca="1">IF($G$4&lt;&gt;0,IFERROR(INDEX(zajimavosti_tymy!C:C,MATCH(prehled!$J$3,OFFSET(zajimavosti_tymy!$A$2,,,(COUNTA(zajimavosti_tymy!$A:$A)-1)*3),0)+2),""),"")</f>
        <v/>
      </c>
      <c r="J5" s="190" t="str">
        <f ca="1">IF($G$4&lt;&gt;0,IFERROR(INDEX(zajimavosti_tymy!D:D,MATCH(prehled!$J$3,OFFSET(zajimavosti_tymy!$A$2,,,(COUNTA(zajimavosti_tymy!$A:$A)-1)*3),0)+2),""),"")</f>
        <v/>
      </c>
      <c r="K5" s="190" t="str">
        <f ca="1">IF($G$4&lt;&gt;0,IFERROR(INDEX(zajimavosti_tymy!E:E,MATCH(prehled!$J$3,OFFSET(zajimavosti_tymy!$A$2,,,(COUNTA(zajimavosti_tymy!$A:$A)-1)*3),0)+2),""),"")</f>
        <v/>
      </c>
      <c r="L5" s="191" t="str">
        <f ca="1">IF($G$4&lt;&gt;0,IFERROR(INDEX(zajimavosti_tymy!F:F,MATCH(prehled!$J$3,OFFSET(zajimavosti_tymy!$A$2,,,(COUNTA(zajimavosti_tymy!$A:$A)-1)*3),0)+2),""),"")</f>
        <v/>
      </c>
    </row>
    <row r="6" spans="1:12" x14ac:dyDescent="0.25">
      <c r="A6" s="329"/>
      <c r="B6" s="189">
        <f ca="1">IF($A$4&lt;&gt;0,IFERROR(INDEX(zajimavosti_tymy!B:B,MATCH(prehled!$A$3,OFFSET(zajimavosti_tymy!$A$2,,,(COUNTA(zajimavosti_tymy!$A:$A)-1)*3),0)+3),""),"")</f>
        <v>0</v>
      </c>
      <c r="C6" s="190">
        <f ca="1">IF($A$4&lt;&gt;0,IFERROR(INDEX(zajimavosti_tymy!C:C,MATCH(prehled!$A$3,OFFSET(zajimavosti_tymy!$A$2,,,(COUNTA(zajimavosti_tymy!$A:$A)-1)*3),0)+3),""),"")</f>
        <v>0</v>
      </c>
      <c r="D6" s="190">
        <f ca="1">IF($A$4&lt;&gt;0,IFERROR(INDEX(zajimavosti_tymy!D:D,MATCH(prehled!$A$3,OFFSET(zajimavosti_tymy!$A$2,,,(COUNTA(zajimavosti_tymy!$A:$A)-1)*3),0)+3),""),"")</f>
        <v>0</v>
      </c>
      <c r="E6" s="190">
        <f ca="1">IF($A$4&lt;&gt;0,IFERROR(INDEX(zajimavosti_tymy!E:E,MATCH(prehled!$A$3,OFFSET(zajimavosti_tymy!$A$2,,,(COUNTA(zajimavosti_tymy!$A:$A)-1)*3),0)+3),""),"")</f>
        <v>0</v>
      </c>
      <c r="F6" s="191">
        <f ca="1">IF($A$4&lt;&gt;0,IFERROR(INDEX(zajimavosti_tymy!F:F,MATCH(prehled!$A$3,OFFSET(zajimavosti_tymy!$A$2,,,(COUNTA(zajimavosti_tymy!$A:$A)-1)*3),0)+3),""),"")</f>
        <v>0</v>
      </c>
      <c r="G6" s="329"/>
      <c r="H6" s="189" t="str">
        <f ca="1">IF($G$4&lt;&gt;0,IFERROR(INDEX(zajimavosti_tymy!B:B,MATCH(prehled!$J$3,OFFSET(zajimavosti_tymy!$A$2,,,(COUNTA(zajimavosti_tymy!$A:$A)-1)*3),0)+3),""),"")</f>
        <v/>
      </c>
      <c r="I6" s="190" t="str">
        <f ca="1">IF($G$4&lt;&gt;0,IFERROR(INDEX(zajimavosti_tymy!C:C,MATCH(prehled!$J$3,OFFSET(zajimavosti_tymy!$A$2,,,(COUNTA(zajimavosti_tymy!$A:$A)-1)*3),0)+3),""),"")</f>
        <v/>
      </c>
      <c r="J6" s="190" t="str">
        <f ca="1">IF($G$4&lt;&gt;0,IFERROR(INDEX(zajimavosti_tymy!D:D,MATCH(prehled!$J$3,OFFSET(zajimavosti_tymy!$A$2,,,(COUNTA(zajimavosti_tymy!$A:$A)-1)*3),0)+3),""),"")</f>
        <v/>
      </c>
      <c r="K6" s="190" t="str">
        <f ca="1">IF($G$4&lt;&gt;0,IFERROR(INDEX(zajimavosti_tymy!E:E,MATCH(prehled!$J$3,OFFSET(zajimavosti_tymy!$A$2,,,(COUNTA(zajimavosti_tymy!$A:$A)-1)*3),0)+3),""),"")</f>
        <v/>
      </c>
      <c r="L6" s="191" t="str">
        <f ca="1">IF($G$4&lt;&gt;0,IFERROR(INDEX(zajimavosti_tymy!F:F,MATCH(prehled!$J$3,OFFSET(zajimavosti_tymy!$A$2,,,(COUNTA(zajimavosti_tymy!$A:$A)-1)*3),0)+3),""),"")</f>
        <v/>
      </c>
    </row>
    <row r="7" spans="1:12" s="153" customFormat="1" ht="19.5" x14ac:dyDescent="0.25">
      <c r="A7" s="330" t="s">
        <v>840</v>
      </c>
      <c r="B7" s="330"/>
      <c r="C7" s="330"/>
      <c r="D7" s="330"/>
      <c r="E7" s="330"/>
      <c r="F7" s="330"/>
      <c r="G7" s="330" t="s">
        <v>840</v>
      </c>
      <c r="H7" s="330"/>
      <c r="I7" s="330"/>
      <c r="J7" s="330"/>
      <c r="K7" s="330"/>
      <c r="L7" s="330"/>
    </row>
    <row r="8" spans="1:12" x14ac:dyDescent="0.25">
      <c r="A8" s="192" t="str">
        <f ca="1">IF(INDIRECT("priprava_" &amp; A$1 &amp; "!A1")&lt;&gt;0,INDIRECT("priprava_" &amp; A$1 &amp; "!A1"),"")</f>
        <v>Jan Fiala</v>
      </c>
      <c r="B8" s="189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8" s="190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VZP + studium</v>
      </c>
      <c r="D8" s="190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hokej, beach volejbal, playstation</v>
      </c>
      <c r="E8" s="190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8" s="191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8" s="192" t="str">
        <f ca="1">IF(INDIRECT("priprava_" &amp; G$1 &amp; "!A1")&lt;&gt;0,INDIRECT("priprava_" &amp; G$1 &amp; "!A1"),"")</f>
        <v/>
      </c>
      <c r="H8" s="190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190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190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190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191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92" t="str">
        <f ca="1">IF(INDIRECT("priprava_" &amp; A$1 &amp; "!M1")&lt;&gt;0,INDIRECT("priprava_" &amp; A$1 &amp; "!M1"),"")</f>
        <v>Jan Procházka</v>
      </c>
      <c r="B9" s="189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v Budějovicích</v>
      </c>
      <c r="C9" s="190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hned 24 bodů v PO, postup do 1. ligy</v>
      </c>
      <c r="D9" s="190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FTVS</v>
      </c>
      <c r="E9" s="190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9" s="191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9" s="192" t="str">
        <f ca="1">IF(INDIRECT("priprava_" &amp; G$1 &amp; "!M1")&lt;&gt;0,INDIRECT("priprava_" &amp; G$1 &amp; "!M1"),"")</f>
        <v/>
      </c>
      <c r="H9" s="190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190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190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190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191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92" t="str">
        <f ca="1">IF(INDIRECT("priprava_" &amp; A$1 &amp; "!G3")&lt;&gt;0,INDIRECT("priprava_" &amp; A$1 &amp; "!G3"),"")</f>
        <v>Zbyněk Stuchlík</v>
      </c>
      <c r="B10" s="189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juniorské MS 2011 (4.)</v>
      </c>
      <c r="C10" s="190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studium ve Švédsku (Hagunda IF)</v>
      </c>
      <c r="D10" s="190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2x postup do superligy</v>
      </c>
      <c r="E10" s="190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0" s="191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0" s="192" t="str">
        <f ca="1">IF(INDIRECT("priprava_" &amp; G$1 &amp; "!G3")&lt;&gt;0,INDIRECT("priprava_" &amp; G$1 &amp; "!G3"),"")</f>
        <v/>
      </c>
      <c r="H10" s="190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190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190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190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191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92" t="str">
        <f ca="1">IF(INDIRECT("priprava_" &amp; A$1 &amp; "!A6")&lt;&gt;0,INDIRECT("priprava_" &amp; A$1 &amp; "!A6"),"")</f>
        <v>Oliver Gold</v>
      </c>
      <c r="B11" s="189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sportovní redaktor</v>
      </c>
      <c r="C11" s="190" t="str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trenér mládeže v SKV</v>
      </c>
      <c r="D11" s="190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1" s="190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1" s="191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1" s="192" t="str">
        <f ca="1">IF(INDIRECT("priprava_" &amp; G$1 &amp; "!A6")&lt;&gt;0,INDIRECT("priprava_" &amp; G$1 &amp; "!A6"),"")</f>
        <v/>
      </c>
      <c r="H11" s="190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190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190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190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191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92" t="str">
        <f ca="1">IF(INDIRECT("priprava_" &amp; A$1 &amp; "!M6")&lt;&gt;0,INDIRECT("priprava_" &amp; A$1 &amp; "!M6"),"")</f>
        <v>Ondřej Stuchlík</v>
      </c>
      <c r="B12" s="189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VZP (ceny a úhrady léčiv)</v>
      </c>
      <c r="C12" s="190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2" s="190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2" s="190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2" s="191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2" s="192" t="str">
        <f ca="1">IF(INDIRECT("priprava_" &amp; G$1 &amp; "!M6")&lt;&gt;0,INDIRECT("priprava_" &amp; G$1 &amp; "!M6"),"")</f>
        <v/>
      </c>
      <c r="H12" s="190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190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190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190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191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92" t="str">
        <f ca="1">IF(INDIRECT("priprava_" &amp; A$1 &amp; "!A12")&lt;&gt;0,INDIRECT("priprava_" &amp; A$1 &amp; "!A12"),"")</f>
        <v>Viktor Kopecký</v>
      </c>
      <c r="B13" s="189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v 1. lize 111 zápasů, 271 bodů</v>
      </c>
      <c r="C13" s="190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3" s="190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3" s="190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3" s="191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3" s="192" t="str">
        <f ca="1">IF(INDIRECT("priprava_" &amp; G$1 &amp; "!A12")&lt;&gt;0,INDIRECT("priprava_" &amp; G$1 &amp; "!A12"),"")</f>
        <v/>
      </c>
      <c r="H13" s="190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190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190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190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191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92" t="str">
        <f ca="1">IF(INDIRECT("priprava_" &amp; A$1 &amp; "!M12")&lt;&gt;0,INDIRECT("priprava_" &amp; A$1 &amp; "!M12"),"")</f>
        <v>Vojtěch Klápa</v>
      </c>
      <c r="B14" s="189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Jiří Jakoubek a Miroslav Vybíral</v>
      </c>
      <c r="C14" s="190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jízda na kole, F-liiga</v>
      </c>
      <c r="D14" s="190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stolní tenis, tenis, badminton, volejbal</v>
      </c>
      <c r="E14" s="190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4" s="191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4" s="192" t="str">
        <f ca="1">IF(INDIRECT("priprava_" &amp; G$1 &amp; "!M12")&lt;&gt;0,INDIRECT("priprava_" &amp; G$1 &amp; "!M12"),"")</f>
        <v/>
      </c>
      <c r="H14" s="190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190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190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190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191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92" t="str">
        <f ca="1">IF(INDIRECT("priprava_" &amp; A$1 &amp; "!G14")&lt;&gt;0,INDIRECT("priprava_" &amp; A$1 &amp; "!G14"),"")</f>
        <v>Pavel Hájek</v>
      </c>
      <c r="B15" s="189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fotbalový brankář v Bohemce do 15</v>
      </c>
      <c r="C15" s="190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stříbro ve 2. lize juniorů (2019)</v>
      </c>
      <c r="D15" s="190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ČZU</v>
      </c>
      <c r="E15" s="190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5" s="191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5" s="192" t="str">
        <f ca="1">IF(INDIRECT("priprava_" &amp; G$1 &amp; "!G14")&lt;&gt;0,INDIRECT("priprava_" &amp; G$1 &amp; "!G14"),"")</f>
        <v/>
      </c>
      <c r="H15" s="190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190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190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190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191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92" t="str">
        <f ca="1">IF(INDIRECT("priprava_" &amp; A$1 &amp; "!A17")&lt;&gt;0,INDIRECT("priprava_" &amp; A$1 &amp; "!A17"),"")</f>
        <v>Štěpán Čuda</v>
      </c>
      <c r="B16" s="189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jun. mistr rep. s Bohemkou</v>
      </c>
      <c r="C16" s="190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začínal pod trenérkou Hyršlovou</v>
      </c>
      <c r="D16" s="190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16" s="190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Slavie</v>
      </c>
      <c r="F16" s="191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6" s="192" t="str">
        <f ca="1">IF(INDIRECT("priprava_" &amp; G$1 &amp; "!A17")&lt;&gt;0,INDIRECT("priprava_" &amp; G$1 &amp; "!A17"),"")</f>
        <v/>
      </c>
      <c r="H16" s="190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190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190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190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191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92" t="str">
        <f ca="1">IF(INDIRECT("priprava_" &amp; A$1 &amp; "!M17")&lt;&gt;0,INDIRECT("priprava_" &amp; A$1 &amp; "!M17"),"")</f>
        <v>David Ježek</v>
      </c>
      <c r="B17" s="189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7" s="190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7" s="190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7" s="190" t="str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7" s="191" t="str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7" s="192" t="str">
        <f ca="1">IF(INDIRECT("priprava_" &amp; G$1 &amp; "!M17")&lt;&gt;0,INDIRECT("priprava_" &amp; G$1 &amp; "!M17"),"")</f>
        <v/>
      </c>
      <c r="H17" s="190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190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190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190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191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92" t="str">
        <f ca="1">IF(INDIRECT("priprava_" &amp; A$1 &amp; "!A23")&lt;&gt;0,INDIRECT("priprava_" &amp; A$1 &amp; "!A23"),"")</f>
        <v>Štepán Švejda</v>
      </c>
      <c r="B18" s="189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z FA MB do Florbal MB</v>
      </c>
      <c r="C18" s="190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ČVUT elektrotechn. (kybern. a robo.)</v>
      </c>
      <c r="D18" s="190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klavír (7 let), sám na kytaru</v>
      </c>
      <c r="E18" s="190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8" s="191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8" s="192" t="str">
        <f ca="1">IF(INDIRECT("priprava_" &amp; G$1 &amp; "!A23")&lt;&gt;0,INDIRECT("priprava_" &amp; G$1 &amp; "!A23"),"")</f>
        <v/>
      </c>
      <c r="H18" s="190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190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190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190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191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92" t="str">
        <f ca="1">IF(INDIRECT("priprava_" &amp; A$1 &amp; "!M23")&lt;&gt;0,INDIRECT("priprava_" &amp; A$1 &amp; "!M23"),"")</f>
        <v>Jan Pinkas</v>
      </c>
      <c r="B19" s="189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19" s="190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D19" s="190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americký fotbal</v>
      </c>
      <c r="E19" s="190" t="str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vystudoval dopravní školu</v>
      </c>
      <c r="F19" s="191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9" s="192" t="str">
        <f ca="1">IF(INDIRECT("priprava_" &amp; G$1 &amp; "!M23")&lt;&gt;0,INDIRECT("priprava_" &amp; G$1 &amp; "!M23"),"")</f>
        <v/>
      </c>
      <c r="H19" s="190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190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190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190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191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92" t="str">
        <f ca="1">IF(INDIRECT("priprava_" &amp; A$1 &amp; "!G25")&lt;&gt;0,INDIRECT("priprava_" &amp; A$1 &amp; "!G25"),"")</f>
        <v>Ivan Pergler</v>
      </c>
      <c r="B20" s="189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DDM Modřany -&gt; Vosy Praha</v>
      </c>
      <c r="C20" s="190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pod Berkou ve Spartě</v>
      </c>
      <c r="D20" s="190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Masarykův ČVUT</v>
      </c>
      <c r="E20" s="190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 (Premier League), fifa</v>
      </c>
      <c r="F20" s="191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0" s="192" t="str">
        <f ca="1">IF(INDIRECT("priprava_" &amp; G$1 &amp; "!G25")&lt;&gt;0,INDIRECT("priprava_" &amp; G$1 &amp; "!G25"),"")</f>
        <v/>
      </c>
      <c r="H20" s="190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190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190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190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191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92" t="str">
        <f ca="1">IF(INDIRECT("priprava_" &amp; A$1 &amp; "!A28")&lt;&gt;0,INDIRECT("priprava_" &amp; A$1 &amp; "!A28"),"")</f>
        <v>Lukáš Lanc</v>
      </c>
      <c r="B21" s="189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před 21/22 zvolen kapitánem</v>
      </c>
      <c r="C21" s="190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v SKV od 2010</v>
      </c>
      <c r="D21" s="190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cestovatel po světě</v>
      </c>
      <c r="E21" s="190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1" s="191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1" s="192" t="str">
        <f ca="1">IF(INDIRECT("priprava_" &amp; G$1 &amp; "!A28")&lt;&gt;0,INDIRECT("priprava_" &amp; G$1 &amp; "!A28"),"")</f>
        <v/>
      </c>
      <c r="H21" s="190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190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190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190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191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92" t="str">
        <f ca="1">IF(INDIRECT("priprava_" &amp; A$1 &amp; "!M28")&lt;&gt;0,INDIRECT("priprava_" &amp; A$1 &amp; "!M28"),"")</f>
        <v>Petr Hartman</v>
      </c>
      <c r="B22" s="189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na Moravě hrál nižší soutěže</v>
      </c>
      <c r="C22" s="190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od 15/16 šance v áčku</v>
      </c>
      <c r="D22" s="190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technolog výrobních procesů</v>
      </c>
      <c r="E22" s="190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2" s="191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2" s="192" t="str">
        <f ca="1">IF(INDIRECT("priprava_" &amp; G$1 &amp; "!M28")&lt;&gt;0,INDIRECT("priprava_" &amp; G$1 &amp; "!M28"),"")</f>
        <v/>
      </c>
      <c r="H22" s="190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190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190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190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191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92" t="str">
        <f ca="1">IF(INDIRECT("priprava_" &amp; A$1 &amp; "!J34")&lt;&gt;0,INDIRECT("priprava_" &amp; A$1 &amp; "!J34"),"")</f>
        <v>Marek Paštika</v>
      </c>
      <c r="B23" s="189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3" s="190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fotbalu</v>
      </c>
      <c r="D23" s="190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E23" s="190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3" s="191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3" s="192" t="str">
        <f ca="1">IF(INDIRECT("priprava_" &amp; G$1 &amp; "!J34")&lt;&gt;0,INDIRECT("priprava_" &amp; G$1 &amp; "!J34"),"")</f>
        <v/>
      </c>
      <c r="H23" s="190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190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190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190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191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92" t="str">
        <f ca="1">IF(INDIRECT("priprava_" &amp; A$1 &amp; "!J38")&lt;&gt;0,INDIRECT("priprava_" &amp; A$1 &amp; "!J38"),"")</f>
        <v>Matěj Horák</v>
      </c>
      <c r="B24" s="189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190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190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190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191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92" t="str">
        <f ca="1">IF(INDIRECT("priprava_" &amp; G$1 &amp; "!J38")&lt;&gt;0,INDIRECT("priprava_" &amp; G$1 &amp; "!J38"),"")</f>
        <v/>
      </c>
      <c r="H24" s="190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190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190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190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191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92" t="str">
        <f ca="1">IF(INDIRECT("priprava_" &amp; A$1 &amp; "!J42")&lt;&gt;0,INDIRECT("priprava_" &amp; A$1 &amp; "!J42"),"")</f>
        <v>Milan Bína</v>
      </c>
      <c r="B25" s="189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190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190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190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191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92" t="str">
        <f ca="1">IF(INDIRECT("priprava_" &amp; G$1 &amp; "!J42")&lt;&gt;0,INDIRECT("priprava_" &amp; G$1 &amp; "!J42"),"")</f>
        <v/>
      </c>
      <c r="H25" s="190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190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190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190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191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92" t="str">
        <f ca="1">IF(INDIRECT("priprava_" &amp; A$1 &amp; "!A34")&lt;&gt;0,INDIRECT("priprava_" &amp; A$1 &amp; "!A34"),"")</f>
        <v>Petr Musil</v>
      </c>
      <c r="B26" s="189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190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190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190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191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92" t="str">
        <f ca="1">IF(INDIRECT("priprava_" &amp; G$1 &amp; "!A34")&lt;&gt;0,INDIRECT("priprava_" &amp; G$1 &amp; "!A34"),"")</f>
        <v/>
      </c>
      <c r="H26" s="190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190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190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190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191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92" t="str">
        <f ca="1">IF(INDIRECT("priprava_" &amp; A$1 &amp; "!A40")&lt;&gt;0,INDIRECT("priprava_" &amp; A$1 &amp; "!A40"),"")</f>
        <v>Karel Šantora</v>
      </c>
      <c r="B27" s="189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27" s="190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13-15 člen širšího kádru repre</v>
      </c>
      <c r="D27" s="190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27" s="190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Perkmon Academy</v>
      </c>
      <c r="F27" s="191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7" s="192" t="str">
        <f ca="1">IF(INDIRECT("priprava_" &amp; G$1 &amp; "!A40")&lt;&gt;0,INDIRECT("priprava_" &amp; G$1 &amp; "!A40"),"")</f>
        <v/>
      </c>
      <c r="H27" s="190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190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190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190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191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4" customFormat="1" ht="19.5" x14ac:dyDescent="0.25">
      <c r="A28" s="330" t="s">
        <v>841</v>
      </c>
      <c r="B28" s="330"/>
      <c r="C28" s="330"/>
      <c r="D28" s="330"/>
      <c r="E28" s="330"/>
      <c r="F28" s="330"/>
      <c r="G28" s="330" t="s">
        <v>841</v>
      </c>
      <c r="H28" s="330"/>
      <c r="I28" s="330"/>
      <c r="J28" s="330"/>
      <c r="K28" s="330"/>
      <c r="L28" s="330"/>
    </row>
    <row r="29" spans="1:12" x14ac:dyDescent="0.25">
      <c r="A29" s="192" t="str">
        <f ca="1">IF(INDIRECT("priprava_" &amp; A$1 &amp; "!A47")&lt;&gt;0,INDIRECT("priprava_" &amp; A$1 &amp; "!A47"),"")</f>
        <v>Michal Kotlas</v>
      </c>
      <c r="B29" s="190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190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190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190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191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92" t="str">
        <f ca="1">IF(INDIRECT("priprava_" &amp; G$1 &amp; "!A47")&lt;&gt;0,INDIRECT("priprava_" &amp; G$1 &amp; "!A47"),"")</f>
        <v/>
      </c>
      <c r="H29" s="190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190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190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190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191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92" t="str">
        <f ca="1">IF(INDIRECT("priprava_" &amp; A$1 &amp; "!J47")&lt;&gt;0,INDIRECT("priprava_" &amp; A$1 &amp; "!J47"),"")</f>
        <v>David Bouša</v>
      </c>
      <c r="B30" s="190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190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190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190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191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92" t="str">
        <f ca="1">IF(INDIRECT("priprava_" &amp; G$1 &amp; "!J47")&lt;&gt;0,INDIRECT("priprava_" &amp; G$1 &amp; "!J47"),"")</f>
        <v/>
      </c>
      <c r="H30" s="190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190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190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190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191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92" t="str">
        <f ca="1">IF(INDIRECT("priprava_" &amp; A$1 &amp; "!J49")&lt;&gt;0,INDIRECT("priprava_" &amp; A$1 &amp; "!J49"),"")</f>
        <v>Boleslav Kytka</v>
      </c>
      <c r="B31" s="190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190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190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190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191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92" t="str">
        <f ca="1">IF(INDIRECT("priprava_" &amp; G$1 &amp; "!J49")&lt;&gt;0,INDIRECT("priprava_" &amp; G$1 &amp; "!J49"),"")</f>
        <v/>
      </c>
      <c r="H31" s="190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190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190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190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191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2"/>
    </row>
    <row r="33" spans="1:1" x14ac:dyDescent="0.25">
      <c r="A33" s="152"/>
    </row>
    <row r="34" spans="1:1" x14ac:dyDescent="0.25">
      <c r="A34" s="152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25" priority="70" stopIfTrue="1" operator="equal">
      <formula>"OTR"</formula>
    </cfRule>
  </conditionalFormatting>
  <conditionalFormatting sqref="A1:F2">
    <cfRule type="cellIs" dxfId="824" priority="71" stopIfTrue="1" operator="equal">
      <formula>"PAR"</formula>
    </cfRule>
    <cfRule type="cellIs" dxfId="823" priority="72" stopIfTrue="1" operator="equal">
      <formula>"CLP"</formula>
    </cfRule>
    <cfRule type="cellIs" dxfId="822" priority="73" stopIfTrue="1" operator="equal">
      <formula>"HAT"</formula>
    </cfRule>
    <cfRule type="cellIs" dxfId="821" priority="74" stopIfTrue="1" operator="equal">
      <formula>"LIB"</formula>
    </cfRule>
    <cfRule type="cellIs" dxfId="820" priority="75" stopIfTrue="1" operator="equal">
      <formula>"BA"</formula>
    </cfRule>
    <cfRule type="cellIs" dxfId="819" priority="76" stopIfTrue="1" operator="equal">
      <formula>"SPA"</formula>
    </cfRule>
    <cfRule type="cellIs" dxfId="818" priority="77" stopIfTrue="1" operator="equal">
      <formula>"OST"</formula>
    </cfRule>
    <cfRule type="cellIs" dxfId="817" priority="78" stopIfTrue="1" operator="equal">
      <formula>"BOH"</formula>
    </cfRule>
    <cfRule type="cellIs" dxfId="816" priority="79" stopIfTrue="1" operator="equal">
      <formula>"TAT"</formula>
    </cfRule>
    <cfRule type="cellIs" dxfId="815" priority="80" stopIfTrue="1" operator="equal">
      <formula>"MB"</formula>
    </cfRule>
    <cfRule type="cellIs" dxfId="814" priority="81" stopIfTrue="1" operator="equal">
      <formula>"VIT"</formula>
    </cfRule>
    <cfRule type="cellIs" dxfId="813" priority="82" stopIfTrue="1" operator="equal">
      <formula>"CHO"</formula>
    </cfRule>
    <cfRule type="cellIs" dxfId="812" priority="83" stopIfTrue="1" operator="equal">
      <formula>"SKV"</formula>
    </cfRule>
  </conditionalFormatting>
  <conditionalFormatting sqref="G1:L2">
    <cfRule type="cellIs" dxfId="811" priority="56" stopIfTrue="1" operator="equal">
      <formula>"OTR"</formula>
    </cfRule>
  </conditionalFormatting>
  <conditionalFormatting sqref="G1:L2">
    <cfRule type="cellIs" dxfId="810" priority="57" stopIfTrue="1" operator="equal">
      <formula>"PAR"</formula>
    </cfRule>
    <cfRule type="cellIs" dxfId="809" priority="58" stopIfTrue="1" operator="equal">
      <formula>"CLP"</formula>
    </cfRule>
    <cfRule type="cellIs" dxfId="808" priority="59" stopIfTrue="1" operator="equal">
      <formula>"HAT"</formula>
    </cfRule>
    <cfRule type="cellIs" dxfId="807" priority="60" stopIfTrue="1" operator="equal">
      <formula>"LIB"</formula>
    </cfRule>
    <cfRule type="cellIs" dxfId="806" priority="61" stopIfTrue="1" operator="equal">
      <formula>"BA"</formula>
    </cfRule>
    <cfRule type="cellIs" dxfId="805" priority="62" stopIfTrue="1" operator="equal">
      <formula>"SPA"</formula>
    </cfRule>
    <cfRule type="cellIs" dxfId="804" priority="63" stopIfTrue="1" operator="equal">
      <formula>"OST"</formula>
    </cfRule>
    <cfRule type="cellIs" dxfId="803" priority="64" stopIfTrue="1" operator="equal">
      <formula>"BOH"</formula>
    </cfRule>
    <cfRule type="cellIs" dxfId="802" priority="65" stopIfTrue="1" operator="equal">
      <formula>"TAT"</formula>
    </cfRule>
    <cfRule type="cellIs" dxfId="801" priority="66" stopIfTrue="1" operator="equal">
      <formula>"MB"</formula>
    </cfRule>
    <cfRule type="cellIs" dxfId="800" priority="67" stopIfTrue="1" operator="equal">
      <formula>"VIT"</formula>
    </cfRule>
    <cfRule type="cellIs" dxfId="799" priority="68" stopIfTrue="1" operator="equal">
      <formula>"CHO"</formula>
    </cfRule>
    <cfRule type="cellIs" dxfId="798" priority="69" stopIfTrue="1" operator="equal">
      <formula>"SKV"</formula>
    </cfRule>
  </conditionalFormatting>
  <conditionalFormatting sqref="B4:F6">
    <cfRule type="expression" dxfId="797" priority="3">
      <formula>AND($B4&lt;&gt;"",MOD(ROW($B4),2)=0,B4=0)</formula>
    </cfRule>
    <cfRule type="expression" dxfId="796" priority="4">
      <formula>AND($B4&lt;&gt;"",MOD(ROW($B4),2)=1,B4=0)</formula>
    </cfRule>
    <cfRule type="expression" dxfId="795" priority="18">
      <formula>AND($B4&lt;&gt;"",MOD(ROW($B4),2)=0)</formula>
    </cfRule>
    <cfRule type="expression" dxfId="794" priority="55">
      <formula>AND($B4&lt;&gt;"",MOD(ROW($B4),2)=1)</formula>
    </cfRule>
  </conditionalFormatting>
  <conditionalFormatting sqref="A8:F27">
    <cfRule type="expression" dxfId="793" priority="17">
      <formula>AND($A8&lt;&gt;"",MOD(ROW($A8),2)=0)</formula>
    </cfRule>
    <cfRule type="expression" dxfId="792" priority="54">
      <formula>AND($A8&lt;&gt;"",MOD(ROW($A8),2)=1)</formula>
    </cfRule>
  </conditionalFormatting>
  <conditionalFormatting sqref="A29:F31">
    <cfRule type="expression" dxfId="791" priority="16">
      <formula>AND($A29&lt;&gt;"",MOD(ROW($A29),2)=1)</formula>
    </cfRule>
    <cfRule type="expression" dxfId="790" priority="53">
      <formula>AND($A29&lt;&gt;"",MOD(ROW($A29),2)=0)</formula>
    </cfRule>
  </conditionalFormatting>
  <conditionalFormatting sqref="H4:L6">
    <cfRule type="expression" dxfId="789" priority="1">
      <formula>AND($H4&lt;&gt;"",MOD(ROW($H4),2)=0,H4=0)</formula>
    </cfRule>
    <cfRule type="expression" dxfId="788" priority="2">
      <formula>AND($H4&lt;&gt;"",MOD(ROW($H4),2)=1,H4=0)</formula>
    </cfRule>
    <cfRule type="expression" dxfId="787" priority="15">
      <formula>AND($H4&lt;&gt;"",MOD(ROW($H4),2)=0)</formula>
    </cfRule>
    <cfRule type="expression" dxfId="786" priority="52">
      <formula>AND($H4&lt;&gt;"",MOD(ROW($H4),2)=1)</formula>
    </cfRule>
  </conditionalFormatting>
  <conditionalFormatting sqref="G8:L27">
    <cfRule type="expression" dxfId="785" priority="14">
      <formula>AND($G8&lt;&gt;"",MOD(ROW($G8),2)=0)</formula>
    </cfRule>
    <cfRule type="expression" dxfId="784" priority="51">
      <formula>AND($G8&lt;&gt;"",MOD(ROW($G8),2)=1)</formula>
    </cfRule>
  </conditionalFormatting>
  <conditionalFormatting sqref="G29:L31">
    <cfRule type="expression" dxfId="783" priority="13">
      <formula>AND($G29&lt;&gt;"",MOD(ROW($G29),2)=1)</formula>
    </cfRule>
    <cfRule type="expression" dxfId="782" priority="50">
      <formula>AND($G29&lt;&gt;"",MOD(ROW($G29),2)=0)</formula>
    </cfRule>
  </conditionalFormatting>
  <conditionalFormatting sqref="A4">
    <cfRule type="cellIs" dxfId="781" priority="36" stopIfTrue="1" operator="equal">
      <formula>"OTR"</formula>
    </cfRule>
  </conditionalFormatting>
  <conditionalFormatting sqref="A4">
    <cfRule type="cellIs" dxfId="780" priority="37" stopIfTrue="1" operator="equal">
      <formula>"PAR"</formula>
    </cfRule>
    <cfRule type="cellIs" dxfId="779" priority="38" stopIfTrue="1" operator="equal">
      <formula>"CLP"</formula>
    </cfRule>
    <cfRule type="cellIs" dxfId="778" priority="39" stopIfTrue="1" operator="equal">
      <formula>"HAT"</formula>
    </cfRule>
    <cfRule type="cellIs" dxfId="777" priority="40" stopIfTrue="1" operator="equal">
      <formula>"LIB"</formula>
    </cfRule>
    <cfRule type="cellIs" dxfId="776" priority="41" stopIfTrue="1" operator="equal">
      <formula>"BA"</formula>
    </cfRule>
    <cfRule type="cellIs" dxfId="775" priority="42" stopIfTrue="1" operator="equal">
      <formula>"SPA"</formula>
    </cfRule>
    <cfRule type="cellIs" dxfId="774" priority="43" stopIfTrue="1" operator="equal">
      <formula>"OST"</formula>
    </cfRule>
    <cfRule type="cellIs" dxfId="773" priority="44" stopIfTrue="1" operator="equal">
      <formula>"BOH"</formula>
    </cfRule>
    <cfRule type="cellIs" dxfId="772" priority="45" stopIfTrue="1" operator="equal">
      <formula>"TAT"</formula>
    </cfRule>
    <cfRule type="cellIs" dxfId="771" priority="46" stopIfTrue="1" operator="equal">
      <formula>"MB"</formula>
    </cfRule>
    <cfRule type="cellIs" dxfId="770" priority="47" stopIfTrue="1" operator="equal">
      <formula>"VIT"</formula>
    </cfRule>
    <cfRule type="cellIs" dxfId="769" priority="48" stopIfTrue="1" operator="equal">
      <formula>"CHO"</formula>
    </cfRule>
    <cfRule type="cellIs" dxfId="768" priority="49" stopIfTrue="1" operator="equal">
      <formula>"SKV"</formula>
    </cfRule>
  </conditionalFormatting>
  <conditionalFormatting sqref="G4">
    <cfRule type="cellIs" dxfId="767" priority="22" stopIfTrue="1" operator="equal">
      <formula>"OTR"</formula>
    </cfRule>
  </conditionalFormatting>
  <conditionalFormatting sqref="G4">
    <cfRule type="cellIs" dxfId="766" priority="23" stopIfTrue="1" operator="equal">
      <formula>"PAR"</formula>
    </cfRule>
    <cfRule type="cellIs" dxfId="765" priority="24" stopIfTrue="1" operator="equal">
      <formula>"CLP"</formula>
    </cfRule>
    <cfRule type="cellIs" dxfId="764" priority="25" stopIfTrue="1" operator="equal">
      <formula>"HAT"</formula>
    </cfRule>
    <cfRule type="cellIs" dxfId="763" priority="26" stopIfTrue="1" operator="equal">
      <formula>"LIB"</formula>
    </cfRule>
    <cfRule type="cellIs" dxfId="762" priority="27" stopIfTrue="1" operator="equal">
      <formula>"BA"</formula>
    </cfRule>
    <cfRule type="cellIs" dxfId="761" priority="28" stopIfTrue="1" operator="equal">
      <formula>"SPA"</formula>
    </cfRule>
    <cfRule type="cellIs" dxfId="760" priority="29" stopIfTrue="1" operator="equal">
      <formula>"OST"</formula>
    </cfRule>
    <cfRule type="cellIs" dxfId="759" priority="30" stopIfTrue="1" operator="equal">
      <formula>"BOH"</formula>
    </cfRule>
    <cfRule type="cellIs" dxfId="758" priority="31" stopIfTrue="1" operator="equal">
      <formula>"TAT"</formula>
    </cfRule>
    <cfRule type="cellIs" dxfId="757" priority="32" stopIfTrue="1" operator="equal">
      <formula>"MB"</formula>
    </cfRule>
    <cfRule type="cellIs" dxfId="756" priority="33" stopIfTrue="1" operator="equal">
      <formula>"VIT"</formula>
    </cfRule>
    <cfRule type="cellIs" dxfId="755" priority="34" stopIfTrue="1" operator="equal">
      <formula>"CHO"</formula>
    </cfRule>
    <cfRule type="cellIs" dxfId="754" priority="35" stopIfTrue="1" operator="equal">
      <formula>"SKV"</formula>
    </cfRule>
  </conditionalFormatting>
  <conditionalFormatting sqref="I8:L27">
    <cfRule type="expression" dxfId="753" priority="11">
      <formula>AND($G8&lt;&gt;"",MOD(ROW($G8),2)=0,I8=0)</formula>
    </cfRule>
    <cfRule type="expression" dxfId="752" priority="12">
      <formula>AND($G8&lt;&gt;"",MOD(ROW($G8),2)=1,I8=0)</formula>
    </cfRule>
  </conditionalFormatting>
  <conditionalFormatting sqref="I29:L31">
    <cfRule type="expression" dxfId="751" priority="9">
      <formula>AND($G29&lt;&gt;"",MOD(ROW($G29),2)=1,I29=0)</formula>
    </cfRule>
    <cfRule type="expression" dxfId="750" priority="10">
      <formula>AND($G29&lt;&gt;"",MOD(ROW($G29),2)=0,I29=0)</formula>
    </cfRule>
  </conditionalFormatting>
  <conditionalFormatting sqref="C8:F27">
    <cfRule type="expression" dxfId="749" priority="7">
      <formula>AND($A8&lt;&gt;"",MOD(ROW($A8),2)=0,C8=0)</formula>
    </cfRule>
    <cfRule type="expression" dxfId="748" priority="8">
      <formula>AND($A8&lt;&gt;"",MOD(ROW($A8),2)=1,C8=0)</formula>
    </cfRule>
  </conditionalFormatting>
  <conditionalFormatting sqref="C29:F31">
    <cfRule type="expression" dxfId="747" priority="5">
      <formula>AND($A29&lt;&gt;"",MOD(ROW($A29),2)=1,C29)</formula>
    </cfRule>
    <cfRule type="expression" dxfId="746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H139"/>
  <sheetViews>
    <sheetView zoomScaleNormal="100" workbookViewId="0">
      <selection sqref="A1:B1"/>
    </sheetView>
  </sheetViews>
  <sheetFormatPr defaultColWidth="9.140625" defaultRowHeight="14.25" x14ac:dyDescent="0.25"/>
  <cols>
    <col min="1" max="1" width="21.28515625" style="175" customWidth="1"/>
    <col min="2" max="2" width="8.7109375" style="174" customWidth="1"/>
    <col min="3" max="7" width="21.28515625" style="186" customWidth="1"/>
    <col min="8" max="8" width="17.5703125" style="173" hidden="1" customWidth="1"/>
    <col min="9" max="16384" width="9.140625" style="173"/>
  </cols>
  <sheetData>
    <row r="1" spans="1:8" s="178" customFormat="1" ht="19.5" x14ac:dyDescent="0.25">
      <c r="A1" s="331" t="s">
        <v>854</v>
      </c>
      <c r="B1" s="331"/>
      <c r="C1" s="332" t="s">
        <v>853</v>
      </c>
      <c r="D1" s="332"/>
      <c r="E1" s="332"/>
      <c r="F1" s="332"/>
      <c r="G1" s="332"/>
      <c r="H1" s="178" t="s">
        <v>852</v>
      </c>
    </row>
    <row r="2" spans="1:8" x14ac:dyDescent="0.25">
      <c r="A2" s="176" t="s">
        <v>230</v>
      </c>
      <c r="B2" s="177">
        <v>37276</v>
      </c>
      <c r="C2" s="185" t="s">
        <v>849</v>
      </c>
      <c r="D2" s="185"/>
      <c r="E2" s="185"/>
      <c r="F2" s="185"/>
      <c r="G2" s="185"/>
      <c r="H2" s="173" t="str">
        <f t="shared" ref="H2:H33" si="0">IF(A2&lt;&gt;"",CONCATENATE(A2," (",B2,")"),"")</f>
        <v>Jakub Pařízek (37276)</v>
      </c>
    </row>
    <row r="3" spans="1:8" x14ac:dyDescent="0.25">
      <c r="A3" s="176" t="s">
        <v>160</v>
      </c>
      <c r="B3" s="177">
        <v>32379</v>
      </c>
      <c r="C3" s="185" t="s">
        <v>848</v>
      </c>
      <c r="D3" s="185" t="s">
        <v>1054</v>
      </c>
      <c r="E3" s="185" t="s">
        <v>1055</v>
      </c>
      <c r="F3" s="185"/>
      <c r="G3" s="185"/>
      <c r="H3" s="173" t="str">
        <f t="shared" si="0"/>
        <v>Lukáš Lanc (32379)</v>
      </c>
    </row>
    <row r="4" spans="1:8" x14ac:dyDescent="0.25">
      <c r="A4" s="176" t="s">
        <v>221</v>
      </c>
      <c r="B4" s="177">
        <v>37818</v>
      </c>
      <c r="C4" s="185" t="s">
        <v>851</v>
      </c>
      <c r="D4" s="185"/>
      <c r="E4" s="185"/>
      <c r="F4" s="185"/>
      <c r="G4" s="185"/>
      <c r="H4" s="173" t="str">
        <f t="shared" si="0"/>
        <v>Šimon Stránský (37818)</v>
      </c>
    </row>
    <row r="5" spans="1:8" x14ac:dyDescent="0.25">
      <c r="A5" s="176" t="s">
        <v>251</v>
      </c>
      <c r="B5" s="177">
        <v>24850</v>
      </c>
      <c r="C5" s="185" t="s">
        <v>850</v>
      </c>
      <c r="D5" s="185"/>
      <c r="E5" s="185"/>
      <c r="F5" s="185"/>
      <c r="G5" s="185"/>
      <c r="H5" s="173" t="str">
        <f t="shared" si="0"/>
        <v>Zdeněk Skružný (24850)</v>
      </c>
    </row>
    <row r="6" spans="1:8" x14ac:dyDescent="0.25">
      <c r="A6" s="176" t="s">
        <v>11</v>
      </c>
      <c r="B6" s="177">
        <v>37000</v>
      </c>
      <c r="C6" s="185" t="s">
        <v>1056</v>
      </c>
      <c r="D6" s="185" t="s">
        <v>1057</v>
      </c>
      <c r="E6" s="185"/>
      <c r="F6" s="185"/>
      <c r="G6" s="185"/>
      <c r="H6" s="173" t="str">
        <f t="shared" si="0"/>
        <v>Oliver Gold (37000)</v>
      </c>
    </row>
    <row r="7" spans="1:8" x14ac:dyDescent="0.25">
      <c r="A7" s="176" t="s">
        <v>125</v>
      </c>
      <c r="B7" s="177">
        <v>36658</v>
      </c>
      <c r="C7" s="185" t="s">
        <v>1099</v>
      </c>
      <c r="D7" s="185" t="s">
        <v>1100</v>
      </c>
      <c r="E7" s="185" t="s">
        <v>1101</v>
      </c>
      <c r="F7" s="185"/>
      <c r="G7" s="185"/>
      <c r="H7" s="173" t="str">
        <f t="shared" si="0"/>
        <v>Jan Procházka (36658)</v>
      </c>
    </row>
    <row r="8" spans="1:8" x14ac:dyDescent="0.25">
      <c r="A8" s="176" t="s">
        <v>18</v>
      </c>
      <c r="B8" s="177">
        <v>37561</v>
      </c>
      <c r="C8" s="185" t="s">
        <v>1058</v>
      </c>
      <c r="D8" s="185" t="s">
        <v>1059</v>
      </c>
      <c r="E8" s="185"/>
      <c r="F8" s="185"/>
      <c r="G8" s="185"/>
      <c r="H8" s="173" t="str">
        <f t="shared" si="0"/>
        <v>Matyáš Lorenc (37561)</v>
      </c>
    </row>
    <row r="9" spans="1:8" x14ac:dyDescent="0.25">
      <c r="A9" s="176" t="s">
        <v>4</v>
      </c>
      <c r="B9" s="177">
        <v>36364</v>
      </c>
      <c r="C9" s="185" t="s">
        <v>1060</v>
      </c>
      <c r="D9" s="185" t="s">
        <v>1061</v>
      </c>
      <c r="E9" s="185" t="s">
        <v>1062</v>
      </c>
      <c r="F9" s="185" t="s">
        <v>1063</v>
      </c>
      <c r="G9" s="185"/>
      <c r="H9" s="173" t="str">
        <f t="shared" si="0"/>
        <v>Štěpán Čuda (36364)</v>
      </c>
    </row>
    <row r="10" spans="1:8" x14ac:dyDescent="0.25">
      <c r="A10" s="176" t="s">
        <v>15</v>
      </c>
      <c r="B10" s="177">
        <v>35171</v>
      </c>
      <c r="C10" s="185" t="s">
        <v>1064</v>
      </c>
      <c r="D10" s="185" t="s">
        <v>1065</v>
      </c>
      <c r="E10" s="185" t="s">
        <v>1062</v>
      </c>
      <c r="F10" s="185" t="s">
        <v>1066</v>
      </c>
      <c r="G10" s="185"/>
      <c r="H10" s="173" t="str">
        <f t="shared" si="0"/>
        <v>Karel Šantora (35171)</v>
      </c>
    </row>
    <row r="11" spans="1:8" x14ac:dyDescent="0.25">
      <c r="A11" s="176" t="s">
        <v>10</v>
      </c>
      <c r="B11" s="177">
        <v>34200</v>
      </c>
      <c r="C11" s="185" t="s">
        <v>1067</v>
      </c>
      <c r="D11" s="185"/>
      <c r="E11" s="185"/>
      <c r="F11" s="185"/>
      <c r="G11" s="185"/>
      <c r="H11" s="173" t="str">
        <f t="shared" si="0"/>
        <v>Ondřej Stuchlík (34200)</v>
      </c>
    </row>
    <row r="12" spans="1:8" x14ac:dyDescent="0.25">
      <c r="A12" s="176" t="s">
        <v>121</v>
      </c>
      <c r="B12" s="177">
        <v>36650</v>
      </c>
      <c r="C12" s="185" t="s">
        <v>1068</v>
      </c>
      <c r="D12" s="185"/>
      <c r="E12" s="185"/>
      <c r="F12" s="185"/>
      <c r="G12" s="185"/>
      <c r="H12" s="173" t="str">
        <f t="shared" si="0"/>
        <v>Vojtěch Máca (36650)</v>
      </c>
    </row>
    <row r="13" spans="1:8" x14ac:dyDescent="0.25">
      <c r="A13" s="176" t="s">
        <v>19</v>
      </c>
      <c r="B13" s="177">
        <v>37455</v>
      </c>
      <c r="C13" s="185" t="s">
        <v>1069</v>
      </c>
      <c r="D13" s="185" t="s">
        <v>1070</v>
      </c>
      <c r="E13" s="185" t="s">
        <v>1071</v>
      </c>
      <c r="F13" s="185"/>
      <c r="G13" s="185"/>
      <c r="H13" s="173" t="str">
        <f t="shared" si="0"/>
        <v>Marek Paštika (37455)</v>
      </c>
    </row>
    <row r="14" spans="1:8" x14ac:dyDescent="0.25">
      <c r="A14" s="176" t="s">
        <v>116</v>
      </c>
      <c r="B14" s="177">
        <v>34883</v>
      </c>
      <c r="C14" s="185" t="s">
        <v>1072</v>
      </c>
      <c r="D14" s="185"/>
      <c r="E14" s="185"/>
      <c r="F14" s="185"/>
      <c r="G14" s="185"/>
      <c r="H14" s="173" t="str">
        <f t="shared" si="0"/>
        <v>Viktor Kopecký (34883)</v>
      </c>
    </row>
    <row r="15" spans="1:8" x14ac:dyDescent="0.25">
      <c r="A15" s="176" t="s">
        <v>14</v>
      </c>
      <c r="B15" s="177">
        <v>33357</v>
      </c>
      <c r="C15" s="185" t="s">
        <v>1073</v>
      </c>
      <c r="D15" s="185" t="s">
        <v>1074</v>
      </c>
      <c r="E15" s="185" t="s">
        <v>1075</v>
      </c>
      <c r="F15" s="185"/>
      <c r="G15" s="185"/>
      <c r="H15" s="173" t="str">
        <f t="shared" si="0"/>
        <v>Petr Hartman (33357)</v>
      </c>
    </row>
    <row r="16" spans="1:8" x14ac:dyDescent="0.25">
      <c r="A16" s="176" t="s">
        <v>17</v>
      </c>
      <c r="B16" s="177">
        <v>37402</v>
      </c>
      <c r="C16" s="185" t="s">
        <v>1069</v>
      </c>
      <c r="D16" s="185" t="s">
        <v>1071</v>
      </c>
      <c r="E16" s="185" t="s">
        <v>1076</v>
      </c>
      <c r="F16" s="185" t="s">
        <v>1077</v>
      </c>
      <c r="G16" s="185"/>
      <c r="H16" s="173" t="str">
        <f t="shared" si="0"/>
        <v>Jan Pinkas (37402)</v>
      </c>
    </row>
    <row r="17" spans="1:8" x14ac:dyDescent="0.25">
      <c r="A17" s="176" t="s">
        <v>8</v>
      </c>
      <c r="B17" s="177">
        <v>34105</v>
      </c>
      <c r="C17" s="185" t="s">
        <v>1078</v>
      </c>
      <c r="D17" s="185" t="s">
        <v>1079</v>
      </c>
      <c r="E17" s="185" t="s">
        <v>1080</v>
      </c>
      <c r="F17" s="185"/>
      <c r="G17" s="185"/>
      <c r="H17" s="173" t="str">
        <f t="shared" si="0"/>
        <v>Lukáš Gregor (34105)</v>
      </c>
    </row>
    <row r="18" spans="1:8" x14ac:dyDescent="0.25">
      <c r="A18" s="176" t="s">
        <v>6</v>
      </c>
      <c r="B18" s="177">
        <v>34880</v>
      </c>
      <c r="C18" s="185" t="s">
        <v>1064</v>
      </c>
      <c r="D18" s="185" t="s">
        <v>1081</v>
      </c>
      <c r="E18" s="185" t="s">
        <v>1082</v>
      </c>
      <c r="F18" s="185"/>
      <c r="G18" s="185"/>
      <c r="H18" s="173" t="str">
        <f t="shared" si="0"/>
        <v>Jan Fiala (34880)</v>
      </c>
    </row>
    <row r="19" spans="1:8" x14ac:dyDescent="0.25">
      <c r="A19" s="176" t="s">
        <v>155</v>
      </c>
      <c r="B19" s="177">
        <v>36825</v>
      </c>
      <c r="C19" s="185" t="s">
        <v>1083</v>
      </c>
      <c r="D19" s="185" t="s">
        <v>1084</v>
      </c>
      <c r="E19" s="185" t="s">
        <v>1085</v>
      </c>
      <c r="F19" s="185"/>
      <c r="G19" s="185"/>
      <c r="H19" s="173" t="str">
        <f t="shared" si="0"/>
        <v>Pavel Hájek (36825)</v>
      </c>
    </row>
    <row r="20" spans="1:8" x14ac:dyDescent="0.25">
      <c r="A20" s="175" t="s">
        <v>118</v>
      </c>
      <c r="B20" s="184">
        <v>37297</v>
      </c>
      <c r="C20" s="186" t="s">
        <v>1086</v>
      </c>
      <c r="D20" s="186" t="s">
        <v>1087</v>
      </c>
      <c r="E20" s="186" t="s">
        <v>1088</v>
      </c>
      <c r="H20" s="173" t="str">
        <f t="shared" si="0"/>
        <v>Štepán Švejda (37297)</v>
      </c>
    </row>
    <row r="21" spans="1:8" x14ac:dyDescent="0.25">
      <c r="A21" s="175" t="s">
        <v>9</v>
      </c>
      <c r="B21" s="184">
        <v>34200</v>
      </c>
      <c r="C21" s="186" t="s">
        <v>1089</v>
      </c>
      <c r="D21" s="186" t="s">
        <v>1090</v>
      </c>
      <c r="E21" s="186" t="s">
        <v>1091</v>
      </c>
      <c r="H21" s="173" t="str">
        <f t="shared" si="0"/>
        <v>Zbyněk Stuchlík (34200)</v>
      </c>
    </row>
    <row r="22" spans="1:8" x14ac:dyDescent="0.25">
      <c r="A22" s="175" t="s">
        <v>120</v>
      </c>
      <c r="B22" s="184">
        <v>36551</v>
      </c>
      <c r="C22" s="186" t="s">
        <v>1092</v>
      </c>
      <c r="D22" s="186" t="s">
        <v>1093</v>
      </c>
      <c r="E22" s="186" t="s">
        <v>1094</v>
      </c>
      <c r="F22" s="186" t="s">
        <v>1095</v>
      </c>
      <c r="H22" s="173" t="str">
        <f t="shared" si="0"/>
        <v>Ivan Pergler (36551)</v>
      </c>
    </row>
    <row r="23" spans="1:8" x14ac:dyDescent="0.25">
      <c r="A23" s="175" t="s">
        <v>0</v>
      </c>
      <c r="B23" s="184">
        <v>37777</v>
      </c>
      <c r="C23" s="186" t="s">
        <v>1096</v>
      </c>
      <c r="D23" s="186" t="s">
        <v>1097</v>
      </c>
      <c r="E23" s="186" t="s">
        <v>1098</v>
      </c>
      <c r="H23" s="173" t="str">
        <f t="shared" si="0"/>
        <v>Vojtěch Klápa (37777)</v>
      </c>
    </row>
    <row r="24" spans="1:8" x14ac:dyDescent="0.25">
      <c r="A24" s="175" t="s">
        <v>678</v>
      </c>
      <c r="B24" s="184">
        <v>30929</v>
      </c>
      <c r="C24" s="186" t="s">
        <v>1120</v>
      </c>
      <c r="D24" s="186" t="s">
        <v>1121</v>
      </c>
      <c r="H24" s="173" t="str">
        <f t="shared" si="0"/>
        <v>Ivan Ponomarev (30929)</v>
      </c>
    </row>
    <row r="25" spans="1:8" x14ac:dyDescent="0.25">
      <c r="A25" s="175" t="s">
        <v>687</v>
      </c>
      <c r="B25" s="184">
        <v>35663</v>
      </c>
      <c r="C25" s="186" t="s">
        <v>1122</v>
      </c>
      <c r="D25" s="186" t="s">
        <v>1123</v>
      </c>
      <c r="H25" s="173" t="str">
        <f t="shared" si="0"/>
        <v>Lukáš Chyna (35663)</v>
      </c>
    </row>
    <row r="26" spans="1:8" x14ac:dyDescent="0.25">
      <c r="A26" s="175" t="s">
        <v>418</v>
      </c>
      <c r="B26" s="184">
        <v>33976</v>
      </c>
      <c r="C26" s="186" t="s">
        <v>1124</v>
      </c>
      <c r="D26" s="186" t="s">
        <v>1125</v>
      </c>
      <c r="E26" s="186" t="s">
        <v>1126</v>
      </c>
      <c r="F26" s="186" t="s">
        <v>1127</v>
      </c>
      <c r="H26" s="173" t="str">
        <f t="shared" si="0"/>
        <v>Milan Tichý (33976)</v>
      </c>
    </row>
    <row r="27" spans="1:8" x14ac:dyDescent="0.25">
      <c r="A27" s="175" t="s">
        <v>682</v>
      </c>
      <c r="B27" s="184">
        <v>31959</v>
      </c>
      <c r="C27" s="186" t="s">
        <v>1128</v>
      </c>
      <c r="D27" s="186" t="s">
        <v>1129</v>
      </c>
      <c r="E27" s="186" t="s">
        <v>1130</v>
      </c>
      <c r="F27" s="186" t="s">
        <v>1131</v>
      </c>
      <c r="H27" s="173" t="str">
        <f t="shared" si="0"/>
        <v>Lukáš Mlejnek (31959)</v>
      </c>
    </row>
    <row r="28" spans="1:8" x14ac:dyDescent="0.25">
      <c r="A28" s="175" t="s">
        <v>696</v>
      </c>
      <c r="B28" s="184">
        <v>36660</v>
      </c>
      <c r="C28" s="186" t="s">
        <v>1132</v>
      </c>
      <c r="D28" s="186" t="s">
        <v>1133</v>
      </c>
      <c r="E28" s="186" t="s">
        <v>1134</v>
      </c>
      <c r="H28" s="173" t="str">
        <f t="shared" si="0"/>
        <v>Jan Spilka (36660)</v>
      </c>
    </row>
    <row r="29" spans="1:8" x14ac:dyDescent="0.25">
      <c r="A29" s="175" t="s">
        <v>692</v>
      </c>
      <c r="B29" s="184">
        <v>33176</v>
      </c>
      <c r="C29" s="186" t="s">
        <v>1135</v>
      </c>
      <c r="D29" s="186" t="s">
        <v>1136</v>
      </c>
      <c r="E29" s="186" t="s">
        <v>1137</v>
      </c>
      <c r="H29" s="173" t="str">
        <f t="shared" si="0"/>
        <v>Tomáš Kadlec (33176)</v>
      </c>
    </row>
    <row r="30" spans="1:8" x14ac:dyDescent="0.25">
      <c r="A30" s="175" t="s">
        <v>677</v>
      </c>
      <c r="B30" s="184">
        <v>30346</v>
      </c>
      <c r="C30" s="186" t="s">
        <v>1138</v>
      </c>
      <c r="D30" s="186" t="s">
        <v>1139</v>
      </c>
      <c r="E30" s="186" t="s">
        <v>329</v>
      </c>
      <c r="H30" s="173" t="str">
        <f t="shared" si="0"/>
        <v>Štěpán Slaný (30346)</v>
      </c>
    </row>
    <row r="31" spans="1:8" x14ac:dyDescent="0.25">
      <c r="A31" s="175" t="s">
        <v>675</v>
      </c>
      <c r="B31" s="184">
        <v>35199</v>
      </c>
      <c r="C31" s="186" t="s">
        <v>1140</v>
      </c>
      <c r="D31" s="186" t="s">
        <v>1141</v>
      </c>
      <c r="H31" s="173" t="str">
        <f t="shared" si="0"/>
        <v>Daniel Štěrba (35199)</v>
      </c>
    </row>
    <row r="32" spans="1:8" x14ac:dyDescent="0.25">
      <c r="A32" s="175" t="s">
        <v>1142</v>
      </c>
      <c r="B32" s="184">
        <v>35852</v>
      </c>
      <c r="C32" s="186" t="s">
        <v>1143</v>
      </c>
      <c r="D32" s="186" t="s">
        <v>1144</v>
      </c>
      <c r="H32" s="173" t="str">
        <f t="shared" si="0"/>
        <v>Vojtěch Hrůza (35852)</v>
      </c>
    </row>
    <row r="33" spans="1:8" x14ac:dyDescent="0.25">
      <c r="A33" s="175" t="s">
        <v>693</v>
      </c>
      <c r="B33" s="184">
        <v>34046</v>
      </c>
      <c r="C33" s="186" t="s">
        <v>1145</v>
      </c>
      <c r="D33" s="186" t="s">
        <v>1146</v>
      </c>
      <c r="E33" s="186" t="s">
        <v>1127</v>
      </c>
      <c r="H33" s="173" t="str">
        <f t="shared" si="0"/>
        <v>Tomáš Novák (34046)</v>
      </c>
    </row>
    <row r="34" spans="1:8" x14ac:dyDescent="0.25">
      <c r="A34" s="175" t="s">
        <v>681</v>
      </c>
      <c r="B34" s="184">
        <v>37722</v>
      </c>
      <c r="C34" s="186" t="s">
        <v>1147</v>
      </c>
      <c r="D34" s="186" t="s">
        <v>1148</v>
      </c>
      <c r="E34" s="186" t="s">
        <v>1149</v>
      </c>
      <c r="H34" s="173" t="str">
        <f t="shared" ref="H34:H65" si="1">IF(A34&lt;&gt;"",CONCATENATE(A34," (",B34,")"),"")</f>
        <v>Antonín Stárek (37722)</v>
      </c>
    </row>
    <row r="35" spans="1:8" x14ac:dyDescent="0.25">
      <c r="A35" s="175" t="s">
        <v>683</v>
      </c>
      <c r="B35" s="184">
        <v>37697</v>
      </c>
      <c r="C35" s="186" t="s">
        <v>1150</v>
      </c>
      <c r="D35" s="186" t="s">
        <v>1151</v>
      </c>
      <c r="H35" s="173" t="str">
        <f t="shared" si="1"/>
        <v>Oliver Brodský (37697)</v>
      </c>
    </row>
    <row r="36" spans="1:8" x14ac:dyDescent="0.25">
      <c r="A36" s="175" t="s">
        <v>679</v>
      </c>
      <c r="B36" s="184">
        <v>35758</v>
      </c>
      <c r="C36" s="186" t="s">
        <v>1152</v>
      </c>
      <c r="D36" s="186" t="s">
        <v>1153</v>
      </c>
      <c r="E36" s="186" t="s">
        <v>1154</v>
      </c>
      <c r="H36" s="173" t="str">
        <f t="shared" si="1"/>
        <v>Jiří Vlček (35758)</v>
      </c>
    </row>
    <row r="37" spans="1:8" x14ac:dyDescent="0.25">
      <c r="A37" s="175" t="s">
        <v>674</v>
      </c>
      <c r="B37" s="184">
        <v>31655</v>
      </c>
      <c r="C37" s="186" t="s">
        <v>1155</v>
      </c>
      <c r="D37" s="186" t="s">
        <v>1156</v>
      </c>
      <c r="E37" s="186" t="s">
        <v>1157</v>
      </c>
      <c r="F37" s="186" t="s">
        <v>1158</v>
      </c>
      <c r="H37" s="173" t="str">
        <f t="shared" si="1"/>
        <v>Marek Dzierža (31655)</v>
      </c>
    </row>
    <row r="38" spans="1:8" x14ac:dyDescent="0.25">
      <c r="A38" s="175" t="s">
        <v>680</v>
      </c>
      <c r="B38" s="184">
        <v>37944</v>
      </c>
      <c r="C38" s="186" t="s">
        <v>1159</v>
      </c>
      <c r="D38" s="186" t="s">
        <v>1160</v>
      </c>
      <c r="E38" s="186" t="s">
        <v>1161</v>
      </c>
      <c r="H38" s="173" t="str">
        <f t="shared" si="1"/>
        <v>Albert Kouba (37944)</v>
      </c>
    </row>
    <row r="39" spans="1:8" x14ac:dyDescent="0.25">
      <c r="A39" s="175" t="s">
        <v>676</v>
      </c>
      <c r="B39" s="184">
        <v>33030</v>
      </c>
      <c r="C39" s="186" t="s">
        <v>1162</v>
      </c>
      <c r="D39" s="186" t="s">
        <v>1163</v>
      </c>
      <c r="E39" s="186" t="s">
        <v>1164</v>
      </c>
      <c r="H39" s="173" t="str">
        <f t="shared" si="1"/>
        <v>Jakub Karel (33030)</v>
      </c>
    </row>
    <row r="40" spans="1:8" x14ac:dyDescent="0.25">
      <c r="A40" s="175" t="s">
        <v>672</v>
      </c>
      <c r="B40" s="184">
        <v>37951</v>
      </c>
      <c r="C40" s="186" t="s">
        <v>1165</v>
      </c>
      <c r="D40" s="186" t="s">
        <v>1166</v>
      </c>
      <c r="E40" s="186" t="s">
        <v>1167</v>
      </c>
      <c r="F40" s="186" t="s">
        <v>1168</v>
      </c>
      <c r="H40" s="173" t="str">
        <f t="shared" si="1"/>
        <v>Ondřej Kopič (37951)</v>
      </c>
    </row>
    <row r="41" spans="1:8" x14ac:dyDescent="0.25">
      <c r="A41" s="175" t="s">
        <v>432</v>
      </c>
      <c r="B41" s="184">
        <v>34592</v>
      </c>
      <c r="C41" s="186" t="s">
        <v>1169</v>
      </c>
      <c r="D41" s="186" t="s">
        <v>1170</v>
      </c>
      <c r="E41" s="186" t="s">
        <v>1171</v>
      </c>
      <c r="F41" s="186" t="s">
        <v>1172</v>
      </c>
      <c r="H41" s="173" t="str">
        <f t="shared" si="1"/>
        <v>Petr Novotný (34592)</v>
      </c>
    </row>
    <row r="42" spans="1:8" x14ac:dyDescent="0.25">
      <c r="A42" s="175" t="s">
        <v>684</v>
      </c>
      <c r="B42" s="184">
        <v>33522</v>
      </c>
      <c r="C42" s="186" t="s">
        <v>1173</v>
      </c>
      <c r="D42" s="186" t="s">
        <v>1174</v>
      </c>
      <c r="E42" s="186" t="s">
        <v>1175</v>
      </c>
      <c r="F42" s="186" t="s">
        <v>1176</v>
      </c>
      <c r="H42" s="173" t="str">
        <f t="shared" si="1"/>
        <v>Jakub Jirsa (33522)</v>
      </c>
    </row>
    <row r="43" spans="1:8" x14ac:dyDescent="0.25">
      <c r="A43" s="175" t="s">
        <v>671</v>
      </c>
      <c r="B43" s="184">
        <v>33970</v>
      </c>
      <c r="C43" s="186" t="s">
        <v>1177</v>
      </c>
      <c r="D43" s="186" t="s">
        <v>1178</v>
      </c>
      <c r="E43" s="186" t="s">
        <v>1179</v>
      </c>
      <c r="H43" s="173" t="str">
        <f t="shared" si="1"/>
        <v>Radek Krajcigr (33970)</v>
      </c>
    </row>
    <row r="44" spans="1:8" x14ac:dyDescent="0.25">
      <c r="A44" s="175" t="s">
        <v>673</v>
      </c>
      <c r="B44" s="184">
        <v>32150</v>
      </c>
      <c r="C44" s="186" t="s">
        <v>1180</v>
      </c>
      <c r="D44" s="186" t="s">
        <v>1181</v>
      </c>
      <c r="E44" s="186" t="s">
        <v>1182</v>
      </c>
      <c r="F44" s="186" t="s">
        <v>1127</v>
      </c>
      <c r="H44" s="173" t="str">
        <f t="shared" si="1"/>
        <v>Jaromír Ekl (32150)</v>
      </c>
    </row>
    <row r="45" spans="1:8" x14ac:dyDescent="0.25">
      <c r="A45" s="175" t="s">
        <v>708</v>
      </c>
      <c r="B45" s="184">
        <v>31211</v>
      </c>
      <c r="C45" s="186" t="s">
        <v>1183</v>
      </c>
      <c r="D45" s="186" t="s">
        <v>1184</v>
      </c>
      <c r="E45" s="186" t="s">
        <v>1185</v>
      </c>
      <c r="H45" s="173" t="str">
        <f t="shared" si="1"/>
        <v>David Derka (31211)</v>
      </c>
    </row>
    <row r="46" spans="1:8" x14ac:dyDescent="0.25">
      <c r="H46" s="173" t="str">
        <f t="shared" si="1"/>
        <v/>
      </c>
    </row>
    <row r="47" spans="1:8" x14ac:dyDescent="0.25">
      <c r="H47" s="173" t="str">
        <f t="shared" si="1"/>
        <v/>
      </c>
    </row>
    <row r="48" spans="1:8" x14ac:dyDescent="0.25">
      <c r="H48" s="173" t="str">
        <f t="shared" si="1"/>
        <v/>
      </c>
    </row>
    <row r="49" spans="8:8" x14ac:dyDescent="0.25">
      <c r="H49" s="173" t="str">
        <f t="shared" si="1"/>
        <v/>
      </c>
    </row>
    <row r="50" spans="8:8" x14ac:dyDescent="0.25">
      <c r="H50" s="173" t="str">
        <f t="shared" si="1"/>
        <v/>
      </c>
    </row>
    <row r="51" spans="8:8" x14ac:dyDescent="0.25">
      <c r="H51" s="173" t="str">
        <f t="shared" si="1"/>
        <v/>
      </c>
    </row>
    <row r="52" spans="8:8" x14ac:dyDescent="0.25">
      <c r="H52" s="173" t="str">
        <f t="shared" si="1"/>
        <v/>
      </c>
    </row>
    <row r="53" spans="8:8" x14ac:dyDescent="0.25">
      <c r="H53" s="173" t="str">
        <f t="shared" si="1"/>
        <v/>
      </c>
    </row>
    <row r="54" spans="8:8" x14ac:dyDescent="0.25">
      <c r="H54" s="173" t="str">
        <f t="shared" si="1"/>
        <v/>
      </c>
    </row>
    <row r="55" spans="8:8" x14ac:dyDescent="0.25">
      <c r="H55" s="173" t="str">
        <f t="shared" si="1"/>
        <v/>
      </c>
    </row>
    <row r="56" spans="8:8" x14ac:dyDescent="0.25">
      <c r="H56" s="173" t="str">
        <f t="shared" si="1"/>
        <v/>
      </c>
    </row>
    <row r="57" spans="8:8" x14ac:dyDescent="0.25">
      <c r="H57" s="173" t="str">
        <f t="shared" si="1"/>
        <v/>
      </c>
    </row>
    <row r="58" spans="8:8" x14ac:dyDescent="0.25">
      <c r="H58" s="173" t="str">
        <f t="shared" si="1"/>
        <v/>
      </c>
    </row>
    <row r="59" spans="8:8" x14ac:dyDescent="0.25">
      <c r="H59" s="173" t="str">
        <f t="shared" si="1"/>
        <v/>
      </c>
    </row>
    <row r="60" spans="8:8" x14ac:dyDescent="0.25">
      <c r="H60" s="173" t="str">
        <f t="shared" si="1"/>
        <v/>
      </c>
    </row>
    <row r="61" spans="8:8" x14ac:dyDescent="0.25">
      <c r="H61" s="173" t="str">
        <f t="shared" si="1"/>
        <v/>
      </c>
    </row>
    <row r="62" spans="8:8" x14ac:dyDescent="0.25">
      <c r="H62" s="173" t="str">
        <f t="shared" si="1"/>
        <v/>
      </c>
    </row>
    <row r="63" spans="8:8" x14ac:dyDescent="0.25">
      <c r="H63" s="173" t="str">
        <f t="shared" si="1"/>
        <v/>
      </c>
    </row>
    <row r="64" spans="8:8" x14ac:dyDescent="0.25">
      <c r="H64" s="173" t="str">
        <f t="shared" si="1"/>
        <v/>
      </c>
    </row>
    <row r="65" spans="8:8" x14ac:dyDescent="0.25">
      <c r="H65" s="173" t="str">
        <f t="shared" si="1"/>
        <v/>
      </c>
    </row>
    <row r="66" spans="8:8" x14ac:dyDescent="0.25">
      <c r="H66" s="173" t="str">
        <f t="shared" ref="H66:H97" si="2">IF(A66&lt;&gt;"",CONCATENATE(A66," (",B66,")"),"")</f>
        <v/>
      </c>
    </row>
    <row r="67" spans="8:8" x14ac:dyDescent="0.25">
      <c r="H67" s="173" t="str">
        <f t="shared" si="2"/>
        <v/>
      </c>
    </row>
    <row r="68" spans="8:8" x14ac:dyDescent="0.25">
      <c r="H68" s="173" t="str">
        <f t="shared" si="2"/>
        <v/>
      </c>
    </row>
    <row r="69" spans="8:8" x14ac:dyDescent="0.25">
      <c r="H69" s="173" t="str">
        <f t="shared" si="2"/>
        <v/>
      </c>
    </row>
    <row r="70" spans="8:8" x14ac:dyDescent="0.25">
      <c r="H70" s="173" t="str">
        <f t="shared" si="2"/>
        <v/>
      </c>
    </row>
    <row r="71" spans="8:8" x14ac:dyDescent="0.25">
      <c r="H71" s="173" t="str">
        <f t="shared" si="2"/>
        <v/>
      </c>
    </row>
    <row r="72" spans="8:8" x14ac:dyDescent="0.25">
      <c r="H72" s="173" t="str">
        <f t="shared" si="2"/>
        <v/>
      </c>
    </row>
    <row r="73" spans="8:8" x14ac:dyDescent="0.25">
      <c r="H73" s="173" t="str">
        <f t="shared" si="2"/>
        <v/>
      </c>
    </row>
    <row r="74" spans="8:8" x14ac:dyDescent="0.25">
      <c r="H74" s="173" t="str">
        <f t="shared" si="2"/>
        <v/>
      </c>
    </row>
    <row r="75" spans="8:8" x14ac:dyDescent="0.25">
      <c r="H75" s="173" t="str">
        <f t="shared" si="2"/>
        <v/>
      </c>
    </row>
    <row r="76" spans="8:8" x14ac:dyDescent="0.25">
      <c r="H76" s="173" t="str">
        <f t="shared" si="2"/>
        <v/>
      </c>
    </row>
    <row r="77" spans="8:8" x14ac:dyDescent="0.25">
      <c r="H77" s="173" t="str">
        <f t="shared" si="2"/>
        <v/>
      </c>
    </row>
    <row r="78" spans="8:8" x14ac:dyDescent="0.25">
      <c r="H78" s="173" t="str">
        <f t="shared" si="2"/>
        <v/>
      </c>
    </row>
    <row r="79" spans="8:8" x14ac:dyDescent="0.25">
      <c r="H79" s="173" t="str">
        <f t="shared" si="2"/>
        <v/>
      </c>
    </row>
    <row r="80" spans="8:8" x14ac:dyDescent="0.25">
      <c r="H80" s="173" t="str">
        <f t="shared" si="2"/>
        <v/>
      </c>
    </row>
    <row r="81" spans="8:8" x14ac:dyDescent="0.25">
      <c r="H81" s="173" t="str">
        <f t="shared" si="2"/>
        <v/>
      </c>
    </row>
    <row r="82" spans="8:8" x14ac:dyDescent="0.25">
      <c r="H82" s="173" t="str">
        <f t="shared" si="2"/>
        <v/>
      </c>
    </row>
    <row r="83" spans="8:8" x14ac:dyDescent="0.25">
      <c r="H83" s="173" t="str">
        <f t="shared" si="2"/>
        <v/>
      </c>
    </row>
    <row r="84" spans="8:8" x14ac:dyDescent="0.25">
      <c r="H84" s="173" t="str">
        <f t="shared" si="2"/>
        <v/>
      </c>
    </row>
    <row r="85" spans="8:8" x14ac:dyDescent="0.25">
      <c r="H85" s="173" t="str">
        <f t="shared" si="2"/>
        <v/>
      </c>
    </row>
    <row r="86" spans="8:8" x14ac:dyDescent="0.25">
      <c r="H86" s="173" t="str">
        <f t="shared" si="2"/>
        <v/>
      </c>
    </row>
    <row r="87" spans="8:8" x14ac:dyDescent="0.25">
      <c r="H87" s="173" t="str">
        <f t="shared" si="2"/>
        <v/>
      </c>
    </row>
    <row r="88" spans="8:8" x14ac:dyDescent="0.25">
      <c r="H88" s="173" t="str">
        <f t="shared" si="2"/>
        <v/>
      </c>
    </row>
    <row r="89" spans="8:8" x14ac:dyDescent="0.25">
      <c r="H89" s="173" t="str">
        <f t="shared" si="2"/>
        <v/>
      </c>
    </row>
    <row r="90" spans="8:8" x14ac:dyDescent="0.25">
      <c r="H90" s="173" t="str">
        <f t="shared" si="2"/>
        <v/>
      </c>
    </row>
    <row r="91" spans="8:8" x14ac:dyDescent="0.25">
      <c r="H91" s="173" t="str">
        <f t="shared" si="2"/>
        <v/>
      </c>
    </row>
    <row r="92" spans="8:8" x14ac:dyDescent="0.25">
      <c r="H92" s="173" t="str">
        <f t="shared" si="2"/>
        <v/>
      </c>
    </row>
    <row r="93" spans="8:8" x14ac:dyDescent="0.25">
      <c r="H93" s="173" t="str">
        <f t="shared" si="2"/>
        <v/>
      </c>
    </row>
    <row r="94" spans="8:8" x14ac:dyDescent="0.25">
      <c r="H94" s="173" t="str">
        <f t="shared" si="2"/>
        <v/>
      </c>
    </row>
    <row r="95" spans="8:8" x14ac:dyDescent="0.25">
      <c r="H95" s="173" t="str">
        <f t="shared" si="2"/>
        <v/>
      </c>
    </row>
    <row r="96" spans="8:8" x14ac:dyDescent="0.25">
      <c r="H96" s="173" t="str">
        <f t="shared" si="2"/>
        <v/>
      </c>
    </row>
    <row r="97" spans="8:8" x14ac:dyDescent="0.25">
      <c r="H97" s="173" t="str">
        <f t="shared" si="2"/>
        <v/>
      </c>
    </row>
    <row r="98" spans="8:8" x14ac:dyDescent="0.25">
      <c r="H98" s="173" t="str">
        <f t="shared" ref="H98:H129" si="3">IF(A98&lt;&gt;"",CONCATENATE(A98," (",B98,")"),"")</f>
        <v/>
      </c>
    </row>
    <row r="99" spans="8:8" x14ac:dyDescent="0.25">
      <c r="H99" s="173" t="str">
        <f t="shared" si="3"/>
        <v/>
      </c>
    </row>
    <row r="100" spans="8:8" x14ac:dyDescent="0.25">
      <c r="H100" s="173" t="str">
        <f t="shared" si="3"/>
        <v/>
      </c>
    </row>
    <row r="101" spans="8:8" x14ac:dyDescent="0.25">
      <c r="H101" s="173" t="str">
        <f t="shared" si="3"/>
        <v/>
      </c>
    </row>
    <row r="102" spans="8:8" x14ac:dyDescent="0.25">
      <c r="H102" s="173" t="str">
        <f t="shared" si="3"/>
        <v/>
      </c>
    </row>
    <row r="103" spans="8:8" x14ac:dyDescent="0.25">
      <c r="H103" s="173" t="str">
        <f t="shared" si="3"/>
        <v/>
      </c>
    </row>
    <row r="104" spans="8:8" x14ac:dyDescent="0.25">
      <c r="H104" s="173" t="str">
        <f t="shared" si="3"/>
        <v/>
      </c>
    </row>
    <row r="105" spans="8:8" x14ac:dyDescent="0.25">
      <c r="H105" s="173" t="str">
        <f t="shared" si="3"/>
        <v/>
      </c>
    </row>
    <row r="106" spans="8:8" x14ac:dyDescent="0.25">
      <c r="H106" s="173" t="str">
        <f t="shared" si="3"/>
        <v/>
      </c>
    </row>
    <row r="107" spans="8:8" x14ac:dyDescent="0.25">
      <c r="H107" s="173" t="str">
        <f t="shared" si="3"/>
        <v/>
      </c>
    </row>
    <row r="108" spans="8:8" x14ac:dyDescent="0.25">
      <c r="H108" s="173" t="str">
        <f t="shared" si="3"/>
        <v/>
      </c>
    </row>
    <row r="109" spans="8:8" x14ac:dyDescent="0.25">
      <c r="H109" s="173" t="str">
        <f t="shared" si="3"/>
        <v/>
      </c>
    </row>
    <row r="110" spans="8:8" x14ac:dyDescent="0.25">
      <c r="H110" s="173" t="str">
        <f t="shared" si="3"/>
        <v/>
      </c>
    </row>
    <row r="111" spans="8:8" x14ac:dyDescent="0.25">
      <c r="H111" s="173" t="str">
        <f t="shared" si="3"/>
        <v/>
      </c>
    </row>
    <row r="112" spans="8:8" x14ac:dyDescent="0.25">
      <c r="H112" s="173" t="str">
        <f t="shared" si="3"/>
        <v/>
      </c>
    </row>
    <row r="113" spans="8:8" x14ac:dyDescent="0.25">
      <c r="H113" s="173" t="str">
        <f t="shared" si="3"/>
        <v/>
      </c>
    </row>
    <row r="114" spans="8:8" x14ac:dyDescent="0.25">
      <c r="H114" s="173" t="str">
        <f t="shared" si="3"/>
        <v/>
      </c>
    </row>
    <row r="115" spans="8:8" x14ac:dyDescent="0.25">
      <c r="H115" s="173" t="str">
        <f t="shared" si="3"/>
        <v/>
      </c>
    </row>
    <row r="116" spans="8:8" x14ac:dyDescent="0.25">
      <c r="H116" s="173" t="str">
        <f t="shared" si="3"/>
        <v/>
      </c>
    </row>
    <row r="117" spans="8:8" x14ac:dyDescent="0.25">
      <c r="H117" s="173" t="str">
        <f t="shared" si="3"/>
        <v/>
      </c>
    </row>
    <row r="118" spans="8:8" x14ac:dyDescent="0.25">
      <c r="H118" s="173" t="str">
        <f t="shared" si="3"/>
        <v/>
      </c>
    </row>
    <row r="119" spans="8:8" x14ac:dyDescent="0.25">
      <c r="H119" s="173" t="str">
        <f t="shared" si="3"/>
        <v/>
      </c>
    </row>
    <row r="120" spans="8:8" x14ac:dyDescent="0.25">
      <c r="H120" s="173" t="str">
        <f t="shared" si="3"/>
        <v/>
      </c>
    </row>
    <row r="121" spans="8:8" x14ac:dyDescent="0.25">
      <c r="H121" s="173" t="str">
        <f t="shared" si="3"/>
        <v/>
      </c>
    </row>
    <row r="122" spans="8:8" x14ac:dyDescent="0.25">
      <c r="H122" s="173" t="str">
        <f t="shared" si="3"/>
        <v/>
      </c>
    </row>
    <row r="123" spans="8:8" x14ac:dyDescent="0.25">
      <c r="H123" s="173" t="str">
        <f t="shared" si="3"/>
        <v/>
      </c>
    </row>
    <row r="124" spans="8:8" x14ac:dyDescent="0.25">
      <c r="H124" s="173" t="str">
        <f t="shared" si="3"/>
        <v/>
      </c>
    </row>
    <row r="125" spans="8:8" x14ac:dyDescent="0.25">
      <c r="H125" s="173" t="str">
        <f t="shared" si="3"/>
        <v/>
      </c>
    </row>
    <row r="126" spans="8:8" x14ac:dyDescent="0.25">
      <c r="H126" s="173" t="str">
        <f t="shared" si="3"/>
        <v/>
      </c>
    </row>
    <row r="127" spans="8:8" x14ac:dyDescent="0.25">
      <c r="H127" s="173" t="str">
        <f t="shared" si="3"/>
        <v/>
      </c>
    </row>
    <row r="128" spans="8:8" x14ac:dyDescent="0.25">
      <c r="H128" s="173" t="str">
        <f t="shared" si="3"/>
        <v/>
      </c>
    </row>
    <row r="129" spans="8:8" x14ac:dyDescent="0.25">
      <c r="H129" s="173" t="str">
        <f t="shared" si="3"/>
        <v/>
      </c>
    </row>
    <row r="130" spans="8:8" x14ac:dyDescent="0.25">
      <c r="H130" s="173" t="str">
        <f t="shared" ref="H130:H139" si="4">IF(A130&lt;&gt;"",CONCATENATE(A130," (",B130,")"),"")</f>
        <v/>
      </c>
    </row>
    <row r="131" spans="8:8" x14ac:dyDescent="0.25">
      <c r="H131" s="173" t="str">
        <f t="shared" si="4"/>
        <v/>
      </c>
    </row>
    <row r="132" spans="8:8" x14ac:dyDescent="0.25">
      <c r="H132" s="173" t="str">
        <f t="shared" si="4"/>
        <v/>
      </c>
    </row>
    <row r="133" spans="8:8" x14ac:dyDescent="0.25">
      <c r="H133" s="173" t="str">
        <f t="shared" si="4"/>
        <v/>
      </c>
    </row>
    <row r="134" spans="8:8" x14ac:dyDescent="0.25">
      <c r="H134" s="173" t="str">
        <f t="shared" si="4"/>
        <v/>
      </c>
    </row>
    <row r="135" spans="8:8" x14ac:dyDescent="0.25">
      <c r="H135" s="173" t="str">
        <f t="shared" si="4"/>
        <v/>
      </c>
    </row>
    <row r="136" spans="8:8" x14ac:dyDescent="0.25">
      <c r="H136" s="173" t="str">
        <f t="shared" si="4"/>
        <v/>
      </c>
    </row>
    <row r="137" spans="8:8" x14ac:dyDescent="0.25">
      <c r="H137" s="173" t="str">
        <f t="shared" si="4"/>
        <v/>
      </c>
    </row>
    <row r="138" spans="8:8" x14ac:dyDescent="0.25">
      <c r="H138" s="173" t="str">
        <f t="shared" si="4"/>
        <v/>
      </c>
    </row>
    <row r="139" spans="8:8" x14ac:dyDescent="0.25">
      <c r="H139" s="173" t="str">
        <f t="shared" si="4"/>
        <v/>
      </c>
    </row>
  </sheetData>
  <sheetProtection sheet="1" objects="1" scenarios="1"/>
  <autoFilter ref="A1:H139">
    <filterColumn colId="0" showButton="0"/>
    <filterColumn colId="2" showButton="0"/>
    <filterColumn colId="3" showButton="0"/>
    <filterColumn colId="4" showButton="0"/>
    <filterColumn colId="5" showButton="0"/>
    <sortState ref="A2:H139">
      <sortCondition ref="A1:A139"/>
    </sortState>
  </autoFilter>
  <mergeCells count="2">
    <mergeCell ref="A1:B1"/>
    <mergeCell ref="C1:G1"/>
  </mergeCells>
  <conditionalFormatting sqref="C2:G1048576">
    <cfRule type="notContainsBlanks" dxfId="745" priority="2">
      <formula>LEN(TRIM(C2))&gt;0</formula>
    </cfRule>
  </conditionalFormatting>
  <conditionalFormatting sqref="A2:G1048576">
    <cfRule type="expression" dxfId="744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F10"/>
  <sheetViews>
    <sheetView view="pageLayout" zoomScaleNormal="100" workbookViewId="0"/>
  </sheetViews>
  <sheetFormatPr defaultRowHeight="16.5" x14ac:dyDescent="0.25"/>
  <cols>
    <col min="1" max="1" width="21.28515625" style="179" customWidth="1"/>
    <col min="2" max="6" width="21.28515625" style="188" customWidth="1"/>
    <col min="7" max="16384" width="9.140625" style="173"/>
  </cols>
  <sheetData>
    <row r="1" spans="1:6" ht="19.5" x14ac:dyDescent="0.25">
      <c r="A1" s="180" t="s">
        <v>92</v>
      </c>
      <c r="B1" s="332" t="s">
        <v>853</v>
      </c>
      <c r="C1" s="332"/>
      <c r="D1" s="332"/>
      <c r="E1" s="332"/>
      <c r="F1" s="332"/>
    </row>
    <row r="2" spans="1:6" ht="14.25" customHeight="1" x14ac:dyDescent="0.25">
      <c r="A2" s="333" t="s">
        <v>83</v>
      </c>
      <c r="B2" s="185" t="s">
        <v>1191</v>
      </c>
      <c r="C2" s="185" t="s">
        <v>1192</v>
      </c>
      <c r="D2" s="185" t="s">
        <v>1102</v>
      </c>
      <c r="E2" s="185" t="s">
        <v>1103</v>
      </c>
      <c r="F2" s="185" t="s">
        <v>1193</v>
      </c>
    </row>
    <row r="3" spans="1:6" ht="14.25" x14ac:dyDescent="0.25">
      <c r="A3" s="333"/>
      <c r="B3" s="185"/>
      <c r="C3" s="185"/>
      <c r="D3" s="185"/>
      <c r="E3" s="185"/>
      <c r="F3" s="185"/>
    </row>
    <row r="4" spans="1:6" ht="14.25" x14ac:dyDescent="0.25">
      <c r="A4" s="333"/>
      <c r="B4" s="185"/>
      <c r="C4" s="185"/>
      <c r="D4" s="185"/>
      <c r="E4" s="185"/>
      <c r="F4" s="185"/>
    </row>
    <row r="5" spans="1:6" ht="14.25" x14ac:dyDescent="0.25">
      <c r="A5" s="334" t="s">
        <v>82</v>
      </c>
    </row>
    <row r="6" spans="1:6" ht="14.25" x14ac:dyDescent="0.25">
      <c r="A6" s="334"/>
    </row>
    <row r="7" spans="1:6" ht="14.25" x14ac:dyDescent="0.25">
      <c r="A7" s="334"/>
    </row>
    <row r="8" spans="1:6" ht="14.25" x14ac:dyDescent="0.25">
      <c r="A8" s="334" t="s">
        <v>79</v>
      </c>
      <c r="B8" s="188" t="s">
        <v>1186</v>
      </c>
      <c r="C8" s="188" t="s">
        <v>1187</v>
      </c>
      <c r="D8" s="188" t="s">
        <v>1188</v>
      </c>
      <c r="E8" s="188" t="s">
        <v>1189</v>
      </c>
      <c r="F8" s="188" t="s">
        <v>1190</v>
      </c>
    </row>
    <row r="9" spans="1:6" ht="14.25" x14ac:dyDescent="0.25">
      <c r="A9" s="334"/>
    </row>
    <row r="10" spans="1:6" ht="14.25" x14ac:dyDescent="0.25">
      <c r="A10" s="334"/>
    </row>
  </sheetData>
  <sheetProtection sheet="1" objects="1" scenarios="1"/>
  <mergeCells count="4">
    <mergeCell ref="B1:F1"/>
    <mergeCell ref="A2:A4"/>
    <mergeCell ref="A5:A7"/>
    <mergeCell ref="A8:A10"/>
  </mergeCells>
  <conditionalFormatting sqref="B2:F1048576">
    <cfRule type="expression" dxfId="743" priority="17">
      <formula>AND($B2&lt;&gt;"",MOD(ROW($B2),2)=1)</formula>
    </cfRule>
  </conditionalFormatting>
  <conditionalFormatting sqref="A5:F1048576">
    <cfRule type="expression" dxfId="742" priority="16">
      <formula>AND($A5&lt;&gt;"",MOD(ROW($A5),3)=2)</formula>
    </cfRule>
  </conditionalFormatting>
  <conditionalFormatting sqref="A1:A1048576">
    <cfRule type="cellIs" dxfId="741" priority="2" stopIfTrue="1" operator="equal">
      <formula>"OTR"</formula>
    </cfRule>
    <cfRule type="cellIs" dxfId="740" priority="3" stopIfTrue="1" operator="equal">
      <formula>"PAR"</formula>
    </cfRule>
    <cfRule type="cellIs" dxfId="739" priority="4" stopIfTrue="1" operator="equal">
      <formula>"FBC 4CLEAN Česká Lípa"</formula>
    </cfRule>
    <cfRule type="cellIs" dxfId="738" priority="5" stopIfTrue="1" operator="equal">
      <formula>"HAT"</formula>
    </cfRule>
    <cfRule type="cellIs" dxfId="737" priority="6" stopIfTrue="1" operator="equal">
      <formula>"FBC Liberec"</formula>
    </cfRule>
    <cfRule type="cellIs" dxfId="736" priority="7" stopIfTrue="1" operator="equal">
      <formula>"BA"</formula>
    </cfRule>
    <cfRule type="cellIs" dxfId="735" priority="8" stopIfTrue="1" operator="equal">
      <formula>"SPA"</formula>
    </cfRule>
    <cfRule type="cellIs" dxfId="734" priority="9" stopIfTrue="1" operator="equal">
      <formula>"OST"</formula>
    </cfRule>
    <cfRule type="cellIs" dxfId="733" priority="10" stopIfTrue="1" operator="equal">
      <formula>"BOH"</formula>
    </cfRule>
    <cfRule type="cellIs" dxfId="732" priority="11" stopIfTrue="1" operator="equal">
      <formula>"TAT"</formula>
    </cfRule>
    <cfRule type="cellIs" dxfId="731" priority="12" stopIfTrue="1" operator="equal">
      <formula>"MB"</formula>
    </cfRule>
    <cfRule type="cellIs" dxfId="730" priority="13" stopIfTrue="1" operator="equal">
      <formula>"VIT"</formula>
    </cfRule>
    <cfRule type="cellIs" dxfId="729" priority="14" stopIfTrue="1" operator="equal">
      <formula>"CHO"</formula>
    </cfRule>
    <cfRule type="cellIs" dxfId="728" priority="15" stopIfTrue="1" operator="equal">
      <formula>"TJ Sokol Královské Vinohrady"</formula>
    </cfRule>
  </conditionalFormatting>
  <conditionalFormatting sqref="C2:F1048576">
    <cfRule type="notContainsBlanks" dxfId="727" priority="18">
      <formula>LEN(TRIM(C2))&gt;0</formula>
    </cfRule>
  </conditionalFormatting>
  <conditionalFormatting sqref="A2:A1048567">
    <cfRule type="notContainsBlanks" dxfId="726" priority="1">
      <formula>LEN(TRIM(A2))&gt;0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8" t="s">
        <v>6</v>
      </c>
      <c r="B1" s="349"/>
      <c r="C1" s="349"/>
      <c r="D1" s="349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382" t="s">
        <v>1</v>
      </c>
      <c r="I1" s="382"/>
      <c r="J1" s="382"/>
      <c r="K1" s="382"/>
      <c r="M1" s="348" t="s">
        <v>125</v>
      </c>
      <c r="N1" s="349"/>
      <c r="O1" s="349"/>
      <c r="P1" s="349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41">
        <f ca="1">IFERROR(IF(VLOOKUP(A1,OFFSET($AG$2,,,COUNTIF($AG$2:$AG$50,"?*"),23),2,FALSE)&lt;&gt;0,YEAR(VLOOKUP(A1,OFFSET($AG$2,,,COUNTIF($AG$2:$AG$50,"?*"),23),2,FALSE)),""),"")</f>
        <v>1995</v>
      </c>
      <c r="C2" s="342"/>
      <c r="D2" s="5">
        <f ca="1">IFERROR(VLOOKUP(A1,OFFSET($AG$2,,,COUNTIF($AG$2:$AG$50,"?*"),23),15,FALSE),"")</f>
        <v>26</v>
      </c>
      <c r="E2" s="343" t="str">
        <f ca="1">IFERROR(VLOOKUP(A1,OFFSET($AG$2,,,COUNTIF($AG$2:$AG$50,"?*"),23),16,FALSE),"")</f>
        <v>183/76</v>
      </c>
      <c r="F2" s="344"/>
      <c r="M2" s="4" t="str">
        <f ca="1">IFERROR(IF(VLOOKUP(M1,OFFSET($AG$2,,,COUNTIF($AG$2:$AG$50,"?*"),23),10,FALSE)&lt;&gt;0,VLOOKUP(M1,OFFSET($AG$2,,,COUNTIF($AG$2:$AG$50,"?*"),23),10,FALSE),""),"")</f>
        <v>L</v>
      </c>
      <c r="N2" s="341">
        <f ca="1">IFERROR(IF(VLOOKUP(M1,OFFSET($AG$2,,,COUNTIF($AG$2:$AG$50,"?*"),23),2,FALSE)&lt;&gt;0,YEAR(VLOOKUP(M1,OFFSET($AG$2,,,COUNTIF($AG$2:$AG$50,"?*"),23),2,FALSE)),""),"")</f>
        <v>2000</v>
      </c>
      <c r="O2" s="342"/>
      <c r="P2" s="6">
        <f ca="1">IFERROR(VLOOKUP(M1,OFFSET($AG$2,,,COUNTIF($AG$2:$AG$50,"?*"),23),15,FALSE),"")</f>
        <v>21</v>
      </c>
      <c r="Q2" s="343" t="str">
        <f ca="1">IFERROR(VLOOKUP(M1,OFFSET($AG$2,,,COUNTIF($AG$2:$AG$50,"?*"),23),16,FALSE),"")</f>
        <v>186/80</v>
      </c>
      <c r="R2" s="344"/>
      <c r="S2" s="110" t="s">
        <v>6</v>
      </c>
      <c r="T2" s="102" t="s">
        <v>64</v>
      </c>
      <c r="U2" s="102">
        <v>7</v>
      </c>
      <c r="V2" s="102">
        <v>3</v>
      </c>
      <c r="W2" s="102">
        <v>2</v>
      </c>
      <c r="X2" s="102">
        <v>0</v>
      </c>
      <c r="Y2" s="102">
        <v>7</v>
      </c>
      <c r="Z2" s="102">
        <v>10</v>
      </c>
      <c r="AA2" s="102">
        <v>6</v>
      </c>
      <c r="AB2" s="102">
        <v>-8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149</v>
      </c>
      <c r="AQ2" s="123">
        <v>181</v>
      </c>
      <c r="AR2" s="123">
        <v>78</v>
      </c>
      <c r="AS2" s="126" t="s">
        <v>150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191</v>
      </c>
      <c r="BQ2" s="132" t="s">
        <v>194</v>
      </c>
      <c r="BR2" s="127">
        <f ca="1">IF(BN2&lt;&gt;"",IF(BO2&lt;&gt;"",INT((TODAY()-BO2)/365),"?"),"")</f>
        <v>38</v>
      </c>
      <c r="BS2" s="336" t="s">
        <v>36</v>
      </c>
      <c r="BT2" s="104" t="s">
        <v>802</v>
      </c>
      <c r="BU2" s="103">
        <v>10</v>
      </c>
      <c r="BV2" s="104" t="str">
        <f>IFERROR(RIGHT(BT2,LEN(BT2)-SEARCH(" ",BT2)),"")</f>
        <v>Jan Fiala</v>
      </c>
      <c r="BW2" s="102">
        <f>IF(BT2&lt;&gt;0,_xlfn.NUMBERVALUE(BU2,","),"")</f>
        <v>10</v>
      </c>
      <c r="BX2" s="335" t="s">
        <v>211</v>
      </c>
      <c r="BY2" s="103" t="s">
        <v>799</v>
      </c>
      <c r="BZ2" s="103" t="s">
        <v>911</v>
      </c>
      <c r="CA2" s="115" t="s">
        <v>1194</v>
      </c>
    </row>
    <row r="3" spans="1:79" ht="15" customHeight="1" thickTop="1" thickBot="1" x14ac:dyDescent="0.25">
      <c r="A3" s="377" t="str">
        <f ca="1">IFERROR(VLOOKUP(A1,OFFSET($AG$2,,,COUNTIF($AG$2:$AG$50,"?*"),23),18,FALSE),"")</f>
        <v>7 OZ, 10 (3+7), -8 ±</v>
      </c>
      <c r="B3" s="378"/>
      <c r="C3" s="378"/>
      <c r="D3" s="379" t="str">
        <f ca="1">IFERROR(VLOOKUP(A1,OFFSET($AG$2,,,COUNTIF($AG$2:$AG$50,"?*"),23),19,FALSE),"")</f>
        <v>110 OZ, 50 (29+21)</v>
      </c>
      <c r="E3" s="379"/>
      <c r="F3" s="380"/>
      <c r="G3" s="348" t="s">
        <v>9</v>
      </c>
      <c r="H3" s="349"/>
      <c r="I3" s="349"/>
      <c r="J3" s="349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377" t="str">
        <f ca="1">IFERROR(VLOOKUP(M1,OFFSET($AG$2,,,COUNTIF($AG$2:$AG$50,"?*"),23),18,FALSE),"")</f>
        <v>7 OZ, 4 (4+0), -4 ±</v>
      </c>
      <c r="N3" s="378"/>
      <c r="O3" s="378"/>
      <c r="P3" s="379" t="str">
        <f ca="1">IFERROR(VLOOKUP(M1,OFFSET($AG$2,,,COUNTIF($AG$2:$AG$50,"?*"),23),19,FALSE),"")</f>
        <v>28 OZ, 17 (8+9)</v>
      </c>
      <c r="Q3" s="379"/>
      <c r="R3" s="380"/>
      <c r="S3" s="110" t="s">
        <v>116</v>
      </c>
      <c r="U3" s="102">
        <v>6</v>
      </c>
      <c r="V3" s="102">
        <v>6</v>
      </c>
      <c r="W3" s="102">
        <v>2</v>
      </c>
      <c r="X3" s="102">
        <v>0</v>
      </c>
      <c r="Y3" s="102">
        <v>3</v>
      </c>
      <c r="Z3" s="102">
        <v>9</v>
      </c>
      <c r="AA3" s="102">
        <v>0</v>
      </c>
      <c r="AB3" s="102">
        <v>-6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149</v>
      </c>
      <c r="AQ3" s="123">
        <v>184</v>
      </c>
      <c r="AR3" s="123">
        <v>81</v>
      </c>
      <c r="AS3" s="126" t="s">
        <v>151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191</v>
      </c>
      <c r="BQ3" s="132" t="s">
        <v>195</v>
      </c>
      <c r="BR3" s="127">
        <f t="shared" ref="BR3:BR11" ca="1" si="13">IF(BN3&lt;&gt;"",IF(BO3&lt;&gt;"",INT((TODAY()-BO3)/365),"?"),"")</f>
        <v>35</v>
      </c>
      <c r="BS3" s="336"/>
      <c r="BT3" s="104" t="s">
        <v>1198</v>
      </c>
      <c r="BU3" s="103">
        <v>9</v>
      </c>
      <c r="BV3" s="104" t="str">
        <f t="shared" ref="BV3:BV31" si="14">IFERROR(RIGHT(BT3,LEN(BT3)-SEARCH(" ",BT3)),"")</f>
        <v>Viktor Kopecký</v>
      </c>
      <c r="BW3" s="102">
        <f t="shared" ref="BW3:BW31" si="15">IF(BT3&lt;&gt;0,_xlfn.NUMBERVALUE(BU3,","),"")</f>
        <v>9</v>
      </c>
      <c r="BX3" s="335"/>
      <c r="BY3" s="103" t="s">
        <v>1195</v>
      </c>
      <c r="BZ3" s="103" t="s">
        <v>910</v>
      </c>
      <c r="CA3" s="115" t="s">
        <v>825</v>
      </c>
    </row>
    <row r="4" spans="1:79" ht="15" customHeight="1" thickBot="1" x14ac:dyDescent="0.25">
      <c r="A4" s="365" t="str">
        <f ca="1">IFERROR(IF(VLOOKUP(A1,OFFSET($AG$2,,,COUNTIF($AG$2:$AG$50,"?*"),23),13,FALSE)&lt;&gt;0,VLOOKUP(A1,OFFSET($AG$2,,,COUNTIF($AG$2:$AG$50,"?*"),23),13,FALSE),"?"),"")</f>
        <v>Chodov</v>
      </c>
      <c r="B4" s="366"/>
      <c r="C4" s="367"/>
      <c r="D4" s="368">
        <f ca="1">IFERROR(IF(VLOOKUP(A1,OFFSET($AG$2,,,COUNTIF($AG$2:$AG$50,"?*"),23),14,FALSE)&lt;&gt;0,VLOOKUP(A1,OFFSET($AG$2,,,COUNTIF($AG$2:$AG$50,"?*"),23),14,FALSE),"?"),"")</f>
        <v>2006</v>
      </c>
      <c r="E4" s="369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1">
        <f ca="1">IFERROR(IF(VLOOKUP(G3,OFFSET($AG$2,,,COUNTIF($AG$2:$AG$50,"?*"),23),2,FALSE)&lt;&gt;0,YEAR(VLOOKUP(G3,OFFSET($AG$2,,,COUNTIF($AG$2:$AG$50,"?*"),23),2,FALSE)),""),"")</f>
        <v>1993</v>
      </c>
      <c r="I4" s="342"/>
      <c r="J4" s="5">
        <f ca="1">IFERROR(VLOOKUP(G3,OFFSET($AG$2,,,COUNTIF($AG$2:$AG$50,"?*"),23),15,FALSE),"")</f>
        <v>28</v>
      </c>
      <c r="K4" s="343" t="str">
        <f ca="1">IFERROR(VLOOKUP(G3,OFFSET($AG$2,,,COUNTIF($AG$2:$AG$50,"?*"),23),16,FALSE),"")</f>
        <v>173/68</v>
      </c>
      <c r="L4" s="344"/>
      <c r="M4" s="365" t="str">
        <f ca="1">IFERROR(IF(VLOOKUP(M1,OFFSET($AG$2,,,COUNTIF($AG$2:$AG$50,"?*"),23),13,FALSE)&lt;&gt;0,VLOOKUP(M1,OFFSET($AG$2,,,COUNTIF($AG$2:$AG$50,"?*"),23),13,FALSE),"?"),"")</f>
        <v>Slovan J. Hradec</v>
      </c>
      <c r="N4" s="366"/>
      <c r="O4" s="367"/>
      <c r="P4" s="368">
        <f ca="1">IFERROR(IF(VLOOKUP(M1,OFFSET($AG$2,,,COUNTIF($AG$2:$AG$50,"?*"),23),14,FALSE)&lt;&gt;0,VLOOKUP(M1,OFFSET($AG$2,,,COUNTIF($AG$2:$AG$50,"?*"),23),14,FALSE),"?"),"")</f>
        <v>2014</v>
      </c>
      <c r="Q4" s="369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0</v>
      </c>
      <c r="U4" s="102">
        <v>7</v>
      </c>
      <c r="V4" s="102">
        <v>3</v>
      </c>
      <c r="W4" s="102">
        <v>1</v>
      </c>
      <c r="X4" s="102">
        <v>0</v>
      </c>
      <c r="Y4" s="102">
        <v>2</v>
      </c>
      <c r="Z4" s="102">
        <v>5</v>
      </c>
      <c r="AA4" s="102">
        <v>2</v>
      </c>
      <c r="AB4" s="102">
        <v>-10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149</v>
      </c>
      <c r="AQ4" s="123">
        <v>181</v>
      </c>
      <c r="AR4" s="123">
        <v>82</v>
      </c>
      <c r="AS4" s="126" t="s">
        <v>95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7 OZ, 3 (1+2), -4 ±</v>
      </c>
      <c r="AY4" s="129" t="str">
        <f t="shared" ca="1" si="2"/>
        <v>31 OZ, 4 (1+3)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190</v>
      </c>
      <c r="BO4" s="122">
        <v>35465</v>
      </c>
      <c r="BP4" s="131" t="s">
        <v>193</v>
      </c>
      <c r="BQ4" s="132" t="s">
        <v>196</v>
      </c>
      <c r="BR4" s="127">
        <f t="shared" ca="1" si="13"/>
        <v>24</v>
      </c>
      <c r="BS4" s="336"/>
      <c r="BT4" s="104" t="s">
        <v>1199</v>
      </c>
      <c r="BU4" s="103">
        <v>5</v>
      </c>
      <c r="BV4" s="104" t="str">
        <f t="shared" si="14"/>
        <v>Ivan Pergler</v>
      </c>
      <c r="BW4" s="102">
        <f t="shared" si="15"/>
        <v>5</v>
      </c>
      <c r="BX4" s="335"/>
      <c r="BY4" s="103" t="s">
        <v>207</v>
      </c>
      <c r="BZ4" s="103" t="s">
        <v>904</v>
      </c>
      <c r="CA4" s="115" t="s">
        <v>856</v>
      </c>
    </row>
    <row r="5" spans="1:79" ht="15" customHeight="1" thickTop="1" thickBot="1" x14ac:dyDescent="0.25">
      <c r="A5" s="8"/>
      <c r="B5" s="8"/>
      <c r="C5" s="8"/>
      <c r="D5" s="8"/>
      <c r="G5" s="377" t="str">
        <f ca="1">IFERROR(VLOOKUP(G3,OFFSET($AG$2,,,COUNTIF($AG$2:$AG$50,"?*"),23),18,FALSE),"")</f>
        <v>6 OZ, 4 (3+1), -8 ±</v>
      </c>
      <c r="H5" s="378"/>
      <c r="I5" s="378"/>
      <c r="J5" s="379" t="str">
        <f ca="1">IFERROR(VLOOKUP(G3,OFFSET($AG$2,,,COUNTIF($AG$2:$AG$50,"?*"),23),19,FALSE),"")</f>
        <v>103 OZ, 90 (29+61)</v>
      </c>
      <c r="K5" s="379"/>
      <c r="L5" s="380"/>
      <c r="R5" s="13"/>
      <c r="S5" s="110" t="s">
        <v>120</v>
      </c>
      <c r="T5" s="102" t="s">
        <v>119</v>
      </c>
      <c r="U5" s="102">
        <v>7</v>
      </c>
      <c r="V5" s="102">
        <v>3</v>
      </c>
      <c r="W5" s="102">
        <v>0</v>
      </c>
      <c r="X5" s="102">
        <v>0</v>
      </c>
      <c r="Y5" s="102">
        <v>2</v>
      </c>
      <c r="Z5" s="102">
        <v>5</v>
      </c>
      <c r="AA5" s="102">
        <v>0</v>
      </c>
      <c r="AB5" s="102">
        <v>-8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152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7 OZ, 10 (3+7), -8 ±</v>
      </c>
      <c r="AY5" s="129" t="str">
        <f t="shared" ca="1" si="2"/>
        <v>110 OZ, 50 (29+21)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192</v>
      </c>
      <c r="BQ5" s="132" t="s">
        <v>197</v>
      </c>
      <c r="BR5" s="127">
        <f t="shared" ca="1" si="13"/>
        <v>31</v>
      </c>
      <c r="BS5" s="336"/>
      <c r="BT5" s="104" t="s">
        <v>1200</v>
      </c>
      <c r="BU5" s="103">
        <v>5</v>
      </c>
      <c r="BV5" s="104" t="str">
        <f t="shared" si="14"/>
        <v>Vojtěch Klápa</v>
      </c>
      <c r="BW5" s="102">
        <f t="shared" si="15"/>
        <v>5</v>
      </c>
      <c r="BX5" s="335"/>
      <c r="BY5" s="103" t="s">
        <v>206</v>
      </c>
      <c r="BZ5" s="103" t="s">
        <v>905</v>
      </c>
      <c r="CA5" s="115" t="s">
        <v>906</v>
      </c>
    </row>
    <row r="6" spans="1:79" ht="15" customHeight="1" thickTop="1" thickBot="1" x14ac:dyDescent="0.25">
      <c r="A6" s="348" t="s">
        <v>11</v>
      </c>
      <c r="B6" s="349"/>
      <c r="C6" s="349"/>
      <c r="D6" s="349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11</v>
      </c>
      <c r="G6" s="365" t="str">
        <f ca="1">IFERROR(IF(VLOOKUP(G3,OFFSET($AG$2,,,COUNTIF($AG$2:$AG$50,"?*"),23),13,FALSE)&lt;&gt;0,VLOOKUP(G3,OFFSET($AG$2,,,COUNTIF($AG$2:$AG$50,"?*"),23),13,FALSE),"?"),"")</f>
        <v>Future</v>
      </c>
      <c r="H6" s="366"/>
      <c r="I6" s="367"/>
      <c r="J6" s="368">
        <f ca="1">IFERROR(IF(VLOOKUP(G3,OFFSET($AG$2,,,COUNTIF($AG$2:$AG$50,"?*"),23),14,FALSE)&lt;&gt;0,VLOOKUP(G3,OFFSET($AG$2,,,COUNTIF($AG$2:$AG$50,"?*"),23),14,FALSE),"?"),"")</f>
        <v>2003</v>
      </c>
      <c r="K6" s="369"/>
      <c r="L6" s="7">
        <f ca="1">IFERROR(IF(VLOOKUP(G3,OFFSET($AG$2,,,COUNTIF($AG$2:$AG$50,"?*"),23),7,FALSE)&lt;&gt;0,VLOOKUP(G3,OFFSET($AG$2,,,COUNTIF($AG$2:$AG$50,"?*"),23),7,FALSE),"?"),"")</f>
        <v>6</v>
      </c>
      <c r="M6" s="348" t="s">
        <v>10</v>
      </c>
      <c r="N6" s="349"/>
      <c r="O6" s="349"/>
      <c r="P6" s="349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65</v>
      </c>
      <c r="S6" s="110" t="s">
        <v>125</v>
      </c>
      <c r="T6" s="102" t="s">
        <v>119</v>
      </c>
      <c r="U6" s="102">
        <v>7</v>
      </c>
      <c r="V6" s="102">
        <v>4</v>
      </c>
      <c r="W6" s="102">
        <v>0</v>
      </c>
      <c r="X6" s="102">
        <v>0</v>
      </c>
      <c r="Y6" s="102">
        <v>0</v>
      </c>
      <c r="Z6" s="102">
        <v>4</v>
      </c>
      <c r="AA6" s="102">
        <v>0</v>
      </c>
      <c r="AB6" s="102">
        <v>-4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149</v>
      </c>
      <c r="AQ6" s="123">
        <v>181</v>
      </c>
      <c r="AR6" s="123">
        <v>80</v>
      </c>
      <c r="AS6" s="126" t="s">
        <v>153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7 OZ, 0 (0+0), -9 ±</v>
      </c>
      <c r="AY6" s="129" t="str">
        <f t="shared" ca="1" si="2"/>
        <v>65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796</v>
      </c>
      <c r="BO6" s="122">
        <v>32155</v>
      </c>
      <c r="BP6" s="131" t="s">
        <v>439</v>
      </c>
      <c r="BQ6" s="132" t="s">
        <v>197</v>
      </c>
      <c r="BR6" s="127">
        <f t="shared" ca="1" si="13"/>
        <v>33</v>
      </c>
      <c r="BS6" s="336"/>
      <c r="BT6" s="104" t="s">
        <v>1201</v>
      </c>
      <c r="BU6" s="103">
        <v>4</v>
      </c>
      <c r="BV6" s="104" t="str">
        <f t="shared" si="14"/>
        <v>Jan Procházka</v>
      </c>
      <c r="BW6" s="102">
        <f t="shared" si="15"/>
        <v>4</v>
      </c>
      <c r="BX6" s="335"/>
      <c r="BY6" s="103" t="s">
        <v>855</v>
      </c>
      <c r="BZ6" s="103" t="s">
        <v>907</v>
      </c>
      <c r="CA6" s="115" t="s">
        <v>856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41">
        <f ca="1">IFERROR(IF(VLOOKUP(A6,OFFSET($AG$2,,,COUNTIF($AG$2:$AG$50,"?*"),23),2,FALSE)&lt;&gt;0,YEAR(VLOOKUP(A6,OFFSET($AG$2,,,COUNTIF($AG$2:$AG$50,"?*"),23),2,FALSE)),""),"")</f>
        <v>2001</v>
      </c>
      <c r="C7" s="342"/>
      <c r="D7" s="5">
        <f ca="1">IFERROR(VLOOKUP(A6,OFFSET($AG$2,,,COUNTIF($AG$2:$AG$50,"?*"),23),15,FALSE),"")</f>
        <v>20</v>
      </c>
      <c r="E7" s="343" t="str">
        <f ca="1">IFERROR(VLOOKUP(A6,OFFSET($AG$2,,,COUNTIF($AG$2:$AG$50,"?*"),23),16,FALSE),"")</f>
        <v>181/80</v>
      </c>
      <c r="F7" s="344"/>
      <c r="M7" s="4" t="str">
        <f ca="1">IFERROR(IF(VLOOKUP(M6,OFFSET($AG$2,,,COUNTIF($AG$2:$AG$50,"?*"),23),10,FALSE)&lt;&gt;0,VLOOKUP(M6,OFFSET($AG$2,,,COUNTIF($AG$2:$AG$50,"?*"),23),10,FALSE),""),"")</f>
        <v>P</v>
      </c>
      <c r="N7" s="341">
        <f ca="1">IFERROR(IF(VLOOKUP(M6,OFFSET($AG$2,,,COUNTIF($AG$2:$AG$50,"?*"),23),2,FALSE)&lt;&gt;0,YEAR(VLOOKUP(M6,OFFSET($AG$2,,,COUNTIF($AG$2:$AG$50,"?*"),23),2,FALSE)),""),"")</f>
        <v>1993</v>
      </c>
      <c r="O7" s="342"/>
      <c r="P7" s="6">
        <f ca="1">IFERROR(VLOOKUP(M6,OFFSET($AG$2,,,COUNTIF($AG$2:$AG$50,"?*"),23),15,FALSE),"")</f>
        <v>28</v>
      </c>
      <c r="Q7" s="343" t="str">
        <f ca="1">IFERROR(VLOOKUP(M6,OFFSET($AG$2,,,COUNTIF($AG$2:$AG$50,"?*"),23),16,FALSE),"")</f>
        <v>169/65</v>
      </c>
      <c r="R7" s="344"/>
      <c r="S7" s="110" t="s">
        <v>9</v>
      </c>
      <c r="U7" s="102">
        <v>6</v>
      </c>
      <c r="V7" s="102">
        <v>3</v>
      </c>
      <c r="W7" s="102">
        <v>2</v>
      </c>
      <c r="X7" s="102">
        <v>0</v>
      </c>
      <c r="Y7" s="102">
        <v>1</v>
      </c>
      <c r="Z7" s="102">
        <v>4</v>
      </c>
      <c r="AA7" s="102">
        <v>2</v>
      </c>
      <c r="AB7" s="102">
        <v>-8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149</v>
      </c>
      <c r="AQ7" s="123">
        <v>180</v>
      </c>
      <c r="AR7" s="123">
        <v>78</v>
      </c>
      <c r="AS7" s="126" t="s">
        <v>154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4 OZ, 1 (1+0), -1 ±</v>
      </c>
      <c r="AY7" s="129" t="str">
        <f t="shared" ca="1" si="2"/>
        <v>165 OZ, 140 (93+47)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36" t="s">
        <v>40</v>
      </c>
      <c r="BT7" s="104" t="s">
        <v>800</v>
      </c>
      <c r="BU7" s="103" t="s">
        <v>1202</v>
      </c>
      <c r="BV7" s="104" t="str">
        <f t="shared" si="14"/>
        <v>Karel Šantora</v>
      </c>
      <c r="BW7" s="112">
        <f t="shared" si="15"/>
        <v>6.42</v>
      </c>
      <c r="BX7" s="335" t="s">
        <v>212</v>
      </c>
      <c r="BY7" s="103" t="s">
        <v>913</v>
      </c>
      <c r="BZ7" s="103" t="s">
        <v>914</v>
      </c>
      <c r="CA7" s="115" t="s">
        <v>205</v>
      </c>
    </row>
    <row r="8" spans="1:79" ht="15" customHeight="1" x14ac:dyDescent="0.2">
      <c r="A8" s="377" t="str">
        <f ca="1">IFERROR(VLOOKUP(A6,OFFSET($AG$2,,,COUNTIF($AG$2:$AG$50,"?*"),23),18,FALSE),"")</f>
        <v>7 OZ, 0 (0+0), -9 ±</v>
      </c>
      <c r="B8" s="378"/>
      <c r="C8" s="378"/>
      <c r="D8" s="379" t="str">
        <f ca="1">IFERROR(VLOOKUP(A6,OFFSET($AG$2,,,COUNTIF($AG$2:$AG$50,"?*"),23),19,FALSE),"")</f>
        <v>65 OZ, 16 (9+7)</v>
      </c>
      <c r="E8" s="379"/>
      <c r="F8" s="380"/>
      <c r="H8" s="381" t="s">
        <v>5</v>
      </c>
      <c r="I8" s="381"/>
      <c r="J8" s="381"/>
      <c r="K8" s="381"/>
      <c r="M8" s="377" t="str">
        <f ca="1">IFERROR(VLOOKUP(M6,OFFSET($AG$2,,,COUNTIF($AG$2:$AG$50,"?*"),23),18,FALSE),"")</f>
        <v>6 OZ, 4 (1+3), -3 ±</v>
      </c>
      <c r="N8" s="378"/>
      <c r="O8" s="378"/>
      <c r="P8" s="379" t="str">
        <f ca="1">IFERROR(VLOOKUP(M6,OFFSET($AG$2,,,COUNTIF($AG$2:$AG$50,"?*"),23),19,FALSE),"")</f>
        <v>115 OZ, 60 (33+27)</v>
      </c>
      <c r="Q8" s="379"/>
      <c r="R8" s="380"/>
      <c r="S8" s="110" t="s">
        <v>10</v>
      </c>
      <c r="T8" s="102" t="s">
        <v>64</v>
      </c>
      <c r="U8" s="102">
        <v>6</v>
      </c>
      <c r="V8" s="102">
        <v>1</v>
      </c>
      <c r="W8" s="102">
        <v>0</v>
      </c>
      <c r="X8" s="102">
        <v>0</v>
      </c>
      <c r="Y8" s="102">
        <v>3</v>
      </c>
      <c r="Z8" s="102">
        <v>4</v>
      </c>
      <c r="AA8" s="102">
        <v>2</v>
      </c>
      <c r="AB8" s="102">
        <v>-3</v>
      </c>
      <c r="AC8" s="102" t="str">
        <f t="shared" ca="1" si="0"/>
        <v>ANO</v>
      </c>
      <c r="AG8" s="121" t="s">
        <v>155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149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4 OZ, 1 (0+1), -1 ±</v>
      </c>
      <c r="AY8" s="129" t="str">
        <f t="shared" ca="1" si="2"/>
        <v>58 OZ, 17 (2+15)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36"/>
      <c r="BT8" s="104" t="s">
        <v>801</v>
      </c>
      <c r="BU8" s="103" t="s">
        <v>900</v>
      </c>
      <c r="BV8" s="104" t="str">
        <f t="shared" si="14"/>
        <v>Petr Musil</v>
      </c>
      <c r="BW8" s="112">
        <f t="shared" si="15"/>
        <v>8.48</v>
      </c>
      <c r="BX8" s="335"/>
      <c r="BY8" s="103" t="s">
        <v>915</v>
      </c>
      <c r="BZ8" s="103" t="s">
        <v>916</v>
      </c>
      <c r="CA8" s="115" t="s">
        <v>205</v>
      </c>
    </row>
    <row r="9" spans="1:79" ht="15" customHeight="1" thickBot="1" x14ac:dyDescent="0.25">
      <c r="A9" s="365" t="str">
        <f ca="1">IFERROR(IF(VLOOKUP(A6,OFFSET($AG$2,,,COUNTIF($AG$2:$AG$50,"?*"),23),13,FALSE)&lt;&gt;0,VLOOKUP(A6,OFFSET($AG$2,,,COUNTIF($AG$2:$AG$50,"?*"),23),13,FALSE),"?"),"")</f>
        <v>Bulldogs Brno</v>
      </c>
      <c r="B9" s="366"/>
      <c r="C9" s="367"/>
      <c r="D9" s="368">
        <f ca="1">IFERROR(IF(VLOOKUP(A6,OFFSET($AG$2,,,COUNTIF($AG$2:$AG$50,"?*"),23),14,FALSE)&lt;&gt;0,VLOOKUP(A6,OFFSET($AG$2,,,COUNTIF($AG$2:$AG$50,"?*"),23),14,FALSE),"?"),"")</f>
        <v>2013</v>
      </c>
      <c r="E9" s="369"/>
      <c r="F9" s="7">
        <f ca="1">IFERROR(IF(VLOOKUP(A6,OFFSET($AG$2,,,COUNTIF($AG$2:$AG$50,"?*"),23),7,FALSE)&lt;&gt;0,VLOOKUP(A6,OFFSET($AG$2,,,COUNTIF($AG$2:$AG$50,"?*"),23),7,FALSE),"?"),"")</f>
        <v>4</v>
      </c>
      <c r="H9" s="381"/>
      <c r="I9" s="381"/>
      <c r="J9" s="381"/>
      <c r="K9" s="381"/>
      <c r="M9" s="365" t="str">
        <f ca="1">IFERROR(IF(VLOOKUP(M6,OFFSET($AG$2,,,COUNTIF($AG$2:$AG$50,"?*"),23),13,FALSE)&lt;&gt;0,VLOOKUP(M6,OFFSET($AG$2,,,COUNTIF($AG$2:$AG$50,"?*"),23),13,FALSE),"?"),"")</f>
        <v>Lhokamo</v>
      </c>
      <c r="N9" s="366"/>
      <c r="O9" s="367"/>
      <c r="P9" s="368">
        <f ca="1">IFERROR(IF(VLOOKUP(M6,OFFSET($AG$2,,,COUNTIF($AG$2:$AG$50,"?*"),23),14,FALSE)&lt;&gt;0,VLOOKUP(M6,OFFSET($AG$2,,,COUNTIF($AG$2:$AG$50,"?*"),23),14,FALSE),"?"),"")</f>
        <v>2004</v>
      </c>
      <c r="Q9" s="369"/>
      <c r="R9" s="7">
        <f ca="1">IFERROR(IF(VLOOKUP(M6,OFFSET($AG$2,,,COUNTIF($AG$2:$AG$50,"?*"),23),7,FALSE)&lt;&gt;0,VLOOKUP(M6,OFFSET($AG$2,,,COUNTIF($AG$2:$AG$50,"?*"),23),7,FALSE),"?"),"")</f>
        <v>7</v>
      </c>
      <c r="S9" s="110" t="s">
        <v>4</v>
      </c>
      <c r="T9" s="102" t="s">
        <v>64</v>
      </c>
      <c r="U9" s="102">
        <v>7</v>
      </c>
      <c r="V9" s="102">
        <v>1</v>
      </c>
      <c r="W9" s="102">
        <v>0</v>
      </c>
      <c r="X9" s="102">
        <v>0</v>
      </c>
      <c r="Y9" s="102">
        <v>2</v>
      </c>
      <c r="Z9" s="102">
        <v>3</v>
      </c>
      <c r="AA9" s="102">
        <v>2</v>
      </c>
      <c r="AB9" s="102">
        <v>-4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149</v>
      </c>
      <c r="AQ9" s="123">
        <v>180</v>
      </c>
      <c r="AR9" s="123">
        <v>78</v>
      </c>
      <c r="AS9" s="126" t="s">
        <v>156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6 OZ, 2 (0+2), -8 ±</v>
      </c>
      <c r="AY9" s="129" t="str">
        <f t="shared" ca="1" si="2"/>
        <v>88 OZ, 69 (45+24)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36"/>
      <c r="BV9" s="104" t="str">
        <f t="shared" si="14"/>
        <v/>
      </c>
      <c r="BW9" s="112" t="str">
        <f t="shared" si="15"/>
        <v/>
      </c>
      <c r="BX9" s="335"/>
      <c r="BY9" s="103" t="s">
        <v>945</v>
      </c>
      <c r="BZ9" s="103" t="s">
        <v>943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160</v>
      </c>
      <c r="U10" s="102">
        <v>6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-5</v>
      </c>
      <c r="AC10" s="102" t="str">
        <f t="shared" ca="1" si="0"/>
        <v>ANO</v>
      </c>
      <c r="AG10" s="121" t="s">
        <v>124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70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6 OZ, 0 (0+0), -4 ±</v>
      </c>
      <c r="AY10" s="129" t="str">
        <f t="shared" ca="1" si="2"/>
        <v>6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36"/>
      <c r="BV10" s="104" t="str">
        <f t="shared" si="14"/>
        <v/>
      </c>
      <c r="BW10" s="112" t="str">
        <f t="shared" si="15"/>
        <v/>
      </c>
      <c r="BX10" s="335"/>
      <c r="BY10" s="103" t="s">
        <v>1106</v>
      </c>
      <c r="BZ10" s="103" t="s">
        <v>965</v>
      </c>
      <c r="CA10" s="115" t="s">
        <v>205</v>
      </c>
    </row>
    <row r="11" spans="1:79" ht="15" customHeight="1" thickTop="1" thickBot="1" x14ac:dyDescent="0.25">
      <c r="R11" s="13"/>
      <c r="S11" s="110" t="s">
        <v>14</v>
      </c>
      <c r="T11" s="102" t="s">
        <v>119</v>
      </c>
      <c r="U11" s="102">
        <v>6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0</v>
      </c>
      <c r="AB11" s="102">
        <v>-8</v>
      </c>
      <c r="AC11" s="102" t="str">
        <f t="shared" ca="1" si="0"/>
        <v>ANO</v>
      </c>
      <c r="AG11" s="121" t="s">
        <v>123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149</v>
      </c>
      <c r="AQ11" s="123">
        <v>169</v>
      </c>
      <c r="AR11" s="123">
        <v>70</v>
      </c>
      <c r="AS11" s="126" t="s">
        <v>795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7 OZ, 0 (0+0), -7 ±</v>
      </c>
      <c r="AY11" s="129" t="str">
        <f t="shared" ca="1" si="2"/>
        <v>209 OZ, 67 (36+31)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36"/>
      <c r="BV11" s="104" t="str">
        <f t="shared" si="14"/>
        <v/>
      </c>
      <c r="BW11" s="112" t="str">
        <f t="shared" si="15"/>
        <v/>
      </c>
      <c r="BX11" s="335"/>
      <c r="BY11" s="103" t="s">
        <v>1196</v>
      </c>
      <c r="BZ11" s="103" t="s">
        <v>964</v>
      </c>
      <c r="CA11" s="115" t="s">
        <v>205</v>
      </c>
    </row>
    <row r="12" spans="1:79" ht="15" customHeight="1" thickTop="1" thickBot="1" x14ac:dyDescent="0.25">
      <c r="A12" s="348" t="s">
        <v>116</v>
      </c>
      <c r="B12" s="349"/>
      <c r="C12" s="349"/>
      <c r="D12" s="349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382" t="s">
        <v>7</v>
      </c>
      <c r="I12" s="382"/>
      <c r="J12" s="382"/>
      <c r="K12" s="382"/>
      <c r="M12" s="348" t="s">
        <v>0</v>
      </c>
      <c r="N12" s="349"/>
      <c r="O12" s="349"/>
      <c r="P12" s="349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63</v>
      </c>
      <c r="S12" s="110" t="s">
        <v>8</v>
      </c>
      <c r="T12" s="102" t="s">
        <v>119</v>
      </c>
      <c r="U12" s="102">
        <v>4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-1</v>
      </c>
      <c r="AC12" s="102" t="str">
        <f t="shared" ca="1" si="0"/>
        <v>ANO</v>
      </c>
      <c r="AG12" s="121" t="s">
        <v>126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2 OZ, 0 (0+0), -2 ±</v>
      </c>
      <c r="AY12" s="129" t="str">
        <f t="shared" ca="1" si="2"/>
        <v>2 OZ, 0 (0+0)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36" t="s">
        <v>37</v>
      </c>
      <c r="BT12" s="104" t="s">
        <v>198</v>
      </c>
      <c r="BU12" s="103">
        <v>6</v>
      </c>
      <c r="BV12" s="104" t="str">
        <f t="shared" si="14"/>
        <v>Viktor Kopecký</v>
      </c>
      <c r="BW12" s="102">
        <f t="shared" si="15"/>
        <v>6</v>
      </c>
      <c r="BX12" s="116" t="s">
        <v>210</v>
      </c>
      <c r="BY12" s="100" t="s">
        <v>1197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41">
        <f ca="1">IFERROR(IF(VLOOKUP(A12,OFFSET($AG$2,,,COUNTIF($AG$2:$AG$50,"?*"),23),2,FALSE)&lt;&gt;0,YEAR(VLOOKUP(A12,OFFSET($AG$2,,,COUNTIF($AG$2:$AG$50,"?*"),23),2,FALSE)),""),"")</f>
        <v>1995</v>
      </c>
      <c r="C13" s="342"/>
      <c r="D13" s="5">
        <f ca="1">IFERROR(VLOOKUP(A12,OFFSET($AG$2,,,COUNTIF($AG$2:$AG$50,"?*"),23),15,FALSE),"")</f>
        <v>26</v>
      </c>
      <c r="E13" s="343" t="str">
        <f ca="1">IFERROR(VLOOKUP(A12,OFFSET($AG$2,,,COUNTIF($AG$2:$AG$50,"?*"),23),16,FALSE),"")</f>
        <v>191/78</v>
      </c>
      <c r="F13" s="344"/>
      <c r="M13" s="4" t="str">
        <f ca="1">IFERROR(IF(VLOOKUP(M12,OFFSET($AG$2,,,COUNTIF($AG$2:$AG$50,"?*"),23),10,FALSE)&lt;&gt;0,VLOOKUP(M12,OFFSET($AG$2,,,COUNTIF($AG$2:$AG$50,"?*"),23),10,FALSE),""),"")</f>
        <v>L</v>
      </c>
      <c r="N13" s="341">
        <f ca="1">IFERROR(IF(VLOOKUP(M12,OFFSET($AG$2,,,COUNTIF($AG$2:$AG$50,"?*"),23),2,FALSE)&lt;&gt;0,YEAR(VLOOKUP(M12,OFFSET($AG$2,,,COUNTIF($AG$2:$AG$50,"?*"),23),2,FALSE)),""),"")</f>
        <v>2003</v>
      </c>
      <c r="O13" s="342"/>
      <c r="P13" s="6">
        <f ca="1">IFERROR(VLOOKUP(M12,OFFSET($AG$2,,,COUNTIF($AG$2:$AG$50,"?*"),23),15,FALSE),"")</f>
        <v>18</v>
      </c>
      <c r="Q13" s="343" t="str">
        <f ca="1">IFERROR(VLOOKUP(M12,OFFSET($AG$2,,,COUNTIF($AG$2:$AG$50,"?*"),23),16,FALSE),"")</f>
        <v>185/71</v>
      </c>
      <c r="R13" s="344"/>
      <c r="S13" s="110" t="s">
        <v>118</v>
      </c>
      <c r="T13" s="102" t="s">
        <v>119</v>
      </c>
      <c r="U13" s="102">
        <v>6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-5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149</v>
      </c>
      <c r="AQ13" s="123">
        <v>185</v>
      </c>
      <c r="AR13" s="123">
        <v>71</v>
      </c>
      <c r="AS13" s="126" t="s">
        <v>157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7 OZ, 5 (3+2), -10 ±</v>
      </c>
      <c r="AY13" s="129" t="str">
        <f t="shared" ca="1" si="2"/>
        <v>27 OZ, 10 (7+3)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36"/>
      <c r="BT13" s="104" t="s">
        <v>1203</v>
      </c>
      <c r="BU13" s="103">
        <v>4</v>
      </c>
      <c r="BV13" s="104" t="str">
        <f t="shared" si="14"/>
        <v>Jan Procházka</v>
      </c>
      <c r="BW13" s="102">
        <f t="shared" si="15"/>
        <v>4</v>
      </c>
    </row>
    <row r="14" spans="1:79" ht="15" customHeight="1" thickTop="1" thickBot="1" x14ac:dyDescent="0.25">
      <c r="A14" s="377" t="str">
        <f ca="1">IFERROR(VLOOKUP(A12,OFFSET($AG$2,,,COUNTIF($AG$2:$AG$50,"?*"),23),18,FALSE),"")</f>
        <v>6 OZ, 9 (6+3), -6 ±</v>
      </c>
      <c r="B14" s="378"/>
      <c r="C14" s="378"/>
      <c r="D14" s="379" t="str">
        <f ca="1">IFERROR(VLOOKUP(A12,OFFSET($AG$2,,,COUNTIF($AG$2:$AG$50,"?*"),23),19,FALSE),"")</f>
        <v>109 OZ, 133 (90+43)</v>
      </c>
      <c r="E14" s="379"/>
      <c r="F14" s="380"/>
      <c r="G14" s="348" t="s">
        <v>155</v>
      </c>
      <c r="H14" s="349"/>
      <c r="I14" s="349"/>
      <c r="J14" s="349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32</v>
      </c>
      <c r="M14" s="377" t="str">
        <f ca="1">IFERROR(VLOOKUP(M12,OFFSET($AG$2,,,COUNTIF($AG$2:$AG$50,"?*"),23),18,FALSE),"")</f>
        <v>7 OZ, 5 (3+2), -10 ±</v>
      </c>
      <c r="N14" s="378"/>
      <c r="O14" s="378"/>
      <c r="P14" s="379" t="str">
        <f ca="1">IFERROR(VLOOKUP(M12,OFFSET($AG$2,,,COUNTIF($AG$2:$AG$50,"?*"),23),19,FALSE),"")</f>
        <v>27 OZ, 10 (7+3)</v>
      </c>
      <c r="Q14" s="379"/>
      <c r="R14" s="380"/>
      <c r="S14" s="110" t="s">
        <v>3</v>
      </c>
      <c r="T14" s="102" t="s">
        <v>64</v>
      </c>
      <c r="U14" s="102">
        <v>3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-5</v>
      </c>
      <c r="AC14" s="102" t="str">
        <f t="shared" ca="1" si="0"/>
        <v>ANO</v>
      </c>
      <c r="AG14" s="121" t="s">
        <v>116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149</v>
      </c>
      <c r="AQ14" s="123">
        <v>191</v>
      </c>
      <c r="AR14" s="123">
        <v>78</v>
      </c>
      <c r="AS14" s="126" t="s">
        <v>271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6 OZ, 9 (6+3), -6 ±</v>
      </c>
      <c r="AY14" s="129" t="str">
        <f t="shared" ca="1" si="2"/>
        <v>109 OZ, 133 (90+43)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36"/>
      <c r="BT14" s="104" t="s">
        <v>1199</v>
      </c>
      <c r="BU14" s="103">
        <v>3</v>
      </c>
      <c r="BV14" s="104" t="str">
        <f t="shared" si="14"/>
        <v>Ivan Pergler</v>
      </c>
      <c r="BW14" s="102">
        <f t="shared" si="15"/>
        <v>3</v>
      </c>
    </row>
    <row r="15" spans="1:79" ht="15" customHeight="1" thickBot="1" x14ac:dyDescent="0.25">
      <c r="A15" s="365" t="str">
        <f ca="1">IFERROR(IF(VLOOKUP(A12,OFFSET($AG$2,,,COUNTIF($AG$2:$AG$50,"?*"),23),13,FALSE)&lt;&gt;0,VLOOKUP(A12,OFFSET($AG$2,,,COUNTIF($AG$2:$AG$50,"?*"),23),13,FALSE),"?"),"")</f>
        <v>Florbal Ústí</v>
      </c>
      <c r="B15" s="366"/>
      <c r="C15" s="367"/>
      <c r="D15" s="368">
        <f ca="1">IFERROR(IF(VLOOKUP(A12,OFFSET($AG$2,,,COUNTIF($AG$2:$AG$50,"?*"),23),14,FALSE)&lt;&gt;0,VLOOKUP(A12,OFFSET($AG$2,,,COUNTIF($AG$2:$AG$50,"?*"),23),14,FALSE),"?"),"")</f>
        <v>2008</v>
      </c>
      <c r="E15" s="369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41">
        <f ca="1">IFERROR(IF(VLOOKUP(G14,OFFSET($AG$2,,,COUNTIF($AG$2:$AG$50,"?*"),23),2,FALSE)&lt;&gt;0,YEAR(VLOOKUP(G14,OFFSET($AG$2,,,COUNTIF($AG$2:$AG$50,"?*"),23),2,FALSE)),""),"")</f>
        <v>2000</v>
      </c>
      <c r="I15" s="342"/>
      <c r="J15" s="5">
        <f ca="1">IFERROR(VLOOKUP(G14,OFFSET($AG$2,,,COUNTIF($AG$2:$AG$50,"?*"),23),15,FALSE),"")</f>
        <v>20</v>
      </c>
      <c r="K15" s="343" t="str">
        <f ca="1">IFERROR(VLOOKUP(G14,OFFSET($AG$2,,,COUNTIF($AG$2:$AG$50,"?*"),23),16,FALSE),"")</f>
        <v>175/70</v>
      </c>
      <c r="L15" s="344"/>
      <c r="M15" s="365" t="str">
        <f ca="1">IFERROR(IF(VLOOKUP(M12,OFFSET($AG$2,,,COUNTIF($AG$2:$AG$50,"?*"),23),13,FALSE)&lt;&gt;0,VLOOKUP(M12,OFFSET($AG$2,,,COUNTIF($AG$2:$AG$50,"?*"),23),13,FALSE),"?"),"")</f>
        <v>SK Florbal Benešov</v>
      </c>
      <c r="N15" s="366"/>
      <c r="O15" s="367"/>
      <c r="P15" s="368">
        <f ca="1">IFERROR(IF(VLOOKUP(M12,OFFSET($AG$2,,,COUNTIF($AG$2:$AG$50,"?*"),23),14,FALSE)&lt;&gt;0,VLOOKUP(M12,OFFSET($AG$2,,,COUNTIF($AG$2:$AG$50,"?*"),23),14,FALSE),"?"),"")</f>
        <v>2009</v>
      </c>
      <c r="Q15" s="369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121</v>
      </c>
      <c r="U15" s="102">
        <v>4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2</v>
      </c>
      <c r="AB15" s="102">
        <v>0</v>
      </c>
      <c r="AC15" s="102" t="str">
        <f t="shared" ca="1" si="0"/>
        <v>ANO</v>
      </c>
      <c r="AG15" s="121" t="s">
        <v>158</v>
      </c>
      <c r="AH15" s="122">
        <v>32114</v>
      </c>
      <c r="AI15" s="123">
        <v>38</v>
      </c>
      <c r="AJ15" s="123">
        <v>7</v>
      </c>
      <c r="AK15" s="123">
        <v>4</v>
      </c>
      <c r="AL15" s="124">
        <f>IF(AG15&lt;&gt;"",AJ15+AK15,"")</f>
        <v>11</v>
      </c>
      <c r="AM15" s="123">
        <v>4</v>
      </c>
      <c r="AN15" s="123">
        <v>94</v>
      </c>
      <c r="AO15" s="125"/>
      <c r="AP15" s="125" t="s">
        <v>149</v>
      </c>
      <c r="AQ15" s="123">
        <v>173</v>
      </c>
      <c r="AR15" s="123">
        <v>70</v>
      </c>
      <c r="AS15" s="126" t="s">
        <v>159</v>
      </c>
      <c r="AT15" s="123">
        <v>1994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173/70</v>
      </c>
      <c r="AW15" s="128" t="str">
        <f ca="1">IF(AG15&lt;&gt;"",IF(BE15=1,BD15,IF(BH15=1,BG15,IF(BJ15=1,BI15,IF(BL15=1,BK15,BM15)))),"")</f>
        <v>Králík</v>
      </c>
      <c r="AX15" s="129" t="str">
        <f t="shared" ca="1" si="1"/>
        <v>0 OZ, 0 (0+0)</v>
      </c>
      <c r="AY15" s="129" t="str">
        <f t="shared" ca="1" si="2"/>
        <v>38 OZ, 11 (7+4)</v>
      </c>
      <c r="AZ15" s="130"/>
      <c r="BA15" s="130"/>
      <c r="BB15" s="130"/>
      <c r="BC15" s="130"/>
      <c r="BD15" s="89" t="str">
        <f t="shared" si="3"/>
        <v>Králík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36"/>
      <c r="BT15" s="104" t="s">
        <v>1204</v>
      </c>
      <c r="BU15" s="103">
        <v>3</v>
      </c>
      <c r="BV15" s="104" t="str">
        <f t="shared" si="14"/>
        <v>Jan Fiala</v>
      </c>
      <c r="BW15" s="102">
        <f t="shared" si="15"/>
        <v>3</v>
      </c>
    </row>
    <row r="16" spans="1:79" ht="15" customHeight="1" thickTop="1" thickBot="1" x14ac:dyDescent="0.25">
      <c r="A16" s="8"/>
      <c r="B16" s="8"/>
      <c r="C16" s="8"/>
      <c r="D16" s="8"/>
      <c r="G16" s="377" t="str">
        <f ca="1">IFERROR(VLOOKUP(G14,OFFSET($AG$2,,,COUNTIF($AG$2:$AG$50,"?*"),23),18,FALSE),"")</f>
        <v>4 OZ, 1 (0+1), -1 ±</v>
      </c>
      <c r="H16" s="378"/>
      <c r="I16" s="378"/>
      <c r="J16" s="379" t="str">
        <f ca="1">IFERROR(VLOOKUP(G14,OFFSET($AG$2,,,COUNTIF($AG$2:$AG$50,"?*"),23),19,FALSE),"")</f>
        <v>58 OZ, 17 (2+15)</v>
      </c>
      <c r="K16" s="379"/>
      <c r="L16" s="380"/>
      <c r="R16" s="13"/>
      <c r="S16" s="110" t="s">
        <v>155</v>
      </c>
      <c r="U16" s="102">
        <v>4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-1</v>
      </c>
      <c r="AC16" s="102" t="str">
        <f t="shared" ca="1" si="0"/>
        <v>ANO</v>
      </c>
      <c r="AG16" s="121" t="s">
        <v>160</v>
      </c>
      <c r="AH16" s="122">
        <v>32379</v>
      </c>
      <c r="AI16" s="123">
        <v>96</v>
      </c>
      <c r="AJ16" s="123">
        <v>10</v>
      </c>
      <c r="AK16" s="123">
        <v>8</v>
      </c>
      <c r="AL16" s="124">
        <f>IF(AG16&lt;&gt;"",AJ16+AK16,"")</f>
        <v>18</v>
      </c>
      <c r="AM16" s="123">
        <v>7</v>
      </c>
      <c r="AN16" s="123">
        <v>19</v>
      </c>
      <c r="AO16" s="125" t="s">
        <v>166</v>
      </c>
      <c r="AP16" s="125" t="s">
        <v>27</v>
      </c>
      <c r="AQ16" s="123">
        <v>187</v>
      </c>
      <c r="AR16" s="123">
        <v>92</v>
      </c>
      <c r="AS16" s="126" t="s">
        <v>161</v>
      </c>
      <c r="AT16" s="123">
        <v>2000</v>
      </c>
      <c r="AU16" s="127">
        <f ca="1">IF(AG16&lt;&gt;"",IF(AH16&lt;&gt;"",INT((TODAY()-AH16)/365),"?"),"")</f>
        <v>33</v>
      </c>
      <c r="AV16" s="127" t="str">
        <f>IF(AG16&lt;&gt;"",CONCATENATE(IF(AQ16&lt;&gt;"",AQ16,"? "),"/",IF(AR16&lt;&gt;"",AR16," ?")),"")</f>
        <v>187/92</v>
      </c>
      <c r="AW16" s="128" t="str">
        <f ca="1">IF(AG16&lt;&gt;"",IF(BE16=1,BD16,IF(BH16=1,BG16,IF(BJ16=1,BI16,IF(BL16=1,BK16,BM16)))),"")</f>
        <v>Lanc</v>
      </c>
      <c r="AX16" s="129" t="str">
        <f t="shared" ca="1" si="1"/>
        <v>6 OZ, 2 (2+0), -5 ±</v>
      </c>
      <c r="AY16" s="129" t="str">
        <f t="shared" ca="1" si="2"/>
        <v>102 OZ, 20 (12+8)</v>
      </c>
      <c r="AZ16" s="130"/>
      <c r="BA16" s="130"/>
      <c r="BB16" s="130"/>
      <c r="BC16" s="130"/>
      <c r="BD16" s="3" t="str">
        <f t="shared" si="3"/>
        <v>Lanc</v>
      </c>
      <c r="BE16" s="84">
        <f t="shared" ca="1" si="4"/>
        <v>1</v>
      </c>
      <c r="BF16" s="62" t="str">
        <f t="shared" si="5"/>
        <v>L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36"/>
      <c r="BT16" s="104" t="s">
        <v>903</v>
      </c>
      <c r="BU16" s="103">
        <v>3</v>
      </c>
      <c r="BV16" s="104" t="str">
        <f t="shared" si="14"/>
        <v>Vojtěch Klápa</v>
      </c>
      <c r="BW16" s="102">
        <f t="shared" si="15"/>
        <v>3</v>
      </c>
    </row>
    <row r="17" spans="1:75" ht="15" customHeight="1" thickTop="1" thickBot="1" x14ac:dyDescent="0.25">
      <c r="A17" s="348" t="s">
        <v>4</v>
      </c>
      <c r="B17" s="349"/>
      <c r="C17" s="349"/>
      <c r="D17" s="349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47</v>
      </c>
      <c r="G17" s="365" t="str">
        <f ca="1">IFERROR(IF(VLOOKUP(G14,OFFSET($AG$2,,,COUNTIF($AG$2:$AG$50,"?*"),23),13,FALSE)&lt;&gt;0,VLOOKUP(G14,OFFSET($AG$2,,,COUNTIF($AG$2:$AG$50,"?*"),23),13,FALSE),"?"),"")</f>
        <v>SKV</v>
      </c>
      <c r="H17" s="366"/>
      <c r="I17" s="367"/>
      <c r="J17" s="368">
        <f ca="1">IFERROR(IF(VLOOKUP(G14,OFFSET($AG$2,,,COUNTIF($AG$2:$AG$50,"?*"),23),14,FALSE)&lt;&gt;0,VLOOKUP(G14,OFFSET($AG$2,,,COUNTIF($AG$2:$AG$50,"?*"),23),14,FALSE),"?"),"")</f>
        <v>2015</v>
      </c>
      <c r="K17" s="369"/>
      <c r="L17" s="7">
        <f ca="1">IFERROR(IF(VLOOKUP(G14,OFFSET($AG$2,,,COUNTIF($AG$2:$AG$50,"?*"),23),7,FALSE)&lt;&gt;0,VLOOKUP(G14,OFFSET($AG$2,,,COUNTIF($AG$2:$AG$50,"?*"),23),7,FALSE),"?"),"")</f>
        <v>4</v>
      </c>
      <c r="M17" s="348" t="s">
        <v>123</v>
      </c>
      <c r="N17" s="349"/>
      <c r="O17" s="349"/>
      <c r="P17" s="349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3</v>
      </c>
      <c r="S17" s="110" t="s">
        <v>126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-2</v>
      </c>
      <c r="AC17" s="102" t="str">
        <f t="shared" ca="1" si="0"/>
        <v>ANO</v>
      </c>
      <c r="AG17" s="121" t="s">
        <v>162</v>
      </c>
      <c r="AH17" s="122">
        <v>31929</v>
      </c>
      <c r="AI17" s="123">
        <v>67</v>
      </c>
      <c r="AJ17" s="123">
        <v>19</v>
      </c>
      <c r="AK17" s="123">
        <v>20</v>
      </c>
      <c r="AL17" s="124">
        <f>IF(AG17&lt;&gt;"",AJ17+AK17,"")</f>
        <v>39</v>
      </c>
      <c r="AM17" s="123">
        <v>6</v>
      </c>
      <c r="AN17" s="123">
        <v>10</v>
      </c>
      <c r="AO17" s="125"/>
      <c r="AP17" s="125" t="s">
        <v>27</v>
      </c>
      <c r="AQ17" s="123">
        <v>179</v>
      </c>
      <c r="AR17" s="123">
        <v>82</v>
      </c>
      <c r="AS17" s="126" t="s">
        <v>163</v>
      </c>
      <c r="AT17" s="123">
        <v>1997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179/82</v>
      </c>
      <c r="AW17" s="128" t="str">
        <f ca="1">IF(AG17&lt;&gt;"",IF(BE17=1,BD17,IF(BH17=1,BG17,IF(BJ17=1,BI17,IF(BL17=1,BK17,BM17)))),"")</f>
        <v>Linhart</v>
      </c>
      <c r="AX17" s="129" t="str">
        <f t="shared" ca="1" si="1"/>
        <v>0 OZ, 0 (0+0)</v>
      </c>
      <c r="AY17" s="129" t="str">
        <f t="shared" ca="1" si="2"/>
        <v>67 OZ, 39 (19+20)</v>
      </c>
      <c r="AZ17" s="130"/>
      <c r="BA17" s="130"/>
      <c r="BB17" s="130"/>
      <c r="BC17" s="130"/>
      <c r="BD17" s="89" t="str">
        <f t="shared" si="3"/>
        <v>Linhart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36" t="s">
        <v>41</v>
      </c>
      <c r="BT17" s="104" t="s">
        <v>800</v>
      </c>
      <c r="BU17" s="103">
        <v>2</v>
      </c>
      <c r="BV17" s="104" t="str">
        <f t="shared" si="14"/>
        <v>Karel Šantora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41">
        <f ca="1">IFERROR(IF(VLOOKUP(A17,OFFSET($AG$2,,,COUNTIF($AG$2:$AG$50,"?*"),23),2,FALSE)&lt;&gt;0,YEAR(VLOOKUP(A17,OFFSET($AG$2,,,COUNTIF($AG$2:$AG$50,"?*"),23),2,FALSE)),""),"")</f>
        <v>1999</v>
      </c>
      <c r="C18" s="342"/>
      <c r="D18" s="150">
        <f ca="1">IFERROR(VLOOKUP(A17,OFFSET($AG$2,,,COUNTIF($AG$2:$AG$50,"?*"),23),15,FALSE),"")</f>
        <v>22</v>
      </c>
      <c r="E18" s="343" t="str">
        <f ca="1">IFERROR(VLOOKUP(A17,OFFSET($AG$2,,,COUNTIF($AG$2:$AG$50,"?*"),23),16,FALSE),"")</f>
        <v>181/82</v>
      </c>
      <c r="F18" s="344"/>
      <c r="M18" s="4" t="str">
        <f ca="1">IFERROR(IF(VLOOKUP(M17,OFFSET($AG$2,,,COUNTIF($AG$2:$AG$50,"?*"),23),10,FALSE)&lt;&gt;0,VLOOKUP(M17,OFFSET($AG$2,,,COUNTIF($AG$2:$AG$50,"?*"),23),10,FALSE),""),"")</f>
        <v>L</v>
      </c>
      <c r="N18" s="341">
        <f ca="1">IFERROR(IF(VLOOKUP(M17,OFFSET($AG$2,,,COUNTIF($AG$2:$AG$50,"?*"),23),2,FALSE)&lt;&gt;0,YEAR(VLOOKUP(M17,OFFSET($AG$2,,,COUNTIF($AG$2:$AG$50,"?*"),23),2,FALSE)),""),"")</f>
        <v>1993</v>
      </c>
      <c r="O18" s="342"/>
      <c r="P18" s="6">
        <f ca="1">IFERROR(VLOOKUP(M17,OFFSET($AG$2,,,COUNTIF($AG$2:$AG$50,"?*"),23),15,FALSE),"")</f>
        <v>28</v>
      </c>
      <c r="Q18" s="343" t="str">
        <f ca="1">IFERROR(VLOOKUP(M17,OFFSET($AG$2,,,COUNTIF($AG$2:$AG$50,"?*"),23),16,FALSE),"")</f>
        <v>169/70</v>
      </c>
      <c r="R18" s="344"/>
      <c r="S18" s="110" t="s">
        <v>2</v>
      </c>
      <c r="T18" s="102" t="s">
        <v>119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18</v>
      </c>
      <c r="AH18" s="122">
        <v>37561</v>
      </c>
      <c r="AI18" s="123">
        <v>1</v>
      </c>
      <c r="AJ18" s="123">
        <v>0</v>
      </c>
      <c r="AK18" s="123">
        <v>0</v>
      </c>
      <c r="AL18" s="124">
        <f>IF(AG18&lt;&gt;"",AJ18+AK18,"")</f>
        <v>0</v>
      </c>
      <c r="AM18" s="123">
        <v>2</v>
      </c>
      <c r="AN18" s="123">
        <v>88</v>
      </c>
      <c r="AO18" s="125"/>
      <c r="AP18" s="125"/>
      <c r="AQ18" s="123">
        <v>180</v>
      </c>
      <c r="AR18" s="123">
        <v>83</v>
      </c>
      <c r="AS18" s="126" t="s">
        <v>5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180/83</v>
      </c>
      <c r="AW18" s="128" t="str">
        <f ca="1">IF(AG18&lt;&gt;"",IF(BE18=1,BD18,IF(BH18=1,BG18,IF(BJ18=1,BI18,IF(BL18=1,BK18,BM18)))),"")</f>
        <v>Lorenc</v>
      </c>
      <c r="AX18" s="129" t="str">
        <f t="shared" ca="1" si="1"/>
        <v>0 OZ, 0 (0+0)</v>
      </c>
      <c r="AY18" s="129" t="str">
        <f t="shared" ca="1" si="2"/>
        <v>1 OZ, 0 (0+0)</v>
      </c>
      <c r="AZ18" s="130"/>
      <c r="BA18" s="130"/>
      <c r="BB18" s="130"/>
      <c r="BC18" s="130"/>
      <c r="BD18" s="3" t="str">
        <f t="shared" si="3"/>
        <v>Lorenc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36"/>
      <c r="BT18" s="104" t="s">
        <v>801</v>
      </c>
      <c r="BU18" s="103">
        <v>0</v>
      </c>
      <c r="BV18" s="104" t="str">
        <f t="shared" si="14"/>
        <v>Petr Musil</v>
      </c>
      <c r="BW18" s="102">
        <f t="shared" si="15"/>
        <v>0</v>
      </c>
    </row>
    <row r="19" spans="1:75" ht="15" customHeight="1" x14ac:dyDescent="0.2">
      <c r="A19" s="377" t="str">
        <f ca="1">IFERROR(VLOOKUP(A17,OFFSET($AG$2,,,COUNTIF($AG$2:$AG$50,"?*"),23),18,FALSE),"")</f>
        <v>7 OZ, 3 (1+2), -4 ±</v>
      </c>
      <c r="B19" s="378"/>
      <c r="C19" s="378"/>
      <c r="D19" s="379" t="str">
        <f ca="1">IFERROR(VLOOKUP(A17,OFFSET($AG$2,,,COUNTIF($AG$2:$AG$50,"?*"),23),19,FALSE),"")</f>
        <v>31 OZ, 4 (1+3)</v>
      </c>
      <c r="E19" s="379"/>
      <c r="F19" s="380"/>
      <c r="H19" s="381" t="str">
        <f>H$8</f>
        <v>SKV</v>
      </c>
      <c r="I19" s="381"/>
      <c r="J19" s="381"/>
      <c r="K19" s="381"/>
      <c r="M19" s="377" t="str">
        <f ca="1">IFERROR(VLOOKUP(M17,OFFSET($AG$2,,,COUNTIF($AG$2:$AG$50,"?*"),23),18,FALSE),"")</f>
        <v>7 OZ, 0 (0+0), -7 ±</v>
      </c>
      <c r="N19" s="378"/>
      <c r="O19" s="378"/>
      <c r="P19" s="379" t="str">
        <f ca="1">IFERROR(VLOOKUP(M17,OFFSET($AG$2,,,COUNTIF($AG$2:$AG$50,"?*"),23),19,FALSE),"")</f>
        <v>209 OZ, 67 (36+31)</v>
      </c>
      <c r="Q19" s="379"/>
      <c r="R19" s="380"/>
      <c r="S19" s="110" t="s">
        <v>19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ANO</v>
      </c>
      <c r="AG19" s="121" t="s">
        <v>121</v>
      </c>
      <c r="AH19" s="122">
        <v>36650</v>
      </c>
      <c r="AI19" s="123">
        <v>13</v>
      </c>
      <c r="AJ19" s="123">
        <v>0</v>
      </c>
      <c r="AK19" s="123">
        <v>1</v>
      </c>
      <c r="AL19" s="124">
        <f>IF(AG19&lt;&gt;"",AJ19+AK19,"")</f>
        <v>1</v>
      </c>
      <c r="AM19" s="123">
        <v>3</v>
      </c>
      <c r="AN19" s="123">
        <v>78</v>
      </c>
      <c r="AO19" s="125"/>
      <c r="AP19" s="125" t="s">
        <v>149</v>
      </c>
      <c r="AQ19" s="123">
        <v>191</v>
      </c>
      <c r="AR19" s="123">
        <v>86</v>
      </c>
      <c r="AS19" s="126" t="s">
        <v>5</v>
      </c>
      <c r="AT19" s="123">
        <v>2014</v>
      </c>
      <c r="AU19" s="127">
        <f ca="1">IF(AG19&lt;&gt;"",IF(AH19&lt;&gt;"",INT((TODAY()-AH19)/365),"?"),"")</f>
        <v>21</v>
      </c>
      <c r="AV19" s="127" t="str">
        <f>IF(AG19&lt;&gt;"",CONCATENATE(IF(AQ19&lt;&gt;"",AQ19,"? "),"/",IF(AR19&lt;&gt;"",AR19," ?")),"")</f>
        <v>191/86</v>
      </c>
      <c r="AW19" s="128" t="str">
        <f ca="1">IF(AG19&lt;&gt;"",IF(BE19=1,BD19,IF(BH19=1,BG19,IF(BJ19=1,BI19,IF(BL19=1,BK19,BM19)))),"")</f>
        <v>Máca</v>
      </c>
      <c r="AX19" s="129" t="str">
        <f t="shared" ca="1" si="1"/>
        <v>4 OZ, 1 (0+1), 0 ±</v>
      </c>
      <c r="AY19" s="129" t="str">
        <f t="shared" ca="1" si="2"/>
        <v>17 OZ, 2 (0+2)</v>
      </c>
      <c r="AZ19" s="130"/>
      <c r="BA19" s="130"/>
      <c r="BB19" s="130"/>
      <c r="BC19" s="130"/>
      <c r="BD19" s="89" t="str">
        <f t="shared" si="3"/>
        <v>Máca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36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65" t="str">
        <f ca="1">IFERROR(IF(VLOOKUP(A17,OFFSET($AG$2,,,COUNTIF($AG$2:$AG$50,"?*"),23),13,FALSE)&lt;&gt;0,VLOOKUP(A17,OFFSET($AG$2,,,COUNTIF($AG$2:$AG$50,"?*"),23),13,FALSE),"?"),"")</f>
        <v>Bohemians</v>
      </c>
      <c r="B20" s="366"/>
      <c r="C20" s="367"/>
      <c r="D20" s="368">
        <f ca="1">IFERROR(IF(VLOOKUP(A17,OFFSET($AG$2,,,COUNTIF($AG$2:$AG$50,"?*"),23),14,FALSE)&lt;&gt;0,VLOOKUP(A17,OFFSET($AG$2,,,COUNTIF($AG$2:$AG$50,"?*"),23),14,FALSE),"?"),"")</f>
        <v>2009</v>
      </c>
      <c r="E20" s="369"/>
      <c r="F20" s="7">
        <f ca="1">IFERROR(IF(VLOOKUP(A17,OFFSET($AG$2,,,COUNTIF($AG$2:$AG$50,"?*"),23),7,FALSE)&lt;&gt;0,VLOOKUP(A17,OFFSET($AG$2,,,COUNTIF($AG$2:$AG$50,"?*"),23),7,FALSE),"?"),"")</f>
        <v>2</v>
      </c>
      <c r="H20" s="381"/>
      <c r="I20" s="381"/>
      <c r="J20" s="381"/>
      <c r="K20" s="381"/>
      <c r="M20" s="365" t="str">
        <f ca="1">IFERROR(IF(VLOOKUP(M17,OFFSET($AG$2,,,COUNTIF($AG$2:$AG$50,"?*"),23),13,FALSE)&lt;&gt;0,VLOOKUP(M17,OFFSET($AG$2,,,COUNTIF($AG$2:$AG$50,"?*"),23),13,FALSE),"?"),"")</f>
        <v>SKF Draci 99 Liberec</v>
      </c>
      <c r="N20" s="366"/>
      <c r="O20" s="367"/>
      <c r="P20" s="368">
        <f ca="1">IFERROR(IF(VLOOKUP(M17,OFFSET($AG$2,,,COUNTIF($AG$2:$AG$50,"?*"),23),14,FALSE)&lt;&gt;0,VLOOKUP(M17,OFFSET($AG$2,,,COUNTIF($AG$2:$AG$50,"?*"),23),14,FALSE),"?"),"")</f>
        <v>1998</v>
      </c>
      <c r="Q20" s="369"/>
      <c r="R20" s="7">
        <f ca="1">IFERROR(IF(VLOOKUP(M17,OFFSET($AG$2,,,COUNTIF($AG$2:$AG$50,"?*"),23),7,FALSE)&lt;&gt;0,VLOOKUP(M17,OFFSET($AG$2,,,COUNTIF($AG$2:$AG$50,"?*"),23),7,FALSE),"?"),"")</f>
        <v>11</v>
      </c>
      <c r="S20" s="110" t="s">
        <v>124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-4</v>
      </c>
      <c r="AC20" s="102" t="str">
        <f t="shared" ca="1" si="0"/>
        <v>ANO</v>
      </c>
      <c r="AG20" s="121" t="s">
        <v>122</v>
      </c>
      <c r="AH20" s="122">
        <v>36001</v>
      </c>
      <c r="AI20" s="123">
        <v>37</v>
      </c>
      <c r="AJ20" s="123">
        <v>0</v>
      </c>
      <c r="AK20" s="123">
        <v>0</v>
      </c>
      <c r="AL20" s="124">
        <f>IF(AG20&lt;&gt;"",AJ20+AK20,"")</f>
        <v>0</v>
      </c>
      <c r="AM20" s="123">
        <v>6</v>
      </c>
      <c r="AN20" s="123">
        <v>80</v>
      </c>
      <c r="AO20" s="125"/>
      <c r="AP20" s="125"/>
      <c r="AQ20" s="123">
        <v>175</v>
      </c>
      <c r="AR20" s="123">
        <v>69</v>
      </c>
      <c r="AS20" s="126" t="s">
        <v>272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175/69</v>
      </c>
      <c r="AW20" s="128" t="str">
        <f ca="1">IF(AG20&lt;&gt;"",IF(BE20=1,BD20,IF(BH20=1,BG20,IF(BJ20=1,BI20,IF(BL20=1,BK20,BM20)))),"")</f>
        <v>Musil</v>
      </c>
      <c r="AX20" s="129" t="str">
        <f t="shared" ca="1" si="1"/>
        <v>0 V, 4 P</v>
      </c>
      <c r="AY20" s="129" t="str">
        <f t="shared" ca="1" si="2"/>
        <v>41 OZ, 0 A</v>
      </c>
      <c r="AZ20" s="130"/>
      <c r="BA20" s="130"/>
      <c r="BB20" s="130"/>
      <c r="BC20" s="130"/>
      <c r="BD20" s="3" t="str">
        <f t="shared" si="3"/>
        <v>Musil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36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11</v>
      </c>
      <c r="T21" s="102" t="s">
        <v>64</v>
      </c>
      <c r="U21" s="102">
        <v>7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-9</v>
      </c>
      <c r="AC21" s="102" t="str">
        <f ca="1">IF(S21&lt;&gt;"",IFERROR(IF(VLOOKUP(S21,OFFSET($AG$2,,,COUNTIF($AG$2:$AG$50,"?*")),1,FALSE)&lt;&gt;0,"ANO","NE"),"NE"),"")</f>
        <v>ANO</v>
      </c>
      <c r="AG21" s="121" t="s">
        <v>19</v>
      </c>
      <c r="AH21" s="122">
        <v>37455</v>
      </c>
      <c r="AI21" s="123">
        <v>18</v>
      </c>
      <c r="AJ21" s="123">
        <v>2</v>
      </c>
      <c r="AK21" s="123">
        <v>1</v>
      </c>
      <c r="AL21" s="124">
        <f>IF(AG21&lt;&gt;"",AJ21+AK21,"")</f>
        <v>3</v>
      </c>
      <c r="AM21" s="123">
        <v>2</v>
      </c>
      <c r="AN21" s="123">
        <v>81</v>
      </c>
      <c r="AO21" s="125"/>
      <c r="AP21" s="125" t="s">
        <v>149</v>
      </c>
      <c r="AQ21" s="123">
        <v>187</v>
      </c>
      <c r="AR21" s="123">
        <v>61</v>
      </c>
      <c r="AS21" s="126" t="s">
        <v>5</v>
      </c>
      <c r="AT21" s="123">
        <v>2013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187/61</v>
      </c>
      <c r="AW21" s="128" t="str">
        <f ca="1">IF(AG21&lt;&gt;"",IF(BE21=1,BD21,IF(BH21=1,BG21,IF(BJ21=1,BI21,IF(BL21=1,BK21,BM21)))),"")</f>
        <v>Paštika</v>
      </c>
      <c r="AX21" s="129" t="str">
        <f t="shared" ca="1" si="1"/>
        <v>5 OZ, 0 (0+0), -1 ±</v>
      </c>
      <c r="AY21" s="129" t="str">
        <f t="shared" ca="1" si="2"/>
        <v>23 OZ, 3 (2+1)</v>
      </c>
      <c r="AZ21" s="130"/>
      <c r="BA21" s="130"/>
      <c r="BB21" s="130"/>
      <c r="BC21" s="130"/>
      <c r="BD21" s="89" t="str">
        <f t="shared" si="3"/>
        <v>Paštika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36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123</v>
      </c>
      <c r="T22" s="102" t="s">
        <v>64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-7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120</v>
      </c>
      <c r="AH22" s="122">
        <v>36551</v>
      </c>
      <c r="AI22" s="123">
        <v>12</v>
      </c>
      <c r="AJ22" s="123">
        <v>0</v>
      </c>
      <c r="AK22" s="123">
        <v>1</v>
      </c>
      <c r="AL22" s="124">
        <f>IF(AG22&lt;&gt;"",AJ22+AK22,"")</f>
        <v>1</v>
      </c>
      <c r="AM22" s="123">
        <v>4</v>
      </c>
      <c r="AN22" s="123">
        <v>84</v>
      </c>
      <c r="AO22" s="125"/>
      <c r="AP22" s="125" t="s">
        <v>27</v>
      </c>
      <c r="AQ22" s="123">
        <v>180</v>
      </c>
      <c r="AR22" s="123">
        <v>72</v>
      </c>
      <c r="AS22" s="126" t="s">
        <v>425</v>
      </c>
      <c r="AT22" s="123">
        <v>2010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180/72</v>
      </c>
      <c r="AW22" s="128" t="str">
        <f ca="1">IF(AG22&lt;&gt;"",IF(BE22=1,BD22,IF(BH22=1,BG22,IF(BJ22=1,BI22,IF(BL22=1,BK22,BM22)))),"")</f>
        <v>Pergler</v>
      </c>
      <c r="AX22" s="129" t="str">
        <f t="shared" ca="1" si="1"/>
        <v>7 OZ, 5 (3+2), -8 ±</v>
      </c>
      <c r="AY22" s="129" t="str">
        <f t="shared" ca="1" si="2"/>
        <v>19 OZ, 6 (3+3)</v>
      </c>
      <c r="AZ22" s="130"/>
      <c r="BA22" s="130"/>
      <c r="BB22" s="130"/>
      <c r="BC22" s="130"/>
      <c r="BD22" s="3" t="str">
        <f t="shared" si="3"/>
        <v>Pergler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336" t="s">
        <v>38</v>
      </c>
      <c r="BT22" s="104" t="s">
        <v>802</v>
      </c>
      <c r="BU22" s="103">
        <v>7</v>
      </c>
      <c r="BV22" s="104" t="str">
        <f t="shared" si="14"/>
        <v>Jan Fiala</v>
      </c>
      <c r="BW22" s="102">
        <f t="shared" si="15"/>
        <v>7</v>
      </c>
    </row>
    <row r="23" spans="1:75" ht="15" customHeight="1" thickTop="1" thickBot="1" x14ac:dyDescent="0.25">
      <c r="A23" s="348" t="s">
        <v>118</v>
      </c>
      <c r="B23" s="349"/>
      <c r="C23" s="349"/>
      <c r="D23" s="349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382" t="s">
        <v>13</v>
      </c>
      <c r="I23" s="382"/>
      <c r="J23" s="382"/>
      <c r="K23" s="382"/>
      <c r="M23" s="348" t="s">
        <v>17</v>
      </c>
      <c r="N23" s="349"/>
      <c r="O23" s="349"/>
      <c r="P23" s="349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26</v>
      </c>
      <c r="S23" s="110" t="s">
        <v>17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-8</v>
      </c>
      <c r="AC23" s="102" t="str">
        <f t="shared" ca="1" si="16"/>
        <v>ANO</v>
      </c>
      <c r="AG23" s="121" t="s">
        <v>17</v>
      </c>
      <c r="AH23" s="122">
        <v>37402</v>
      </c>
      <c r="AI23" s="123">
        <v>23</v>
      </c>
      <c r="AJ23" s="123">
        <v>0</v>
      </c>
      <c r="AK23" s="123">
        <v>0</v>
      </c>
      <c r="AL23" s="124">
        <f>IF(AG23&lt;&gt;"",AJ23+AK23,"")</f>
        <v>0</v>
      </c>
      <c r="AM23" s="123">
        <v>2</v>
      </c>
      <c r="AN23" s="123">
        <v>26</v>
      </c>
      <c r="AO23" s="125"/>
      <c r="AP23" s="125" t="s">
        <v>149</v>
      </c>
      <c r="AQ23" s="123">
        <v>181</v>
      </c>
      <c r="AR23" s="123">
        <v>66</v>
      </c>
      <c r="AS23" s="126" t="s">
        <v>5</v>
      </c>
      <c r="AT23" s="123">
        <v>2012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181/66</v>
      </c>
      <c r="AW23" s="128" t="str">
        <f ca="1">IF(AG23&lt;&gt;"",IF(BE23=1,BD23,IF(BH23=1,BG23,IF(BJ23=1,BI23,IF(BL23=1,BK23,BM23)))),"")</f>
        <v>Pinkas</v>
      </c>
      <c r="AX23" s="129" t="str">
        <f t="shared" ca="1" si="1"/>
        <v>7 OZ, 0 (0+0), -8 ±</v>
      </c>
      <c r="AY23" s="129" t="str">
        <f t="shared" ca="1" si="2"/>
        <v>30 OZ, 0 (0+0)</v>
      </c>
      <c r="AZ23" s="130"/>
      <c r="BA23" s="130"/>
      <c r="BB23" s="130"/>
      <c r="BC23" s="130"/>
      <c r="BD23" s="89" t="str">
        <f t="shared" si="3"/>
        <v>Pinkas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336"/>
      <c r="BT23" s="104" t="s">
        <v>1205</v>
      </c>
      <c r="BU23" s="103">
        <v>3</v>
      </c>
      <c r="BV23" s="104" t="str">
        <f t="shared" si="14"/>
        <v>Ondřej Stuchlík</v>
      </c>
      <c r="BW23" s="102">
        <f t="shared" si="15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341">
        <f ca="1">IFERROR(IF(VLOOKUP(A23,OFFSET($AG$2,,,COUNTIF($AG$2:$AG$50,"?*"),23),2,FALSE)&lt;&gt;0,YEAR(VLOOKUP(A23,OFFSET($AG$2,,,COUNTIF($AG$2:$AG$50,"?*"),23),2,FALSE)),""),"")</f>
        <v>2002</v>
      </c>
      <c r="C24" s="342"/>
      <c r="D24" s="5">
        <f ca="1">IFERROR(VLOOKUP(A23,OFFSET($AG$2,,,COUNTIF($AG$2:$AG$50,"?*"),23),15,FALSE),"")</f>
        <v>19</v>
      </c>
      <c r="E24" s="343" t="str">
        <f ca="1">IFERROR(VLOOKUP(A23,OFFSET($AG$2,,,COUNTIF($AG$2:$AG$50,"?*"),23),16,FALSE),"")</f>
        <v>182/75</v>
      </c>
      <c r="F24" s="344"/>
      <c r="M24" s="4" t="str">
        <f ca="1">IFERROR(IF(VLOOKUP(M23,OFFSET($AG$2,,,COUNTIF($AG$2:$AG$50,"?*"),23),10,FALSE)&lt;&gt;0,VLOOKUP(M23,OFFSET($AG$2,,,COUNTIF($AG$2:$AG$50,"?*"),23),10,FALSE),""),"")</f>
        <v>L</v>
      </c>
      <c r="N24" s="341">
        <f ca="1">IFERROR(IF(VLOOKUP(M23,OFFSET($AG$2,,,COUNTIF($AG$2:$AG$50,"?*"),23),2,FALSE)&lt;&gt;0,YEAR(VLOOKUP(M23,OFFSET($AG$2,,,COUNTIF($AG$2:$AG$50,"?*"),23),2,FALSE)),""),"")</f>
        <v>2002</v>
      </c>
      <c r="O24" s="342"/>
      <c r="P24" s="6">
        <f ca="1">IFERROR(VLOOKUP(M23,OFFSET($AG$2,,,COUNTIF($AG$2:$AG$50,"?*"),23),15,FALSE),"")</f>
        <v>19</v>
      </c>
      <c r="Q24" s="343" t="str">
        <f ca="1">IFERROR(VLOOKUP(M23,OFFSET($AG$2,,,COUNTIF($AG$2:$AG$50,"?*"),23),16,FALSE),"")</f>
        <v>181/66</v>
      </c>
      <c r="R24" s="344"/>
      <c r="S24" s="110" t="s">
        <v>122</v>
      </c>
      <c r="T24" s="102" t="s">
        <v>117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16"/>
        <v>ANO</v>
      </c>
      <c r="AG24" s="121" t="s">
        <v>125</v>
      </c>
      <c r="AH24" s="122">
        <v>36658</v>
      </c>
      <c r="AI24" s="123">
        <v>21</v>
      </c>
      <c r="AJ24" s="123">
        <v>4</v>
      </c>
      <c r="AK24" s="123">
        <v>9</v>
      </c>
      <c r="AL24" s="124">
        <f>IF(AG24&lt;&gt;"",AJ24+AK24,"")</f>
        <v>13</v>
      </c>
      <c r="AM24" s="123">
        <v>2</v>
      </c>
      <c r="AN24" s="123">
        <v>99</v>
      </c>
      <c r="AO24" s="125"/>
      <c r="AP24" s="125" t="s">
        <v>149</v>
      </c>
      <c r="AQ24" s="123">
        <v>186</v>
      </c>
      <c r="AR24" s="123">
        <v>80</v>
      </c>
      <c r="AS24" s="126" t="s">
        <v>164</v>
      </c>
      <c r="AT24" s="123">
        <v>2014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186/80</v>
      </c>
      <c r="AW24" s="128" t="str">
        <f ca="1">IF(AG24&lt;&gt;"",IF(BE24=1,BD24,IF(BH24=1,BG24,IF(BJ24=1,BI24,IF(BL24=1,BK24,BM24)))),"")</f>
        <v>Procházka</v>
      </c>
      <c r="AX24" s="129" t="str">
        <f t="shared" ca="1" si="1"/>
        <v>7 OZ, 4 (4+0), -4 ±</v>
      </c>
      <c r="AY24" s="129" t="str">
        <f t="shared" ca="1" si="2"/>
        <v>28 OZ, 17 (8+9)</v>
      </c>
      <c r="AZ24" s="130"/>
      <c r="BA24" s="130"/>
      <c r="BB24" s="130"/>
      <c r="BC24" s="130"/>
      <c r="BD24" s="3" t="str">
        <f t="shared" si="3"/>
        <v>Procházka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336"/>
      <c r="BT24" s="104" t="s">
        <v>1206</v>
      </c>
      <c r="BU24" s="103">
        <v>3</v>
      </c>
      <c r="BV24" s="104" t="str">
        <f t="shared" si="14"/>
        <v>Viktor Kopecký</v>
      </c>
      <c r="BW24" s="102">
        <f t="shared" si="15"/>
        <v>3</v>
      </c>
    </row>
    <row r="25" spans="1:75" ht="15" customHeight="1" thickTop="1" thickBot="1" x14ac:dyDescent="0.25">
      <c r="A25" s="377" t="str">
        <f ca="1">IFERROR(VLOOKUP(A23,OFFSET($AG$2,,,COUNTIF($AG$2:$AG$50,"?*"),23),18,FALSE),"")</f>
        <v>6 OZ, 1 (1+0), -5 ±</v>
      </c>
      <c r="B25" s="378"/>
      <c r="C25" s="378"/>
      <c r="D25" s="379" t="str">
        <f ca="1">IFERROR(VLOOKUP(A23,OFFSET($AG$2,,,COUNTIF($AG$2:$AG$50,"?*"),23),19,FALSE),"")</f>
        <v>23 OZ, 3 (2+1)</v>
      </c>
      <c r="E25" s="379"/>
      <c r="F25" s="380"/>
      <c r="G25" s="348" t="s">
        <v>120</v>
      </c>
      <c r="H25" s="349"/>
      <c r="I25" s="349"/>
      <c r="J25" s="349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84</v>
      </c>
      <c r="M25" s="377" t="str">
        <f ca="1">IFERROR(VLOOKUP(M23,OFFSET($AG$2,,,COUNTIF($AG$2:$AG$50,"?*"),23),18,FALSE),"")</f>
        <v>7 OZ, 0 (0+0), -8 ±</v>
      </c>
      <c r="N25" s="378"/>
      <c r="O25" s="378"/>
      <c r="P25" s="379" t="str">
        <f ca="1">IFERROR(VLOOKUP(M23,OFFSET($AG$2,,,COUNTIF($AG$2:$AG$50,"?*"),23),19,FALSE),"")</f>
        <v>30 OZ, 0 (0+0)</v>
      </c>
      <c r="Q25" s="379"/>
      <c r="R25" s="380"/>
      <c r="S25" s="110" t="s">
        <v>15</v>
      </c>
      <c r="T25" s="102" t="s">
        <v>117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10</v>
      </c>
      <c r="AH25" s="122">
        <v>34200</v>
      </c>
      <c r="AI25" s="123">
        <v>109</v>
      </c>
      <c r="AJ25" s="123">
        <v>32</v>
      </c>
      <c r="AK25" s="123">
        <v>24</v>
      </c>
      <c r="AL25" s="124">
        <f>IF(AG25&lt;&gt;"",AJ25+AK25,"")</f>
        <v>56</v>
      </c>
      <c r="AM25" s="123">
        <v>7</v>
      </c>
      <c r="AN25" s="123">
        <v>65</v>
      </c>
      <c r="AO25" s="125"/>
      <c r="AP25" s="125" t="s">
        <v>27</v>
      </c>
      <c r="AQ25" s="123">
        <v>169</v>
      </c>
      <c r="AR25" s="123">
        <v>65</v>
      </c>
      <c r="AS25" s="126" t="s">
        <v>167</v>
      </c>
      <c r="AT25" s="123">
        <v>2004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169/65</v>
      </c>
      <c r="AW25" s="128" t="str">
        <f ca="1">IF(AG25&lt;&gt;"",IF(BE25=1,BD25,IF(BH25=1,BG25,IF(BJ25=1,BI25,IF(BL25=1,BK25,BM25)))),"")</f>
        <v>Stuchlík O.</v>
      </c>
      <c r="AX25" s="129" t="str">
        <f t="shared" ca="1" si="1"/>
        <v>6 OZ, 4 (1+3), -3 ±</v>
      </c>
      <c r="AY25" s="129" t="str">
        <f t="shared" ca="1" si="2"/>
        <v>115 OZ, 60 (33+27)</v>
      </c>
      <c r="AZ25" s="130"/>
      <c r="BA25" s="130"/>
      <c r="BB25" s="130"/>
      <c r="BC25" s="130"/>
      <c r="BD25" s="89" t="str">
        <f t="shared" si="3"/>
        <v>Stuchlík</v>
      </c>
      <c r="BE25" s="91">
        <f t="shared" ca="1" si="4"/>
        <v>2</v>
      </c>
      <c r="BF25" s="90" t="str">
        <f t="shared" si="5"/>
        <v>O</v>
      </c>
      <c r="BG25" s="89" t="str">
        <f t="shared" ca="1" si="6"/>
        <v>Stuchlík O.</v>
      </c>
      <c r="BH25" s="90">
        <f t="shared" ca="1" si="7"/>
        <v>1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336"/>
      <c r="BT25" s="104" t="s">
        <v>1207</v>
      </c>
      <c r="BU25" s="103">
        <v>2</v>
      </c>
      <c r="BV25" s="104" t="str">
        <f t="shared" si="14"/>
        <v>Ivan Pergler</v>
      </c>
      <c r="BW25" s="102">
        <f t="shared" si="15"/>
        <v>2</v>
      </c>
    </row>
    <row r="26" spans="1:75" ht="15" customHeight="1" thickBot="1" x14ac:dyDescent="0.25">
      <c r="A26" s="365" t="str">
        <f ca="1">IFERROR(IF(VLOOKUP(A23,OFFSET($AG$2,,,COUNTIF($AG$2:$AG$50,"?*"),23),13,FALSE)&lt;&gt;0,VLOOKUP(A23,OFFSET($AG$2,,,COUNTIF($AG$2:$AG$50,"?*"),23),13,FALSE),"?"),"")</f>
        <v>FA Mladá Boleslav</v>
      </c>
      <c r="B26" s="366"/>
      <c r="C26" s="367"/>
      <c r="D26" s="368">
        <f ca="1">IFERROR(IF(VLOOKUP(A23,OFFSET($AG$2,,,COUNTIF($AG$2:$AG$50,"?*"),23),14,FALSE)&lt;&gt;0,VLOOKUP(A23,OFFSET($AG$2,,,COUNTIF($AG$2:$AG$50,"?*"),23),14,FALSE),"?"),"")</f>
        <v>2010</v>
      </c>
      <c r="E26" s="369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P</v>
      </c>
      <c r="H26" s="341">
        <f ca="1">IFERROR(IF(VLOOKUP(G25,OFFSET($AG$2,,,COUNTIF($AG$2:$AG$50,"?*"),23),2,FALSE)&lt;&gt;0,YEAR(VLOOKUP(G25,OFFSET($AG$2,,,COUNTIF($AG$2:$AG$50,"?*"),23),2,FALSE)),""),"")</f>
        <v>2000</v>
      </c>
      <c r="I26" s="342"/>
      <c r="J26" s="5">
        <f ca="1">IFERROR(VLOOKUP(G25,OFFSET($AG$2,,,COUNTIF($AG$2:$AG$50,"?*"),23),15,FALSE),"")</f>
        <v>21</v>
      </c>
      <c r="K26" s="343" t="str">
        <f ca="1">IFERROR(VLOOKUP(G25,OFFSET($AG$2,,,COUNTIF($AG$2:$AG$50,"?*"),23),16,FALSE),"")</f>
        <v>180/72</v>
      </c>
      <c r="L26" s="344"/>
      <c r="M26" s="365" t="str">
        <f ca="1">IFERROR(IF(VLOOKUP(M23,OFFSET($AG$2,,,COUNTIF($AG$2:$AG$50,"?*"),23),13,FALSE)&lt;&gt;0,VLOOKUP(M23,OFFSET($AG$2,,,COUNTIF($AG$2:$AG$50,"?*"),23),13,FALSE),"?"),"")</f>
        <v>SKV</v>
      </c>
      <c r="N26" s="366"/>
      <c r="O26" s="367"/>
      <c r="P26" s="368">
        <f ca="1">IFERROR(IF(VLOOKUP(M23,OFFSET($AG$2,,,COUNTIF($AG$2:$AG$50,"?*"),23),14,FALSE)&lt;&gt;0,VLOOKUP(M23,OFFSET($AG$2,,,COUNTIF($AG$2:$AG$50,"?*"),23),14,FALSE),"?"),"")</f>
        <v>2012</v>
      </c>
      <c r="Q26" s="369"/>
      <c r="R26" s="7">
        <f ca="1">IFERROR(IF(VLOOKUP(M23,OFFSET($AG$2,,,COUNTIF($AG$2:$AG$50,"?*"),23),7,FALSE)&lt;&gt;0,VLOOKUP(M23,OFFSET($AG$2,,,COUNTIF($AG$2:$AG$50,"?*"),23),7,FALSE),"?"),"")</f>
        <v>2</v>
      </c>
      <c r="S26" s="111"/>
      <c r="AC26" s="102" t="str">
        <f t="shared" ca="1" si="16"/>
        <v/>
      </c>
      <c r="AG26" s="121" t="s">
        <v>9</v>
      </c>
      <c r="AH26" s="122">
        <v>34200</v>
      </c>
      <c r="AI26" s="123">
        <v>97</v>
      </c>
      <c r="AJ26" s="123">
        <v>26</v>
      </c>
      <c r="AK26" s="123">
        <v>60</v>
      </c>
      <c r="AL26" s="124">
        <f>IF(AG26&lt;&gt;"",AJ26+AK26,"")</f>
        <v>86</v>
      </c>
      <c r="AM26" s="123">
        <v>6</v>
      </c>
      <c r="AN26" s="123">
        <v>64</v>
      </c>
      <c r="AO26" s="125"/>
      <c r="AP26" s="125" t="s">
        <v>149</v>
      </c>
      <c r="AQ26" s="123">
        <v>173</v>
      </c>
      <c r="AR26" s="123">
        <v>68</v>
      </c>
      <c r="AS26" s="126" t="s">
        <v>165</v>
      </c>
      <c r="AT26" s="123">
        <v>2003</v>
      </c>
      <c r="AU26" s="127">
        <f ca="1">IF(AG26&lt;&gt;"",IF(AH26&lt;&gt;"",INT((TODAY()-AH26)/365),"?"),"")</f>
        <v>28</v>
      </c>
      <c r="AV26" s="127" t="str">
        <f>IF(AG26&lt;&gt;"",CONCATENATE(IF(AQ26&lt;&gt;"",AQ26,"? "),"/",IF(AR26&lt;&gt;"",AR26," ?")),"")</f>
        <v>173/68</v>
      </c>
      <c r="AW26" s="128" t="str">
        <f ca="1">IF(AG26&lt;&gt;"",IF(BE26=1,BD26,IF(BH26=1,BG26,IF(BJ26=1,BI26,IF(BL26=1,BK26,BM26)))),"")</f>
        <v>Stuchlík Z.</v>
      </c>
      <c r="AX26" s="129" t="str">
        <f t="shared" ca="1" si="1"/>
        <v>6 OZ, 4 (3+1), -8 ±</v>
      </c>
      <c r="AY26" s="129" t="str">
        <f t="shared" ca="1" si="2"/>
        <v>103 OZ, 90 (29+61)</v>
      </c>
      <c r="AZ26" s="130"/>
      <c r="BA26" s="130"/>
      <c r="BB26" s="130"/>
      <c r="BC26" s="130"/>
      <c r="BD26" s="3" t="str">
        <f t="shared" si="3"/>
        <v>Stuchlík</v>
      </c>
      <c r="BE26" s="84">
        <f t="shared" ca="1" si="4"/>
        <v>2</v>
      </c>
      <c r="BF26" s="62" t="str">
        <f t="shared" si="5"/>
        <v>Z</v>
      </c>
      <c r="BG26" s="3" t="str">
        <f t="shared" ca="1" si="6"/>
        <v>Stuchlík Z.</v>
      </c>
      <c r="BH26" s="62">
        <f t="shared" ca="1" si="7"/>
        <v>1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336"/>
      <c r="BT26" s="104" t="s">
        <v>1208</v>
      </c>
      <c r="BU26" s="103">
        <v>2</v>
      </c>
      <c r="BV26" s="104" t="str">
        <f t="shared" si="14"/>
        <v>Petr Hartman</v>
      </c>
      <c r="BW26" s="102">
        <f t="shared" si="15"/>
        <v>2</v>
      </c>
    </row>
    <row r="27" spans="1:75" ht="15" customHeight="1" thickTop="1" thickBot="1" x14ac:dyDescent="0.25">
      <c r="A27" s="8"/>
      <c r="B27" s="8"/>
      <c r="C27" s="8"/>
      <c r="D27" s="8"/>
      <c r="G27" s="377" t="str">
        <f ca="1">IFERROR(VLOOKUP(G25,OFFSET($AG$2,,,COUNTIF($AG$2:$AG$50,"?*"),23),18,FALSE),"")</f>
        <v>7 OZ, 5 (3+2), -8 ±</v>
      </c>
      <c r="H27" s="378"/>
      <c r="I27" s="378"/>
      <c r="J27" s="379" t="str">
        <f ca="1">IFERROR(VLOOKUP(G25,OFFSET($AG$2,,,COUNTIF($AG$2:$AG$50,"?*"),23),19,FALSE),"")</f>
        <v>19 OZ, 6 (3+3)</v>
      </c>
      <c r="K27" s="379"/>
      <c r="L27" s="380"/>
      <c r="S27" s="111"/>
      <c r="AC27" s="102" t="str">
        <f t="shared" ca="1" si="16"/>
        <v/>
      </c>
      <c r="AG27" s="121" t="s">
        <v>15</v>
      </c>
      <c r="AH27" s="122">
        <v>35171</v>
      </c>
      <c r="AI27" s="123">
        <v>40</v>
      </c>
      <c r="AJ27" s="123">
        <v>0</v>
      </c>
      <c r="AK27" s="123">
        <v>2</v>
      </c>
      <c r="AL27" s="124">
        <f>IF(AG27&lt;&gt;"",AJ27+AK27,"")</f>
        <v>2</v>
      </c>
      <c r="AM27" s="123">
        <v>7</v>
      </c>
      <c r="AN27" s="123">
        <v>42</v>
      </c>
      <c r="AO27" s="125"/>
      <c r="AP27" s="125"/>
      <c r="AQ27" s="123">
        <v>187</v>
      </c>
      <c r="AR27" s="123">
        <v>88</v>
      </c>
      <c r="AS27" s="126" t="s">
        <v>152</v>
      </c>
      <c r="AT27" s="123">
        <v>2008</v>
      </c>
      <c r="AU27" s="127">
        <f ca="1">IF(AG27&lt;&gt;"",IF(AH27&lt;&gt;"",INT((TODAY()-AH27)/365),"?"),"")</f>
        <v>25</v>
      </c>
      <c r="AV27" s="127" t="str">
        <f>IF(AG27&lt;&gt;"",CONCATENATE(IF(AQ27&lt;&gt;"",AQ27,"? "),"/",IF(AR27&lt;&gt;"",AR27," ?")),"")</f>
        <v>187/88</v>
      </c>
      <c r="AW27" s="128" t="str">
        <f ca="1">IF(AG27&lt;&gt;"",IF(BE27=1,BD27,IF(BH27=1,BG27,IF(BJ27=1,BI27,IF(BL27=1,BK27,BM27)))),"")</f>
        <v>Šantora</v>
      </c>
      <c r="AX27" s="129" t="str">
        <f t="shared" ca="1" si="1"/>
        <v>2 V, 2 P</v>
      </c>
      <c r="AY27" s="129" t="str">
        <f t="shared" ca="1" si="2"/>
        <v>44 OZ, 2 A</v>
      </c>
      <c r="AZ27" s="130"/>
      <c r="BA27" s="130"/>
      <c r="BB27" s="130"/>
      <c r="BC27" s="130"/>
      <c r="BD27" s="89" t="str">
        <f t="shared" si="3"/>
        <v>Šantora</v>
      </c>
      <c r="BE27" s="91">
        <f t="shared" ca="1" si="4"/>
        <v>1</v>
      </c>
      <c r="BF27" s="90" t="str">
        <f t="shared" si="5"/>
        <v>K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336" t="s">
        <v>39</v>
      </c>
      <c r="BT27" s="104" t="s">
        <v>802</v>
      </c>
      <c r="BU27" s="103">
        <v>6</v>
      </c>
      <c r="BV27" s="104" t="str">
        <f t="shared" si="14"/>
        <v>Jan Fiala</v>
      </c>
      <c r="BW27" s="102">
        <f t="shared" si="15"/>
        <v>6</v>
      </c>
    </row>
    <row r="28" spans="1:75" ht="15" customHeight="1" thickTop="1" thickBot="1" x14ac:dyDescent="0.25">
      <c r="A28" s="348" t="s">
        <v>160</v>
      </c>
      <c r="B28" s="349"/>
      <c r="C28" s="349"/>
      <c r="D28" s="349"/>
      <c r="E28" s="1" t="str">
        <f ca="1">IFERROR(IF(VLOOKUP(A28,OFFSET($AG$2,,,COUNTIF($AG$2:$AG$50,"?*"),23),9,FALSE)&lt;&gt;0,VLOOKUP(A28,OFFSET($AG$2,,,COUNTIF($AG$2:$AG$50,"?*"),23),9,FALSE),""),"")</f>
        <v>C</v>
      </c>
      <c r="F28" s="2">
        <f ca="1">IFERROR(IF(VLOOKUP(A28,OFFSET($AG$2,,,COUNTIF($AG$2:$AG$50,"?*"),23),8,FALSE)&lt;&gt;0,VLOOKUP(A28,OFFSET($AG$2,,,COUNTIF($AG$2:$AG$50,"?*"),23),8,FALSE),""),"")</f>
        <v>19</v>
      </c>
      <c r="G28" s="365" t="str">
        <f ca="1">IFERROR(IF(VLOOKUP(G25,OFFSET($AG$2,,,COUNTIF($AG$2:$AG$50,"?*"),23),13,FALSE)&lt;&gt;0,VLOOKUP(G25,OFFSET($AG$2,,,COUNTIF($AG$2:$AG$50,"?*"),23),13,FALSE),"?"),"")</f>
        <v>Vosy Praha</v>
      </c>
      <c r="H28" s="366"/>
      <c r="I28" s="367"/>
      <c r="J28" s="368">
        <f ca="1">IFERROR(IF(VLOOKUP(G25,OFFSET($AG$2,,,COUNTIF($AG$2:$AG$50,"?*"),23),14,FALSE)&lt;&gt;0,VLOOKUP(G25,OFFSET($AG$2,,,COUNTIF($AG$2:$AG$50,"?*"),23),14,FALSE),"?"),"")</f>
        <v>2010</v>
      </c>
      <c r="K28" s="369"/>
      <c r="L28" s="7">
        <f ca="1">IFERROR(IF(VLOOKUP(G25,OFFSET($AG$2,,,COUNTIF($AG$2:$AG$50,"?*"),23),7,FALSE)&lt;&gt;0,VLOOKUP(G25,OFFSET($AG$2,,,COUNTIF($AG$2:$AG$50,"?*"),23),7,FALSE),"?"),"")</f>
        <v>4</v>
      </c>
      <c r="M28" s="348" t="s">
        <v>14</v>
      </c>
      <c r="N28" s="349"/>
      <c r="O28" s="349"/>
      <c r="P28" s="349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24</v>
      </c>
      <c r="S28" s="111"/>
      <c r="AC28" s="102" t="str">
        <f t="shared" ca="1" si="16"/>
        <v/>
      </c>
      <c r="AG28" s="121" t="s">
        <v>168</v>
      </c>
      <c r="AH28" s="122">
        <v>37453</v>
      </c>
      <c r="AI28" s="123">
        <v>15</v>
      </c>
      <c r="AJ28" s="123">
        <v>1</v>
      </c>
      <c r="AK28" s="123">
        <v>0</v>
      </c>
      <c r="AL28" s="124">
        <f>IF(AG28&lt;&gt;"",AJ28+AK28,"")</f>
        <v>1</v>
      </c>
      <c r="AM28" s="123">
        <v>3</v>
      </c>
      <c r="AN28" s="123">
        <v>87</v>
      </c>
      <c r="AO28" s="125"/>
      <c r="AP28" s="125" t="s">
        <v>27</v>
      </c>
      <c r="AQ28" s="123">
        <v>181</v>
      </c>
      <c r="AR28" s="123">
        <v>75</v>
      </c>
      <c r="AS28" s="126" t="s">
        <v>5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181/75</v>
      </c>
      <c r="AW28" s="128" t="str">
        <f ca="1">IF(AG28&lt;&gt;"",IF(BE28=1,BD28,IF(BH28=1,BG28,IF(BJ28=1,BI28,IF(BL28=1,BK28,BM28)))),"")</f>
        <v>Šaroch</v>
      </c>
      <c r="AX28" s="129" t="str">
        <f t="shared" ca="1" si="1"/>
        <v>0 OZ, 0 (0+0)</v>
      </c>
      <c r="AY28" s="129" t="str">
        <f t="shared" ca="1" si="2"/>
        <v>15 OZ, 1 (1+0)</v>
      </c>
      <c r="AZ28" s="130"/>
      <c r="BA28" s="130"/>
      <c r="BB28" s="130"/>
      <c r="BC28" s="130"/>
      <c r="BD28" s="3" t="str">
        <f t="shared" si="3"/>
        <v>Šaroch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336"/>
      <c r="BT28" s="104" t="s">
        <v>857</v>
      </c>
      <c r="BU28" s="103">
        <v>2</v>
      </c>
      <c r="BV28" s="104" t="str">
        <f t="shared" si="14"/>
        <v>Daniel Cabejšek</v>
      </c>
      <c r="BW28" s="102">
        <f t="shared" si="15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41">
        <f ca="1">IFERROR(IF(VLOOKUP(A28,OFFSET($AG$2,,,COUNTIF($AG$2:$AG$50,"?*"),23),2,FALSE)&lt;&gt;0,YEAR(VLOOKUP(A28,OFFSET($AG$2,,,COUNTIF($AG$2:$AG$50,"?*"),23),2,FALSE)),""),"")</f>
        <v>1988</v>
      </c>
      <c r="C29" s="342"/>
      <c r="D29" s="5">
        <f ca="1">IFERROR(VLOOKUP(A28,OFFSET($AG$2,,,COUNTIF($AG$2:$AG$50,"?*"),23),15,FALSE),"")</f>
        <v>33</v>
      </c>
      <c r="E29" s="343" t="str">
        <f ca="1">IFERROR(VLOOKUP(A28,OFFSET($AG$2,,,COUNTIF($AG$2:$AG$50,"?*"),23),16,FALSE),"")</f>
        <v>187/92</v>
      </c>
      <c r="F29" s="344"/>
      <c r="M29" s="4" t="str">
        <f ca="1">IFERROR(IF(VLOOKUP(M28,OFFSET($AG$2,,,COUNTIF($AG$2:$AG$50,"?*"),23),10,FALSE)&lt;&gt;0,VLOOKUP(M28,OFFSET($AG$2,,,COUNTIF($AG$2:$AG$50,"?*"),23),10,FALSE),""),"")</f>
        <v>L</v>
      </c>
      <c r="N29" s="341">
        <f ca="1">IFERROR(IF(VLOOKUP(M28,OFFSET($AG$2,,,COUNTIF($AG$2:$AG$50,"?*"),23),2,FALSE)&lt;&gt;0,YEAR(VLOOKUP(M28,OFFSET($AG$2,,,COUNTIF($AG$2:$AG$50,"?*"),23),2,FALSE)),""),"")</f>
        <v>1991</v>
      </c>
      <c r="O29" s="342"/>
      <c r="P29" s="6">
        <f ca="1">IFERROR(VLOOKUP(M28,OFFSET($AG$2,,,COUNTIF($AG$2:$AG$50,"?*"),23),15,FALSE),"")</f>
        <v>30</v>
      </c>
      <c r="Q29" s="343" t="str">
        <f ca="1">IFERROR(VLOOKUP(M28,OFFSET($AG$2,,,COUNTIF($AG$2:$AG$50,"?*"),23),16,FALSE),"")</f>
        <v>180/78</v>
      </c>
      <c r="R29" s="344"/>
      <c r="S29" s="111"/>
      <c r="AC29" s="102" t="str">
        <f t="shared" ca="1" si="16"/>
        <v/>
      </c>
      <c r="AG29" s="121" t="s">
        <v>169</v>
      </c>
      <c r="AH29" s="122">
        <v>37781</v>
      </c>
      <c r="AI29" s="123">
        <v>2</v>
      </c>
      <c r="AJ29" s="123">
        <v>0</v>
      </c>
      <c r="AK29" s="123">
        <v>0</v>
      </c>
      <c r="AL29" s="124">
        <f>IF(AG29&lt;&gt;"",AJ29+AK29,"")</f>
        <v>0</v>
      </c>
      <c r="AM29" s="123">
        <v>2</v>
      </c>
      <c r="AN29" s="123">
        <v>12</v>
      </c>
      <c r="AO29" s="125"/>
      <c r="AP29" s="125" t="s">
        <v>149</v>
      </c>
      <c r="AQ29" s="123">
        <v>180</v>
      </c>
      <c r="AR29" s="123">
        <v>69</v>
      </c>
      <c r="AS29" s="126" t="s">
        <v>5</v>
      </c>
      <c r="AT29" s="123">
        <v>2010</v>
      </c>
      <c r="AU29" s="127">
        <f ca="1">IF(AG29&lt;&gt;"",IF(AH29&lt;&gt;"",INT((TODAY()-AH29)/365),"?"),"")</f>
        <v>18</v>
      </c>
      <c r="AV29" s="127" t="str">
        <f>IF(AG29&lt;&gt;"",CONCATENATE(IF(AQ29&lt;&gt;"",AQ29,"? "),"/",IF(AR29&lt;&gt;"",AR29," ?")),"")</f>
        <v>180/69</v>
      </c>
      <c r="AW29" s="128" t="str">
        <f ca="1">IF(AG29&lt;&gt;"",IF(BE29=1,BD29,IF(BH29=1,BG29,IF(BJ29=1,BI29,IF(BL29=1,BK29,BM29)))),"")</f>
        <v>Šolaja</v>
      </c>
      <c r="AX29" s="129" t="str">
        <f t="shared" ca="1" si="1"/>
        <v>0 OZ, 0 (0+0)</v>
      </c>
      <c r="AY29" s="129" t="str">
        <f t="shared" ca="1" si="2"/>
        <v>2 OZ, 0 (0+0)</v>
      </c>
      <c r="AZ29" s="130"/>
      <c r="BA29" s="130"/>
      <c r="BB29" s="130"/>
      <c r="BC29" s="130"/>
      <c r="BD29" s="89" t="str">
        <f t="shared" si="3"/>
        <v>Šolaja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9"/>
        <v>0</v>
      </c>
      <c r="BK29" s="89" t="str">
        <f t="shared" ca="1" si="10"/>
        <v/>
      </c>
      <c r="BL29" s="90">
        <f t="shared" ca="1" si="11"/>
        <v>0</v>
      </c>
      <c r="BM29" s="89" t="str">
        <f t="shared" ca="1" si="12"/>
        <v/>
      </c>
      <c r="BN29" s="8"/>
      <c r="BS29" s="336"/>
      <c r="BT29" s="104" t="s">
        <v>901</v>
      </c>
      <c r="BU29" s="103">
        <v>2</v>
      </c>
      <c r="BV29" s="104" t="str">
        <f t="shared" si="14"/>
        <v>David Ježek</v>
      </c>
      <c r="BW29" s="102">
        <f t="shared" si="15"/>
        <v>2</v>
      </c>
    </row>
    <row r="30" spans="1:75" ht="15" customHeight="1" x14ac:dyDescent="0.2">
      <c r="A30" s="377" t="str">
        <f ca="1">IFERROR(VLOOKUP(A28,OFFSET($AG$2,,,COUNTIF($AG$2:$AG$50,"?*"),23),18,FALSE),"")</f>
        <v>6 OZ, 2 (2+0), -5 ±</v>
      </c>
      <c r="B30" s="378"/>
      <c r="C30" s="378"/>
      <c r="D30" s="379" t="str">
        <f ca="1">IFERROR(VLOOKUP(A28,OFFSET($AG$2,,,COUNTIF($AG$2:$AG$50,"?*"),23),19,FALSE),"")</f>
        <v>102 OZ, 20 (12+8)</v>
      </c>
      <c r="E30" s="379"/>
      <c r="F30" s="380"/>
      <c r="H30" s="381" t="str">
        <f>H$8</f>
        <v>SKV</v>
      </c>
      <c r="I30" s="381"/>
      <c r="J30" s="381"/>
      <c r="K30" s="381"/>
      <c r="M30" s="377" t="str">
        <f ca="1">IFERROR(VLOOKUP(M28,OFFSET($AG$2,,,COUNTIF($AG$2:$AG$50,"?*"),23),18,FALSE),"")</f>
        <v>6 OZ, 2 (0+2), -8 ±</v>
      </c>
      <c r="N30" s="378"/>
      <c r="O30" s="378"/>
      <c r="P30" s="379" t="str">
        <f ca="1">IFERROR(VLOOKUP(M28,OFFSET($AG$2,,,COUNTIF($AG$2:$AG$50,"?*"),23),19,FALSE),"")</f>
        <v>88 OZ, 69 (45+24)</v>
      </c>
      <c r="Q30" s="379"/>
      <c r="R30" s="380"/>
      <c r="S30" s="111"/>
      <c r="AC30" s="102" t="str">
        <f t="shared" ca="1" si="16"/>
        <v/>
      </c>
      <c r="AG30" s="121" t="s">
        <v>118</v>
      </c>
      <c r="AH30" s="122">
        <v>37297</v>
      </c>
      <c r="AI30" s="123">
        <v>17</v>
      </c>
      <c r="AJ30" s="123">
        <v>1</v>
      </c>
      <c r="AK30" s="123">
        <v>1</v>
      </c>
      <c r="AL30" s="124">
        <f>IF(AG30&lt;&gt;"",AJ30+AK30,"")</f>
        <v>2</v>
      </c>
      <c r="AM30" s="123">
        <v>2</v>
      </c>
      <c r="AN30" s="123">
        <v>37</v>
      </c>
      <c r="AO30" s="125"/>
      <c r="AP30" s="125" t="s">
        <v>27</v>
      </c>
      <c r="AQ30" s="123">
        <v>182</v>
      </c>
      <c r="AR30" s="123">
        <v>75</v>
      </c>
      <c r="AS30" s="126" t="s">
        <v>241</v>
      </c>
      <c r="AT30" s="123">
        <v>2010</v>
      </c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182/75</v>
      </c>
      <c r="AW30" s="128" t="str">
        <f ca="1">IF(AG30&lt;&gt;"",IF(BE30=1,BD30,IF(BH30=1,BG30,IF(BJ30=1,BI30,IF(BL30=1,BK30,BM30)))),"")</f>
        <v>Švejda</v>
      </c>
      <c r="AX30" s="129" t="str">
        <f t="shared" ca="1" si="1"/>
        <v>6 OZ, 1 (1+0), -5 ±</v>
      </c>
      <c r="AY30" s="129" t="str">
        <f t="shared" ca="1" si="2"/>
        <v>23 OZ, 3 (2+1)</v>
      </c>
      <c r="AZ30" s="130"/>
      <c r="BA30" s="130"/>
      <c r="BB30" s="130"/>
      <c r="BC30" s="130"/>
      <c r="BD30" s="3" t="str">
        <f t="shared" si="3"/>
        <v>Švejda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9"/>
        <v>0</v>
      </c>
      <c r="BK30" s="3" t="str">
        <f t="shared" ca="1" si="10"/>
        <v/>
      </c>
      <c r="BL30" s="62">
        <f t="shared" ca="1" si="11"/>
        <v>0</v>
      </c>
      <c r="BM30" s="3" t="str">
        <f t="shared" ca="1" si="12"/>
        <v/>
      </c>
      <c r="BN30" s="8"/>
      <c r="BS30" s="336"/>
      <c r="BT30" s="104" t="s">
        <v>902</v>
      </c>
      <c r="BU30" s="103">
        <v>2</v>
      </c>
      <c r="BV30" s="104" t="str">
        <f t="shared" si="14"/>
        <v>Ondřej Stuchlík</v>
      </c>
      <c r="BW30" s="102">
        <f t="shared" si="15"/>
        <v>2</v>
      </c>
    </row>
    <row r="31" spans="1:75" ht="15" customHeight="1" thickBot="1" x14ac:dyDescent="0.25">
      <c r="A31" s="365" t="str">
        <f ca="1">IFERROR(IF(VLOOKUP(A28,OFFSET($AG$2,,,COUNTIF($AG$2:$AG$50,"?*"),23),13,FALSE)&lt;&gt;0,VLOOKUP(A28,OFFSET($AG$2,,,COUNTIF($AG$2:$AG$50,"?*"),23),13,FALSE),"?"),"")</f>
        <v>SC Sportcentrum</v>
      </c>
      <c r="B31" s="366"/>
      <c r="C31" s="367"/>
      <c r="D31" s="368">
        <f ca="1">IFERROR(IF(VLOOKUP(A28,OFFSET($AG$2,,,COUNTIF($AG$2:$AG$50,"?*"),23),14,FALSE)&lt;&gt;0,VLOOKUP(A28,OFFSET($AG$2,,,COUNTIF($AG$2:$AG$50,"?*"),23),14,FALSE),"?"),"")</f>
        <v>2000</v>
      </c>
      <c r="E31" s="369"/>
      <c r="F31" s="7">
        <f ca="1">IFERROR(IF(VLOOKUP(A28,OFFSET($AG$2,,,COUNTIF($AG$2:$AG$50,"?*"),23),7,FALSE)&lt;&gt;0,VLOOKUP(A28,OFFSET($AG$2,,,COUNTIF($AG$2:$AG$50,"?*"),23),7,FALSE),"?"),"")</f>
        <v>7</v>
      </c>
      <c r="H31" s="381"/>
      <c r="I31" s="381"/>
      <c r="J31" s="381"/>
      <c r="K31" s="381"/>
      <c r="M31" s="365" t="str">
        <f ca="1">IFERROR(IF(VLOOKUP(M28,OFFSET($AG$2,,,COUNTIF($AG$2:$AG$50,"?*"),23),13,FALSE)&lt;&gt;0,VLOOKUP(M28,OFFSET($AG$2,,,COUNTIF($AG$2:$AG$50,"?*"),23),13,FALSE),"?"),"")</f>
        <v>FBK Kunovští Orli</v>
      </c>
      <c r="N31" s="366"/>
      <c r="O31" s="367"/>
      <c r="P31" s="368">
        <f ca="1">IFERROR(IF(VLOOKUP(M28,OFFSET($AG$2,,,COUNTIF($AG$2:$AG$50,"?*"),23),14,FALSE)&lt;&gt;0,VLOOKUP(M28,OFFSET($AG$2,,,COUNTIF($AG$2:$AG$50,"?*"),23),14,FALSE),"?"),"")</f>
        <v>2008</v>
      </c>
      <c r="Q31" s="369"/>
      <c r="R31" s="7">
        <f ca="1">IFERROR(IF(VLOOKUP(M28,OFFSET($AG$2,,,COUNTIF($AG$2:$AG$50,"?*"),23),7,FALSE)&lt;&gt;0,VLOOKUP(M28,OFFSET($AG$2,,,COUNTIF($AG$2:$AG$50,"?*"),23),7,FALSE),"?"),"")</f>
        <v>5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17">IF(AG31&lt;&gt;"",IF(AH31&lt;&gt;"",INT((TODAY()-AH31)/365),"?"),"")</f>
        <v/>
      </c>
      <c r="AV31" s="127" t="str">
        <f t="shared" ref="AV31:AV33" si="18">IF(AG31&lt;&gt;"",CONCATENATE(IF(AQ31&lt;&gt;"",AQ31,"? "),"/",IF(AR31&lt;&gt;"",AR31," ?")),"")</f>
        <v/>
      </c>
      <c r="AW31" s="128" t="str">
        <f t="shared" ref="AW31:AW33" si="19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36"/>
      <c r="BT31" s="104" t="s">
        <v>903</v>
      </c>
      <c r="BU31" s="103">
        <v>2</v>
      </c>
      <c r="BV31" s="104" t="str">
        <f t="shared" si="14"/>
        <v>Vojtěch Klápa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48" t="s">
        <v>122</v>
      </c>
      <c r="B34" s="349"/>
      <c r="C34" s="349"/>
      <c r="D34" s="349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376" t="s">
        <v>16</v>
      </c>
      <c r="J34" s="348" t="s">
        <v>19</v>
      </c>
      <c r="K34" s="349"/>
      <c r="L34" s="349"/>
      <c r="M34" s="349"/>
      <c r="N34" s="349"/>
      <c r="O34" s="349"/>
      <c r="P34" s="349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81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0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6">IF(AG34&lt;&gt;"",RIGHT(AG34,LEN(AG34)-SEARCH(" ",AG34)),"")</f>
        <v/>
      </c>
      <c r="BE34" s="84" t="str">
        <f t="shared" ref="BE34:BE50" ca="1" si="27">IF(AG34&lt;&gt;"",COUNTIF(OFFSET($BD$2,,,COUNTIF($AG$2:$AG$50,"?*")),BD34),"")</f>
        <v/>
      </c>
      <c r="BF34" s="62" t="str">
        <f t="shared" ref="BF34:BF50" si="28">IF(AG34&lt;&gt;"",LEFT(AG34,1),"")</f>
        <v/>
      </c>
      <c r="BG34" s="3" t="str">
        <f t="shared" ref="BG34:BG50" ca="1" si="29">IF(AND($AG34&lt;&gt;"",BE34&gt;1),CONCATENATE($BD34," ",LEFT($AG34,MIN(1,SEARCH(" ",$AG34)-1)),IF(SEARCH(" ",$AG34)-1&gt;1,".",""),""),"")</f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ref="BI34:BI50" ca="1" si="31">IF(AND($AG34&lt;&gt;"",BH34&gt;1),CONCATENATE($BD34," ",LEFT($AG34,MIN(2,SEARCH(" ",$AG34)-1)),IF(SEARCH(" ",$AG34)-1&gt;2,".",""),""),"")</f>
        <v/>
      </c>
      <c r="BJ34" s="62" t="str">
        <f t="shared" ref="BJ34:BJ50" ca="1" si="32">IF(BI34&lt;&gt;"",COUNTIF(OFFSET(BI$2,,,COUNTIF($AG$2:$AG$50,"?*")),BI34),IF($AG34&lt;&gt;"",0,""))</f>
        <v/>
      </c>
      <c r="BK34" s="3" t="str">
        <f t="shared" ref="BK34:BK50" ca="1" si="33">IF(AND($AG34&lt;&gt;"",BJ34&gt;1),CONCATENATE($BD34," ",LEFT($AG34,MIN(3,SEARCH(" ",$AG34)-1)),IF(SEARCH(" ",$AG34)-1&gt;3,".",""),""),"")</f>
        <v/>
      </c>
      <c r="BL34" s="62" t="str">
        <f t="shared" ref="BL34:BL50" ca="1" si="34">IF(BK34&lt;&gt;"",COUNTIF(OFFSET(BK$2,,,COUNTIF($AG$2:$AG$50,"?*")),BK34),IF($AG34&lt;&gt;"",0,""))</f>
        <v/>
      </c>
      <c r="BM34" s="3" t="str">
        <f t="shared" ref="BM34:BM50" ca="1" si="35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41">
        <f ca="1">IFERROR(IF(VLOOKUP(A34,OFFSET($AG$2,,,COUNTIF($AG$2:$AG$50,"?*"),23),2,FALSE)&lt;&gt;0,YEAR(VLOOKUP(A34,OFFSET($AG$2,,,COUNTIF($AG$2:$AG$50,"?*"),23),2,FALSE)),""),"")</f>
        <v>1998</v>
      </c>
      <c r="C35" s="342"/>
      <c r="D35" s="5">
        <f ca="1">IFERROR(VLOOKUP(A34,OFFSET($AG$2,,,COUNTIF($AG$2:$AG$50,"?*"),23),15,FALSE),"")</f>
        <v>23</v>
      </c>
      <c r="E35" s="343" t="str">
        <f ca="1">IFERROR(VLOOKUP(A34,OFFSET($AG$2,,,COUNTIF($AG$2:$AG$50,"?*"),23),16,FALSE),"")</f>
        <v>175/69</v>
      </c>
      <c r="F35" s="344"/>
      <c r="H35" s="376"/>
      <c r="J35" s="4" t="str">
        <f ca="1">IFERROR(IF(VLOOKUP(J34,OFFSET($AG$2,,,COUNTIF($AG$2:$AG$50,"?*"),23),10,FALSE)&lt;&gt;0,VLOOKUP(J34,OFFSET($AG$2,,,COUNTIF($AG$2:$AG$50,"?*"),23),10,FALSE),""),"")</f>
        <v>L</v>
      </c>
      <c r="K35" s="342">
        <f ca="1">IFERROR(IF(VLOOKUP(J34,OFFSET($AG$2,,,COUNTIF($AG$2:$AG$50,"?*"),23),2,FALSE)&lt;&gt;0,YEAR(VLOOKUP(J34,OFFSET($AG$2,,,COUNTIF($AG$2:$AG$50,"?*"),23),2,FALSE)),""),"")</f>
        <v>2002</v>
      </c>
      <c r="L35" s="350"/>
      <c r="M35" s="15">
        <f ca="1">IFERROR(VLOOKUP(J34,OFFSET($AG$2,,,COUNTIF($AG$2:$AG$50,"?*"),23),15,FALSE),"")</f>
        <v>19</v>
      </c>
      <c r="N35" s="350" t="str">
        <f ca="1">IFERROR(VLOOKUP(J34,OFFSET($AG$2,,,COUNTIF($AG$2:$AG$50,"?*"),23),16,FALSE),"")</f>
        <v>187/61</v>
      </c>
      <c r="O35" s="350"/>
      <c r="P35" s="350" t="str">
        <f ca="1">IFERROR(VLOOKUP(J34,OFFSET($AG$2,,,COUNTIF($AG$2:$AG$50,"?*"),23),18,FALSE),"")</f>
        <v>5 OZ, 0 (0+0), -1 ±</v>
      </c>
      <c r="Q35" s="350"/>
      <c r="R35" s="351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26"/>
        <v/>
      </c>
      <c r="BE35" s="91" t="str">
        <f t="shared" ca="1" si="27"/>
        <v/>
      </c>
      <c r="BF35" s="90" t="str">
        <f t="shared" si="28"/>
        <v/>
      </c>
      <c r="BG35" s="89" t="str">
        <f t="shared" ca="1" si="29"/>
        <v/>
      </c>
      <c r="BH35" s="90" t="str">
        <f t="shared" ca="1" si="30"/>
        <v/>
      </c>
      <c r="BI35" s="89" t="str">
        <f t="shared" ca="1" si="31"/>
        <v/>
      </c>
      <c r="BJ35" s="90" t="str">
        <f t="shared" ca="1" si="32"/>
        <v/>
      </c>
      <c r="BK35" s="89" t="str">
        <f t="shared" ca="1" si="33"/>
        <v/>
      </c>
      <c r="BL35" s="90" t="str">
        <f t="shared" ca="1" si="34"/>
        <v/>
      </c>
      <c r="BM35" s="89" t="str">
        <f t="shared" ca="1" si="35"/>
        <v/>
      </c>
    </row>
    <row r="36" spans="1:65" ht="15" customHeight="1" thickBot="1" x14ac:dyDescent="0.25">
      <c r="A36" s="16">
        <f ca="1">IFERROR(VLOOKUP(A34,OFFSET($S$45,,,COUNTIF($S$45:$S$50,"?*"),14),2,FALSE),"")</f>
        <v>4</v>
      </c>
      <c r="B36" s="345" t="str">
        <f ca="1">IFERROR(VLOOKUP(A34,OFFSET($AG$2,,,COUNTIF($AG$2:$AG$50,"?*"),23),18,FALSE),"")</f>
        <v>0 V, 4 P</v>
      </c>
      <c r="C36" s="345"/>
      <c r="D36" s="346">
        <f ca="1">IFERROR(VLOOKUP(A34,OFFSET($S$45,,,COUNTIF($S$45:$S$50,"?*"),14),5,FALSE),"")</f>
        <v>28</v>
      </c>
      <c r="E36" s="347"/>
      <c r="F36" s="17">
        <f ca="1">IFERROR(VLOOKUP(A34,OFFSET($S$45,,,COUNTIF($S$45:$S$50,"?*"),14),14,FALSE),"")</f>
        <v>74.545454545454547</v>
      </c>
      <c r="H36" s="376"/>
      <c r="J36" s="18">
        <f ca="1">IFERROR(IF(VLOOKUP(J34,OFFSET($AG$2,,,COUNTIF($AG$2:$AG$50,"?*"),23),7,FALSE)&lt;&gt;0,VLOOKUP(J34,OFFSET($AG$2,,,COUNTIF($AG$2:$AG$50,"?*"),23),7,FALSE),"?"),"")</f>
        <v>2</v>
      </c>
      <c r="K36" s="352" t="str">
        <f ca="1">IFERROR(VLOOKUP(J34,OFFSET($AG$2,,,COUNTIF($AG$2:$AG$50,"?*"),23),19,FALSE),"")</f>
        <v>23 OZ, 3 (2+1)</v>
      </c>
      <c r="L36" s="352"/>
      <c r="M36" s="352"/>
      <c r="N36" s="353" t="str">
        <f ca="1">IFERROR(IF(VLOOKUP(J34,OFFSET($AG$2,,,COUNTIF($AG$2:$AG$50,"?*"),23),13,FALSE)&lt;&gt;0,VLOOKUP(J34,OFFSET($AG$2,,,COUNTIF($AG$2:$AG$50,"?*"),23),13,FALSE),"?"),"")</f>
        <v>SKV</v>
      </c>
      <c r="O36" s="353"/>
      <c r="P36" s="353"/>
      <c r="Q36" s="352">
        <f ca="1">IFERROR(IF(VLOOKUP(J34,OFFSET($AG$2,,,COUNTIF($AG$2:$AG$50,"?*"),23),14,FALSE)&lt;&gt;0,VLOOKUP(J34,OFFSET($AG$2,,,COUNTIF($AG$2:$AG$50,"?*"),23),14,FALSE),"?"),"")</f>
        <v>2013</v>
      </c>
      <c r="R36" s="354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26"/>
        <v/>
      </c>
      <c r="BE36" s="84" t="str">
        <f t="shared" ca="1" si="27"/>
        <v/>
      </c>
      <c r="BF36" s="62" t="str">
        <f t="shared" si="28"/>
        <v/>
      </c>
      <c r="BG36" s="3" t="str">
        <f t="shared" ca="1" si="29"/>
        <v/>
      </c>
      <c r="BH36" s="62" t="str">
        <f t="shared" ca="1" si="30"/>
        <v/>
      </c>
      <c r="BI36" s="3" t="str">
        <f t="shared" ca="1" si="31"/>
        <v/>
      </c>
      <c r="BJ36" s="62" t="str">
        <f t="shared" ca="1" si="32"/>
        <v/>
      </c>
      <c r="BK36" s="3" t="str">
        <f t="shared" ca="1" si="33"/>
        <v/>
      </c>
      <c r="BL36" s="62" t="str">
        <f t="shared" ca="1" si="34"/>
        <v/>
      </c>
      <c r="BM36" s="3" t="str">
        <f t="shared" ca="1" si="35"/>
        <v/>
      </c>
    </row>
    <row r="37" spans="1:65" ht="15" customHeight="1" thickTop="1" thickBot="1" x14ac:dyDescent="0.25">
      <c r="A37" s="370">
        <f ca="1">IFERROR(VLOOKUP(A34,OFFSET($S$45,,,COUNTIF($S$45:$S$50,"?*"),14),3,FALSE),"")</f>
        <v>198.22</v>
      </c>
      <c r="B37" s="371"/>
      <c r="C37" s="372">
        <f ca="1">IFERROR(VLOOKUP(A34,OFFSET($S$45,,,COUNTIF($S$45:$S$50,"?*"),14),13,FALSE),"")</f>
        <v>8.4754313389163567</v>
      </c>
      <c r="D37" s="373"/>
      <c r="E37" s="374" t="str">
        <f ca="1">IFERROR(VLOOKUP(A34,OFFSET($AG$2,,,COUNTIF($AG$2:$AG$50,"?*"),23),19,FALSE),"")</f>
        <v>41 OZ, 0 A</v>
      </c>
      <c r="F37" s="375"/>
      <c r="H37" s="376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26"/>
        <v/>
      </c>
      <c r="BE37" s="91" t="str">
        <f t="shared" ca="1" si="27"/>
        <v/>
      </c>
      <c r="BF37" s="90" t="str">
        <f t="shared" si="28"/>
        <v/>
      </c>
      <c r="BG37" s="89" t="str">
        <f t="shared" ca="1" si="29"/>
        <v/>
      </c>
      <c r="BH37" s="90" t="str">
        <f t="shared" ca="1" si="30"/>
        <v/>
      </c>
      <c r="BI37" s="89" t="str">
        <f t="shared" ca="1" si="31"/>
        <v/>
      </c>
      <c r="BJ37" s="90" t="str">
        <f t="shared" ca="1" si="32"/>
        <v/>
      </c>
      <c r="BK37" s="89" t="str">
        <f t="shared" ca="1" si="33"/>
        <v/>
      </c>
      <c r="BL37" s="90" t="str">
        <f t="shared" ca="1" si="34"/>
        <v/>
      </c>
      <c r="BM37" s="89" t="str">
        <f t="shared" ca="1" si="35"/>
        <v/>
      </c>
    </row>
    <row r="38" spans="1:65" ht="15" customHeight="1" thickTop="1" thickBot="1" x14ac:dyDescent="0.25">
      <c r="A38" s="365" t="str">
        <f ca="1">IFERROR(IF(VLOOKUP(A34,OFFSET($AG$2,,,COUNTIF($AG$2:$AG$50,"?*"),23),13,FALSE)&lt;&gt;0,VLOOKUP(A34,OFFSET($AG$2,,,COUNTIF($AG$2:$AG$50,"?*"),23),13,FALSE),"?"),"")</f>
        <v>FTC Vysoké Mýto</v>
      </c>
      <c r="B38" s="366"/>
      <c r="C38" s="367"/>
      <c r="D38" s="368">
        <f ca="1">IFERROR(IF(VLOOKUP(A34,OFFSET($AG$2,,,COUNTIF($AG$2:$AG$50,"?*"),23),14,FALSE)&lt;&gt;0,VLOOKUP(A34,OFFSET($AG$2,,,COUNTIF($AG$2:$AG$50,"?*"),23),14,FALSE),"?"),"")</f>
        <v>2012</v>
      </c>
      <c r="E38" s="369"/>
      <c r="F38" s="19">
        <f ca="1">IFERROR(VLOOKUP(A34,OFFSET($S$45,,,COUNTIF($S$45:$S$50,"?*"),14),6,FALSE),"")</f>
        <v>0</v>
      </c>
      <c r="H38" s="376"/>
      <c r="J38" s="348" t="s">
        <v>124</v>
      </c>
      <c r="K38" s="349"/>
      <c r="L38" s="349"/>
      <c r="M38" s="349"/>
      <c r="N38" s="349"/>
      <c r="O38" s="349"/>
      <c r="P38" s="349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96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26"/>
        <v/>
      </c>
      <c r="BE38" s="84" t="str">
        <f t="shared" ca="1" si="27"/>
        <v/>
      </c>
      <c r="BF38" s="62" t="str">
        <f t="shared" si="28"/>
        <v/>
      </c>
      <c r="BG38" s="3" t="str">
        <f t="shared" ca="1" si="29"/>
        <v/>
      </c>
      <c r="BH38" s="62" t="str">
        <f t="shared" ca="1" si="30"/>
        <v/>
      </c>
      <c r="BI38" s="3" t="str">
        <f t="shared" ca="1" si="31"/>
        <v/>
      </c>
      <c r="BJ38" s="62" t="str">
        <f t="shared" ca="1" si="32"/>
        <v/>
      </c>
      <c r="BK38" s="3" t="str">
        <f t="shared" ca="1" si="33"/>
        <v/>
      </c>
      <c r="BL38" s="62" t="str">
        <f t="shared" ca="1" si="34"/>
        <v/>
      </c>
      <c r="BM38" s="3" t="str">
        <f t="shared" ca="1" si="35"/>
        <v/>
      </c>
    </row>
    <row r="39" spans="1:65" ht="15" customHeight="1" thickTop="1" thickBot="1" x14ac:dyDescent="0.25">
      <c r="H39" s="376"/>
      <c r="J39" s="4" t="str">
        <f ca="1">IFERROR(IF(VLOOKUP(J38,OFFSET($AG$2,,,COUNTIF($AG$2:$AG$50,"?*"),23),10,FALSE)&lt;&gt;0,VLOOKUP(J38,OFFSET($AG$2,,,COUNTIF($AG$2:$AG$50,"?*"),23),10,FALSE),""),"")</f>
        <v/>
      </c>
      <c r="K39" s="342">
        <f ca="1">IFERROR(IF(VLOOKUP(J38,OFFSET($AG$2,,,COUNTIF($AG$2:$AG$50,"?*"),23),2,FALSE)&lt;&gt;0,YEAR(VLOOKUP(J38,OFFSET($AG$2,,,COUNTIF($AG$2:$AG$50,"?*"),23),2,FALSE)),""),"")</f>
        <v>2002</v>
      </c>
      <c r="L39" s="350"/>
      <c r="M39" s="151">
        <f ca="1">IFERROR(VLOOKUP(J38,OFFSET($AG$2,,,COUNTIF($AG$2:$AG$50,"?*"),23),15,FALSE),"")</f>
        <v>19</v>
      </c>
      <c r="N39" s="350" t="str">
        <f ca="1">IFERROR(VLOOKUP(J38,OFFSET($AG$2,,,COUNTIF($AG$2:$AG$50,"?*"),23),16,FALSE),"")</f>
        <v>? / ?</v>
      </c>
      <c r="O39" s="350"/>
      <c r="P39" s="350" t="str">
        <f ca="1">IFERROR(VLOOKUP(J38,OFFSET($AG$2,,,COUNTIF($AG$2:$AG$50,"?*"),23),18,FALSE),"")</f>
        <v>6 OZ, 0 (0+0), -4 ±</v>
      </c>
      <c r="Q39" s="350"/>
      <c r="R39" s="351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26"/>
        <v/>
      </c>
      <c r="BE39" s="91" t="str">
        <f t="shared" ca="1" si="27"/>
        <v/>
      </c>
      <c r="BF39" s="90" t="str">
        <f t="shared" si="28"/>
        <v/>
      </c>
      <c r="BG39" s="89" t="str">
        <f t="shared" ca="1" si="29"/>
        <v/>
      </c>
      <c r="BH39" s="90" t="str">
        <f t="shared" ca="1" si="30"/>
        <v/>
      </c>
      <c r="BI39" s="89" t="str">
        <f t="shared" ca="1" si="31"/>
        <v/>
      </c>
      <c r="BJ39" s="90" t="str">
        <f t="shared" ca="1" si="32"/>
        <v/>
      </c>
      <c r="BK39" s="89" t="str">
        <f t="shared" ca="1" si="33"/>
        <v/>
      </c>
      <c r="BL39" s="90" t="str">
        <f t="shared" ca="1" si="34"/>
        <v/>
      </c>
      <c r="BM39" s="89" t="str">
        <f t="shared" ca="1" si="35"/>
        <v/>
      </c>
    </row>
    <row r="40" spans="1:65" ht="15" customHeight="1" thickTop="1" thickBot="1" x14ac:dyDescent="0.25">
      <c r="A40" s="348" t="s">
        <v>15</v>
      </c>
      <c r="B40" s="349"/>
      <c r="C40" s="349"/>
      <c r="D40" s="349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376"/>
      <c r="J40" s="18">
        <f ca="1">IFERROR(IF(VLOOKUP(J38,OFFSET($AG$2,,,COUNTIF($AG$2:$AG$50,"?*"),23),7,FALSE)&lt;&gt;0,VLOOKUP(J38,OFFSET($AG$2,,,COUNTIF($AG$2:$AG$50,"?*"),23),7,FALSE),"?"),"")</f>
        <v>1</v>
      </c>
      <c r="K40" s="352" t="str">
        <f ca="1">IFERROR(VLOOKUP(J38,OFFSET($AG$2,,,COUNTIF($AG$2:$AG$50,"?*"),23),19,FALSE),"")</f>
        <v>6 OZ, 0 (0+0)</v>
      </c>
      <c r="L40" s="352"/>
      <c r="M40" s="352"/>
      <c r="N40" s="353" t="str">
        <f ca="1">IFERROR(IF(VLOOKUP(J38,OFFSET($AG$2,,,COUNTIF($AG$2:$AG$50,"?*"),23),13,FALSE)&lt;&gt;0,VLOOKUP(J38,OFFSET($AG$2,,,COUNTIF($AG$2:$AG$50,"?*"),23),13,FALSE),"?"),"")</f>
        <v>Tatran Střešovice</v>
      </c>
      <c r="O40" s="353"/>
      <c r="P40" s="353"/>
      <c r="Q40" s="352" t="str">
        <f ca="1">IFERROR(IF(VLOOKUP(J38,OFFSET($AG$2,,,COUNTIF($AG$2:$AG$50,"?*"),23),14,FALSE)&lt;&gt;0,VLOOKUP(J38,OFFSET($AG$2,,,COUNTIF($AG$2:$AG$50,"?*"),23),14,FALSE),"?"),"")</f>
        <v>?</v>
      </c>
      <c r="R40" s="354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26"/>
        <v/>
      </c>
      <c r="BE40" s="84" t="str">
        <f t="shared" ca="1" si="27"/>
        <v/>
      </c>
      <c r="BF40" s="62" t="str">
        <f t="shared" si="28"/>
        <v/>
      </c>
      <c r="BG40" s="3" t="str">
        <f t="shared" ca="1" si="29"/>
        <v/>
      </c>
      <c r="BH40" s="62" t="str">
        <f t="shared" ca="1" si="30"/>
        <v/>
      </c>
      <c r="BI40" s="3" t="str">
        <f t="shared" ca="1" si="31"/>
        <v/>
      </c>
      <c r="BJ40" s="62" t="str">
        <f t="shared" ca="1" si="32"/>
        <v/>
      </c>
      <c r="BK40" s="3" t="str">
        <f t="shared" ca="1" si="33"/>
        <v/>
      </c>
      <c r="BL40" s="62" t="str">
        <f t="shared" ca="1" si="34"/>
        <v/>
      </c>
      <c r="BM40" s="3" t="str">
        <f t="shared" ca="1" si="35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41">
        <f ca="1">IFERROR(IF(VLOOKUP(A40,OFFSET($AG$2,,,COUNTIF($AG$2:$AG$50,"?*"),23),2,FALSE)&lt;&gt;0,YEAR(VLOOKUP(A40,OFFSET($AG$2,,,COUNTIF($AG$2:$AG$50,"?*"),23),2,FALSE)),""),"")</f>
        <v>1996</v>
      </c>
      <c r="C41" s="342"/>
      <c r="D41" s="5">
        <f ca="1">IFERROR(VLOOKUP(A40,OFFSET($AG$2,,,COUNTIF($AG$2:$AG$50,"?*"),23),15,FALSE),"")</f>
        <v>25</v>
      </c>
      <c r="E41" s="343" t="str">
        <f ca="1">IFERROR(VLOOKUP(A40,OFFSET($AG$2,,,COUNTIF($AG$2:$AG$50,"?*"),23),16,FALSE),"")</f>
        <v>187/88</v>
      </c>
      <c r="F41" s="344"/>
      <c r="H41" s="376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26"/>
        <v/>
      </c>
      <c r="BE41" s="91" t="str">
        <f t="shared" ca="1" si="27"/>
        <v/>
      </c>
      <c r="BF41" s="90" t="str">
        <f t="shared" si="28"/>
        <v/>
      </c>
      <c r="BG41" s="89" t="str">
        <f t="shared" ca="1" si="29"/>
        <v/>
      </c>
      <c r="BH41" s="90" t="str">
        <f t="shared" ca="1" si="30"/>
        <v/>
      </c>
      <c r="BI41" s="89" t="str">
        <f t="shared" ca="1" si="31"/>
        <v/>
      </c>
      <c r="BJ41" s="90" t="str">
        <f t="shared" ca="1" si="32"/>
        <v/>
      </c>
      <c r="BK41" s="89" t="str">
        <f t="shared" ca="1" si="33"/>
        <v/>
      </c>
      <c r="BL41" s="90" t="str">
        <f t="shared" ca="1" si="34"/>
        <v/>
      </c>
      <c r="BM41" s="89" t="str">
        <f t="shared" ca="1" si="35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345" t="str">
        <f ca="1">IFERROR(VLOOKUP(A40,OFFSET($AG$2,,,COUNTIF($AG$2:$AG$50,"?*"),23),18,FALSE),"")</f>
        <v>2 V, 2 P</v>
      </c>
      <c r="C42" s="345"/>
      <c r="D42" s="346">
        <f ca="1">IFERROR(VLOOKUP(A40,OFFSET($S$45,,,COUNTIF($S$45:$S$50,"?*"),14),5,FALSE),"")</f>
        <v>23</v>
      </c>
      <c r="E42" s="347"/>
      <c r="F42" s="17">
        <f ca="1">IFERROR(VLOOKUP(A40,OFFSET($S$45,,,COUNTIF($S$45:$S$50,"?*"),14),14,FALSE),"")</f>
        <v>70.512820512820511</v>
      </c>
      <c r="H42" s="376"/>
      <c r="J42" s="348" t="s">
        <v>2</v>
      </c>
      <c r="K42" s="349"/>
      <c r="L42" s="349"/>
      <c r="M42" s="349"/>
      <c r="N42" s="349"/>
      <c r="O42" s="349"/>
      <c r="P42" s="349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23</v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26"/>
        <v/>
      </c>
      <c r="BE42" s="84" t="str">
        <f t="shared" ca="1" si="27"/>
        <v/>
      </c>
      <c r="BF42" s="62" t="str">
        <f t="shared" si="28"/>
        <v/>
      </c>
      <c r="BG42" s="3" t="str">
        <f t="shared" ca="1" si="29"/>
        <v/>
      </c>
      <c r="BH42" s="62" t="str">
        <f t="shared" ca="1" si="30"/>
        <v/>
      </c>
      <c r="BI42" s="3" t="str">
        <f t="shared" ca="1" si="31"/>
        <v/>
      </c>
      <c r="BJ42" s="62" t="str">
        <f t="shared" ca="1" si="32"/>
        <v/>
      </c>
      <c r="BK42" s="3" t="str">
        <f t="shared" ca="1" si="33"/>
        <v/>
      </c>
      <c r="BL42" s="62" t="str">
        <f t="shared" ca="1" si="34"/>
        <v/>
      </c>
      <c r="BM42" s="3" t="str">
        <f t="shared" ca="1" si="35"/>
        <v/>
      </c>
    </row>
    <row r="43" spans="1:65" ht="15" customHeight="1" thickBot="1" x14ac:dyDescent="0.25">
      <c r="A43" s="370">
        <f ca="1">IFERROR(VLOOKUP(A40,OFFSET($S$45,,,COUNTIF($S$45:$S$50,"?*"),14),3,FALSE),"")</f>
        <v>215.12</v>
      </c>
      <c r="B43" s="371"/>
      <c r="C43" s="372">
        <f ca="1">IFERROR(VLOOKUP(A40,OFFSET($S$45,,,COUNTIF($S$45:$S$50,"?*"),14),13,FALSE),"")</f>
        <v>6.4150241725548529</v>
      </c>
      <c r="D43" s="373"/>
      <c r="E43" s="374" t="str">
        <f ca="1">IFERROR(VLOOKUP(A40,OFFSET($AG$2,,,COUNTIF($AG$2:$AG$50,"?*"),23),19,FALSE),"")</f>
        <v>44 OZ, 2 A</v>
      </c>
      <c r="F43" s="375"/>
      <c r="H43" s="376"/>
      <c r="J43" s="4" t="str">
        <f ca="1">IFERROR(IF(VLOOKUP(J42,OFFSET($AG$2,,,COUNTIF($AG$2:$AG$50,"?*"),23),10,FALSE)&lt;&gt;0,VLOOKUP(J42,OFFSET($AG$2,,,COUNTIF($AG$2:$AG$50,"?*"),23),10,FALSE),""),"")</f>
        <v>L</v>
      </c>
      <c r="K43" s="342">
        <f ca="1">IFERROR(IF(VLOOKUP(J42,OFFSET($AG$2,,,COUNTIF($AG$2:$AG$50,"?*"),23),2,FALSE)&lt;&gt;0,YEAR(VLOOKUP(J42,OFFSET($AG$2,,,COUNTIF($AG$2:$AG$50,"?*"),23),2,FALSE)),""),"")</f>
        <v>1992</v>
      </c>
      <c r="L43" s="350"/>
      <c r="M43" s="151">
        <f ca="1">IFERROR(VLOOKUP(J42,OFFSET($AG$2,,,COUNTIF($AG$2:$AG$50,"?*"),23),15,FALSE),"")</f>
        <v>29</v>
      </c>
      <c r="N43" s="350" t="str">
        <f ca="1">IFERROR(VLOOKUP(J42,OFFSET($AG$2,,,COUNTIF($AG$2:$AG$50,"?*"),23),16,FALSE),"")</f>
        <v>181/78</v>
      </c>
      <c r="O43" s="350"/>
      <c r="P43" s="350" t="str">
        <f ca="1">IFERROR(VLOOKUP(J42,OFFSET($AG$2,,,COUNTIF($AG$2:$AG$50,"?*"),23),18,FALSE),"")</f>
        <v>3 OZ, 0 (0+0), -3 ±</v>
      </c>
      <c r="Q43" s="350"/>
      <c r="R43" s="351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26"/>
        <v/>
      </c>
      <c r="BE43" s="91" t="str">
        <f t="shared" ca="1" si="27"/>
        <v/>
      </c>
      <c r="BF43" s="90" t="str">
        <f t="shared" si="28"/>
        <v/>
      </c>
      <c r="BG43" s="89" t="str">
        <f t="shared" ca="1" si="29"/>
        <v/>
      </c>
      <c r="BH43" s="90" t="str">
        <f t="shared" ca="1" si="30"/>
        <v/>
      </c>
      <c r="BI43" s="89" t="str">
        <f t="shared" ca="1" si="31"/>
        <v/>
      </c>
      <c r="BJ43" s="90" t="str">
        <f t="shared" ca="1" si="32"/>
        <v/>
      </c>
      <c r="BK43" s="89" t="str">
        <f t="shared" ca="1" si="33"/>
        <v/>
      </c>
      <c r="BL43" s="90" t="str">
        <f t="shared" ca="1" si="34"/>
        <v/>
      </c>
      <c r="BM43" s="89" t="str">
        <f t="shared" ca="1" si="35"/>
        <v/>
      </c>
    </row>
    <row r="44" spans="1:65" ht="15" customHeight="1" thickBot="1" x14ac:dyDescent="0.25">
      <c r="A44" s="365" t="str">
        <f ca="1">IFERROR(IF(VLOOKUP(A40,OFFSET($AG$2,,,COUNTIF($AG$2:$AG$50,"?*"),23),13,FALSE)&lt;&gt;0,VLOOKUP(A40,OFFSET($AG$2,,,COUNTIF($AG$2:$AG$50,"?*"),23),13,FALSE),"?"),"")</f>
        <v>Chodov</v>
      </c>
      <c r="B44" s="366"/>
      <c r="C44" s="367"/>
      <c r="D44" s="368">
        <f ca="1">IFERROR(IF(VLOOKUP(A40,OFFSET($AG$2,,,COUNTIF($AG$2:$AG$50,"?*"),23),14,FALSE)&lt;&gt;0,VLOOKUP(A40,OFFSET($AG$2,,,COUNTIF($AG$2:$AG$50,"?*"),23),14,FALSE),"?"),"")</f>
        <v>2008</v>
      </c>
      <c r="E44" s="369"/>
      <c r="F44" s="19">
        <f ca="1">IFERROR(VLOOKUP(A40,OFFSET($S$45,,,COUNTIF($S$45:$S$50,"?*"),14),6,FALSE),"")</f>
        <v>0</v>
      </c>
      <c r="H44" s="376"/>
      <c r="J44" s="18">
        <f ca="1">IFERROR(IF(VLOOKUP(J42,OFFSET($AG$2,,,COUNTIF($AG$2:$AG$50,"?*"),23),7,FALSE)&lt;&gt;0,VLOOKUP(J42,OFFSET($AG$2,,,COUNTIF($AG$2:$AG$50,"?*"),23),7,FALSE),"?"),"")</f>
        <v>10</v>
      </c>
      <c r="K44" s="352" t="str">
        <f ca="1">IFERROR(VLOOKUP(J42,OFFSET($AG$2,,,COUNTIF($AG$2:$AG$50,"?*"),23),19,FALSE),"")</f>
        <v>144 OZ, 149 (90+59)</v>
      </c>
      <c r="L44" s="352"/>
      <c r="M44" s="352"/>
      <c r="N44" s="353" t="str">
        <f ca="1">IFERROR(IF(VLOOKUP(J42,OFFSET($AG$2,,,COUNTIF($AG$2:$AG$50,"?*"),23),13,FALSE)&lt;&gt;0,VLOOKUP(J42,OFFSET($AG$2,,,COUNTIF($AG$2:$AG$50,"?*"),23),13,FALSE),"?"),"")</f>
        <v>Pelhřimov</v>
      </c>
      <c r="O44" s="353"/>
      <c r="P44" s="353"/>
      <c r="Q44" s="352">
        <f ca="1">IFERROR(IF(VLOOKUP(J42,OFFSET($AG$2,,,COUNTIF($AG$2:$AG$50,"?*"),23),14,FALSE)&lt;&gt;0,VLOOKUP(J42,OFFSET($AG$2,,,COUNTIF($AG$2:$AG$50,"?*"),23),14,FALSE),"?"),"")</f>
        <v>2003</v>
      </c>
      <c r="R44" s="354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26"/>
        <v/>
      </c>
      <c r="BE44" s="84" t="str">
        <f t="shared" ca="1" si="27"/>
        <v/>
      </c>
      <c r="BF44" s="62" t="str">
        <f t="shared" si="28"/>
        <v/>
      </c>
      <c r="BG44" s="3" t="str">
        <f t="shared" ca="1" si="29"/>
        <v/>
      </c>
      <c r="BH44" s="62" t="str">
        <f t="shared" ca="1" si="30"/>
        <v/>
      </c>
      <c r="BI44" s="3" t="str">
        <f t="shared" ca="1" si="31"/>
        <v/>
      </c>
      <c r="BJ44" s="62" t="str">
        <f t="shared" ca="1" si="32"/>
        <v/>
      </c>
      <c r="BK44" s="3" t="str">
        <f t="shared" ca="1" si="33"/>
        <v/>
      </c>
      <c r="BL44" s="62" t="str">
        <f t="shared" ca="1" si="34"/>
        <v/>
      </c>
      <c r="BM44" s="3" t="str">
        <f t="shared" ca="1" si="3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122</v>
      </c>
      <c r="T45" s="102">
        <v>4</v>
      </c>
      <c r="U45" s="112">
        <v>198.22</v>
      </c>
      <c r="V45" s="102">
        <v>0</v>
      </c>
      <c r="W45" s="102">
        <v>28</v>
      </c>
      <c r="X45" s="102">
        <v>0</v>
      </c>
      <c r="Y45" s="102">
        <v>110</v>
      </c>
      <c r="Z45" s="102">
        <v>0</v>
      </c>
      <c r="AA45" s="102">
        <v>4</v>
      </c>
      <c r="AB45" s="102">
        <v>82</v>
      </c>
      <c r="AC45" s="102">
        <v>0</v>
      </c>
      <c r="AD45" s="102">
        <v>0</v>
      </c>
      <c r="AE45" s="112">
        <f>IF(S45&lt;&gt;"",IF(T45&gt;0,W45/(U45/60),0),"")</f>
        <v>8.4754313389163567</v>
      </c>
      <c r="AF45" s="112">
        <f>IF(S45&lt;&gt;"",IF(Y45&gt;0,(AB45/Y45)*100,"-"),"")</f>
        <v>74.545454545454547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26"/>
        <v/>
      </c>
      <c r="BE45" s="91" t="str">
        <f t="shared" ca="1" si="27"/>
        <v/>
      </c>
      <c r="BF45" s="90" t="str">
        <f t="shared" si="28"/>
        <v/>
      </c>
      <c r="BG45" s="89" t="str">
        <f t="shared" ca="1" si="29"/>
        <v/>
      </c>
      <c r="BH45" s="90" t="str">
        <f t="shared" ca="1" si="30"/>
        <v/>
      </c>
      <c r="BI45" s="89" t="str">
        <f t="shared" ca="1" si="31"/>
        <v/>
      </c>
      <c r="BJ45" s="90" t="str">
        <f t="shared" ca="1" si="32"/>
        <v/>
      </c>
      <c r="BK45" s="89" t="str">
        <f t="shared" ca="1" si="33"/>
        <v/>
      </c>
      <c r="BL45" s="90" t="str">
        <f t="shared" ca="1" si="34"/>
        <v/>
      </c>
      <c r="BM45" s="89" t="str">
        <f t="shared" ca="1" si="3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4</v>
      </c>
      <c r="U46" s="112">
        <v>215.12</v>
      </c>
      <c r="V46" s="102">
        <v>2</v>
      </c>
      <c r="W46" s="102">
        <v>23</v>
      </c>
      <c r="X46" s="102">
        <v>0</v>
      </c>
      <c r="Y46" s="102">
        <v>78</v>
      </c>
      <c r="Z46" s="102">
        <v>0</v>
      </c>
      <c r="AA46" s="102">
        <v>2</v>
      </c>
      <c r="AB46" s="102">
        <v>55</v>
      </c>
      <c r="AC46" s="102">
        <v>0</v>
      </c>
      <c r="AD46" s="102">
        <v>0</v>
      </c>
      <c r="AE46" s="112">
        <f t="shared" ref="AE46:AE50" si="36">IF(S46&lt;&gt;"",IF(T46&gt;0,W46/(U46/60),0),"")</f>
        <v>6.4150241725548529</v>
      </c>
      <c r="AF46" s="112">
        <f t="shared" ref="AF46:AF50" si="37">IF(S46&lt;&gt;"",IF(Y46&gt;0,(AB46/Y46)*100,"-"),"")</f>
        <v>70.512820512820511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26"/>
        <v/>
      </c>
      <c r="BE46" s="84" t="str">
        <f t="shared" ca="1" si="27"/>
        <v/>
      </c>
      <c r="BF46" s="62" t="str">
        <f t="shared" si="28"/>
        <v/>
      </c>
      <c r="BG46" s="3" t="str">
        <f t="shared" ca="1" si="29"/>
        <v/>
      </c>
      <c r="BH46" s="62" t="str">
        <f t="shared" ca="1" si="30"/>
        <v/>
      </c>
      <c r="BI46" s="3" t="str">
        <f t="shared" ca="1" si="31"/>
        <v/>
      </c>
      <c r="BJ46" s="62" t="str">
        <f t="shared" ca="1" si="32"/>
        <v/>
      </c>
      <c r="BK46" s="3" t="str">
        <f t="shared" ca="1" si="33"/>
        <v/>
      </c>
      <c r="BL46" s="62" t="str">
        <f t="shared" ca="1" si="34"/>
        <v/>
      </c>
      <c r="BM46" s="3" t="str">
        <f t="shared" ca="1" si="35"/>
        <v/>
      </c>
    </row>
    <row r="47" spans="1:65" ht="15" customHeight="1" thickTop="1" x14ac:dyDescent="0.2">
      <c r="A47" s="337" t="s">
        <v>20</v>
      </c>
      <c r="B47" s="338"/>
      <c r="C47" s="338"/>
      <c r="D47" s="338"/>
      <c r="E47" s="339" t="str">
        <f ca="1">IFERROR(VLOOKUP(A47,OFFSET($BN$2,,,COUNTIF($BN$2:$BN$11,"?*"),5),3,FALSE),"")</f>
        <v>trenér</v>
      </c>
      <c r="F47" s="339"/>
      <c r="G47" s="339"/>
      <c r="H47" s="339"/>
      <c r="I47" s="340"/>
      <c r="J47" s="337" t="s">
        <v>21</v>
      </c>
      <c r="K47" s="338"/>
      <c r="L47" s="338"/>
      <c r="M47" s="338"/>
      <c r="N47" s="339" t="str">
        <f ca="1">IFERROR(VLOOKUP(J47,OFFSET($BN$2,,,COUNTIF($BN$2:$BN$11,"?*"),5),3,FALSE),"")</f>
        <v>trenér</v>
      </c>
      <c r="O47" s="339"/>
      <c r="P47" s="339"/>
      <c r="Q47" s="339"/>
      <c r="R47" s="340"/>
      <c r="S47" s="111"/>
      <c r="U47" s="112"/>
      <c r="AE47" s="112" t="str">
        <f t="shared" si="36"/>
        <v/>
      </c>
      <c r="AF47" s="112" t="str">
        <f t="shared" si="37"/>
        <v/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26"/>
        <v/>
      </c>
      <c r="BE47" s="91" t="str">
        <f t="shared" ca="1" si="27"/>
        <v/>
      </c>
      <c r="BF47" s="90" t="str">
        <f t="shared" si="28"/>
        <v/>
      </c>
      <c r="BG47" s="89" t="str">
        <f t="shared" ca="1" si="29"/>
        <v/>
      </c>
      <c r="BH47" s="90" t="str">
        <f t="shared" ca="1" si="30"/>
        <v/>
      </c>
      <c r="BI47" s="89" t="str">
        <f t="shared" ca="1" si="31"/>
        <v/>
      </c>
      <c r="BJ47" s="90" t="str">
        <f t="shared" ca="1" si="32"/>
        <v/>
      </c>
      <c r="BK47" s="89" t="str">
        <f t="shared" ca="1" si="33"/>
        <v/>
      </c>
      <c r="BL47" s="90" t="str">
        <f t="shared" ca="1" si="34"/>
        <v/>
      </c>
      <c r="BM47" s="89" t="str">
        <f t="shared" ca="1" si="35"/>
        <v/>
      </c>
    </row>
    <row r="48" spans="1:65" ht="15" customHeight="1" thickBot="1" x14ac:dyDescent="0.25">
      <c r="A48" s="355">
        <f ca="1">IFERROR(VLOOKUP(A47,OFFSET($BN$2,,,COUNTIF($BN$2:$BN$11,"?*"),5),5,FALSE),"")</f>
        <v>38</v>
      </c>
      <c r="B48" s="357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357"/>
      <c r="D48" s="357"/>
      <c r="E48" s="357"/>
      <c r="F48" s="357"/>
      <c r="G48" s="357"/>
      <c r="H48" s="357"/>
      <c r="I48" s="358"/>
      <c r="J48" s="24">
        <f ca="1">IFERROR(VLOOKUP(J47,OFFSET($BN$2,,,COUNTIF($BN$2:$BN$11,"?*"),5),5,FALSE),"")</f>
        <v>35</v>
      </c>
      <c r="K48" s="361" t="str">
        <f ca="1">IFERROR(IF(VLOOKUP(J47,OFFSET($BN$2,,,COUNTIF($BN$2:$BN$11,"?*"),5),4,FALSE)&lt;&gt;0,VLOOKUP(J47,OFFSET($BN$2,,,COUNTIF($BN$2:$BN$11,"?*"),5),4,FALSE),"-"),"")</f>
        <v>2x mistr české ligy (Chodov)</v>
      </c>
      <c r="L48" s="361"/>
      <c r="M48" s="361"/>
      <c r="N48" s="361"/>
      <c r="O48" s="361"/>
      <c r="P48" s="361"/>
      <c r="Q48" s="361"/>
      <c r="R48" s="362"/>
      <c r="S48" s="111"/>
      <c r="U48" s="112"/>
      <c r="AE48" s="112" t="str">
        <f t="shared" si="36"/>
        <v/>
      </c>
      <c r="AF48" s="112" t="str">
        <f t="shared" si="37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26"/>
        <v/>
      </c>
      <c r="BE48" s="84" t="str">
        <f t="shared" ca="1" si="27"/>
        <v/>
      </c>
      <c r="BF48" s="62" t="str">
        <f t="shared" si="28"/>
        <v/>
      </c>
      <c r="BG48" s="3" t="str">
        <f t="shared" ca="1" si="29"/>
        <v/>
      </c>
      <c r="BH48" s="62" t="str">
        <f t="shared" ca="1" si="30"/>
        <v/>
      </c>
      <c r="BI48" s="3" t="str">
        <f t="shared" ca="1" si="31"/>
        <v/>
      </c>
      <c r="BJ48" s="62" t="str">
        <f t="shared" ca="1" si="32"/>
        <v/>
      </c>
      <c r="BK48" s="3" t="str">
        <f t="shared" ca="1" si="33"/>
        <v/>
      </c>
      <c r="BL48" s="62" t="str">
        <f t="shared" ca="1" si="34"/>
        <v/>
      </c>
      <c r="BM48" s="3" t="str">
        <f t="shared" ca="1" si="35"/>
        <v/>
      </c>
    </row>
    <row r="49" spans="1:65" ht="15" customHeight="1" thickTop="1" x14ac:dyDescent="0.2">
      <c r="A49" s="355"/>
      <c r="B49" s="357"/>
      <c r="C49" s="357"/>
      <c r="D49" s="357"/>
      <c r="E49" s="357"/>
      <c r="F49" s="357"/>
      <c r="G49" s="357"/>
      <c r="H49" s="357"/>
      <c r="I49" s="358"/>
      <c r="J49" s="363" t="s">
        <v>22</v>
      </c>
      <c r="K49" s="364"/>
      <c r="L49" s="364"/>
      <c r="M49" s="364"/>
      <c r="N49" s="339" t="str">
        <f ca="1">IFERROR(VLOOKUP(J49,OFFSET($BN$2,,,COUNTIF($BN$2:$BN$11,"?*"),5),3,FALSE),"")</f>
        <v>kondiční trenér</v>
      </c>
      <c r="O49" s="339"/>
      <c r="P49" s="339"/>
      <c r="Q49" s="339"/>
      <c r="R49" s="340"/>
      <c r="S49" s="111"/>
      <c r="U49" s="112"/>
      <c r="AE49" s="112" t="str">
        <f t="shared" si="36"/>
        <v/>
      </c>
      <c r="AF49" s="112" t="str">
        <f t="shared" si="37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26"/>
        <v/>
      </c>
      <c r="BE49" s="91" t="str">
        <f t="shared" ca="1" si="27"/>
        <v/>
      </c>
      <c r="BF49" s="90" t="str">
        <f t="shared" si="28"/>
        <v/>
      </c>
      <c r="BG49" s="89" t="str">
        <f t="shared" ca="1" si="29"/>
        <v/>
      </c>
      <c r="BH49" s="90" t="str">
        <f t="shared" ca="1" si="30"/>
        <v/>
      </c>
      <c r="BI49" s="89" t="str">
        <f t="shared" ca="1" si="31"/>
        <v/>
      </c>
      <c r="BJ49" s="90" t="str">
        <f t="shared" ca="1" si="32"/>
        <v/>
      </c>
      <c r="BK49" s="89" t="str">
        <f t="shared" ca="1" si="33"/>
        <v/>
      </c>
      <c r="BL49" s="90" t="str">
        <f t="shared" ca="1" si="34"/>
        <v/>
      </c>
      <c r="BM49" s="89" t="str">
        <f t="shared" ca="1" si="35"/>
        <v/>
      </c>
    </row>
    <row r="50" spans="1:65" ht="15" customHeight="1" thickBot="1" x14ac:dyDescent="0.25">
      <c r="A50" s="356"/>
      <c r="B50" s="359"/>
      <c r="C50" s="359"/>
      <c r="D50" s="359"/>
      <c r="E50" s="359"/>
      <c r="F50" s="359"/>
      <c r="G50" s="359"/>
      <c r="H50" s="359"/>
      <c r="I50" s="360"/>
      <c r="J50" s="24">
        <f ca="1">IFERROR(VLOOKUP(J49,OFFSET($BN$2,,,COUNTIF($BN$2:$BN$11,"?*"),5),5,FALSE),"")</f>
        <v>31</v>
      </c>
      <c r="K50" s="361" t="str">
        <f ca="1">IFERROR(IF(VLOOKUP(J49,OFFSET($BN$2,,,COUNTIF($BN$2:$BN$11,"?*"),5),4,FALSE)&lt;&gt;0,VLOOKUP(J49,OFFSET($BN$2,,,COUNTIF($BN$2:$BN$11,"?*"),5),4,FALSE),"-"),"")</f>
        <v>postup do Tipsport superligy (hráč)</v>
      </c>
      <c r="L50" s="361"/>
      <c r="M50" s="361"/>
      <c r="N50" s="361"/>
      <c r="O50" s="361"/>
      <c r="P50" s="361"/>
      <c r="Q50" s="361"/>
      <c r="R50" s="362"/>
      <c r="S50" s="111"/>
      <c r="U50" s="112"/>
      <c r="AE50" s="112" t="str">
        <f t="shared" si="36"/>
        <v/>
      </c>
      <c r="AF50" s="112" t="str">
        <f t="shared" si="37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26"/>
        <v/>
      </c>
      <c r="BE50" s="84" t="str">
        <f t="shared" ca="1" si="27"/>
        <v/>
      </c>
      <c r="BF50" s="62" t="str">
        <f t="shared" si="28"/>
        <v/>
      </c>
      <c r="BG50" s="3" t="str">
        <f t="shared" ca="1" si="29"/>
        <v/>
      </c>
      <c r="BH50" s="62" t="str">
        <f t="shared" ca="1" si="30"/>
        <v/>
      </c>
      <c r="BI50" s="3" t="str">
        <f t="shared" ca="1" si="31"/>
        <v/>
      </c>
      <c r="BJ50" s="62" t="str">
        <f t="shared" ca="1" si="32"/>
        <v/>
      </c>
      <c r="BK50" s="3" t="str">
        <f t="shared" ca="1" si="33"/>
        <v/>
      </c>
      <c r="BL50" s="62" t="str">
        <f t="shared" ca="1" si="34"/>
        <v/>
      </c>
      <c r="BM50" s="3" t="str">
        <f t="shared" ca="1" si="35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topLeftCell="A4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8"/>
      <c r="B1" s="349"/>
      <c r="C1" s="349"/>
      <c r="D1" s="34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82" t="s">
        <v>1</v>
      </c>
      <c r="I1" s="382"/>
      <c r="J1" s="382"/>
      <c r="K1" s="382"/>
      <c r="M1" s="348"/>
      <c r="N1" s="349"/>
      <c r="O1" s="349"/>
      <c r="P1" s="34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1" t="str">
        <f ca="1">IFERROR(IF(VLOOKUP(A1,OFFSET($AG$2,,,COUNTIF($AG$2:$AG$50,"?*"),23),2,FALSE)&lt;&gt;0,YEAR(VLOOKUP(A1,OFFSET($AG$2,,,COUNTIF($AG$2:$AG$50,"?*"),23),2,FALSE)),""),"")</f>
        <v/>
      </c>
      <c r="C2" s="342"/>
      <c r="D2" s="117" t="str">
        <f ca="1">IFERROR(VLOOKUP(A1,OFFSET($AG$2,,,COUNTIF($AG$2:$AG$50,"?*"),23),15,FALSE),"")</f>
        <v/>
      </c>
      <c r="E2" s="343" t="str">
        <f ca="1">IFERROR(VLOOKUP(A1,OFFSET($AG$2,,,COUNTIF($AG$2:$AG$50,"?*"),23),16,FALSE),"")</f>
        <v/>
      </c>
      <c r="F2" s="344"/>
      <c r="M2" s="4" t="str">
        <f ca="1">IFERROR(IF(VLOOKUP(M1,OFFSET($AG$2,,,COUNTIF($AG$2:$AG$50,"?*"),23),10,FALSE)&lt;&gt;0,VLOOKUP(M1,OFFSET($AG$2,,,COUNTIF($AG$2:$AG$50,"?*"),23),10,FALSE),""),"")</f>
        <v/>
      </c>
      <c r="N2" s="341" t="str">
        <f ca="1">IFERROR(IF(VLOOKUP(M1,OFFSET($AG$2,,,COUNTIF($AG$2:$AG$50,"?*"),23),2,FALSE)&lt;&gt;0,YEAR(VLOOKUP(M1,OFFSET($AG$2,,,COUNTIF($AG$2:$AG$50,"?*"),23),2,FALSE)),""),"")</f>
        <v/>
      </c>
      <c r="O2" s="342"/>
      <c r="P2" s="117" t="str">
        <f ca="1">IFERROR(VLOOKUP(M1,OFFSET($AG$2,,,COUNTIF($AG$2:$AG$50,"?*"),23),15,FALSE),"")</f>
        <v/>
      </c>
      <c r="Q2" s="343" t="str">
        <f ca="1">IFERROR(VLOOKUP(M1,OFFSET($AG$2,,,COUNTIF($AG$2:$AG$50,"?*"),23),16,FALSE),"")</f>
        <v/>
      </c>
      <c r="R2" s="344"/>
      <c r="S2" s="110" t="s">
        <v>721</v>
      </c>
      <c r="T2" s="102" t="s">
        <v>119</v>
      </c>
      <c r="U2" s="102">
        <v>6</v>
      </c>
      <c r="V2" s="102">
        <v>6</v>
      </c>
      <c r="W2" s="102">
        <v>1</v>
      </c>
      <c r="X2" s="102">
        <v>0</v>
      </c>
      <c r="Y2" s="102">
        <v>4</v>
      </c>
      <c r="Z2" s="102">
        <v>10</v>
      </c>
      <c r="AA2" s="102">
        <v>4</v>
      </c>
      <c r="AB2" s="102">
        <v>10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715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4 (3+1), +5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4 (3+1)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36" t="s">
        <v>36</v>
      </c>
      <c r="BT2" s="104" t="s">
        <v>736</v>
      </c>
      <c r="BU2" s="103">
        <v>10</v>
      </c>
      <c r="BV2" s="104" t="str">
        <f>IFERROR(RIGHT(BT2,LEN(BT2)-SEARCH(" ",BT2)),"")</f>
        <v>Jakub Boček</v>
      </c>
      <c r="BW2" s="102">
        <f>IF(BT2&lt;&gt;0,_xlfn.NUMBERVALUE(BU2,","),"")</f>
        <v>10</v>
      </c>
      <c r="BX2" s="335" t="s">
        <v>211</v>
      </c>
      <c r="BY2" s="103" t="s">
        <v>1195</v>
      </c>
      <c r="BZ2" s="103" t="s">
        <v>933</v>
      </c>
      <c r="CA2" s="115" t="s">
        <v>1003</v>
      </c>
    </row>
    <row r="3" spans="1:79" ht="15" customHeight="1" thickTop="1" thickBot="1" x14ac:dyDescent="0.25">
      <c r="A3" s="377" t="str">
        <f ca="1">IFERROR(VLOOKUP(A1,OFFSET($AG$2,,,COUNTIF($AG$2:$AG$50,"?*"),23),18,FALSE),"")</f>
        <v/>
      </c>
      <c r="B3" s="378"/>
      <c r="C3" s="378"/>
      <c r="D3" s="379" t="str">
        <f ca="1">IFERROR(VLOOKUP(A1,OFFSET($AG$2,,,COUNTIF($AG$2:$AG$50,"?*"),23),19,FALSE),"")</f>
        <v/>
      </c>
      <c r="E3" s="379"/>
      <c r="F3" s="380"/>
      <c r="G3" s="348"/>
      <c r="H3" s="349"/>
      <c r="I3" s="349"/>
      <c r="J3" s="34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7" t="str">
        <f ca="1">IFERROR(VLOOKUP(M1,OFFSET($AG$2,,,COUNTIF($AG$2:$AG$50,"?*"),23),18,FALSE),"")</f>
        <v/>
      </c>
      <c r="N3" s="378"/>
      <c r="O3" s="378"/>
      <c r="P3" s="379" t="str">
        <f ca="1">IFERROR(VLOOKUP(M1,OFFSET($AG$2,,,COUNTIF($AG$2:$AG$50,"?*"),23),19,FALSE),"")</f>
        <v/>
      </c>
      <c r="Q3" s="379"/>
      <c r="R3" s="380"/>
      <c r="S3" s="110" t="s">
        <v>719</v>
      </c>
      <c r="T3" s="102" t="s">
        <v>119</v>
      </c>
      <c r="U3" s="102">
        <v>6</v>
      </c>
      <c r="V3" s="102">
        <v>4</v>
      </c>
      <c r="W3" s="102">
        <v>0</v>
      </c>
      <c r="X3" s="102">
        <v>0</v>
      </c>
      <c r="Y3" s="102">
        <v>4</v>
      </c>
      <c r="Z3" s="102">
        <v>8</v>
      </c>
      <c r="AA3" s="102">
        <v>4</v>
      </c>
      <c r="AB3" s="102">
        <v>11</v>
      </c>
      <c r="AC3" s="102" t="str">
        <f t="shared" ca="1" si="0"/>
        <v>ANO</v>
      </c>
      <c r="AG3" s="121" t="s">
        <v>721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Boček J.</v>
      </c>
      <c r="AX3" s="129" t="str">
        <f t="shared" ca="1" si="1"/>
        <v>6 OZ, 10 (6+4), +10 ±</v>
      </c>
      <c r="AY3" s="129" t="str">
        <f t="shared" ca="1" si="2"/>
        <v>6 OZ, 10 (6+4)</v>
      </c>
      <c r="AZ3" s="130"/>
      <c r="BA3" s="130"/>
      <c r="BB3" s="130"/>
      <c r="BC3" s="130"/>
      <c r="BD3" s="89" t="str">
        <f t="shared" si="3"/>
        <v>Boček</v>
      </c>
      <c r="BE3" s="91">
        <f t="shared" ca="1" si="4"/>
        <v>2</v>
      </c>
      <c r="BF3" s="90" t="str">
        <f t="shared" si="5"/>
        <v>J</v>
      </c>
      <c r="BG3" s="89" t="str">
        <f t="shared" ca="1" si="6"/>
        <v>Boček J.</v>
      </c>
      <c r="BH3" s="90">
        <f t="shared" ca="1" si="7"/>
        <v>1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/>
      <c r="BO3" s="122"/>
      <c r="BP3" s="131"/>
      <c r="BQ3" s="132"/>
      <c r="BR3" s="127" t="str">
        <f t="shared" ref="BR3:BR11" ca="1" si="13">IF(BN3&lt;&gt;"",IF(BO3&lt;&gt;"",INT((TODAY()-BO3)/365),"?"),"")</f>
        <v/>
      </c>
      <c r="BS3" s="336"/>
      <c r="BT3" s="104" t="s">
        <v>858</v>
      </c>
      <c r="BU3" s="103">
        <v>8</v>
      </c>
      <c r="BV3" s="104" t="str">
        <f t="shared" ref="BV3:BV31" si="14">IFERROR(RIGHT(BT3,LEN(BT3)-SEARCH(" ",BT3)),"")</f>
        <v>Matěj Boček</v>
      </c>
      <c r="BW3" s="102">
        <f t="shared" ref="BW3:BW31" si="15">IF(BT3&lt;&gt;0,_xlfn.NUMBERVALUE(BU3,","),"")</f>
        <v>8</v>
      </c>
      <c r="BX3" s="335"/>
      <c r="BY3" s="103" t="s">
        <v>207</v>
      </c>
      <c r="BZ3" s="103" t="s">
        <v>927</v>
      </c>
      <c r="CA3" s="115" t="s">
        <v>873</v>
      </c>
    </row>
    <row r="4" spans="1:79" ht="15" customHeight="1" thickBot="1" x14ac:dyDescent="0.25">
      <c r="A4" s="365" t="str">
        <f ca="1">IFERROR(IF(VLOOKUP(A1,OFFSET($AG$2,,,COUNTIF($AG$2:$AG$50,"?*"),23),13,FALSE)&lt;&gt;0,VLOOKUP(A1,OFFSET($AG$2,,,COUNTIF($AG$2:$AG$50,"?*"),23),13,FALSE),"?"),"")</f>
        <v/>
      </c>
      <c r="B4" s="366"/>
      <c r="C4" s="367"/>
      <c r="D4" s="368" t="str">
        <f ca="1">IFERROR(IF(VLOOKUP(A1,OFFSET($AG$2,,,COUNTIF($AG$2:$AG$50,"?*"),23),14,FALSE)&lt;&gt;0,VLOOKUP(A1,OFFSET($AG$2,,,COUNTIF($AG$2:$AG$50,"?*"),23),14,FALSE),"?"),"")</f>
        <v/>
      </c>
      <c r="E4" s="36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1" t="str">
        <f ca="1">IFERROR(IF(VLOOKUP(G3,OFFSET($AG$2,,,COUNTIF($AG$2:$AG$50,"?*"),23),2,FALSE)&lt;&gt;0,YEAR(VLOOKUP(G3,OFFSET($AG$2,,,COUNTIF($AG$2:$AG$50,"?*"),23),2,FALSE)),""),"")</f>
        <v/>
      </c>
      <c r="I4" s="342"/>
      <c r="J4" s="117" t="str">
        <f ca="1">IFERROR(VLOOKUP(G3,OFFSET($AG$2,,,COUNTIF($AG$2:$AG$50,"?*"),23),15,FALSE),"")</f>
        <v/>
      </c>
      <c r="K4" s="343" t="str">
        <f ca="1">IFERROR(VLOOKUP(G3,OFFSET($AG$2,,,COUNTIF($AG$2:$AG$50,"?*"),23),16,FALSE),"")</f>
        <v/>
      </c>
      <c r="L4" s="344"/>
      <c r="M4" s="365" t="str">
        <f ca="1">IFERROR(IF(VLOOKUP(M1,OFFSET($AG$2,,,COUNTIF($AG$2:$AG$50,"?*"),23),13,FALSE)&lt;&gt;0,VLOOKUP(M1,OFFSET($AG$2,,,COUNTIF($AG$2:$AG$50,"?*"),23),13,FALSE),"?"),"")</f>
        <v/>
      </c>
      <c r="N4" s="366"/>
      <c r="O4" s="367"/>
      <c r="P4" s="368" t="str">
        <f ca="1">IFERROR(IF(VLOOKUP(M1,OFFSET($AG$2,,,COUNTIF($AG$2:$AG$50,"?*"),23),14,FALSE)&lt;&gt;0,VLOOKUP(M1,OFFSET($AG$2,,,COUNTIF($AG$2:$AG$50,"?*"),23),14,FALSE),"?"),"")</f>
        <v/>
      </c>
      <c r="Q4" s="36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720</v>
      </c>
      <c r="T4" s="102" t="s">
        <v>119</v>
      </c>
      <c r="U4" s="102">
        <v>6</v>
      </c>
      <c r="V4" s="102">
        <v>3</v>
      </c>
      <c r="W4" s="102">
        <v>0</v>
      </c>
      <c r="X4" s="102">
        <v>0</v>
      </c>
      <c r="Y4" s="102">
        <v>4</v>
      </c>
      <c r="Z4" s="102">
        <v>7</v>
      </c>
      <c r="AA4" s="102">
        <v>2</v>
      </c>
      <c r="AB4" s="102">
        <v>4</v>
      </c>
      <c r="AC4" s="102" t="str">
        <f t="shared" ca="1" si="0"/>
        <v>ANO</v>
      </c>
      <c r="AG4" s="121" t="s">
        <v>719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Boček M.</v>
      </c>
      <c r="AX4" s="129" t="str">
        <f t="shared" ca="1" si="1"/>
        <v>6 OZ, 8 (4+4), +11 ±</v>
      </c>
      <c r="AY4" s="129" t="str">
        <f t="shared" ca="1" si="2"/>
        <v>6 OZ, 8 (4+4)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/>
      <c r="BO4" s="122"/>
      <c r="BP4" s="131"/>
      <c r="BQ4" s="132"/>
      <c r="BR4" s="127" t="str">
        <f t="shared" ca="1" si="13"/>
        <v/>
      </c>
      <c r="BS4" s="336"/>
      <c r="BT4" s="104" t="s">
        <v>917</v>
      </c>
      <c r="BU4" s="103">
        <v>7</v>
      </c>
      <c r="BV4" s="104" t="str">
        <f t="shared" si="14"/>
        <v>Radek Hanák</v>
      </c>
      <c r="BW4" s="102">
        <f t="shared" si="15"/>
        <v>7</v>
      </c>
      <c r="BX4" s="335"/>
      <c r="BY4" s="103" t="s">
        <v>262</v>
      </c>
      <c r="BZ4" s="103" t="s">
        <v>928</v>
      </c>
      <c r="CA4" s="115" t="s">
        <v>929</v>
      </c>
    </row>
    <row r="5" spans="1:79" ht="15" customHeight="1" thickTop="1" thickBot="1" x14ac:dyDescent="0.25">
      <c r="A5" s="8"/>
      <c r="B5" s="8"/>
      <c r="C5" s="8"/>
      <c r="D5" s="8"/>
      <c r="G5" s="377" t="str">
        <f ca="1">IFERROR(VLOOKUP(G3,OFFSET($AG$2,,,COUNTIF($AG$2:$AG$50,"?*"),23),18,FALSE),"")</f>
        <v/>
      </c>
      <c r="H5" s="378"/>
      <c r="I5" s="378"/>
      <c r="J5" s="379" t="str">
        <f ca="1">IFERROR(VLOOKUP(G3,OFFSET($AG$2,,,COUNTIF($AG$2:$AG$50,"?*"),23),19,FALSE),"")</f>
        <v/>
      </c>
      <c r="K5" s="379"/>
      <c r="L5" s="380"/>
      <c r="R5" s="13"/>
      <c r="S5" s="110" t="s">
        <v>717</v>
      </c>
      <c r="T5" s="102" t="s">
        <v>119</v>
      </c>
      <c r="U5" s="102">
        <v>6</v>
      </c>
      <c r="V5" s="102">
        <v>4</v>
      </c>
      <c r="W5" s="102">
        <v>1</v>
      </c>
      <c r="X5" s="102">
        <v>0</v>
      </c>
      <c r="Y5" s="102">
        <v>2</v>
      </c>
      <c r="Z5" s="102">
        <v>6</v>
      </c>
      <c r="AA5" s="102">
        <v>0</v>
      </c>
      <c r="AB5" s="102">
        <v>4</v>
      </c>
      <c r="AC5" s="102" t="str">
        <f t="shared" ca="1" si="0"/>
        <v>ANO</v>
      </c>
      <c r="AG5" s="121" t="s">
        <v>718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Bouček</v>
      </c>
      <c r="AX5" s="129" t="str">
        <f t="shared" ca="1" si="1"/>
        <v>6 OZ, 3 (1+2), +4 ±</v>
      </c>
      <c r="AY5" s="129" t="str">
        <f t="shared" ca="1" si="2"/>
        <v>6 OZ, 3 (1+2)</v>
      </c>
      <c r="AZ5" s="130"/>
      <c r="BA5" s="130"/>
      <c r="BB5" s="130"/>
      <c r="BC5" s="130"/>
      <c r="BD5" s="89" t="str">
        <f t="shared" si="3"/>
        <v>Bouček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/>
      <c r="BO5" s="122"/>
      <c r="BP5" s="131"/>
      <c r="BQ5" s="132"/>
      <c r="BR5" s="127" t="str">
        <f t="shared" ca="1" si="13"/>
        <v/>
      </c>
      <c r="BS5" s="336"/>
      <c r="BT5" s="104" t="s">
        <v>918</v>
      </c>
      <c r="BU5" s="103">
        <v>6</v>
      </c>
      <c r="BV5" s="104" t="str">
        <f t="shared" si="14"/>
        <v>Tomáš Hanák</v>
      </c>
      <c r="BW5" s="102">
        <f t="shared" si="15"/>
        <v>6</v>
      </c>
      <c r="BX5" s="335"/>
      <c r="BY5" s="103" t="s">
        <v>855</v>
      </c>
      <c r="BZ5" s="103" t="s">
        <v>930</v>
      </c>
      <c r="CA5" s="115" t="s">
        <v>115</v>
      </c>
    </row>
    <row r="6" spans="1:79" ht="15" customHeight="1" thickTop="1" thickBot="1" x14ac:dyDescent="0.25">
      <c r="A6" s="348"/>
      <c r="B6" s="349"/>
      <c r="C6" s="349"/>
      <c r="D6" s="34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5" t="str">
        <f ca="1">IFERROR(IF(VLOOKUP(G3,OFFSET($AG$2,,,COUNTIF($AG$2:$AG$50,"?*"),23),13,FALSE)&lt;&gt;0,VLOOKUP(G3,OFFSET($AG$2,,,COUNTIF($AG$2:$AG$50,"?*"),23),13,FALSE),"?"),"")</f>
        <v/>
      </c>
      <c r="H6" s="366"/>
      <c r="I6" s="367"/>
      <c r="J6" s="368" t="str">
        <f ca="1">IFERROR(IF(VLOOKUP(G3,OFFSET($AG$2,,,COUNTIF($AG$2:$AG$50,"?*"),23),14,FALSE)&lt;&gt;0,VLOOKUP(G3,OFFSET($AG$2,,,COUNTIF($AG$2:$AG$50,"?*"),23),14,FALSE),"?"),"")</f>
        <v/>
      </c>
      <c r="K6" s="369"/>
      <c r="L6" s="7" t="str">
        <f ca="1">IFERROR(IF(VLOOKUP(G3,OFFSET($AG$2,,,COUNTIF($AG$2:$AG$50,"?*"),23),7,FALSE)&lt;&gt;0,VLOOKUP(G3,OFFSET($AG$2,,,COUNTIF($AG$2:$AG$50,"?*"),23),7,FALSE),"?"),"")</f>
        <v/>
      </c>
      <c r="M6" s="348"/>
      <c r="N6" s="349"/>
      <c r="O6" s="349"/>
      <c r="P6" s="34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714</v>
      </c>
      <c r="U6" s="102">
        <v>5</v>
      </c>
      <c r="V6" s="102">
        <v>3</v>
      </c>
      <c r="W6" s="102">
        <v>2</v>
      </c>
      <c r="X6" s="102">
        <v>0</v>
      </c>
      <c r="Y6" s="102">
        <v>2</v>
      </c>
      <c r="Z6" s="102">
        <v>5</v>
      </c>
      <c r="AA6" s="102">
        <v>2</v>
      </c>
      <c r="AB6" s="102">
        <v>8</v>
      </c>
      <c r="AC6" s="102" t="str">
        <f t="shared" ca="1" si="0"/>
        <v>ANO</v>
      </c>
      <c r="AG6" s="121" t="s">
        <v>716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Burian</v>
      </c>
      <c r="AX6" s="129" t="str">
        <f t="shared" ca="1" si="1"/>
        <v>5 OZ, 3 (2+1), +5 ±</v>
      </c>
      <c r="AY6" s="129" t="str">
        <f t="shared" ca="1" si="2"/>
        <v>5 OZ, 3 (2+1)</v>
      </c>
      <c r="AZ6" s="130"/>
      <c r="BA6" s="130"/>
      <c r="BB6" s="130"/>
      <c r="BC6" s="130"/>
      <c r="BD6" s="3" t="str">
        <f t="shared" si="3"/>
        <v>Burian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336"/>
      <c r="BT6" s="104" t="s">
        <v>859</v>
      </c>
      <c r="BU6" s="103">
        <v>5</v>
      </c>
      <c r="BV6" s="104" t="str">
        <f t="shared" si="14"/>
        <v>Jakub Hromada</v>
      </c>
      <c r="BW6" s="102">
        <f t="shared" si="15"/>
        <v>5</v>
      </c>
      <c r="BX6" s="335"/>
      <c r="BY6" s="103" t="s">
        <v>204</v>
      </c>
      <c r="BZ6" s="103" t="s">
        <v>931</v>
      </c>
      <c r="CA6" s="115" t="s">
        <v>803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1" t="str">
        <f ca="1">IFERROR(IF(VLOOKUP(A6,OFFSET($AG$2,,,COUNTIF($AG$2:$AG$50,"?*"),23),2,FALSE)&lt;&gt;0,YEAR(VLOOKUP(A6,OFFSET($AG$2,,,COUNTIF($AG$2:$AG$50,"?*"),23),2,FALSE)),""),"")</f>
        <v/>
      </c>
      <c r="C7" s="342"/>
      <c r="D7" s="117" t="str">
        <f ca="1">IFERROR(VLOOKUP(A6,OFFSET($AG$2,,,COUNTIF($AG$2:$AG$50,"?*"),23),15,FALSE),"")</f>
        <v/>
      </c>
      <c r="E7" s="343" t="str">
        <f ca="1">IFERROR(VLOOKUP(A6,OFFSET($AG$2,,,COUNTIF($AG$2:$AG$50,"?*"),23),16,FALSE),"")</f>
        <v/>
      </c>
      <c r="F7" s="344"/>
      <c r="M7" s="4" t="str">
        <f ca="1">IFERROR(IF(VLOOKUP(M6,OFFSET($AG$2,,,COUNTIF($AG$2:$AG$50,"?*"),23),10,FALSE)&lt;&gt;0,VLOOKUP(M6,OFFSET($AG$2,,,COUNTIF($AG$2:$AG$50,"?*"),23),10,FALSE),""),"")</f>
        <v/>
      </c>
      <c r="N7" s="341" t="str">
        <f ca="1">IFERROR(IF(VLOOKUP(M6,OFFSET($AG$2,,,COUNTIF($AG$2:$AG$50,"?*"),23),2,FALSE)&lt;&gt;0,YEAR(VLOOKUP(M6,OFFSET($AG$2,,,COUNTIF($AG$2:$AG$50,"?*"),23),2,FALSE)),""),"")</f>
        <v/>
      </c>
      <c r="O7" s="342"/>
      <c r="P7" s="117" t="str">
        <f ca="1">IFERROR(VLOOKUP(M6,OFFSET($AG$2,,,COUNTIF($AG$2:$AG$50,"?*"),23),15,FALSE),"")</f>
        <v/>
      </c>
      <c r="Q7" s="343" t="str">
        <f ca="1">IFERROR(VLOOKUP(M6,OFFSET($AG$2,,,COUNTIF($AG$2:$AG$50,"?*"),23),16,FALSE),"")</f>
        <v/>
      </c>
      <c r="R7" s="344"/>
      <c r="S7" s="110" t="s">
        <v>723</v>
      </c>
      <c r="T7" s="102" t="s">
        <v>64</v>
      </c>
      <c r="U7" s="102">
        <v>6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0</v>
      </c>
      <c r="AB7" s="102">
        <v>11</v>
      </c>
      <c r="AC7" s="102" t="str">
        <f t="shared" ca="1" si="0"/>
        <v>ANO</v>
      </c>
      <c r="AG7" s="121" t="s">
        <v>727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Fryš</v>
      </c>
      <c r="AX7" s="129" t="str">
        <f t="shared" ca="1" si="1"/>
        <v>6 OZ, 1 (1+0), -8 ±</v>
      </c>
      <c r="AY7" s="129" t="str">
        <f t="shared" ca="1" si="2"/>
        <v>6 OZ, 1 (1+0)</v>
      </c>
      <c r="AZ7" s="130"/>
      <c r="BA7" s="130"/>
      <c r="BB7" s="130"/>
      <c r="BC7" s="130"/>
      <c r="BD7" s="89" t="str">
        <f t="shared" si="3"/>
        <v>Fryš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36" t="s">
        <v>40</v>
      </c>
      <c r="BT7" s="104" t="s">
        <v>734</v>
      </c>
      <c r="BU7" s="103" t="s">
        <v>919</v>
      </c>
      <c r="BV7" s="104" t="str">
        <f t="shared" si="14"/>
        <v>Ondřej Matiášek</v>
      </c>
      <c r="BW7" s="112">
        <f t="shared" si="15"/>
        <v>2.96</v>
      </c>
      <c r="BX7" s="335" t="s">
        <v>212</v>
      </c>
      <c r="BY7" s="103" t="s">
        <v>934</v>
      </c>
      <c r="BZ7" s="103" t="s">
        <v>909</v>
      </c>
      <c r="CA7" s="115" t="s">
        <v>205</v>
      </c>
    </row>
    <row r="8" spans="1:79" ht="15" customHeight="1" x14ac:dyDescent="0.2">
      <c r="A8" s="377" t="str">
        <f ca="1">IFERROR(VLOOKUP(A6,OFFSET($AG$2,,,COUNTIF($AG$2:$AG$50,"?*"),23),18,FALSE),"")</f>
        <v/>
      </c>
      <c r="B8" s="378"/>
      <c r="C8" s="378"/>
      <c r="D8" s="379" t="str">
        <f ca="1">IFERROR(VLOOKUP(A6,OFFSET($AG$2,,,COUNTIF($AG$2:$AG$50,"?*"),23),19,FALSE),"")</f>
        <v/>
      </c>
      <c r="E8" s="379"/>
      <c r="F8" s="380"/>
      <c r="H8" s="381" t="s">
        <v>97</v>
      </c>
      <c r="I8" s="381"/>
      <c r="J8" s="381"/>
      <c r="K8" s="381"/>
      <c r="M8" s="377" t="str">
        <f ca="1">IFERROR(VLOOKUP(M6,OFFSET($AG$2,,,COUNTIF($AG$2:$AG$50,"?*"),23),18,FALSE),"")</f>
        <v/>
      </c>
      <c r="N8" s="378"/>
      <c r="O8" s="378"/>
      <c r="P8" s="379" t="str">
        <f ca="1">IFERROR(VLOOKUP(M6,OFFSET($AG$2,,,COUNTIF($AG$2:$AG$50,"?*"),23),19,FALSE),"")</f>
        <v/>
      </c>
      <c r="Q8" s="379"/>
      <c r="R8" s="380"/>
      <c r="S8" s="110" t="s">
        <v>715</v>
      </c>
      <c r="T8" s="102" t="s">
        <v>64</v>
      </c>
      <c r="U8" s="102">
        <v>6</v>
      </c>
      <c r="V8" s="102">
        <v>3</v>
      </c>
      <c r="W8" s="102">
        <v>2</v>
      </c>
      <c r="X8" s="102">
        <v>0</v>
      </c>
      <c r="Y8" s="102">
        <v>1</v>
      </c>
      <c r="Z8" s="102">
        <v>4</v>
      </c>
      <c r="AA8" s="102">
        <v>0</v>
      </c>
      <c r="AB8" s="102">
        <v>5</v>
      </c>
      <c r="AC8" s="102" t="str">
        <f t="shared" ca="1" si="0"/>
        <v>ANO</v>
      </c>
      <c r="AG8" s="121" t="s">
        <v>720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Hanák R.</v>
      </c>
      <c r="AX8" s="129" t="str">
        <f t="shared" ca="1" si="1"/>
        <v>6 OZ, 7 (3+4), +4 ±</v>
      </c>
      <c r="AY8" s="129" t="str">
        <f t="shared" ca="1" si="2"/>
        <v>6 OZ, 7 (3+4)</v>
      </c>
      <c r="AZ8" s="130"/>
      <c r="BA8" s="130"/>
      <c r="BB8" s="130"/>
      <c r="BC8" s="130"/>
      <c r="BD8" s="3" t="str">
        <f t="shared" si="3"/>
        <v>Hanák</v>
      </c>
      <c r="BE8" s="84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36"/>
      <c r="BT8" s="104" t="s">
        <v>735</v>
      </c>
      <c r="BU8" s="103" t="s">
        <v>1210</v>
      </c>
      <c r="BV8" s="104" t="str">
        <f t="shared" si="14"/>
        <v>Daniel Körber</v>
      </c>
      <c r="BW8" s="112">
        <f t="shared" si="15"/>
        <v>6.5</v>
      </c>
      <c r="BX8" s="335"/>
      <c r="BY8" s="103" t="s">
        <v>935</v>
      </c>
      <c r="BZ8" s="103" t="s">
        <v>907</v>
      </c>
      <c r="CA8" s="115" t="s">
        <v>205</v>
      </c>
    </row>
    <row r="9" spans="1:79" ht="15" customHeight="1" thickBot="1" x14ac:dyDescent="0.25">
      <c r="A9" s="365" t="str">
        <f ca="1">IFERROR(IF(VLOOKUP(A6,OFFSET($AG$2,,,COUNTIF($AG$2:$AG$50,"?*"),23),13,FALSE)&lt;&gt;0,VLOOKUP(A6,OFFSET($AG$2,,,COUNTIF($AG$2:$AG$50,"?*"),23),13,FALSE),"?"),"")</f>
        <v/>
      </c>
      <c r="B9" s="366"/>
      <c r="C9" s="367"/>
      <c r="D9" s="368" t="str">
        <f ca="1">IFERROR(IF(VLOOKUP(A6,OFFSET($AG$2,,,COUNTIF($AG$2:$AG$50,"?*"),23),14,FALSE)&lt;&gt;0,VLOOKUP(A6,OFFSET($AG$2,,,COUNTIF($AG$2:$AG$50,"?*"),23),14,FALSE),"?"),"")</f>
        <v/>
      </c>
      <c r="E9" s="369"/>
      <c r="F9" s="7" t="str">
        <f ca="1">IFERROR(IF(VLOOKUP(A6,OFFSET($AG$2,,,COUNTIF($AG$2:$AG$50,"?*"),23),7,FALSE)&lt;&gt;0,VLOOKUP(A6,OFFSET($AG$2,,,COUNTIF($AG$2:$AG$50,"?*"),23),7,FALSE),"?"),"")</f>
        <v/>
      </c>
      <c r="H9" s="381"/>
      <c r="I9" s="381"/>
      <c r="J9" s="381"/>
      <c r="K9" s="381"/>
      <c r="M9" s="365" t="str">
        <f ca="1">IFERROR(IF(VLOOKUP(M6,OFFSET($AG$2,,,COUNTIF($AG$2:$AG$50,"?*"),23),13,FALSE)&lt;&gt;0,VLOOKUP(M6,OFFSET($AG$2,,,COUNTIF($AG$2:$AG$50,"?*"),23),13,FALSE),"?"),"")</f>
        <v/>
      </c>
      <c r="N9" s="366"/>
      <c r="O9" s="367"/>
      <c r="P9" s="368" t="str">
        <f ca="1">IFERROR(IF(VLOOKUP(M6,OFFSET($AG$2,,,COUNTIF($AG$2:$AG$50,"?*"),23),14,FALSE)&lt;&gt;0,VLOOKUP(M6,OFFSET($AG$2,,,COUNTIF($AG$2:$AG$50,"?*"),23),14,FALSE),"?"),"")</f>
        <v/>
      </c>
      <c r="Q9" s="36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725</v>
      </c>
      <c r="T9" s="102" t="s">
        <v>119</v>
      </c>
      <c r="U9" s="102">
        <v>6</v>
      </c>
      <c r="V9" s="102">
        <v>2</v>
      </c>
      <c r="W9" s="102">
        <v>0</v>
      </c>
      <c r="X9" s="102">
        <v>0</v>
      </c>
      <c r="Y9" s="102">
        <v>2</v>
      </c>
      <c r="Z9" s="102">
        <v>4</v>
      </c>
      <c r="AA9" s="102">
        <v>2</v>
      </c>
      <c r="AB9" s="102">
        <v>-1</v>
      </c>
      <c r="AC9" s="102" t="str">
        <f t="shared" ca="1" si="0"/>
        <v>ANO</v>
      </c>
      <c r="AG9" s="121" t="s">
        <v>717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Hanák T.</v>
      </c>
      <c r="AX9" s="129" t="str">
        <f t="shared" ca="1" si="1"/>
        <v>6 OZ, 6 (4+2), +4 ±</v>
      </c>
      <c r="AY9" s="129" t="str">
        <f t="shared" ca="1" si="2"/>
        <v>6 OZ, 6 (4+2)</v>
      </c>
      <c r="AZ9" s="130"/>
      <c r="BA9" s="130"/>
      <c r="BB9" s="130"/>
      <c r="BC9" s="130"/>
      <c r="BD9" s="89" t="str">
        <f t="shared" si="3"/>
        <v>Hanák</v>
      </c>
      <c r="BE9" s="91">
        <f t="shared" ca="1" si="4"/>
        <v>2</v>
      </c>
      <c r="BF9" s="90" t="str">
        <f t="shared" si="5"/>
        <v>T</v>
      </c>
      <c r="BG9" s="89" t="str">
        <f t="shared" ca="1" si="6"/>
        <v>Hanák T.</v>
      </c>
      <c r="BH9" s="90">
        <f t="shared" ca="1" si="7"/>
        <v>1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36"/>
      <c r="BV9" s="104" t="str">
        <f t="shared" si="14"/>
        <v/>
      </c>
      <c r="BW9" s="112" t="str">
        <f t="shared" si="15"/>
        <v/>
      </c>
      <c r="BX9" s="335"/>
      <c r="BY9" s="103" t="s">
        <v>915</v>
      </c>
      <c r="BZ9" s="103" t="s">
        <v>905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716</v>
      </c>
      <c r="T10" s="102" t="s">
        <v>119</v>
      </c>
      <c r="U10" s="102">
        <v>5</v>
      </c>
      <c r="V10" s="102">
        <v>2</v>
      </c>
      <c r="W10" s="102">
        <v>0</v>
      </c>
      <c r="X10" s="102">
        <v>0</v>
      </c>
      <c r="Y10" s="102">
        <v>1</v>
      </c>
      <c r="Z10" s="102">
        <v>3</v>
      </c>
      <c r="AA10" s="102">
        <v>4</v>
      </c>
      <c r="AB10" s="102">
        <v>5</v>
      </c>
      <c r="AC10" s="102" t="str">
        <f t="shared" ca="1" si="0"/>
        <v>ANO</v>
      </c>
      <c r="AG10" s="121" t="s">
        <v>714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Hromada</v>
      </c>
      <c r="AX10" s="129" t="str">
        <f t="shared" ca="1" si="1"/>
        <v>5 OZ, 5 (3+2), +8 ±</v>
      </c>
      <c r="AY10" s="129" t="str">
        <f t="shared" ca="1" si="2"/>
        <v>5 OZ, 5 (3+2)</v>
      </c>
      <c r="AZ10" s="130"/>
      <c r="BA10" s="130"/>
      <c r="BB10" s="130"/>
      <c r="BC10" s="130"/>
      <c r="BD10" s="3" t="str">
        <f t="shared" si="3"/>
        <v>Hromada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36"/>
      <c r="BV10" s="104" t="str">
        <f t="shared" si="14"/>
        <v/>
      </c>
      <c r="BW10" s="112" t="str">
        <f t="shared" si="15"/>
        <v/>
      </c>
      <c r="BX10" s="335"/>
      <c r="BY10" s="103" t="s">
        <v>945</v>
      </c>
      <c r="BZ10" s="103" t="s">
        <v>967</v>
      </c>
      <c r="CA10" s="115" t="s">
        <v>205</v>
      </c>
    </row>
    <row r="11" spans="1:79" ht="15" customHeight="1" thickTop="1" thickBot="1" x14ac:dyDescent="0.25">
      <c r="R11" s="13"/>
      <c r="S11" s="110" t="s">
        <v>718</v>
      </c>
      <c r="T11" s="102" t="s">
        <v>64</v>
      </c>
      <c r="U11" s="102">
        <v>6</v>
      </c>
      <c r="V11" s="102">
        <v>1</v>
      </c>
      <c r="W11" s="102">
        <v>1</v>
      </c>
      <c r="X11" s="102">
        <v>0</v>
      </c>
      <c r="Y11" s="102">
        <v>2</v>
      </c>
      <c r="Z11" s="102">
        <v>3</v>
      </c>
      <c r="AA11" s="102">
        <v>0</v>
      </c>
      <c r="AB11" s="102">
        <v>4</v>
      </c>
      <c r="AC11" s="102" t="str">
        <f t="shared" ca="1" si="0"/>
        <v>ANO</v>
      </c>
      <c r="AG11" s="121" t="s">
        <v>732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Kopecký</v>
      </c>
      <c r="AX11" s="129" t="str">
        <f t="shared" ca="1" si="1"/>
        <v>6 OZ, 1 (1+0), -6 ±</v>
      </c>
      <c r="AY11" s="129" t="str">
        <f t="shared" ca="1" si="2"/>
        <v>6 OZ, 1 (1+0)</v>
      </c>
      <c r="AZ11" s="130"/>
      <c r="BA11" s="130"/>
      <c r="BB11" s="130"/>
      <c r="BC11" s="130"/>
      <c r="BD11" s="89" t="str">
        <f t="shared" si="3"/>
        <v>Kopecký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36"/>
      <c r="BV11" s="104" t="str">
        <f t="shared" si="14"/>
        <v/>
      </c>
      <c r="BW11" s="112" t="str">
        <f t="shared" si="15"/>
        <v/>
      </c>
      <c r="BX11" s="335"/>
      <c r="BY11" s="103" t="s">
        <v>1106</v>
      </c>
      <c r="BZ11" s="103" t="s">
        <v>911</v>
      </c>
      <c r="CA11" s="115" t="s">
        <v>205</v>
      </c>
    </row>
    <row r="12" spans="1:79" ht="15" customHeight="1" thickTop="1" thickBot="1" x14ac:dyDescent="0.25">
      <c r="A12" s="348"/>
      <c r="B12" s="349"/>
      <c r="C12" s="349"/>
      <c r="D12" s="34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82" t="s">
        <v>7</v>
      </c>
      <c r="I12" s="382"/>
      <c r="J12" s="382"/>
      <c r="K12" s="382"/>
      <c r="M12" s="348"/>
      <c r="N12" s="349"/>
      <c r="O12" s="349"/>
      <c r="P12" s="34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727</v>
      </c>
      <c r="T12" s="102" t="s">
        <v>119</v>
      </c>
      <c r="U12" s="102">
        <v>6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-8</v>
      </c>
      <c r="AC12" s="102" t="str">
        <f t="shared" ca="1" si="0"/>
        <v>ANO</v>
      </c>
      <c r="AG12" s="121" t="s">
        <v>730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Körber</v>
      </c>
      <c r="AX12" s="129" t="str">
        <f t="shared" ca="1" si="1"/>
        <v>1 V, 2 P</v>
      </c>
      <c r="AY12" s="129" t="str">
        <f t="shared" ca="1" si="2"/>
        <v>3 OZ, 0 A</v>
      </c>
      <c r="AZ12" s="130"/>
      <c r="BA12" s="130"/>
      <c r="BB12" s="130"/>
      <c r="BC12" s="130"/>
      <c r="BD12" s="3" t="str">
        <f t="shared" si="3"/>
        <v>Körber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36" t="s">
        <v>37</v>
      </c>
      <c r="BT12" s="104" t="s">
        <v>736</v>
      </c>
      <c r="BU12" s="103">
        <v>6</v>
      </c>
      <c r="BV12" s="104" t="str">
        <f t="shared" si="14"/>
        <v>Jakub Boček</v>
      </c>
      <c r="BW12" s="102">
        <f t="shared" si="15"/>
        <v>6</v>
      </c>
      <c r="BX12" s="120" t="s">
        <v>210</v>
      </c>
      <c r="BY12" s="100" t="s">
        <v>1209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1" t="str">
        <f ca="1">IFERROR(IF(VLOOKUP(A12,OFFSET($AG$2,,,COUNTIF($AG$2:$AG$50,"?*"),23),2,FALSE)&lt;&gt;0,YEAR(VLOOKUP(A12,OFFSET($AG$2,,,COUNTIF($AG$2:$AG$50,"?*"),23),2,FALSE)),""),"")</f>
        <v/>
      </c>
      <c r="C13" s="342"/>
      <c r="D13" s="117" t="str">
        <f ca="1">IFERROR(VLOOKUP(A12,OFFSET($AG$2,,,COUNTIF($AG$2:$AG$50,"?*"),23),15,FALSE),"")</f>
        <v/>
      </c>
      <c r="E13" s="343" t="str">
        <f ca="1">IFERROR(VLOOKUP(A12,OFFSET($AG$2,,,COUNTIF($AG$2:$AG$50,"?*"),23),16,FALSE),"")</f>
        <v/>
      </c>
      <c r="F13" s="344"/>
      <c r="M13" s="4" t="str">
        <f ca="1">IFERROR(IF(VLOOKUP(M12,OFFSET($AG$2,,,COUNTIF($AG$2:$AG$50,"?*"),23),10,FALSE)&lt;&gt;0,VLOOKUP(M12,OFFSET($AG$2,,,COUNTIF($AG$2:$AG$50,"?*"),23),10,FALSE),""),"")</f>
        <v/>
      </c>
      <c r="N13" s="341" t="str">
        <f ca="1">IFERROR(IF(VLOOKUP(M12,OFFSET($AG$2,,,COUNTIF($AG$2:$AG$50,"?*"),23),2,FALSE)&lt;&gt;0,YEAR(VLOOKUP(M12,OFFSET($AG$2,,,COUNTIF($AG$2:$AG$50,"?*"),23),2,FALSE)),""),"")</f>
        <v/>
      </c>
      <c r="O13" s="342"/>
      <c r="P13" s="117" t="str">
        <f ca="1">IFERROR(VLOOKUP(M12,OFFSET($AG$2,,,COUNTIF($AG$2:$AG$50,"?*"),23),15,FALSE),"")</f>
        <v/>
      </c>
      <c r="Q13" s="343" t="str">
        <f ca="1">IFERROR(VLOOKUP(M12,OFFSET($AG$2,,,COUNTIF($AG$2:$AG$50,"?*"),23),16,FALSE),"")</f>
        <v/>
      </c>
      <c r="R13" s="344"/>
      <c r="S13" s="110" t="s">
        <v>732</v>
      </c>
      <c r="T13" s="102" t="s">
        <v>119</v>
      </c>
      <c r="U13" s="102">
        <v>6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-6</v>
      </c>
      <c r="AC13" s="102" t="str">
        <f t="shared" ca="1" si="0"/>
        <v>ANO</v>
      </c>
      <c r="AG13" s="121" t="s">
        <v>731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Ludvík</v>
      </c>
      <c r="AX13" s="129" t="str">
        <f t="shared" ca="1" si="1"/>
        <v>6 OZ, 0 (0+0), -7 ±</v>
      </c>
      <c r="AY13" s="129" t="str">
        <f t="shared" ca="1" si="2"/>
        <v>6 OZ, 0 (0+0)</v>
      </c>
      <c r="AZ13" s="130"/>
      <c r="BA13" s="130"/>
      <c r="BB13" s="130"/>
      <c r="BC13" s="130"/>
      <c r="BD13" s="89" t="str">
        <f t="shared" si="3"/>
        <v>Ludvík</v>
      </c>
      <c r="BE13" s="91">
        <f t="shared" ca="1" si="4"/>
        <v>1</v>
      </c>
      <c r="BF13" s="90" t="str">
        <f t="shared" si="5"/>
        <v>D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36"/>
      <c r="BT13" s="104" t="s">
        <v>858</v>
      </c>
      <c r="BU13" s="103">
        <v>4</v>
      </c>
      <c r="BV13" s="104" t="str">
        <f t="shared" si="14"/>
        <v>Matěj Boček</v>
      </c>
      <c r="BW13" s="102">
        <f t="shared" si="15"/>
        <v>4</v>
      </c>
    </row>
    <row r="14" spans="1:79" ht="15" customHeight="1" thickTop="1" thickBot="1" x14ac:dyDescent="0.25">
      <c r="A14" s="377" t="str">
        <f ca="1">IFERROR(VLOOKUP(A12,OFFSET($AG$2,,,COUNTIF($AG$2:$AG$50,"?*"),23),18,FALSE),"")</f>
        <v/>
      </c>
      <c r="B14" s="378"/>
      <c r="C14" s="378"/>
      <c r="D14" s="379" t="str">
        <f ca="1">IFERROR(VLOOKUP(A12,OFFSET($AG$2,,,COUNTIF($AG$2:$AG$50,"?*"),23),19,FALSE),"")</f>
        <v/>
      </c>
      <c r="E14" s="379"/>
      <c r="F14" s="380"/>
      <c r="G14" s="348"/>
      <c r="H14" s="349"/>
      <c r="I14" s="349"/>
      <c r="J14" s="34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7" t="str">
        <f ca="1">IFERROR(VLOOKUP(M12,OFFSET($AG$2,,,COUNTIF($AG$2:$AG$50,"?*"),23),18,FALSE),"")</f>
        <v/>
      </c>
      <c r="N14" s="378"/>
      <c r="O14" s="378"/>
      <c r="P14" s="379" t="str">
        <f ca="1">IFERROR(VLOOKUP(M12,OFFSET($AG$2,,,COUNTIF($AG$2:$AG$50,"?*"),23),19,FALSE),"")</f>
        <v/>
      </c>
      <c r="Q14" s="379"/>
      <c r="R14" s="380"/>
      <c r="S14" s="110" t="s">
        <v>807</v>
      </c>
      <c r="T14" s="102" t="s">
        <v>119</v>
      </c>
      <c r="U14" s="102">
        <v>4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0</v>
      </c>
      <c r="AC14" s="102" t="str">
        <f t="shared" ca="1" si="0"/>
        <v>NE</v>
      </c>
      <c r="AG14" s="121" t="s">
        <v>728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Matiášek</v>
      </c>
      <c r="AX14" s="129" t="str">
        <f t="shared" ca="1" si="1"/>
        <v>2 V, 1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Matiášek</v>
      </c>
      <c r="BE14" s="84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36"/>
      <c r="BT14" s="104" t="s">
        <v>920</v>
      </c>
      <c r="BU14" s="103">
        <v>4</v>
      </c>
      <c r="BV14" s="104" t="str">
        <f t="shared" si="14"/>
        <v>Tomáš Hanák</v>
      </c>
      <c r="BW14" s="102">
        <f t="shared" si="15"/>
        <v>4</v>
      </c>
    </row>
    <row r="15" spans="1:79" ht="15" customHeight="1" thickBot="1" x14ac:dyDescent="0.25">
      <c r="A15" s="365" t="str">
        <f ca="1">IFERROR(IF(VLOOKUP(A12,OFFSET($AG$2,,,COUNTIF($AG$2:$AG$50,"?*"),23),13,FALSE)&lt;&gt;0,VLOOKUP(A12,OFFSET($AG$2,,,COUNTIF($AG$2:$AG$50,"?*"),23),13,FALSE),"?"),"")</f>
        <v/>
      </c>
      <c r="B15" s="366"/>
      <c r="C15" s="367"/>
      <c r="D15" s="368" t="str">
        <f ca="1">IFERROR(IF(VLOOKUP(A12,OFFSET($AG$2,,,COUNTIF($AG$2:$AG$50,"?*"),23),14,FALSE)&lt;&gt;0,VLOOKUP(A12,OFFSET($AG$2,,,COUNTIF($AG$2:$AG$50,"?*"),23),14,FALSE),"?"),"")</f>
        <v/>
      </c>
      <c r="E15" s="36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1" t="str">
        <f ca="1">IFERROR(IF(VLOOKUP(G14,OFFSET($AG$2,,,COUNTIF($AG$2:$AG$50,"?*"),23),2,FALSE)&lt;&gt;0,YEAR(VLOOKUP(G14,OFFSET($AG$2,,,COUNTIF($AG$2:$AG$50,"?*"),23),2,FALSE)),""),"")</f>
        <v/>
      </c>
      <c r="I15" s="342"/>
      <c r="J15" s="117" t="str">
        <f ca="1">IFERROR(VLOOKUP(G14,OFFSET($AG$2,,,COUNTIF($AG$2:$AG$50,"?*"),23),15,FALSE),"")</f>
        <v/>
      </c>
      <c r="K15" s="343" t="str">
        <f ca="1">IFERROR(VLOOKUP(G14,OFFSET($AG$2,,,COUNTIF($AG$2:$AG$50,"?*"),23),16,FALSE),"")</f>
        <v/>
      </c>
      <c r="L15" s="344"/>
      <c r="M15" s="365" t="str">
        <f ca="1">IFERROR(IF(VLOOKUP(M12,OFFSET($AG$2,,,COUNTIF($AG$2:$AG$50,"?*"),23),13,FALSE)&lt;&gt;0,VLOOKUP(M12,OFFSET($AG$2,,,COUNTIF($AG$2:$AG$50,"?*"),23),13,FALSE),"?"),"")</f>
        <v/>
      </c>
      <c r="N15" s="366"/>
      <c r="O15" s="367"/>
      <c r="P15" s="368" t="str">
        <f ca="1">IFERROR(IF(VLOOKUP(M12,OFFSET($AG$2,,,COUNTIF($AG$2:$AG$50,"?*"),23),14,FALSE)&lt;&gt;0,VLOOKUP(M12,OFFSET($AG$2,,,COUNTIF($AG$2:$AG$50,"?*"),23),14,FALSE),"?"),"")</f>
        <v/>
      </c>
      <c r="Q15" s="36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722</v>
      </c>
      <c r="T15" s="102" t="s">
        <v>119</v>
      </c>
      <c r="U15" s="102">
        <v>6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4</v>
      </c>
      <c r="AB15" s="102">
        <v>-8</v>
      </c>
      <c r="AC15" s="102" t="str">
        <f t="shared" ca="1" si="0"/>
        <v>ANO</v>
      </c>
      <c r="AG15" s="121" t="s">
        <v>729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Nachtmann</v>
      </c>
      <c r="AX15" s="129" t="str">
        <f t="shared" ca="1" si="1"/>
        <v>1 OZ, 0 (0+0), 0 ±</v>
      </c>
      <c r="AY15" s="129" t="str">
        <f t="shared" ca="1" si="2"/>
        <v>1 OZ, 0 (0+0)</v>
      </c>
      <c r="AZ15" s="130"/>
      <c r="BA15" s="130"/>
      <c r="BB15" s="130"/>
      <c r="BC15" s="130"/>
      <c r="BD15" s="89" t="str">
        <f t="shared" si="3"/>
        <v>Nachtmann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36"/>
      <c r="BT15" s="104" t="s">
        <v>804</v>
      </c>
      <c r="BU15" s="103">
        <v>3</v>
      </c>
      <c r="BV15" s="104" t="str">
        <f t="shared" si="14"/>
        <v>Jakub Hromada</v>
      </c>
      <c r="BW15" s="102">
        <f t="shared" si="15"/>
        <v>3</v>
      </c>
    </row>
    <row r="16" spans="1:79" ht="15" customHeight="1" thickTop="1" thickBot="1" x14ac:dyDescent="0.25">
      <c r="A16" s="8"/>
      <c r="B16" s="8"/>
      <c r="C16" s="8"/>
      <c r="D16" s="8"/>
      <c r="G16" s="377" t="str">
        <f ca="1">IFERROR(VLOOKUP(G14,OFFSET($AG$2,,,COUNTIF($AG$2:$AG$50,"?*"),23),18,FALSE),"")</f>
        <v/>
      </c>
      <c r="H16" s="378"/>
      <c r="I16" s="378"/>
      <c r="J16" s="379" t="str">
        <f ca="1">IFERROR(VLOOKUP(G14,OFFSET($AG$2,,,COUNTIF($AG$2:$AG$50,"?*"),23),19,FALSE),"")</f>
        <v/>
      </c>
      <c r="K16" s="379"/>
      <c r="L16" s="380"/>
      <c r="R16" s="13"/>
      <c r="S16" s="110" t="s">
        <v>726</v>
      </c>
      <c r="T16" s="102" t="s">
        <v>119</v>
      </c>
      <c r="U16" s="102">
        <v>6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4</v>
      </c>
      <c r="AB16" s="102">
        <v>12</v>
      </c>
      <c r="AC16" s="102" t="str">
        <f t="shared" ca="1" si="0"/>
        <v>ANO</v>
      </c>
      <c r="AG16" s="121" t="s">
        <v>726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Neklan</v>
      </c>
      <c r="AX16" s="129" t="str">
        <f t="shared" ca="1" si="1"/>
        <v>6 OZ, 1 (0+1), +12 ±</v>
      </c>
      <c r="AY16" s="129" t="str">
        <f t="shared" ca="1" si="2"/>
        <v>6 OZ, 1 (0+1)</v>
      </c>
      <c r="AZ16" s="130"/>
      <c r="BA16" s="130"/>
      <c r="BB16" s="130"/>
      <c r="BC16" s="130"/>
      <c r="BD16" s="3" t="str">
        <f t="shared" si="3"/>
        <v>Neklan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36"/>
      <c r="BT16" s="104" t="s">
        <v>921</v>
      </c>
      <c r="BU16" s="103">
        <v>3</v>
      </c>
      <c r="BV16" s="104" t="str">
        <f t="shared" si="14"/>
        <v>Jan Bauman</v>
      </c>
      <c r="BW16" s="102">
        <f t="shared" si="15"/>
        <v>3</v>
      </c>
    </row>
    <row r="17" spans="1:75" ht="15" customHeight="1" thickTop="1" thickBot="1" x14ac:dyDescent="0.25">
      <c r="A17" s="348"/>
      <c r="B17" s="349"/>
      <c r="C17" s="349"/>
      <c r="D17" s="34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5" t="str">
        <f ca="1">IFERROR(IF(VLOOKUP(G14,OFFSET($AG$2,,,COUNTIF($AG$2:$AG$50,"?*"),23),13,FALSE)&lt;&gt;0,VLOOKUP(G14,OFFSET($AG$2,,,COUNTIF($AG$2:$AG$50,"?*"),23),13,FALSE),"?"),"")</f>
        <v/>
      </c>
      <c r="H17" s="366"/>
      <c r="I17" s="367"/>
      <c r="J17" s="368" t="str">
        <f ca="1">IFERROR(IF(VLOOKUP(G14,OFFSET($AG$2,,,COUNTIF($AG$2:$AG$50,"?*"),23),14,FALSE)&lt;&gt;0,VLOOKUP(G14,OFFSET($AG$2,,,COUNTIF($AG$2:$AG$50,"?*"),23),14,FALSE),"?"),"")</f>
        <v/>
      </c>
      <c r="K17" s="369"/>
      <c r="L17" s="7" t="str">
        <f ca="1">IFERROR(IF(VLOOKUP(G14,OFFSET($AG$2,,,COUNTIF($AG$2:$AG$50,"?*"),23),7,FALSE)&lt;&gt;0,VLOOKUP(G14,OFFSET($AG$2,,,COUNTIF($AG$2:$AG$50,"?*"),23),7,FALSE),"?"),"")</f>
        <v/>
      </c>
      <c r="M17" s="348"/>
      <c r="N17" s="349"/>
      <c r="O17" s="349"/>
      <c r="P17" s="34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729</v>
      </c>
      <c r="T17" s="102" t="s">
        <v>119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722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6 OZ, 1 (0+1), -8 ±</v>
      </c>
      <c r="AY17" s="129" t="str">
        <f t="shared" ca="1" si="2"/>
        <v>6 OZ, 1 (0+1)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36" t="s">
        <v>41</v>
      </c>
      <c r="BT17" s="104" t="s">
        <v>734</v>
      </c>
      <c r="BU17" s="103">
        <v>2</v>
      </c>
      <c r="BV17" s="104" t="str">
        <f t="shared" si="14"/>
        <v>Ondřej Matiášek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1" t="str">
        <f ca="1">IFERROR(IF(VLOOKUP(A17,OFFSET($AG$2,,,COUNTIF($AG$2:$AG$50,"?*"),23),2,FALSE)&lt;&gt;0,YEAR(VLOOKUP(A17,OFFSET($AG$2,,,COUNTIF($AG$2:$AG$50,"?*"),23),2,FALSE)),""),"")</f>
        <v/>
      </c>
      <c r="C18" s="342"/>
      <c r="D18" s="150" t="str">
        <f ca="1">IFERROR(VLOOKUP(A17,OFFSET($AG$2,,,COUNTIF($AG$2:$AG$50,"?*"),23),15,FALSE),"")</f>
        <v/>
      </c>
      <c r="E18" s="343" t="str">
        <f ca="1">IFERROR(VLOOKUP(A17,OFFSET($AG$2,,,COUNTIF($AG$2:$AG$50,"?*"),23),16,FALSE),"")</f>
        <v/>
      </c>
      <c r="F18" s="344"/>
      <c r="M18" s="4" t="str">
        <f ca="1">IFERROR(IF(VLOOKUP(M17,OFFSET($AG$2,,,COUNTIF($AG$2:$AG$50,"?*"),23),10,FALSE)&lt;&gt;0,VLOOKUP(M17,OFFSET($AG$2,,,COUNTIF($AG$2:$AG$50,"?*"),23),10,FALSE),""),"")</f>
        <v/>
      </c>
      <c r="N18" s="341" t="str">
        <f ca="1">IFERROR(IF(VLOOKUP(M17,OFFSET($AG$2,,,COUNTIF($AG$2:$AG$50,"?*"),23),2,FALSE)&lt;&gt;0,YEAR(VLOOKUP(M17,OFFSET($AG$2,,,COUNTIF($AG$2:$AG$50,"?*"),23),2,FALSE)),""),"")</f>
        <v/>
      </c>
      <c r="O18" s="342"/>
      <c r="P18" s="117" t="str">
        <f ca="1">IFERROR(VLOOKUP(M17,OFFSET($AG$2,,,COUNTIF($AG$2:$AG$50,"?*"),23),15,FALSE),"")</f>
        <v/>
      </c>
      <c r="Q18" s="343" t="str">
        <f ca="1">IFERROR(VLOOKUP(M17,OFFSET($AG$2,,,COUNTIF($AG$2:$AG$50,"?*"),23),16,FALSE),"")</f>
        <v/>
      </c>
      <c r="R18" s="344"/>
      <c r="S18" s="110" t="s">
        <v>724</v>
      </c>
      <c r="T18" s="102" t="s">
        <v>64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723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Obuškevič</v>
      </c>
      <c r="AX18" s="129" t="str">
        <f t="shared" ca="1" si="1"/>
        <v>6 OZ, 5 (2+3), +11 ±</v>
      </c>
      <c r="AY18" s="129" t="str">
        <f t="shared" ca="1" si="2"/>
        <v>6 OZ, 5 (2+3)</v>
      </c>
      <c r="AZ18" s="130"/>
      <c r="BA18" s="130"/>
      <c r="BB18" s="130"/>
      <c r="BC18" s="130"/>
      <c r="BD18" s="3" t="str">
        <f t="shared" si="3"/>
        <v>Obuškevič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36"/>
      <c r="BT18" s="104" t="s">
        <v>735</v>
      </c>
      <c r="BU18" s="103">
        <v>1</v>
      </c>
      <c r="BV18" s="104" t="str">
        <f t="shared" si="14"/>
        <v>Daniel Körber</v>
      </c>
      <c r="BW18" s="102">
        <f t="shared" si="15"/>
        <v>1</v>
      </c>
    </row>
    <row r="19" spans="1:75" ht="15" customHeight="1" x14ac:dyDescent="0.2">
      <c r="A19" s="377" t="str">
        <f ca="1">IFERROR(VLOOKUP(A17,OFFSET($AG$2,,,COUNTIF($AG$2:$AG$50,"?*"),23),18,FALSE),"")</f>
        <v/>
      </c>
      <c r="B19" s="378"/>
      <c r="C19" s="378"/>
      <c r="D19" s="379" t="str">
        <f ca="1">IFERROR(VLOOKUP(A17,OFFSET($AG$2,,,COUNTIF($AG$2:$AG$50,"?*"),23),19,FALSE),"")</f>
        <v/>
      </c>
      <c r="E19" s="379"/>
      <c r="F19" s="380"/>
      <c r="H19" s="381" t="str">
        <f>H$8</f>
        <v>BA</v>
      </c>
      <c r="I19" s="381"/>
      <c r="J19" s="381"/>
      <c r="K19" s="381"/>
      <c r="M19" s="377" t="str">
        <f ca="1">IFERROR(VLOOKUP(M17,OFFSET($AG$2,,,COUNTIF($AG$2:$AG$50,"?*"),23),18,FALSE),"")</f>
        <v/>
      </c>
      <c r="N19" s="378"/>
      <c r="O19" s="378"/>
      <c r="P19" s="379" t="str">
        <f ca="1">IFERROR(VLOOKUP(M17,OFFSET($AG$2,,,COUNTIF($AG$2:$AG$50,"?*"),23),19,FALSE),"")</f>
        <v/>
      </c>
      <c r="Q19" s="379"/>
      <c r="R19" s="380"/>
      <c r="S19" s="110" t="s">
        <v>733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ANO</v>
      </c>
      <c r="AG19" s="121" t="s">
        <v>725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Renčín</v>
      </c>
      <c r="AX19" s="129" t="str">
        <f t="shared" ca="1" si="1"/>
        <v>6 OZ, 4 (2+2), -1 ±</v>
      </c>
      <c r="AY19" s="129" t="str">
        <f t="shared" ca="1" si="2"/>
        <v>6 OZ, 4 (2+2)</v>
      </c>
      <c r="AZ19" s="130"/>
      <c r="BA19" s="130"/>
      <c r="BB19" s="130"/>
      <c r="BC19" s="130"/>
      <c r="BD19" s="89" t="str">
        <f t="shared" si="3"/>
        <v>Renčín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36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65" t="str">
        <f ca="1">IFERROR(IF(VLOOKUP(A17,OFFSET($AG$2,,,COUNTIF($AG$2:$AG$50,"?*"),23),13,FALSE)&lt;&gt;0,VLOOKUP(A17,OFFSET($AG$2,,,COUNTIF($AG$2:$AG$50,"?*"),23),13,FALSE),"?"),"")</f>
        <v/>
      </c>
      <c r="B20" s="366"/>
      <c r="C20" s="367"/>
      <c r="D20" s="368" t="str">
        <f ca="1">IFERROR(IF(VLOOKUP(A17,OFFSET($AG$2,,,COUNTIF($AG$2:$AG$50,"?*"),23),14,FALSE)&lt;&gt;0,VLOOKUP(A17,OFFSET($AG$2,,,COUNTIF($AG$2:$AG$50,"?*"),23),14,FALSE),"?"),"")</f>
        <v/>
      </c>
      <c r="E20" s="369"/>
      <c r="F20" s="7" t="str">
        <f ca="1">IFERROR(IF(VLOOKUP(A17,OFFSET($AG$2,,,COUNTIF($AG$2:$AG$50,"?*"),23),7,FALSE)&lt;&gt;0,VLOOKUP(A17,OFFSET($AG$2,,,COUNTIF($AG$2:$AG$50,"?*"),23),7,FALSE),"?"),"")</f>
        <v/>
      </c>
      <c r="H20" s="381"/>
      <c r="I20" s="381"/>
      <c r="J20" s="381"/>
      <c r="K20" s="381"/>
      <c r="M20" s="365" t="str">
        <f ca="1">IFERROR(IF(VLOOKUP(M17,OFFSET($AG$2,,,COUNTIF($AG$2:$AG$50,"?*"),23),13,FALSE)&lt;&gt;0,VLOOKUP(M17,OFFSET($AG$2,,,COUNTIF($AG$2:$AG$50,"?*"),23),13,FALSE),"?"),"")</f>
        <v/>
      </c>
      <c r="N20" s="366"/>
      <c r="O20" s="367"/>
      <c r="P20" s="368" t="str">
        <f ca="1">IFERROR(IF(VLOOKUP(M17,OFFSET($AG$2,,,COUNTIF($AG$2:$AG$50,"?*"),23),14,FALSE)&lt;&gt;0,VLOOKUP(M17,OFFSET($AG$2,,,COUNTIF($AG$2:$AG$50,"?*"),23),14,FALSE),"?"),"")</f>
        <v/>
      </c>
      <c r="Q20" s="36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805</v>
      </c>
      <c r="U20" s="102">
        <v>4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-2</v>
      </c>
      <c r="AC20" s="102" t="str">
        <f t="shared" ca="1" si="0"/>
        <v>NE</v>
      </c>
      <c r="AG20" s="121" t="s">
        <v>724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Straka</v>
      </c>
      <c r="AX20" s="129" t="str">
        <f t="shared" ca="1" si="1"/>
        <v>3 OZ, 0 (0+0), 0 ±</v>
      </c>
      <c r="AY20" s="129" t="str">
        <f t="shared" ca="1" si="2"/>
        <v>3 OZ, 0 (0+0)</v>
      </c>
      <c r="AZ20" s="130"/>
      <c r="BA20" s="130"/>
      <c r="BB20" s="130"/>
      <c r="BC20" s="130"/>
      <c r="BD20" s="3" t="str">
        <f t="shared" si="3"/>
        <v>Straka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36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806</v>
      </c>
      <c r="T21" s="102" t="s">
        <v>119</v>
      </c>
      <c r="U21" s="102">
        <v>4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-3</v>
      </c>
      <c r="AC21" s="102" t="str">
        <f ca="1">IF(S21&lt;&gt;"",IFERROR(IF(VLOOKUP(S21,OFFSET($AG$2,,,COUNTIF($AG$2:$AG$50,"?*")),1,FALSE)&lt;&gt;0,"ANO","NE"),"NE"),"")</f>
        <v>NE</v>
      </c>
      <c r="AG21" s="121" t="s">
        <v>733</v>
      </c>
      <c r="AH21" s="122"/>
      <c r="AI21" s="123"/>
      <c r="AJ21" s="123"/>
      <c r="AK21" s="123"/>
      <c r="AL21" s="124">
        <f>IF(AG21&lt;&gt;"",AJ21+AK21,"")</f>
        <v>0</v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Svatoš</v>
      </c>
      <c r="AX21" s="129" t="str">
        <f t="shared" ca="1" si="1"/>
        <v>4 OZ, 0 (0+0), -1 ±</v>
      </c>
      <c r="AY21" s="129" t="str">
        <f t="shared" ca="1" si="2"/>
        <v>4 OZ, 0 (0+0)</v>
      </c>
      <c r="AZ21" s="130"/>
      <c r="BA21" s="130"/>
      <c r="BB21" s="130"/>
      <c r="BC21" s="130"/>
      <c r="BD21" s="89" t="str">
        <f t="shared" si="3"/>
        <v>Svatoš</v>
      </c>
      <c r="BE21" s="91">
        <f t="shared" ca="1" si="4"/>
        <v>1</v>
      </c>
      <c r="BF21" s="90" t="str">
        <f t="shared" si="5"/>
        <v>A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36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731</v>
      </c>
      <c r="T22" s="102" t="s">
        <v>119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-7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/>
      <c r="AH22" s="122"/>
      <c r="AI22" s="123"/>
      <c r="AJ22" s="123"/>
      <c r="AK22" s="123"/>
      <c r="AL22" s="124" t="str">
        <f t="shared" ref="AL22:AL50" si="17">IF(AG22&lt;&gt;"",AJ22+AK22,"")</f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ref="AU22:AU33" ca="1" si="18">IF(AG22&lt;&gt;"",IF(AH22&lt;&gt;"",INT((TODAY()-AH22)/365),"?"),"")</f>
        <v/>
      </c>
      <c r="AV22" s="127" t="str">
        <f t="shared" ref="AV22:AV33" si="19">IF(AG22&lt;&gt;"",CONCATENATE(IF(AQ22&lt;&gt;"",AQ22,"? "),"/",IF(AR22&lt;&gt;"",AR22," ?")),"")</f>
        <v/>
      </c>
      <c r="AW22" s="128" t="str">
        <f t="shared" ref="AW22:AW33" si="20">IF(AG22&lt;&gt;"",IF(BE22=1,BD22,IF(BH22=1,BG22,IF(BJ22=1,BI22,IF(BL22=1,BK22,BM22)))),"")</f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336" t="s">
        <v>38</v>
      </c>
      <c r="BT22" s="104" t="s">
        <v>736</v>
      </c>
      <c r="BU22" s="103">
        <v>4</v>
      </c>
      <c r="BV22" s="104" t="str">
        <f t="shared" si="14"/>
        <v>Jakub Boček</v>
      </c>
      <c r="BW22" s="102">
        <f t="shared" si="15"/>
        <v>4</v>
      </c>
    </row>
    <row r="23" spans="1:75" ht="15" customHeight="1" thickTop="1" thickBot="1" x14ac:dyDescent="0.25">
      <c r="A23" s="348"/>
      <c r="B23" s="349"/>
      <c r="C23" s="349"/>
      <c r="D23" s="34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82" t="s">
        <v>13</v>
      </c>
      <c r="I23" s="382"/>
      <c r="J23" s="382"/>
      <c r="K23" s="382"/>
      <c r="M23" s="348"/>
      <c r="N23" s="349"/>
      <c r="O23" s="349"/>
      <c r="P23" s="34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730</v>
      </c>
      <c r="T23" s="102" t="s">
        <v>117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16"/>
        <v>ANO</v>
      </c>
      <c r="AG23" s="121"/>
      <c r="AH23" s="122"/>
      <c r="AI23" s="123"/>
      <c r="AJ23" s="123"/>
      <c r="AK23" s="123"/>
      <c r="AL23" s="124" t="str">
        <f t="shared" si="17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8"/>
        <v/>
      </c>
      <c r="AV23" s="127" t="str">
        <f t="shared" si="19"/>
        <v/>
      </c>
      <c r="AW23" s="128" t="str">
        <f t="shared" si="20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9"/>
        <v/>
      </c>
      <c r="BK23" s="89" t="str">
        <f t="shared" ca="1" si="10"/>
        <v/>
      </c>
      <c r="BL23" s="90" t="str">
        <f t="shared" ca="1" si="11"/>
        <v/>
      </c>
      <c r="BM23" s="89" t="str">
        <f t="shared" ca="1" si="12"/>
        <v/>
      </c>
      <c r="BN23" s="8"/>
      <c r="BS23" s="336"/>
      <c r="BT23" s="104" t="s">
        <v>858</v>
      </c>
      <c r="BU23" s="103">
        <v>4</v>
      </c>
      <c r="BV23" s="104" t="str">
        <f t="shared" si="14"/>
        <v>Matěj Boček</v>
      </c>
      <c r="BW23" s="102">
        <f t="shared" si="15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1" t="str">
        <f ca="1">IFERROR(IF(VLOOKUP(A23,OFFSET($AG$2,,,COUNTIF($AG$2:$AG$50,"?*"),23),2,FALSE)&lt;&gt;0,YEAR(VLOOKUP(A23,OFFSET($AG$2,,,COUNTIF($AG$2:$AG$50,"?*"),23),2,FALSE)),""),"")</f>
        <v/>
      </c>
      <c r="C24" s="342"/>
      <c r="D24" s="117" t="str">
        <f ca="1">IFERROR(VLOOKUP(A23,OFFSET($AG$2,,,COUNTIF($AG$2:$AG$50,"?*"),23),15,FALSE),"")</f>
        <v/>
      </c>
      <c r="E24" s="343" t="str">
        <f ca="1">IFERROR(VLOOKUP(A23,OFFSET($AG$2,,,COUNTIF($AG$2:$AG$50,"?*"),23),16,FALSE),"")</f>
        <v/>
      </c>
      <c r="F24" s="344"/>
      <c r="M24" s="4" t="str">
        <f ca="1">IFERROR(IF(VLOOKUP(M23,OFFSET($AG$2,,,COUNTIF($AG$2:$AG$50,"?*"),23),10,FALSE)&lt;&gt;0,VLOOKUP(M23,OFFSET($AG$2,,,COUNTIF($AG$2:$AG$50,"?*"),23),10,FALSE),""),"")</f>
        <v/>
      </c>
      <c r="N24" s="341" t="str">
        <f ca="1">IFERROR(IF(VLOOKUP(M23,OFFSET($AG$2,,,COUNTIF($AG$2:$AG$50,"?*"),23),2,FALSE)&lt;&gt;0,YEAR(VLOOKUP(M23,OFFSET($AG$2,,,COUNTIF($AG$2:$AG$50,"?*"),23),2,FALSE)),""),"")</f>
        <v/>
      </c>
      <c r="O24" s="342"/>
      <c r="P24" s="117" t="str">
        <f ca="1">IFERROR(VLOOKUP(M23,OFFSET($AG$2,,,COUNTIF($AG$2:$AG$50,"?*"),23),15,FALSE),"")</f>
        <v/>
      </c>
      <c r="Q24" s="343" t="str">
        <f ca="1">IFERROR(VLOOKUP(M23,OFFSET($AG$2,,,COUNTIF($AG$2:$AG$50,"?*"),23),16,FALSE),"")</f>
        <v/>
      </c>
      <c r="R24" s="344"/>
      <c r="S24" s="110" t="s">
        <v>728</v>
      </c>
      <c r="T24" s="102" t="s">
        <v>117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16"/>
        <v>ANO</v>
      </c>
      <c r="AG24" s="121"/>
      <c r="AH24" s="122"/>
      <c r="AI24" s="123"/>
      <c r="AJ24" s="123"/>
      <c r="AK24" s="123"/>
      <c r="AL24" s="124" t="str">
        <f t="shared" si="17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ca="1" si="18"/>
        <v/>
      </c>
      <c r="AV24" s="127" t="str">
        <f t="shared" si="19"/>
        <v/>
      </c>
      <c r="AW24" s="128" t="str">
        <f t="shared" si="20"/>
        <v/>
      </c>
      <c r="AX24" s="129" t="str">
        <f t="shared" ca="1" si="1"/>
        <v/>
      </c>
      <c r="AY24" s="129" t="str">
        <f t="shared" ca="1" si="2"/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336"/>
      <c r="BT24" s="104" t="s">
        <v>917</v>
      </c>
      <c r="BU24" s="103">
        <v>4</v>
      </c>
      <c r="BV24" s="104" t="str">
        <f t="shared" si="14"/>
        <v>Radek Hanák</v>
      </c>
      <c r="BW24" s="102">
        <f t="shared" si="15"/>
        <v>4</v>
      </c>
    </row>
    <row r="25" spans="1:75" ht="15" customHeight="1" thickTop="1" thickBot="1" x14ac:dyDescent="0.25">
      <c r="A25" s="377" t="str">
        <f ca="1">IFERROR(VLOOKUP(A23,OFFSET($AG$2,,,COUNTIF($AG$2:$AG$50,"?*"),23),18,FALSE),"")</f>
        <v/>
      </c>
      <c r="B25" s="378"/>
      <c r="C25" s="378"/>
      <c r="D25" s="379" t="str">
        <f ca="1">IFERROR(VLOOKUP(A23,OFFSET($AG$2,,,COUNTIF($AG$2:$AG$50,"?*"),23),19,FALSE),"")</f>
        <v/>
      </c>
      <c r="E25" s="379"/>
      <c r="F25" s="380"/>
      <c r="G25" s="348"/>
      <c r="H25" s="349"/>
      <c r="I25" s="349"/>
      <c r="J25" s="34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7" t="str">
        <f ca="1">IFERROR(VLOOKUP(M23,OFFSET($AG$2,,,COUNTIF($AG$2:$AG$50,"?*"),23),18,FALSE),"")</f>
        <v/>
      </c>
      <c r="N25" s="378"/>
      <c r="O25" s="378"/>
      <c r="P25" s="379" t="str">
        <f ca="1">IFERROR(VLOOKUP(M23,OFFSET($AG$2,,,COUNTIF($AG$2:$AG$50,"?*"),23),19,FALSE),"")</f>
        <v/>
      </c>
      <c r="Q25" s="379"/>
      <c r="R25" s="380"/>
      <c r="S25" s="111"/>
      <c r="AC25" s="102" t="str">
        <f t="shared" ca="1" si="16"/>
        <v/>
      </c>
      <c r="AG25" s="121"/>
      <c r="AH25" s="122"/>
      <c r="AI25" s="123"/>
      <c r="AJ25" s="123"/>
      <c r="AK25" s="123"/>
      <c r="AL25" s="124" t="str">
        <f t="shared" si="17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8"/>
        <v/>
      </c>
      <c r="AV25" s="127" t="str">
        <f t="shared" si="19"/>
        <v/>
      </c>
      <c r="AW25" s="128" t="str">
        <f t="shared" si="20"/>
        <v/>
      </c>
      <c r="AX25" s="129" t="str">
        <f t="shared" ca="1" si="1"/>
        <v/>
      </c>
      <c r="AY25" s="129" t="str">
        <f t="shared" ca="1" si="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9"/>
        <v/>
      </c>
      <c r="BK25" s="89" t="str">
        <f t="shared" ca="1" si="10"/>
        <v/>
      </c>
      <c r="BL25" s="90" t="str">
        <f t="shared" ca="1" si="11"/>
        <v/>
      </c>
      <c r="BM25" s="89" t="str">
        <f t="shared" ca="1" si="12"/>
        <v/>
      </c>
      <c r="BN25" s="8"/>
      <c r="BS25" s="336"/>
      <c r="BT25" s="104" t="s">
        <v>1211</v>
      </c>
      <c r="BU25" s="103">
        <v>3</v>
      </c>
      <c r="BV25" s="104" t="str">
        <f t="shared" si="14"/>
        <v>Martin Obuškevič</v>
      </c>
      <c r="BW25" s="102">
        <f t="shared" si="15"/>
        <v>3</v>
      </c>
    </row>
    <row r="26" spans="1:75" ht="15" customHeight="1" thickBot="1" x14ac:dyDescent="0.25">
      <c r="A26" s="365" t="str">
        <f ca="1">IFERROR(IF(VLOOKUP(A23,OFFSET($AG$2,,,COUNTIF($AG$2:$AG$50,"?*"),23),13,FALSE)&lt;&gt;0,VLOOKUP(A23,OFFSET($AG$2,,,COUNTIF($AG$2:$AG$50,"?*"),23),13,FALSE),"?"),"")</f>
        <v/>
      </c>
      <c r="B26" s="366"/>
      <c r="C26" s="367"/>
      <c r="D26" s="368" t="str">
        <f ca="1">IFERROR(IF(VLOOKUP(A23,OFFSET($AG$2,,,COUNTIF($AG$2:$AG$50,"?*"),23),14,FALSE)&lt;&gt;0,VLOOKUP(A23,OFFSET($AG$2,,,COUNTIF($AG$2:$AG$50,"?*"),23),14,FALSE),"?"),"")</f>
        <v/>
      </c>
      <c r="E26" s="36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1" t="str">
        <f ca="1">IFERROR(IF(VLOOKUP(G25,OFFSET($AG$2,,,COUNTIF($AG$2:$AG$50,"?*"),23),2,FALSE)&lt;&gt;0,YEAR(VLOOKUP(G25,OFFSET($AG$2,,,COUNTIF($AG$2:$AG$50,"?*"),23),2,FALSE)),""),"")</f>
        <v/>
      </c>
      <c r="I26" s="342"/>
      <c r="J26" s="117" t="str">
        <f ca="1">IFERROR(VLOOKUP(G25,OFFSET($AG$2,,,COUNTIF($AG$2:$AG$50,"?*"),23),15,FALSE),"")</f>
        <v/>
      </c>
      <c r="K26" s="343" t="str">
        <f ca="1">IFERROR(VLOOKUP(G25,OFFSET($AG$2,,,COUNTIF($AG$2:$AG$50,"?*"),23),16,FALSE),"")</f>
        <v/>
      </c>
      <c r="L26" s="344"/>
      <c r="M26" s="365" t="str">
        <f ca="1">IFERROR(IF(VLOOKUP(M23,OFFSET($AG$2,,,COUNTIF($AG$2:$AG$50,"?*"),23),13,FALSE)&lt;&gt;0,VLOOKUP(M23,OFFSET($AG$2,,,COUNTIF($AG$2:$AG$50,"?*"),23),13,FALSE),"?"),"")</f>
        <v/>
      </c>
      <c r="N26" s="366"/>
      <c r="O26" s="367"/>
      <c r="P26" s="368" t="str">
        <f ca="1">IFERROR(IF(VLOOKUP(M23,OFFSET($AG$2,,,COUNTIF($AG$2:$AG$50,"?*"),23),14,FALSE)&lt;&gt;0,VLOOKUP(M23,OFFSET($AG$2,,,COUNTIF($AG$2:$AG$50,"?*"),23),14,FALSE),"?"),"")</f>
        <v/>
      </c>
      <c r="Q26" s="369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16"/>
        <v/>
      </c>
      <c r="AG26" s="121"/>
      <c r="AH26" s="122"/>
      <c r="AI26" s="123"/>
      <c r="AJ26" s="123"/>
      <c r="AK26" s="123"/>
      <c r="AL26" s="124" t="str">
        <f t="shared" si="17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8"/>
        <v/>
      </c>
      <c r="AV26" s="127" t="str">
        <f t="shared" si="19"/>
        <v/>
      </c>
      <c r="AW26" s="128" t="str">
        <f t="shared" si="20"/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336"/>
      <c r="BT26" s="104" t="s">
        <v>1212</v>
      </c>
      <c r="BU26" s="103">
        <v>2</v>
      </c>
      <c r="BV26" s="104" t="str">
        <f t="shared" si="14"/>
        <v>Adam Bouček</v>
      </c>
      <c r="BW26" s="102">
        <f t="shared" si="15"/>
        <v>2</v>
      </c>
    </row>
    <row r="27" spans="1:75" ht="15" customHeight="1" thickTop="1" thickBot="1" x14ac:dyDescent="0.25">
      <c r="A27" s="8"/>
      <c r="B27" s="8"/>
      <c r="C27" s="8"/>
      <c r="D27" s="8"/>
      <c r="G27" s="377" t="str">
        <f ca="1">IFERROR(VLOOKUP(G25,OFFSET($AG$2,,,COUNTIF($AG$2:$AG$50,"?*"),23),18,FALSE),"")</f>
        <v/>
      </c>
      <c r="H27" s="378"/>
      <c r="I27" s="378"/>
      <c r="J27" s="379" t="str">
        <f ca="1">IFERROR(VLOOKUP(G25,OFFSET($AG$2,,,COUNTIF($AG$2:$AG$50,"?*"),23),19,FALSE),"")</f>
        <v/>
      </c>
      <c r="K27" s="379"/>
      <c r="L27" s="380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4" t="str">
        <f t="shared" si="17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8"/>
        <v/>
      </c>
      <c r="AV27" s="127" t="str">
        <f t="shared" si="19"/>
        <v/>
      </c>
      <c r="AW27" s="128" t="str">
        <f t="shared" si="20"/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336" t="s">
        <v>39</v>
      </c>
      <c r="BT27" s="104" t="s">
        <v>922</v>
      </c>
      <c r="BU27" s="103">
        <v>4</v>
      </c>
      <c r="BV27" s="104" t="str">
        <f t="shared" si="14"/>
        <v>Filip Neklan</v>
      </c>
      <c r="BW27" s="102">
        <f t="shared" si="15"/>
        <v>4</v>
      </c>
    </row>
    <row r="28" spans="1:75" ht="15" customHeight="1" thickTop="1" thickBot="1" x14ac:dyDescent="0.25">
      <c r="A28" s="348"/>
      <c r="B28" s="349"/>
      <c r="C28" s="349"/>
      <c r="D28" s="34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5" t="str">
        <f ca="1">IFERROR(IF(VLOOKUP(G25,OFFSET($AG$2,,,COUNTIF($AG$2:$AG$50,"?*"),23),13,FALSE)&lt;&gt;0,VLOOKUP(G25,OFFSET($AG$2,,,COUNTIF($AG$2:$AG$50,"?*"),23),13,FALSE),"?"),"")</f>
        <v/>
      </c>
      <c r="H28" s="366"/>
      <c r="I28" s="367"/>
      <c r="J28" s="368" t="str">
        <f ca="1">IFERROR(IF(VLOOKUP(G25,OFFSET($AG$2,,,COUNTIF($AG$2:$AG$50,"?*"),23),14,FALSE)&lt;&gt;0,VLOOKUP(G25,OFFSET($AG$2,,,COUNTIF($AG$2:$AG$50,"?*"),23),14,FALSE),"?"),"")</f>
        <v/>
      </c>
      <c r="K28" s="369"/>
      <c r="L28" s="7" t="str">
        <f ca="1">IFERROR(IF(VLOOKUP(G25,OFFSET($AG$2,,,COUNTIF($AG$2:$AG$50,"?*"),23),7,FALSE)&lt;&gt;0,VLOOKUP(G25,OFFSET($AG$2,,,COUNTIF($AG$2:$AG$50,"?*"),23),7,FALSE),"?"),"")</f>
        <v/>
      </c>
      <c r="M28" s="348"/>
      <c r="N28" s="349"/>
      <c r="O28" s="349"/>
      <c r="P28" s="34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336"/>
      <c r="BT28" s="104" t="s">
        <v>923</v>
      </c>
      <c r="BU28" s="103">
        <v>4</v>
      </c>
      <c r="BV28" s="104" t="str">
        <f t="shared" si="14"/>
        <v>Jakub Boček</v>
      </c>
      <c r="BW28" s="102">
        <f t="shared" si="15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1" t="str">
        <f ca="1">IFERROR(IF(VLOOKUP(A28,OFFSET($AG$2,,,COUNTIF($AG$2:$AG$50,"?*"),23),2,FALSE)&lt;&gt;0,YEAR(VLOOKUP(A28,OFFSET($AG$2,,,COUNTIF($AG$2:$AG$50,"?*"),23),2,FALSE)),""),"")</f>
        <v/>
      </c>
      <c r="C29" s="342"/>
      <c r="D29" s="117" t="str">
        <f ca="1">IFERROR(VLOOKUP(A28,OFFSET($AG$2,,,COUNTIF($AG$2:$AG$50,"?*"),23),15,FALSE),"")</f>
        <v/>
      </c>
      <c r="E29" s="343" t="str">
        <f ca="1">IFERROR(VLOOKUP(A28,OFFSET($AG$2,,,COUNTIF($AG$2:$AG$50,"?*"),23),16,FALSE),"")</f>
        <v/>
      </c>
      <c r="F29" s="344"/>
      <c r="M29" s="4" t="str">
        <f ca="1">IFERROR(IF(VLOOKUP(M28,OFFSET($AG$2,,,COUNTIF($AG$2:$AG$50,"?*"),23),10,FALSE)&lt;&gt;0,VLOOKUP(M28,OFFSET($AG$2,,,COUNTIF($AG$2:$AG$50,"?*"),23),10,FALSE),""),"")</f>
        <v/>
      </c>
      <c r="N29" s="341" t="str">
        <f ca="1">IFERROR(IF(VLOOKUP(M28,OFFSET($AG$2,,,COUNTIF($AG$2:$AG$50,"?*"),23),2,FALSE)&lt;&gt;0,YEAR(VLOOKUP(M28,OFFSET($AG$2,,,COUNTIF($AG$2:$AG$50,"?*"),23),2,FALSE)),""),"")</f>
        <v/>
      </c>
      <c r="O29" s="342"/>
      <c r="P29" s="117" t="str">
        <f ca="1">IFERROR(VLOOKUP(M28,OFFSET($AG$2,,,COUNTIF($AG$2:$AG$50,"?*"),23),15,FALSE),"")</f>
        <v/>
      </c>
      <c r="Q29" s="343" t="str">
        <f ca="1">IFERROR(VLOOKUP(M28,OFFSET($AG$2,,,COUNTIF($AG$2:$AG$50,"?*"),23),16,FALSE),"")</f>
        <v/>
      </c>
      <c r="R29" s="344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336"/>
      <c r="BT29" s="104" t="s">
        <v>924</v>
      </c>
      <c r="BU29" s="103">
        <v>4</v>
      </c>
      <c r="BV29" s="104" t="str">
        <f t="shared" si="14"/>
        <v>Matouš Burian</v>
      </c>
      <c r="BW29" s="102">
        <f t="shared" si="15"/>
        <v>4</v>
      </c>
    </row>
    <row r="30" spans="1:75" ht="15" customHeight="1" x14ac:dyDescent="0.2">
      <c r="A30" s="377" t="str">
        <f ca="1">IFERROR(VLOOKUP(A28,OFFSET($AG$2,,,COUNTIF($AG$2:$AG$50,"?*"),23),18,FALSE),"")</f>
        <v/>
      </c>
      <c r="B30" s="378"/>
      <c r="C30" s="378"/>
      <c r="D30" s="379" t="str">
        <f ca="1">IFERROR(VLOOKUP(A28,OFFSET($AG$2,,,COUNTIF($AG$2:$AG$50,"?*"),23),19,FALSE),"")</f>
        <v/>
      </c>
      <c r="E30" s="379"/>
      <c r="F30" s="380"/>
      <c r="H30" s="381" t="str">
        <f>H$8</f>
        <v>BA</v>
      </c>
      <c r="I30" s="381"/>
      <c r="J30" s="381"/>
      <c r="K30" s="381"/>
      <c r="M30" s="377" t="str">
        <f ca="1">IFERROR(VLOOKUP(M28,OFFSET($AG$2,,,COUNTIF($AG$2:$AG$50,"?*"),23),18,FALSE),"")</f>
        <v/>
      </c>
      <c r="N30" s="378"/>
      <c r="O30" s="378"/>
      <c r="P30" s="379" t="str">
        <f ca="1">IFERROR(VLOOKUP(M28,OFFSET($AG$2,,,COUNTIF($AG$2:$AG$50,"?*"),23),19,FALSE),"")</f>
        <v/>
      </c>
      <c r="Q30" s="379"/>
      <c r="R30" s="380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336"/>
      <c r="BT30" s="104" t="s">
        <v>925</v>
      </c>
      <c r="BU30" s="103">
        <v>4</v>
      </c>
      <c r="BV30" s="104" t="str">
        <f t="shared" si="14"/>
        <v>Matěj Boček</v>
      </c>
      <c r="BW30" s="102">
        <f t="shared" si="15"/>
        <v>4</v>
      </c>
    </row>
    <row r="31" spans="1:75" ht="15" customHeight="1" thickBot="1" x14ac:dyDescent="0.25">
      <c r="A31" s="365" t="str">
        <f ca="1">IFERROR(IF(VLOOKUP(A28,OFFSET($AG$2,,,COUNTIF($AG$2:$AG$50,"?*"),23),13,FALSE)&lt;&gt;0,VLOOKUP(A28,OFFSET($AG$2,,,COUNTIF($AG$2:$AG$50,"?*"),23),13,FALSE),"?"),"")</f>
        <v/>
      </c>
      <c r="B31" s="366"/>
      <c r="C31" s="367"/>
      <c r="D31" s="368" t="str">
        <f ca="1">IFERROR(IF(VLOOKUP(A28,OFFSET($AG$2,,,COUNTIF($AG$2:$AG$50,"?*"),23),14,FALSE)&lt;&gt;0,VLOOKUP(A28,OFFSET($AG$2,,,COUNTIF($AG$2:$AG$50,"?*"),23),14,FALSE),"?"),"")</f>
        <v/>
      </c>
      <c r="E31" s="369"/>
      <c r="F31" s="7" t="str">
        <f ca="1">IFERROR(IF(VLOOKUP(A28,OFFSET($AG$2,,,COUNTIF($AG$2:$AG$50,"?*"),23),7,FALSE)&lt;&gt;0,VLOOKUP(A28,OFFSET($AG$2,,,COUNTIF($AG$2:$AG$50,"?*"),23),7,FALSE),"?"),"")</f>
        <v/>
      </c>
      <c r="H31" s="381"/>
      <c r="I31" s="381"/>
      <c r="J31" s="381"/>
      <c r="K31" s="381"/>
      <c r="M31" s="365" t="str">
        <f ca="1">IFERROR(IF(VLOOKUP(M28,OFFSET($AG$2,,,COUNTIF($AG$2:$AG$50,"?*"),23),13,FALSE)&lt;&gt;0,VLOOKUP(M28,OFFSET($AG$2,,,COUNTIF($AG$2:$AG$50,"?*"),23),13,FALSE),"?"),"")</f>
        <v/>
      </c>
      <c r="N31" s="366"/>
      <c r="O31" s="367"/>
      <c r="P31" s="368" t="str">
        <f ca="1">IFERROR(IF(VLOOKUP(M28,OFFSET($AG$2,,,COUNTIF($AG$2:$AG$50,"?*"),23),14,FALSE)&lt;&gt;0,VLOOKUP(M28,OFFSET($AG$2,,,COUNTIF($AG$2:$AG$50,"?*"),23),14,FALSE),"?"),"")</f>
        <v/>
      </c>
      <c r="Q31" s="36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36"/>
      <c r="BT31" s="104" t="s">
        <v>926</v>
      </c>
      <c r="BU31" s="103">
        <v>4</v>
      </c>
      <c r="BV31" s="104" t="str">
        <f t="shared" si="14"/>
        <v>Vojtěch Novotný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48"/>
      <c r="B34" s="349"/>
      <c r="C34" s="349"/>
      <c r="D34" s="34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6" t="s">
        <v>16</v>
      </c>
      <c r="J34" s="348"/>
      <c r="K34" s="349"/>
      <c r="L34" s="349"/>
      <c r="M34" s="349"/>
      <c r="N34" s="349"/>
      <c r="O34" s="349"/>
      <c r="P34" s="34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1" t="str">
        <f ca="1">IFERROR(IF(VLOOKUP(A34,OFFSET($AG$2,,,COUNTIF($AG$2:$AG$50,"?*"),23),2,FALSE)&lt;&gt;0,YEAR(VLOOKUP(A34,OFFSET($AG$2,,,COUNTIF($AG$2:$AG$50,"?*"),23),2,FALSE)),""),"")</f>
        <v/>
      </c>
      <c r="C35" s="342"/>
      <c r="D35" s="117" t="str">
        <f ca="1">IFERROR(VLOOKUP(A34,OFFSET($AG$2,,,COUNTIF($AG$2:$AG$50,"?*"),23),15,FALSE),"")</f>
        <v/>
      </c>
      <c r="E35" s="343" t="str">
        <f ca="1">IFERROR(VLOOKUP(A34,OFFSET($AG$2,,,COUNTIF($AG$2:$AG$50,"?*"),23),16,FALSE),"")</f>
        <v/>
      </c>
      <c r="F35" s="344"/>
      <c r="H35" s="376"/>
      <c r="J35" s="4" t="str">
        <f ca="1">IFERROR(IF(VLOOKUP(J34,OFFSET($AG$2,,,COUNTIF($AG$2:$AG$50,"?*"),23),10,FALSE)&lt;&gt;0,VLOOKUP(J34,OFFSET($AG$2,,,COUNTIF($AG$2:$AG$50,"?*"),23),10,FALSE),""),"")</f>
        <v/>
      </c>
      <c r="K35" s="342" t="str">
        <f ca="1">IFERROR(IF(VLOOKUP(J34,OFFSET($AG$2,,,COUNTIF($AG$2:$AG$50,"?*"),23),2,FALSE)&lt;&gt;0,YEAR(VLOOKUP(J34,OFFSET($AG$2,,,COUNTIF($AG$2:$AG$50,"?*"),23),2,FALSE)),""),"")</f>
        <v/>
      </c>
      <c r="L35" s="350"/>
      <c r="M35" s="118" t="str">
        <f ca="1">IFERROR(VLOOKUP(J34,OFFSET($AG$2,,,COUNTIF($AG$2:$AG$50,"?*"),23),15,FALSE),"")</f>
        <v/>
      </c>
      <c r="N35" s="350" t="str">
        <f ca="1">IFERROR(VLOOKUP(J34,OFFSET($AG$2,,,COUNTIF($AG$2:$AG$50,"?*"),23),16,FALSE),"")</f>
        <v/>
      </c>
      <c r="O35" s="350"/>
      <c r="P35" s="350" t="str">
        <f ca="1">IFERROR(VLOOKUP(J34,OFFSET($AG$2,,,COUNTIF($AG$2:$AG$50,"?*"),23),18,FALSE),"")</f>
        <v/>
      </c>
      <c r="Q35" s="350"/>
      <c r="R35" s="351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5" t="str">
        <f ca="1">IFERROR(VLOOKUP(A34,OFFSET($AG$2,,,COUNTIF($AG$2:$AG$50,"?*"),23),18,FALSE),"")</f>
        <v/>
      </c>
      <c r="C36" s="345"/>
      <c r="D36" s="346" t="str">
        <f ca="1">IFERROR(VLOOKUP(A34,OFFSET($S$45,,,COUNTIF($S$45:$S$50,"?*"),14),5,FALSE),"")</f>
        <v/>
      </c>
      <c r="E36" s="347"/>
      <c r="F36" s="17" t="str">
        <f ca="1">IFERROR(VLOOKUP(A34,OFFSET($S$45,,,COUNTIF($S$45:$S$50,"?*"),14),14,FALSE),"")</f>
        <v/>
      </c>
      <c r="H36" s="376"/>
      <c r="J36" s="18" t="str">
        <f ca="1">IFERROR(IF(VLOOKUP(J34,OFFSET($AG$2,,,COUNTIF($AG$2:$AG$50,"?*"),23),7,FALSE)&lt;&gt;0,VLOOKUP(J34,OFFSET($AG$2,,,COUNTIF($AG$2:$AG$50,"?*"),23),7,FALSE),"?"),"")</f>
        <v/>
      </c>
      <c r="K36" s="352" t="str">
        <f ca="1">IFERROR(VLOOKUP(J34,OFFSET($AG$2,,,COUNTIF($AG$2:$AG$50,"?*"),23),19,FALSE),"")</f>
        <v/>
      </c>
      <c r="L36" s="352"/>
      <c r="M36" s="352"/>
      <c r="N36" s="353" t="str">
        <f ca="1">IFERROR(IF(VLOOKUP(J34,OFFSET($AG$2,,,COUNTIF($AG$2:$AG$50,"?*"),23),13,FALSE)&lt;&gt;0,VLOOKUP(J34,OFFSET($AG$2,,,COUNTIF($AG$2:$AG$50,"?*"),23),13,FALSE),"?"),"")</f>
        <v/>
      </c>
      <c r="O36" s="353"/>
      <c r="P36" s="353"/>
      <c r="Q36" s="352" t="str">
        <f ca="1">IFERROR(IF(VLOOKUP(J34,OFFSET($AG$2,,,COUNTIF($AG$2:$AG$50,"?*"),23),14,FALSE)&lt;&gt;0,VLOOKUP(J34,OFFSET($AG$2,,,COUNTIF($AG$2:$AG$50,"?*"),23),14,FALSE),"?"),"")</f>
        <v/>
      </c>
      <c r="R36" s="354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370" t="str">
        <f ca="1">IFERROR(VLOOKUP(A34,OFFSET($S$45,,,COUNTIF($S$45:$S$50,"?*"),14),3,FALSE),"")</f>
        <v/>
      </c>
      <c r="B37" s="371"/>
      <c r="C37" s="372" t="str">
        <f ca="1">IFERROR(VLOOKUP(A34,OFFSET($S$45,,,COUNTIF($S$45:$S$50,"?*"),14),13,FALSE),"")</f>
        <v/>
      </c>
      <c r="D37" s="373"/>
      <c r="E37" s="374" t="str">
        <f ca="1">IFERROR(VLOOKUP(A34,OFFSET($AG$2,,,COUNTIF($AG$2:$AG$50,"?*"),23),19,FALSE),"")</f>
        <v/>
      </c>
      <c r="F37" s="375"/>
      <c r="H37" s="376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365" t="str">
        <f ca="1">IFERROR(IF(VLOOKUP(A34,OFFSET($AG$2,,,COUNTIF($AG$2:$AG$50,"?*"),23),13,FALSE)&lt;&gt;0,VLOOKUP(A34,OFFSET($AG$2,,,COUNTIF($AG$2:$AG$50,"?*"),23),13,FALSE),"?"),"")</f>
        <v/>
      </c>
      <c r="B38" s="366"/>
      <c r="C38" s="367"/>
      <c r="D38" s="368" t="str">
        <f ca="1">IFERROR(IF(VLOOKUP(A34,OFFSET($AG$2,,,COUNTIF($AG$2:$AG$50,"?*"),23),14,FALSE)&lt;&gt;0,VLOOKUP(A34,OFFSET($AG$2,,,COUNTIF($AG$2:$AG$50,"?*"),23),14,FALSE),"?"),"")</f>
        <v/>
      </c>
      <c r="E38" s="369"/>
      <c r="F38" s="19" t="str">
        <f ca="1">IFERROR(VLOOKUP(A34,OFFSET($S$45,,,COUNTIF($S$45:$S$50,"?*"),14),6,FALSE),"")</f>
        <v/>
      </c>
      <c r="H38" s="376"/>
      <c r="J38" s="348"/>
      <c r="K38" s="349"/>
      <c r="L38" s="349"/>
      <c r="M38" s="349"/>
      <c r="N38" s="349"/>
      <c r="O38" s="349"/>
      <c r="P38" s="34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376"/>
      <c r="J39" s="4" t="str">
        <f ca="1">IFERROR(IF(VLOOKUP(J38,OFFSET($AG$2,,,COUNTIF($AG$2:$AG$50,"?*"),23),10,FALSE)&lt;&gt;0,VLOOKUP(J38,OFFSET($AG$2,,,COUNTIF($AG$2:$AG$50,"?*"),23),10,FALSE),""),"")</f>
        <v/>
      </c>
      <c r="K39" s="342" t="str">
        <f ca="1">IFERROR(IF(VLOOKUP(J38,OFFSET($AG$2,,,COUNTIF($AG$2:$AG$50,"?*"),23),2,FALSE)&lt;&gt;0,YEAR(VLOOKUP(J38,OFFSET($AG$2,,,COUNTIF($AG$2:$AG$50,"?*"),23),2,FALSE)),""),"")</f>
        <v/>
      </c>
      <c r="L39" s="350"/>
      <c r="M39" s="151" t="str">
        <f ca="1">IFERROR(VLOOKUP(J38,OFFSET($AG$2,,,COUNTIF($AG$2:$AG$50,"?*"),23),15,FALSE),"")</f>
        <v/>
      </c>
      <c r="N39" s="350" t="str">
        <f ca="1">IFERROR(VLOOKUP(J38,OFFSET($AG$2,,,COUNTIF($AG$2:$AG$50,"?*"),23),16,FALSE),"")</f>
        <v/>
      </c>
      <c r="O39" s="350"/>
      <c r="P39" s="350" t="str">
        <f ca="1">IFERROR(VLOOKUP(J38,OFFSET($AG$2,,,COUNTIF($AG$2:$AG$50,"?*"),23),18,FALSE),"")</f>
        <v/>
      </c>
      <c r="Q39" s="350"/>
      <c r="R39" s="351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348"/>
      <c r="B40" s="349"/>
      <c r="C40" s="349"/>
      <c r="D40" s="34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6"/>
      <c r="J40" s="18" t="str">
        <f ca="1">IFERROR(IF(VLOOKUP(J38,OFFSET($AG$2,,,COUNTIF($AG$2:$AG$50,"?*"),23),7,FALSE)&lt;&gt;0,VLOOKUP(J38,OFFSET($AG$2,,,COUNTIF($AG$2:$AG$50,"?*"),23),7,FALSE),"?"),"")</f>
        <v/>
      </c>
      <c r="K40" s="352" t="str">
        <f ca="1">IFERROR(VLOOKUP(J38,OFFSET($AG$2,,,COUNTIF($AG$2:$AG$50,"?*"),23),19,FALSE),"")</f>
        <v/>
      </c>
      <c r="L40" s="352"/>
      <c r="M40" s="352"/>
      <c r="N40" s="353" t="str">
        <f ca="1">IFERROR(IF(VLOOKUP(J38,OFFSET($AG$2,,,COUNTIF($AG$2:$AG$50,"?*"),23),13,FALSE)&lt;&gt;0,VLOOKUP(J38,OFFSET($AG$2,,,COUNTIF($AG$2:$AG$50,"?*"),23),13,FALSE),"?"),"")</f>
        <v/>
      </c>
      <c r="O40" s="353"/>
      <c r="P40" s="353"/>
      <c r="Q40" s="352" t="str">
        <f ca="1">IFERROR(IF(VLOOKUP(J38,OFFSET($AG$2,,,COUNTIF($AG$2:$AG$50,"?*"),23),14,FALSE)&lt;&gt;0,VLOOKUP(J38,OFFSET($AG$2,,,COUNTIF($AG$2:$AG$50,"?*"),23),14,FALSE),"?"),"")</f>
        <v/>
      </c>
      <c r="R40" s="354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1" t="str">
        <f ca="1">IFERROR(IF(VLOOKUP(A40,OFFSET($AG$2,,,COUNTIF($AG$2:$AG$50,"?*"),23),2,FALSE)&lt;&gt;0,YEAR(VLOOKUP(A40,OFFSET($AG$2,,,COUNTIF($AG$2:$AG$50,"?*"),23),2,FALSE)),""),"")</f>
        <v/>
      </c>
      <c r="C41" s="342"/>
      <c r="D41" s="117" t="str">
        <f ca="1">IFERROR(VLOOKUP(A40,OFFSET($AG$2,,,COUNTIF($AG$2:$AG$50,"?*"),23),15,FALSE),"")</f>
        <v/>
      </c>
      <c r="E41" s="343" t="str">
        <f ca="1">IFERROR(VLOOKUP(A40,OFFSET($AG$2,,,COUNTIF($AG$2:$AG$50,"?*"),23),16,FALSE),"")</f>
        <v/>
      </c>
      <c r="F41" s="344"/>
      <c r="H41" s="376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5" t="str">
        <f ca="1">IFERROR(VLOOKUP(A40,OFFSET($AG$2,,,COUNTIF($AG$2:$AG$50,"?*"),23),18,FALSE),"")</f>
        <v/>
      </c>
      <c r="C42" s="345"/>
      <c r="D42" s="346" t="str">
        <f ca="1">IFERROR(VLOOKUP(A40,OFFSET($S$45,,,COUNTIF($S$45:$S$50,"?*"),14),5,FALSE),"")</f>
        <v/>
      </c>
      <c r="E42" s="347"/>
      <c r="F42" s="17" t="str">
        <f ca="1">IFERROR(VLOOKUP(A40,OFFSET($S$45,,,COUNTIF($S$45:$S$50,"?*"),14),14,FALSE),"")</f>
        <v/>
      </c>
      <c r="H42" s="376"/>
      <c r="J42" s="348"/>
      <c r="K42" s="349"/>
      <c r="L42" s="349"/>
      <c r="M42" s="349"/>
      <c r="N42" s="349"/>
      <c r="O42" s="349"/>
      <c r="P42" s="34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370" t="str">
        <f ca="1">IFERROR(VLOOKUP(A40,OFFSET($S$45,,,COUNTIF($S$45:$S$50,"?*"),14),3,FALSE),"")</f>
        <v/>
      </c>
      <c r="B43" s="371"/>
      <c r="C43" s="372" t="str">
        <f ca="1">IFERROR(VLOOKUP(A40,OFFSET($S$45,,,COUNTIF($S$45:$S$50,"?*"),14),13,FALSE),"")</f>
        <v/>
      </c>
      <c r="D43" s="373"/>
      <c r="E43" s="374" t="str">
        <f ca="1">IFERROR(VLOOKUP(A40,OFFSET($AG$2,,,COUNTIF($AG$2:$AG$50,"?*"),23),19,FALSE),"")</f>
        <v/>
      </c>
      <c r="F43" s="375"/>
      <c r="H43" s="376"/>
      <c r="J43" s="4" t="str">
        <f ca="1">IFERROR(IF(VLOOKUP(J42,OFFSET($AG$2,,,COUNTIF($AG$2:$AG$50,"?*"),23),10,FALSE)&lt;&gt;0,VLOOKUP(J42,OFFSET($AG$2,,,COUNTIF($AG$2:$AG$50,"?*"),23),10,FALSE),""),"")</f>
        <v/>
      </c>
      <c r="K43" s="342" t="str">
        <f ca="1">IFERROR(IF(VLOOKUP(J42,OFFSET($AG$2,,,COUNTIF($AG$2:$AG$50,"?*"),23),2,FALSE)&lt;&gt;0,YEAR(VLOOKUP(J42,OFFSET($AG$2,,,COUNTIF($AG$2:$AG$50,"?*"),23),2,FALSE)),""),"")</f>
        <v/>
      </c>
      <c r="L43" s="350"/>
      <c r="M43" s="151" t="str">
        <f ca="1">IFERROR(VLOOKUP(J42,OFFSET($AG$2,,,COUNTIF($AG$2:$AG$50,"?*"),23),15,FALSE),"")</f>
        <v/>
      </c>
      <c r="N43" s="350" t="str">
        <f ca="1">IFERROR(VLOOKUP(J42,OFFSET($AG$2,,,COUNTIF($AG$2:$AG$50,"?*"),23),16,FALSE),"")</f>
        <v/>
      </c>
      <c r="O43" s="350"/>
      <c r="P43" s="350" t="str">
        <f ca="1">IFERROR(VLOOKUP(J42,OFFSET($AG$2,,,COUNTIF($AG$2:$AG$50,"?*"),23),18,FALSE),"")</f>
        <v/>
      </c>
      <c r="Q43" s="350"/>
      <c r="R43" s="351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365" t="str">
        <f ca="1">IFERROR(IF(VLOOKUP(A40,OFFSET($AG$2,,,COUNTIF($AG$2:$AG$50,"?*"),23),13,FALSE)&lt;&gt;0,VLOOKUP(A40,OFFSET($AG$2,,,COUNTIF($AG$2:$AG$50,"?*"),23),13,FALSE),"?"),"")</f>
        <v/>
      </c>
      <c r="B44" s="366"/>
      <c r="C44" s="367"/>
      <c r="D44" s="368" t="str">
        <f ca="1">IFERROR(IF(VLOOKUP(A40,OFFSET($AG$2,,,COUNTIF($AG$2:$AG$50,"?*"),23),14,FALSE)&lt;&gt;0,VLOOKUP(A40,OFFSET($AG$2,,,COUNTIF($AG$2:$AG$50,"?*"),23),14,FALSE),"?"),"")</f>
        <v/>
      </c>
      <c r="E44" s="369"/>
      <c r="F44" s="19" t="str">
        <f ca="1">IFERROR(VLOOKUP(A40,OFFSET($S$45,,,COUNTIF($S$45:$S$50,"?*"),14),6,FALSE),"")</f>
        <v/>
      </c>
      <c r="H44" s="376"/>
      <c r="J44" s="18" t="str">
        <f ca="1">IFERROR(IF(VLOOKUP(J42,OFFSET($AG$2,,,COUNTIF($AG$2:$AG$50,"?*"),23),7,FALSE)&lt;&gt;0,VLOOKUP(J42,OFFSET($AG$2,,,COUNTIF($AG$2:$AG$50,"?*"),23),7,FALSE),"?"),"")</f>
        <v/>
      </c>
      <c r="K44" s="352" t="str">
        <f ca="1">IFERROR(VLOOKUP(J42,OFFSET($AG$2,,,COUNTIF($AG$2:$AG$50,"?*"),23),19,FALSE),"")</f>
        <v/>
      </c>
      <c r="L44" s="352"/>
      <c r="M44" s="352"/>
      <c r="N44" s="353" t="str">
        <f ca="1">IFERROR(IF(VLOOKUP(J42,OFFSET($AG$2,,,COUNTIF($AG$2:$AG$50,"?*"),23),13,FALSE)&lt;&gt;0,VLOOKUP(J42,OFFSET($AG$2,,,COUNTIF($AG$2:$AG$50,"?*"),23),13,FALSE),"?"),"")</f>
        <v/>
      </c>
      <c r="O44" s="353"/>
      <c r="P44" s="353"/>
      <c r="Q44" s="352" t="str">
        <f ca="1">IFERROR(IF(VLOOKUP(J42,OFFSET($AG$2,,,COUNTIF($AG$2:$AG$50,"?*"),23),14,FALSE)&lt;&gt;0,VLOOKUP(J42,OFFSET($AG$2,,,COUNTIF($AG$2:$AG$50,"?*"),23),14,FALSE),"?"),"")</f>
        <v/>
      </c>
      <c r="R44" s="354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728</v>
      </c>
      <c r="T45" s="102">
        <v>3</v>
      </c>
      <c r="U45" s="112">
        <v>182.18</v>
      </c>
      <c r="V45" s="102">
        <v>2</v>
      </c>
      <c r="W45" s="102">
        <v>9</v>
      </c>
      <c r="X45" s="102">
        <v>0</v>
      </c>
      <c r="Y45" s="102">
        <v>69</v>
      </c>
      <c r="Z45" s="102">
        <v>0</v>
      </c>
      <c r="AA45" s="102">
        <v>1</v>
      </c>
      <c r="AB45" s="102">
        <v>60</v>
      </c>
      <c r="AC45" s="102">
        <v>0</v>
      </c>
      <c r="AD45" s="102">
        <v>0</v>
      </c>
      <c r="AE45" s="112">
        <f>IF(S45&lt;&gt;"",IF(T45&gt;0,W45/(U45/60),0),"")</f>
        <v>2.9641014381381052</v>
      </c>
      <c r="AF45" s="112">
        <f>IF(S45&lt;&gt;"",IF(Y45&gt;0,(AB45/Y45)*100,"-"),"")</f>
        <v>86.956521739130437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730</v>
      </c>
      <c r="T46" s="102">
        <v>3</v>
      </c>
      <c r="U46" s="112">
        <v>175.38</v>
      </c>
      <c r="V46" s="102">
        <v>1</v>
      </c>
      <c r="W46" s="102">
        <v>19</v>
      </c>
      <c r="X46" s="102">
        <v>0</v>
      </c>
      <c r="Y46" s="102">
        <v>71</v>
      </c>
      <c r="Z46" s="102">
        <v>0</v>
      </c>
      <c r="AA46" s="102">
        <v>2</v>
      </c>
      <c r="AB46" s="102">
        <v>52</v>
      </c>
      <c r="AC46" s="102">
        <v>0</v>
      </c>
      <c r="AD46" s="102">
        <v>0</v>
      </c>
      <c r="AE46" s="112">
        <f t="shared" ref="AE46:AE50" si="26">IF(S46&lt;&gt;"",IF(T46&gt;0,W46/(U46/60),0),"")</f>
        <v>6.5001710571330822</v>
      </c>
      <c r="AF46" s="112">
        <f t="shared" ref="AF46:AF50" si="27">IF(S46&lt;&gt;"",IF(Y46&gt;0,(AB46/Y46)*100,"-"),"")</f>
        <v>73.239436619718319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337"/>
      <c r="B47" s="338"/>
      <c r="C47" s="338"/>
      <c r="D47" s="338"/>
      <c r="E47" s="339" t="str">
        <f ca="1">IFERROR(VLOOKUP(A47,OFFSET($BN$2,,,COUNTIF($BN$2:$BN$11,"?*"),5),3,FALSE),"")</f>
        <v/>
      </c>
      <c r="F47" s="339"/>
      <c r="G47" s="339"/>
      <c r="H47" s="339"/>
      <c r="I47" s="340"/>
      <c r="J47" s="337"/>
      <c r="K47" s="338"/>
      <c r="L47" s="338"/>
      <c r="M47" s="338"/>
      <c r="N47" s="339" t="str">
        <f ca="1">IFERROR(VLOOKUP(J47,OFFSET($BN$2,,,COUNTIF($BN$2:$BN$11,"?*"),5),3,FALSE),"")</f>
        <v/>
      </c>
      <c r="O47" s="339"/>
      <c r="P47" s="339"/>
      <c r="Q47" s="339"/>
      <c r="R47" s="340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355" t="str">
        <f ca="1">IFERROR(VLOOKUP(A47,OFFSET($BN$2,,,COUNTIF($BN$2:$BN$11,"?*"),5),5,FALSE),"")</f>
        <v/>
      </c>
      <c r="B48" s="357" t="str">
        <f ca="1">IFERROR(IF(VLOOKUP(A47,OFFSET($BN$2,,,COUNTIF($BN$2:$BN$11,"?*"),5),4,FALSE)&lt;&gt;0,VLOOKUP(A47,OFFSET($BN$2,,,COUNTIF($BN$2:$BN$11,"?*"),5),4,FALSE),"-"),"")</f>
        <v/>
      </c>
      <c r="C48" s="357"/>
      <c r="D48" s="357"/>
      <c r="E48" s="357"/>
      <c r="F48" s="357"/>
      <c r="G48" s="357"/>
      <c r="H48" s="357"/>
      <c r="I48" s="358"/>
      <c r="J48" s="119" t="str">
        <f ca="1">IFERROR(VLOOKUP(J47,OFFSET($BN$2,,,COUNTIF($BN$2:$BN$11,"?*"),5),5,FALSE),"")</f>
        <v/>
      </c>
      <c r="K48" s="361" t="str">
        <f ca="1">IFERROR(IF(VLOOKUP(J47,OFFSET($BN$2,,,COUNTIF($BN$2:$BN$11,"?*"),5),4,FALSE)&lt;&gt;0,VLOOKUP(J47,OFFSET($BN$2,,,COUNTIF($BN$2:$BN$11,"?*"),5),4,FALSE),"-"),"")</f>
        <v/>
      </c>
      <c r="L48" s="361"/>
      <c r="M48" s="361"/>
      <c r="N48" s="361"/>
      <c r="O48" s="361"/>
      <c r="P48" s="361"/>
      <c r="Q48" s="361"/>
      <c r="R48" s="362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355"/>
      <c r="B49" s="357"/>
      <c r="C49" s="357"/>
      <c r="D49" s="357"/>
      <c r="E49" s="357"/>
      <c r="F49" s="357"/>
      <c r="G49" s="357"/>
      <c r="H49" s="357"/>
      <c r="I49" s="358"/>
      <c r="J49" s="363"/>
      <c r="K49" s="364"/>
      <c r="L49" s="364"/>
      <c r="M49" s="364"/>
      <c r="N49" s="339" t="str">
        <f ca="1">IFERROR(VLOOKUP(J49,OFFSET($BN$2,,,COUNTIF($BN$2:$BN$11,"?*"),5),3,FALSE),"")</f>
        <v/>
      </c>
      <c r="O49" s="339"/>
      <c r="P49" s="339"/>
      <c r="Q49" s="339"/>
      <c r="R49" s="340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356"/>
      <c r="B50" s="359"/>
      <c r="C50" s="359"/>
      <c r="D50" s="359"/>
      <c r="E50" s="359"/>
      <c r="F50" s="359"/>
      <c r="G50" s="359"/>
      <c r="H50" s="359"/>
      <c r="I50" s="360"/>
      <c r="J50" s="119" t="str">
        <f ca="1">IFERROR(VLOOKUP(J49,OFFSET($BN$2,,,COUNTIF($BN$2:$BN$11,"?*"),5),5,FALSE),"")</f>
        <v/>
      </c>
      <c r="K50" s="361" t="str">
        <f ca="1">IFERROR(IF(VLOOKUP(J49,OFFSET($BN$2,,,COUNTIF($BN$2:$BN$11,"?*"),5),4,FALSE)&lt;&gt;0,VLOOKUP(J49,OFFSET($BN$2,,,COUNTIF($BN$2:$BN$11,"?*"),5),4,FALSE),"-"),"")</f>
        <v/>
      </c>
      <c r="L50" s="361"/>
      <c r="M50" s="361"/>
      <c r="N50" s="361"/>
      <c r="O50" s="361"/>
      <c r="P50" s="361"/>
      <c r="Q50" s="361"/>
      <c r="R50" s="362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ref="AG2:AW2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8"/>
      <c r="B1" s="349"/>
      <c r="C1" s="349"/>
      <c r="D1" s="34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82" t="s">
        <v>1</v>
      </c>
      <c r="I1" s="382"/>
      <c r="J1" s="382"/>
      <c r="K1" s="382"/>
      <c r="M1" s="348"/>
      <c r="N1" s="349"/>
      <c r="O1" s="349"/>
      <c r="P1" s="34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1" t="str">
        <f ca="1">IFERROR(IF(VLOOKUP(A1,OFFSET($AG$2,,,COUNTIF($AG$2:$AG$50,"?*"),23),2,FALSE)&lt;&gt;0,YEAR(VLOOKUP(A1,OFFSET($AG$2,,,COUNTIF($AG$2:$AG$50,"?*"),23),2,FALSE)),""),"")</f>
        <v/>
      </c>
      <c r="C2" s="342"/>
      <c r="D2" s="117" t="str">
        <f ca="1">IFERROR(VLOOKUP(A1,OFFSET($AG$2,,,COUNTIF($AG$2:$AG$50,"?*"),23),15,FALSE),"")</f>
        <v/>
      </c>
      <c r="E2" s="343" t="str">
        <f ca="1">IFERROR(VLOOKUP(A1,OFFSET($AG$2,,,COUNTIF($AG$2:$AG$50,"?*"),23),16,FALSE),"")</f>
        <v/>
      </c>
      <c r="F2" s="344"/>
      <c r="M2" s="4" t="str">
        <f ca="1">IFERROR(IF(VLOOKUP(M1,OFFSET($AG$2,,,COUNTIF($AG$2:$AG$50,"?*"),23),10,FALSE)&lt;&gt;0,VLOOKUP(M1,OFFSET($AG$2,,,COUNTIF($AG$2:$AG$50,"?*"),23),10,FALSE),""),"")</f>
        <v/>
      </c>
      <c r="N2" s="341" t="str">
        <f ca="1">IFERROR(IF(VLOOKUP(M1,OFFSET($AG$2,,,COUNTIF($AG$2:$AG$50,"?*"),23),2,FALSE)&lt;&gt;0,YEAR(VLOOKUP(M1,OFFSET($AG$2,,,COUNTIF($AG$2:$AG$50,"?*"),23),2,FALSE)),""),"")</f>
        <v/>
      </c>
      <c r="O2" s="342"/>
      <c r="P2" s="117" t="str">
        <f ca="1">IFERROR(VLOOKUP(M1,OFFSET($AG$2,,,COUNTIF($AG$2:$AG$50,"?*"),23),15,FALSE),"")</f>
        <v/>
      </c>
      <c r="Q2" s="343" t="str">
        <f ca="1">IFERROR(VLOOKUP(M1,OFFSET($AG$2,,,COUNTIF($AG$2:$AG$50,"?*"),23),16,FALSE),"")</f>
        <v/>
      </c>
      <c r="R2" s="344"/>
      <c r="S2" s="110" t="s">
        <v>565</v>
      </c>
      <c r="T2" s="102" t="s">
        <v>119</v>
      </c>
      <c r="U2" s="102">
        <v>7</v>
      </c>
      <c r="V2" s="102">
        <v>9</v>
      </c>
      <c r="W2" s="102">
        <v>2</v>
      </c>
      <c r="X2" s="102">
        <v>0</v>
      </c>
      <c r="Y2" s="102">
        <v>15</v>
      </c>
      <c r="Z2" s="102">
        <v>24</v>
      </c>
      <c r="AA2" s="102">
        <v>2</v>
      </c>
      <c r="AB2" s="102">
        <v>22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564</v>
      </c>
      <c r="AH2" s="122">
        <v>36990</v>
      </c>
      <c r="AI2" s="123">
        <v>72</v>
      </c>
      <c r="AJ2" s="123">
        <v>62</v>
      </c>
      <c r="AK2" s="123">
        <v>33</v>
      </c>
      <c r="AL2" s="124">
        <f>IF(AG2&lt;&gt;"",AJ2+AK2,"")</f>
        <v>95</v>
      </c>
      <c r="AM2" s="123">
        <v>4</v>
      </c>
      <c r="AN2" s="123">
        <v>21</v>
      </c>
      <c r="AO2" s="125"/>
      <c r="AP2" s="125" t="s">
        <v>149</v>
      </c>
      <c r="AQ2" s="123">
        <v>183</v>
      </c>
      <c r="AR2" s="123">
        <v>67</v>
      </c>
      <c r="AS2" s="126" t="s">
        <v>74</v>
      </c>
      <c r="AT2" s="123">
        <v>2006</v>
      </c>
      <c r="AU2" s="127">
        <f ca="1">IF(AG2&lt;&gt;"",IF(AH2&lt;&gt;"",INT((TODAY()-AH2)/365),"?"),"")</f>
        <v>20</v>
      </c>
      <c r="AV2" s="127" t="str">
        <f>IF(AG2&lt;&gt;"",CONCATENATE(IF(AQ2&lt;&gt;"",AQ2,"? "),"/",IF(AR2&lt;&gt;"",AR2," ?")),"")</f>
        <v>183/67</v>
      </c>
      <c r="AW2" s="128" t="str">
        <f ca="1">IF(AG2&lt;&gt;"",IF(BE2=1,BD2,IF(BH2=1,BG2,IF(BJ2=1,BI2,IF(BL2=1,BK2,BM2)))),"")</f>
        <v>Buršík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7 OZ, 16 (9+7), +22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79 OZ, 111 (71+40)</v>
      </c>
      <c r="AZ2" s="130"/>
      <c r="BA2" s="130"/>
      <c r="BB2" s="130"/>
      <c r="BC2" s="130"/>
      <c r="BD2" s="3" t="str">
        <f>IF(AG2&lt;&gt;"",RIGHT(AG2,LEN(AG2)-SEARCH(" ",AG2)),"")</f>
        <v>Buršík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600</v>
      </c>
      <c r="BO2" s="122">
        <v>29350</v>
      </c>
      <c r="BP2" s="131" t="s">
        <v>256</v>
      </c>
      <c r="BQ2" s="132" t="s">
        <v>601</v>
      </c>
      <c r="BR2" s="127">
        <f ca="1">IF(BN2&lt;&gt;"",IF(BO2&lt;&gt;"",INT((TODAY()-BO2)/365),"?"),"")</f>
        <v>41</v>
      </c>
      <c r="BS2" s="336" t="s">
        <v>36</v>
      </c>
      <c r="BT2" s="104" t="s">
        <v>611</v>
      </c>
      <c r="BU2" s="103">
        <v>24</v>
      </c>
      <c r="BV2" s="104" t="str">
        <f>IFERROR(RIGHT(BT2,LEN(BT2)-SEARCH(" ",BT2)),"")</f>
        <v>Filip Forman</v>
      </c>
      <c r="BW2" s="102">
        <f>IF(BT2&lt;&gt;0,_xlfn.NUMBERVALUE(BU2,","),"")</f>
        <v>24</v>
      </c>
      <c r="BX2" s="335" t="s">
        <v>211</v>
      </c>
      <c r="BY2" s="103" t="s">
        <v>799</v>
      </c>
      <c r="BZ2" s="103" t="s">
        <v>928</v>
      </c>
      <c r="CA2" s="115" t="s">
        <v>895</v>
      </c>
    </row>
    <row r="3" spans="1:79" ht="15" customHeight="1" thickTop="1" thickBot="1" x14ac:dyDescent="0.25">
      <c r="A3" s="377" t="str">
        <f ca="1">IFERROR(VLOOKUP(A1,OFFSET($AG$2,,,COUNTIF($AG$2:$AG$50,"?*"),23),18,FALSE),"")</f>
        <v/>
      </c>
      <c r="B3" s="378"/>
      <c r="C3" s="378"/>
      <c r="D3" s="379" t="str">
        <f ca="1">IFERROR(VLOOKUP(A1,OFFSET($AG$2,,,COUNTIF($AG$2:$AG$50,"?*"),23),19,FALSE),"")</f>
        <v/>
      </c>
      <c r="E3" s="379"/>
      <c r="F3" s="380"/>
      <c r="G3" s="348"/>
      <c r="H3" s="349"/>
      <c r="I3" s="349"/>
      <c r="J3" s="34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7" t="str">
        <f ca="1">IFERROR(VLOOKUP(M1,OFFSET($AG$2,,,COUNTIF($AG$2:$AG$50,"?*"),23),18,FALSE),"")</f>
        <v/>
      </c>
      <c r="N3" s="378"/>
      <c r="O3" s="378"/>
      <c r="P3" s="379" t="str">
        <f ca="1">IFERROR(VLOOKUP(M1,OFFSET($AG$2,,,COUNTIF($AG$2:$AG$50,"?*"),23),19,FALSE),"")</f>
        <v/>
      </c>
      <c r="Q3" s="379"/>
      <c r="R3" s="380"/>
      <c r="S3" s="110" t="s">
        <v>563</v>
      </c>
      <c r="T3" s="102" t="s">
        <v>119</v>
      </c>
      <c r="U3" s="102">
        <v>7</v>
      </c>
      <c r="V3" s="102">
        <v>14</v>
      </c>
      <c r="W3" s="102">
        <v>2</v>
      </c>
      <c r="X3" s="102">
        <v>0</v>
      </c>
      <c r="Y3" s="102">
        <v>5</v>
      </c>
      <c r="Z3" s="102">
        <v>19</v>
      </c>
      <c r="AA3" s="102">
        <v>4</v>
      </c>
      <c r="AB3" s="102">
        <v>23</v>
      </c>
      <c r="AC3" s="102" t="str">
        <f t="shared" ca="1" si="0"/>
        <v>NE</v>
      </c>
      <c r="AG3" s="121" t="s">
        <v>3</v>
      </c>
      <c r="AH3" s="122">
        <v>36257</v>
      </c>
      <c r="AI3" s="123">
        <v>97</v>
      </c>
      <c r="AJ3" s="123">
        <v>35</v>
      </c>
      <c r="AK3" s="123">
        <v>26</v>
      </c>
      <c r="AL3" s="124">
        <f>IF(AG3&lt;&gt;"",AJ3+AK3,"")</f>
        <v>61</v>
      </c>
      <c r="AM3" s="123">
        <v>6</v>
      </c>
      <c r="AN3" s="123">
        <v>77</v>
      </c>
      <c r="AO3" s="125"/>
      <c r="AP3" s="125" t="s">
        <v>149</v>
      </c>
      <c r="AQ3" s="123">
        <v>184</v>
      </c>
      <c r="AR3" s="123">
        <v>81</v>
      </c>
      <c r="AS3" s="126" t="s">
        <v>151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4 OZ, 1 (1+0), -3 ±</v>
      </c>
      <c r="AY3" s="129" t="str">
        <f t="shared" ca="1" si="2"/>
        <v>101 OZ, 62 (36+26)</v>
      </c>
      <c r="AZ3" s="130"/>
      <c r="BA3" s="130"/>
      <c r="BB3" s="130"/>
      <c r="BC3" s="130"/>
      <c r="BD3" s="89" t="str">
        <f t="shared" ref="BD3:BD50" si="3">IF(AG3&lt;&gt;"",RIGHT(AG3,LEN(AG3)-SEARCH(" ",AG3)),"")</f>
        <v>Cabejšek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602</v>
      </c>
      <c r="BO3" s="122">
        <v>33849</v>
      </c>
      <c r="BP3" s="131" t="s">
        <v>257</v>
      </c>
      <c r="BQ3" s="132" t="s">
        <v>603</v>
      </c>
      <c r="BR3" s="127">
        <f t="shared" ref="BR3:BR11" ca="1" si="12">IF(BN3&lt;&gt;"",IF(BO3&lt;&gt;"",INT((TODAY()-BO3)/365),"?"),"")</f>
        <v>29</v>
      </c>
      <c r="BS3" s="336"/>
      <c r="BT3" s="104" t="s">
        <v>864</v>
      </c>
      <c r="BU3" s="103">
        <v>19</v>
      </c>
      <c r="BV3" s="104" t="str">
        <f t="shared" ref="BV3:BV31" si="13">IFERROR(RIGHT(BT3,LEN(BT3)-SEARCH(" ",BT3)),"")</f>
        <v>Karel Petrák</v>
      </c>
      <c r="BW3" s="102">
        <f t="shared" ref="BW3:BW31" si="14">IF(BT3&lt;&gt;0,_xlfn.NUMBERVALUE(BU3,","),"")</f>
        <v>19</v>
      </c>
      <c r="BX3" s="335"/>
      <c r="BY3" s="103" t="s">
        <v>263</v>
      </c>
      <c r="BZ3" s="103" t="s">
        <v>911</v>
      </c>
      <c r="CA3" s="115" t="s">
        <v>833</v>
      </c>
    </row>
    <row r="4" spans="1:79" ht="15" customHeight="1" thickBot="1" x14ac:dyDescent="0.25">
      <c r="A4" s="365" t="str">
        <f ca="1">IFERROR(IF(VLOOKUP(A1,OFFSET($AG$2,,,COUNTIF($AG$2:$AG$50,"?*"),23),13,FALSE)&lt;&gt;0,VLOOKUP(A1,OFFSET($AG$2,,,COUNTIF($AG$2:$AG$50,"?*"),23),13,FALSE),"?"),"")</f>
        <v/>
      </c>
      <c r="B4" s="366"/>
      <c r="C4" s="367"/>
      <c r="D4" s="368" t="str">
        <f ca="1">IFERROR(IF(VLOOKUP(A1,OFFSET($AG$2,,,COUNTIF($AG$2:$AG$50,"?*"),23),14,FALSE)&lt;&gt;0,VLOOKUP(A1,OFFSET($AG$2,,,COUNTIF($AG$2:$AG$50,"?*"),23),14,FALSE),"?"),"")</f>
        <v/>
      </c>
      <c r="E4" s="36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1" t="str">
        <f ca="1">IFERROR(IF(VLOOKUP(G3,OFFSET($AG$2,,,COUNTIF($AG$2:$AG$50,"?*"),23),2,FALSE)&lt;&gt;0,YEAR(VLOOKUP(G3,OFFSET($AG$2,,,COUNTIF($AG$2:$AG$50,"?*"),23),2,FALSE)),""),"")</f>
        <v/>
      </c>
      <c r="I4" s="342"/>
      <c r="J4" s="117" t="str">
        <f ca="1">IFERROR(VLOOKUP(G3,OFFSET($AG$2,,,COUNTIF($AG$2:$AG$50,"?*"),23),15,FALSE),"")</f>
        <v/>
      </c>
      <c r="K4" s="343" t="str">
        <f ca="1">IFERROR(VLOOKUP(G3,OFFSET($AG$2,,,COUNTIF($AG$2:$AG$50,"?*"),23),16,FALSE),"")</f>
        <v/>
      </c>
      <c r="L4" s="344"/>
      <c r="M4" s="365" t="str">
        <f ca="1">IFERROR(IF(VLOOKUP(M1,OFFSET($AG$2,,,COUNTIF($AG$2:$AG$50,"?*"),23),13,FALSE)&lt;&gt;0,VLOOKUP(M1,OFFSET($AG$2,,,COUNTIF($AG$2:$AG$50,"?*"),23),13,FALSE),"?"),"")</f>
        <v/>
      </c>
      <c r="N4" s="366"/>
      <c r="O4" s="367"/>
      <c r="P4" s="368" t="str">
        <f ca="1">IFERROR(IF(VLOOKUP(M1,OFFSET($AG$2,,,COUNTIF($AG$2:$AG$50,"?*"),23),14,FALSE)&lt;&gt;0,VLOOKUP(M1,OFFSET($AG$2,,,COUNTIF($AG$2:$AG$50,"?*"),23),14,FALSE),"?"),"")</f>
        <v/>
      </c>
      <c r="Q4" s="36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564</v>
      </c>
      <c r="U4" s="102">
        <v>7</v>
      </c>
      <c r="V4" s="102">
        <v>9</v>
      </c>
      <c r="W4" s="102">
        <v>0</v>
      </c>
      <c r="X4" s="102">
        <v>0</v>
      </c>
      <c r="Y4" s="102">
        <v>7</v>
      </c>
      <c r="Z4" s="102">
        <v>16</v>
      </c>
      <c r="AA4" s="102">
        <v>2</v>
      </c>
      <c r="AB4" s="102">
        <v>22</v>
      </c>
      <c r="AC4" s="102" t="str">
        <f t="shared" ca="1" si="0"/>
        <v>ANO</v>
      </c>
      <c r="AG4" s="121" t="s">
        <v>576</v>
      </c>
      <c r="AH4" s="122">
        <v>33767</v>
      </c>
      <c r="AI4" s="123">
        <v>243</v>
      </c>
      <c r="AJ4" s="123">
        <v>69</v>
      </c>
      <c r="AK4" s="123">
        <v>66</v>
      </c>
      <c r="AL4" s="124">
        <f>IF(AG4&lt;&gt;"",AJ4+AK4,"")</f>
        <v>135</v>
      </c>
      <c r="AM4" s="123">
        <v>12</v>
      </c>
      <c r="AN4" s="123">
        <v>44</v>
      </c>
      <c r="AO4" s="125"/>
      <c r="AP4" s="125" t="s">
        <v>27</v>
      </c>
      <c r="AQ4" s="123">
        <v>184</v>
      </c>
      <c r="AR4" s="123">
        <v>84</v>
      </c>
      <c r="AS4" s="126" t="s">
        <v>593</v>
      </c>
      <c r="AT4" s="123">
        <v>2002</v>
      </c>
      <c r="AU4" s="127">
        <f ca="1">IF(AG4&lt;&gt;"",IF(AH4&lt;&gt;"",INT((TODAY()-AH4)/365),"?"),"")</f>
        <v>29</v>
      </c>
      <c r="AV4" s="127" t="str">
        <f>IF(AG4&lt;&gt;"",CONCATENATE(IF(AQ4&lt;&gt;"",AQ4,"? "),"/",IF(AR4&lt;&gt;"",AR4," ?")),"")</f>
        <v>184/84</v>
      </c>
      <c r="AW4" s="128" t="str">
        <f ca="1">IF(AG4&lt;&gt;"",IF(BE4=1,BD4,IF(BH4=1,BG4,IF(BJ4=1,BI4,IF(BL4=1,BK4,BM4)))),"")</f>
        <v>Čihák</v>
      </c>
      <c r="AX4" s="129" t="str">
        <f t="shared" ca="1" si="1"/>
        <v>7 OZ, 1 (1+0), -3 ±</v>
      </c>
      <c r="AY4" s="129" t="str">
        <f t="shared" ca="1" si="2"/>
        <v>250 OZ, 136 (70+66)</v>
      </c>
      <c r="AZ4" s="130"/>
      <c r="BA4" s="130"/>
      <c r="BB4" s="130"/>
      <c r="BC4" s="130"/>
      <c r="BD4" s="3" t="str">
        <f t="shared" si="3"/>
        <v>Čihák</v>
      </c>
      <c r="BE4" s="84">
        <f t="shared" ca="1" si="4"/>
        <v>1</v>
      </c>
      <c r="BF4" s="62" t="str">
        <f t="shared" si="5"/>
        <v>P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604</v>
      </c>
      <c r="BO4" s="122">
        <v>28301</v>
      </c>
      <c r="BP4" s="131" t="s">
        <v>257</v>
      </c>
      <c r="BQ4" s="132"/>
      <c r="BR4" s="127">
        <f t="shared" ca="1" si="12"/>
        <v>44</v>
      </c>
      <c r="BS4" s="336"/>
      <c r="BT4" s="104" t="s">
        <v>938</v>
      </c>
      <c r="BU4" s="103">
        <v>16</v>
      </c>
      <c r="BV4" s="104" t="str">
        <f t="shared" si="13"/>
        <v>Jakub Buršík</v>
      </c>
      <c r="BW4" s="102">
        <f t="shared" si="14"/>
        <v>16</v>
      </c>
      <c r="BX4" s="335"/>
      <c r="BY4" s="103" t="s">
        <v>207</v>
      </c>
      <c r="BZ4" s="103" t="s">
        <v>930</v>
      </c>
      <c r="CA4" s="115" t="s">
        <v>936</v>
      </c>
    </row>
    <row r="5" spans="1:79" ht="15" customHeight="1" thickTop="1" thickBot="1" x14ac:dyDescent="0.25">
      <c r="A5" s="8"/>
      <c r="B5" s="8"/>
      <c r="C5" s="8"/>
      <c r="D5" s="8"/>
      <c r="G5" s="377" t="str">
        <f ca="1">IFERROR(VLOOKUP(G3,OFFSET($AG$2,,,COUNTIF($AG$2:$AG$50,"?*"),23),18,FALSE),"")</f>
        <v/>
      </c>
      <c r="H5" s="378"/>
      <c r="I5" s="378"/>
      <c r="J5" s="379" t="str">
        <f ca="1">IFERROR(VLOOKUP(G3,OFFSET($AG$2,,,COUNTIF($AG$2:$AG$50,"?*"),23),19,FALSE),"")</f>
        <v/>
      </c>
      <c r="K5" s="379"/>
      <c r="L5" s="380"/>
      <c r="S5" s="110" t="s">
        <v>566</v>
      </c>
      <c r="U5" s="102">
        <v>7</v>
      </c>
      <c r="V5" s="102">
        <v>4</v>
      </c>
      <c r="W5" s="102">
        <v>2</v>
      </c>
      <c r="X5" s="102">
        <v>0</v>
      </c>
      <c r="Y5" s="102">
        <v>5</v>
      </c>
      <c r="Z5" s="102">
        <v>9</v>
      </c>
      <c r="AA5" s="102">
        <v>6</v>
      </c>
      <c r="AB5" s="102">
        <v>21</v>
      </c>
      <c r="AC5" s="102" t="str">
        <f t="shared" ca="1" si="0"/>
        <v>ANO</v>
      </c>
      <c r="AG5" s="121" t="s">
        <v>580</v>
      </c>
      <c r="AH5" s="122">
        <v>36370</v>
      </c>
      <c r="AI5" s="123">
        <v>105</v>
      </c>
      <c r="AJ5" s="123">
        <v>16</v>
      </c>
      <c r="AK5" s="123">
        <v>15</v>
      </c>
      <c r="AL5" s="124">
        <f>IF(AG5&lt;&gt;"",AJ5+AK5,"")</f>
        <v>31</v>
      </c>
      <c r="AM5" s="123">
        <v>6</v>
      </c>
      <c r="AN5" s="123">
        <v>8</v>
      </c>
      <c r="AO5" s="125"/>
      <c r="AP5" s="125" t="s">
        <v>149</v>
      </c>
      <c r="AQ5" s="123">
        <v>186</v>
      </c>
      <c r="AR5" s="123">
        <v>73</v>
      </c>
      <c r="AS5" s="126" t="s">
        <v>74</v>
      </c>
      <c r="AT5" s="123">
        <v>2009</v>
      </c>
      <c r="AU5" s="127">
        <f ca="1">IF(AG5&lt;&gt;"",IF(AH5&lt;&gt;"",INT((TODAY()-AH5)/365),"?"),"")</f>
        <v>22</v>
      </c>
      <c r="AV5" s="127" t="str">
        <f>IF(AG5&lt;&gt;"",CONCATENATE(IF(AQ5&lt;&gt;"",AQ5,"? "),"/",IF(AR5&lt;&gt;"",AR5," ?")),"")</f>
        <v>186/73</v>
      </c>
      <c r="AW5" s="128" t="str">
        <f ca="1">IF(AG5&lt;&gt;"",IF(BE5=1,BD5,IF(BH5=1,BG5,IF(BJ5=1,BI5,IF(BL5=1,BK5,BM5)))),"")</f>
        <v>Dobisík</v>
      </c>
      <c r="AX5" s="129" t="str">
        <f t="shared" ca="1" si="1"/>
        <v>4 OZ, 2 (0+2), -1 ±</v>
      </c>
      <c r="AY5" s="129" t="str">
        <f t="shared" ca="1" si="2"/>
        <v>109 OZ, 33 (16+17)</v>
      </c>
      <c r="AZ5" s="130"/>
      <c r="BA5" s="130"/>
      <c r="BB5" s="130"/>
      <c r="BC5" s="130"/>
      <c r="BD5" s="89" t="str">
        <f t="shared" si="3"/>
        <v>Dobisík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605</v>
      </c>
      <c r="BO5" s="122">
        <v>24059</v>
      </c>
      <c r="BP5" s="131" t="s">
        <v>383</v>
      </c>
      <c r="BQ5" s="132"/>
      <c r="BR5" s="127">
        <f t="shared" ca="1" si="12"/>
        <v>55</v>
      </c>
      <c r="BS5" s="336"/>
      <c r="BT5" s="104" t="s">
        <v>861</v>
      </c>
      <c r="BU5" s="103">
        <v>9</v>
      </c>
      <c r="BV5" s="104" t="str">
        <f t="shared" si="13"/>
        <v>Jan Malič</v>
      </c>
      <c r="BW5" s="102">
        <f t="shared" si="14"/>
        <v>9</v>
      </c>
      <c r="BX5" s="335"/>
      <c r="BY5" s="103" t="s">
        <v>262</v>
      </c>
      <c r="BZ5" s="103" t="s">
        <v>931</v>
      </c>
      <c r="CA5" s="115" t="s">
        <v>937</v>
      </c>
    </row>
    <row r="6" spans="1:79" ht="15" customHeight="1" thickTop="1" thickBot="1" x14ac:dyDescent="0.25">
      <c r="A6" s="348"/>
      <c r="B6" s="349"/>
      <c r="C6" s="349"/>
      <c r="D6" s="34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5" t="str">
        <f ca="1">IFERROR(IF(VLOOKUP(G3,OFFSET($AG$2,,,COUNTIF($AG$2:$AG$50,"?*"),23),13,FALSE)&lt;&gt;0,VLOOKUP(G3,OFFSET($AG$2,,,COUNTIF($AG$2:$AG$50,"?*"),23),13,FALSE),"?"),"")</f>
        <v/>
      </c>
      <c r="H6" s="366"/>
      <c r="I6" s="367"/>
      <c r="J6" s="368" t="str">
        <f ca="1">IFERROR(IF(VLOOKUP(G3,OFFSET($AG$2,,,COUNTIF($AG$2:$AG$50,"?*"),23),14,FALSE)&lt;&gt;0,VLOOKUP(G3,OFFSET($AG$2,,,COUNTIF($AG$2:$AG$50,"?*"),23),14,FALSE),"?"),"")</f>
        <v/>
      </c>
      <c r="K6" s="369"/>
      <c r="L6" s="7" t="str">
        <f ca="1">IFERROR(IF(VLOOKUP(G3,OFFSET($AG$2,,,COUNTIF($AG$2:$AG$50,"?*"),23),7,FALSE)&lt;&gt;0,VLOOKUP(G3,OFFSET($AG$2,,,COUNTIF($AG$2:$AG$50,"?*"),23),7,FALSE),"?"),"")</f>
        <v/>
      </c>
      <c r="M6" s="348"/>
      <c r="N6" s="349"/>
      <c r="O6" s="349"/>
      <c r="P6" s="34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569</v>
      </c>
      <c r="U6" s="102">
        <v>4</v>
      </c>
      <c r="V6" s="102">
        <v>2</v>
      </c>
      <c r="W6" s="102">
        <v>0</v>
      </c>
      <c r="X6" s="102">
        <v>0</v>
      </c>
      <c r="Y6" s="102">
        <v>3</v>
      </c>
      <c r="Z6" s="102">
        <v>5</v>
      </c>
      <c r="AA6" s="102">
        <v>0</v>
      </c>
      <c r="AB6" s="102">
        <v>0</v>
      </c>
      <c r="AC6" s="102" t="str">
        <f t="shared" ca="1" si="0"/>
        <v>NE</v>
      </c>
      <c r="AG6" s="121" t="s">
        <v>575</v>
      </c>
      <c r="AH6" s="122">
        <v>34316</v>
      </c>
      <c r="AI6" s="123">
        <v>189</v>
      </c>
      <c r="AJ6" s="123">
        <v>49</v>
      </c>
      <c r="AK6" s="123">
        <v>81</v>
      </c>
      <c r="AL6" s="124">
        <f>IF(AG6&lt;&gt;"",AJ6+AK6,"")</f>
        <v>130</v>
      </c>
      <c r="AM6" s="123">
        <v>11</v>
      </c>
      <c r="AN6" s="123">
        <v>84</v>
      </c>
      <c r="AO6" s="125"/>
      <c r="AP6" s="125" t="s">
        <v>27</v>
      </c>
      <c r="AQ6" s="123">
        <v>188</v>
      </c>
      <c r="AR6" s="123">
        <v>86</v>
      </c>
      <c r="AS6" s="126" t="s">
        <v>594</v>
      </c>
      <c r="AT6" s="123"/>
      <c r="AU6" s="127">
        <f ca="1">IF(AG6&lt;&gt;"",IF(AH6&lt;&gt;"",INT((TODAY()-AH6)/365),"?"),"")</f>
        <v>27</v>
      </c>
      <c r="AV6" s="127" t="str">
        <f>IF(AG6&lt;&gt;"",CONCATENATE(IF(AQ6&lt;&gt;"",AQ6,"? "),"/",IF(AR6&lt;&gt;"",AR6," ?")),"")</f>
        <v>188/86</v>
      </c>
      <c r="AW6" s="128" t="str">
        <f ca="1">IF(AG6&lt;&gt;"",IF(BE6=1,BD6,IF(BH6=1,BG6,IF(BJ6=1,BI6,IF(BL6=1,BK6,BM6)))),"")</f>
        <v>Ďopan</v>
      </c>
      <c r="AX6" s="129" t="str">
        <f t="shared" ca="1" si="1"/>
        <v>7 OZ, 0 (0+0), -8 ±</v>
      </c>
      <c r="AY6" s="129" t="str">
        <f t="shared" ca="1" si="2"/>
        <v>196 OZ, 130 (49+81)</v>
      </c>
      <c r="AZ6" s="130"/>
      <c r="BA6" s="130"/>
      <c r="BB6" s="130"/>
      <c r="BC6" s="130"/>
      <c r="BD6" s="3" t="str">
        <f t="shared" si="3"/>
        <v>Ďopan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606</v>
      </c>
      <c r="BO6" s="122">
        <v>33657</v>
      </c>
      <c r="BP6" s="131" t="s">
        <v>439</v>
      </c>
      <c r="BQ6" s="132"/>
      <c r="BR6" s="127">
        <f t="shared" ca="1" si="12"/>
        <v>29</v>
      </c>
      <c r="BS6" s="336"/>
      <c r="BT6" s="104" t="s">
        <v>1215</v>
      </c>
      <c r="BU6" s="103">
        <v>5</v>
      </c>
      <c r="BV6" s="104" t="str">
        <f t="shared" si="13"/>
        <v>Matúš Gajdoš</v>
      </c>
      <c r="BW6" s="102">
        <f t="shared" si="14"/>
        <v>5</v>
      </c>
      <c r="BX6" s="335"/>
      <c r="BY6" s="103" t="s">
        <v>855</v>
      </c>
      <c r="BZ6" s="103" t="s">
        <v>932</v>
      </c>
      <c r="CA6" s="115" t="s">
        <v>860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1" t="str">
        <f ca="1">IFERROR(IF(VLOOKUP(A6,OFFSET($AG$2,,,COUNTIF($AG$2:$AG$50,"?*"),23),2,FALSE)&lt;&gt;0,YEAR(VLOOKUP(A6,OFFSET($AG$2,,,COUNTIF($AG$2:$AG$50,"?*"),23),2,FALSE)),""),"")</f>
        <v/>
      </c>
      <c r="C7" s="342"/>
      <c r="D7" s="117" t="str">
        <f ca="1">IFERROR(VLOOKUP(A6,OFFSET($AG$2,,,COUNTIF($AG$2:$AG$50,"?*"),23),15,FALSE),"")</f>
        <v/>
      </c>
      <c r="E7" s="343" t="str">
        <f ca="1">IFERROR(VLOOKUP(A6,OFFSET($AG$2,,,COUNTIF($AG$2:$AG$50,"?*"),23),16,FALSE),"")</f>
        <v/>
      </c>
      <c r="F7" s="344"/>
      <c r="M7" s="4" t="str">
        <f ca="1">IFERROR(IF(VLOOKUP(M6,OFFSET($AG$2,,,COUNTIF($AG$2:$AG$50,"?*"),23),10,FALSE)&lt;&gt;0,VLOOKUP(M6,OFFSET($AG$2,,,COUNTIF($AG$2:$AG$50,"?*"),23),10,FALSE),""),"")</f>
        <v/>
      </c>
      <c r="N7" s="341" t="str">
        <f ca="1">IFERROR(IF(VLOOKUP(M6,OFFSET($AG$2,,,COUNTIF($AG$2:$AG$50,"?*"),23),2,FALSE)&lt;&gt;0,YEAR(VLOOKUP(M6,OFFSET($AG$2,,,COUNTIF($AG$2:$AG$50,"?*"),23),2,FALSE)),""),"")</f>
        <v/>
      </c>
      <c r="O7" s="342"/>
      <c r="P7" s="117" t="str">
        <f ca="1">IFERROR(VLOOKUP(M6,OFFSET($AG$2,,,COUNTIF($AG$2:$AG$50,"?*"),23),15,FALSE),"")</f>
        <v/>
      </c>
      <c r="Q7" s="343" t="str">
        <f ca="1">IFERROR(VLOOKUP(M6,OFFSET($AG$2,,,COUNTIF($AG$2:$AG$50,"?*"),23),16,FALSE),"")</f>
        <v/>
      </c>
      <c r="R7" s="344"/>
      <c r="S7" s="110" t="s">
        <v>567</v>
      </c>
      <c r="U7" s="102">
        <v>7</v>
      </c>
      <c r="V7" s="102">
        <v>2</v>
      </c>
      <c r="W7" s="102">
        <v>0</v>
      </c>
      <c r="X7" s="102">
        <v>0</v>
      </c>
      <c r="Y7" s="102">
        <v>3</v>
      </c>
      <c r="Z7" s="102">
        <v>5</v>
      </c>
      <c r="AA7" s="102">
        <v>0</v>
      </c>
      <c r="AB7" s="102">
        <v>20</v>
      </c>
      <c r="AC7" s="102" t="str">
        <f t="shared" ca="1" si="0"/>
        <v>ANO</v>
      </c>
      <c r="AG7" s="121" t="s">
        <v>581</v>
      </c>
      <c r="AH7" s="122">
        <v>37464</v>
      </c>
      <c r="AI7" s="123">
        <v>14</v>
      </c>
      <c r="AJ7" s="123">
        <v>1</v>
      </c>
      <c r="AK7" s="123">
        <v>0</v>
      </c>
      <c r="AL7" s="124">
        <f>IF(AG7&lt;&gt;"",AJ7+AK7,"")</f>
        <v>1</v>
      </c>
      <c r="AM7" s="123">
        <v>3</v>
      </c>
      <c r="AN7" s="123">
        <v>23</v>
      </c>
      <c r="AO7" s="125"/>
      <c r="AP7" s="125" t="s">
        <v>27</v>
      </c>
      <c r="AQ7" s="123"/>
      <c r="AR7" s="123"/>
      <c r="AS7" s="126" t="s">
        <v>151</v>
      </c>
      <c r="AT7" s="123">
        <v>2011</v>
      </c>
      <c r="AU7" s="127">
        <f ca="1">IF(AG7&lt;&gt;"",IF(AH7&lt;&gt;"",INT((TODAY()-AH7)/365),"?"),"")</f>
        <v>19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Folauf</v>
      </c>
      <c r="AX7" s="129" t="str">
        <f t="shared" ca="1" si="1"/>
        <v>0 OZ, 0 (0+0)</v>
      </c>
      <c r="AY7" s="129" t="str">
        <f t="shared" ca="1" si="2"/>
        <v>14 OZ, 1 (1+0)</v>
      </c>
      <c r="AZ7" s="130"/>
      <c r="BA7" s="130"/>
      <c r="BB7" s="130"/>
      <c r="BC7" s="130"/>
      <c r="BD7" s="89" t="str">
        <f t="shared" si="3"/>
        <v>Folauf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6" t="s">
        <v>40</v>
      </c>
      <c r="BT7" s="104" t="s">
        <v>609</v>
      </c>
      <c r="BU7" s="103" t="s">
        <v>1216</v>
      </c>
      <c r="BV7" s="104" t="str">
        <f t="shared" si="13"/>
        <v>Radovan Michajlovič</v>
      </c>
      <c r="BW7" s="112">
        <f t="shared" si="14"/>
        <v>4.25</v>
      </c>
      <c r="BX7" s="335" t="s">
        <v>212</v>
      </c>
      <c r="BY7" s="103" t="s">
        <v>913</v>
      </c>
      <c r="BZ7" s="103" t="s">
        <v>909</v>
      </c>
      <c r="CA7" s="115" t="s">
        <v>205</v>
      </c>
    </row>
    <row r="8" spans="1:79" ht="15" customHeight="1" x14ac:dyDescent="0.2">
      <c r="A8" s="377" t="str">
        <f ca="1">IFERROR(VLOOKUP(A6,OFFSET($AG$2,,,COUNTIF($AG$2:$AG$50,"?*"),23),18,FALSE),"")</f>
        <v/>
      </c>
      <c r="B8" s="378"/>
      <c r="C8" s="378"/>
      <c r="D8" s="379" t="str">
        <f ca="1">IFERROR(VLOOKUP(A6,OFFSET($AG$2,,,COUNTIF($AG$2:$AG$50,"?*"),23),19,FALSE),"")</f>
        <v/>
      </c>
      <c r="E8" s="379"/>
      <c r="F8" s="380"/>
      <c r="H8" s="381" t="s">
        <v>98</v>
      </c>
      <c r="I8" s="381"/>
      <c r="J8" s="381"/>
      <c r="K8" s="381"/>
      <c r="M8" s="377" t="str">
        <f ca="1">IFERROR(VLOOKUP(M6,OFFSET($AG$2,,,COUNTIF($AG$2:$AG$50,"?*"),23),18,FALSE),"")</f>
        <v/>
      </c>
      <c r="N8" s="378"/>
      <c r="O8" s="378"/>
      <c r="P8" s="379" t="str">
        <f ca="1">IFERROR(VLOOKUP(M6,OFFSET($AG$2,,,COUNTIF($AG$2:$AG$50,"?*"),23),19,FALSE),"")</f>
        <v/>
      </c>
      <c r="Q8" s="379"/>
      <c r="R8" s="380"/>
      <c r="S8" s="110" t="s">
        <v>573</v>
      </c>
      <c r="U8" s="102">
        <v>7</v>
      </c>
      <c r="V8" s="102">
        <v>1</v>
      </c>
      <c r="W8" s="102">
        <v>0</v>
      </c>
      <c r="X8" s="102">
        <v>0</v>
      </c>
      <c r="Y8" s="102">
        <v>2</v>
      </c>
      <c r="Z8" s="102">
        <v>3</v>
      </c>
      <c r="AA8" s="102">
        <v>0</v>
      </c>
      <c r="AB8" s="102">
        <v>-3</v>
      </c>
      <c r="AC8" s="102" t="str">
        <f t="shared" ca="1" si="0"/>
        <v>ANO</v>
      </c>
      <c r="AG8" s="121" t="s">
        <v>565</v>
      </c>
      <c r="AH8" s="122">
        <v>34968</v>
      </c>
      <c r="AI8" s="123">
        <v>142</v>
      </c>
      <c r="AJ8" s="123">
        <v>35</v>
      </c>
      <c r="AK8" s="123">
        <v>45</v>
      </c>
      <c r="AL8" s="124">
        <f>IF(AG8&lt;&gt;"",AJ8+AK8,"")</f>
        <v>80</v>
      </c>
      <c r="AM8" s="123">
        <v>9</v>
      </c>
      <c r="AN8" s="123">
        <v>12</v>
      </c>
      <c r="AO8" s="125"/>
      <c r="AP8" s="125" t="s">
        <v>27</v>
      </c>
      <c r="AQ8" s="123">
        <v>175</v>
      </c>
      <c r="AR8" s="123">
        <v>72</v>
      </c>
      <c r="AS8" s="126" t="s">
        <v>74</v>
      </c>
      <c r="AT8" s="123">
        <v>2010</v>
      </c>
      <c r="AU8" s="127">
        <f ca="1">IF(AG8&lt;&gt;"",IF(AH8&lt;&gt;"",INT((TODAY()-AH8)/365),"?"),"")</f>
        <v>26</v>
      </c>
      <c r="AV8" s="127" t="str">
        <f>IF(AG8&lt;&gt;"",CONCATENATE(IF(AQ8&lt;&gt;"",AQ8,"? "),"/",IF(AR8&lt;&gt;"",AR8," ?")),"")</f>
        <v>175/72</v>
      </c>
      <c r="AW8" s="128" t="str">
        <f ca="1">IF(AG8&lt;&gt;"",IF(BE8=1,BD8,IF(BH8=1,BG8,IF(BJ8=1,BI8,IF(BL8=1,BK8,BM8)))),"")</f>
        <v>Forman F.</v>
      </c>
      <c r="AX8" s="129" t="str">
        <f t="shared" ca="1" si="1"/>
        <v>7 OZ, 24 (9+15), +22 ±</v>
      </c>
      <c r="AY8" s="129" t="str">
        <f t="shared" ca="1" si="2"/>
        <v>149 OZ, 104 (44+60)</v>
      </c>
      <c r="AZ8" s="130"/>
      <c r="BA8" s="130"/>
      <c r="BB8" s="130"/>
      <c r="BC8" s="130"/>
      <c r="BD8" s="3" t="str">
        <f t="shared" si="3"/>
        <v>Forman</v>
      </c>
      <c r="BE8" s="84">
        <f t="shared" ca="1" si="4"/>
        <v>2</v>
      </c>
      <c r="BF8" s="62" t="str">
        <f t="shared" si="5"/>
        <v>F</v>
      </c>
      <c r="BG8" s="3" t="str">
        <f t="shared" ca="1" si="6"/>
        <v>Forman F.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6"/>
      <c r="BT8" s="104" t="s">
        <v>610</v>
      </c>
      <c r="BU8" s="103" t="s">
        <v>1217</v>
      </c>
      <c r="BV8" s="104" t="str">
        <f t="shared" si="13"/>
        <v>Tomáš Hyršl</v>
      </c>
      <c r="BW8" s="112">
        <f t="shared" si="14"/>
        <v>5.22</v>
      </c>
      <c r="BX8" s="335"/>
      <c r="BY8" s="103" t="s">
        <v>915</v>
      </c>
      <c r="BZ8" s="103" t="s">
        <v>908</v>
      </c>
      <c r="CA8" s="115" t="s">
        <v>205</v>
      </c>
    </row>
    <row r="9" spans="1:79" ht="15" customHeight="1" thickBot="1" x14ac:dyDescent="0.25">
      <c r="A9" s="365" t="str">
        <f ca="1">IFERROR(IF(VLOOKUP(A6,OFFSET($AG$2,,,COUNTIF($AG$2:$AG$50,"?*"),23),13,FALSE)&lt;&gt;0,VLOOKUP(A6,OFFSET($AG$2,,,COUNTIF($AG$2:$AG$50,"?*"),23),13,FALSE),"?"),"")</f>
        <v/>
      </c>
      <c r="B9" s="366"/>
      <c r="C9" s="367"/>
      <c r="D9" s="368" t="str">
        <f ca="1">IFERROR(IF(VLOOKUP(A6,OFFSET($AG$2,,,COUNTIF($AG$2:$AG$50,"?*"),23),14,FALSE)&lt;&gt;0,VLOOKUP(A6,OFFSET($AG$2,,,COUNTIF($AG$2:$AG$50,"?*"),23),14,FALSE),"?"),"")</f>
        <v/>
      </c>
      <c r="E9" s="369"/>
      <c r="F9" s="7" t="str">
        <f ca="1">IFERROR(IF(VLOOKUP(A6,OFFSET($AG$2,,,COUNTIF($AG$2:$AG$50,"?*"),23),7,FALSE)&lt;&gt;0,VLOOKUP(A6,OFFSET($AG$2,,,COUNTIF($AG$2:$AG$50,"?*"),23),7,FALSE),"?"),"")</f>
        <v/>
      </c>
      <c r="H9" s="381"/>
      <c r="I9" s="381"/>
      <c r="J9" s="381"/>
      <c r="K9" s="381"/>
      <c r="M9" s="365" t="str">
        <f ca="1">IFERROR(IF(VLOOKUP(M6,OFFSET($AG$2,,,COUNTIF($AG$2:$AG$50,"?*"),23),13,FALSE)&lt;&gt;0,VLOOKUP(M6,OFFSET($AG$2,,,COUNTIF($AG$2:$AG$50,"?*"),23),13,FALSE),"?"),"")</f>
        <v/>
      </c>
      <c r="N9" s="366"/>
      <c r="O9" s="367"/>
      <c r="P9" s="368" t="str">
        <f ca="1">IFERROR(IF(VLOOKUP(M6,OFFSET($AG$2,,,COUNTIF($AG$2:$AG$50,"?*"),23),14,FALSE)&lt;&gt;0,VLOOKUP(M6,OFFSET($AG$2,,,COUNTIF($AG$2:$AG$50,"?*"),23),14,FALSE),"?"),"")</f>
        <v/>
      </c>
      <c r="Q9" s="36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589</v>
      </c>
      <c r="T9" s="102" t="s">
        <v>64</v>
      </c>
      <c r="U9" s="102">
        <v>4</v>
      </c>
      <c r="V9" s="102">
        <v>2</v>
      </c>
      <c r="W9" s="102">
        <v>0</v>
      </c>
      <c r="X9" s="102">
        <v>0</v>
      </c>
      <c r="Y9" s="102">
        <v>0</v>
      </c>
      <c r="Z9" s="102">
        <v>2</v>
      </c>
      <c r="AA9" s="102">
        <v>0</v>
      </c>
      <c r="AB9" s="102">
        <v>2</v>
      </c>
      <c r="AC9" s="102" t="str">
        <f t="shared" ca="1" si="0"/>
        <v>ANO</v>
      </c>
      <c r="AG9" s="121" t="s">
        <v>582</v>
      </c>
      <c r="AH9" s="122">
        <v>34968</v>
      </c>
      <c r="AI9" s="123">
        <v>139</v>
      </c>
      <c r="AJ9" s="123">
        <v>26</v>
      </c>
      <c r="AK9" s="123">
        <v>11</v>
      </c>
      <c r="AL9" s="124">
        <f>IF(AG9&lt;&gt;"",AJ9+AK9,"")</f>
        <v>37</v>
      </c>
      <c r="AM9" s="123">
        <v>9</v>
      </c>
      <c r="AN9" s="123">
        <v>12</v>
      </c>
      <c r="AO9" s="125"/>
      <c r="AP9" s="125" t="s">
        <v>27</v>
      </c>
      <c r="AQ9" s="123">
        <v>175</v>
      </c>
      <c r="AR9" s="123">
        <v>72</v>
      </c>
      <c r="AS9" s="126" t="s">
        <v>74</v>
      </c>
      <c r="AT9" s="123"/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175/72</v>
      </c>
      <c r="AW9" s="128" t="str">
        <f ca="1">IF(AG9&lt;&gt;"",IF(BE9=1,BD9,IF(BH9=1,BG9,IF(BJ9=1,BI9,IF(BL9=1,BK9,BM9)))),"")</f>
        <v>Forman M.</v>
      </c>
      <c r="AX9" s="129" t="str">
        <f t="shared" ca="1" si="1"/>
        <v>0 OZ, 0 (0+0)</v>
      </c>
      <c r="AY9" s="129" t="str">
        <f t="shared" ca="1" si="2"/>
        <v>139 OZ, 37 (26+11)</v>
      </c>
      <c r="AZ9" s="130"/>
      <c r="BA9" s="130"/>
      <c r="BB9" s="130"/>
      <c r="BC9" s="130"/>
      <c r="BD9" s="89" t="str">
        <f t="shared" si="3"/>
        <v>Forman</v>
      </c>
      <c r="BE9" s="91">
        <f t="shared" ca="1" si="4"/>
        <v>2</v>
      </c>
      <c r="BF9" s="90" t="str">
        <f t="shared" si="5"/>
        <v>M</v>
      </c>
      <c r="BG9" s="89" t="str">
        <f t="shared" ca="1" si="6"/>
        <v>Forman M.</v>
      </c>
      <c r="BH9" s="90">
        <f t="shared" ca="1" si="7"/>
        <v>1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6"/>
      <c r="BV9" s="104" t="str">
        <f t="shared" si="13"/>
        <v/>
      </c>
      <c r="BW9" s="112" t="str">
        <f t="shared" si="14"/>
        <v/>
      </c>
      <c r="BX9" s="335"/>
      <c r="BY9" s="103" t="s">
        <v>945</v>
      </c>
      <c r="BZ9" s="103" t="s">
        <v>907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568</v>
      </c>
      <c r="T10" s="102" t="s">
        <v>119</v>
      </c>
      <c r="U10" s="102">
        <v>7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-7</v>
      </c>
      <c r="AC10" s="102" t="str">
        <f t="shared" ca="1" si="0"/>
        <v>ANO</v>
      </c>
      <c r="AG10" s="121" t="s">
        <v>570</v>
      </c>
      <c r="AH10" s="122">
        <v>34531</v>
      </c>
      <c r="AI10" s="123">
        <v>26</v>
      </c>
      <c r="AJ10" s="123">
        <v>0</v>
      </c>
      <c r="AK10" s="123">
        <v>0</v>
      </c>
      <c r="AL10" s="124">
        <f>IF(AG10&lt;&gt;"",AJ10+AK10,"")</f>
        <v>0</v>
      </c>
      <c r="AM10" s="123">
        <v>7</v>
      </c>
      <c r="AN10" s="123">
        <v>30</v>
      </c>
      <c r="AO10" s="125"/>
      <c r="AP10" s="125"/>
      <c r="AQ10" s="123">
        <v>185</v>
      </c>
      <c r="AR10" s="123">
        <v>75</v>
      </c>
      <c r="AS10" s="126" t="s">
        <v>74</v>
      </c>
      <c r="AT10" s="123"/>
      <c r="AU10" s="127">
        <f ca="1">IF(AG10&lt;&gt;"",IF(AH10&lt;&gt;"",INT((TODAY()-AH10)/365),"?"),"")</f>
        <v>27</v>
      </c>
      <c r="AV10" s="127" t="str">
        <f>IF(AG10&lt;&gt;"",CONCATENATE(IF(AQ10&lt;&gt;"",AQ10,"? "),"/",IF(AR10&lt;&gt;"",AR10," ?")),"")</f>
        <v>185/75</v>
      </c>
      <c r="AW10" s="128" t="str">
        <f ca="1">IF(AG10&lt;&gt;"",IF(BE10=1,BD10,IF(BH10=1,BG10,IF(BJ10=1,BI10,IF(BL10=1,BK10,BM10)))),"")</f>
        <v>Hyršl</v>
      </c>
      <c r="AX10" s="129" t="str">
        <f t="shared" ca="1" si="1"/>
        <v>2 V, 1 P</v>
      </c>
      <c r="AY10" s="129" t="str">
        <f t="shared" ca="1" si="2"/>
        <v>29 OZ, 0 A</v>
      </c>
      <c r="AZ10" s="130"/>
      <c r="BA10" s="130"/>
      <c r="BB10" s="130"/>
      <c r="BC10" s="130"/>
      <c r="BD10" s="3" t="str">
        <f t="shared" si="3"/>
        <v>Hyršl</v>
      </c>
      <c r="BE10" s="84">
        <f t="shared" ca="1" si="4"/>
        <v>1</v>
      </c>
      <c r="BF10" s="62" t="str">
        <f t="shared" si="5"/>
        <v>T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6"/>
      <c r="BV10" s="104" t="str">
        <f t="shared" si="13"/>
        <v/>
      </c>
      <c r="BW10" s="112" t="str">
        <f t="shared" si="14"/>
        <v/>
      </c>
      <c r="BX10" s="335"/>
      <c r="BY10" s="103" t="s">
        <v>1106</v>
      </c>
      <c r="BZ10" s="103" t="s">
        <v>905</v>
      </c>
      <c r="CA10" s="115" t="s">
        <v>205</v>
      </c>
    </row>
    <row r="11" spans="1:79" ht="15" customHeight="1" thickTop="1" thickBot="1" x14ac:dyDescent="0.25">
      <c r="R11" s="13"/>
      <c r="S11" s="110" t="s">
        <v>580</v>
      </c>
      <c r="T11" s="102" t="s">
        <v>119</v>
      </c>
      <c r="U11" s="102">
        <v>4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0</v>
      </c>
      <c r="AB11" s="102">
        <v>-1</v>
      </c>
      <c r="AC11" s="102" t="str">
        <f t="shared" ca="1" si="0"/>
        <v>ANO</v>
      </c>
      <c r="AG11" s="121" t="s">
        <v>583</v>
      </c>
      <c r="AH11" s="122">
        <v>37548</v>
      </c>
      <c r="AI11" s="123">
        <v>14</v>
      </c>
      <c r="AJ11" s="123">
        <v>2</v>
      </c>
      <c r="AK11" s="123">
        <v>2</v>
      </c>
      <c r="AL11" s="124">
        <f>IF(AG11&lt;&gt;"",AJ11+AK11,"")</f>
        <v>4</v>
      </c>
      <c r="AM11" s="123">
        <v>2</v>
      </c>
      <c r="AN11" s="123">
        <v>50</v>
      </c>
      <c r="AO11" s="125"/>
      <c r="AP11" s="125" t="s">
        <v>27</v>
      </c>
      <c r="AQ11" s="123">
        <v>180</v>
      </c>
      <c r="AR11" s="123">
        <v>65</v>
      </c>
      <c r="AS11" s="126" t="s">
        <v>271</v>
      </c>
      <c r="AT11" s="123">
        <v>2011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180/65</v>
      </c>
      <c r="AW11" s="128" t="str">
        <f ca="1">IF(AG11&lt;&gt;"",IF(BE11=1,BD11,IF(BH11=1,BG11,IF(BJ11=1,BI11,IF(BL11=1,BK11,BM11)))),"")</f>
        <v>Kawulok</v>
      </c>
      <c r="AX11" s="129" t="str">
        <f t="shared" ca="1" si="1"/>
        <v>0 OZ, 0 (0+0)</v>
      </c>
      <c r="AY11" s="129" t="str">
        <f t="shared" ca="1" si="2"/>
        <v>14 OZ, 4 (2+2)</v>
      </c>
      <c r="AZ11" s="130"/>
      <c r="BA11" s="130"/>
      <c r="BB11" s="130"/>
      <c r="BC11" s="130"/>
      <c r="BD11" s="89" t="str">
        <f t="shared" si="3"/>
        <v>Kawulok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6"/>
      <c r="BV11" s="104" t="str">
        <f t="shared" si="13"/>
        <v/>
      </c>
      <c r="BW11" s="112" t="str">
        <f t="shared" si="14"/>
        <v/>
      </c>
      <c r="BX11" s="335"/>
      <c r="BY11" s="103" t="s">
        <v>1196</v>
      </c>
      <c r="BZ11" s="103" t="s">
        <v>904</v>
      </c>
      <c r="CA11" s="115" t="s">
        <v>205</v>
      </c>
    </row>
    <row r="12" spans="1:79" ht="15" customHeight="1" thickTop="1" thickBot="1" x14ac:dyDescent="0.25">
      <c r="A12" s="348"/>
      <c r="B12" s="349"/>
      <c r="C12" s="349"/>
      <c r="D12" s="34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82" t="s">
        <v>7</v>
      </c>
      <c r="I12" s="382"/>
      <c r="J12" s="382"/>
      <c r="K12" s="382"/>
      <c r="M12" s="348"/>
      <c r="N12" s="349"/>
      <c r="O12" s="349"/>
      <c r="P12" s="34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473</v>
      </c>
      <c r="T12" s="102" t="s">
        <v>119</v>
      </c>
      <c r="U12" s="102">
        <v>6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0</v>
      </c>
      <c r="AB12" s="102">
        <v>-8</v>
      </c>
      <c r="AC12" s="102" t="str">
        <f t="shared" ca="1" si="0"/>
        <v>NE</v>
      </c>
      <c r="AG12" s="121" t="s">
        <v>584</v>
      </c>
      <c r="AH12" s="122">
        <v>34592</v>
      </c>
      <c r="AI12" s="123">
        <v>98</v>
      </c>
      <c r="AJ12" s="123">
        <v>40</v>
      </c>
      <c r="AK12" s="123">
        <v>58</v>
      </c>
      <c r="AL12" s="124">
        <f>IF(AG12&lt;&gt;"",AJ12+AK12,"")</f>
        <v>98</v>
      </c>
      <c r="AM12" s="123">
        <v>7</v>
      </c>
      <c r="AN12" s="123">
        <v>5</v>
      </c>
      <c r="AO12" s="125"/>
      <c r="AP12" s="125" t="s">
        <v>149</v>
      </c>
      <c r="AQ12" s="123">
        <v>184</v>
      </c>
      <c r="AR12" s="123">
        <v>85</v>
      </c>
      <c r="AS12" s="126" t="s">
        <v>74</v>
      </c>
      <c r="AT12" s="123">
        <v>2008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184/85</v>
      </c>
      <c r="AW12" s="128" t="str">
        <f ca="1">IF(AG12&lt;&gt;"",IF(BE12=1,BD12,IF(BH12=1,BG12,IF(BJ12=1,BI12,IF(BL12=1,BK12,BM12)))),"")</f>
        <v>Kisugite</v>
      </c>
      <c r="AX12" s="129" t="str">
        <f t="shared" ca="1" si="1"/>
        <v>0 OZ, 0 (0+0)</v>
      </c>
      <c r="AY12" s="129" t="str">
        <f t="shared" ca="1" si="2"/>
        <v>98 OZ, 98 (40+58)</v>
      </c>
      <c r="AZ12" s="130"/>
      <c r="BA12" s="130"/>
      <c r="BB12" s="130"/>
      <c r="BC12" s="130"/>
      <c r="BD12" s="3" t="str">
        <f t="shared" si="3"/>
        <v>Kisugite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6" t="s">
        <v>37</v>
      </c>
      <c r="BT12" s="104" t="s">
        <v>607</v>
      </c>
      <c r="BU12" s="103">
        <v>14</v>
      </c>
      <c r="BV12" s="104" t="str">
        <f t="shared" si="13"/>
        <v>Karel Petrák</v>
      </c>
      <c r="BW12" s="102">
        <f t="shared" si="14"/>
        <v>14</v>
      </c>
      <c r="BX12" s="120" t="s">
        <v>210</v>
      </c>
      <c r="BY12" s="100" t="s">
        <v>1214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1" t="str">
        <f ca="1">IFERROR(IF(VLOOKUP(A12,OFFSET($AG$2,,,COUNTIF($AG$2:$AG$50,"?*"),23),2,FALSE)&lt;&gt;0,YEAR(VLOOKUP(A12,OFFSET($AG$2,,,COUNTIF($AG$2:$AG$50,"?*"),23),2,FALSE)),""),"")</f>
        <v/>
      </c>
      <c r="C13" s="342"/>
      <c r="D13" s="117" t="str">
        <f ca="1">IFERROR(VLOOKUP(A12,OFFSET($AG$2,,,COUNTIF($AG$2:$AG$50,"?*"),23),15,FALSE),"")</f>
        <v/>
      </c>
      <c r="E13" s="343" t="str">
        <f ca="1">IFERROR(VLOOKUP(A12,OFFSET($AG$2,,,COUNTIF($AG$2:$AG$50,"?*"),23),16,FALSE),"")</f>
        <v/>
      </c>
      <c r="F13" s="344"/>
      <c r="M13" s="4" t="str">
        <f ca="1">IFERROR(IF(VLOOKUP(M12,OFFSET($AG$2,,,COUNTIF($AG$2:$AG$50,"?*"),23),10,FALSE)&lt;&gt;0,VLOOKUP(M12,OFFSET($AG$2,,,COUNTIF($AG$2:$AG$50,"?*"),23),10,FALSE),""),"")</f>
        <v/>
      </c>
      <c r="N13" s="341" t="str">
        <f ca="1">IFERROR(IF(VLOOKUP(M12,OFFSET($AG$2,,,COUNTIF($AG$2:$AG$50,"?*"),23),2,FALSE)&lt;&gt;0,YEAR(VLOOKUP(M12,OFFSET($AG$2,,,COUNTIF($AG$2:$AG$50,"?*"),23),2,FALSE)),""),"")</f>
        <v/>
      </c>
      <c r="O13" s="342"/>
      <c r="P13" s="117" t="str">
        <f ca="1">IFERROR(VLOOKUP(M12,OFFSET($AG$2,,,COUNTIF($AG$2:$AG$50,"?*"),23),15,FALSE),"")</f>
        <v/>
      </c>
      <c r="Q13" s="343" t="str">
        <f ca="1">IFERROR(VLOOKUP(M12,OFFSET($AG$2,,,COUNTIF($AG$2:$AG$50,"?*"),23),16,FALSE),"")</f>
        <v/>
      </c>
      <c r="R13" s="344"/>
      <c r="S13" s="110" t="s">
        <v>3</v>
      </c>
      <c r="T13" s="102" t="s">
        <v>64</v>
      </c>
      <c r="U13" s="102">
        <v>4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-3</v>
      </c>
      <c r="AC13" s="102" t="str">
        <f t="shared" ca="1" si="0"/>
        <v>ANO</v>
      </c>
      <c r="AG13" s="121" t="s">
        <v>116</v>
      </c>
      <c r="AH13" s="122">
        <v>34883</v>
      </c>
      <c r="AI13" s="123">
        <v>92</v>
      </c>
      <c r="AJ13" s="123">
        <v>59</v>
      </c>
      <c r="AK13" s="123">
        <v>31</v>
      </c>
      <c r="AL13" s="124">
        <f>IF(AG13&lt;&gt;"",AJ13+AK13,"")</f>
        <v>90</v>
      </c>
      <c r="AM13" s="123">
        <v>8</v>
      </c>
      <c r="AN13" s="123">
        <v>61</v>
      </c>
      <c r="AO13" s="125"/>
      <c r="AP13" s="125" t="s">
        <v>149</v>
      </c>
      <c r="AQ13" s="123">
        <v>191</v>
      </c>
      <c r="AR13" s="123">
        <v>78</v>
      </c>
      <c r="AS13" s="126" t="s">
        <v>271</v>
      </c>
      <c r="AT13" s="123"/>
      <c r="AU13" s="127">
        <f ca="1">IF(AG13&lt;&gt;"",IF(AH13&lt;&gt;"",INT((TODAY()-AH13)/365),"?"),"")</f>
        <v>26</v>
      </c>
      <c r="AV13" s="127" t="str">
        <f>IF(AG13&lt;&gt;"",CONCATENATE(IF(AQ13&lt;&gt;"",AQ13,"? "),"/",IF(AR13&lt;&gt;"",AR13," ?")),"")</f>
        <v>191/78</v>
      </c>
      <c r="AW13" s="128" t="str">
        <f ca="1">IF(AG13&lt;&gt;"",IF(BE13=1,BD13,IF(BH13=1,BG13,IF(BJ13=1,BI13,IF(BL13=1,BK13,BM13)))),"")</f>
        <v>Kopecký</v>
      </c>
      <c r="AX13" s="129" t="str">
        <f t="shared" ca="1" si="1"/>
        <v>0 OZ, 0 (0+0)</v>
      </c>
      <c r="AY13" s="129" t="str">
        <f t="shared" ca="1" si="2"/>
        <v>92 OZ, 90 (59+31)</v>
      </c>
      <c r="AZ13" s="130"/>
      <c r="BA13" s="130"/>
      <c r="BB13" s="130"/>
      <c r="BC13" s="130"/>
      <c r="BD13" s="89" t="str">
        <f t="shared" si="3"/>
        <v>Kopecký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6"/>
      <c r="BT13" s="104" t="s">
        <v>1218</v>
      </c>
      <c r="BU13" s="103">
        <v>9</v>
      </c>
      <c r="BV13" s="104" t="str">
        <f t="shared" si="13"/>
        <v>Filip Forman</v>
      </c>
      <c r="BW13" s="102">
        <f t="shared" si="14"/>
        <v>9</v>
      </c>
    </row>
    <row r="14" spans="1:79" ht="15" customHeight="1" thickTop="1" thickBot="1" x14ac:dyDescent="0.25">
      <c r="A14" s="377" t="str">
        <f ca="1">IFERROR(VLOOKUP(A12,OFFSET($AG$2,,,COUNTIF($AG$2:$AG$50,"?*"),23),18,FALSE),"")</f>
        <v/>
      </c>
      <c r="B14" s="378"/>
      <c r="C14" s="378"/>
      <c r="D14" s="379" t="str">
        <f ca="1">IFERROR(VLOOKUP(A12,OFFSET($AG$2,,,COUNTIF($AG$2:$AG$50,"?*"),23),19,FALSE),"")</f>
        <v/>
      </c>
      <c r="E14" s="379"/>
      <c r="F14" s="380"/>
      <c r="G14" s="348"/>
      <c r="H14" s="349"/>
      <c r="I14" s="349"/>
      <c r="J14" s="34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7" t="str">
        <f ca="1">IFERROR(VLOOKUP(M12,OFFSET($AG$2,,,COUNTIF($AG$2:$AG$50,"?*"),23),18,FALSE),"")</f>
        <v/>
      </c>
      <c r="N14" s="378"/>
      <c r="O14" s="378"/>
      <c r="P14" s="379" t="str">
        <f ca="1">IFERROR(VLOOKUP(M12,OFFSET($AG$2,,,COUNTIF($AG$2:$AG$50,"?*"),23),19,FALSE),"")</f>
        <v/>
      </c>
      <c r="Q14" s="379"/>
      <c r="R14" s="380"/>
      <c r="S14" s="110" t="s">
        <v>577</v>
      </c>
      <c r="U14" s="102">
        <v>5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-4</v>
      </c>
      <c r="AC14" s="102" t="str">
        <f t="shared" ca="1" si="0"/>
        <v>NE</v>
      </c>
      <c r="AG14" s="121" t="s">
        <v>573</v>
      </c>
      <c r="AH14" s="122">
        <v>37049</v>
      </c>
      <c r="AI14" s="123">
        <v>20</v>
      </c>
      <c r="AJ14" s="123">
        <v>2</v>
      </c>
      <c r="AK14" s="123">
        <v>0</v>
      </c>
      <c r="AL14" s="124">
        <f>IF(AG14&lt;&gt;"",AJ14+AK14,"")</f>
        <v>2</v>
      </c>
      <c r="AM14" s="123">
        <v>2</v>
      </c>
      <c r="AN14" s="123">
        <v>74</v>
      </c>
      <c r="AO14" s="125"/>
      <c r="AP14" s="125"/>
      <c r="AQ14" s="123"/>
      <c r="AR14" s="123"/>
      <c r="AS14" s="126" t="s">
        <v>74</v>
      </c>
      <c r="AT14" s="123">
        <v>2009</v>
      </c>
      <c r="AU14" s="127">
        <f ca="1">IF(AG14&lt;&gt;"",IF(AH14&lt;&gt;"",INT((TODAY()-AH14)/365),"?"),"")</f>
        <v>20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Kratina</v>
      </c>
      <c r="AX14" s="129" t="str">
        <f t="shared" ca="1" si="1"/>
        <v>7 OZ, 3 (1+2), -3 ±</v>
      </c>
      <c r="AY14" s="129" t="str">
        <f t="shared" ca="1" si="2"/>
        <v>27 OZ, 5 (3+2)</v>
      </c>
      <c r="AZ14" s="130"/>
      <c r="BA14" s="130"/>
      <c r="BB14" s="130"/>
      <c r="BC14" s="130"/>
      <c r="BD14" s="3" t="str">
        <f t="shared" si="3"/>
        <v>Kratina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6"/>
      <c r="BT14" s="104" t="s">
        <v>938</v>
      </c>
      <c r="BU14" s="103">
        <v>9</v>
      </c>
      <c r="BV14" s="104" t="str">
        <f t="shared" si="13"/>
        <v>Jakub Buršík</v>
      </c>
      <c r="BW14" s="102">
        <f t="shared" si="14"/>
        <v>9</v>
      </c>
    </row>
    <row r="15" spans="1:79" ht="15" customHeight="1" thickBot="1" x14ac:dyDescent="0.25">
      <c r="A15" s="365" t="str">
        <f ca="1">IFERROR(IF(VLOOKUP(A12,OFFSET($AG$2,,,COUNTIF($AG$2:$AG$50,"?*"),23),13,FALSE)&lt;&gt;0,VLOOKUP(A12,OFFSET($AG$2,,,COUNTIF($AG$2:$AG$50,"?*"),23),13,FALSE),"?"),"")</f>
        <v/>
      </c>
      <c r="B15" s="366"/>
      <c r="C15" s="367"/>
      <c r="D15" s="368" t="str">
        <f ca="1">IFERROR(IF(VLOOKUP(A12,OFFSET($AG$2,,,COUNTIF($AG$2:$AG$50,"?*"),23),14,FALSE)&lt;&gt;0,VLOOKUP(A12,OFFSET($AG$2,,,COUNTIF($AG$2:$AG$50,"?*"),23),14,FALSE),"?"),"")</f>
        <v/>
      </c>
      <c r="E15" s="36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1" t="str">
        <f ca="1">IFERROR(IF(VLOOKUP(G14,OFFSET($AG$2,,,COUNTIF($AG$2:$AG$50,"?*"),23),2,FALSE)&lt;&gt;0,YEAR(VLOOKUP(G14,OFFSET($AG$2,,,COUNTIF($AG$2:$AG$50,"?*"),23),2,FALSE)),""),"")</f>
        <v/>
      </c>
      <c r="I15" s="342"/>
      <c r="J15" s="117" t="str">
        <f ca="1">IFERROR(VLOOKUP(G14,OFFSET($AG$2,,,COUNTIF($AG$2:$AG$50,"?*"),23),15,FALSE),"")</f>
        <v/>
      </c>
      <c r="K15" s="343" t="str">
        <f ca="1">IFERROR(VLOOKUP(G14,OFFSET($AG$2,,,COUNTIF($AG$2:$AG$50,"?*"),23),16,FALSE),"")</f>
        <v/>
      </c>
      <c r="L15" s="344"/>
      <c r="M15" s="365" t="str">
        <f ca="1">IFERROR(IF(VLOOKUP(M12,OFFSET($AG$2,,,COUNTIF($AG$2:$AG$50,"?*"),23),13,FALSE)&lt;&gt;0,VLOOKUP(M12,OFFSET($AG$2,,,COUNTIF($AG$2:$AG$50,"?*"),23),13,FALSE),"?"),"")</f>
        <v/>
      </c>
      <c r="N15" s="366"/>
      <c r="O15" s="367"/>
      <c r="P15" s="368" t="str">
        <f ca="1">IFERROR(IF(VLOOKUP(M12,OFFSET($AG$2,,,COUNTIF($AG$2:$AG$50,"?*"),23),14,FALSE)&lt;&gt;0,VLOOKUP(M12,OFFSET($AG$2,,,COUNTIF($AG$2:$AG$50,"?*"),23),14,FALSE),"?"),"")</f>
        <v/>
      </c>
      <c r="Q15" s="36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578</v>
      </c>
      <c r="U15" s="102">
        <v>7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4</v>
      </c>
      <c r="AB15" s="102">
        <v>-7</v>
      </c>
      <c r="AC15" s="102" t="str">
        <f t="shared" ca="1" si="0"/>
        <v>NE</v>
      </c>
      <c r="AG15" s="121" t="s">
        <v>585</v>
      </c>
      <c r="AH15" s="122">
        <v>36111</v>
      </c>
      <c r="AI15" s="123">
        <v>141</v>
      </c>
      <c r="AJ15" s="123">
        <v>24</v>
      </c>
      <c r="AK15" s="123">
        <v>29</v>
      </c>
      <c r="AL15" s="124">
        <f>IF(AG15&lt;&gt;"",AJ15+AK15,"")</f>
        <v>53</v>
      </c>
      <c r="AM15" s="123">
        <v>7</v>
      </c>
      <c r="AN15" s="123">
        <v>98</v>
      </c>
      <c r="AO15" s="125"/>
      <c r="AP15" s="125" t="s">
        <v>149</v>
      </c>
      <c r="AQ15" s="123">
        <v>183</v>
      </c>
      <c r="AR15" s="123">
        <v>73</v>
      </c>
      <c r="AS15" s="126" t="s">
        <v>74</v>
      </c>
      <c r="AT15" s="123">
        <v>2006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183/73</v>
      </c>
      <c r="AW15" s="128" t="str">
        <f ca="1">IF(AG15&lt;&gt;"",IF(BE15=1,BD15,IF(BH15=1,BG15,IF(BJ15=1,BI15,IF(BL15=1,BK15,BM15)))),"")</f>
        <v>Krbec</v>
      </c>
      <c r="AX15" s="129" t="str">
        <f t="shared" ca="1" si="1"/>
        <v>0 OZ, 0 (0+0)</v>
      </c>
      <c r="AY15" s="129" t="str">
        <f t="shared" ca="1" si="2"/>
        <v>141 OZ, 53 (24+29)</v>
      </c>
      <c r="AZ15" s="130"/>
      <c r="BA15" s="130"/>
      <c r="BB15" s="130"/>
      <c r="BC15" s="130"/>
      <c r="BD15" s="89" t="str">
        <f t="shared" si="3"/>
        <v>Krbec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6"/>
      <c r="BT15" s="104" t="s">
        <v>861</v>
      </c>
      <c r="BU15" s="103">
        <v>4</v>
      </c>
      <c r="BV15" s="104" t="str">
        <f t="shared" si="13"/>
        <v>Jan Malič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77" t="str">
        <f ca="1">IFERROR(VLOOKUP(G14,OFFSET($AG$2,,,COUNTIF($AG$2:$AG$50,"?*"),23),18,FALSE),"")</f>
        <v/>
      </c>
      <c r="H16" s="378"/>
      <c r="I16" s="378"/>
      <c r="J16" s="379" t="str">
        <f ca="1">IFERROR(VLOOKUP(G14,OFFSET($AG$2,,,COUNTIF($AG$2:$AG$50,"?*"),23),19,FALSE),"")</f>
        <v/>
      </c>
      <c r="K16" s="379"/>
      <c r="L16" s="380"/>
      <c r="S16" s="110" t="s">
        <v>576</v>
      </c>
      <c r="T16" s="102" t="s">
        <v>64</v>
      </c>
      <c r="U16" s="102">
        <v>7</v>
      </c>
      <c r="V16" s="102">
        <v>1</v>
      </c>
      <c r="W16" s="102">
        <v>0</v>
      </c>
      <c r="X16" s="102">
        <v>0</v>
      </c>
      <c r="Y16" s="102">
        <v>0</v>
      </c>
      <c r="Z16" s="102">
        <v>1</v>
      </c>
      <c r="AA16" s="102">
        <v>0</v>
      </c>
      <c r="AB16" s="102">
        <v>-3</v>
      </c>
      <c r="AC16" s="102" t="str">
        <f t="shared" ca="1" si="0"/>
        <v>ANO</v>
      </c>
      <c r="AG16" s="121" t="s">
        <v>586</v>
      </c>
      <c r="AH16" s="122">
        <v>36331</v>
      </c>
      <c r="AI16" s="123">
        <v>117</v>
      </c>
      <c r="AJ16" s="123">
        <v>83</v>
      </c>
      <c r="AK16" s="123">
        <v>84</v>
      </c>
      <c r="AL16" s="124">
        <f>IF(AG16&lt;&gt;"",AJ16+AK16,"")</f>
        <v>167</v>
      </c>
      <c r="AM16" s="123">
        <v>6</v>
      </c>
      <c r="AN16" s="123">
        <v>9</v>
      </c>
      <c r="AO16" s="125"/>
      <c r="AP16" s="125" t="s">
        <v>149</v>
      </c>
      <c r="AQ16" s="123">
        <v>186</v>
      </c>
      <c r="AR16" s="123">
        <v>95</v>
      </c>
      <c r="AS16" s="126" t="s">
        <v>74</v>
      </c>
      <c r="AT16" s="123">
        <v>2008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186/95</v>
      </c>
      <c r="AW16" s="128" t="str">
        <f ca="1">IF(AG16&lt;&gt;"",IF(BE16=1,BD16,IF(BH16=1,BG16,IF(BJ16=1,BI16,IF(BL16=1,BK16,BM16)))),"")</f>
        <v>Krebner</v>
      </c>
      <c r="AX16" s="129" t="str">
        <f t="shared" ca="1" si="1"/>
        <v>0 OZ, 0 (0+0)</v>
      </c>
      <c r="AY16" s="129" t="str">
        <f t="shared" ca="1" si="2"/>
        <v>117 OZ, 167 (83+84)</v>
      </c>
      <c r="AZ16" s="130"/>
      <c r="BA16" s="130"/>
      <c r="BB16" s="130"/>
      <c r="BC16" s="130"/>
      <c r="BD16" s="3" t="str">
        <f t="shared" si="3"/>
        <v>Krebner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6"/>
      <c r="BT16" s="104" t="s">
        <v>862</v>
      </c>
      <c r="BU16" s="103">
        <v>2</v>
      </c>
      <c r="BV16" s="104" t="str">
        <f t="shared" si="13"/>
        <v>Adam Růžek</v>
      </c>
      <c r="BW16" s="102">
        <f t="shared" si="14"/>
        <v>2</v>
      </c>
    </row>
    <row r="17" spans="1:75" ht="15" customHeight="1" thickTop="1" thickBot="1" x14ac:dyDescent="0.25">
      <c r="A17" s="348"/>
      <c r="B17" s="349"/>
      <c r="C17" s="349"/>
      <c r="D17" s="34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5" t="str">
        <f ca="1">IFERROR(IF(VLOOKUP(G14,OFFSET($AG$2,,,COUNTIF($AG$2:$AG$50,"?*"),23),13,FALSE)&lt;&gt;0,VLOOKUP(G14,OFFSET($AG$2,,,COUNTIF($AG$2:$AG$50,"?*"),23),13,FALSE),"?"),"")</f>
        <v/>
      </c>
      <c r="H17" s="366"/>
      <c r="I17" s="367"/>
      <c r="J17" s="368" t="str">
        <f ca="1">IFERROR(IF(VLOOKUP(G14,OFFSET($AG$2,,,COUNTIF($AG$2:$AG$50,"?*"),23),14,FALSE)&lt;&gt;0,VLOOKUP(G14,OFFSET($AG$2,,,COUNTIF($AG$2:$AG$50,"?*"),23),14,FALSE),"?"),"")</f>
        <v/>
      </c>
      <c r="K17" s="369"/>
      <c r="L17" s="7" t="str">
        <f ca="1">IFERROR(IF(VLOOKUP(G14,OFFSET($AG$2,,,COUNTIF($AG$2:$AG$50,"?*"),23),7,FALSE)&lt;&gt;0,VLOOKUP(G14,OFFSET($AG$2,,,COUNTIF($AG$2:$AG$50,"?*"),23),7,FALSE),"?"),"")</f>
        <v/>
      </c>
      <c r="M17" s="348"/>
      <c r="N17" s="349"/>
      <c r="O17" s="349"/>
      <c r="P17" s="34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571</v>
      </c>
      <c r="T17" s="102" t="s">
        <v>64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579</v>
      </c>
      <c r="AH17" s="122">
        <v>32940</v>
      </c>
      <c r="AI17" s="123">
        <v>178</v>
      </c>
      <c r="AJ17" s="123">
        <v>32</v>
      </c>
      <c r="AK17" s="123">
        <v>36</v>
      </c>
      <c r="AL17" s="124">
        <f>IF(AG17&lt;&gt;"",AJ17+AK17,"")</f>
        <v>68</v>
      </c>
      <c r="AM17" s="123">
        <v>11</v>
      </c>
      <c r="AN17" s="123">
        <v>39</v>
      </c>
      <c r="AO17" s="125"/>
      <c r="AP17" s="125" t="s">
        <v>27</v>
      </c>
      <c r="AQ17" s="123">
        <v>184</v>
      </c>
      <c r="AR17" s="123">
        <v>90</v>
      </c>
      <c r="AS17" s="126" t="s">
        <v>74</v>
      </c>
      <c r="AT17" s="123"/>
      <c r="AU17" s="127">
        <f ca="1">IF(AG17&lt;&gt;"",IF(AH17&lt;&gt;"",INT((TODAY()-AH17)/365),"?"),"")</f>
        <v>31</v>
      </c>
      <c r="AV17" s="127" t="str">
        <f>IF(AG17&lt;&gt;"",CONCATENATE(IF(AQ17&lt;&gt;"",AQ17,"? "),"/",IF(AR17&lt;&gt;"",AR17," ?")),"")</f>
        <v>184/90</v>
      </c>
      <c r="AW17" s="128" t="str">
        <f ca="1">IF(AG17&lt;&gt;"",IF(BE17=1,BD17,IF(BH17=1,BG17,IF(BJ17=1,BI17,IF(BL17=1,BK17,BM17)))),"")</f>
        <v>Kuncman</v>
      </c>
      <c r="AX17" s="129" t="str">
        <f t="shared" ca="1" si="1"/>
        <v>6 OZ, 0 (0+0), -8 ±</v>
      </c>
      <c r="AY17" s="129" t="str">
        <f t="shared" ca="1" si="2"/>
        <v>184 OZ, 68 (32+36)</v>
      </c>
      <c r="AZ17" s="130"/>
      <c r="BA17" s="130"/>
      <c r="BB17" s="130"/>
      <c r="BC17" s="130"/>
      <c r="BD17" s="89" t="str">
        <f t="shared" si="3"/>
        <v>Kuncman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6" t="s">
        <v>41</v>
      </c>
      <c r="BT17" s="104" t="s">
        <v>609</v>
      </c>
      <c r="BU17" s="103">
        <v>4</v>
      </c>
      <c r="BV17" s="104" t="str">
        <f t="shared" si="13"/>
        <v>Radovan Michajlovič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1" t="str">
        <f ca="1">IFERROR(IF(VLOOKUP(A17,OFFSET($AG$2,,,COUNTIF($AG$2:$AG$50,"?*"),23),2,FALSE)&lt;&gt;0,YEAR(VLOOKUP(A17,OFFSET($AG$2,,,COUNTIF($AG$2:$AG$50,"?*"),23),2,FALSE)),""),"")</f>
        <v/>
      </c>
      <c r="C18" s="342"/>
      <c r="D18" s="150" t="str">
        <f ca="1">IFERROR(VLOOKUP(A17,OFFSET($AG$2,,,COUNTIF($AG$2:$AG$50,"?*"),23),15,FALSE),"")</f>
        <v/>
      </c>
      <c r="E18" s="343" t="str">
        <f ca="1">IFERROR(VLOOKUP(A17,OFFSET($AG$2,,,COUNTIF($AG$2:$AG$50,"?*"),23),16,FALSE),"")</f>
        <v/>
      </c>
      <c r="F18" s="344"/>
      <c r="M18" s="4" t="str">
        <f ca="1">IFERROR(IF(VLOOKUP(M17,OFFSET($AG$2,,,COUNTIF($AG$2:$AG$50,"?*"),23),10,FALSE)&lt;&gt;0,VLOOKUP(M17,OFFSET($AG$2,,,COUNTIF($AG$2:$AG$50,"?*"),23),10,FALSE),""),"")</f>
        <v/>
      </c>
      <c r="N18" s="341" t="str">
        <f ca="1">IFERROR(IF(VLOOKUP(M17,OFFSET($AG$2,,,COUNTIF($AG$2:$AG$50,"?*"),23),2,FALSE)&lt;&gt;0,YEAR(VLOOKUP(M17,OFFSET($AG$2,,,COUNTIF($AG$2:$AG$50,"?*"),23),2,FALSE)),""),"")</f>
        <v/>
      </c>
      <c r="O18" s="342"/>
      <c r="P18" s="117" t="str">
        <f ca="1">IFERROR(VLOOKUP(M17,OFFSET($AG$2,,,COUNTIF($AG$2:$AG$50,"?*"),23),15,FALSE),"")</f>
        <v/>
      </c>
      <c r="Q18" s="343" t="str">
        <f ca="1">IFERROR(VLOOKUP(M17,OFFSET($AG$2,,,COUNTIF($AG$2:$AG$50,"?*"),23),16,FALSE),"")</f>
        <v/>
      </c>
      <c r="R18" s="344"/>
      <c r="S18" s="110" t="s">
        <v>1213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566</v>
      </c>
      <c r="AH18" s="122">
        <v>37650</v>
      </c>
      <c r="AI18" s="123">
        <v>26</v>
      </c>
      <c r="AJ18" s="123">
        <v>13</v>
      </c>
      <c r="AK18" s="123">
        <v>18</v>
      </c>
      <c r="AL18" s="124">
        <f>IF(AG18&lt;&gt;"",AJ18+AK18,"")</f>
        <v>31</v>
      </c>
      <c r="AM18" s="123">
        <v>2</v>
      </c>
      <c r="AN18" s="123">
        <v>38</v>
      </c>
      <c r="AO18" s="125"/>
      <c r="AP18" s="125" t="s">
        <v>149</v>
      </c>
      <c r="AQ18" s="123">
        <v>175</v>
      </c>
      <c r="AR18" s="123">
        <v>65</v>
      </c>
      <c r="AS18" s="126" t="s">
        <v>151</v>
      </c>
      <c r="AT18" s="123">
        <v>2009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175/65</v>
      </c>
      <c r="AW18" s="128" t="str">
        <f ca="1">IF(AG18&lt;&gt;"",IF(BE18=1,BD18,IF(BH18=1,BG18,IF(BJ18=1,BI18,IF(BL18=1,BK18,BM18)))),"")</f>
        <v>Malič</v>
      </c>
      <c r="AX18" s="129" t="str">
        <f t="shared" ca="1" si="1"/>
        <v>7 OZ, 9 (4+5), +21 ±</v>
      </c>
      <c r="AY18" s="129" t="str">
        <f t="shared" ca="1" si="2"/>
        <v>33 OZ, 40 (17+23)</v>
      </c>
      <c r="AZ18" s="130"/>
      <c r="BA18" s="130"/>
      <c r="BB18" s="130"/>
      <c r="BC18" s="130"/>
      <c r="BD18" s="3" t="str">
        <f t="shared" si="3"/>
        <v>Malič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6"/>
      <c r="BT18" s="104" t="s">
        <v>610</v>
      </c>
      <c r="BU18" s="103">
        <v>2</v>
      </c>
      <c r="BV18" s="104" t="str">
        <f t="shared" si="13"/>
        <v>Tomáš Hyršl</v>
      </c>
      <c r="BW18" s="102">
        <f t="shared" si="14"/>
        <v>2</v>
      </c>
    </row>
    <row r="19" spans="1:75" ht="15" customHeight="1" x14ac:dyDescent="0.2">
      <c r="A19" s="377" t="str">
        <f ca="1">IFERROR(VLOOKUP(A17,OFFSET($AG$2,,,COUNTIF($AG$2:$AG$50,"?*"),23),18,FALSE),"")</f>
        <v/>
      </c>
      <c r="B19" s="378"/>
      <c r="C19" s="378"/>
      <c r="D19" s="379" t="str">
        <f ca="1">IFERROR(VLOOKUP(A17,OFFSET($AG$2,,,COUNTIF($AG$2:$AG$50,"?*"),23),19,FALSE),"")</f>
        <v/>
      </c>
      <c r="E19" s="379"/>
      <c r="F19" s="380"/>
      <c r="H19" s="381" t="str">
        <f>H$8</f>
        <v>BOH</v>
      </c>
      <c r="I19" s="381"/>
      <c r="J19" s="381"/>
      <c r="K19" s="381"/>
      <c r="M19" s="377" t="str">
        <f ca="1">IFERROR(VLOOKUP(M17,OFFSET($AG$2,,,COUNTIF($AG$2:$AG$50,"?*"),23),18,FALSE),"")</f>
        <v/>
      </c>
      <c r="N19" s="378"/>
      <c r="O19" s="378"/>
      <c r="P19" s="379" t="str">
        <f ca="1">IFERROR(VLOOKUP(M17,OFFSET($AG$2,,,COUNTIF($AG$2:$AG$50,"?*"),23),19,FALSE),"")</f>
        <v/>
      </c>
      <c r="Q19" s="379"/>
      <c r="R19" s="380"/>
      <c r="S19" s="110" t="s">
        <v>809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572</v>
      </c>
      <c r="AH19" s="122">
        <v>31624</v>
      </c>
      <c r="AI19" s="123">
        <v>195</v>
      </c>
      <c r="AJ19" s="123">
        <v>0</v>
      </c>
      <c r="AK19" s="123">
        <v>4</v>
      </c>
      <c r="AL19" s="124">
        <f>IF(AG19&lt;&gt;"",AJ19+AK19,"")</f>
        <v>4</v>
      </c>
      <c r="AM19" s="123">
        <v>11</v>
      </c>
      <c r="AN19" s="123">
        <v>1</v>
      </c>
      <c r="AO19" s="125"/>
      <c r="AP19" s="125"/>
      <c r="AQ19" s="123">
        <v>175</v>
      </c>
      <c r="AR19" s="123">
        <v>75</v>
      </c>
      <c r="AS19" s="126" t="s">
        <v>595</v>
      </c>
      <c r="AT19" s="123">
        <v>2000</v>
      </c>
      <c r="AU19" s="127">
        <f ca="1">IF(AG19&lt;&gt;"",IF(AH19&lt;&gt;"",INT((TODAY()-AH19)/365),"?"),"")</f>
        <v>35</v>
      </c>
      <c r="AV19" s="127" t="str">
        <f>IF(AG19&lt;&gt;"",CONCATENATE(IF(AQ19&lt;&gt;"",AQ19,"? "),"/",IF(AR19&lt;&gt;"",AR19," ?")),"")</f>
        <v>175/75</v>
      </c>
      <c r="AW19" s="128" t="str">
        <f ca="1">IF(AG19&lt;&gt;"",IF(BE19=1,BD19,IF(BH19=1,BG19,IF(BJ19=1,BI19,IF(BL19=1,BK19,BM19)))),"")</f>
        <v>Michajlovič</v>
      </c>
      <c r="AX19" s="129" t="str">
        <f t="shared" ca="1" si="1"/>
        <v>4 V, 1 P</v>
      </c>
      <c r="AY19" s="129" t="str">
        <f t="shared" ca="1" si="2"/>
        <v>200 OZ, 4 A</v>
      </c>
      <c r="AZ19" s="130"/>
      <c r="BA19" s="130"/>
      <c r="BB19" s="130"/>
      <c r="BC19" s="130"/>
      <c r="BD19" s="89" t="str">
        <f t="shared" si="3"/>
        <v>Michajlovič</v>
      </c>
      <c r="BE19" s="91">
        <f t="shared" ca="1" si="4"/>
        <v>1</v>
      </c>
      <c r="BF19" s="90" t="str">
        <f t="shared" si="5"/>
        <v>R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65" t="str">
        <f ca="1">IFERROR(IF(VLOOKUP(A17,OFFSET($AG$2,,,COUNTIF($AG$2:$AG$50,"?*"),23),13,FALSE)&lt;&gt;0,VLOOKUP(A17,OFFSET($AG$2,,,COUNTIF($AG$2:$AG$50,"?*"),23),13,FALSE),"?"),"")</f>
        <v/>
      </c>
      <c r="B20" s="366"/>
      <c r="C20" s="367"/>
      <c r="D20" s="368" t="str">
        <f ca="1">IFERROR(IF(VLOOKUP(A17,OFFSET($AG$2,,,COUNTIF($AG$2:$AG$50,"?*"),23),14,FALSE)&lt;&gt;0,VLOOKUP(A17,OFFSET($AG$2,,,COUNTIF($AG$2:$AG$50,"?*"),23),14,FALSE),"?"),"")</f>
        <v/>
      </c>
      <c r="E20" s="369"/>
      <c r="F20" s="7" t="str">
        <f ca="1">IFERROR(IF(VLOOKUP(A17,OFFSET($AG$2,,,COUNTIF($AG$2:$AG$50,"?*"),23),7,FALSE)&lt;&gt;0,VLOOKUP(A17,OFFSET($AG$2,,,COUNTIF($AG$2:$AG$50,"?*"),23),7,FALSE),"?"),"")</f>
        <v/>
      </c>
      <c r="H20" s="381"/>
      <c r="I20" s="381"/>
      <c r="J20" s="381"/>
      <c r="K20" s="381"/>
      <c r="M20" s="365" t="str">
        <f ca="1">IFERROR(IF(VLOOKUP(M17,OFFSET($AG$2,,,COUNTIF($AG$2:$AG$50,"?*"),23),13,FALSE)&lt;&gt;0,VLOOKUP(M17,OFFSET($AG$2,,,COUNTIF($AG$2:$AG$50,"?*"),23),13,FALSE),"?"),"")</f>
        <v/>
      </c>
      <c r="N20" s="366"/>
      <c r="O20" s="367"/>
      <c r="P20" s="368" t="str">
        <f ca="1">IFERROR(IF(VLOOKUP(M17,OFFSET($AG$2,,,COUNTIF($AG$2:$AG$50,"?*"),23),14,FALSE)&lt;&gt;0,VLOOKUP(M17,OFFSET($AG$2,,,COUNTIF($AG$2:$AG$50,"?*"),23),14,FALSE),"?"),"")</f>
        <v/>
      </c>
      <c r="Q20" s="36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808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587</v>
      </c>
      <c r="AH20" s="122">
        <v>37315</v>
      </c>
      <c r="AI20" s="123">
        <v>1</v>
      </c>
      <c r="AJ20" s="123">
        <v>0</v>
      </c>
      <c r="AK20" s="123">
        <v>0</v>
      </c>
      <c r="AL20" s="124">
        <f>IF(AG20&lt;&gt;"",AJ20+AK20,"")</f>
        <v>0</v>
      </c>
      <c r="AM20" s="123">
        <v>2</v>
      </c>
      <c r="AN20" s="123">
        <v>71</v>
      </c>
      <c r="AO20" s="125"/>
      <c r="AP20" s="125" t="s">
        <v>149</v>
      </c>
      <c r="AQ20" s="123"/>
      <c r="AR20" s="123"/>
      <c r="AS20" s="126" t="s">
        <v>596</v>
      </c>
      <c r="AT20" s="123">
        <v>2010</v>
      </c>
      <c r="AU20" s="127">
        <f ca="1">IF(AG20&lt;&gt;"",IF(AH20&lt;&gt;"",INT((TODAY()-AH20)/365),"?"),"")</f>
        <v>19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Otcovský</v>
      </c>
      <c r="AX20" s="129" t="str">
        <f t="shared" ca="1" si="1"/>
        <v>0 OZ, 0 (0+0)</v>
      </c>
      <c r="AY20" s="129" t="str">
        <f t="shared" ca="1" si="2"/>
        <v>1 OZ, 0 (0+0)</v>
      </c>
      <c r="AZ20" s="130"/>
      <c r="BA20" s="130"/>
      <c r="BB20" s="130"/>
      <c r="BC20" s="130"/>
      <c r="BD20" s="3" t="str">
        <f t="shared" si="3"/>
        <v>Otcovský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694</v>
      </c>
      <c r="T21" s="102" t="s">
        <v>64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NE</v>
      </c>
      <c r="AG21" s="121" t="s">
        <v>391</v>
      </c>
      <c r="AH21" s="122">
        <v>37358</v>
      </c>
      <c r="AI21" s="123">
        <v>33</v>
      </c>
      <c r="AJ21" s="123">
        <v>31</v>
      </c>
      <c r="AK21" s="123">
        <v>15</v>
      </c>
      <c r="AL21" s="124">
        <f>IF(AG21&lt;&gt;"",AJ21+AK21,"")</f>
        <v>46</v>
      </c>
      <c r="AM21" s="123">
        <v>3</v>
      </c>
      <c r="AN21" s="123">
        <v>41</v>
      </c>
      <c r="AO21" s="125"/>
      <c r="AP21" s="125" t="s">
        <v>27</v>
      </c>
      <c r="AQ21" s="123">
        <v>168</v>
      </c>
      <c r="AR21" s="123">
        <v>70</v>
      </c>
      <c r="AS21" s="126" t="s">
        <v>315</v>
      </c>
      <c r="AT21" s="123"/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168/70</v>
      </c>
      <c r="AW21" s="128" t="str">
        <f ca="1">IF(AG21&lt;&gt;"",IF(BE21=1,BD21,IF(BH21=1,BG21,IF(BJ21=1,BI21,IF(BL21=1,BK21,BM21)))),"")</f>
        <v>Pěnička</v>
      </c>
      <c r="AX21" s="129" t="str">
        <f t="shared" ca="1" si="1"/>
        <v>0 OZ, 0 (0+0)</v>
      </c>
      <c r="AY21" s="129" t="str">
        <f t="shared" ca="1" si="2"/>
        <v>33 OZ, 46 (31+15)</v>
      </c>
      <c r="AZ21" s="130"/>
      <c r="BA21" s="130"/>
      <c r="BB21" s="130"/>
      <c r="BC21" s="130"/>
      <c r="BD21" s="89" t="str">
        <f t="shared" si="3"/>
        <v>Pěnička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574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-5</v>
      </c>
      <c r="AC22" s="102" t="str">
        <f t="shared" ca="1" si="0"/>
        <v>NE</v>
      </c>
      <c r="AG22" s="121" t="s">
        <v>404</v>
      </c>
      <c r="AH22" s="122">
        <v>37578</v>
      </c>
      <c r="AI22" s="123">
        <v>15</v>
      </c>
      <c r="AJ22" s="123">
        <v>4</v>
      </c>
      <c r="AK22" s="123">
        <v>3</v>
      </c>
      <c r="AL22" s="124">
        <f>IF(AG22&lt;&gt;"",AJ22+AK22,"")</f>
        <v>7</v>
      </c>
      <c r="AM22" s="123">
        <v>2</v>
      </c>
      <c r="AN22" s="123">
        <v>80</v>
      </c>
      <c r="AO22" s="125"/>
      <c r="AP22" s="125" t="s">
        <v>149</v>
      </c>
      <c r="AQ22" s="123">
        <v>187</v>
      </c>
      <c r="AR22" s="123">
        <v>73</v>
      </c>
      <c r="AS22" s="126" t="s">
        <v>153</v>
      </c>
      <c r="AT22" s="123">
        <v>2014</v>
      </c>
      <c r="AU22" s="127">
        <f ca="1">IF(AG22&lt;&gt;"",IF(AH22&lt;&gt;"",INT((TODAY()-AH22)/365),"?"),"")</f>
        <v>18</v>
      </c>
      <c r="AV22" s="127" t="str">
        <f>IF(AG22&lt;&gt;"",CONCATENATE(IF(AQ22&lt;&gt;"",AQ22,"? "),"/",IF(AR22&lt;&gt;"",AR22," ?")),"")</f>
        <v>187/73</v>
      </c>
      <c r="AW22" s="128" t="str">
        <f ca="1">IF(AG22&lt;&gt;"",IF(BE22=1,BD22,IF(BH22=1,BG22,IF(BJ22=1,BI22,IF(BL22=1,BK22,BM22)))),"")</f>
        <v>Punčochář</v>
      </c>
      <c r="AX22" s="129" t="str">
        <f t="shared" ca="1" si="1"/>
        <v>0 OZ, 0 (0+0)</v>
      </c>
      <c r="AY22" s="129" t="str">
        <f t="shared" ca="1" si="2"/>
        <v>15 OZ, 7 (4+3)</v>
      </c>
      <c r="AZ22" s="130"/>
      <c r="BA22" s="130"/>
      <c r="BB22" s="130"/>
      <c r="BC22" s="130"/>
      <c r="BD22" s="3" t="str">
        <f t="shared" si="3"/>
        <v>Punčochář</v>
      </c>
      <c r="BE22" s="84">
        <f t="shared" ca="1" si="4"/>
        <v>1</v>
      </c>
      <c r="BF22" s="62" t="str">
        <f t="shared" si="5"/>
        <v>L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6" t="s">
        <v>38</v>
      </c>
      <c r="BT22" s="104" t="s">
        <v>611</v>
      </c>
      <c r="BU22" s="103">
        <v>15</v>
      </c>
      <c r="BV22" s="104" t="str">
        <f t="shared" si="13"/>
        <v>Filip Forman</v>
      </c>
      <c r="BW22" s="102">
        <f t="shared" si="14"/>
        <v>15</v>
      </c>
    </row>
    <row r="23" spans="1:75" ht="15" customHeight="1" thickTop="1" thickBot="1" x14ac:dyDescent="0.25">
      <c r="A23" s="348"/>
      <c r="B23" s="349"/>
      <c r="C23" s="349"/>
      <c r="D23" s="34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82" t="s">
        <v>13</v>
      </c>
      <c r="I23" s="382"/>
      <c r="J23" s="382"/>
      <c r="K23" s="382"/>
      <c r="M23" s="348"/>
      <c r="N23" s="349"/>
      <c r="O23" s="349"/>
      <c r="P23" s="34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579</v>
      </c>
      <c r="T23" s="102" t="s">
        <v>64</v>
      </c>
      <c r="U23" s="102">
        <v>6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-8</v>
      </c>
      <c r="AC23" s="102" t="str">
        <f t="shared" ca="1" si="0"/>
        <v>ANO</v>
      </c>
      <c r="AG23" s="121" t="s">
        <v>568</v>
      </c>
      <c r="AH23" s="122">
        <v>33400</v>
      </c>
      <c r="AI23" s="123">
        <v>210</v>
      </c>
      <c r="AJ23" s="123">
        <v>44</v>
      </c>
      <c r="AK23" s="123">
        <v>56</v>
      </c>
      <c r="AL23" s="124">
        <f>IF(AG23&lt;&gt;"",AJ23+AK23,"")</f>
        <v>100</v>
      </c>
      <c r="AM23" s="123">
        <v>14</v>
      </c>
      <c r="AN23" s="123">
        <v>88</v>
      </c>
      <c r="AO23" s="125"/>
      <c r="AP23" s="125" t="s">
        <v>27</v>
      </c>
      <c r="AQ23" s="123">
        <v>175</v>
      </c>
      <c r="AR23" s="123">
        <v>85</v>
      </c>
      <c r="AS23" s="126" t="s">
        <v>597</v>
      </c>
      <c r="AT23" s="123"/>
      <c r="AU23" s="127">
        <f ca="1">IF(AG23&lt;&gt;"",IF(AH23&lt;&gt;"",INT((TODAY()-AH23)/365),"?"),"")</f>
        <v>30</v>
      </c>
      <c r="AV23" s="127" t="str">
        <f>IF(AG23&lt;&gt;"",CONCATENATE(IF(AQ23&lt;&gt;"",AQ23,"? "),"/",IF(AR23&lt;&gt;"",AR23," ?")),"")</f>
        <v>175/85</v>
      </c>
      <c r="AW23" s="128" t="str">
        <f ca="1">IF(AG23&lt;&gt;"",IF(BE23=1,BD23,IF(BH23=1,BG23,IF(BJ23=1,BI23,IF(BL23=1,BK23,BM23)))),"")</f>
        <v>Růžek</v>
      </c>
      <c r="AX23" s="129" t="str">
        <f t="shared" ca="1" si="1"/>
        <v>7 OZ, 2 (2+0), -7 ±</v>
      </c>
      <c r="AY23" s="129" t="str">
        <f t="shared" ca="1" si="2"/>
        <v>217 OZ, 102 (46+56)</v>
      </c>
      <c r="AZ23" s="130"/>
      <c r="BA23" s="130"/>
      <c r="BB23" s="130"/>
      <c r="BC23" s="130"/>
      <c r="BD23" s="89" t="str">
        <f t="shared" si="3"/>
        <v>Růžek</v>
      </c>
      <c r="BE23" s="91">
        <f t="shared" ca="1" si="4"/>
        <v>1</v>
      </c>
      <c r="BF23" s="90" t="str">
        <f t="shared" si="5"/>
        <v>A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6"/>
      <c r="BT23" s="104" t="s">
        <v>608</v>
      </c>
      <c r="BU23" s="103">
        <v>7</v>
      </c>
      <c r="BV23" s="104" t="str">
        <f t="shared" si="13"/>
        <v>Jakub Buršík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1" t="str">
        <f ca="1">IFERROR(IF(VLOOKUP(A23,OFFSET($AG$2,,,COUNTIF($AG$2:$AG$50,"?*"),23),2,FALSE)&lt;&gt;0,YEAR(VLOOKUP(A23,OFFSET($AG$2,,,COUNTIF($AG$2:$AG$50,"?*"),23),2,FALSE)),""),"")</f>
        <v/>
      </c>
      <c r="C24" s="342"/>
      <c r="D24" s="117" t="str">
        <f ca="1">IFERROR(VLOOKUP(A23,OFFSET($AG$2,,,COUNTIF($AG$2:$AG$50,"?*"),23),15,FALSE),"")</f>
        <v/>
      </c>
      <c r="E24" s="343" t="str">
        <f ca="1">IFERROR(VLOOKUP(A23,OFFSET($AG$2,,,COUNTIF($AG$2:$AG$50,"?*"),23),16,FALSE),"")</f>
        <v/>
      </c>
      <c r="F24" s="344"/>
      <c r="M24" s="4" t="str">
        <f ca="1">IFERROR(IF(VLOOKUP(M23,OFFSET($AG$2,,,COUNTIF($AG$2:$AG$50,"?*"),23),10,FALSE)&lt;&gt;0,VLOOKUP(M23,OFFSET($AG$2,,,COUNTIF($AG$2:$AG$50,"?*"),23),10,FALSE),""),"")</f>
        <v/>
      </c>
      <c r="N24" s="341" t="str">
        <f ca="1">IFERROR(IF(VLOOKUP(M23,OFFSET($AG$2,,,COUNTIF($AG$2:$AG$50,"?*"),23),2,FALSE)&lt;&gt;0,YEAR(VLOOKUP(M23,OFFSET($AG$2,,,COUNTIF($AG$2:$AG$50,"?*"),23),2,FALSE)),""),"")</f>
        <v/>
      </c>
      <c r="O24" s="342"/>
      <c r="P24" s="117" t="str">
        <f ca="1">IFERROR(VLOOKUP(M23,OFFSET($AG$2,,,COUNTIF($AG$2:$AG$50,"?*"),23),15,FALSE),"")</f>
        <v/>
      </c>
      <c r="Q24" s="343" t="str">
        <f ca="1">IFERROR(VLOOKUP(M23,OFFSET($AG$2,,,COUNTIF($AG$2:$AG$50,"?*"),23),16,FALSE),"")</f>
        <v/>
      </c>
      <c r="R24" s="344"/>
      <c r="S24" s="110" t="s">
        <v>570</v>
      </c>
      <c r="T24" s="102" t="s">
        <v>117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588</v>
      </c>
      <c r="AH24" s="122">
        <v>34443</v>
      </c>
      <c r="AI24" s="123">
        <v>186</v>
      </c>
      <c r="AJ24" s="123">
        <v>156</v>
      </c>
      <c r="AK24" s="123">
        <v>90</v>
      </c>
      <c r="AL24" s="124">
        <f>IF(AG24&lt;&gt;"",AJ24+AK24,"")</f>
        <v>246</v>
      </c>
      <c r="AM24" s="123">
        <v>10</v>
      </c>
      <c r="AN24" s="123">
        <v>91</v>
      </c>
      <c r="AO24" s="125"/>
      <c r="AP24" s="125" t="s">
        <v>27</v>
      </c>
      <c r="AQ24" s="123">
        <v>185</v>
      </c>
      <c r="AR24" s="123">
        <v>82</v>
      </c>
      <c r="AS24" s="126" t="s">
        <v>317</v>
      </c>
      <c r="AT24" s="123">
        <v>2007</v>
      </c>
      <c r="AU24" s="127">
        <f ca="1">IF(AG24&lt;&gt;"",IF(AH24&lt;&gt;"",INT((TODAY()-AH24)/365),"?"),"")</f>
        <v>27</v>
      </c>
      <c r="AV24" s="127" t="str">
        <f>IF(AG24&lt;&gt;"",CONCATENATE(IF(AQ24&lt;&gt;"",AQ24,"? "),"/",IF(AR24&lt;&gt;"",AR24," ?")),"")</f>
        <v>185/82</v>
      </c>
      <c r="AW24" s="128" t="str">
        <f ca="1">IF(AG24&lt;&gt;"",IF(BE24=1,BD24,IF(BH24=1,BG24,IF(BJ24=1,BI24,IF(BL24=1,BK24,BM24)))),"")</f>
        <v>Šárka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186 OZ, 246 (156+90)</v>
      </c>
      <c r="AZ24" s="130"/>
      <c r="BA24" s="130"/>
      <c r="BB24" s="130"/>
      <c r="BC24" s="130"/>
      <c r="BD24" s="3" t="str">
        <f t="shared" si="3"/>
        <v>Šárka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6"/>
      <c r="BT24" s="104" t="s">
        <v>1219</v>
      </c>
      <c r="BU24" s="103">
        <v>5</v>
      </c>
      <c r="BV24" s="104" t="str">
        <f t="shared" si="13"/>
        <v>Jan Malič</v>
      </c>
      <c r="BW24" s="102">
        <f t="shared" si="14"/>
        <v>5</v>
      </c>
    </row>
    <row r="25" spans="1:75" ht="15" customHeight="1" thickTop="1" thickBot="1" x14ac:dyDescent="0.25">
      <c r="A25" s="377" t="str">
        <f ca="1">IFERROR(VLOOKUP(A23,OFFSET($AG$2,,,COUNTIF($AG$2:$AG$50,"?*"),23),18,FALSE),"")</f>
        <v/>
      </c>
      <c r="B25" s="378"/>
      <c r="C25" s="378"/>
      <c r="D25" s="379" t="str">
        <f ca="1">IFERROR(VLOOKUP(A23,OFFSET($AG$2,,,COUNTIF($AG$2:$AG$50,"?*"),23),19,FALSE),"")</f>
        <v/>
      </c>
      <c r="E25" s="379"/>
      <c r="F25" s="380"/>
      <c r="G25" s="348"/>
      <c r="H25" s="349"/>
      <c r="I25" s="349"/>
      <c r="J25" s="34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7" t="str">
        <f ca="1">IFERROR(VLOOKUP(M23,OFFSET($AG$2,,,COUNTIF($AG$2:$AG$50,"?*"),23),18,FALSE),"")</f>
        <v/>
      </c>
      <c r="N25" s="378"/>
      <c r="O25" s="378"/>
      <c r="P25" s="379" t="str">
        <f ca="1">IFERROR(VLOOKUP(M23,OFFSET($AG$2,,,COUNTIF($AG$2:$AG$50,"?*"),23),19,FALSE),"")</f>
        <v/>
      </c>
      <c r="Q25" s="379"/>
      <c r="R25" s="380"/>
      <c r="S25" s="110" t="s">
        <v>575</v>
      </c>
      <c r="T25" s="102" t="s">
        <v>64</v>
      </c>
      <c r="U25" s="102">
        <v>7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-8</v>
      </c>
      <c r="AC25" s="102" t="str">
        <f t="shared" ca="1" si="0"/>
        <v>ANO</v>
      </c>
      <c r="AG25" s="121" t="s">
        <v>567</v>
      </c>
      <c r="AH25" s="122">
        <v>36777</v>
      </c>
      <c r="AI25" s="123">
        <v>95</v>
      </c>
      <c r="AJ25" s="123">
        <v>47</v>
      </c>
      <c r="AK25" s="123">
        <v>47</v>
      </c>
      <c r="AL25" s="124">
        <f>IF(AG25&lt;&gt;"",AJ25+AK25,"")</f>
        <v>94</v>
      </c>
      <c r="AM25" s="123">
        <v>5</v>
      </c>
      <c r="AN25" s="123">
        <v>7</v>
      </c>
      <c r="AO25" s="125"/>
      <c r="AP25" s="125" t="s">
        <v>27</v>
      </c>
      <c r="AQ25" s="123">
        <v>190</v>
      </c>
      <c r="AR25" s="123">
        <v>76</v>
      </c>
      <c r="AS25" s="126" t="s">
        <v>74</v>
      </c>
      <c r="AT25" s="123">
        <v>2011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190/76</v>
      </c>
      <c r="AW25" s="128" t="str">
        <f ca="1">IF(AG25&lt;&gt;"",IF(BE25=1,BD25,IF(BH25=1,BG25,IF(BJ25=1,BI25,IF(BL25=1,BK25,BM25)))),"")</f>
        <v>Šebek</v>
      </c>
      <c r="AX25" s="129" t="str">
        <f t="shared" ca="1" si="15"/>
        <v>7 OZ, 5 (2+3), +20 ±</v>
      </c>
      <c r="AY25" s="129" t="str">
        <f t="shared" ca="1" si="16"/>
        <v>102 OZ, 99 (49+50)</v>
      </c>
      <c r="AZ25" s="130"/>
      <c r="BA25" s="130"/>
      <c r="BB25" s="130"/>
      <c r="BC25" s="130"/>
      <c r="BD25" s="89" t="str">
        <f t="shared" si="3"/>
        <v>Šebek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6"/>
      <c r="BT25" s="104" t="s">
        <v>939</v>
      </c>
      <c r="BU25" s="103">
        <v>5</v>
      </c>
      <c r="BV25" s="104" t="str">
        <f t="shared" si="13"/>
        <v>Karel Petrák</v>
      </c>
      <c r="BW25" s="102">
        <f t="shared" si="14"/>
        <v>5</v>
      </c>
    </row>
    <row r="26" spans="1:75" ht="15" customHeight="1" thickBot="1" x14ac:dyDescent="0.25">
      <c r="A26" s="365" t="str">
        <f ca="1">IFERROR(IF(VLOOKUP(A23,OFFSET($AG$2,,,COUNTIF($AG$2:$AG$50,"?*"),23),13,FALSE)&lt;&gt;0,VLOOKUP(A23,OFFSET($AG$2,,,COUNTIF($AG$2:$AG$50,"?*"),23),13,FALSE),"?"),"")</f>
        <v/>
      </c>
      <c r="B26" s="366"/>
      <c r="C26" s="367"/>
      <c r="D26" s="368" t="str">
        <f ca="1">IFERROR(IF(VLOOKUP(A23,OFFSET($AG$2,,,COUNTIF($AG$2:$AG$50,"?*"),23),14,FALSE)&lt;&gt;0,VLOOKUP(A23,OFFSET($AG$2,,,COUNTIF($AG$2:$AG$50,"?*"),23),14,FALSE),"?"),"")</f>
        <v/>
      </c>
      <c r="E26" s="36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1" t="str">
        <f ca="1">IFERROR(IF(VLOOKUP(G25,OFFSET($AG$2,,,COUNTIF($AG$2:$AG$50,"?*"),23),2,FALSE)&lt;&gt;0,YEAR(VLOOKUP(G25,OFFSET($AG$2,,,COUNTIF($AG$2:$AG$50,"?*"),23),2,FALSE)),""),"")</f>
        <v/>
      </c>
      <c r="I26" s="342"/>
      <c r="J26" s="117" t="str">
        <f ca="1">IFERROR(VLOOKUP(G25,OFFSET($AG$2,,,COUNTIF($AG$2:$AG$50,"?*"),23),15,FALSE),"")</f>
        <v/>
      </c>
      <c r="K26" s="343" t="str">
        <f ca="1">IFERROR(VLOOKUP(G25,OFFSET($AG$2,,,COUNTIF($AG$2:$AG$50,"?*"),23),16,FALSE),"")</f>
        <v/>
      </c>
      <c r="L26" s="344"/>
      <c r="M26" s="365" t="str">
        <f ca="1">IFERROR(IF(VLOOKUP(M23,OFFSET($AG$2,,,COUNTIF($AG$2:$AG$50,"?*"),23),13,FALSE)&lt;&gt;0,VLOOKUP(M23,OFFSET($AG$2,,,COUNTIF($AG$2:$AG$50,"?*"),23),13,FALSE),"?"),"")</f>
        <v/>
      </c>
      <c r="N26" s="366"/>
      <c r="O26" s="367"/>
      <c r="P26" s="368" t="str">
        <f ca="1">IFERROR(IF(VLOOKUP(M23,OFFSET($AG$2,,,COUNTIF($AG$2:$AG$50,"?*"),23),14,FALSE)&lt;&gt;0,VLOOKUP(M23,OFFSET($AG$2,,,COUNTIF($AG$2:$AG$50,"?*"),23),14,FALSE),"?"),"")</f>
        <v/>
      </c>
      <c r="Q26" s="369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572</v>
      </c>
      <c r="T26" s="102" t="s">
        <v>117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589</v>
      </c>
      <c r="AH26" s="122"/>
      <c r="AI26" s="123"/>
      <c r="AJ26" s="123"/>
      <c r="AK26" s="123"/>
      <c r="AL26" s="124">
        <f>IF(AG26&lt;&gt;"",AJ26+AK26,"")</f>
        <v>0</v>
      </c>
      <c r="AM26" s="123" t="s">
        <v>303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Šimáně</v>
      </c>
      <c r="AX26" s="129" t="str">
        <f t="shared" ca="1" si="15"/>
        <v>4 OZ, 2 (2+0), +2 ±</v>
      </c>
      <c r="AY26" s="129" t="str">
        <f t="shared" ca="1" si="16"/>
        <v>4 OZ, 2 (2+0)</v>
      </c>
      <c r="AZ26" s="130"/>
      <c r="BA26" s="130"/>
      <c r="BB26" s="130"/>
      <c r="BC26" s="130"/>
      <c r="BD26" s="3" t="str">
        <f t="shared" si="3"/>
        <v>Šimáně</v>
      </c>
      <c r="BE26" s="84">
        <f t="shared" ca="1" si="4"/>
        <v>1</v>
      </c>
      <c r="BF26" s="62" t="str">
        <f t="shared" si="5"/>
        <v>D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6"/>
      <c r="BT26" s="104" t="s">
        <v>1215</v>
      </c>
      <c r="BU26" s="103">
        <v>3</v>
      </c>
      <c r="BV26" s="104" t="str">
        <f t="shared" si="13"/>
        <v>Matúš Gajdoš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77" t="str">
        <f ca="1">IFERROR(VLOOKUP(G25,OFFSET($AG$2,,,COUNTIF($AG$2:$AG$50,"?*"),23),18,FALSE),"")</f>
        <v/>
      </c>
      <c r="H27" s="378"/>
      <c r="I27" s="378"/>
      <c r="J27" s="379" t="str">
        <f ca="1">IFERROR(VLOOKUP(G25,OFFSET($AG$2,,,COUNTIF($AG$2:$AG$50,"?*"),23),19,FALSE),"")</f>
        <v/>
      </c>
      <c r="K27" s="379"/>
      <c r="L27" s="380"/>
      <c r="S27" s="111"/>
      <c r="AC27" s="102" t="str">
        <f t="shared" ca="1" si="0"/>
        <v/>
      </c>
      <c r="AG27" s="121" t="s">
        <v>590</v>
      </c>
      <c r="AH27" s="122">
        <v>37331</v>
      </c>
      <c r="AI27" s="123">
        <v>37</v>
      </c>
      <c r="AJ27" s="123">
        <v>16</v>
      </c>
      <c r="AK27" s="123">
        <v>9</v>
      </c>
      <c r="AL27" s="124">
        <f>IF(AG27&lt;&gt;"",AJ27+AK27,"")</f>
        <v>25</v>
      </c>
      <c r="AM27" s="123">
        <v>3</v>
      </c>
      <c r="AN27" s="123">
        <v>99</v>
      </c>
      <c r="AO27" s="125"/>
      <c r="AP27" s="125" t="s">
        <v>149</v>
      </c>
      <c r="AQ27" s="123">
        <v>180</v>
      </c>
      <c r="AR27" s="123">
        <v>71</v>
      </c>
      <c r="AS27" s="126" t="s">
        <v>598</v>
      </c>
      <c r="AT27" s="123"/>
      <c r="AU27" s="127">
        <f ca="1">IF(AG27&lt;&gt;"",IF(AH27&lt;&gt;"",INT((TODAY()-AH27)/365),"?"),"")</f>
        <v>19</v>
      </c>
      <c r="AV27" s="127" t="str">
        <f>IF(AG27&lt;&gt;"",CONCATENATE(IF(AQ27&lt;&gt;"",AQ27,"? "),"/",IF(AR27&lt;&gt;"",AR27," ?")),"")</f>
        <v>180/71</v>
      </c>
      <c r="AW27" s="128" t="str">
        <f ca="1">IF(AG27&lt;&gt;"",IF(BE27=1,BD27,IF(BH27=1,BG27,IF(BJ27=1,BI27,IF(BL27=1,BK27,BM27)))),"")</f>
        <v>Tomčo</v>
      </c>
      <c r="AX27" s="129" t="str">
        <f t="shared" ca="1" si="15"/>
        <v>0 OZ, 0 (0+0)</v>
      </c>
      <c r="AY27" s="129" t="str">
        <f t="shared" ca="1" si="16"/>
        <v>37 OZ, 25 (16+9)</v>
      </c>
      <c r="AZ27" s="130"/>
      <c r="BA27" s="130"/>
      <c r="BB27" s="130"/>
      <c r="BC27" s="130"/>
      <c r="BD27" s="89" t="str">
        <f t="shared" si="3"/>
        <v>Tomčo</v>
      </c>
      <c r="BE27" s="91">
        <f t="shared" ca="1" si="4"/>
        <v>1</v>
      </c>
      <c r="BF27" s="90" t="str">
        <f t="shared" si="5"/>
        <v>I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6" t="s">
        <v>39</v>
      </c>
      <c r="BT27" s="104" t="s">
        <v>863</v>
      </c>
      <c r="BU27" s="103">
        <v>6</v>
      </c>
      <c r="BV27" s="104" t="str">
        <f t="shared" si="13"/>
        <v>Jan Malič</v>
      </c>
      <c r="BW27" s="102">
        <f t="shared" si="14"/>
        <v>6</v>
      </c>
    </row>
    <row r="28" spans="1:75" ht="15" customHeight="1" thickTop="1" thickBot="1" x14ac:dyDescent="0.25">
      <c r="A28" s="348"/>
      <c r="B28" s="349"/>
      <c r="C28" s="349"/>
      <c r="D28" s="34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5" t="str">
        <f ca="1">IFERROR(IF(VLOOKUP(G25,OFFSET($AG$2,,,COUNTIF($AG$2:$AG$50,"?*"),23),13,FALSE)&lt;&gt;0,VLOOKUP(G25,OFFSET($AG$2,,,COUNTIF($AG$2:$AG$50,"?*"),23),13,FALSE),"?"),"")</f>
        <v/>
      </c>
      <c r="H28" s="366"/>
      <c r="I28" s="367"/>
      <c r="J28" s="368" t="str">
        <f ca="1">IFERROR(IF(VLOOKUP(G25,OFFSET($AG$2,,,COUNTIF($AG$2:$AG$50,"?*"),23),14,FALSE)&lt;&gt;0,VLOOKUP(G25,OFFSET($AG$2,,,COUNTIF($AG$2:$AG$50,"?*"),23),14,FALSE),"?"),"")</f>
        <v/>
      </c>
      <c r="K28" s="369"/>
      <c r="L28" s="7" t="str">
        <f ca="1">IFERROR(IF(VLOOKUP(G25,OFFSET($AG$2,,,COUNTIF($AG$2:$AG$50,"?*"),23),7,FALSE)&lt;&gt;0,VLOOKUP(G25,OFFSET($AG$2,,,COUNTIF($AG$2:$AG$50,"?*"),23),7,FALSE),"?"),"")</f>
        <v/>
      </c>
      <c r="M28" s="348"/>
      <c r="N28" s="349"/>
      <c r="O28" s="349"/>
      <c r="P28" s="34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591</v>
      </c>
      <c r="AH28" s="122">
        <v>37356</v>
      </c>
      <c r="AI28" s="123">
        <v>48</v>
      </c>
      <c r="AJ28" s="123">
        <v>14</v>
      </c>
      <c r="AK28" s="123">
        <v>11</v>
      </c>
      <c r="AL28" s="124">
        <f>IF(AG28&lt;&gt;"",AJ28+AK28,"")</f>
        <v>25</v>
      </c>
      <c r="AM28" s="123">
        <v>3</v>
      </c>
      <c r="AN28" s="123">
        <v>13</v>
      </c>
      <c r="AO28" s="125"/>
      <c r="AP28" s="125" t="s">
        <v>27</v>
      </c>
      <c r="AQ28" s="123">
        <v>179</v>
      </c>
      <c r="AR28" s="123">
        <v>73</v>
      </c>
      <c r="AS28" s="126" t="s">
        <v>157</v>
      </c>
      <c r="AT28" s="123"/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179/73</v>
      </c>
      <c r="AW28" s="128" t="str">
        <f ca="1">IF(AG28&lt;&gt;"",IF(BE28=1,BD28,IF(BH28=1,BG28,IF(BJ28=1,BI28,IF(BL28=1,BK28,BM28)))),"")</f>
        <v>Vojtíšek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48 OZ, 25 (14+11)</v>
      </c>
      <c r="AZ28" s="130"/>
      <c r="BA28" s="130"/>
      <c r="BB28" s="130"/>
      <c r="BC28" s="130"/>
      <c r="BD28" s="3" t="str">
        <f t="shared" si="3"/>
        <v>Vojtíšek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6"/>
      <c r="BT28" s="104" t="s">
        <v>864</v>
      </c>
      <c r="BU28" s="103">
        <v>4</v>
      </c>
      <c r="BV28" s="104" t="str">
        <f t="shared" si="13"/>
        <v>Karel Petrák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1" t="str">
        <f ca="1">IFERROR(IF(VLOOKUP(A28,OFFSET($AG$2,,,COUNTIF($AG$2:$AG$50,"?*"),23),2,FALSE)&lt;&gt;0,YEAR(VLOOKUP(A28,OFFSET($AG$2,,,COUNTIF($AG$2:$AG$50,"?*"),23),2,FALSE)),""),"")</f>
        <v/>
      </c>
      <c r="C29" s="342"/>
      <c r="D29" s="117" t="str">
        <f ca="1">IFERROR(VLOOKUP(A28,OFFSET($AG$2,,,COUNTIF($AG$2:$AG$50,"?*"),23),15,FALSE),"")</f>
        <v/>
      </c>
      <c r="E29" s="343" t="str">
        <f ca="1">IFERROR(VLOOKUP(A28,OFFSET($AG$2,,,COUNTIF($AG$2:$AG$50,"?*"),23),16,FALSE),"")</f>
        <v/>
      </c>
      <c r="F29" s="344"/>
      <c r="M29" s="4" t="str">
        <f ca="1">IFERROR(IF(VLOOKUP(M28,OFFSET($AG$2,,,COUNTIF($AG$2:$AG$50,"?*"),23),10,FALSE)&lt;&gt;0,VLOOKUP(M28,OFFSET($AG$2,,,COUNTIF($AG$2:$AG$50,"?*"),23),10,FALSE),""),"")</f>
        <v/>
      </c>
      <c r="N29" s="341" t="str">
        <f ca="1">IFERROR(IF(VLOOKUP(M28,OFFSET($AG$2,,,COUNTIF($AG$2:$AG$50,"?*"),23),2,FALSE)&lt;&gt;0,YEAR(VLOOKUP(M28,OFFSET($AG$2,,,COUNTIF($AG$2:$AG$50,"?*"),23),2,FALSE)),""),"")</f>
        <v/>
      </c>
      <c r="O29" s="342"/>
      <c r="P29" s="117" t="str">
        <f ca="1">IFERROR(VLOOKUP(M28,OFFSET($AG$2,,,COUNTIF($AG$2:$AG$50,"?*"),23),15,FALSE),"")</f>
        <v/>
      </c>
      <c r="Q29" s="343" t="str">
        <f ca="1">IFERROR(VLOOKUP(M28,OFFSET($AG$2,,,COUNTIF($AG$2:$AG$50,"?*"),23),16,FALSE),"")</f>
        <v/>
      </c>
      <c r="R29" s="344"/>
      <c r="S29" s="111"/>
      <c r="AC29" s="102" t="str">
        <f t="shared" ca="1" si="0"/>
        <v/>
      </c>
      <c r="AG29" s="121" t="s">
        <v>592</v>
      </c>
      <c r="AH29" s="122">
        <v>37384</v>
      </c>
      <c r="AI29" s="123">
        <v>10</v>
      </c>
      <c r="AJ29" s="123">
        <v>0</v>
      </c>
      <c r="AK29" s="123">
        <v>2</v>
      </c>
      <c r="AL29" s="124">
        <f>IF(AG29&lt;&gt;"",AJ29+AK29,"")</f>
        <v>2</v>
      </c>
      <c r="AM29" s="123">
        <v>3</v>
      </c>
      <c r="AN29" s="123">
        <v>94</v>
      </c>
      <c r="AO29" s="125"/>
      <c r="AP29" s="125"/>
      <c r="AQ29" s="123">
        <v>173</v>
      </c>
      <c r="AR29" s="123">
        <v>70</v>
      </c>
      <c r="AS29" s="126" t="s">
        <v>74</v>
      </c>
      <c r="AT29" s="123"/>
      <c r="AU29" s="127">
        <f ca="1">IF(AG29&lt;&gt;"",IF(AH29&lt;&gt;"",INT((TODAY()-AH29)/365),"?"),"")</f>
        <v>19</v>
      </c>
      <c r="AV29" s="127" t="str">
        <f>IF(AG29&lt;&gt;"",CONCATENATE(IF(AQ29&lt;&gt;"",AQ29,"? "),"/",IF(AR29&lt;&gt;"",AR29," ?")),"")</f>
        <v>173/70</v>
      </c>
      <c r="AW29" s="128" t="str">
        <f ca="1">IF(AG29&lt;&gt;"",IF(BE29=1,BD29,IF(BH29=1,BG29,IF(BJ29=1,BI29,IF(BL29=1,BK29,BM29)))),"")</f>
        <v>Zavřel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10 OZ, 2 (0+2)</v>
      </c>
      <c r="AZ29" s="130"/>
      <c r="BA29" s="130"/>
      <c r="BB29" s="130"/>
      <c r="BC29" s="130"/>
      <c r="BD29" s="89" t="str">
        <f t="shared" si="3"/>
        <v>Zavřel</v>
      </c>
      <c r="BE29" s="91">
        <f t="shared" ca="1" si="4"/>
        <v>1</v>
      </c>
      <c r="BF29" s="90" t="str">
        <f t="shared" si="5"/>
        <v>J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6"/>
      <c r="BT29" s="104" t="s">
        <v>1220</v>
      </c>
      <c r="BU29" s="103">
        <v>4</v>
      </c>
      <c r="BV29" s="104" t="str">
        <f t="shared" si="13"/>
        <v>Vojtěch Bílek</v>
      </c>
      <c r="BW29" s="102">
        <f t="shared" si="14"/>
        <v>4</v>
      </c>
    </row>
    <row r="30" spans="1:75" ht="15" customHeight="1" x14ac:dyDescent="0.2">
      <c r="A30" s="377" t="str">
        <f ca="1">IFERROR(VLOOKUP(A28,OFFSET($AG$2,,,COUNTIF($AG$2:$AG$50,"?*"),23),18,FALSE),"")</f>
        <v/>
      </c>
      <c r="B30" s="378"/>
      <c r="C30" s="378"/>
      <c r="D30" s="379" t="str">
        <f ca="1">IFERROR(VLOOKUP(A28,OFFSET($AG$2,,,COUNTIF($AG$2:$AG$50,"?*"),23),19,FALSE),"")</f>
        <v/>
      </c>
      <c r="E30" s="379"/>
      <c r="F30" s="380"/>
      <c r="H30" s="381" t="str">
        <f>H$8</f>
        <v>BOH</v>
      </c>
      <c r="I30" s="381"/>
      <c r="J30" s="381"/>
      <c r="K30" s="381"/>
      <c r="M30" s="377" t="str">
        <f ca="1">IFERROR(VLOOKUP(M28,OFFSET($AG$2,,,COUNTIF($AG$2:$AG$50,"?*"),23),18,FALSE),"")</f>
        <v/>
      </c>
      <c r="N30" s="378"/>
      <c r="O30" s="378"/>
      <c r="P30" s="379" t="str">
        <f ca="1">IFERROR(VLOOKUP(M28,OFFSET($AG$2,,,COUNTIF($AG$2:$AG$50,"?*"),23),19,FALSE),"")</f>
        <v/>
      </c>
      <c r="Q30" s="379"/>
      <c r="R30" s="380"/>
      <c r="S30" s="111"/>
      <c r="AC30" s="102" t="str">
        <f t="shared" ca="1" si="0"/>
        <v/>
      </c>
      <c r="AG30" s="121" t="s">
        <v>571</v>
      </c>
      <c r="AH30" s="122">
        <v>33195</v>
      </c>
      <c r="AI30" s="123">
        <v>276</v>
      </c>
      <c r="AJ30" s="123">
        <v>29</v>
      </c>
      <c r="AK30" s="123">
        <v>54</v>
      </c>
      <c r="AL30" s="124">
        <f>IF(AG30&lt;&gt;"",AJ30+AK30,"")</f>
        <v>83</v>
      </c>
      <c r="AM30" s="123">
        <v>14</v>
      </c>
      <c r="AN30" s="123">
        <v>3</v>
      </c>
      <c r="AO30" s="125" t="s">
        <v>166</v>
      </c>
      <c r="AP30" s="125" t="s">
        <v>149</v>
      </c>
      <c r="AQ30" s="123">
        <v>186</v>
      </c>
      <c r="AR30" s="123">
        <v>88</v>
      </c>
      <c r="AS30" s="126" t="s">
        <v>599</v>
      </c>
      <c r="AT30" s="123"/>
      <c r="AU30" s="127">
        <f ca="1">IF(AG30&lt;&gt;"",IF(AH30&lt;&gt;"",INT((TODAY()-AH30)/365),"?"),"")</f>
        <v>30</v>
      </c>
      <c r="AV30" s="127" t="str">
        <f>IF(AG30&lt;&gt;"",CONCATENATE(IF(AQ30&lt;&gt;"",AQ30,"? "),"/",IF(AR30&lt;&gt;"",AR30," ?")),"")</f>
        <v>186/88</v>
      </c>
      <c r="AW30" s="128" t="str">
        <f ca="1">IF(AG30&lt;&gt;"",IF(BE30=1,BD30,IF(BH30=1,BG30,IF(BJ30=1,BI30,IF(BL30=1,BK30,BM30)))),"")</f>
        <v>Zezulka</v>
      </c>
      <c r="AX30" s="129" t="str">
        <f t="shared" ca="1" si="17"/>
        <v>1 OZ, 0 (0+0), 0 ±</v>
      </c>
      <c r="AY30" s="129" t="str">
        <f t="shared" ca="1" si="16"/>
        <v>277 OZ, 83 (29+54)</v>
      </c>
      <c r="AZ30" s="130"/>
      <c r="BA30" s="130"/>
      <c r="BB30" s="130"/>
      <c r="BC30" s="130"/>
      <c r="BD30" s="3" t="str">
        <f t="shared" si="3"/>
        <v>Zezulka</v>
      </c>
      <c r="BE30" s="84">
        <f t="shared" ca="1" si="4"/>
        <v>1</v>
      </c>
      <c r="BF30" s="62" t="str">
        <f t="shared" si="5"/>
        <v>V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36"/>
      <c r="BT30" s="104" t="s">
        <v>1221</v>
      </c>
      <c r="BU30" s="103">
        <v>2</v>
      </c>
      <c r="BV30" s="104" t="str">
        <f t="shared" si="13"/>
        <v>Filip Forman</v>
      </c>
      <c r="BW30" s="102">
        <f t="shared" si="14"/>
        <v>2</v>
      </c>
    </row>
    <row r="31" spans="1:75" ht="15" customHeight="1" thickBot="1" x14ac:dyDescent="0.25">
      <c r="A31" s="365" t="str">
        <f ca="1">IFERROR(IF(VLOOKUP(A28,OFFSET($AG$2,,,COUNTIF($AG$2:$AG$50,"?*"),23),13,FALSE)&lt;&gt;0,VLOOKUP(A28,OFFSET($AG$2,,,COUNTIF($AG$2:$AG$50,"?*"),23),13,FALSE),"?"),"")</f>
        <v/>
      </c>
      <c r="B31" s="366"/>
      <c r="C31" s="367"/>
      <c r="D31" s="368" t="str">
        <f ca="1">IFERROR(IF(VLOOKUP(A28,OFFSET($AG$2,,,COUNTIF($AG$2:$AG$50,"?*"),23),14,FALSE)&lt;&gt;0,VLOOKUP(A28,OFFSET($AG$2,,,COUNTIF($AG$2:$AG$50,"?*"),23),14,FALSE),"?"),"")</f>
        <v/>
      </c>
      <c r="E31" s="369"/>
      <c r="F31" s="7" t="str">
        <f ca="1">IFERROR(IF(VLOOKUP(A28,OFFSET($AG$2,,,COUNTIF($AG$2:$AG$50,"?*"),23),7,FALSE)&lt;&gt;0,VLOOKUP(A28,OFFSET($AG$2,,,COUNTIF($AG$2:$AG$50,"?*"),23),7,FALSE),"?"),"")</f>
        <v/>
      </c>
      <c r="H31" s="381"/>
      <c r="I31" s="381"/>
      <c r="J31" s="381"/>
      <c r="K31" s="381"/>
      <c r="M31" s="365" t="str">
        <f ca="1">IFERROR(IF(VLOOKUP(M28,OFFSET($AG$2,,,COUNTIF($AG$2:$AG$50,"?*"),23),13,FALSE)&lt;&gt;0,VLOOKUP(M28,OFFSET($AG$2,,,COUNTIF($AG$2:$AG$50,"?*"),23),13,FALSE),"?"),"")</f>
        <v/>
      </c>
      <c r="N31" s="366"/>
      <c r="O31" s="367"/>
      <c r="P31" s="368" t="str">
        <f ca="1">IFERROR(IF(VLOOKUP(M28,OFFSET($AG$2,,,COUNTIF($AG$2:$AG$50,"?*"),23),14,FALSE)&lt;&gt;0,VLOOKUP(M28,OFFSET($AG$2,,,COUNTIF($AG$2:$AG$50,"?*"),23),14,FALSE),"?"),"")</f>
        <v/>
      </c>
      <c r="Q31" s="36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6"/>
      <c r="BT31" s="104" t="s">
        <v>1222</v>
      </c>
      <c r="BU31" s="103">
        <v>2</v>
      </c>
      <c r="BV31" s="104" t="str">
        <f t="shared" si="13"/>
        <v>Jakub Buršík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8"/>
      <c r="B34" s="349"/>
      <c r="C34" s="349"/>
      <c r="D34" s="34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6" t="s">
        <v>16</v>
      </c>
      <c r="J34" s="348"/>
      <c r="K34" s="349"/>
      <c r="L34" s="349"/>
      <c r="M34" s="349"/>
      <c r="N34" s="349"/>
      <c r="O34" s="349"/>
      <c r="P34" s="34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1" t="str">
        <f ca="1">IFERROR(IF(VLOOKUP(A34,OFFSET($AG$2,,,COUNTIF($AG$2:$AG$50,"?*"),23),2,FALSE)&lt;&gt;0,YEAR(VLOOKUP(A34,OFFSET($AG$2,,,COUNTIF($AG$2:$AG$50,"?*"),23),2,FALSE)),""),"")</f>
        <v/>
      </c>
      <c r="C35" s="342"/>
      <c r="D35" s="117" t="str">
        <f ca="1">IFERROR(VLOOKUP(A34,OFFSET($AG$2,,,COUNTIF($AG$2:$AG$50,"?*"),23),15,FALSE),"")</f>
        <v/>
      </c>
      <c r="E35" s="343" t="str">
        <f ca="1">IFERROR(VLOOKUP(A34,OFFSET($AG$2,,,COUNTIF($AG$2:$AG$50,"?*"),23),16,FALSE),"")</f>
        <v/>
      </c>
      <c r="F35" s="344"/>
      <c r="H35" s="376"/>
      <c r="J35" s="4" t="str">
        <f ca="1">IFERROR(IF(VLOOKUP(J34,OFFSET($AG$2,,,COUNTIF($AG$2:$AG$50,"?*"),23),10,FALSE)&lt;&gt;0,VLOOKUP(J34,OFFSET($AG$2,,,COUNTIF($AG$2:$AG$50,"?*"),23),10,FALSE),""),"")</f>
        <v/>
      </c>
      <c r="K35" s="342" t="str">
        <f ca="1">IFERROR(IF(VLOOKUP(J34,OFFSET($AG$2,,,COUNTIF($AG$2:$AG$50,"?*"),23),2,FALSE)&lt;&gt;0,YEAR(VLOOKUP(J34,OFFSET($AG$2,,,COUNTIF($AG$2:$AG$50,"?*"),23),2,FALSE)),""),"")</f>
        <v/>
      </c>
      <c r="L35" s="350"/>
      <c r="M35" s="118" t="str">
        <f ca="1">IFERROR(VLOOKUP(J34,OFFSET($AG$2,,,COUNTIF($AG$2:$AG$50,"?*"),23),15,FALSE),"")</f>
        <v/>
      </c>
      <c r="N35" s="350" t="str">
        <f ca="1">IFERROR(VLOOKUP(J34,OFFSET($AG$2,,,COUNTIF($AG$2:$AG$50,"?*"),23),16,FALSE),"")</f>
        <v/>
      </c>
      <c r="O35" s="350"/>
      <c r="P35" s="350" t="str">
        <f ca="1">IFERROR(VLOOKUP(J34,OFFSET($AG$2,,,COUNTIF($AG$2:$AG$50,"?*"),23),18,FALSE),"")</f>
        <v/>
      </c>
      <c r="Q35" s="350"/>
      <c r="R35" s="35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5" t="str">
        <f ca="1">IFERROR(VLOOKUP(A34,OFFSET($AG$2,,,COUNTIF($AG$2:$AG$50,"?*"),23),18,FALSE),"")</f>
        <v/>
      </c>
      <c r="C36" s="345"/>
      <c r="D36" s="346" t="str">
        <f ca="1">IFERROR(VLOOKUP(A34,OFFSET($S$45,,,COUNTIF($S$45:$S$50,"?*"),14),5,FALSE),"")</f>
        <v/>
      </c>
      <c r="E36" s="347"/>
      <c r="F36" s="17" t="str">
        <f ca="1">IFERROR(VLOOKUP(A34,OFFSET($S$45,,,COUNTIF($S$45:$S$50,"?*"),14),14,FALSE),"")</f>
        <v/>
      </c>
      <c r="H36" s="376"/>
      <c r="J36" s="18" t="str">
        <f ca="1">IFERROR(IF(VLOOKUP(J34,OFFSET($AG$2,,,COUNTIF($AG$2:$AG$50,"?*"),23),7,FALSE)&lt;&gt;0,VLOOKUP(J34,OFFSET($AG$2,,,COUNTIF($AG$2:$AG$50,"?*"),23),7,FALSE),"?"),"")</f>
        <v/>
      </c>
      <c r="K36" s="352" t="str">
        <f ca="1">IFERROR(VLOOKUP(J34,OFFSET($AG$2,,,COUNTIF($AG$2:$AG$50,"?*"),23),19,FALSE),"")</f>
        <v/>
      </c>
      <c r="L36" s="352"/>
      <c r="M36" s="352"/>
      <c r="N36" s="353" t="str">
        <f ca="1">IFERROR(IF(VLOOKUP(J34,OFFSET($AG$2,,,COUNTIF($AG$2:$AG$50,"?*"),23),13,FALSE)&lt;&gt;0,VLOOKUP(J34,OFFSET($AG$2,,,COUNTIF($AG$2:$AG$50,"?*"),23),13,FALSE),"?"),"")</f>
        <v/>
      </c>
      <c r="O36" s="353"/>
      <c r="P36" s="353"/>
      <c r="Q36" s="352" t="str">
        <f ca="1">IFERROR(IF(VLOOKUP(J34,OFFSET($AG$2,,,COUNTIF($AG$2:$AG$50,"?*"),23),14,FALSE)&lt;&gt;0,VLOOKUP(J34,OFFSET($AG$2,,,COUNTIF($AG$2:$AG$50,"?*"),23),14,FALSE),"?"),"")</f>
        <v/>
      </c>
      <c r="R36" s="35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0" t="str">
        <f ca="1">IFERROR(VLOOKUP(A34,OFFSET($S$45,,,COUNTIF($S$45:$S$50,"?*"),14),3,FALSE),"")</f>
        <v/>
      </c>
      <c r="B37" s="371"/>
      <c r="C37" s="372" t="str">
        <f ca="1">IFERROR(VLOOKUP(A34,OFFSET($S$45,,,COUNTIF($S$45:$S$50,"?*"),14),13,FALSE),"")</f>
        <v/>
      </c>
      <c r="D37" s="373"/>
      <c r="E37" s="374" t="str">
        <f ca="1">IFERROR(VLOOKUP(A34,OFFSET($AG$2,,,COUNTIF($AG$2:$AG$50,"?*"),23),19,FALSE),"")</f>
        <v/>
      </c>
      <c r="F37" s="375"/>
      <c r="H37" s="37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5" t="str">
        <f ca="1">IFERROR(IF(VLOOKUP(A34,OFFSET($AG$2,,,COUNTIF($AG$2:$AG$50,"?*"),23),13,FALSE)&lt;&gt;0,VLOOKUP(A34,OFFSET($AG$2,,,COUNTIF($AG$2:$AG$50,"?*"),23),13,FALSE),"?"),"")</f>
        <v/>
      </c>
      <c r="B38" s="366"/>
      <c r="C38" s="367"/>
      <c r="D38" s="368" t="str">
        <f ca="1">IFERROR(IF(VLOOKUP(A34,OFFSET($AG$2,,,COUNTIF($AG$2:$AG$50,"?*"),23),14,FALSE)&lt;&gt;0,VLOOKUP(A34,OFFSET($AG$2,,,COUNTIF($AG$2:$AG$50,"?*"),23),14,FALSE),"?"),"")</f>
        <v/>
      </c>
      <c r="E38" s="369"/>
      <c r="F38" s="19" t="str">
        <f ca="1">IFERROR(VLOOKUP(A34,OFFSET($S$45,,,COUNTIF($S$45:$S$50,"?*"),14),6,FALSE),"")</f>
        <v/>
      </c>
      <c r="H38" s="376"/>
      <c r="J38" s="348"/>
      <c r="K38" s="349"/>
      <c r="L38" s="349"/>
      <c r="M38" s="349"/>
      <c r="N38" s="349"/>
      <c r="O38" s="349"/>
      <c r="P38" s="34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6"/>
      <c r="J39" s="4" t="str">
        <f ca="1">IFERROR(IF(VLOOKUP(J38,OFFSET($AG$2,,,COUNTIF($AG$2:$AG$50,"?*"),23),10,FALSE)&lt;&gt;0,VLOOKUP(J38,OFFSET($AG$2,,,COUNTIF($AG$2:$AG$50,"?*"),23),10,FALSE),""),"")</f>
        <v/>
      </c>
      <c r="K39" s="342" t="str">
        <f ca="1">IFERROR(IF(VLOOKUP(J38,OFFSET($AG$2,,,COUNTIF($AG$2:$AG$50,"?*"),23),2,FALSE)&lt;&gt;0,YEAR(VLOOKUP(J38,OFFSET($AG$2,,,COUNTIF($AG$2:$AG$50,"?*"),23),2,FALSE)),""),"")</f>
        <v/>
      </c>
      <c r="L39" s="350"/>
      <c r="M39" s="151" t="str">
        <f ca="1">IFERROR(VLOOKUP(J38,OFFSET($AG$2,,,COUNTIF($AG$2:$AG$50,"?*"),23),15,FALSE),"")</f>
        <v/>
      </c>
      <c r="N39" s="350" t="str">
        <f ca="1">IFERROR(VLOOKUP(J38,OFFSET($AG$2,,,COUNTIF($AG$2:$AG$50,"?*"),23),16,FALSE),"")</f>
        <v/>
      </c>
      <c r="O39" s="350"/>
      <c r="P39" s="350" t="str">
        <f ca="1">IFERROR(VLOOKUP(J38,OFFSET($AG$2,,,COUNTIF($AG$2:$AG$50,"?*"),23),18,FALSE),"")</f>
        <v/>
      </c>
      <c r="Q39" s="350"/>
      <c r="R39" s="35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8"/>
      <c r="B40" s="349"/>
      <c r="C40" s="349"/>
      <c r="D40" s="34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6"/>
      <c r="J40" s="18" t="str">
        <f ca="1">IFERROR(IF(VLOOKUP(J38,OFFSET($AG$2,,,COUNTIF($AG$2:$AG$50,"?*"),23),7,FALSE)&lt;&gt;0,VLOOKUP(J38,OFFSET($AG$2,,,COUNTIF($AG$2:$AG$50,"?*"),23),7,FALSE),"?"),"")</f>
        <v/>
      </c>
      <c r="K40" s="352" t="str">
        <f ca="1">IFERROR(VLOOKUP(J38,OFFSET($AG$2,,,COUNTIF($AG$2:$AG$50,"?*"),23),19,FALSE),"")</f>
        <v/>
      </c>
      <c r="L40" s="352"/>
      <c r="M40" s="352"/>
      <c r="N40" s="353" t="str">
        <f ca="1">IFERROR(IF(VLOOKUP(J38,OFFSET($AG$2,,,COUNTIF($AG$2:$AG$50,"?*"),23),13,FALSE)&lt;&gt;0,VLOOKUP(J38,OFFSET($AG$2,,,COUNTIF($AG$2:$AG$50,"?*"),23),13,FALSE),"?"),"")</f>
        <v/>
      </c>
      <c r="O40" s="353"/>
      <c r="P40" s="353"/>
      <c r="Q40" s="352" t="str">
        <f ca="1">IFERROR(IF(VLOOKUP(J38,OFFSET($AG$2,,,COUNTIF($AG$2:$AG$50,"?*"),23),14,FALSE)&lt;&gt;0,VLOOKUP(J38,OFFSET($AG$2,,,COUNTIF($AG$2:$AG$50,"?*"),23),14,FALSE),"?"),"")</f>
        <v/>
      </c>
      <c r="R40" s="35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1" t="str">
        <f ca="1">IFERROR(IF(VLOOKUP(A40,OFFSET($AG$2,,,COUNTIF($AG$2:$AG$50,"?*"),23),2,FALSE)&lt;&gt;0,YEAR(VLOOKUP(A40,OFFSET($AG$2,,,COUNTIF($AG$2:$AG$50,"?*"),23),2,FALSE)),""),"")</f>
        <v/>
      </c>
      <c r="C41" s="342"/>
      <c r="D41" s="117" t="str">
        <f ca="1">IFERROR(VLOOKUP(A40,OFFSET($AG$2,,,COUNTIF($AG$2:$AG$50,"?*"),23),15,FALSE),"")</f>
        <v/>
      </c>
      <c r="E41" s="343" t="str">
        <f ca="1">IFERROR(VLOOKUP(A40,OFFSET($AG$2,,,COUNTIF($AG$2:$AG$50,"?*"),23),16,FALSE),"")</f>
        <v/>
      </c>
      <c r="F41" s="344"/>
      <c r="H41" s="37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5" t="str">
        <f ca="1">IFERROR(VLOOKUP(A40,OFFSET($AG$2,,,COUNTIF($AG$2:$AG$50,"?*"),23),18,FALSE),"")</f>
        <v/>
      </c>
      <c r="C42" s="345"/>
      <c r="D42" s="346" t="str">
        <f ca="1">IFERROR(VLOOKUP(A40,OFFSET($S$45,,,COUNTIF($S$45:$S$50,"?*"),14),5,FALSE),"")</f>
        <v/>
      </c>
      <c r="E42" s="347"/>
      <c r="F42" s="17" t="str">
        <f ca="1">IFERROR(VLOOKUP(A40,OFFSET($S$45,,,COUNTIF($S$45:$S$50,"?*"),14),14,FALSE),"")</f>
        <v/>
      </c>
      <c r="H42" s="376"/>
      <c r="J42" s="348"/>
      <c r="K42" s="349"/>
      <c r="L42" s="349"/>
      <c r="M42" s="349"/>
      <c r="N42" s="349"/>
      <c r="O42" s="349"/>
      <c r="P42" s="34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0" t="str">
        <f ca="1">IFERROR(VLOOKUP(A40,OFFSET($S$45,,,COUNTIF($S$45:$S$50,"?*"),14),3,FALSE),"")</f>
        <v/>
      </c>
      <c r="B43" s="371"/>
      <c r="C43" s="372" t="str">
        <f ca="1">IFERROR(VLOOKUP(A40,OFFSET($S$45,,,COUNTIF($S$45:$S$50,"?*"),14),13,FALSE),"")</f>
        <v/>
      </c>
      <c r="D43" s="373"/>
      <c r="E43" s="374" t="str">
        <f ca="1">IFERROR(VLOOKUP(A40,OFFSET($AG$2,,,COUNTIF($AG$2:$AG$50,"?*"),23),19,FALSE),"")</f>
        <v/>
      </c>
      <c r="F43" s="375"/>
      <c r="H43" s="376"/>
      <c r="J43" s="4" t="str">
        <f ca="1">IFERROR(IF(VLOOKUP(J42,OFFSET($AG$2,,,COUNTIF($AG$2:$AG$50,"?*"),23),10,FALSE)&lt;&gt;0,VLOOKUP(J42,OFFSET($AG$2,,,COUNTIF($AG$2:$AG$50,"?*"),23),10,FALSE),""),"")</f>
        <v/>
      </c>
      <c r="K43" s="342" t="str">
        <f ca="1">IFERROR(IF(VLOOKUP(J42,OFFSET($AG$2,,,COUNTIF($AG$2:$AG$50,"?*"),23),2,FALSE)&lt;&gt;0,YEAR(VLOOKUP(J42,OFFSET($AG$2,,,COUNTIF($AG$2:$AG$50,"?*"),23),2,FALSE)),""),"")</f>
        <v/>
      </c>
      <c r="L43" s="350"/>
      <c r="M43" s="151" t="str">
        <f ca="1">IFERROR(VLOOKUP(J42,OFFSET($AG$2,,,COUNTIF($AG$2:$AG$50,"?*"),23),15,FALSE),"")</f>
        <v/>
      </c>
      <c r="N43" s="350" t="str">
        <f ca="1">IFERROR(VLOOKUP(J42,OFFSET($AG$2,,,COUNTIF($AG$2:$AG$50,"?*"),23),16,FALSE),"")</f>
        <v/>
      </c>
      <c r="O43" s="350"/>
      <c r="P43" s="350" t="str">
        <f ca="1">IFERROR(VLOOKUP(J42,OFFSET($AG$2,,,COUNTIF($AG$2:$AG$50,"?*"),23),18,FALSE),"")</f>
        <v/>
      </c>
      <c r="Q43" s="350"/>
      <c r="R43" s="351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5" t="str">
        <f ca="1">IFERROR(IF(VLOOKUP(A40,OFFSET($AG$2,,,COUNTIF($AG$2:$AG$50,"?*"),23),13,FALSE)&lt;&gt;0,VLOOKUP(A40,OFFSET($AG$2,,,COUNTIF($AG$2:$AG$50,"?*"),23),13,FALSE),"?"),"")</f>
        <v/>
      </c>
      <c r="B44" s="366"/>
      <c r="C44" s="367"/>
      <c r="D44" s="368" t="str">
        <f ca="1">IFERROR(IF(VLOOKUP(A40,OFFSET($AG$2,,,COUNTIF($AG$2:$AG$50,"?*"),23),14,FALSE)&lt;&gt;0,VLOOKUP(A40,OFFSET($AG$2,,,COUNTIF($AG$2:$AG$50,"?*"),23),14,FALSE),"?"),"")</f>
        <v/>
      </c>
      <c r="E44" s="369"/>
      <c r="F44" s="19" t="str">
        <f ca="1">IFERROR(VLOOKUP(A40,OFFSET($S$45,,,COUNTIF($S$45:$S$50,"?*"),14),6,FALSE),"")</f>
        <v/>
      </c>
      <c r="H44" s="376"/>
      <c r="J44" s="18" t="str">
        <f ca="1">IFERROR(IF(VLOOKUP(J42,OFFSET($AG$2,,,COUNTIF($AG$2:$AG$50,"?*"),23),7,FALSE)&lt;&gt;0,VLOOKUP(J42,OFFSET($AG$2,,,COUNTIF($AG$2:$AG$50,"?*"),23),7,FALSE),"?"),"")</f>
        <v/>
      </c>
      <c r="K44" s="352" t="str">
        <f ca="1">IFERROR(VLOOKUP(J42,OFFSET($AG$2,,,COUNTIF($AG$2:$AG$50,"?*"),23),19,FALSE),"")</f>
        <v/>
      </c>
      <c r="L44" s="352"/>
      <c r="M44" s="352"/>
      <c r="N44" s="353" t="str">
        <f ca="1">IFERROR(IF(VLOOKUP(J42,OFFSET($AG$2,,,COUNTIF($AG$2:$AG$50,"?*"),23),13,FALSE)&lt;&gt;0,VLOOKUP(J42,OFFSET($AG$2,,,COUNTIF($AG$2:$AG$50,"?*"),23),13,FALSE),"?"),"")</f>
        <v/>
      </c>
      <c r="O44" s="353"/>
      <c r="P44" s="353"/>
      <c r="Q44" s="352" t="str">
        <f ca="1">IFERROR(IF(VLOOKUP(J42,OFFSET($AG$2,,,COUNTIF($AG$2:$AG$50,"?*"),23),14,FALSE)&lt;&gt;0,VLOOKUP(J42,OFFSET($AG$2,,,COUNTIF($AG$2:$AG$50,"?*"),23),14,FALSE),"?"),"")</f>
        <v/>
      </c>
      <c r="R44" s="354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572</v>
      </c>
      <c r="T45" s="102">
        <v>5</v>
      </c>
      <c r="U45" s="112">
        <v>282.17</v>
      </c>
      <c r="V45" s="102">
        <v>4</v>
      </c>
      <c r="W45" s="102">
        <v>20</v>
      </c>
      <c r="X45" s="102">
        <v>0</v>
      </c>
      <c r="Y45" s="102">
        <v>104</v>
      </c>
      <c r="Z45" s="102">
        <v>0</v>
      </c>
      <c r="AA45" s="102">
        <v>1</v>
      </c>
      <c r="AB45" s="102">
        <v>84</v>
      </c>
      <c r="AC45" s="102">
        <v>0</v>
      </c>
      <c r="AD45" s="102">
        <v>0</v>
      </c>
      <c r="AE45" s="112">
        <f>IF(S45&lt;&gt;"",IF(T45&gt;0,W45/(U45/60),0),"")</f>
        <v>4.2527554311230817</v>
      </c>
      <c r="AF45" s="112">
        <f>IF(S45&lt;&gt;"",IF(Y45&gt;0,(AB45/Y45)*100,"-"),"")</f>
        <v>80.769230769230774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570</v>
      </c>
      <c r="T46" s="102">
        <v>3</v>
      </c>
      <c r="U46" s="112">
        <v>137.83000000000001</v>
      </c>
      <c r="V46" s="102">
        <v>2</v>
      </c>
      <c r="W46" s="102">
        <v>12</v>
      </c>
      <c r="X46" s="102">
        <v>0</v>
      </c>
      <c r="Y46" s="102">
        <v>49</v>
      </c>
      <c r="Z46" s="102">
        <v>0</v>
      </c>
      <c r="AA46" s="102">
        <v>1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5.2238264528767315</v>
      </c>
      <c r="AF46" s="112">
        <f t="shared" ref="AF46:AF50" si="24">IF(S46&lt;&gt;"",IF(Y46&gt;0,(AB46/Y46)*100,"-"),"")</f>
        <v>75.510204081632651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7"/>
      <c r="B47" s="338"/>
      <c r="C47" s="338"/>
      <c r="D47" s="338"/>
      <c r="E47" s="339" t="str">
        <f ca="1">IFERROR(VLOOKUP(A47,OFFSET($BN$2,,,COUNTIF($BN$2:$BN$11,"?*"),5),3,FALSE),"")</f>
        <v/>
      </c>
      <c r="F47" s="339"/>
      <c r="G47" s="339"/>
      <c r="H47" s="339"/>
      <c r="I47" s="340"/>
      <c r="J47" s="337"/>
      <c r="K47" s="338"/>
      <c r="L47" s="338"/>
      <c r="M47" s="338"/>
      <c r="N47" s="339" t="str">
        <f ca="1">IFERROR(VLOOKUP(J47,OFFSET($BN$2,,,COUNTIF($BN$2:$BN$11,"?*"),5),3,FALSE),"")</f>
        <v/>
      </c>
      <c r="O47" s="339"/>
      <c r="P47" s="339"/>
      <c r="Q47" s="339"/>
      <c r="R47" s="340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5" t="str">
        <f ca="1">IFERROR(VLOOKUP(A47,OFFSET($BN$2,,,COUNTIF($BN$2:$BN$11,"?*"),5),5,FALSE),"")</f>
        <v/>
      </c>
      <c r="B48" s="357" t="str">
        <f ca="1">IFERROR(IF(VLOOKUP(A47,OFFSET($BN$2,,,COUNTIF($BN$2:$BN$11,"?*"),5),4,FALSE)&lt;&gt;0,VLOOKUP(A47,OFFSET($BN$2,,,COUNTIF($BN$2:$BN$11,"?*"),5),4,FALSE),"-"),"")</f>
        <v/>
      </c>
      <c r="C48" s="357"/>
      <c r="D48" s="357"/>
      <c r="E48" s="357"/>
      <c r="F48" s="357"/>
      <c r="G48" s="357"/>
      <c r="H48" s="357"/>
      <c r="I48" s="358"/>
      <c r="J48" s="119" t="str">
        <f ca="1">IFERROR(VLOOKUP(J47,OFFSET($BN$2,,,COUNTIF($BN$2:$BN$11,"?*"),5),5,FALSE),"")</f>
        <v/>
      </c>
      <c r="K48" s="361" t="str">
        <f ca="1">IFERROR(IF(VLOOKUP(J47,OFFSET($BN$2,,,COUNTIF($BN$2:$BN$11,"?*"),5),4,FALSE)&lt;&gt;0,VLOOKUP(J47,OFFSET($BN$2,,,COUNTIF($BN$2:$BN$11,"?*"),5),4,FALSE),"-"),"")</f>
        <v/>
      </c>
      <c r="L48" s="361"/>
      <c r="M48" s="361"/>
      <c r="N48" s="361"/>
      <c r="O48" s="361"/>
      <c r="P48" s="361"/>
      <c r="Q48" s="361"/>
      <c r="R48" s="362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5"/>
      <c r="B49" s="357"/>
      <c r="C49" s="357"/>
      <c r="D49" s="357"/>
      <c r="E49" s="357"/>
      <c r="F49" s="357"/>
      <c r="G49" s="357"/>
      <c r="H49" s="357"/>
      <c r="I49" s="358"/>
      <c r="J49" s="363"/>
      <c r="K49" s="364"/>
      <c r="L49" s="364"/>
      <c r="M49" s="364"/>
      <c r="N49" s="339" t="str">
        <f ca="1">IFERROR(VLOOKUP(J49,OFFSET($BN$2,,,COUNTIF($BN$2:$BN$11,"?*"),5),3,FALSE),"")</f>
        <v/>
      </c>
      <c r="O49" s="339"/>
      <c r="P49" s="339"/>
      <c r="Q49" s="339"/>
      <c r="R49" s="340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6"/>
      <c r="B50" s="359"/>
      <c r="C50" s="359"/>
      <c r="D50" s="359"/>
      <c r="E50" s="359"/>
      <c r="F50" s="359"/>
      <c r="G50" s="359"/>
      <c r="H50" s="359"/>
      <c r="I50" s="360"/>
      <c r="J50" s="119" t="str">
        <f ca="1">IFERROR(VLOOKUP(J49,OFFSET($BN$2,,,COUNTIF($BN$2:$BN$11,"?*"),5),5,FALSE),"")</f>
        <v/>
      </c>
      <c r="K50" s="361" t="str">
        <f ca="1">IFERROR(IF(VLOOKUP(J49,OFFSET($BN$2,,,COUNTIF($BN$2:$BN$11,"?*"),5),4,FALSE)&lt;&gt;0,VLOOKUP(J49,OFFSET($BN$2,,,COUNTIF($BN$2:$BN$11,"?*"),5),4,FALSE),"-"),"")</f>
        <v/>
      </c>
      <c r="L50" s="361"/>
      <c r="M50" s="361"/>
      <c r="N50" s="361"/>
      <c r="O50" s="361"/>
      <c r="P50" s="361"/>
      <c r="Q50" s="361"/>
      <c r="R50" s="362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8" t="s">
        <v>673</v>
      </c>
      <c r="B1" s="349"/>
      <c r="C1" s="349"/>
      <c r="D1" s="349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88</v>
      </c>
      <c r="H1" s="382" t="s">
        <v>1</v>
      </c>
      <c r="I1" s="382"/>
      <c r="J1" s="382"/>
      <c r="K1" s="382"/>
      <c r="M1" s="348" t="s">
        <v>672</v>
      </c>
      <c r="N1" s="349"/>
      <c r="O1" s="349"/>
      <c r="P1" s="349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29</v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41">
        <f ca="1">IFERROR(IF(VLOOKUP(A1,OFFSET($AG$2,,,COUNTIF($AG$2:$AG$50,"?*"),23),2,FALSE)&lt;&gt;0,YEAR(VLOOKUP(A1,OFFSET($AG$2,,,COUNTIF($AG$2:$AG$50,"?*"),23),2,FALSE)),""),"")</f>
        <v>1988</v>
      </c>
      <c r="C2" s="342"/>
      <c r="D2" s="117">
        <f ca="1">IFERROR(VLOOKUP(A1,OFFSET($AG$2,,,COUNTIF($AG$2:$AG$50,"?*"),23),15,FALSE),"")</f>
        <v>33</v>
      </c>
      <c r="E2" s="343" t="str">
        <f ca="1">IFERROR(VLOOKUP(A1,OFFSET($AG$2,,,COUNTIF($AG$2:$AG$50,"?*"),23),16,FALSE),"")</f>
        <v>200/99</v>
      </c>
      <c r="F2" s="344"/>
      <c r="M2" s="4" t="str">
        <f ca="1">IFERROR(IF(VLOOKUP(M1,OFFSET($AG$2,,,COUNTIF($AG$2:$AG$50,"?*"),23),10,FALSE)&lt;&gt;0,VLOOKUP(M1,OFFSET($AG$2,,,COUNTIF($AG$2:$AG$50,"?*"),23),10,FALSE),""),"")</f>
        <v>L</v>
      </c>
      <c r="N2" s="341">
        <f ca="1">IFERROR(IF(VLOOKUP(M1,OFFSET($AG$2,,,COUNTIF($AG$2:$AG$50,"?*"),23),2,FALSE)&lt;&gt;0,YEAR(VLOOKUP(M1,OFFSET($AG$2,,,COUNTIF($AG$2:$AG$50,"?*"),23),2,FALSE)),""),"")</f>
        <v>2003</v>
      </c>
      <c r="O2" s="342"/>
      <c r="P2" s="117">
        <f ca="1">IFERROR(VLOOKUP(M1,OFFSET($AG$2,,,COUNTIF($AG$2:$AG$50,"?*"),23),15,FALSE),"")</f>
        <v>17</v>
      </c>
      <c r="Q2" s="343" t="str">
        <f ca="1">IFERROR(VLOOKUP(M1,OFFSET($AG$2,,,COUNTIF($AG$2:$AG$50,"?*"),23),16,FALSE),"")</f>
        <v>175/70</v>
      </c>
      <c r="R2" s="344"/>
      <c r="S2" s="110" t="s">
        <v>671</v>
      </c>
      <c r="T2" s="102" t="s">
        <v>119</v>
      </c>
      <c r="U2" s="102">
        <v>7</v>
      </c>
      <c r="V2" s="102">
        <v>6</v>
      </c>
      <c r="W2" s="102">
        <v>0</v>
      </c>
      <c r="X2" s="102">
        <v>1</v>
      </c>
      <c r="Y2" s="102">
        <v>4</v>
      </c>
      <c r="Z2" s="102">
        <v>10</v>
      </c>
      <c r="AA2" s="102">
        <v>8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683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90</v>
      </c>
      <c r="AO2" s="125"/>
      <c r="AP2" s="125"/>
      <c r="AQ2" s="123">
        <v>189</v>
      </c>
      <c r="AR2" s="123">
        <v>91</v>
      </c>
      <c r="AS2" s="126" t="s">
        <v>430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6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708</v>
      </c>
      <c r="BO2" s="122">
        <v>31211</v>
      </c>
      <c r="BP2" s="131" t="s">
        <v>191</v>
      </c>
      <c r="BQ2" s="132"/>
      <c r="BR2" s="127">
        <f ca="1">IF(BN2&lt;&gt;"",IF(BO2&lt;&gt;"",INT((TODAY()-BO2)/365),"?"),"")</f>
        <v>36</v>
      </c>
      <c r="BS2" s="336" t="s">
        <v>36</v>
      </c>
      <c r="BT2" s="104" t="s">
        <v>712</v>
      </c>
      <c r="BU2" s="103">
        <v>10</v>
      </c>
      <c r="BV2" s="104" t="str">
        <f>IFERROR(RIGHT(BT2,LEN(BT2)-SEARCH(" ",BT2)),"")</f>
        <v>Radek Krajcigr</v>
      </c>
      <c r="BW2" s="102">
        <f>IF(BT2&lt;&gt;0,_xlfn.NUMBERVALUE(BU2,","),"")</f>
        <v>10</v>
      </c>
      <c r="BX2" s="335" t="s">
        <v>211</v>
      </c>
      <c r="BY2" s="103" t="s">
        <v>1195</v>
      </c>
      <c r="BZ2" s="103" t="s">
        <v>927</v>
      </c>
      <c r="CA2" s="115" t="s">
        <v>798</v>
      </c>
    </row>
    <row r="3" spans="1:79" ht="15" customHeight="1" thickTop="1" thickBot="1" x14ac:dyDescent="0.25">
      <c r="A3" s="377" t="str">
        <f ca="1">IFERROR(VLOOKUP(A1,OFFSET($AG$2,,,COUNTIF($AG$2:$AG$50,"?*"),23),18,FALSE),"")</f>
        <v>7 OZ, 6 (3+3), -13 ±</v>
      </c>
      <c r="B3" s="378"/>
      <c r="C3" s="378"/>
      <c r="D3" s="379" t="str">
        <f ca="1">IFERROR(VLOOKUP(A1,OFFSET($AG$2,,,COUNTIF($AG$2:$AG$50,"?*"),23),19,FALSE),"")</f>
        <v>314 OZ, 299 (179+120)</v>
      </c>
      <c r="E3" s="379"/>
      <c r="F3" s="380"/>
      <c r="G3" s="348" t="s">
        <v>671</v>
      </c>
      <c r="H3" s="349"/>
      <c r="I3" s="349"/>
      <c r="J3" s="349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77</v>
      </c>
      <c r="M3" s="377" t="str">
        <f ca="1">IFERROR(VLOOKUP(M1,OFFSET($AG$2,,,COUNTIF($AG$2:$AG$50,"?*"),23),18,FALSE),"")</f>
        <v>7 OZ, 8 (7+1), -8 ±</v>
      </c>
      <c r="N3" s="378"/>
      <c r="O3" s="378"/>
      <c r="P3" s="379" t="str">
        <f ca="1">IFERROR(VLOOKUP(M1,OFFSET($AG$2,,,COUNTIF($AG$2:$AG$50,"?*"),23),19,FALSE),"")</f>
        <v>31 OZ, 29 (21+8)</v>
      </c>
      <c r="Q3" s="379"/>
      <c r="R3" s="380"/>
      <c r="S3" s="110" t="s">
        <v>672</v>
      </c>
      <c r="T3" s="102" t="s">
        <v>119</v>
      </c>
      <c r="U3" s="102">
        <v>7</v>
      </c>
      <c r="V3" s="102">
        <v>7</v>
      </c>
      <c r="W3" s="102">
        <v>0</v>
      </c>
      <c r="X3" s="102">
        <v>0</v>
      </c>
      <c r="Y3" s="102">
        <v>1</v>
      </c>
      <c r="Z3" s="102">
        <v>8</v>
      </c>
      <c r="AA3" s="102">
        <v>2</v>
      </c>
      <c r="AB3" s="102">
        <v>-8</v>
      </c>
      <c r="AC3" s="102" t="str">
        <f t="shared" ca="1" si="0"/>
        <v>ANO</v>
      </c>
      <c r="AG3" s="121" t="s">
        <v>688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240</v>
      </c>
      <c r="AQ3" s="123">
        <v>186</v>
      </c>
      <c r="AR3" s="123">
        <v>94</v>
      </c>
      <c r="AS3" s="126" t="s">
        <v>698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709</v>
      </c>
      <c r="BO3" s="122">
        <v>30597</v>
      </c>
      <c r="BP3" s="131" t="s">
        <v>257</v>
      </c>
      <c r="BQ3" s="132"/>
      <c r="BR3" s="127">
        <f t="shared" ref="BR3:BR11" ca="1" si="12">IF(BN3&lt;&gt;"",IF(BO3&lt;&gt;"",INT((TODAY()-BO3)/365),"?"),"")</f>
        <v>38</v>
      </c>
      <c r="BS3" s="336"/>
      <c r="BT3" s="104" t="s">
        <v>1223</v>
      </c>
      <c r="BU3" s="103">
        <v>8</v>
      </c>
      <c r="BV3" s="104" t="str">
        <f t="shared" ref="BV3:BV31" si="13">IFERROR(RIGHT(BT3,LEN(BT3)-SEARCH(" ",BT3)),"")</f>
        <v>Ondřej Kopič</v>
      </c>
      <c r="BW3" s="102">
        <f t="shared" ref="BW3:BW31" si="14">IF(BT3&lt;&gt;0,_xlfn.NUMBERVALUE(BU3,","),"")</f>
        <v>8</v>
      </c>
      <c r="BX3" s="335"/>
      <c r="BY3" s="103" t="s">
        <v>1105</v>
      </c>
      <c r="BZ3" s="103" t="s">
        <v>907</v>
      </c>
      <c r="CA3" s="115" t="s">
        <v>839</v>
      </c>
    </row>
    <row r="4" spans="1:79" ht="15" customHeight="1" thickBot="1" x14ac:dyDescent="0.25">
      <c r="A4" s="365" t="str">
        <f ca="1">IFERROR(IF(VLOOKUP(A1,OFFSET($AG$2,,,COUNTIF($AG$2:$AG$50,"?*"),23),13,FALSE)&lt;&gt;0,VLOOKUP(A1,OFFSET($AG$2,,,COUNTIF($AG$2:$AG$50,"?*"),23),13,FALSE),"?"),"")</f>
        <v>FbK Sokol Mladá Boleslav</v>
      </c>
      <c r="B4" s="366"/>
      <c r="C4" s="367"/>
      <c r="D4" s="368">
        <f ca="1">IFERROR(IF(VLOOKUP(A1,OFFSET($AG$2,,,COUNTIF($AG$2:$AG$50,"?*"),23),14,FALSE)&lt;&gt;0,VLOOKUP(A1,OFFSET($AG$2,,,COUNTIF($AG$2:$AG$50,"?*"),23),14,FALSE),"?"),"")</f>
        <v>2007</v>
      </c>
      <c r="E4" s="369"/>
      <c r="F4" s="7">
        <f ca="1">IFERROR(IF(VLOOKUP(A1,OFFSET($AG$2,,,COUNTIF($AG$2:$AG$50,"?*"),23),7,FALSE)&lt;&gt;0,VLOOKUP(A1,OFFSET($AG$2,,,COUNTIF($AG$2:$AG$50,"?*"),23),7,FALSE),"?"),"")</f>
        <v>17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1">
        <f ca="1">IFERROR(IF(VLOOKUP(G3,OFFSET($AG$2,,,COUNTIF($AG$2:$AG$50,"?*"),23),2,FALSE)&lt;&gt;0,YEAR(VLOOKUP(G3,OFFSET($AG$2,,,COUNTIF($AG$2:$AG$50,"?*"),23),2,FALSE)),""),"")</f>
        <v>1993</v>
      </c>
      <c r="I4" s="342"/>
      <c r="J4" s="117">
        <f ca="1">IFERROR(VLOOKUP(G3,OFFSET($AG$2,,,COUNTIF($AG$2:$AG$50,"?*"),23),15,FALSE),"")</f>
        <v>28</v>
      </c>
      <c r="K4" s="343" t="str">
        <f ca="1">IFERROR(VLOOKUP(G3,OFFSET($AG$2,,,COUNTIF($AG$2:$AG$50,"?*"),23),16,FALSE),"")</f>
        <v>186/82</v>
      </c>
      <c r="L4" s="344"/>
      <c r="M4" s="365" t="str">
        <f ca="1">IFERROR(IF(VLOOKUP(M1,OFFSET($AG$2,,,COUNTIF($AG$2:$AG$50,"?*"),23),13,FALSE)&lt;&gt;0,VLOOKUP(M1,OFFSET($AG$2,,,COUNTIF($AG$2:$AG$50,"?*"),23),13,FALSE),"?"),"")</f>
        <v>FBC Česká Lípa</v>
      </c>
      <c r="N4" s="366"/>
      <c r="O4" s="367"/>
      <c r="P4" s="368" t="str">
        <f ca="1">IFERROR(IF(VLOOKUP(M1,OFFSET($AG$2,,,COUNTIF($AG$2:$AG$50,"?*"),23),14,FALSE)&lt;&gt;0,VLOOKUP(M1,OFFSET($AG$2,,,COUNTIF($AG$2:$AG$50,"?*"),23),14,FALSE),"?"),"")</f>
        <v>-</v>
      </c>
      <c r="Q4" s="369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418</v>
      </c>
      <c r="T4" s="102" t="s">
        <v>64</v>
      </c>
      <c r="U4" s="102">
        <v>7</v>
      </c>
      <c r="V4" s="102">
        <v>3</v>
      </c>
      <c r="W4" s="102">
        <v>0</v>
      </c>
      <c r="X4" s="102">
        <v>0</v>
      </c>
      <c r="Y4" s="102">
        <v>5</v>
      </c>
      <c r="Z4" s="102">
        <v>8</v>
      </c>
      <c r="AA4" s="102">
        <v>6</v>
      </c>
      <c r="AB4" s="102">
        <v>-12</v>
      </c>
      <c r="AC4" s="102" t="str">
        <f t="shared" ca="1" si="0"/>
        <v>ANO</v>
      </c>
      <c r="AG4" s="121" t="s">
        <v>689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240</v>
      </c>
      <c r="AQ4" s="123">
        <v>191</v>
      </c>
      <c r="AR4" s="123">
        <v>84</v>
      </c>
      <c r="AS4" s="126" t="s">
        <v>699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0 OZ, 0 (0+0)</v>
      </c>
      <c r="AY4" s="129" t="str">
        <f t="shared" ca="1" si="2"/>
        <v>62 OZ, 2 (0+2)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710</v>
      </c>
      <c r="BO4" s="122">
        <v>31784</v>
      </c>
      <c r="BP4" s="131" t="s">
        <v>192</v>
      </c>
      <c r="BQ4" s="132"/>
      <c r="BR4" s="127">
        <f t="shared" ca="1" si="12"/>
        <v>34</v>
      </c>
      <c r="BS4" s="336"/>
      <c r="BT4" s="104" t="s">
        <v>1224</v>
      </c>
      <c r="BU4" s="103">
        <v>8</v>
      </c>
      <c r="BV4" s="104" t="str">
        <f t="shared" si="13"/>
        <v>Milan Tichý</v>
      </c>
      <c r="BW4" s="102">
        <f t="shared" si="14"/>
        <v>8</v>
      </c>
      <c r="BX4" s="335"/>
      <c r="BY4" s="103" t="s">
        <v>207</v>
      </c>
      <c r="BZ4" s="103" t="s">
        <v>932</v>
      </c>
      <c r="CA4" s="115" t="s">
        <v>112</v>
      </c>
    </row>
    <row r="5" spans="1:79" ht="15" customHeight="1" thickTop="1" thickBot="1" x14ac:dyDescent="0.25">
      <c r="A5" s="8"/>
      <c r="B5" s="8"/>
      <c r="C5" s="8"/>
      <c r="D5" s="8"/>
      <c r="G5" s="377" t="str">
        <f ca="1">IFERROR(VLOOKUP(G3,OFFSET($AG$2,,,COUNTIF($AG$2:$AG$50,"?*"),23),18,FALSE),"")</f>
        <v>7 OZ, 10 (6+4), -1 ±</v>
      </c>
      <c r="H5" s="378"/>
      <c r="I5" s="378"/>
      <c r="J5" s="379" t="str">
        <f ca="1">IFERROR(VLOOKUP(G3,OFFSET($AG$2,,,COUNTIF($AG$2:$AG$50,"?*"),23),19,FALSE),"")</f>
        <v>201 OZ, 337 (240+97)</v>
      </c>
      <c r="K5" s="379"/>
      <c r="L5" s="380"/>
      <c r="S5" s="110" t="s">
        <v>673</v>
      </c>
      <c r="T5" s="102" t="s">
        <v>119</v>
      </c>
      <c r="U5" s="102">
        <v>7</v>
      </c>
      <c r="V5" s="102">
        <v>3</v>
      </c>
      <c r="W5" s="102">
        <v>0</v>
      </c>
      <c r="X5" s="102">
        <v>0</v>
      </c>
      <c r="Y5" s="102">
        <v>3</v>
      </c>
      <c r="Z5" s="102">
        <v>6</v>
      </c>
      <c r="AA5" s="102">
        <v>0</v>
      </c>
      <c r="AB5" s="102">
        <v>-13</v>
      </c>
      <c r="AC5" s="102" t="str">
        <f t="shared" ca="1" si="0"/>
        <v>ANO</v>
      </c>
      <c r="AG5" s="121" t="s">
        <v>674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149</v>
      </c>
      <c r="AQ5" s="123">
        <v>182</v>
      </c>
      <c r="AR5" s="123">
        <v>79</v>
      </c>
      <c r="AS5" s="126" t="s">
        <v>700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7 OZ, 1 (1+0), -12 ±</v>
      </c>
      <c r="AY5" s="129" t="str">
        <f t="shared" ca="1" si="2"/>
        <v>110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711</v>
      </c>
      <c r="BO5" s="122">
        <v>29101</v>
      </c>
      <c r="BP5" s="131" t="s">
        <v>192</v>
      </c>
      <c r="BQ5" s="132"/>
      <c r="BR5" s="127">
        <f t="shared" ca="1" si="12"/>
        <v>42</v>
      </c>
      <c r="BS5" s="336"/>
      <c r="BT5" s="104" t="s">
        <v>946</v>
      </c>
      <c r="BU5" s="103">
        <v>6</v>
      </c>
      <c r="BV5" s="104" t="str">
        <f t="shared" si="13"/>
        <v>Jaromír Ekl</v>
      </c>
      <c r="BW5" s="102">
        <f t="shared" si="14"/>
        <v>6</v>
      </c>
      <c r="BX5" s="335"/>
      <c r="BY5" s="103" t="s">
        <v>206</v>
      </c>
      <c r="BZ5" s="103" t="s">
        <v>940</v>
      </c>
      <c r="CA5" s="115" t="s">
        <v>941</v>
      </c>
    </row>
    <row r="6" spans="1:79" ht="15" customHeight="1" thickTop="1" thickBot="1" x14ac:dyDescent="0.25">
      <c r="A6" s="348" t="s">
        <v>418</v>
      </c>
      <c r="B6" s="349"/>
      <c r="C6" s="349"/>
      <c r="D6" s="349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4</v>
      </c>
      <c r="G6" s="365" t="str">
        <f ca="1">IFERROR(IF(VLOOKUP(G3,OFFSET($AG$2,,,COUNTIF($AG$2:$AG$50,"?*"),23),13,FALSE)&lt;&gt;0,VLOOKUP(G3,OFFSET($AG$2,,,COUNTIF($AG$2:$AG$50,"?*"),23),13,FALSE),"?"),"")</f>
        <v>Erupting Dragons H. B.</v>
      </c>
      <c r="H6" s="366"/>
      <c r="I6" s="367"/>
      <c r="J6" s="368" t="str">
        <f ca="1">IFERROR(IF(VLOOKUP(G3,OFFSET($AG$2,,,COUNTIF($AG$2:$AG$50,"?*"),23),14,FALSE)&lt;&gt;0,VLOOKUP(G3,OFFSET($AG$2,,,COUNTIF($AG$2:$AG$50,"?*"),23),14,FALSE),"?"),"")</f>
        <v>-</v>
      </c>
      <c r="K6" s="369"/>
      <c r="L6" s="7">
        <f ca="1">IFERROR(IF(VLOOKUP(G3,OFFSET($AG$2,,,COUNTIF($AG$2:$AG$50,"?*"),23),7,FALSE)&lt;&gt;0,VLOOKUP(G3,OFFSET($AG$2,,,COUNTIF($AG$2:$AG$50,"?*"),23),7,FALSE),"?"),"")</f>
        <v>10</v>
      </c>
      <c r="M6" s="348" t="s">
        <v>675</v>
      </c>
      <c r="N6" s="349"/>
      <c r="O6" s="349"/>
      <c r="P6" s="349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66</v>
      </c>
      <c r="S6" s="110" t="s">
        <v>677</v>
      </c>
      <c r="T6" s="102" t="s">
        <v>64</v>
      </c>
      <c r="U6" s="102">
        <v>7</v>
      </c>
      <c r="V6" s="102">
        <v>3</v>
      </c>
      <c r="W6" s="102">
        <v>3</v>
      </c>
      <c r="X6" s="102">
        <v>0</v>
      </c>
      <c r="Y6" s="102">
        <v>2</v>
      </c>
      <c r="Z6" s="102">
        <v>5</v>
      </c>
      <c r="AA6" s="102">
        <v>6</v>
      </c>
      <c r="AB6" s="102">
        <v>-5</v>
      </c>
      <c r="AC6" s="102" t="str">
        <f t="shared" ca="1" si="0"/>
        <v>ANO</v>
      </c>
      <c r="AG6" s="121" t="s">
        <v>673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701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7 OZ, 6 (3+3), -13 ±</v>
      </c>
      <c r="AY6" s="129" t="str">
        <f t="shared" ca="1" si="2"/>
        <v>314 OZ, 299 (179+120)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36"/>
      <c r="BT6" s="104" t="s">
        <v>947</v>
      </c>
      <c r="BU6" s="103">
        <v>5</v>
      </c>
      <c r="BV6" s="104" t="str">
        <f t="shared" si="13"/>
        <v>Štěpán Slaný</v>
      </c>
      <c r="BW6" s="102">
        <f t="shared" si="14"/>
        <v>5</v>
      </c>
      <c r="BX6" s="335"/>
      <c r="BY6" s="103" t="s">
        <v>855</v>
      </c>
      <c r="BZ6" s="103" t="s">
        <v>914</v>
      </c>
      <c r="CA6" s="115" t="s">
        <v>865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41">
        <f ca="1">IFERROR(IF(VLOOKUP(A6,OFFSET($AG$2,,,COUNTIF($AG$2:$AG$50,"?*"),23),2,FALSE)&lt;&gt;0,YEAR(VLOOKUP(A6,OFFSET($AG$2,,,COUNTIF($AG$2:$AG$50,"?*"),23),2,FALSE)),""),"")</f>
        <v>1993</v>
      </c>
      <c r="C7" s="342"/>
      <c r="D7" s="117">
        <f ca="1">IFERROR(VLOOKUP(A6,OFFSET($AG$2,,,COUNTIF($AG$2:$AG$50,"?*"),23),15,FALSE),"")</f>
        <v>28</v>
      </c>
      <c r="E7" s="343" t="str">
        <f ca="1">IFERROR(VLOOKUP(A6,OFFSET($AG$2,,,COUNTIF($AG$2:$AG$50,"?*"),23),16,FALSE),"")</f>
        <v>192/90</v>
      </c>
      <c r="F7" s="344"/>
      <c r="M7" s="4" t="str">
        <f ca="1">IFERROR(IF(VLOOKUP(M6,OFFSET($AG$2,,,COUNTIF($AG$2:$AG$50,"?*"),23),10,FALSE)&lt;&gt;0,VLOOKUP(M6,OFFSET($AG$2,,,COUNTIF($AG$2:$AG$50,"?*"),23),10,FALSE),""),"")</f>
        <v>P</v>
      </c>
      <c r="N7" s="341">
        <f ca="1">IFERROR(IF(VLOOKUP(M6,OFFSET($AG$2,,,COUNTIF($AG$2:$AG$50,"?*"),23),2,FALSE)&lt;&gt;0,YEAR(VLOOKUP(M6,OFFSET($AG$2,,,COUNTIF($AG$2:$AG$50,"?*"),23),2,FALSE)),""),"")</f>
        <v>1996</v>
      </c>
      <c r="O7" s="342"/>
      <c r="P7" s="117">
        <f ca="1">IFERROR(VLOOKUP(M6,OFFSET($AG$2,,,COUNTIF($AG$2:$AG$50,"?*"),23),15,FALSE),"")</f>
        <v>25</v>
      </c>
      <c r="Q7" s="343" t="str">
        <f ca="1">IFERROR(VLOOKUP(M6,OFFSET($AG$2,,,COUNTIF($AG$2:$AG$50,"?*"),23),16,FALSE),"")</f>
        <v>185/85</v>
      </c>
      <c r="R7" s="344"/>
      <c r="S7" s="110" t="s">
        <v>682</v>
      </c>
      <c r="T7" s="102" t="s">
        <v>64</v>
      </c>
      <c r="U7" s="102">
        <v>7</v>
      </c>
      <c r="V7" s="102">
        <v>2</v>
      </c>
      <c r="W7" s="102">
        <v>0</v>
      </c>
      <c r="X7" s="102">
        <v>0</v>
      </c>
      <c r="Y7" s="102">
        <v>2</v>
      </c>
      <c r="Z7" s="102">
        <v>4</v>
      </c>
      <c r="AA7" s="102">
        <v>2</v>
      </c>
      <c r="AB7" s="102">
        <v>-8</v>
      </c>
      <c r="AC7" s="102" t="str">
        <f t="shared" ca="1" si="0"/>
        <v>ANO</v>
      </c>
      <c r="AG7" s="121" t="s">
        <v>685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899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6" t="s">
        <v>40</v>
      </c>
      <c r="BT7" s="104" t="s">
        <v>866</v>
      </c>
      <c r="BU7" s="103" t="s">
        <v>1107</v>
      </c>
      <c r="BV7" s="104" t="str">
        <f t="shared" si="13"/>
        <v>Lukáš Chyna</v>
      </c>
      <c r="BW7" s="112">
        <f t="shared" si="14"/>
        <v>6.47</v>
      </c>
      <c r="BX7" s="335" t="s">
        <v>212</v>
      </c>
      <c r="BY7" s="103" t="s">
        <v>913</v>
      </c>
      <c r="BZ7" s="103" t="s">
        <v>944</v>
      </c>
      <c r="CA7" s="115" t="s">
        <v>205</v>
      </c>
    </row>
    <row r="8" spans="1:79" ht="15" customHeight="1" x14ac:dyDescent="0.2">
      <c r="A8" s="377" t="str">
        <f ca="1">IFERROR(VLOOKUP(A6,OFFSET($AG$2,,,COUNTIF($AG$2:$AG$50,"?*"),23),18,FALSE),"")</f>
        <v>7 OZ, 8 (3+5), -12 ±</v>
      </c>
      <c r="B8" s="378"/>
      <c r="C8" s="378"/>
      <c r="D8" s="379" t="str">
        <f ca="1">IFERROR(VLOOKUP(A6,OFFSET($AG$2,,,COUNTIF($AG$2:$AG$50,"?*"),23),19,FALSE),"")</f>
        <v>81 OZ, 69 (40+29)</v>
      </c>
      <c r="E8" s="379"/>
      <c r="F8" s="380"/>
      <c r="H8" s="381" t="s">
        <v>102</v>
      </c>
      <c r="I8" s="381"/>
      <c r="J8" s="381"/>
      <c r="K8" s="381"/>
      <c r="M8" s="377" t="str">
        <f ca="1">IFERROR(VLOOKUP(M6,OFFSET($AG$2,,,COUNTIF($AG$2:$AG$50,"?*"),23),18,FALSE),"")</f>
        <v>6 OZ, 4 (0+4), -13 ±</v>
      </c>
      <c r="N8" s="378"/>
      <c r="O8" s="378"/>
      <c r="P8" s="379" t="str">
        <f ca="1">IFERROR(VLOOKUP(M6,OFFSET($AG$2,,,COUNTIF($AG$2:$AG$50,"?*"),23),19,FALSE),"")</f>
        <v>108 OZ, 80 (28+52)</v>
      </c>
      <c r="Q8" s="379"/>
      <c r="R8" s="380"/>
      <c r="S8" s="110" t="s">
        <v>675</v>
      </c>
      <c r="T8" s="102" t="s">
        <v>64</v>
      </c>
      <c r="U8" s="102">
        <v>6</v>
      </c>
      <c r="V8" s="102">
        <v>0</v>
      </c>
      <c r="W8" s="102">
        <v>0</v>
      </c>
      <c r="X8" s="102">
        <v>0</v>
      </c>
      <c r="Y8" s="102">
        <v>4</v>
      </c>
      <c r="Z8" s="102">
        <v>4</v>
      </c>
      <c r="AA8" s="102">
        <v>2</v>
      </c>
      <c r="AB8" s="102">
        <v>-13</v>
      </c>
      <c r="AC8" s="102" t="str">
        <f t="shared" ca="1" si="0"/>
        <v>ANO</v>
      </c>
      <c r="AG8" s="121" t="s">
        <v>686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149</v>
      </c>
      <c r="AQ8" s="123"/>
      <c r="AR8" s="123"/>
      <c r="AS8" s="126" t="s">
        <v>430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4 OZ, 0 (0+0), 0 ±</v>
      </c>
      <c r="AY8" s="129" t="str">
        <f t="shared" ca="1" si="2"/>
        <v>4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6"/>
      <c r="BT8" s="104" t="s">
        <v>867</v>
      </c>
      <c r="BU8" s="103" t="s">
        <v>1225</v>
      </c>
      <c r="BV8" s="104" t="str">
        <f t="shared" si="13"/>
        <v>Ivan Ponomarev</v>
      </c>
      <c r="BW8" s="112">
        <f t="shared" si="14"/>
        <v>8.6199999999999992</v>
      </c>
      <c r="BX8" s="335"/>
      <c r="BY8" s="103" t="s">
        <v>915</v>
      </c>
      <c r="BZ8" s="103" t="s">
        <v>930</v>
      </c>
      <c r="CA8" s="115" t="s">
        <v>205</v>
      </c>
    </row>
    <row r="9" spans="1:79" ht="15" customHeight="1" thickBot="1" x14ac:dyDescent="0.25">
      <c r="A9" s="365" t="str">
        <f ca="1">IFERROR(IF(VLOOKUP(A6,OFFSET($AG$2,,,COUNTIF($AG$2:$AG$50,"?*"),23),13,FALSE)&lt;&gt;0,VLOOKUP(A6,OFFSET($AG$2,,,COUNTIF($AG$2:$AG$50,"?*"),23),13,FALSE),"?"),"")</f>
        <v>FBC Česká Lípa</v>
      </c>
      <c r="B9" s="366"/>
      <c r="C9" s="367"/>
      <c r="D9" s="368">
        <f ca="1">IFERROR(IF(VLOOKUP(A6,OFFSET($AG$2,,,COUNTIF($AG$2:$AG$50,"?*"),23),14,FALSE)&lt;&gt;0,VLOOKUP(A6,OFFSET($AG$2,,,COUNTIF($AG$2:$AG$50,"?*"),23),14,FALSE),"?"),"")</f>
        <v>2008</v>
      </c>
      <c r="E9" s="369"/>
      <c r="F9" s="7">
        <f ca="1">IFERROR(IF(VLOOKUP(A6,OFFSET($AG$2,,,COUNTIF($AG$2:$AG$50,"?*"),23),7,FALSE)&lt;&gt;0,VLOOKUP(A6,OFFSET($AG$2,,,COUNTIF($AG$2:$AG$50,"?*"),23),7,FALSE),"?"),"")</f>
        <v>7</v>
      </c>
      <c r="H9" s="381"/>
      <c r="I9" s="381"/>
      <c r="J9" s="381"/>
      <c r="K9" s="381"/>
      <c r="M9" s="365" t="str">
        <f ca="1">IFERROR(IF(VLOOKUP(M6,OFFSET($AG$2,,,COUNTIF($AG$2:$AG$50,"?*"),23),13,FALSE)&lt;&gt;0,VLOOKUP(M6,OFFSET($AG$2,,,COUNTIF($AG$2:$AG$50,"?*"),23),13,FALSE),"?"),"")</f>
        <v>FbK Sokol Mladá Boleslav</v>
      </c>
      <c r="N9" s="366"/>
      <c r="O9" s="367"/>
      <c r="P9" s="368">
        <f ca="1">IFERROR(IF(VLOOKUP(M6,OFFSET($AG$2,,,COUNTIF($AG$2:$AG$50,"?*"),23),14,FALSE)&lt;&gt;0,VLOOKUP(M6,OFFSET($AG$2,,,COUNTIF($AG$2:$AG$50,"?*"),23),14,FALSE),"?"),"")</f>
        <v>2007</v>
      </c>
      <c r="Q9" s="369"/>
      <c r="R9" s="7">
        <f ca="1">IFERROR(IF(VLOOKUP(M6,OFFSET($AG$2,,,COUNTIF($AG$2:$AG$50,"?*"),23),7,FALSE)&lt;&gt;0,VLOOKUP(M6,OFFSET($AG$2,,,COUNTIF($AG$2:$AG$50,"?*"),23),7,FALSE),"?"),"")</f>
        <v>8</v>
      </c>
      <c r="S9" s="110" t="s">
        <v>684</v>
      </c>
      <c r="T9" s="102" t="s">
        <v>119</v>
      </c>
      <c r="U9" s="102">
        <v>7</v>
      </c>
      <c r="V9" s="102">
        <v>0</v>
      </c>
      <c r="W9" s="102">
        <v>0</v>
      </c>
      <c r="X9" s="102">
        <v>0</v>
      </c>
      <c r="Y9" s="102">
        <v>3</v>
      </c>
      <c r="Z9" s="102">
        <v>3</v>
      </c>
      <c r="AA9" s="102">
        <v>0</v>
      </c>
      <c r="AB9" s="102">
        <v>-5</v>
      </c>
      <c r="AC9" s="102" t="str">
        <f t="shared" ca="1" si="0"/>
        <v>ANO</v>
      </c>
      <c r="AG9" s="121" t="s">
        <v>690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149</v>
      </c>
      <c r="AQ9" s="123">
        <v>185</v>
      </c>
      <c r="AR9" s="123">
        <v>76</v>
      </c>
      <c r="AS9" s="126" t="s">
        <v>430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6"/>
      <c r="BV9" s="104" t="str">
        <f t="shared" si="13"/>
        <v/>
      </c>
      <c r="BW9" s="112" t="str">
        <f t="shared" si="14"/>
        <v/>
      </c>
      <c r="BX9" s="335"/>
      <c r="BY9" s="103" t="s">
        <v>945</v>
      </c>
      <c r="BZ9" s="103" t="s">
        <v>904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676</v>
      </c>
      <c r="T10" s="102" t="s">
        <v>119</v>
      </c>
      <c r="U10" s="102">
        <v>7</v>
      </c>
      <c r="V10" s="102">
        <v>0</v>
      </c>
      <c r="W10" s="102">
        <v>0</v>
      </c>
      <c r="X10" s="102">
        <v>0</v>
      </c>
      <c r="Y10" s="102">
        <v>3</v>
      </c>
      <c r="Z10" s="102">
        <v>3</v>
      </c>
      <c r="AA10" s="102">
        <v>2</v>
      </c>
      <c r="AB10" s="102">
        <v>-7</v>
      </c>
      <c r="AC10" s="102" t="str">
        <f t="shared" ca="1" si="0"/>
        <v>ANO</v>
      </c>
      <c r="AG10" s="121" t="s">
        <v>687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240</v>
      </c>
      <c r="AQ10" s="123">
        <v>181</v>
      </c>
      <c r="AR10" s="123">
        <v>79</v>
      </c>
      <c r="AS10" s="126" t="s">
        <v>430</v>
      </c>
      <c r="AT10" s="123" t="s">
        <v>240</v>
      </c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1 V, 3 P</v>
      </c>
      <c r="AY10" s="129" t="str">
        <f t="shared" ca="1" si="2"/>
        <v>47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6"/>
      <c r="BV10" s="104" t="str">
        <f t="shared" si="13"/>
        <v/>
      </c>
      <c r="BW10" s="112" t="str">
        <f t="shared" si="14"/>
        <v/>
      </c>
      <c r="BX10" s="335"/>
      <c r="BY10" s="103" t="s">
        <v>1106</v>
      </c>
      <c r="BZ10" s="103" t="s">
        <v>964</v>
      </c>
      <c r="CA10" s="115" t="s">
        <v>205</v>
      </c>
    </row>
    <row r="11" spans="1:79" ht="15" customHeight="1" thickTop="1" thickBot="1" x14ac:dyDescent="0.25">
      <c r="R11" s="13"/>
      <c r="S11" s="110" t="s">
        <v>679</v>
      </c>
      <c r="T11" s="102" t="s">
        <v>119</v>
      </c>
      <c r="U11" s="102">
        <v>6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-2</v>
      </c>
      <c r="AC11" s="102" t="str">
        <f t="shared" ca="1" si="0"/>
        <v>ANO</v>
      </c>
      <c r="AG11" s="121" t="s">
        <v>691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149</v>
      </c>
      <c r="AQ11" s="123">
        <v>186</v>
      </c>
      <c r="AR11" s="123">
        <v>63</v>
      </c>
      <c r="AS11" s="126" t="s">
        <v>698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6"/>
      <c r="BV11" s="104" t="str">
        <f t="shared" si="13"/>
        <v/>
      </c>
      <c r="BW11" s="112" t="str">
        <f t="shared" si="14"/>
        <v/>
      </c>
      <c r="BX11" s="335"/>
      <c r="BY11" s="103" t="s">
        <v>1228</v>
      </c>
      <c r="BZ11" s="103" t="s">
        <v>911</v>
      </c>
      <c r="CA11" s="115" t="s">
        <v>205</v>
      </c>
    </row>
    <row r="12" spans="1:79" ht="15" customHeight="1" thickTop="1" thickBot="1" x14ac:dyDescent="0.25">
      <c r="A12" s="348" t="s">
        <v>679</v>
      </c>
      <c r="B12" s="349"/>
      <c r="C12" s="349"/>
      <c r="D12" s="349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84</v>
      </c>
      <c r="H12" s="382" t="s">
        <v>7</v>
      </c>
      <c r="I12" s="382"/>
      <c r="J12" s="382"/>
      <c r="K12" s="382"/>
      <c r="M12" s="348" t="s">
        <v>680</v>
      </c>
      <c r="N12" s="349"/>
      <c r="O12" s="349"/>
      <c r="P12" s="349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21</v>
      </c>
      <c r="S12" s="110" t="s">
        <v>693</v>
      </c>
      <c r="T12" s="102" t="s">
        <v>64</v>
      </c>
      <c r="U12" s="102">
        <v>4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27</v>
      </c>
      <c r="AB12" s="102">
        <v>-9</v>
      </c>
      <c r="AC12" s="102" t="str">
        <f t="shared" ca="1" si="0"/>
        <v>ANO</v>
      </c>
      <c r="AG12" s="121" t="s">
        <v>684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149</v>
      </c>
      <c r="AQ12" s="123">
        <v>186</v>
      </c>
      <c r="AR12" s="123">
        <v>87</v>
      </c>
      <c r="AS12" s="126" t="s">
        <v>430</v>
      </c>
      <c r="AT12" s="123">
        <v>2006</v>
      </c>
      <c r="AU12" s="127">
        <f ca="1">IF(AG12&lt;&gt;"",IF(AH12&lt;&gt;"",INT((TODAY()-AH12)/365),"?"),"")</f>
        <v>30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7 OZ, 3 (0+3), -5 ±</v>
      </c>
      <c r="AY12" s="129" t="str">
        <f t="shared" ca="1" si="2"/>
        <v>110 OZ, 79 (25+54)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6" t="s">
        <v>37</v>
      </c>
      <c r="BT12" s="104" t="s">
        <v>1108</v>
      </c>
      <c r="BU12" s="103">
        <v>7</v>
      </c>
      <c r="BV12" s="104" t="str">
        <f t="shared" si="13"/>
        <v>Ondřej Kopič</v>
      </c>
      <c r="BW12" s="102">
        <f t="shared" si="14"/>
        <v>7</v>
      </c>
      <c r="BX12" s="120" t="s">
        <v>210</v>
      </c>
      <c r="BY12" s="100" t="s">
        <v>1229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41">
        <f ca="1">IFERROR(IF(VLOOKUP(A12,OFFSET($AG$2,,,COUNTIF($AG$2:$AG$50,"?*"),23),2,FALSE)&lt;&gt;0,YEAR(VLOOKUP(A12,OFFSET($AG$2,,,COUNTIF($AG$2:$AG$50,"?*"),23),2,FALSE)),""),"")</f>
        <v>1997</v>
      </c>
      <c r="C13" s="342"/>
      <c r="D13" s="117">
        <f ca="1">IFERROR(VLOOKUP(A12,OFFSET($AG$2,,,COUNTIF($AG$2:$AG$50,"?*"),23),15,FALSE),"")</f>
        <v>23</v>
      </c>
      <c r="E13" s="343" t="str">
        <f ca="1">IFERROR(VLOOKUP(A12,OFFSET($AG$2,,,COUNTIF($AG$2:$AG$50,"?*"),23),16,FALSE),"")</f>
        <v>185/75</v>
      </c>
      <c r="F13" s="344"/>
      <c r="M13" s="4" t="str">
        <f ca="1">IFERROR(IF(VLOOKUP(M12,OFFSET($AG$2,,,COUNTIF($AG$2:$AG$50,"?*"),23),10,FALSE)&lt;&gt;0,VLOOKUP(M12,OFFSET($AG$2,,,COUNTIF($AG$2:$AG$50,"?*"),23),10,FALSE),""),"")</f>
        <v>L</v>
      </c>
      <c r="N13" s="341">
        <f ca="1">IFERROR(IF(VLOOKUP(M12,OFFSET($AG$2,,,COUNTIF($AG$2:$AG$50,"?*"),23),2,FALSE)&lt;&gt;0,YEAR(VLOOKUP(M12,OFFSET($AG$2,,,COUNTIF($AG$2:$AG$50,"?*"),23),2,FALSE)),""),"")</f>
        <v>2003</v>
      </c>
      <c r="O13" s="342"/>
      <c r="P13" s="117">
        <f ca="1">IFERROR(VLOOKUP(M12,OFFSET($AG$2,,,COUNTIF($AG$2:$AG$50,"?*"),23),15,FALSE),"")</f>
        <v>17</v>
      </c>
      <c r="Q13" s="343" t="str">
        <f ca="1">IFERROR(VLOOKUP(M12,OFFSET($AG$2,,,COUNTIF($AG$2:$AG$50,"?*"),23),16,FALSE),"")</f>
        <v>170/62</v>
      </c>
      <c r="R13" s="344"/>
      <c r="S13" s="110" t="s">
        <v>681</v>
      </c>
      <c r="T13" s="102" t="s">
        <v>64</v>
      </c>
      <c r="U13" s="102">
        <v>6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0</v>
      </c>
      <c r="AC13" s="102" t="str">
        <f t="shared" ca="1" si="0"/>
        <v>ANO</v>
      </c>
      <c r="AG13" s="121" t="s">
        <v>692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/>
      <c r="AP13" s="125" t="s">
        <v>149</v>
      </c>
      <c r="AQ13" s="123">
        <v>176</v>
      </c>
      <c r="AR13" s="123">
        <v>80</v>
      </c>
      <c r="AS13" s="126" t="s">
        <v>701</v>
      </c>
      <c r="AT13" s="123">
        <v>2007</v>
      </c>
      <c r="AU13" s="127">
        <f ca="1">IF(AG13&lt;&gt;"",IF(AH13&lt;&gt;"",INT((TODAY()-AH13)/365),"?"),"")</f>
        <v>30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0 OZ, 0 (0+0)</v>
      </c>
      <c r="AY13" s="129" t="str">
        <f t="shared" ca="1" si="2"/>
        <v>283 OZ, 70 (31+39)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6"/>
      <c r="BT13" s="104" t="s">
        <v>1109</v>
      </c>
      <c r="BU13" s="103">
        <v>6</v>
      </c>
      <c r="BV13" s="104" t="str">
        <f t="shared" si="13"/>
        <v>Radek Krajcigr</v>
      </c>
      <c r="BW13" s="102">
        <f t="shared" si="14"/>
        <v>6</v>
      </c>
    </row>
    <row r="14" spans="1:79" ht="15" customHeight="1" thickTop="1" thickBot="1" x14ac:dyDescent="0.25">
      <c r="A14" s="377" t="str">
        <f ca="1">IFERROR(VLOOKUP(A12,OFFSET($AG$2,,,COUNTIF($AG$2:$AG$50,"?*"),23),18,FALSE),"")</f>
        <v>6 OZ, 2 (2+0), -2 ±</v>
      </c>
      <c r="B14" s="378"/>
      <c r="C14" s="378"/>
      <c r="D14" s="379" t="str">
        <f ca="1">IFERROR(VLOOKUP(A12,OFFSET($AG$2,,,COUNTIF($AG$2:$AG$50,"?*"),23),19,FALSE),"")</f>
        <v>71 OZ, 19 (10+9)</v>
      </c>
      <c r="E14" s="379"/>
      <c r="F14" s="380"/>
      <c r="G14" s="348" t="s">
        <v>684</v>
      </c>
      <c r="H14" s="349"/>
      <c r="I14" s="349"/>
      <c r="J14" s="349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55</v>
      </c>
      <c r="M14" s="377" t="str">
        <f ca="1">IFERROR(VLOOKUP(M12,OFFSET($AG$2,,,COUNTIF($AG$2:$AG$50,"?*"),23),18,FALSE),"")</f>
        <v>6 OZ, 1 (1+0), -1 ±</v>
      </c>
      <c r="N14" s="378"/>
      <c r="O14" s="378"/>
      <c r="P14" s="379" t="str">
        <f ca="1">IFERROR(VLOOKUP(M12,OFFSET($AG$2,,,COUNTIF($AG$2:$AG$50,"?*"),23),19,FALSE),"")</f>
        <v>14 OZ, 1 (1+0)</v>
      </c>
      <c r="Q14" s="379"/>
      <c r="R14" s="380"/>
      <c r="S14" s="110" t="s">
        <v>680</v>
      </c>
      <c r="T14" s="102" t="s">
        <v>119</v>
      </c>
      <c r="U14" s="102">
        <v>6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2</v>
      </c>
      <c r="AB14" s="102">
        <v>-1</v>
      </c>
      <c r="AC14" s="102" t="str">
        <f t="shared" ca="1" si="0"/>
        <v>ANO</v>
      </c>
      <c r="AG14" s="121" t="s">
        <v>676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149</v>
      </c>
      <c r="AQ14" s="123">
        <v>186</v>
      </c>
      <c r="AR14" s="123">
        <v>86</v>
      </c>
      <c r="AS14" s="126" t="s">
        <v>430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7 OZ, 3 (0+3), -7 ±</v>
      </c>
      <c r="AY14" s="129" t="str">
        <f t="shared" ca="1" si="2"/>
        <v>98 OZ, 29 (8+21)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6"/>
      <c r="BT14" s="104" t="s">
        <v>1110</v>
      </c>
      <c r="BU14" s="103">
        <v>3</v>
      </c>
      <c r="BV14" s="104" t="str">
        <f t="shared" si="13"/>
        <v>Jaromír Ekl</v>
      </c>
      <c r="BW14" s="102">
        <f t="shared" si="14"/>
        <v>3</v>
      </c>
    </row>
    <row r="15" spans="1:79" ht="15" customHeight="1" thickBot="1" x14ac:dyDescent="0.25">
      <c r="A15" s="365" t="str">
        <f ca="1">IFERROR(IF(VLOOKUP(A12,OFFSET($AG$2,,,COUNTIF($AG$2:$AG$50,"?*"),23),13,FALSE)&lt;&gt;0,VLOOKUP(A12,OFFSET($AG$2,,,COUNTIF($AG$2:$AG$50,"?*"),23),13,FALSE),"?"),"")</f>
        <v>Akademie Zákupy</v>
      </c>
      <c r="B15" s="366"/>
      <c r="C15" s="367"/>
      <c r="D15" s="368" t="str">
        <f ca="1">IFERROR(IF(VLOOKUP(A12,OFFSET($AG$2,,,COUNTIF($AG$2:$AG$50,"?*"),23),14,FALSE)&lt;&gt;0,VLOOKUP(A12,OFFSET($AG$2,,,COUNTIF($AG$2:$AG$50,"?*"),23),14,FALSE),"?"),"")</f>
        <v>-</v>
      </c>
      <c r="E15" s="369"/>
      <c r="F15" s="7">
        <f ca="1">IFERROR(IF(VLOOKUP(A12,OFFSET($AG$2,,,COUNTIF($AG$2:$AG$50,"?*"),23),7,FALSE)&lt;&gt;0,VLOOKUP(A12,OFFSET($AG$2,,,COUNTIF($AG$2:$AG$50,"?*"),23),7,FALSE),"?"),"")</f>
        <v>5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41">
        <f ca="1">IFERROR(IF(VLOOKUP(G14,OFFSET($AG$2,,,COUNTIF($AG$2:$AG$50,"?*"),23),2,FALSE)&lt;&gt;0,YEAR(VLOOKUP(G14,OFFSET($AG$2,,,COUNTIF($AG$2:$AG$50,"?*"),23),2,FALSE)),""),"")</f>
        <v>1991</v>
      </c>
      <c r="I15" s="342"/>
      <c r="J15" s="117">
        <f ca="1">IFERROR(VLOOKUP(G14,OFFSET($AG$2,,,COUNTIF($AG$2:$AG$50,"?*"),23),15,FALSE),"")</f>
        <v>30</v>
      </c>
      <c r="K15" s="343" t="str">
        <f ca="1">IFERROR(VLOOKUP(G14,OFFSET($AG$2,,,COUNTIF($AG$2:$AG$50,"?*"),23),16,FALSE),"")</f>
        <v>186/87</v>
      </c>
      <c r="L15" s="344"/>
      <c r="M15" s="365" t="str">
        <f ca="1">IFERROR(IF(VLOOKUP(M12,OFFSET($AG$2,,,COUNTIF($AG$2:$AG$50,"?*"),23),13,FALSE)&lt;&gt;0,VLOOKUP(M12,OFFSET($AG$2,,,COUNTIF($AG$2:$AG$50,"?*"),23),13,FALSE),"?"),"")</f>
        <v>FBC Česká Lípa</v>
      </c>
      <c r="N15" s="366"/>
      <c r="O15" s="367"/>
      <c r="P15" s="368" t="str">
        <f ca="1">IFERROR(IF(VLOOKUP(M12,OFFSET($AG$2,,,COUNTIF($AG$2:$AG$50,"?*"),23),14,FALSE)&lt;&gt;0,VLOOKUP(M12,OFFSET($AG$2,,,COUNTIF($AG$2:$AG$50,"?*"),23),14,FALSE),"?"),"")</f>
        <v>-</v>
      </c>
      <c r="Q15" s="369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674</v>
      </c>
      <c r="T15" s="102" t="s">
        <v>119</v>
      </c>
      <c r="U15" s="102">
        <v>7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4</v>
      </c>
      <c r="AB15" s="102">
        <v>-12</v>
      </c>
      <c r="AC15" s="102" t="str">
        <f t="shared" ca="1" si="0"/>
        <v>ANO</v>
      </c>
      <c r="AG15" s="121" t="s">
        <v>672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149</v>
      </c>
      <c r="AQ15" s="123">
        <v>175</v>
      </c>
      <c r="AR15" s="123">
        <v>70</v>
      </c>
      <c r="AS15" s="126" t="s">
        <v>430</v>
      </c>
      <c r="AT15" s="123" t="s">
        <v>240</v>
      </c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7 OZ, 8 (7+1), -8 ±</v>
      </c>
      <c r="AY15" s="129" t="str">
        <f t="shared" ca="1" si="2"/>
        <v>31 OZ, 29 (21+8)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6"/>
      <c r="BT15" s="104" t="s">
        <v>1111</v>
      </c>
      <c r="BU15" s="103">
        <v>3</v>
      </c>
      <c r="BV15" s="104" t="str">
        <f t="shared" si="13"/>
        <v>Milan Tichý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77" t="str">
        <f ca="1">IFERROR(VLOOKUP(G14,OFFSET($AG$2,,,COUNTIF($AG$2:$AG$50,"?*"),23),18,FALSE),"")</f>
        <v>7 OZ, 3 (0+3), -5 ±</v>
      </c>
      <c r="H16" s="378"/>
      <c r="I16" s="378"/>
      <c r="J16" s="379" t="str">
        <f ca="1">IFERROR(VLOOKUP(G14,OFFSET($AG$2,,,COUNTIF($AG$2:$AG$50,"?*"),23),19,FALSE),"")</f>
        <v>110 OZ, 79 (25+54)</v>
      </c>
      <c r="K16" s="379"/>
      <c r="L16" s="380"/>
      <c r="S16" s="110" t="s">
        <v>696</v>
      </c>
      <c r="T16" s="102" t="s">
        <v>119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1</v>
      </c>
      <c r="AC16" s="102" t="str">
        <f t="shared" ca="1" si="0"/>
        <v>ANO</v>
      </c>
      <c r="AG16" s="121" t="s">
        <v>680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21</v>
      </c>
      <c r="AO16" s="125"/>
      <c r="AP16" s="125" t="s">
        <v>149</v>
      </c>
      <c r="AQ16" s="123">
        <v>170</v>
      </c>
      <c r="AR16" s="123">
        <v>62</v>
      </c>
      <c r="AS16" s="126" t="s">
        <v>430</v>
      </c>
      <c r="AT16" s="123" t="s">
        <v>240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6 OZ, 1 (1+0), -1 ±</v>
      </c>
      <c r="AY16" s="129" t="str">
        <f t="shared" ca="1" si="2"/>
        <v>14 OZ, 1 (1+0)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6"/>
      <c r="BT16" s="104" t="s">
        <v>947</v>
      </c>
      <c r="BU16" s="103">
        <v>3</v>
      </c>
      <c r="BV16" s="104" t="str">
        <f t="shared" si="13"/>
        <v>Štěpán Slaný</v>
      </c>
      <c r="BW16" s="102">
        <f t="shared" si="14"/>
        <v>3</v>
      </c>
    </row>
    <row r="17" spans="1:75" ht="15" customHeight="1" thickTop="1" thickBot="1" x14ac:dyDescent="0.25">
      <c r="A17" s="348" t="s">
        <v>432</v>
      </c>
      <c r="B17" s="349"/>
      <c r="C17" s="349"/>
      <c r="D17" s="349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80</v>
      </c>
      <c r="G17" s="365" t="str">
        <f ca="1">IFERROR(IF(VLOOKUP(G14,OFFSET($AG$2,,,COUNTIF($AG$2:$AG$50,"?*"),23),13,FALSE)&lt;&gt;0,VLOOKUP(G14,OFFSET($AG$2,,,COUNTIF($AG$2:$AG$50,"?*"),23),13,FALSE),"?"),"")</f>
        <v>FBC Česká Lípa</v>
      </c>
      <c r="H17" s="366"/>
      <c r="I17" s="367"/>
      <c r="J17" s="368">
        <f ca="1">IFERROR(IF(VLOOKUP(G14,OFFSET($AG$2,,,COUNTIF($AG$2:$AG$50,"?*"),23),14,FALSE)&lt;&gt;0,VLOOKUP(G14,OFFSET($AG$2,,,COUNTIF($AG$2:$AG$50,"?*"),23),14,FALSE),"?"),"")</f>
        <v>2006</v>
      </c>
      <c r="K17" s="369"/>
      <c r="L17" s="7">
        <f ca="1">IFERROR(IF(VLOOKUP(G14,OFFSET($AG$2,,,COUNTIF($AG$2:$AG$50,"?*"),23),7,FALSE)&lt;&gt;0,VLOOKUP(G14,OFFSET($AG$2,,,COUNTIF($AG$2:$AG$50,"?*"),23),7,FALSE),"?"),"")</f>
        <v>6</v>
      </c>
      <c r="M17" s="348" t="s">
        <v>677</v>
      </c>
      <c r="N17" s="349"/>
      <c r="O17" s="349"/>
      <c r="P17" s="349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50</v>
      </c>
      <c r="S17" s="110" t="s">
        <v>1104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671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149</v>
      </c>
      <c r="AQ17" s="123">
        <v>186</v>
      </c>
      <c r="AR17" s="123">
        <v>82</v>
      </c>
      <c r="AS17" s="126" t="s">
        <v>702</v>
      </c>
      <c r="AT17" s="123" t="s">
        <v>240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7 OZ, 10 (6+4), -1 ±</v>
      </c>
      <c r="AY17" s="129" t="str">
        <f t="shared" ca="1" si="2"/>
        <v>201 OZ, 337 (240+97)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6" t="s">
        <v>41</v>
      </c>
      <c r="BT17" s="104" t="s">
        <v>866</v>
      </c>
      <c r="BU17" s="103">
        <v>1</v>
      </c>
      <c r="BV17" s="104" t="str">
        <f t="shared" si="13"/>
        <v>Lukáš Chyna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41">
        <f ca="1">IFERROR(IF(VLOOKUP(A17,OFFSET($AG$2,,,COUNTIF($AG$2:$AG$50,"?*"),23),2,FALSE)&lt;&gt;0,YEAR(VLOOKUP(A17,OFFSET($AG$2,,,COUNTIF($AG$2:$AG$50,"?*"),23),2,FALSE)),""),"")</f>
        <v>1994</v>
      </c>
      <c r="C18" s="342"/>
      <c r="D18" s="150">
        <f ca="1">IFERROR(VLOOKUP(A17,OFFSET($AG$2,,,COUNTIF($AG$2:$AG$50,"?*"),23),15,FALSE),"")</f>
        <v>27</v>
      </c>
      <c r="E18" s="343" t="str">
        <f ca="1">IFERROR(VLOOKUP(A17,OFFSET($AG$2,,,COUNTIF($AG$2:$AG$50,"?*"),23),16,FALSE),"")</f>
        <v>174/76</v>
      </c>
      <c r="F18" s="344"/>
      <c r="M18" s="4" t="str">
        <f ca="1">IFERROR(IF(VLOOKUP(M17,OFFSET($AG$2,,,COUNTIF($AG$2:$AG$50,"?*"),23),10,FALSE)&lt;&gt;0,VLOOKUP(M17,OFFSET($AG$2,,,COUNTIF($AG$2:$AG$50,"?*"),23),10,FALSE),""),"")</f>
        <v>L</v>
      </c>
      <c r="N18" s="341">
        <f ca="1">IFERROR(IF(VLOOKUP(M17,OFFSET($AG$2,,,COUNTIF($AG$2:$AG$50,"?*"),23),2,FALSE)&lt;&gt;0,YEAR(VLOOKUP(M17,OFFSET($AG$2,,,COUNTIF($AG$2:$AG$50,"?*"),23),2,FALSE)),""),"")</f>
        <v>1983</v>
      </c>
      <c r="O18" s="342"/>
      <c r="P18" s="117">
        <f ca="1">IFERROR(VLOOKUP(M17,OFFSET($AG$2,,,COUNTIF($AG$2:$AG$50,"?*"),23),15,FALSE),"")</f>
        <v>38</v>
      </c>
      <c r="Q18" s="343" t="str">
        <f ca="1">IFERROR(VLOOKUP(M17,OFFSET($AG$2,,,COUNTIF($AG$2:$AG$50,"?*"),23),16,FALSE),"")</f>
        <v>184/91</v>
      </c>
      <c r="R18" s="344"/>
      <c r="S18" s="110" t="s">
        <v>685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682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 t="s">
        <v>166</v>
      </c>
      <c r="AP18" s="125" t="s">
        <v>149</v>
      </c>
      <c r="AQ18" s="123">
        <v>185</v>
      </c>
      <c r="AR18" s="123">
        <v>85</v>
      </c>
      <c r="AS18" s="126" t="s">
        <v>703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7 OZ, 4 (2+2), -8 ±</v>
      </c>
      <c r="AY18" s="129" t="str">
        <f t="shared" ca="1" si="2"/>
        <v>90 OZ, 24 (14+10)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6"/>
      <c r="BT18" s="104" t="s">
        <v>867</v>
      </c>
      <c r="BU18" s="103">
        <v>0</v>
      </c>
      <c r="BV18" s="104" t="str">
        <f t="shared" si="13"/>
        <v>Ivan Ponomarev</v>
      </c>
      <c r="BW18" s="102">
        <f t="shared" si="14"/>
        <v>0</v>
      </c>
    </row>
    <row r="19" spans="1:75" ht="15" customHeight="1" x14ac:dyDescent="0.2">
      <c r="A19" s="377" t="str">
        <f ca="1">IFERROR(VLOOKUP(A17,OFFSET($AG$2,,,COUNTIF($AG$2:$AG$50,"?*"),23),18,FALSE),"")</f>
        <v>6 OZ, 0 (0+0), -2 ±</v>
      </c>
      <c r="B19" s="378"/>
      <c r="C19" s="378"/>
      <c r="D19" s="379" t="str">
        <f ca="1">IFERROR(VLOOKUP(A17,OFFSET($AG$2,,,COUNTIF($AG$2:$AG$50,"?*"),23),19,FALSE),"")</f>
        <v>74 OZ, 44 (21+23)</v>
      </c>
      <c r="E19" s="379"/>
      <c r="F19" s="380"/>
      <c r="H19" s="381" t="str">
        <f>H$8</f>
        <v>CLP</v>
      </c>
      <c r="I19" s="381"/>
      <c r="J19" s="381"/>
      <c r="K19" s="381"/>
      <c r="M19" s="377" t="str">
        <f ca="1">IFERROR(VLOOKUP(M17,OFFSET($AG$2,,,COUNTIF($AG$2:$AG$50,"?*"),23),18,FALSE),"")</f>
        <v>7 OZ, 5 (3+2), -5 ±</v>
      </c>
      <c r="N19" s="378"/>
      <c r="O19" s="378"/>
      <c r="P19" s="379" t="str">
        <f ca="1">IFERROR(VLOOKUP(M17,OFFSET($AG$2,,,COUNTIF($AG$2:$AG$50,"?*"),23),19,FALSE),"")</f>
        <v>316 OZ, 325 (159+166)</v>
      </c>
      <c r="Q19" s="379"/>
      <c r="R19" s="380"/>
      <c r="S19" s="110" t="s">
        <v>686</v>
      </c>
      <c r="T19" s="102" t="s">
        <v>64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693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149</v>
      </c>
      <c r="AQ19" s="123">
        <v>178</v>
      </c>
      <c r="AR19" s="123">
        <v>75</v>
      </c>
      <c r="AS19" s="126" t="s">
        <v>701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4 OZ, 2 (1+1), -9 ±</v>
      </c>
      <c r="AY19" s="129" t="str">
        <f t="shared" ca="1" si="2"/>
        <v>196 OZ, 73 (34+39)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65" t="str">
        <f ca="1">IFERROR(IF(VLOOKUP(A17,OFFSET($AG$2,,,COUNTIF($AG$2:$AG$50,"?*"),23),13,FALSE)&lt;&gt;0,VLOOKUP(A17,OFFSET($AG$2,,,COUNTIF($AG$2:$AG$50,"?*"),23),13,FALSE),"?"),"")</f>
        <v>Pitbulls Kolín</v>
      </c>
      <c r="B20" s="366"/>
      <c r="C20" s="367"/>
      <c r="D20" s="368">
        <f ca="1">IFERROR(IF(VLOOKUP(A17,OFFSET($AG$2,,,COUNTIF($AG$2:$AG$50,"?*"),23),14,FALSE)&lt;&gt;0,VLOOKUP(A17,OFFSET($AG$2,,,COUNTIF($AG$2:$AG$50,"?*"),23),14,FALSE),"?"),"")</f>
        <v>2007</v>
      </c>
      <c r="E20" s="369"/>
      <c r="F20" s="7">
        <f ca="1">IFERROR(IF(VLOOKUP(A17,OFFSET($AG$2,,,COUNTIF($AG$2:$AG$50,"?*"),23),7,FALSE)&lt;&gt;0,VLOOKUP(A17,OFFSET($AG$2,,,COUNTIF($AG$2:$AG$50,"?*"),23),7,FALSE),"?"),"")</f>
        <v>5</v>
      </c>
      <c r="H20" s="381"/>
      <c r="I20" s="381"/>
      <c r="J20" s="381"/>
      <c r="K20" s="381"/>
      <c r="M20" s="365" t="str">
        <f ca="1">IFERROR(IF(VLOOKUP(M17,OFFSET($AG$2,,,COUNTIF($AG$2:$AG$50,"?*"),23),13,FALSE)&lt;&gt;0,VLOOKUP(M17,OFFSET($AG$2,,,COUNTIF($AG$2:$AG$50,"?*"),23),13,FALSE),"?"),"")</f>
        <v>FBC Líný FŠI Česká Lípa</v>
      </c>
      <c r="N20" s="366"/>
      <c r="O20" s="367"/>
      <c r="P20" s="368">
        <f ca="1">IFERROR(IF(VLOOKUP(M17,OFFSET($AG$2,,,COUNTIF($AG$2:$AG$50,"?*"),23),14,FALSE)&lt;&gt;0,VLOOKUP(M17,OFFSET($AG$2,,,COUNTIF($AG$2:$AG$50,"?*"),23),14,FALSE),"?"),"")</f>
        <v>1998</v>
      </c>
      <c r="Q20" s="369"/>
      <c r="R20" s="7">
        <f ca="1">IFERROR(IF(VLOOKUP(M17,OFFSET($AG$2,,,COUNTIF($AG$2:$AG$50,"?*"),23),7,FALSE)&lt;&gt;0,VLOOKUP(M17,OFFSET($AG$2,,,COUNTIF($AG$2:$AG$50,"?*"),23),7,FALSE),"?"),"")</f>
        <v>15</v>
      </c>
      <c r="S20" s="110" t="s">
        <v>683</v>
      </c>
      <c r="T20" s="102" t="s">
        <v>119</v>
      </c>
      <c r="U20" s="102">
        <v>6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432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80</v>
      </c>
      <c r="AO20" s="125"/>
      <c r="AP20" s="125" t="s">
        <v>149</v>
      </c>
      <c r="AQ20" s="123">
        <v>174</v>
      </c>
      <c r="AR20" s="123">
        <v>76</v>
      </c>
      <c r="AS20" s="126" t="s">
        <v>898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6 OZ, 0 (0+0), -2 ±</v>
      </c>
      <c r="AY20" s="129" t="str">
        <f t="shared" ca="1" si="2"/>
        <v>74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432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-2</v>
      </c>
      <c r="AC21" s="102" t="str">
        <f t="shared" ca="1" si="0"/>
        <v>ANO</v>
      </c>
      <c r="AG21" s="121" t="s">
        <v>694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149</v>
      </c>
      <c r="AQ21" s="123">
        <v>185</v>
      </c>
      <c r="AR21" s="123">
        <v>88</v>
      </c>
      <c r="AS21" s="126" t="s">
        <v>430</v>
      </c>
      <c r="AT21" s="123" t="s">
        <v>240</v>
      </c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687</v>
      </c>
      <c r="T22" s="102" t="s">
        <v>117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0</v>
      </c>
      <c r="AC22" s="102" t="str">
        <f t="shared" ca="1" si="0"/>
        <v>ANO</v>
      </c>
      <c r="AG22" s="121" t="s">
        <v>678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897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0 V, 4 P</v>
      </c>
      <c r="AY22" s="129" t="str">
        <f t="shared" ca="1" si="2"/>
        <v>136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6" t="s">
        <v>38</v>
      </c>
      <c r="BT22" s="104" t="s">
        <v>713</v>
      </c>
      <c r="BU22" s="103">
        <v>5</v>
      </c>
      <c r="BV22" s="104" t="str">
        <f t="shared" si="13"/>
        <v>Milan Tichý</v>
      </c>
      <c r="BW22" s="102">
        <f t="shared" si="14"/>
        <v>5</v>
      </c>
    </row>
    <row r="23" spans="1:75" ht="15" customHeight="1" thickTop="1" thickBot="1" x14ac:dyDescent="0.25">
      <c r="A23" s="348" t="s">
        <v>676</v>
      </c>
      <c r="B23" s="349"/>
      <c r="C23" s="349"/>
      <c r="D23" s="349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27</v>
      </c>
      <c r="H23" s="382" t="s">
        <v>13</v>
      </c>
      <c r="I23" s="382"/>
      <c r="J23" s="382"/>
      <c r="K23" s="382"/>
      <c r="M23" s="348" t="s">
        <v>674</v>
      </c>
      <c r="N23" s="349"/>
      <c r="O23" s="349"/>
      <c r="P23" s="349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</v>
      </c>
      <c r="S23" s="110" t="s">
        <v>678</v>
      </c>
      <c r="T23" s="102" t="s">
        <v>117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695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149</v>
      </c>
      <c r="AQ23" s="123">
        <v>180</v>
      </c>
      <c r="AR23" s="123">
        <v>69</v>
      </c>
      <c r="AS23" s="126" t="s">
        <v>704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6"/>
      <c r="BT23" s="104" t="s">
        <v>948</v>
      </c>
      <c r="BU23" s="103">
        <v>4</v>
      </c>
      <c r="BV23" s="104" t="str">
        <f t="shared" si="13"/>
        <v>Daniel Štěrba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41">
        <f ca="1">IFERROR(IF(VLOOKUP(A23,OFFSET($AG$2,,,COUNTIF($AG$2:$AG$50,"?*"),23),2,FALSE)&lt;&gt;0,YEAR(VLOOKUP(A23,OFFSET($AG$2,,,COUNTIF($AG$2:$AG$50,"?*"),23),2,FALSE)),""),"")</f>
        <v>1990</v>
      </c>
      <c r="C24" s="342"/>
      <c r="D24" s="117">
        <f ca="1">IFERROR(VLOOKUP(A23,OFFSET($AG$2,,,COUNTIF($AG$2:$AG$50,"?*"),23),15,FALSE),"")</f>
        <v>31</v>
      </c>
      <c r="E24" s="343" t="str">
        <f ca="1">IFERROR(VLOOKUP(A23,OFFSET($AG$2,,,COUNTIF($AG$2:$AG$50,"?*"),23),16,FALSE),"")</f>
        <v>186/86</v>
      </c>
      <c r="F24" s="344"/>
      <c r="M24" s="4" t="str">
        <f ca="1">IFERROR(IF(VLOOKUP(M23,OFFSET($AG$2,,,COUNTIF($AG$2:$AG$50,"?*"),23),10,FALSE)&lt;&gt;0,VLOOKUP(M23,OFFSET($AG$2,,,COUNTIF($AG$2:$AG$50,"?*"),23),10,FALSE),""),"")</f>
        <v>L</v>
      </c>
      <c r="N24" s="341">
        <f ca="1">IFERROR(IF(VLOOKUP(M23,OFFSET($AG$2,,,COUNTIF($AG$2:$AG$50,"?*"),23),2,FALSE)&lt;&gt;0,YEAR(VLOOKUP(M23,OFFSET($AG$2,,,COUNTIF($AG$2:$AG$50,"?*"),23),2,FALSE)),""),"")</f>
        <v>1986</v>
      </c>
      <c r="O24" s="342"/>
      <c r="P24" s="117">
        <f ca="1">IFERROR(VLOOKUP(M23,OFFSET($AG$2,,,COUNTIF($AG$2:$AG$50,"?*"),23),15,FALSE),"")</f>
        <v>35</v>
      </c>
      <c r="Q24" s="343" t="str">
        <f ca="1">IFERROR(VLOOKUP(M23,OFFSET($AG$2,,,COUNTIF($AG$2:$AG$50,"?*"),23),16,FALSE),"")</f>
        <v>182/79</v>
      </c>
      <c r="R24" s="344"/>
      <c r="S24" s="111"/>
      <c r="AC24" s="102" t="str">
        <f t="shared" ca="1" si="0"/>
        <v/>
      </c>
      <c r="AG24" s="121" t="s">
        <v>677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149</v>
      </c>
      <c r="AQ24" s="123">
        <v>184</v>
      </c>
      <c r="AR24" s="123">
        <v>91</v>
      </c>
      <c r="AS24" s="126" t="s">
        <v>705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7 OZ, 5 (3+2), -5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316 OZ, 325 (159+166)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6"/>
      <c r="BT24" s="104" t="s">
        <v>950</v>
      </c>
      <c r="BU24" s="103">
        <v>4</v>
      </c>
      <c r="BV24" s="104" t="str">
        <f t="shared" si="13"/>
        <v>Radek Krajcigr</v>
      </c>
      <c r="BW24" s="102">
        <f t="shared" si="14"/>
        <v>4</v>
      </c>
    </row>
    <row r="25" spans="1:75" ht="15" customHeight="1" thickTop="1" thickBot="1" x14ac:dyDescent="0.25">
      <c r="A25" s="377" t="str">
        <f ca="1">IFERROR(VLOOKUP(A23,OFFSET($AG$2,,,COUNTIF($AG$2:$AG$50,"?*"),23),18,FALSE),"")</f>
        <v>7 OZ, 3 (0+3), -7 ±</v>
      </c>
      <c r="B25" s="378"/>
      <c r="C25" s="378"/>
      <c r="D25" s="379" t="str">
        <f ca="1">IFERROR(VLOOKUP(A23,OFFSET($AG$2,,,COUNTIF($AG$2:$AG$50,"?*"),23),19,FALSE),"")</f>
        <v>98 OZ, 29 (8+21)</v>
      </c>
      <c r="E25" s="379"/>
      <c r="F25" s="380"/>
      <c r="G25" s="348" t="s">
        <v>682</v>
      </c>
      <c r="H25" s="349"/>
      <c r="I25" s="349"/>
      <c r="J25" s="349"/>
      <c r="K25" s="1" t="str">
        <f ca="1">IFERROR(IF(VLOOKUP(G25,OFFSET($AG$2,,,COUNTIF($AG$2:$AG$50,"?*"),23),9,FALSE)&lt;&gt;0,VLOOKUP(G25,OFFSET($AG$2,,,COUNTIF($AG$2:$AG$50,"?*"),23),9,FALSE),""),"")</f>
        <v>C</v>
      </c>
      <c r="L25" s="2">
        <f ca="1">IFERROR(IF(VLOOKUP(G25,OFFSET($AG$2,,,COUNTIF($AG$2:$AG$50,"?*"),23),8,FALSE)&lt;&gt;0,VLOOKUP(G25,OFFSET($AG$2,,,COUNTIF($AG$2:$AG$50,"?*"),23),8,FALSE),""),"")</f>
        <v>12</v>
      </c>
      <c r="M25" s="377" t="str">
        <f ca="1">IFERROR(VLOOKUP(M23,OFFSET($AG$2,,,COUNTIF($AG$2:$AG$50,"?*"),23),18,FALSE),"")</f>
        <v>7 OZ, 1 (1+0), -12 ±</v>
      </c>
      <c r="N25" s="378"/>
      <c r="O25" s="378"/>
      <c r="P25" s="379" t="str">
        <f ca="1">IFERROR(VLOOKUP(M23,OFFSET($AG$2,,,COUNTIF($AG$2:$AG$50,"?*"),23),19,FALSE),"")</f>
        <v>110 OZ, 51 (32+19)</v>
      </c>
      <c r="Q25" s="379"/>
      <c r="R25" s="380"/>
      <c r="S25" s="111"/>
      <c r="AC25" s="102" t="str">
        <f t="shared" ca="1" si="0"/>
        <v/>
      </c>
      <c r="AG25" s="121" t="s">
        <v>696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149</v>
      </c>
      <c r="AQ25" s="123">
        <v>194</v>
      </c>
      <c r="AR25" s="123">
        <v>89</v>
      </c>
      <c r="AS25" s="126" t="s">
        <v>430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6"/>
      <c r="BT25" s="104" t="s">
        <v>1112</v>
      </c>
      <c r="BU25" s="103">
        <v>3</v>
      </c>
      <c r="BV25" s="104" t="str">
        <f t="shared" si="13"/>
        <v>Jakub Jirsa</v>
      </c>
      <c r="BW25" s="102">
        <f t="shared" si="14"/>
        <v>3</v>
      </c>
    </row>
    <row r="26" spans="1:75" ht="15" customHeight="1" thickBot="1" x14ac:dyDescent="0.25">
      <c r="A26" s="365" t="str">
        <f ca="1">IFERROR(IF(VLOOKUP(A23,OFFSET($AG$2,,,COUNTIF($AG$2:$AG$50,"?*"),23),13,FALSE)&lt;&gt;0,VLOOKUP(A23,OFFSET($AG$2,,,COUNTIF($AG$2:$AG$50,"?*"),23),13,FALSE),"?"),"")</f>
        <v>FBC Česká Lípa</v>
      </c>
      <c r="B26" s="366"/>
      <c r="C26" s="367"/>
      <c r="D26" s="368">
        <f ca="1">IFERROR(IF(VLOOKUP(A23,OFFSET($AG$2,,,COUNTIF($AG$2:$AG$50,"?*"),23),14,FALSE)&lt;&gt;0,VLOOKUP(A23,OFFSET($AG$2,,,COUNTIF($AG$2:$AG$50,"?*"),23),14,FALSE),"?"),"")</f>
        <v>2006</v>
      </c>
      <c r="E26" s="369"/>
      <c r="F26" s="7">
        <f ca="1">IFERROR(IF(VLOOKUP(A23,OFFSET($AG$2,,,COUNTIF($AG$2:$AG$50,"?*"),23),7,FALSE)&lt;&gt;0,VLOOKUP(A23,OFFSET($AG$2,,,COUNTIF($AG$2:$AG$50,"?*"),23),7,FALSE),"?"),"")</f>
        <v>6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41">
        <f ca="1">IFERROR(IF(VLOOKUP(G25,OFFSET($AG$2,,,COUNTIF($AG$2:$AG$50,"?*"),23),2,FALSE)&lt;&gt;0,YEAR(VLOOKUP(G25,OFFSET($AG$2,,,COUNTIF($AG$2:$AG$50,"?*"),23),2,FALSE)),""),"")</f>
        <v>1987</v>
      </c>
      <c r="I26" s="342"/>
      <c r="J26" s="117">
        <f ca="1">IFERROR(VLOOKUP(G25,OFFSET($AG$2,,,COUNTIF($AG$2:$AG$50,"?*"),23),15,FALSE),"")</f>
        <v>34</v>
      </c>
      <c r="K26" s="343" t="str">
        <f ca="1">IFERROR(VLOOKUP(G25,OFFSET($AG$2,,,COUNTIF($AG$2:$AG$50,"?*"),23),16,FALSE),"")</f>
        <v>185/85</v>
      </c>
      <c r="L26" s="344"/>
      <c r="M26" s="365" t="str">
        <f ca="1">IFERROR(IF(VLOOKUP(M23,OFFSET($AG$2,,,COUNTIF($AG$2:$AG$50,"?*"),23),13,FALSE)&lt;&gt;0,VLOOKUP(M23,OFFSET($AG$2,,,COUNTIF($AG$2:$AG$50,"?*"),23),13,FALSE),"?"),"")</f>
        <v>S.K. P.E.M.A. Opava</v>
      </c>
      <c r="N26" s="366"/>
      <c r="O26" s="367"/>
      <c r="P26" s="368">
        <f ca="1">IFERROR(IF(VLOOKUP(M23,OFFSET($AG$2,,,COUNTIF($AG$2:$AG$50,"?*"),23),14,FALSE)&lt;&gt;0,VLOOKUP(M23,OFFSET($AG$2,,,COUNTIF($AG$2:$AG$50,"?*"),23),14,FALSE),"?"),"")</f>
        <v>2005</v>
      </c>
      <c r="Q26" s="369"/>
      <c r="R26" s="7">
        <f ca="1">IFERROR(IF(VLOOKUP(M23,OFFSET($AG$2,,,COUNTIF($AG$2:$AG$50,"?*"),23),7,FALSE)&lt;&gt;0,VLOOKUP(M23,OFFSET($AG$2,,,COUNTIF($AG$2:$AG$50,"?*"),23),7,FALSE),"?"),"")</f>
        <v>5</v>
      </c>
      <c r="S26" s="111"/>
      <c r="AC26" s="102" t="str">
        <f t="shared" ca="1" si="0"/>
        <v/>
      </c>
      <c r="AG26" s="121" t="s">
        <v>1104</v>
      </c>
      <c r="AH26" s="122"/>
      <c r="AI26" s="123"/>
      <c r="AJ26" s="123"/>
      <c r="AK26" s="123"/>
      <c r="AL26" s="124"/>
      <c r="AM26" s="123"/>
      <c r="AN26" s="123">
        <v>70</v>
      </c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Staněk</v>
      </c>
      <c r="AX26" s="129" t="str">
        <f t="shared" ca="1" si="15"/>
        <v>2 OZ, 0 (0+0), 0 ±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Staněk</v>
      </c>
      <c r="BE26" s="84">
        <f t="shared" ca="1" si="4"/>
        <v>1</v>
      </c>
      <c r="BF26" s="62" t="str">
        <f t="shared" si="5"/>
        <v>L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6"/>
      <c r="BT26" s="104" t="s">
        <v>1226</v>
      </c>
      <c r="BU26" s="103">
        <v>3</v>
      </c>
      <c r="BV26" s="104" t="str">
        <f t="shared" si="13"/>
        <v>Jakub Karel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77" t="str">
        <f ca="1">IFERROR(VLOOKUP(G25,OFFSET($AG$2,,,COUNTIF($AG$2:$AG$50,"?*"),23),18,FALSE),"")</f>
        <v>7 OZ, 4 (2+2), -8 ±</v>
      </c>
      <c r="H27" s="378"/>
      <c r="I27" s="378"/>
      <c r="J27" s="379" t="str">
        <f ca="1">IFERROR(VLOOKUP(G25,OFFSET($AG$2,,,COUNTIF($AG$2:$AG$50,"?*"),23),19,FALSE),"")</f>
        <v>90 OZ, 24 (14+10)</v>
      </c>
      <c r="K27" s="379"/>
      <c r="L27" s="380"/>
      <c r="S27" s="111"/>
      <c r="AC27" s="102" t="str">
        <f t="shared" ca="1" si="0"/>
        <v/>
      </c>
      <c r="AG27" s="121" t="s">
        <v>681</v>
      </c>
      <c r="AH27" s="122">
        <v>37722</v>
      </c>
      <c r="AI27" s="123">
        <v>21</v>
      </c>
      <c r="AJ27" s="123">
        <v>2</v>
      </c>
      <c r="AK27" s="123">
        <v>0</v>
      </c>
      <c r="AL27" s="124">
        <v>2</v>
      </c>
      <c r="AM27" s="123">
        <v>2</v>
      </c>
      <c r="AN27" s="123">
        <v>20</v>
      </c>
      <c r="AO27" s="125"/>
      <c r="AP27" s="125" t="s">
        <v>149</v>
      </c>
      <c r="AQ27" s="123">
        <v>192</v>
      </c>
      <c r="AR27" s="123">
        <v>82</v>
      </c>
      <c r="AS27" s="126" t="s">
        <v>430</v>
      </c>
      <c r="AT27" s="123" t="s">
        <v>240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192/82</v>
      </c>
      <c r="AW27" s="128" t="str">
        <f ca="1">IF(AG27&lt;&gt;"",IF(BE27=1,BD27,IF(BH27=1,BG27,IF(BJ27=1,BI27,IF(BL27=1,BK27,BM27)))),"")</f>
        <v>Stárek</v>
      </c>
      <c r="AX27" s="129" t="str">
        <f t="shared" ca="1" si="15"/>
        <v>6 OZ, 1 (1+0), 0 ±</v>
      </c>
      <c r="AY27" s="129" t="str">
        <f t="shared" ca="1" si="16"/>
        <v>27 OZ, 3 (3+0)</v>
      </c>
      <c r="AZ27" s="130"/>
      <c r="BA27" s="130"/>
      <c r="BB27" s="130"/>
      <c r="BC27" s="130"/>
      <c r="BD27" s="89" t="str">
        <f t="shared" si="3"/>
        <v>Stárek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6" t="s">
        <v>39</v>
      </c>
      <c r="BT27" s="104" t="s">
        <v>949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348" t="s">
        <v>681</v>
      </c>
      <c r="B28" s="349"/>
      <c r="C28" s="349"/>
      <c r="D28" s="349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20</v>
      </c>
      <c r="G28" s="365" t="str">
        <f ca="1">IFERROR(IF(VLOOKUP(G25,OFFSET($AG$2,,,COUNTIF($AG$2:$AG$50,"?*"),23),13,FALSE)&lt;&gt;0,VLOOKUP(G25,OFFSET($AG$2,,,COUNTIF($AG$2:$AG$50,"?*"),23),13,FALSE),"?"),"")</f>
        <v>Radiaci</v>
      </c>
      <c r="H28" s="366"/>
      <c r="I28" s="367"/>
      <c r="J28" s="368">
        <f ca="1">IFERROR(IF(VLOOKUP(G25,OFFSET($AG$2,,,COUNTIF($AG$2:$AG$50,"?*"),23),14,FALSE)&lt;&gt;0,VLOOKUP(G25,OFFSET($AG$2,,,COUNTIF($AG$2:$AG$50,"?*"),23),14,FALSE),"?"),"")</f>
        <v>1999</v>
      </c>
      <c r="K28" s="369"/>
      <c r="L28" s="7">
        <f ca="1">IFERROR(IF(VLOOKUP(G25,OFFSET($AG$2,,,COUNTIF($AG$2:$AG$50,"?*"),23),7,FALSE)&lt;&gt;0,VLOOKUP(G25,OFFSET($AG$2,,,COUNTIF($AG$2:$AG$50,"?*"),23),7,FALSE),"?"),"")</f>
        <v>6</v>
      </c>
      <c r="M28" s="348" t="s">
        <v>693</v>
      </c>
      <c r="N28" s="349"/>
      <c r="O28" s="349"/>
      <c r="P28" s="349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7</v>
      </c>
      <c r="S28" s="111"/>
      <c r="AC28" s="102" t="str">
        <f t="shared" ca="1" si="0"/>
        <v/>
      </c>
      <c r="AG28" s="121" t="s">
        <v>675</v>
      </c>
      <c r="AH28" s="122">
        <v>35199</v>
      </c>
      <c r="AI28" s="123">
        <v>102</v>
      </c>
      <c r="AJ28" s="123">
        <v>28</v>
      </c>
      <c r="AK28" s="123">
        <v>48</v>
      </c>
      <c r="AL28" s="124">
        <v>76</v>
      </c>
      <c r="AM28" s="123">
        <v>8</v>
      </c>
      <c r="AN28" s="123">
        <v>66</v>
      </c>
      <c r="AO28" s="125"/>
      <c r="AP28" s="125" t="s">
        <v>27</v>
      </c>
      <c r="AQ28" s="123">
        <v>185</v>
      </c>
      <c r="AR28" s="123">
        <v>85</v>
      </c>
      <c r="AS28" s="126" t="s">
        <v>701</v>
      </c>
      <c r="AT28" s="123">
        <v>2007</v>
      </c>
      <c r="AU28" s="127">
        <f ca="1">IF(AG28&lt;&gt;"",IF(AH28&lt;&gt;"",INT((TODAY()-AH28)/365),"?"),"")</f>
        <v>25</v>
      </c>
      <c r="AV28" s="127" t="str">
        <f>IF(AG28&lt;&gt;"",CONCATENATE(IF(AQ28&lt;&gt;"",AQ28,"? "),"/",IF(AR28&lt;&gt;"",AR28," ?")),"")</f>
        <v>185/85</v>
      </c>
      <c r="AW28" s="128" t="str">
        <f ca="1">IF(AG28&lt;&gt;"",IF(BE28=1,BD28,IF(BH28=1,BG28,IF(BJ28=1,BI28,IF(BL28=1,BK28,BM28)))),"")</f>
        <v>Štěrba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6 OZ, 4 (0+4), -13 ±</v>
      </c>
      <c r="AY28" s="129" t="str">
        <f t="shared" ca="1" si="16"/>
        <v>108 OZ, 80 (28+52)</v>
      </c>
      <c r="AZ28" s="130"/>
      <c r="BA28" s="130"/>
      <c r="BB28" s="130"/>
      <c r="BC28" s="130"/>
      <c r="BD28" s="3" t="str">
        <f t="shared" si="3"/>
        <v>Štěrba</v>
      </c>
      <c r="BE28" s="84">
        <f t="shared" ca="1" si="4"/>
        <v>1</v>
      </c>
      <c r="BF28" s="62" t="str">
        <f t="shared" si="5"/>
        <v>D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6"/>
      <c r="BT28" s="104" t="s">
        <v>1109</v>
      </c>
      <c r="BU28" s="103">
        <v>8</v>
      </c>
      <c r="BV28" s="104" t="str">
        <f t="shared" si="13"/>
        <v>Radek Krajcigr</v>
      </c>
      <c r="BW28" s="102">
        <f t="shared" si="14"/>
        <v>8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L</v>
      </c>
      <c r="B29" s="341">
        <f ca="1">IFERROR(IF(VLOOKUP(A28,OFFSET($AG$2,,,COUNTIF($AG$2:$AG$50,"?*"),23),2,FALSE)&lt;&gt;0,YEAR(VLOOKUP(A28,OFFSET($AG$2,,,COUNTIF($AG$2:$AG$50,"?*"),23),2,FALSE)),""),"")</f>
        <v>2003</v>
      </c>
      <c r="C29" s="342"/>
      <c r="D29" s="117">
        <f ca="1">IFERROR(VLOOKUP(A28,OFFSET($AG$2,,,COUNTIF($AG$2:$AG$50,"?*"),23),15,FALSE),"")</f>
        <v>18</v>
      </c>
      <c r="E29" s="343" t="str">
        <f ca="1">IFERROR(VLOOKUP(A28,OFFSET($AG$2,,,COUNTIF($AG$2:$AG$50,"?*"),23),16,FALSE),"")</f>
        <v>192/82</v>
      </c>
      <c r="F29" s="344"/>
      <c r="M29" s="4" t="str">
        <f ca="1">IFERROR(IF(VLOOKUP(M28,OFFSET($AG$2,,,COUNTIF($AG$2:$AG$50,"?*"),23),10,FALSE)&lt;&gt;0,VLOOKUP(M28,OFFSET($AG$2,,,COUNTIF($AG$2:$AG$50,"?*"),23),10,FALSE),""),"")</f>
        <v>L</v>
      </c>
      <c r="N29" s="341">
        <f ca="1">IFERROR(IF(VLOOKUP(M28,OFFSET($AG$2,,,COUNTIF($AG$2:$AG$50,"?*"),23),2,FALSE)&lt;&gt;0,YEAR(VLOOKUP(M28,OFFSET($AG$2,,,COUNTIF($AG$2:$AG$50,"?*"),23),2,FALSE)),""),"")</f>
        <v>1993</v>
      </c>
      <c r="O29" s="342"/>
      <c r="P29" s="117">
        <f ca="1">IFERROR(VLOOKUP(M28,OFFSET($AG$2,,,COUNTIF($AG$2:$AG$50,"?*"),23),15,FALSE),"")</f>
        <v>28</v>
      </c>
      <c r="Q29" s="343" t="str">
        <f ca="1">IFERROR(VLOOKUP(M28,OFFSET($AG$2,,,COUNTIF($AG$2:$AG$50,"?*"),23),16,FALSE),"")</f>
        <v>178/75</v>
      </c>
      <c r="R29" s="344"/>
      <c r="S29" s="111"/>
      <c r="AC29" s="102" t="str">
        <f t="shared" ca="1" si="0"/>
        <v/>
      </c>
      <c r="AG29" s="121" t="s">
        <v>418</v>
      </c>
      <c r="AH29" s="122">
        <v>33976</v>
      </c>
      <c r="AI29" s="123">
        <v>74</v>
      </c>
      <c r="AJ29" s="123">
        <v>37</v>
      </c>
      <c r="AK29" s="123">
        <v>24</v>
      </c>
      <c r="AL29" s="124">
        <v>61</v>
      </c>
      <c r="AM29" s="123">
        <v>7</v>
      </c>
      <c r="AN29" s="123">
        <v>4</v>
      </c>
      <c r="AO29" s="125"/>
      <c r="AP29" s="125" t="s">
        <v>149</v>
      </c>
      <c r="AQ29" s="123">
        <v>192</v>
      </c>
      <c r="AR29" s="123">
        <v>90</v>
      </c>
      <c r="AS29" s="126" t="s">
        <v>430</v>
      </c>
      <c r="AT29" s="123">
        <v>2008</v>
      </c>
      <c r="AU29" s="127">
        <f ca="1">IF(AG29&lt;&gt;"",IF(AH29&lt;&gt;"",INT((TODAY()-AH29)/365),"?"),"")</f>
        <v>28</v>
      </c>
      <c r="AV29" s="127" t="str">
        <f>IF(AG29&lt;&gt;"",CONCATENATE(IF(AQ29&lt;&gt;"",AQ29,"? "),"/",IF(AR29&lt;&gt;"",AR29," ?")),"")</f>
        <v>192/90</v>
      </c>
      <c r="AW29" s="128" t="str">
        <f ca="1">IF(AG29&lt;&gt;"",IF(BE29=1,BD29,IF(BH29=1,BG29,IF(BJ29=1,BI29,IF(BL29=1,BK29,BM29)))),"")</f>
        <v>Tichý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7 OZ, 8 (3+5), -12 ±</v>
      </c>
      <c r="AY29" s="129" t="str">
        <f t="shared" ca="1" si="16"/>
        <v>81 OZ, 69 (40+29)</v>
      </c>
      <c r="AZ29" s="130"/>
      <c r="BA29" s="130"/>
      <c r="BB29" s="130"/>
      <c r="BC29" s="130"/>
      <c r="BD29" s="89" t="str">
        <f t="shared" si="3"/>
        <v>Tichý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6"/>
      <c r="BT29" s="104" t="s">
        <v>1224</v>
      </c>
      <c r="BU29" s="103">
        <v>6</v>
      </c>
      <c r="BV29" s="104" t="str">
        <f t="shared" si="13"/>
        <v>Milan Tichý</v>
      </c>
      <c r="BW29" s="102">
        <f t="shared" si="14"/>
        <v>6</v>
      </c>
    </row>
    <row r="30" spans="1:75" ht="15" customHeight="1" x14ac:dyDescent="0.2">
      <c r="A30" s="377" t="str">
        <f ca="1">IFERROR(VLOOKUP(A28,OFFSET($AG$2,,,COUNTIF($AG$2:$AG$50,"?*"),23),18,FALSE),"")</f>
        <v>6 OZ, 1 (1+0), 0 ±</v>
      </c>
      <c r="B30" s="378"/>
      <c r="C30" s="378"/>
      <c r="D30" s="379" t="str">
        <f ca="1">IFERROR(VLOOKUP(A28,OFFSET($AG$2,,,COUNTIF($AG$2:$AG$50,"?*"),23),19,FALSE),"")</f>
        <v>27 OZ, 3 (3+0)</v>
      </c>
      <c r="E30" s="379"/>
      <c r="F30" s="380"/>
      <c r="H30" s="381" t="str">
        <f>H$8</f>
        <v>CLP</v>
      </c>
      <c r="I30" s="381"/>
      <c r="J30" s="381"/>
      <c r="K30" s="381"/>
      <c r="M30" s="377" t="str">
        <f ca="1">IFERROR(VLOOKUP(M28,OFFSET($AG$2,,,COUNTIF($AG$2:$AG$50,"?*"),23),18,FALSE),"")</f>
        <v>4 OZ, 2 (1+1), -9 ±</v>
      </c>
      <c r="N30" s="378"/>
      <c r="O30" s="378"/>
      <c r="P30" s="379" t="str">
        <f ca="1">IFERROR(VLOOKUP(M28,OFFSET($AG$2,,,COUNTIF($AG$2:$AG$50,"?*"),23),19,FALSE),"")</f>
        <v>196 OZ, 73 (34+39)</v>
      </c>
      <c r="Q30" s="379"/>
      <c r="R30" s="380"/>
      <c r="S30" s="111"/>
      <c r="AC30" s="102" t="str">
        <f t="shared" ca="1" si="0"/>
        <v/>
      </c>
      <c r="AG30" s="121" t="s">
        <v>679</v>
      </c>
      <c r="AH30" s="122">
        <v>35758</v>
      </c>
      <c r="AI30" s="123">
        <v>65</v>
      </c>
      <c r="AJ30" s="123">
        <v>8</v>
      </c>
      <c r="AK30" s="123">
        <v>9</v>
      </c>
      <c r="AL30" s="124">
        <v>17</v>
      </c>
      <c r="AM30" s="123">
        <v>5</v>
      </c>
      <c r="AN30" s="123">
        <v>84</v>
      </c>
      <c r="AO30" s="125"/>
      <c r="AP30" s="125" t="s">
        <v>149</v>
      </c>
      <c r="AQ30" s="123">
        <v>185</v>
      </c>
      <c r="AR30" s="123">
        <v>75</v>
      </c>
      <c r="AS30" s="126" t="s">
        <v>707</v>
      </c>
      <c r="AT30" s="123" t="s">
        <v>240</v>
      </c>
      <c r="AU30" s="127">
        <f ca="1">IF(AG30&lt;&gt;"",IF(AH30&lt;&gt;"",INT((TODAY()-AH30)/365),"?"),"")</f>
        <v>23</v>
      </c>
      <c r="AV30" s="127" t="str">
        <f>IF(AG30&lt;&gt;"",CONCATENATE(IF(AQ30&lt;&gt;"",AQ30,"? "),"/",IF(AR30&lt;&gt;"",AR30," ?")),"")</f>
        <v>185/75</v>
      </c>
      <c r="AW30" s="128" t="str">
        <f ca="1">IF(AG30&lt;&gt;"",IF(BE30=1,BD30,IF(BH30=1,BG30,IF(BJ30=1,BI30,IF(BL30=1,BK30,BM30)))),"")</f>
        <v>Vlček</v>
      </c>
      <c r="AX30" s="129" t="str">
        <f t="shared" ca="1" si="17"/>
        <v>6 OZ, 2 (2+0), -2 ±</v>
      </c>
      <c r="AY30" s="129" t="str">
        <f t="shared" ca="1" si="16"/>
        <v>71 OZ, 19 (10+9)</v>
      </c>
      <c r="AZ30" s="130"/>
      <c r="BA30" s="130"/>
      <c r="BB30" s="130"/>
      <c r="BC30" s="130"/>
      <c r="BD30" s="3" t="str">
        <f t="shared" si="3"/>
        <v>Vlček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36"/>
      <c r="BT30" s="104" t="s">
        <v>951</v>
      </c>
      <c r="BU30" s="103">
        <v>6</v>
      </c>
      <c r="BV30" s="104" t="str">
        <f t="shared" si="13"/>
        <v>Štěpán Slaný</v>
      </c>
      <c r="BW30" s="102">
        <f t="shared" si="14"/>
        <v>6</v>
      </c>
    </row>
    <row r="31" spans="1:75" ht="15" customHeight="1" thickBot="1" x14ac:dyDescent="0.25">
      <c r="A31" s="365" t="str">
        <f ca="1">IFERROR(IF(VLOOKUP(A28,OFFSET($AG$2,,,COUNTIF($AG$2:$AG$50,"?*"),23),13,FALSE)&lt;&gt;0,VLOOKUP(A28,OFFSET($AG$2,,,COUNTIF($AG$2:$AG$50,"?*"),23),13,FALSE),"?"),"")</f>
        <v>FBC Česká Lípa</v>
      </c>
      <c r="B31" s="366"/>
      <c r="C31" s="367"/>
      <c r="D31" s="368" t="str">
        <f ca="1">IFERROR(IF(VLOOKUP(A28,OFFSET($AG$2,,,COUNTIF($AG$2:$AG$50,"?*"),23),14,FALSE)&lt;&gt;0,VLOOKUP(A28,OFFSET($AG$2,,,COUNTIF($AG$2:$AG$50,"?*"),23),14,FALSE),"?"),"")</f>
        <v>-</v>
      </c>
      <c r="E31" s="369"/>
      <c r="F31" s="7">
        <f ca="1">IFERROR(IF(VLOOKUP(A28,OFFSET($AG$2,,,COUNTIF($AG$2:$AG$50,"?*"),23),7,FALSE)&lt;&gt;0,VLOOKUP(A28,OFFSET($AG$2,,,COUNTIF($AG$2:$AG$50,"?*"),23),7,FALSE),"?"),"")</f>
        <v>2</v>
      </c>
      <c r="H31" s="381"/>
      <c r="I31" s="381"/>
      <c r="J31" s="381"/>
      <c r="K31" s="381"/>
      <c r="M31" s="365" t="str">
        <f ca="1">IFERROR(IF(VLOOKUP(M28,OFFSET($AG$2,,,COUNTIF($AG$2:$AG$50,"?*"),23),13,FALSE)&lt;&gt;0,VLOOKUP(M28,OFFSET($AG$2,,,COUNTIF($AG$2:$AG$50,"?*"),23),13,FALSE),"?"),"")</f>
        <v>FbK Sokol Mladá Boleslav</v>
      </c>
      <c r="N31" s="366"/>
      <c r="O31" s="367"/>
      <c r="P31" s="368">
        <f ca="1">IFERROR(IF(VLOOKUP(M28,OFFSET($AG$2,,,COUNTIF($AG$2:$AG$50,"?*"),23),14,FALSE)&lt;&gt;0,VLOOKUP(M28,OFFSET($AG$2,,,COUNTIF($AG$2:$AG$50,"?*"),23),14,FALSE),"?"),"")</f>
        <v>2005</v>
      </c>
      <c r="Q31" s="369"/>
      <c r="R31" s="7">
        <f ca="1">IFERROR(IF(VLOOKUP(M28,OFFSET($AG$2,,,COUNTIF($AG$2:$AG$50,"?*"),23),7,FALSE)&lt;&gt;0,VLOOKUP(M28,OFFSET($AG$2,,,COUNTIF($AG$2:$AG$50,"?*"),23),7,FALSE),"?"),"")</f>
        <v>12</v>
      </c>
      <c r="S31" s="111"/>
      <c r="AC31" s="102" t="str">
        <f t="shared" ca="1" si="0"/>
        <v/>
      </c>
      <c r="AG31" s="121" t="s">
        <v>697</v>
      </c>
      <c r="AH31" s="122">
        <v>37245</v>
      </c>
      <c r="AI31" s="123">
        <v>4</v>
      </c>
      <c r="AJ31" s="123">
        <v>1</v>
      </c>
      <c r="AK31" s="123">
        <v>1</v>
      </c>
      <c r="AL31" s="124">
        <v>2</v>
      </c>
      <c r="AM31" s="123">
        <v>2</v>
      </c>
      <c r="AN31" s="123">
        <v>80</v>
      </c>
      <c r="AO31" s="125"/>
      <c r="AP31" s="125" t="s">
        <v>149</v>
      </c>
      <c r="AQ31" s="123">
        <v>184</v>
      </c>
      <c r="AR31" s="123">
        <v>76</v>
      </c>
      <c r="AS31" s="126" t="s">
        <v>706</v>
      </c>
      <c r="AT31" s="123">
        <v>2011</v>
      </c>
      <c r="AU31" s="127">
        <f ca="1">IF(AG31&lt;&gt;"",IF(AH31&lt;&gt;"",INT((TODAY()-AH31)/365),"?"),"")</f>
        <v>19</v>
      </c>
      <c r="AV31" s="127" t="str">
        <f>IF(AG31&lt;&gt;"",CONCATENATE(IF(AQ31&lt;&gt;"",AQ31,"? "),"/",IF(AR31&lt;&gt;"",AR31," ?")),"")</f>
        <v>184/76</v>
      </c>
      <c r="AW31" s="128" t="str">
        <f ca="1">IF(AG31&lt;&gt;"",IF(BE31=1,BD31,IF(BH31=1,BG31,IF(BJ31=1,BI31,IF(BL31=1,BK31,BM31)))),"")</f>
        <v>Vybíral</v>
      </c>
      <c r="AX31" s="129" t="str">
        <f t="shared" ca="1" si="17"/>
        <v>0 OZ, 0 (0+0)</v>
      </c>
      <c r="AY31" s="129" t="str">
        <f t="shared" ca="1" si="16"/>
        <v>4 OZ, 2 (1+1)</v>
      </c>
      <c r="AZ31" s="130"/>
      <c r="BA31" s="130"/>
      <c r="BB31" s="130"/>
      <c r="BC31" s="130"/>
      <c r="BD31" s="89" t="str">
        <f t="shared" si="3"/>
        <v>Vybíral</v>
      </c>
      <c r="BE31" s="91">
        <f t="shared" ca="1" si="4"/>
        <v>1</v>
      </c>
      <c r="BF31" s="90" t="str">
        <f t="shared" si="5"/>
        <v>F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36"/>
      <c r="BT31" s="104" t="s">
        <v>1227</v>
      </c>
      <c r="BU31" s="103">
        <v>4</v>
      </c>
      <c r="BV31" s="104" t="str">
        <f t="shared" si="13"/>
        <v>Marek Dzierža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41" ca="1" si="18">IF(AG32&lt;&gt;"",IF(AH32&lt;&gt;"",INT((TODAY()-AH32)/365),"?"),"")</f>
        <v/>
      </c>
      <c r="AV32" s="127" t="str">
        <f t="shared" ref="AV32:AV41" si="19">IF(AG32&lt;&gt;"",CONCATENATE(IF(AQ32&lt;&gt;"",AQ32,"? "),"/",IF(AR32&lt;&gt;"",AR32," ?")),"")</f>
        <v/>
      </c>
      <c r="AW32" s="128" t="str">
        <f t="shared" ref="AW32:AW41" si="20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8" t="s">
        <v>687</v>
      </c>
      <c r="B34" s="349"/>
      <c r="C34" s="349"/>
      <c r="D34" s="349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97</v>
      </c>
      <c r="H34" s="376" t="s">
        <v>16</v>
      </c>
      <c r="J34" s="348" t="s">
        <v>1104</v>
      </c>
      <c r="K34" s="349"/>
      <c r="L34" s="349"/>
      <c r="M34" s="349"/>
      <c r="N34" s="349"/>
      <c r="O34" s="349"/>
      <c r="P34" s="349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70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41">
        <f ca="1">IFERROR(IF(VLOOKUP(A34,OFFSET($AG$2,,,COUNTIF($AG$2:$AG$50,"?*"),23),2,FALSE)&lt;&gt;0,YEAR(VLOOKUP(A34,OFFSET($AG$2,,,COUNTIF($AG$2:$AG$50,"?*"),23),2,FALSE)),""),"")</f>
        <v>1997</v>
      </c>
      <c r="C35" s="342"/>
      <c r="D35" s="117">
        <f ca="1">IFERROR(VLOOKUP(A34,OFFSET($AG$2,,,COUNTIF($AG$2:$AG$50,"?*"),23),15,FALSE),"")</f>
        <v>24</v>
      </c>
      <c r="E35" s="343" t="str">
        <f ca="1">IFERROR(VLOOKUP(A34,OFFSET($AG$2,,,COUNTIF($AG$2:$AG$50,"?*"),23),16,FALSE),"")</f>
        <v>181/79</v>
      </c>
      <c r="F35" s="344"/>
      <c r="H35" s="376"/>
      <c r="J35" s="4" t="str">
        <f ca="1">IFERROR(IF(VLOOKUP(J34,OFFSET($AG$2,,,COUNTIF($AG$2:$AG$50,"?*"),23),10,FALSE)&lt;&gt;0,VLOOKUP(J34,OFFSET($AG$2,,,COUNTIF($AG$2:$AG$50,"?*"),23),10,FALSE),""),"")</f>
        <v/>
      </c>
      <c r="K35" s="342" t="str">
        <f ca="1">IFERROR(IF(VLOOKUP(J34,OFFSET($AG$2,,,COUNTIF($AG$2:$AG$50,"?*"),23),2,FALSE)&lt;&gt;0,YEAR(VLOOKUP(J34,OFFSET($AG$2,,,COUNTIF($AG$2:$AG$50,"?*"),23),2,FALSE)),""),"")</f>
        <v/>
      </c>
      <c r="L35" s="350"/>
      <c r="M35" s="183" t="str">
        <f ca="1">IFERROR(VLOOKUP(J34,OFFSET($AG$2,,,COUNTIF($AG$2:$AG$50,"?*"),23),15,FALSE),"")</f>
        <v>?</v>
      </c>
      <c r="N35" s="350" t="str">
        <f ca="1">IFERROR(VLOOKUP(J34,OFFSET($AG$2,,,COUNTIF($AG$2:$AG$50,"?*"),23),16,FALSE),"")</f>
        <v>? / ?</v>
      </c>
      <c r="O35" s="350"/>
      <c r="P35" s="350" t="str">
        <f ca="1">IFERROR(VLOOKUP(J34,OFFSET($AG$2,,,COUNTIF($AG$2:$AG$50,"?*"),23),18,FALSE),"")</f>
        <v>2 OZ, 0 (0+0), 0 ±</v>
      </c>
      <c r="Q35" s="350"/>
      <c r="R35" s="35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4</v>
      </c>
      <c r="B36" s="345" t="str">
        <f ca="1">IFERROR(VLOOKUP(A34,OFFSET($AG$2,,,COUNTIF($AG$2:$AG$50,"?*"),23),18,FALSE),"")</f>
        <v>1 V, 3 P</v>
      </c>
      <c r="C36" s="345"/>
      <c r="D36" s="346">
        <f ca="1">IFERROR(VLOOKUP(A34,OFFSET($S$45,,,COUNTIF($S$45:$S$50,"?*"),14),5,FALSE),"")</f>
        <v>21</v>
      </c>
      <c r="E36" s="347"/>
      <c r="F36" s="17">
        <f ca="1">IFERROR(VLOOKUP(A34,OFFSET($S$45,,,COUNTIF($S$45:$S$50,"?*"),14),14,FALSE),"")</f>
        <v>77.41935483870968</v>
      </c>
      <c r="H36" s="376"/>
      <c r="J36" s="18" t="str">
        <f ca="1">IFERROR(IF(VLOOKUP(J34,OFFSET($AG$2,,,COUNTIF($AG$2:$AG$50,"?*"),23),7,FALSE)&lt;&gt;0,VLOOKUP(J34,OFFSET($AG$2,,,COUNTIF($AG$2:$AG$50,"?*"),23),7,FALSE),"?"),"")</f>
        <v>?</v>
      </c>
      <c r="K36" s="352" t="str">
        <f ca="1">IFERROR(VLOOKUP(J34,OFFSET($AG$2,,,COUNTIF($AG$2:$AG$50,"?*"),23),19,FALSE),"")</f>
        <v>2 OZ, 0 (0+0)</v>
      </c>
      <c r="L36" s="352"/>
      <c r="M36" s="352"/>
      <c r="N36" s="353" t="str">
        <f ca="1">IFERROR(IF(VLOOKUP(J34,OFFSET($AG$2,,,COUNTIF($AG$2:$AG$50,"?*"),23),13,FALSE)&lt;&gt;0,VLOOKUP(J34,OFFSET($AG$2,,,COUNTIF($AG$2:$AG$50,"?*"),23),13,FALSE),"?"),"")</f>
        <v>?</v>
      </c>
      <c r="O36" s="353"/>
      <c r="P36" s="353"/>
      <c r="Q36" s="352" t="str">
        <f ca="1">IFERROR(IF(VLOOKUP(J34,OFFSET($AG$2,,,COUNTIF($AG$2:$AG$50,"?*"),23),14,FALSE)&lt;&gt;0,VLOOKUP(J34,OFFSET($AG$2,,,COUNTIF($AG$2:$AG$50,"?*"),23),14,FALSE),"?"),"")</f>
        <v>?</v>
      </c>
      <c r="R36" s="35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0">
        <f ca="1">IFERROR(VLOOKUP(A34,OFFSET($S$45,,,COUNTIF($S$45:$S$50,"?*"),14),3,FALSE),"")</f>
        <v>194.75</v>
      </c>
      <c r="B37" s="371"/>
      <c r="C37" s="372">
        <f ca="1">IFERROR(VLOOKUP(A34,OFFSET($S$45,,,COUNTIF($S$45:$S$50,"?*"),14),13,FALSE),"")</f>
        <v>6.4698331193838259</v>
      </c>
      <c r="D37" s="373"/>
      <c r="E37" s="374" t="str">
        <f ca="1">IFERROR(VLOOKUP(A34,OFFSET($AG$2,,,COUNTIF($AG$2:$AG$50,"?*"),23),19,FALSE),"")</f>
        <v>47 OZ, 0 A</v>
      </c>
      <c r="F37" s="375"/>
      <c r="H37" s="37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5" t="str">
        <f ca="1">IFERROR(IF(VLOOKUP(A34,OFFSET($AG$2,,,COUNTIF($AG$2:$AG$50,"?*"),23),13,FALSE)&lt;&gt;0,VLOOKUP(A34,OFFSET($AG$2,,,COUNTIF($AG$2:$AG$50,"?*"),23),13,FALSE),"?"),"")</f>
        <v>FBC Česká Lípa</v>
      </c>
      <c r="B38" s="366"/>
      <c r="C38" s="367"/>
      <c r="D38" s="368" t="str">
        <f ca="1">IFERROR(IF(VLOOKUP(A34,OFFSET($AG$2,,,COUNTIF($AG$2:$AG$50,"?*"),23),14,FALSE)&lt;&gt;0,VLOOKUP(A34,OFFSET($AG$2,,,COUNTIF($AG$2:$AG$50,"?*"),23),14,FALSE),"?"),"")</f>
        <v>-</v>
      </c>
      <c r="E38" s="369"/>
      <c r="F38" s="19">
        <f ca="1">IFERROR(VLOOKUP(A34,OFFSET($S$45,,,COUNTIF($S$45:$S$50,"?*"),14),6,FALSE),"")</f>
        <v>0</v>
      </c>
      <c r="H38" s="376"/>
      <c r="J38" s="348" t="s">
        <v>683</v>
      </c>
      <c r="K38" s="349"/>
      <c r="L38" s="349"/>
      <c r="M38" s="349"/>
      <c r="N38" s="349"/>
      <c r="O38" s="349"/>
      <c r="P38" s="349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90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6"/>
      <c r="J39" s="4" t="str">
        <f ca="1">IFERROR(IF(VLOOKUP(J38,OFFSET($AG$2,,,COUNTIF($AG$2:$AG$50,"?*"),23),10,FALSE)&lt;&gt;0,VLOOKUP(J38,OFFSET($AG$2,,,COUNTIF($AG$2:$AG$50,"?*"),23),10,FALSE),""),"")</f>
        <v/>
      </c>
      <c r="K39" s="342">
        <f ca="1">IFERROR(IF(VLOOKUP(J38,OFFSET($AG$2,,,COUNTIF($AG$2:$AG$50,"?*"),23),2,FALSE)&lt;&gt;0,YEAR(VLOOKUP(J38,OFFSET($AG$2,,,COUNTIF($AG$2:$AG$50,"?*"),23),2,FALSE)),""),"")</f>
        <v>2003</v>
      </c>
      <c r="L39" s="350"/>
      <c r="M39" s="183">
        <f ca="1">IFERROR(VLOOKUP(J38,OFFSET($AG$2,,,COUNTIF($AG$2:$AG$50,"?*"),23),15,FALSE),"")</f>
        <v>18</v>
      </c>
      <c r="N39" s="350" t="str">
        <f ca="1">IFERROR(VLOOKUP(J38,OFFSET($AG$2,,,COUNTIF($AG$2:$AG$50,"?*"),23),16,FALSE),"")</f>
        <v>189/91</v>
      </c>
      <c r="O39" s="350"/>
      <c r="P39" s="350" t="str">
        <f ca="1">IFERROR(VLOOKUP(J38,OFFSET($AG$2,,,COUNTIF($AG$2:$AG$50,"?*"),23),18,FALSE),"")</f>
        <v>6 OZ, 0 (0+0), -2 ±</v>
      </c>
      <c r="Q39" s="350"/>
      <c r="R39" s="35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8" t="s">
        <v>678</v>
      </c>
      <c r="B40" s="349"/>
      <c r="C40" s="349"/>
      <c r="D40" s="349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30</v>
      </c>
      <c r="H40" s="376"/>
      <c r="J40" s="18">
        <f ca="1">IFERROR(IF(VLOOKUP(J38,OFFSET($AG$2,,,COUNTIF($AG$2:$AG$50,"?*"),23),7,FALSE)&lt;&gt;0,VLOOKUP(J38,OFFSET($AG$2,,,COUNTIF($AG$2:$AG$50,"?*"),23),7,FALSE),"?"),"")</f>
        <v>1</v>
      </c>
      <c r="K40" s="352" t="str">
        <f ca="1">IFERROR(VLOOKUP(J38,OFFSET($AG$2,,,COUNTIF($AG$2:$AG$50,"?*"),23),19,FALSE),"")</f>
        <v>6 OZ, 0 (0+0)</v>
      </c>
      <c r="L40" s="352"/>
      <c r="M40" s="352"/>
      <c r="N40" s="353" t="str">
        <f ca="1">IFERROR(IF(VLOOKUP(J38,OFFSET($AG$2,,,COUNTIF($AG$2:$AG$50,"?*"),23),13,FALSE)&lt;&gt;0,VLOOKUP(J38,OFFSET($AG$2,,,COUNTIF($AG$2:$AG$50,"?*"),23),13,FALSE),"?"),"")</f>
        <v>FBC Česká Lípa</v>
      </c>
      <c r="O40" s="353"/>
      <c r="P40" s="353"/>
      <c r="Q40" s="352">
        <f ca="1">IFERROR(IF(VLOOKUP(J38,OFFSET($AG$2,,,COUNTIF($AG$2:$AG$50,"?*"),23),14,FALSE)&lt;&gt;0,VLOOKUP(J38,OFFSET($AG$2,,,COUNTIF($AG$2:$AG$50,"?*"),23),14,FALSE),"?"),"")</f>
        <v>2014</v>
      </c>
      <c r="R40" s="35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10</v>
      </c>
      <c r="B41" s="341">
        <f ca="1">IFERROR(IF(VLOOKUP(A40,OFFSET($AG$2,,,COUNTIF($AG$2:$AG$50,"?*"),23),2,FALSE)&lt;&gt;0,YEAR(VLOOKUP(A40,OFFSET($AG$2,,,COUNTIF($AG$2:$AG$50,"?*"),23),2,FALSE)),""),"")</f>
        <v>1984</v>
      </c>
      <c r="C41" s="342"/>
      <c r="D41" s="117">
        <f ca="1">IFERROR(VLOOKUP(A40,OFFSET($AG$2,,,COUNTIF($AG$2:$AG$50,"?*"),23),15,FALSE),"")</f>
        <v>37</v>
      </c>
      <c r="E41" s="343" t="str">
        <f ca="1">IFERROR(VLOOKUP(A40,OFFSET($AG$2,,,COUNTIF($AG$2:$AG$50,"?*"),23),16,FALSE),"")</f>
        <v>172/72</v>
      </c>
      <c r="F41" s="344"/>
      <c r="H41" s="37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4</v>
      </c>
      <c r="B42" s="345" t="str">
        <f ca="1">IFERROR(VLOOKUP(A40,OFFSET($AG$2,,,COUNTIF($AG$2:$AG$50,"?*"),23),18,FALSE),"")</f>
        <v>0 V, 4 P</v>
      </c>
      <c r="C42" s="345"/>
      <c r="D42" s="346">
        <f ca="1">IFERROR(VLOOKUP(A40,OFFSET($S$45,,,COUNTIF($S$45:$S$50,"?*"),14),5,FALSE),"")</f>
        <v>32</v>
      </c>
      <c r="E42" s="347"/>
      <c r="F42" s="17">
        <f ca="1">IFERROR(VLOOKUP(A40,OFFSET($S$45,,,COUNTIF($S$45:$S$50,"?*"),14),14,FALSE),"")</f>
        <v>74.803149606299215</v>
      </c>
      <c r="H42" s="376"/>
      <c r="J42" s="348" t="s">
        <v>686</v>
      </c>
      <c r="K42" s="349"/>
      <c r="L42" s="349"/>
      <c r="M42" s="349"/>
      <c r="N42" s="349"/>
      <c r="O42" s="349"/>
      <c r="P42" s="349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91</v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0">
        <f ca="1">IFERROR(VLOOKUP(A40,OFFSET($S$45,,,COUNTIF($S$45:$S$50,"?*"),14),3,FALSE),"")</f>
        <v>222.75</v>
      </c>
      <c r="B43" s="371"/>
      <c r="C43" s="372">
        <f ca="1">IFERROR(VLOOKUP(A40,OFFSET($S$45,,,COUNTIF($S$45:$S$50,"?*"),14),13,FALSE),"")</f>
        <v>8.6195286195286194</v>
      </c>
      <c r="D43" s="373"/>
      <c r="E43" s="374" t="str">
        <f ca="1">IFERROR(VLOOKUP(A40,OFFSET($AG$2,,,COUNTIF($AG$2:$AG$50,"?*"),23),19,FALSE),"")</f>
        <v>136 OZ, 7 A</v>
      </c>
      <c r="F43" s="375"/>
      <c r="H43" s="376"/>
      <c r="J43" s="4" t="str">
        <f ca="1">IFERROR(IF(VLOOKUP(J42,OFFSET($AG$2,,,COUNTIF($AG$2:$AG$50,"?*"),23),10,FALSE)&lt;&gt;0,VLOOKUP(J42,OFFSET($AG$2,,,COUNTIF($AG$2:$AG$50,"?*"),23),10,FALSE),""),"")</f>
        <v>L</v>
      </c>
      <c r="K43" s="342">
        <f ca="1">IFERROR(IF(VLOOKUP(J42,OFFSET($AG$2,,,COUNTIF($AG$2:$AG$50,"?*"),23),2,FALSE)&lt;&gt;0,YEAR(VLOOKUP(J42,OFFSET($AG$2,,,COUNTIF($AG$2:$AG$50,"?*"),23),2,FALSE)),""),"")</f>
        <v>2004</v>
      </c>
      <c r="L43" s="350"/>
      <c r="M43" s="183">
        <f ca="1">IFERROR(VLOOKUP(J42,OFFSET($AG$2,,,COUNTIF($AG$2:$AG$50,"?*"),23),15,FALSE),"")</f>
        <v>17</v>
      </c>
      <c r="N43" s="350" t="str">
        <f ca="1">IFERROR(VLOOKUP(J42,OFFSET($AG$2,,,COUNTIF($AG$2:$AG$50,"?*"),23),16,FALSE),"")</f>
        <v>? / ?</v>
      </c>
      <c r="O43" s="350"/>
      <c r="P43" s="350" t="str">
        <f ca="1">IFERROR(VLOOKUP(J42,OFFSET($AG$2,,,COUNTIF($AG$2:$AG$50,"?*"),23),18,FALSE),"")</f>
        <v>4 OZ, 0 (0+0), 0 ±</v>
      </c>
      <c r="Q43" s="350"/>
      <c r="R43" s="351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5" t="str">
        <f ca="1">IFERROR(IF(VLOOKUP(A40,OFFSET($AG$2,,,COUNTIF($AG$2:$AG$50,"?*"),23),13,FALSE)&lt;&gt;0,VLOOKUP(A40,OFFSET($AG$2,,,COUNTIF($AG$2:$AG$50,"?*"),23),13,FALSE),"?"),"")</f>
        <v>Taifun Moskva</v>
      </c>
      <c r="B44" s="366"/>
      <c r="C44" s="367"/>
      <c r="D44" s="368">
        <f ca="1">IFERROR(IF(VLOOKUP(A40,OFFSET($AG$2,,,COUNTIF($AG$2:$AG$50,"?*"),23),14,FALSE)&lt;&gt;0,VLOOKUP(A40,OFFSET($AG$2,,,COUNTIF($AG$2:$AG$50,"?*"),23),14,FALSE),"?"),"")</f>
        <v>1998</v>
      </c>
      <c r="E44" s="369"/>
      <c r="F44" s="19">
        <f ca="1">IFERROR(VLOOKUP(A40,OFFSET($S$45,,,COUNTIF($S$45:$S$50,"?*"),14),6,FALSE),"")</f>
        <v>0</v>
      </c>
      <c r="H44" s="376"/>
      <c r="J44" s="18">
        <f ca="1">IFERROR(IF(VLOOKUP(J42,OFFSET($AG$2,,,COUNTIF($AG$2:$AG$50,"?*"),23),7,FALSE)&lt;&gt;0,VLOOKUP(J42,OFFSET($AG$2,,,COUNTIF($AG$2:$AG$50,"?*"),23),7,FALSE),"?"),"")</f>
        <v>1</v>
      </c>
      <c r="K44" s="352" t="str">
        <f ca="1">IFERROR(VLOOKUP(J42,OFFSET($AG$2,,,COUNTIF($AG$2:$AG$50,"?*"),23),19,FALSE),"")</f>
        <v>4 OZ, 0 (0+0)</v>
      </c>
      <c r="L44" s="352"/>
      <c r="M44" s="352"/>
      <c r="N44" s="353" t="str">
        <f ca="1">IFERROR(IF(VLOOKUP(J42,OFFSET($AG$2,,,COUNTIF($AG$2:$AG$50,"?*"),23),13,FALSE)&lt;&gt;0,VLOOKUP(J42,OFFSET($AG$2,,,COUNTIF($AG$2:$AG$50,"?*"),23),13,FALSE),"?"),"")</f>
        <v>FBC Česká Lípa</v>
      </c>
      <c r="O44" s="353"/>
      <c r="P44" s="353"/>
      <c r="Q44" s="352">
        <f ca="1">IFERROR(IF(VLOOKUP(J42,OFFSET($AG$2,,,COUNTIF($AG$2:$AG$50,"?*"),23),14,FALSE)&lt;&gt;0,VLOOKUP(J42,OFFSET($AG$2,,,COUNTIF($AG$2:$AG$50,"?*"),23),14,FALSE),"?"),"")</f>
        <v>2012</v>
      </c>
      <c r="R44" s="354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687</v>
      </c>
      <c r="T45" s="102">
        <v>4</v>
      </c>
      <c r="U45" s="112">
        <v>194.75</v>
      </c>
      <c r="V45" s="102">
        <v>1</v>
      </c>
      <c r="W45" s="102">
        <v>21</v>
      </c>
      <c r="X45" s="102">
        <v>0</v>
      </c>
      <c r="Y45" s="102">
        <v>93</v>
      </c>
      <c r="Z45" s="102">
        <v>0</v>
      </c>
      <c r="AA45" s="102">
        <v>3</v>
      </c>
      <c r="AB45" s="102">
        <v>72</v>
      </c>
      <c r="AC45" s="102">
        <v>0</v>
      </c>
      <c r="AD45" s="102">
        <v>2</v>
      </c>
      <c r="AE45" s="112">
        <f>IF(S45&lt;&gt;"",IF(T45&gt;0,W45/(U45/60),0),"")</f>
        <v>6.4698331193838259</v>
      </c>
      <c r="AF45" s="112">
        <f>IF(S45&lt;&gt;"",IF(Y45&gt;0,(AB45/Y45)*100,"-"),"")</f>
        <v>77.41935483870968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678</v>
      </c>
      <c r="T46" s="102">
        <v>4</v>
      </c>
      <c r="U46" s="112">
        <v>222.75</v>
      </c>
      <c r="V46" s="102">
        <v>0</v>
      </c>
      <c r="W46" s="102">
        <v>32</v>
      </c>
      <c r="X46" s="102">
        <v>0</v>
      </c>
      <c r="Y46" s="102">
        <v>127</v>
      </c>
      <c r="Z46" s="102">
        <v>0</v>
      </c>
      <c r="AA46" s="102">
        <v>4</v>
      </c>
      <c r="AB46" s="102">
        <v>95</v>
      </c>
      <c r="AC46" s="102">
        <v>0</v>
      </c>
      <c r="AD46" s="102">
        <v>0</v>
      </c>
      <c r="AE46" s="112">
        <f t="shared" ref="AE46:AE50" si="26">IF(S46&lt;&gt;"",IF(T46&gt;0,W46/(U46/60),0),"")</f>
        <v>8.6195286195286194</v>
      </c>
      <c r="AF46" s="112">
        <f t="shared" ref="AF46:AF50" si="27">IF(S46&lt;&gt;"",IF(Y46&gt;0,(AB46/Y46)*100,"-"),"")</f>
        <v>74.803149606299215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7" t="s">
        <v>708</v>
      </c>
      <c r="B47" s="338"/>
      <c r="C47" s="338"/>
      <c r="D47" s="338"/>
      <c r="E47" s="339" t="str">
        <f ca="1">IFERROR(VLOOKUP(A47,OFFSET($BN$2,,,COUNTIF($BN$2:$BN$11,"?*"),5),3,FALSE),"")</f>
        <v>trenér</v>
      </c>
      <c r="F47" s="339"/>
      <c r="G47" s="339"/>
      <c r="H47" s="339"/>
      <c r="I47" s="340"/>
      <c r="J47" s="337" t="s">
        <v>709</v>
      </c>
      <c r="K47" s="338"/>
      <c r="L47" s="338"/>
      <c r="M47" s="338"/>
      <c r="N47" s="339" t="str">
        <f ca="1">IFERROR(VLOOKUP(J47,OFFSET($BN$2,,,COUNTIF($BN$2:$BN$11,"?*"),5),3,FALSE),"")</f>
        <v>asistent trenéra</v>
      </c>
      <c r="O47" s="339"/>
      <c r="P47" s="339"/>
      <c r="Q47" s="339"/>
      <c r="R47" s="340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5">
        <f ca="1">IFERROR(VLOOKUP(A47,OFFSET($BN$2,,,COUNTIF($BN$2:$BN$11,"?*"),5),5,FALSE),"")</f>
        <v>36</v>
      </c>
      <c r="B48" s="357" t="str">
        <f ca="1">IFERROR(IF(VLOOKUP(A47,OFFSET($BN$2,,,COUNTIF($BN$2:$BN$11,"?*"),5),4,FALSE)&lt;&gt;0,VLOOKUP(A47,OFFSET($BN$2,,,COUNTIF($BN$2:$BN$11,"?*"),5),4,FALSE),"-"),"")</f>
        <v>-</v>
      </c>
      <c r="C48" s="357"/>
      <c r="D48" s="357"/>
      <c r="E48" s="357"/>
      <c r="F48" s="357"/>
      <c r="G48" s="357"/>
      <c r="H48" s="357"/>
      <c r="I48" s="358"/>
      <c r="J48" s="119">
        <f ca="1">IFERROR(VLOOKUP(J47,OFFSET($BN$2,,,COUNTIF($BN$2:$BN$11,"?*"),5),5,FALSE),"")</f>
        <v>38</v>
      </c>
      <c r="K48" s="361" t="str">
        <f ca="1">IFERROR(IF(VLOOKUP(J47,OFFSET($BN$2,,,COUNTIF($BN$2:$BN$11,"?*"),5),4,FALSE)&lt;&gt;0,VLOOKUP(J47,OFFSET($BN$2,,,COUNTIF($BN$2:$BN$11,"?*"),5),4,FALSE),"-"),"")</f>
        <v>-</v>
      </c>
      <c r="L48" s="361"/>
      <c r="M48" s="361"/>
      <c r="N48" s="361"/>
      <c r="O48" s="361"/>
      <c r="P48" s="361"/>
      <c r="Q48" s="361"/>
      <c r="R48" s="362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5"/>
      <c r="B49" s="357"/>
      <c r="C49" s="357"/>
      <c r="D49" s="357"/>
      <c r="E49" s="357"/>
      <c r="F49" s="357"/>
      <c r="G49" s="357"/>
      <c r="H49" s="357"/>
      <c r="I49" s="358"/>
      <c r="J49" s="363" t="s">
        <v>710</v>
      </c>
      <c r="K49" s="364"/>
      <c r="L49" s="364"/>
      <c r="M49" s="364"/>
      <c r="N49" s="339" t="str">
        <f ca="1">IFERROR(VLOOKUP(J49,OFFSET($BN$2,,,COUNTIF($BN$2:$BN$11,"?*"),5),3,FALSE),"")</f>
        <v>kondiční trenér</v>
      </c>
      <c r="O49" s="339"/>
      <c r="P49" s="339"/>
      <c r="Q49" s="339"/>
      <c r="R49" s="340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6"/>
      <c r="B50" s="359"/>
      <c r="C50" s="359"/>
      <c r="D50" s="359"/>
      <c r="E50" s="359"/>
      <c r="F50" s="359"/>
      <c r="G50" s="359"/>
      <c r="H50" s="359"/>
      <c r="I50" s="360"/>
      <c r="J50" s="119">
        <f ca="1">IFERROR(VLOOKUP(J49,OFFSET($BN$2,,,COUNTIF($BN$2:$BN$11,"?*"),5),5,FALSE),"")</f>
        <v>34</v>
      </c>
      <c r="K50" s="361" t="str">
        <f ca="1">IFERROR(IF(VLOOKUP(J49,OFFSET($BN$2,,,COUNTIF($BN$2:$BN$11,"?*"),5),4,FALSE)&lt;&gt;0,VLOOKUP(J49,OFFSET($BN$2,,,COUNTIF($BN$2:$BN$11,"?*"),5),4,FALSE),"-"),"")</f>
        <v>-</v>
      </c>
      <c r="L50" s="361"/>
      <c r="M50" s="361"/>
      <c r="N50" s="361"/>
      <c r="O50" s="361"/>
      <c r="P50" s="361"/>
      <c r="Q50" s="361"/>
      <c r="R50" s="362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E40 E28 Q34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topLeftCell="A3" zoomScaleNormal="100" zoomScaleSheetLayoutView="100" workbookViewId="0">
      <selection activeCell="AG20" sqref="AG2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8"/>
      <c r="B1" s="349"/>
      <c r="C1" s="349"/>
      <c r="D1" s="34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82" t="s">
        <v>1</v>
      </c>
      <c r="I1" s="382"/>
      <c r="J1" s="382"/>
      <c r="K1" s="382"/>
      <c r="M1" s="348"/>
      <c r="N1" s="349"/>
      <c r="O1" s="349"/>
      <c r="P1" s="34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1" t="str">
        <f ca="1">IFERROR(IF(VLOOKUP(A1,OFFSET($AG$2,,,COUNTIF($AG$2:$AG$50,"?*"),23),2,FALSE)&lt;&gt;0,YEAR(VLOOKUP(A1,OFFSET($AG$2,,,COUNTIF($AG$2:$AG$50,"?*"),23),2,FALSE)),""),"")</f>
        <v/>
      </c>
      <c r="C2" s="342"/>
      <c r="D2" s="117" t="str">
        <f ca="1">IFERROR(VLOOKUP(A1,OFFSET($AG$2,,,COUNTIF($AG$2:$AG$50,"?*"),23),15,FALSE),"")</f>
        <v/>
      </c>
      <c r="E2" s="343" t="str">
        <f ca="1">IFERROR(VLOOKUP(A1,OFFSET($AG$2,,,COUNTIF($AG$2:$AG$50,"?*"),23),16,FALSE),"")</f>
        <v/>
      </c>
      <c r="F2" s="344"/>
      <c r="M2" s="4" t="str">
        <f ca="1">IFERROR(IF(VLOOKUP(M1,OFFSET($AG$2,,,COUNTIF($AG$2:$AG$50,"?*"),23),10,FALSE)&lt;&gt;0,VLOOKUP(M1,OFFSET($AG$2,,,COUNTIF($AG$2:$AG$50,"?*"),23),10,FALSE),""),"")</f>
        <v/>
      </c>
      <c r="N2" s="341" t="str">
        <f ca="1">IFERROR(IF(VLOOKUP(M1,OFFSET($AG$2,,,COUNTIF($AG$2:$AG$50,"?*"),23),2,FALSE)&lt;&gt;0,YEAR(VLOOKUP(M1,OFFSET($AG$2,,,COUNTIF($AG$2:$AG$50,"?*"),23),2,FALSE)),""),"")</f>
        <v/>
      </c>
      <c r="O2" s="342"/>
      <c r="P2" s="117" t="str">
        <f ca="1">IFERROR(VLOOKUP(M1,OFFSET($AG$2,,,COUNTIF($AG$2:$AG$50,"?*"),23),15,FALSE),"")</f>
        <v/>
      </c>
      <c r="Q2" s="343" t="str">
        <f ca="1">IFERROR(VLOOKUP(M1,OFFSET($AG$2,,,COUNTIF($AG$2:$AG$50,"?*"),23),16,FALSE),"")</f>
        <v/>
      </c>
      <c r="R2" s="344"/>
      <c r="S2" s="110" t="s">
        <v>738</v>
      </c>
      <c r="U2" s="102">
        <v>6</v>
      </c>
      <c r="V2" s="102">
        <v>3</v>
      </c>
      <c r="W2" s="102">
        <v>1</v>
      </c>
      <c r="X2" s="102">
        <v>0</v>
      </c>
      <c r="Y2" s="102">
        <v>6</v>
      </c>
      <c r="Z2" s="102">
        <v>9</v>
      </c>
      <c r="AA2" s="102">
        <v>2</v>
      </c>
      <c r="AB2" s="102">
        <v>-5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743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4 OZ, 0 (0+0), 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36" t="s">
        <v>36</v>
      </c>
      <c r="BT2" s="104" t="s">
        <v>757</v>
      </c>
      <c r="BU2" s="103">
        <v>9</v>
      </c>
      <c r="BV2" s="104" t="str">
        <f>IFERROR(RIGHT(BT2,LEN(BT2)-SEARCH(" ",BT2)),"")</f>
        <v>Lukáš Jalový</v>
      </c>
      <c r="BW2" s="102">
        <f>IF(BT2&lt;&gt;0,_xlfn.NUMBERVALUE(BU2,","),"")</f>
        <v>9</v>
      </c>
      <c r="BX2" s="335" t="s">
        <v>211</v>
      </c>
      <c r="BY2" s="103" t="s">
        <v>263</v>
      </c>
      <c r="BZ2" s="103" t="s">
        <v>905</v>
      </c>
      <c r="CA2" s="115" t="s">
        <v>839</v>
      </c>
    </row>
    <row r="3" spans="1:79" ht="15" customHeight="1" thickTop="1" thickBot="1" x14ac:dyDescent="0.25">
      <c r="A3" s="377" t="str">
        <f ca="1">IFERROR(VLOOKUP(A1,OFFSET($AG$2,,,COUNTIF($AG$2:$AG$50,"?*"),23),18,FALSE),"")</f>
        <v/>
      </c>
      <c r="B3" s="378"/>
      <c r="C3" s="378"/>
      <c r="D3" s="379" t="str">
        <f ca="1">IFERROR(VLOOKUP(A1,OFFSET($AG$2,,,COUNTIF($AG$2:$AG$50,"?*"),23),19,FALSE),"")</f>
        <v/>
      </c>
      <c r="E3" s="379"/>
      <c r="F3" s="380"/>
      <c r="G3" s="348"/>
      <c r="H3" s="349"/>
      <c r="I3" s="349"/>
      <c r="J3" s="34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7" t="str">
        <f ca="1">IFERROR(VLOOKUP(M1,OFFSET($AG$2,,,COUNTIF($AG$2:$AG$50,"?*"),23),18,FALSE),"")</f>
        <v/>
      </c>
      <c r="N3" s="378"/>
      <c r="O3" s="378"/>
      <c r="P3" s="379" t="str">
        <f ca="1">IFERROR(VLOOKUP(M1,OFFSET($AG$2,,,COUNTIF($AG$2:$AG$50,"?*"),23),19,FALSE),"")</f>
        <v/>
      </c>
      <c r="Q3" s="379"/>
      <c r="R3" s="380"/>
      <c r="S3" s="110" t="s">
        <v>742</v>
      </c>
      <c r="T3" s="102" t="s">
        <v>64</v>
      </c>
      <c r="U3" s="102">
        <v>6</v>
      </c>
      <c r="V3" s="102">
        <v>3</v>
      </c>
      <c r="W3" s="102">
        <v>1</v>
      </c>
      <c r="X3" s="102">
        <v>0</v>
      </c>
      <c r="Y3" s="102">
        <v>4</v>
      </c>
      <c r="Z3" s="102">
        <v>7</v>
      </c>
      <c r="AA3" s="102">
        <v>0</v>
      </c>
      <c r="AB3" s="102">
        <v>-2</v>
      </c>
      <c r="AC3" s="102" t="str">
        <f t="shared" ca="1" si="0"/>
        <v>ANO</v>
      </c>
      <c r="AG3" s="121" t="s">
        <v>742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Brom</v>
      </c>
      <c r="AX3" s="129" t="str">
        <f t="shared" ca="1" si="1"/>
        <v>6 OZ, 7 (3+4), -2 ±</v>
      </c>
      <c r="AY3" s="129" t="str">
        <f t="shared" ca="1" si="2"/>
        <v>6 OZ, 7 (3+4)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36"/>
      <c r="BT3" s="104" t="s">
        <v>955</v>
      </c>
      <c r="BU3" s="103">
        <v>7</v>
      </c>
      <c r="BV3" s="104" t="str">
        <f t="shared" ref="BV3:BV31" si="13">IFERROR(RIGHT(BT3,LEN(BT3)-SEARCH(" ",BT3)),"")</f>
        <v>Tomáš Brom</v>
      </c>
      <c r="BW3" s="102">
        <f t="shared" ref="BW3:BW31" si="14">IF(BT3&lt;&gt;0,_xlfn.NUMBERVALUE(BU3,","),"")</f>
        <v>7</v>
      </c>
      <c r="BX3" s="335"/>
      <c r="BY3" s="103" t="s">
        <v>207</v>
      </c>
      <c r="BZ3" s="103" t="s">
        <v>910</v>
      </c>
      <c r="CA3" s="115" t="s">
        <v>894</v>
      </c>
    </row>
    <row r="4" spans="1:79" ht="15" customHeight="1" thickBot="1" x14ac:dyDescent="0.25">
      <c r="A4" s="365" t="str">
        <f ca="1">IFERROR(IF(VLOOKUP(A1,OFFSET($AG$2,,,COUNTIF($AG$2:$AG$50,"?*"),23),13,FALSE)&lt;&gt;0,VLOOKUP(A1,OFFSET($AG$2,,,COUNTIF($AG$2:$AG$50,"?*"),23),13,FALSE),"?"),"")</f>
        <v/>
      </c>
      <c r="B4" s="366"/>
      <c r="C4" s="367"/>
      <c r="D4" s="368" t="str">
        <f ca="1">IFERROR(IF(VLOOKUP(A1,OFFSET($AG$2,,,COUNTIF($AG$2:$AG$50,"?*"),23),14,FALSE)&lt;&gt;0,VLOOKUP(A1,OFFSET($AG$2,,,COUNTIF($AG$2:$AG$50,"?*"),23),14,FALSE),"?"),"")</f>
        <v/>
      </c>
      <c r="E4" s="36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1" t="str">
        <f ca="1">IFERROR(IF(VLOOKUP(G3,OFFSET($AG$2,,,COUNTIF($AG$2:$AG$50,"?*"),23),2,FALSE)&lt;&gt;0,YEAR(VLOOKUP(G3,OFFSET($AG$2,,,COUNTIF($AG$2:$AG$50,"?*"),23),2,FALSE)),""),"")</f>
        <v/>
      </c>
      <c r="I4" s="342"/>
      <c r="J4" s="117" t="str">
        <f ca="1">IFERROR(VLOOKUP(G3,OFFSET($AG$2,,,COUNTIF($AG$2:$AG$50,"?*"),23),15,FALSE),"")</f>
        <v/>
      </c>
      <c r="K4" s="343" t="str">
        <f ca="1">IFERROR(VLOOKUP(G3,OFFSET($AG$2,,,COUNTIF($AG$2:$AG$50,"?*"),23),16,FALSE),"")</f>
        <v/>
      </c>
      <c r="L4" s="344"/>
      <c r="M4" s="365" t="str">
        <f ca="1">IFERROR(IF(VLOOKUP(M1,OFFSET($AG$2,,,COUNTIF($AG$2:$AG$50,"?*"),23),13,FALSE)&lt;&gt;0,VLOOKUP(M1,OFFSET($AG$2,,,COUNTIF($AG$2:$AG$50,"?*"),23),13,FALSE),"?"),"")</f>
        <v/>
      </c>
      <c r="N4" s="366"/>
      <c r="O4" s="367"/>
      <c r="P4" s="368" t="str">
        <f ca="1">IFERROR(IF(VLOOKUP(M1,OFFSET($AG$2,,,COUNTIF($AG$2:$AG$50,"?*"),23),14,FALSE)&lt;&gt;0,VLOOKUP(M1,OFFSET($AG$2,,,COUNTIF($AG$2:$AG$50,"?*"),23),14,FALSE),"?"),"")</f>
        <v/>
      </c>
      <c r="Q4" s="36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751</v>
      </c>
      <c r="U4" s="102">
        <v>6</v>
      </c>
      <c r="V4" s="102">
        <v>5</v>
      </c>
      <c r="W4" s="102">
        <v>1</v>
      </c>
      <c r="X4" s="102">
        <v>0</v>
      </c>
      <c r="Y4" s="102">
        <v>1</v>
      </c>
      <c r="Z4" s="102">
        <v>6</v>
      </c>
      <c r="AA4" s="102">
        <v>8</v>
      </c>
      <c r="AB4" s="102">
        <v>-4</v>
      </c>
      <c r="AC4" s="102" t="str">
        <f t="shared" ca="1" si="0"/>
        <v>ANO</v>
      </c>
      <c r="AG4" s="121" t="s">
        <v>748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Dvořák</v>
      </c>
      <c r="AX4" s="129" t="str">
        <f t="shared" ca="1" si="1"/>
        <v>6 OZ, 1 (1+0), -3 ±</v>
      </c>
      <c r="AY4" s="129" t="str">
        <f t="shared" ca="1" si="2"/>
        <v>6 OZ, 1 (1+0)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36"/>
      <c r="BT4" s="104" t="s">
        <v>868</v>
      </c>
      <c r="BU4" s="103">
        <v>6</v>
      </c>
      <c r="BV4" s="104" t="str">
        <f t="shared" si="13"/>
        <v>René Slezák</v>
      </c>
      <c r="BW4" s="102">
        <f t="shared" si="14"/>
        <v>6</v>
      </c>
      <c r="BX4" s="335"/>
      <c r="BY4" s="103" t="s">
        <v>262</v>
      </c>
      <c r="BZ4" s="103" t="s">
        <v>914</v>
      </c>
      <c r="CA4" s="115" t="s">
        <v>952</v>
      </c>
    </row>
    <row r="5" spans="1:79" ht="15" customHeight="1" thickTop="1" thickBot="1" x14ac:dyDescent="0.25">
      <c r="A5" s="8"/>
      <c r="B5" s="8"/>
      <c r="C5" s="8"/>
      <c r="D5" s="8"/>
      <c r="G5" s="377" t="str">
        <f ca="1">IFERROR(VLOOKUP(G3,OFFSET($AG$2,,,COUNTIF($AG$2:$AG$50,"?*"),23),18,FALSE),"")</f>
        <v/>
      </c>
      <c r="H5" s="378"/>
      <c r="I5" s="378"/>
      <c r="J5" s="379" t="str">
        <f ca="1">IFERROR(VLOOKUP(G3,OFFSET($AG$2,,,COUNTIF($AG$2:$AG$50,"?*"),23),19,FALSE),"")</f>
        <v/>
      </c>
      <c r="K5" s="379"/>
      <c r="L5" s="380"/>
      <c r="S5" s="110" t="s">
        <v>737</v>
      </c>
      <c r="T5" s="102" t="s">
        <v>119</v>
      </c>
      <c r="U5" s="102">
        <v>6</v>
      </c>
      <c r="V5" s="102">
        <v>2</v>
      </c>
      <c r="W5" s="102">
        <v>1</v>
      </c>
      <c r="X5" s="102">
        <v>0</v>
      </c>
      <c r="Y5" s="102">
        <v>2</v>
      </c>
      <c r="Z5" s="102">
        <v>4</v>
      </c>
      <c r="AA5" s="102">
        <v>2</v>
      </c>
      <c r="AB5" s="102">
        <v>-5</v>
      </c>
      <c r="AC5" s="102" t="str">
        <f t="shared" ca="1" si="0"/>
        <v>ANO</v>
      </c>
      <c r="AG5" s="121" t="s">
        <v>737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Fuchs</v>
      </c>
      <c r="AX5" s="129" t="str">
        <f t="shared" ca="1" si="1"/>
        <v>6 OZ, 4 (2+2), -5 ±</v>
      </c>
      <c r="AY5" s="129" t="str">
        <f t="shared" ca="1" si="2"/>
        <v>6 OZ, 4 (2+2)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36"/>
      <c r="BT5" s="104" t="s">
        <v>956</v>
      </c>
      <c r="BU5" s="103">
        <v>4</v>
      </c>
      <c r="BV5" s="104" t="str">
        <f t="shared" si="13"/>
        <v>Marek Fuchs</v>
      </c>
      <c r="BW5" s="102">
        <f t="shared" si="14"/>
        <v>4</v>
      </c>
      <c r="BX5" s="335"/>
      <c r="BY5" s="103" t="s">
        <v>855</v>
      </c>
      <c r="BZ5" s="103" t="s">
        <v>912</v>
      </c>
      <c r="CA5" s="115" t="s">
        <v>871</v>
      </c>
    </row>
    <row r="6" spans="1:79" ht="15" customHeight="1" thickTop="1" thickBot="1" x14ac:dyDescent="0.25">
      <c r="A6" s="348"/>
      <c r="B6" s="349"/>
      <c r="C6" s="349"/>
      <c r="D6" s="34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5" t="str">
        <f ca="1">IFERROR(IF(VLOOKUP(G3,OFFSET($AG$2,,,COUNTIF($AG$2:$AG$50,"?*"),23),13,FALSE)&lt;&gt;0,VLOOKUP(G3,OFFSET($AG$2,,,COUNTIF($AG$2:$AG$50,"?*"),23),13,FALSE),"?"),"")</f>
        <v/>
      </c>
      <c r="H6" s="366"/>
      <c r="I6" s="367"/>
      <c r="J6" s="368" t="str">
        <f ca="1">IFERROR(IF(VLOOKUP(G3,OFFSET($AG$2,,,COUNTIF($AG$2:$AG$50,"?*"),23),14,FALSE)&lt;&gt;0,VLOOKUP(G3,OFFSET($AG$2,,,COUNTIF($AG$2:$AG$50,"?*"),23),14,FALSE),"?"),"")</f>
        <v/>
      </c>
      <c r="K6" s="369"/>
      <c r="L6" s="7" t="str">
        <f ca="1">IFERROR(IF(VLOOKUP(G3,OFFSET($AG$2,,,COUNTIF($AG$2:$AG$50,"?*"),23),7,FALSE)&lt;&gt;0,VLOOKUP(G3,OFFSET($AG$2,,,COUNTIF($AG$2:$AG$50,"?*"),23),7,FALSE),"?"),"")</f>
        <v/>
      </c>
      <c r="M6" s="348"/>
      <c r="N6" s="349"/>
      <c r="O6" s="349"/>
      <c r="P6" s="34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740</v>
      </c>
      <c r="U6" s="102">
        <v>6</v>
      </c>
      <c r="V6" s="102">
        <v>1</v>
      </c>
      <c r="W6" s="102">
        <v>0</v>
      </c>
      <c r="X6" s="102">
        <v>0</v>
      </c>
      <c r="Y6" s="102">
        <v>3</v>
      </c>
      <c r="Z6" s="102">
        <v>4</v>
      </c>
      <c r="AA6" s="102">
        <v>0</v>
      </c>
      <c r="AB6" s="102">
        <v>-5</v>
      </c>
      <c r="AC6" s="102" t="str">
        <f t="shared" ca="1" si="0"/>
        <v>ANO</v>
      </c>
      <c r="AG6" s="121" t="s">
        <v>518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Hronek M.</v>
      </c>
      <c r="AX6" s="129" t="str">
        <f t="shared" ca="1" si="1"/>
        <v>6 OZ, 3 (2+1), -8 ±</v>
      </c>
      <c r="AY6" s="129" t="str">
        <f t="shared" ca="1" si="2"/>
        <v>6 OZ, 3 (2+1)</v>
      </c>
      <c r="AZ6" s="130"/>
      <c r="BA6" s="130"/>
      <c r="BB6" s="130"/>
      <c r="BC6" s="130"/>
      <c r="BD6" s="3" t="str">
        <f t="shared" si="3"/>
        <v>Hronek</v>
      </c>
      <c r="BE6" s="84">
        <f t="shared" ca="1" si="4"/>
        <v>2</v>
      </c>
      <c r="BF6" s="62" t="str">
        <f t="shared" si="5"/>
        <v>M</v>
      </c>
      <c r="BG6" s="3" t="str">
        <f t="shared" ca="1" si="6"/>
        <v>Hronek M.</v>
      </c>
      <c r="BH6" s="62">
        <f t="shared" ca="1" si="7"/>
        <v>1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36"/>
      <c r="BT6" s="104" t="s">
        <v>1232</v>
      </c>
      <c r="BU6" s="103">
        <v>4</v>
      </c>
      <c r="BV6" s="104" t="str">
        <f t="shared" si="13"/>
        <v>Lukáš Vlach</v>
      </c>
      <c r="BW6" s="102">
        <f t="shared" si="14"/>
        <v>4</v>
      </c>
      <c r="BX6" s="335"/>
      <c r="BY6" s="103" t="s">
        <v>843</v>
      </c>
      <c r="BZ6" s="103" t="s">
        <v>953</v>
      </c>
      <c r="CA6" s="115" t="s">
        <v>670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1" t="str">
        <f ca="1">IFERROR(IF(VLOOKUP(A6,OFFSET($AG$2,,,COUNTIF($AG$2:$AG$50,"?*"),23),2,FALSE)&lt;&gt;0,YEAR(VLOOKUP(A6,OFFSET($AG$2,,,COUNTIF($AG$2:$AG$50,"?*"),23),2,FALSE)),""),"")</f>
        <v/>
      </c>
      <c r="C7" s="342"/>
      <c r="D7" s="117" t="str">
        <f ca="1">IFERROR(VLOOKUP(A6,OFFSET($AG$2,,,COUNTIF($AG$2:$AG$50,"?*"),23),15,FALSE),"")</f>
        <v/>
      </c>
      <c r="E7" s="343" t="str">
        <f ca="1">IFERROR(VLOOKUP(A6,OFFSET($AG$2,,,COUNTIF($AG$2:$AG$50,"?*"),23),16,FALSE),"")</f>
        <v/>
      </c>
      <c r="F7" s="344"/>
      <c r="M7" s="4" t="str">
        <f ca="1">IFERROR(IF(VLOOKUP(M6,OFFSET($AG$2,,,COUNTIF($AG$2:$AG$50,"?*"),23),10,FALSE)&lt;&gt;0,VLOOKUP(M6,OFFSET($AG$2,,,COUNTIF($AG$2:$AG$50,"?*"),23),10,FALSE),""),"")</f>
        <v/>
      </c>
      <c r="N7" s="341" t="str">
        <f ca="1">IFERROR(IF(VLOOKUP(M6,OFFSET($AG$2,,,COUNTIF($AG$2:$AG$50,"?*"),23),2,FALSE)&lt;&gt;0,YEAR(VLOOKUP(M6,OFFSET($AG$2,,,COUNTIF($AG$2:$AG$50,"?*"),23),2,FALSE)),""),"")</f>
        <v/>
      </c>
      <c r="O7" s="342"/>
      <c r="P7" s="117" t="str">
        <f ca="1">IFERROR(VLOOKUP(M6,OFFSET($AG$2,,,COUNTIF($AG$2:$AG$50,"?*"),23),15,FALSE),"")</f>
        <v/>
      </c>
      <c r="Q7" s="343" t="str">
        <f ca="1">IFERROR(VLOOKUP(M6,OFFSET($AG$2,,,COUNTIF($AG$2:$AG$50,"?*"),23),16,FALSE),"")</f>
        <v/>
      </c>
      <c r="R7" s="344"/>
      <c r="S7" s="110" t="s">
        <v>518</v>
      </c>
      <c r="U7" s="102">
        <v>6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4</v>
      </c>
      <c r="AB7" s="102">
        <v>-8</v>
      </c>
      <c r="AC7" s="102" t="str">
        <f t="shared" ca="1" si="0"/>
        <v>ANO</v>
      </c>
      <c r="AG7" s="121" t="s">
        <v>754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Hronek Š.</v>
      </c>
      <c r="AX7" s="129" t="str">
        <f t="shared" ca="1" si="1"/>
        <v>6 OZ, 3 (2+1), -8 ±</v>
      </c>
      <c r="AY7" s="129" t="str">
        <f t="shared" ca="1" si="2"/>
        <v>6 OZ, 3 (2+1)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Š</v>
      </c>
      <c r="BG7" s="89" t="str">
        <f t="shared" ca="1" si="6"/>
        <v>Hronek Š.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6" t="s">
        <v>40</v>
      </c>
      <c r="BT7" s="104" t="s">
        <v>755</v>
      </c>
      <c r="BU7" s="103" t="s">
        <v>1233</v>
      </c>
      <c r="BV7" s="104" t="str">
        <f t="shared" si="13"/>
        <v>Filip Létal</v>
      </c>
      <c r="BW7" s="112">
        <f t="shared" si="14"/>
        <v>7.42</v>
      </c>
      <c r="BX7" s="335" t="s">
        <v>212</v>
      </c>
      <c r="BY7" s="103" t="s">
        <v>1113</v>
      </c>
      <c r="BZ7" s="103" t="s">
        <v>931</v>
      </c>
      <c r="CA7" s="115" t="s">
        <v>205</v>
      </c>
    </row>
    <row r="8" spans="1:79" ht="15" customHeight="1" x14ac:dyDescent="0.2">
      <c r="A8" s="377" t="str">
        <f ca="1">IFERROR(VLOOKUP(A6,OFFSET($AG$2,,,COUNTIF($AG$2:$AG$50,"?*"),23),18,FALSE),"")</f>
        <v/>
      </c>
      <c r="B8" s="378"/>
      <c r="C8" s="378"/>
      <c r="D8" s="379" t="str">
        <f ca="1">IFERROR(VLOOKUP(A6,OFFSET($AG$2,,,COUNTIF($AG$2:$AG$50,"?*"),23),19,FALSE),"")</f>
        <v/>
      </c>
      <c r="E8" s="379"/>
      <c r="F8" s="380"/>
      <c r="H8" s="381" t="s">
        <v>103</v>
      </c>
      <c r="I8" s="381"/>
      <c r="J8" s="381"/>
      <c r="K8" s="381"/>
      <c r="M8" s="377" t="str">
        <f ca="1">IFERROR(VLOOKUP(M6,OFFSET($AG$2,,,COUNTIF($AG$2:$AG$50,"?*"),23),18,FALSE),"")</f>
        <v/>
      </c>
      <c r="N8" s="378"/>
      <c r="O8" s="378"/>
      <c r="P8" s="379" t="str">
        <f ca="1">IFERROR(VLOOKUP(M6,OFFSET($AG$2,,,COUNTIF($AG$2:$AG$50,"?*"),23),19,FALSE),"")</f>
        <v/>
      </c>
      <c r="Q8" s="379"/>
      <c r="R8" s="380"/>
      <c r="S8" s="110" t="s">
        <v>754</v>
      </c>
      <c r="U8" s="102">
        <v>6</v>
      </c>
      <c r="V8" s="102">
        <v>2</v>
      </c>
      <c r="W8" s="102">
        <v>0</v>
      </c>
      <c r="X8" s="102">
        <v>0</v>
      </c>
      <c r="Y8" s="102">
        <v>1</v>
      </c>
      <c r="Z8" s="102">
        <v>3</v>
      </c>
      <c r="AA8" s="102">
        <v>0</v>
      </c>
      <c r="AB8" s="102">
        <v>-8</v>
      </c>
      <c r="AC8" s="102" t="str">
        <f t="shared" ca="1" si="0"/>
        <v>ANO</v>
      </c>
      <c r="AG8" s="121" t="s">
        <v>738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Jalový</v>
      </c>
      <c r="AX8" s="129" t="str">
        <f t="shared" ca="1" si="1"/>
        <v>6 OZ, 9 (3+6), -5 ±</v>
      </c>
      <c r="AY8" s="129" t="str">
        <f t="shared" ca="1" si="2"/>
        <v>6 OZ, 9 (3+6)</v>
      </c>
      <c r="AZ8" s="130"/>
      <c r="BA8" s="130"/>
      <c r="BB8" s="130"/>
      <c r="BC8" s="130"/>
      <c r="BD8" s="3" t="str">
        <f t="shared" si="3"/>
        <v>Jalový</v>
      </c>
      <c r="BE8" s="84">
        <f t="shared" ca="1" si="4"/>
        <v>1</v>
      </c>
      <c r="BF8" s="62" t="str">
        <f t="shared" si="5"/>
        <v>L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6"/>
      <c r="BT8" s="104" t="s">
        <v>756</v>
      </c>
      <c r="BU8" s="103" t="s">
        <v>1234</v>
      </c>
      <c r="BV8" s="104" t="str">
        <f t="shared" si="13"/>
        <v>Ondřej Kolajta</v>
      </c>
      <c r="BW8" s="112">
        <f t="shared" si="14"/>
        <v>9.09</v>
      </c>
      <c r="BX8" s="335"/>
      <c r="BY8" s="103" t="s">
        <v>935</v>
      </c>
      <c r="BZ8" s="103" t="s">
        <v>928</v>
      </c>
      <c r="CA8" s="115" t="s">
        <v>205</v>
      </c>
    </row>
    <row r="9" spans="1:79" ht="15" customHeight="1" thickBot="1" x14ac:dyDescent="0.25">
      <c r="A9" s="365" t="str">
        <f ca="1">IFERROR(IF(VLOOKUP(A6,OFFSET($AG$2,,,COUNTIF($AG$2:$AG$50,"?*"),23),13,FALSE)&lt;&gt;0,VLOOKUP(A6,OFFSET($AG$2,,,COUNTIF($AG$2:$AG$50,"?*"),23),13,FALSE),"?"),"")</f>
        <v/>
      </c>
      <c r="B9" s="366"/>
      <c r="C9" s="367"/>
      <c r="D9" s="368" t="str">
        <f ca="1">IFERROR(IF(VLOOKUP(A6,OFFSET($AG$2,,,COUNTIF($AG$2:$AG$50,"?*"),23),14,FALSE)&lt;&gt;0,VLOOKUP(A6,OFFSET($AG$2,,,COUNTIF($AG$2:$AG$50,"?*"),23),14,FALSE),"?"),"")</f>
        <v/>
      </c>
      <c r="E9" s="369"/>
      <c r="F9" s="7" t="str">
        <f ca="1">IFERROR(IF(VLOOKUP(A6,OFFSET($AG$2,,,COUNTIF($AG$2:$AG$50,"?*"),23),7,FALSE)&lt;&gt;0,VLOOKUP(A6,OFFSET($AG$2,,,COUNTIF($AG$2:$AG$50,"?*"),23),7,FALSE),"?"),"")</f>
        <v/>
      </c>
      <c r="H9" s="381"/>
      <c r="I9" s="381"/>
      <c r="J9" s="381"/>
      <c r="K9" s="381"/>
      <c r="M9" s="365" t="str">
        <f ca="1">IFERROR(IF(VLOOKUP(M6,OFFSET($AG$2,,,COUNTIF($AG$2:$AG$50,"?*"),23),13,FALSE)&lt;&gt;0,VLOOKUP(M6,OFFSET($AG$2,,,COUNTIF($AG$2:$AG$50,"?*"),23),13,FALSE),"?"),"")</f>
        <v/>
      </c>
      <c r="N9" s="366"/>
      <c r="O9" s="367"/>
      <c r="P9" s="368" t="str">
        <f ca="1">IFERROR(IF(VLOOKUP(M6,OFFSET($AG$2,,,COUNTIF($AG$2:$AG$50,"?*"),23),14,FALSE)&lt;&gt;0,VLOOKUP(M6,OFFSET($AG$2,,,COUNTIF($AG$2:$AG$50,"?*"),23),14,FALSE),"?"),"")</f>
        <v/>
      </c>
      <c r="Q9" s="36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753</v>
      </c>
      <c r="T9" s="102" t="s">
        <v>64</v>
      </c>
      <c r="U9" s="102">
        <v>5</v>
      </c>
      <c r="V9" s="102">
        <v>0</v>
      </c>
      <c r="W9" s="102">
        <v>0</v>
      </c>
      <c r="X9" s="102">
        <v>0</v>
      </c>
      <c r="Y9" s="102">
        <v>3</v>
      </c>
      <c r="Z9" s="102">
        <v>3</v>
      </c>
      <c r="AA9" s="102">
        <v>2</v>
      </c>
      <c r="AB9" s="102">
        <v>-3</v>
      </c>
      <c r="AC9" s="102" t="str">
        <f t="shared" ca="1" si="0"/>
        <v>ANO</v>
      </c>
      <c r="AG9" s="121" t="s">
        <v>747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Juhaňák</v>
      </c>
      <c r="AX9" s="129" t="str">
        <f t="shared" ca="1" si="1"/>
        <v>6 OZ, 2 (0+2), -3 ±</v>
      </c>
      <c r="AY9" s="129" t="str">
        <f t="shared" ca="1" si="2"/>
        <v>6 OZ, 2 (0+2)</v>
      </c>
      <c r="AZ9" s="130"/>
      <c r="BA9" s="130"/>
      <c r="BB9" s="130"/>
      <c r="BC9" s="130"/>
      <c r="BD9" s="89" t="str">
        <f t="shared" si="3"/>
        <v>Juhaňák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6"/>
      <c r="BT9" s="104" t="s">
        <v>1235</v>
      </c>
      <c r="BU9" s="103" t="s">
        <v>1236</v>
      </c>
      <c r="BV9" s="104" t="str">
        <f t="shared" si="13"/>
        <v>Zdeněk Raška</v>
      </c>
      <c r="BW9" s="112">
        <f t="shared" si="14"/>
        <v>8</v>
      </c>
      <c r="BX9" s="335"/>
      <c r="BY9" s="103" t="s">
        <v>915</v>
      </c>
      <c r="BZ9" s="103" t="s">
        <v>927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752</v>
      </c>
      <c r="T10" s="102" t="s">
        <v>64</v>
      </c>
      <c r="U10" s="102">
        <v>6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2</v>
      </c>
      <c r="AB10" s="102">
        <v>-8</v>
      </c>
      <c r="AC10" s="102" t="str">
        <f t="shared" ca="1" si="0"/>
        <v>ANO</v>
      </c>
      <c r="AG10" s="121" t="s">
        <v>750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Kolajta</v>
      </c>
      <c r="AX10" s="129" t="str">
        <f t="shared" ca="1" si="1"/>
        <v>0 V, 3 P</v>
      </c>
      <c r="AY10" s="129" t="str">
        <f t="shared" ca="1" si="2"/>
        <v>3 OZ, 0 A</v>
      </c>
      <c r="AZ10" s="130"/>
      <c r="BA10" s="130"/>
      <c r="BB10" s="130"/>
      <c r="BC10" s="130"/>
      <c r="BD10" s="3" t="str">
        <f t="shared" si="3"/>
        <v>Kolajta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6"/>
      <c r="BV10" s="104" t="str">
        <f t="shared" si="13"/>
        <v/>
      </c>
      <c r="BW10" s="112" t="str">
        <f t="shared" si="14"/>
        <v/>
      </c>
      <c r="BX10" s="335"/>
      <c r="BY10" s="103" t="s">
        <v>945</v>
      </c>
      <c r="BZ10" s="103" t="s">
        <v>909</v>
      </c>
      <c r="CA10" s="115" t="s">
        <v>205</v>
      </c>
    </row>
    <row r="11" spans="1:79" ht="15" customHeight="1" thickTop="1" thickBot="1" x14ac:dyDescent="0.25">
      <c r="R11" s="13"/>
      <c r="S11" s="110" t="s">
        <v>746</v>
      </c>
      <c r="T11" s="102" t="s">
        <v>119</v>
      </c>
      <c r="U11" s="102">
        <v>6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2</v>
      </c>
      <c r="AB11" s="102">
        <v>-6</v>
      </c>
      <c r="AC11" s="102" t="str">
        <f t="shared" ca="1" si="0"/>
        <v>ANO</v>
      </c>
      <c r="AG11" s="121" t="s">
        <v>752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Kostka</v>
      </c>
      <c r="AX11" s="129" t="str">
        <f t="shared" ca="1" si="1"/>
        <v>6 OZ, 2 (2+0), -8 ±</v>
      </c>
      <c r="AY11" s="129" t="str">
        <f t="shared" ca="1" si="2"/>
        <v>6 OZ, 2 (2+0)</v>
      </c>
      <c r="AZ11" s="130"/>
      <c r="BA11" s="130"/>
      <c r="BB11" s="130"/>
      <c r="BC11" s="130"/>
      <c r="BD11" s="89" t="str">
        <f t="shared" si="3"/>
        <v>Kostka</v>
      </c>
      <c r="BE11" s="91">
        <f t="shared" ca="1" si="4"/>
        <v>1</v>
      </c>
      <c r="BF11" s="90" t="str">
        <f t="shared" si="5"/>
        <v>M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6"/>
      <c r="BV11" s="104" t="str">
        <f t="shared" si="13"/>
        <v/>
      </c>
      <c r="BW11" s="112" t="str">
        <f t="shared" si="14"/>
        <v/>
      </c>
      <c r="BX11" s="335"/>
      <c r="BY11" s="103" t="s">
        <v>1230</v>
      </c>
      <c r="BZ11" s="103" t="s">
        <v>908</v>
      </c>
      <c r="CA11" s="115" t="s">
        <v>205</v>
      </c>
    </row>
    <row r="12" spans="1:79" ht="15" customHeight="1" thickTop="1" thickBot="1" x14ac:dyDescent="0.25">
      <c r="A12" s="348"/>
      <c r="B12" s="349"/>
      <c r="C12" s="349"/>
      <c r="D12" s="34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82" t="s">
        <v>7</v>
      </c>
      <c r="I12" s="382"/>
      <c r="J12" s="382"/>
      <c r="K12" s="382"/>
      <c r="M12" s="348"/>
      <c r="N12" s="349"/>
      <c r="O12" s="349"/>
      <c r="P12" s="34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749</v>
      </c>
      <c r="U12" s="102">
        <v>5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2</v>
      </c>
      <c r="AB12" s="102">
        <v>-4</v>
      </c>
      <c r="AC12" s="102" t="str">
        <f t="shared" ca="1" si="0"/>
        <v>ANO</v>
      </c>
      <c r="AG12" s="121" t="s">
        <v>744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Kučera</v>
      </c>
      <c r="AX12" s="129" t="str">
        <f t="shared" ca="1" si="1"/>
        <v>6 OZ, 0 (0+0), -5 ±</v>
      </c>
      <c r="AY12" s="129" t="str">
        <f t="shared" ca="1" si="2"/>
        <v>6 OZ, 0 (0+0)</v>
      </c>
      <c r="AZ12" s="130"/>
      <c r="BA12" s="130"/>
      <c r="BB12" s="130"/>
      <c r="BC12" s="130"/>
      <c r="BD12" s="3" t="str">
        <f t="shared" si="3"/>
        <v>Kučera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6" t="s">
        <v>37</v>
      </c>
      <c r="BT12" s="104" t="s">
        <v>844</v>
      </c>
      <c r="BU12" s="103">
        <v>5</v>
      </c>
      <c r="BV12" s="104" t="str">
        <f t="shared" si="13"/>
        <v>René Slezák</v>
      </c>
      <c r="BW12" s="102">
        <f t="shared" si="14"/>
        <v>5</v>
      </c>
      <c r="BX12" s="120" t="s">
        <v>210</v>
      </c>
      <c r="BY12" s="100" t="s">
        <v>1231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1" t="str">
        <f ca="1">IFERROR(IF(VLOOKUP(A12,OFFSET($AG$2,,,COUNTIF($AG$2:$AG$50,"?*"),23),2,FALSE)&lt;&gt;0,YEAR(VLOOKUP(A12,OFFSET($AG$2,,,COUNTIF($AG$2:$AG$50,"?*"),23),2,FALSE)),""),"")</f>
        <v/>
      </c>
      <c r="C13" s="342"/>
      <c r="D13" s="117" t="str">
        <f ca="1">IFERROR(VLOOKUP(A12,OFFSET($AG$2,,,COUNTIF($AG$2:$AG$50,"?*"),23),15,FALSE),"")</f>
        <v/>
      </c>
      <c r="E13" s="343" t="str">
        <f ca="1">IFERROR(VLOOKUP(A12,OFFSET($AG$2,,,COUNTIF($AG$2:$AG$50,"?*"),23),16,FALSE),"")</f>
        <v/>
      </c>
      <c r="F13" s="344"/>
      <c r="M13" s="4" t="str">
        <f ca="1">IFERROR(IF(VLOOKUP(M12,OFFSET($AG$2,,,COUNTIF($AG$2:$AG$50,"?*"),23),10,FALSE)&lt;&gt;0,VLOOKUP(M12,OFFSET($AG$2,,,COUNTIF($AG$2:$AG$50,"?*"),23),10,FALSE),""),"")</f>
        <v/>
      </c>
      <c r="N13" s="341" t="str">
        <f ca="1">IFERROR(IF(VLOOKUP(M12,OFFSET($AG$2,,,COUNTIF($AG$2:$AG$50,"?*"),23),2,FALSE)&lt;&gt;0,YEAR(VLOOKUP(M12,OFFSET($AG$2,,,COUNTIF($AG$2:$AG$50,"?*"),23),2,FALSE)),""),"")</f>
        <v/>
      </c>
      <c r="O13" s="342"/>
      <c r="P13" s="117" t="str">
        <f ca="1">IFERROR(VLOOKUP(M12,OFFSET($AG$2,,,COUNTIF($AG$2:$AG$50,"?*"),23),15,FALSE),"")</f>
        <v/>
      </c>
      <c r="Q13" s="343" t="str">
        <f ca="1">IFERROR(VLOOKUP(M12,OFFSET($AG$2,,,COUNTIF($AG$2:$AG$50,"?*"),23),16,FALSE),"")</f>
        <v/>
      </c>
      <c r="R13" s="344"/>
      <c r="S13" s="110" t="s">
        <v>741</v>
      </c>
      <c r="U13" s="102">
        <v>6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7</v>
      </c>
      <c r="AB13" s="102">
        <v>-5</v>
      </c>
      <c r="AC13" s="102" t="str">
        <f t="shared" ca="1" si="0"/>
        <v>ANO</v>
      </c>
      <c r="AG13" s="121" t="s">
        <v>749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Kůra</v>
      </c>
      <c r="AX13" s="129" t="str">
        <f t="shared" ca="1" si="1"/>
        <v>5 OZ, 2 (1+1), -4 ±</v>
      </c>
      <c r="AY13" s="129" t="str">
        <f t="shared" ca="1" si="2"/>
        <v>5 OZ, 2 (1+1)</v>
      </c>
      <c r="AZ13" s="130"/>
      <c r="BA13" s="130"/>
      <c r="BB13" s="130"/>
      <c r="BC13" s="130"/>
      <c r="BD13" s="89" t="str">
        <f t="shared" si="3"/>
        <v>Kůra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6"/>
      <c r="BT13" s="104" t="s">
        <v>954</v>
      </c>
      <c r="BU13" s="103">
        <v>3</v>
      </c>
      <c r="BV13" s="104" t="str">
        <f t="shared" si="13"/>
        <v>Lukáš Jalový</v>
      </c>
      <c r="BW13" s="102">
        <f t="shared" si="14"/>
        <v>3</v>
      </c>
    </row>
    <row r="14" spans="1:79" ht="15" customHeight="1" thickTop="1" thickBot="1" x14ac:dyDescent="0.25">
      <c r="A14" s="377" t="str">
        <f ca="1">IFERROR(VLOOKUP(A12,OFFSET($AG$2,,,COUNTIF($AG$2:$AG$50,"?*"),23),18,FALSE),"")</f>
        <v/>
      </c>
      <c r="B14" s="378"/>
      <c r="C14" s="378"/>
      <c r="D14" s="379" t="str">
        <f ca="1">IFERROR(VLOOKUP(A12,OFFSET($AG$2,,,COUNTIF($AG$2:$AG$50,"?*"),23),19,FALSE),"")</f>
        <v/>
      </c>
      <c r="E14" s="379"/>
      <c r="F14" s="380"/>
      <c r="G14" s="348"/>
      <c r="H14" s="349"/>
      <c r="I14" s="349"/>
      <c r="J14" s="34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7" t="str">
        <f ca="1">IFERROR(VLOOKUP(M12,OFFSET($AG$2,,,COUNTIF($AG$2:$AG$50,"?*"),23),18,FALSE),"")</f>
        <v/>
      </c>
      <c r="N14" s="378"/>
      <c r="O14" s="378"/>
      <c r="P14" s="379" t="str">
        <f ca="1">IFERROR(VLOOKUP(M12,OFFSET($AG$2,,,COUNTIF($AG$2:$AG$50,"?*"),23),19,FALSE),"")</f>
        <v/>
      </c>
      <c r="Q14" s="379"/>
      <c r="R14" s="380"/>
      <c r="S14" s="110" t="s">
        <v>747</v>
      </c>
      <c r="T14" s="102" t="s">
        <v>119</v>
      </c>
      <c r="U14" s="102">
        <v>6</v>
      </c>
      <c r="V14" s="102">
        <v>0</v>
      </c>
      <c r="W14" s="102">
        <v>0</v>
      </c>
      <c r="X14" s="102">
        <v>0</v>
      </c>
      <c r="Y14" s="102">
        <v>2</v>
      </c>
      <c r="Z14" s="102">
        <v>2</v>
      </c>
      <c r="AA14" s="102">
        <v>2</v>
      </c>
      <c r="AB14" s="102">
        <v>-3</v>
      </c>
      <c r="AC14" s="102" t="str">
        <f t="shared" ca="1" si="0"/>
        <v>ANO</v>
      </c>
      <c r="AG14" s="121" t="s">
        <v>739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Létal</v>
      </c>
      <c r="AX14" s="129" t="str">
        <f t="shared" ca="1" si="1"/>
        <v>0 V, 3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Létal</v>
      </c>
      <c r="BE14" s="84">
        <f t="shared" ca="1" si="4"/>
        <v>1</v>
      </c>
      <c r="BF14" s="62" t="str">
        <f t="shared" si="5"/>
        <v>F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6"/>
      <c r="BT14" s="104" t="s">
        <v>1237</v>
      </c>
      <c r="BU14" s="103">
        <v>3</v>
      </c>
      <c r="BV14" s="104" t="str">
        <f t="shared" si="13"/>
        <v>Tomáš Brom</v>
      </c>
      <c r="BW14" s="102">
        <f t="shared" si="14"/>
        <v>3</v>
      </c>
    </row>
    <row r="15" spans="1:79" ht="15" customHeight="1" thickBot="1" x14ac:dyDescent="0.25">
      <c r="A15" s="365" t="str">
        <f ca="1">IFERROR(IF(VLOOKUP(A12,OFFSET($AG$2,,,COUNTIF($AG$2:$AG$50,"?*"),23),13,FALSE)&lt;&gt;0,VLOOKUP(A12,OFFSET($AG$2,,,COUNTIF($AG$2:$AG$50,"?*"),23),13,FALSE),"?"),"")</f>
        <v/>
      </c>
      <c r="B15" s="366"/>
      <c r="C15" s="367"/>
      <c r="D15" s="368" t="str">
        <f ca="1">IFERROR(IF(VLOOKUP(A12,OFFSET($AG$2,,,COUNTIF($AG$2:$AG$50,"?*"),23),14,FALSE)&lt;&gt;0,VLOOKUP(A12,OFFSET($AG$2,,,COUNTIF($AG$2:$AG$50,"?*"),23),14,FALSE),"?"),"")</f>
        <v/>
      </c>
      <c r="E15" s="36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1" t="str">
        <f ca="1">IFERROR(IF(VLOOKUP(G14,OFFSET($AG$2,,,COUNTIF($AG$2:$AG$50,"?*"),23),2,FALSE)&lt;&gt;0,YEAR(VLOOKUP(G14,OFFSET($AG$2,,,COUNTIF($AG$2:$AG$50,"?*"),23),2,FALSE)),""),"")</f>
        <v/>
      </c>
      <c r="I15" s="342"/>
      <c r="J15" s="117" t="str">
        <f ca="1">IFERROR(VLOOKUP(G14,OFFSET($AG$2,,,COUNTIF($AG$2:$AG$50,"?*"),23),15,FALSE),"")</f>
        <v/>
      </c>
      <c r="K15" s="343" t="str">
        <f ca="1">IFERROR(VLOOKUP(G14,OFFSET($AG$2,,,COUNTIF($AG$2:$AG$50,"?*"),23),16,FALSE),"")</f>
        <v/>
      </c>
      <c r="L15" s="344"/>
      <c r="M15" s="365" t="str">
        <f ca="1">IFERROR(IF(VLOOKUP(M12,OFFSET($AG$2,,,COUNTIF($AG$2:$AG$50,"?*"),23),13,FALSE)&lt;&gt;0,VLOOKUP(M12,OFFSET($AG$2,,,COUNTIF($AG$2:$AG$50,"?*"),23),13,FALSE),"?"),"")</f>
        <v/>
      </c>
      <c r="N15" s="366"/>
      <c r="O15" s="367"/>
      <c r="P15" s="368" t="str">
        <f ca="1">IFERROR(IF(VLOOKUP(M12,OFFSET($AG$2,,,COUNTIF($AG$2:$AG$50,"?*"),23),14,FALSE)&lt;&gt;0,VLOOKUP(M12,OFFSET($AG$2,,,COUNTIF($AG$2:$AG$50,"?*"),23),14,FALSE),"?"),"")</f>
        <v/>
      </c>
      <c r="Q15" s="36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748</v>
      </c>
      <c r="T15" s="102" t="s">
        <v>119</v>
      </c>
      <c r="U15" s="102">
        <v>6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-3</v>
      </c>
      <c r="AC15" s="102" t="str">
        <f t="shared" ca="1" si="0"/>
        <v>ANO</v>
      </c>
      <c r="AG15" s="121" t="s">
        <v>741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Lhota</v>
      </c>
      <c r="AX15" s="129" t="str">
        <f t="shared" ca="1" si="1"/>
        <v>6 OZ, 2 (1+1), -5 ±</v>
      </c>
      <c r="AY15" s="129" t="str">
        <f t="shared" ca="1" si="2"/>
        <v>6 OZ, 2 (1+1)</v>
      </c>
      <c r="AZ15" s="130"/>
      <c r="BA15" s="130"/>
      <c r="BB15" s="130"/>
      <c r="BC15" s="130"/>
      <c r="BD15" s="89" t="str">
        <f t="shared" si="3"/>
        <v>Lhota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6"/>
      <c r="BT15" s="104" t="s">
        <v>1238</v>
      </c>
      <c r="BU15" s="103">
        <v>2</v>
      </c>
      <c r="BV15" s="104" t="str">
        <f t="shared" si="13"/>
        <v>Jakub Procházka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77" t="str">
        <f ca="1">IFERROR(VLOOKUP(G14,OFFSET($AG$2,,,COUNTIF($AG$2:$AG$50,"?*"),23),18,FALSE),"")</f>
        <v/>
      </c>
      <c r="H16" s="378"/>
      <c r="I16" s="378"/>
      <c r="J16" s="379" t="str">
        <f ca="1">IFERROR(VLOOKUP(G14,OFFSET($AG$2,,,COUNTIF($AG$2:$AG$50,"?*"),23),19,FALSE),"")</f>
        <v/>
      </c>
      <c r="K16" s="379"/>
      <c r="L16" s="380"/>
      <c r="S16" s="110" t="s">
        <v>528</v>
      </c>
      <c r="U16" s="102">
        <v>0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746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Procházka</v>
      </c>
      <c r="AX16" s="129" t="str">
        <f t="shared" ca="1" si="1"/>
        <v>6 OZ, 2 (2+0), -6 ±</v>
      </c>
      <c r="AY16" s="129" t="str">
        <f t="shared" ca="1" si="2"/>
        <v>6 OZ, 2 (2+0)</v>
      </c>
      <c r="AZ16" s="130"/>
      <c r="BA16" s="130"/>
      <c r="BB16" s="130"/>
      <c r="BC16" s="130"/>
      <c r="BD16" s="3" t="str">
        <f t="shared" si="3"/>
        <v>Procházka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6"/>
      <c r="BT16" s="104" t="s">
        <v>870</v>
      </c>
      <c r="BU16" s="103">
        <v>2</v>
      </c>
      <c r="BV16" s="104" t="str">
        <f t="shared" si="13"/>
        <v>Marek Fuchs</v>
      </c>
      <c r="BW16" s="102">
        <f t="shared" si="14"/>
        <v>2</v>
      </c>
    </row>
    <row r="17" spans="1:75" ht="15" customHeight="1" thickTop="1" thickBot="1" x14ac:dyDescent="0.25">
      <c r="A17" s="348"/>
      <c r="B17" s="349"/>
      <c r="C17" s="349"/>
      <c r="D17" s="34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5" t="str">
        <f ca="1">IFERROR(IF(VLOOKUP(G14,OFFSET($AG$2,,,COUNTIF($AG$2:$AG$50,"?*"),23),13,FALSE)&lt;&gt;0,VLOOKUP(G14,OFFSET($AG$2,,,COUNTIF($AG$2:$AG$50,"?*"),23),13,FALSE),"?"),"")</f>
        <v/>
      </c>
      <c r="H17" s="366"/>
      <c r="I17" s="367"/>
      <c r="J17" s="368" t="str">
        <f ca="1">IFERROR(IF(VLOOKUP(G14,OFFSET($AG$2,,,COUNTIF($AG$2:$AG$50,"?*"),23),14,FALSE)&lt;&gt;0,VLOOKUP(G14,OFFSET($AG$2,,,COUNTIF($AG$2:$AG$50,"?*"),23),14,FALSE),"?"),"")</f>
        <v/>
      </c>
      <c r="K17" s="369"/>
      <c r="L17" s="7" t="str">
        <f ca="1">IFERROR(IF(VLOOKUP(G14,OFFSET($AG$2,,,COUNTIF($AG$2:$AG$50,"?*"),23),7,FALSE)&lt;&gt;0,VLOOKUP(G14,OFFSET($AG$2,,,COUNTIF($AG$2:$AG$50,"?*"),23),7,FALSE),"?"),"")</f>
        <v/>
      </c>
      <c r="M17" s="348"/>
      <c r="N17" s="349"/>
      <c r="O17" s="349"/>
      <c r="P17" s="34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743</v>
      </c>
      <c r="T17" s="102" t="s">
        <v>119</v>
      </c>
      <c r="U17" s="102">
        <v>4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753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Sládeček</v>
      </c>
      <c r="AX17" s="129" t="str">
        <f t="shared" ca="1" si="1"/>
        <v>5 OZ, 3 (0+3), -3 ±</v>
      </c>
      <c r="AY17" s="129" t="str">
        <f t="shared" ca="1" si="2"/>
        <v>5 OZ, 3 (0+3)</v>
      </c>
      <c r="AZ17" s="130"/>
      <c r="BA17" s="130"/>
      <c r="BB17" s="130"/>
      <c r="BC17" s="130"/>
      <c r="BD17" s="89" t="str">
        <f t="shared" si="3"/>
        <v>Sládeček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6" t="s">
        <v>41</v>
      </c>
      <c r="BT17" s="104" t="s">
        <v>755</v>
      </c>
      <c r="BU17" s="103">
        <v>0</v>
      </c>
      <c r="BV17" s="104" t="str">
        <f t="shared" si="13"/>
        <v>Filip Létal</v>
      </c>
      <c r="BW17" s="102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1" t="str">
        <f ca="1">IFERROR(IF(VLOOKUP(A17,OFFSET($AG$2,,,COUNTIF($AG$2:$AG$50,"?*"),23),2,FALSE)&lt;&gt;0,YEAR(VLOOKUP(A17,OFFSET($AG$2,,,COUNTIF($AG$2:$AG$50,"?*"),23),2,FALSE)),""),"")</f>
        <v/>
      </c>
      <c r="C18" s="342"/>
      <c r="D18" s="150" t="str">
        <f ca="1">IFERROR(VLOOKUP(A17,OFFSET($AG$2,,,COUNTIF($AG$2:$AG$50,"?*"),23),15,FALSE),"")</f>
        <v/>
      </c>
      <c r="E18" s="343" t="str">
        <f ca="1">IFERROR(VLOOKUP(A17,OFFSET($AG$2,,,COUNTIF($AG$2:$AG$50,"?*"),23),16,FALSE),"")</f>
        <v/>
      </c>
      <c r="F18" s="344"/>
      <c r="M18" s="4" t="str">
        <f ca="1">IFERROR(IF(VLOOKUP(M17,OFFSET($AG$2,,,COUNTIF($AG$2:$AG$50,"?*"),23),10,FALSE)&lt;&gt;0,VLOOKUP(M17,OFFSET($AG$2,,,COUNTIF($AG$2:$AG$50,"?*"),23),10,FALSE),""),"")</f>
        <v/>
      </c>
      <c r="N18" s="341" t="str">
        <f ca="1">IFERROR(IF(VLOOKUP(M17,OFFSET($AG$2,,,COUNTIF($AG$2:$AG$50,"?*"),23),2,FALSE)&lt;&gt;0,YEAR(VLOOKUP(M17,OFFSET($AG$2,,,COUNTIF($AG$2:$AG$50,"?*"),23),2,FALSE)),""),"")</f>
        <v/>
      </c>
      <c r="O18" s="342"/>
      <c r="P18" s="117" t="str">
        <f ca="1">IFERROR(VLOOKUP(M17,OFFSET($AG$2,,,COUNTIF($AG$2:$AG$50,"?*"),23),15,FALSE),"")</f>
        <v/>
      </c>
      <c r="Q18" s="343" t="str">
        <f ca="1">IFERROR(VLOOKUP(M17,OFFSET($AG$2,,,COUNTIF($AG$2:$AG$50,"?*"),23),16,FALSE),"")</f>
        <v/>
      </c>
      <c r="R18" s="344"/>
      <c r="S18" s="110" t="s">
        <v>750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751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Slezák</v>
      </c>
      <c r="AX18" s="129" t="str">
        <f t="shared" ca="1" si="1"/>
        <v>6 OZ, 6 (5+1), -4 ±</v>
      </c>
      <c r="AY18" s="129" t="str">
        <f t="shared" ca="1" si="2"/>
        <v>6 OZ, 6 (5+1)</v>
      </c>
      <c r="AZ18" s="130"/>
      <c r="BA18" s="130"/>
      <c r="BB18" s="130"/>
      <c r="BC18" s="130"/>
      <c r="BD18" s="3" t="str">
        <f t="shared" si="3"/>
        <v>Slezák</v>
      </c>
      <c r="BE18" s="84">
        <f t="shared" ca="1" si="4"/>
        <v>1</v>
      </c>
      <c r="BF18" s="62" t="str">
        <f t="shared" si="5"/>
        <v>R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6"/>
      <c r="BT18" s="104" t="s">
        <v>756</v>
      </c>
      <c r="BU18" s="103">
        <v>0</v>
      </c>
      <c r="BV18" s="104" t="str">
        <f t="shared" si="13"/>
        <v>Ondřej Kolajta</v>
      </c>
      <c r="BW18" s="102">
        <f t="shared" si="14"/>
        <v>0</v>
      </c>
    </row>
    <row r="19" spans="1:75" ht="15" customHeight="1" x14ac:dyDescent="0.2">
      <c r="A19" s="377" t="str">
        <f ca="1">IFERROR(VLOOKUP(A17,OFFSET($AG$2,,,COUNTIF($AG$2:$AG$50,"?*"),23),18,FALSE),"")</f>
        <v/>
      </c>
      <c r="B19" s="378"/>
      <c r="C19" s="378"/>
      <c r="D19" s="379" t="str">
        <f ca="1">IFERROR(VLOOKUP(A17,OFFSET($AG$2,,,COUNTIF($AG$2:$AG$50,"?*"),23),19,FALSE),"")</f>
        <v/>
      </c>
      <c r="E19" s="379"/>
      <c r="F19" s="380"/>
      <c r="H19" s="381" t="str">
        <f>H$8</f>
        <v>HAT</v>
      </c>
      <c r="I19" s="381"/>
      <c r="J19" s="381"/>
      <c r="K19" s="381"/>
      <c r="M19" s="377" t="str">
        <f ca="1">IFERROR(VLOOKUP(M17,OFFSET($AG$2,,,COUNTIF($AG$2:$AG$50,"?*"),23),18,FALSE),"")</f>
        <v/>
      </c>
      <c r="N19" s="378"/>
      <c r="O19" s="378"/>
      <c r="P19" s="379" t="str">
        <f ca="1">IFERROR(VLOOKUP(M17,OFFSET($AG$2,,,COUNTIF($AG$2:$AG$50,"?*"),23),19,FALSE),"")</f>
        <v/>
      </c>
      <c r="Q19" s="379"/>
      <c r="R19" s="380"/>
      <c r="S19" s="110" t="s">
        <v>842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-2</v>
      </c>
      <c r="AC19" s="102" t="str">
        <f t="shared" ca="1" si="0"/>
        <v>NE</v>
      </c>
      <c r="AG19" s="121" t="s">
        <v>745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Suk</v>
      </c>
      <c r="AX19" s="129" t="str">
        <f t="shared" ca="1" si="1"/>
        <v>6 OZ, 0 (0+0), -6 ±</v>
      </c>
      <c r="AY19" s="129" t="str">
        <f t="shared" ca="1" si="2"/>
        <v>6 OZ, 0 (0+0)</v>
      </c>
      <c r="AZ19" s="130"/>
      <c r="BA19" s="130"/>
      <c r="BB19" s="130"/>
      <c r="BC19" s="130"/>
      <c r="BD19" s="89" t="str">
        <f t="shared" si="3"/>
        <v>Suk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6"/>
      <c r="BT19" s="104" t="s">
        <v>1235</v>
      </c>
      <c r="BU19" s="103">
        <v>0</v>
      </c>
      <c r="BV19" s="104" t="str">
        <f t="shared" si="13"/>
        <v>Zdeněk Raška</v>
      </c>
      <c r="BW19" s="102">
        <f t="shared" si="14"/>
        <v>0</v>
      </c>
    </row>
    <row r="20" spans="1:75" ht="15" customHeight="1" thickBot="1" x14ac:dyDescent="0.25">
      <c r="A20" s="365" t="str">
        <f ca="1">IFERROR(IF(VLOOKUP(A17,OFFSET($AG$2,,,COUNTIF($AG$2:$AG$50,"?*"),23),13,FALSE)&lt;&gt;0,VLOOKUP(A17,OFFSET($AG$2,,,COUNTIF($AG$2:$AG$50,"?*"),23),13,FALSE),"?"),"")</f>
        <v/>
      </c>
      <c r="B20" s="366"/>
      <c r="C20" s="367"/>
      <c r="D20" s="368" t="str">
        <f ca="1">IFERROR(IF(VLOOKUP(A17,OFFSET($AG$2,,,COUNTIF($AG$2:$AG$50,"?*"),23),14,FALSE)&lt;&gt;0,VLOOKUP(A17,OFFSET($AG$2,,,COUNTIF($AG$2:$AG$50,"?*"),23),14,FALSE),"?"),"")</f>
        <v/>
      </c>
      <c r="E20" s="369"/>
      <c r="F20" s="7" t="str">
        <f ca="1">IFERROR(IF(VLOOKUP(A17,OFFSET($AG$2,,,COUNTIF($AG$2:$AG$50,"?*"),23),7,FALSE)&lt;&gt;0,VLOOKUP(A17,OFFSET($AG$2,,,COUNTIF($AG$2:$AG$50,"?*"),23),7,FALSE),"?"),"")</f>
        <v/>
      </c>
      <c r="H20" s="381"/>
      <c r="I20" s="381"/>
      <c r="J20" s="381"/>
      <c r="K20" s="381"/>
      <c r="M20" s="365" t="str">
        <f ca="1">IFERROR(IF(VLOOKUP(M17,OFFSET($AG$2,,,COUNTIF($AG$2:$AG$50,"?*"),23),13,FALSE)&lt;&gt;0,VLOOKUP(M17,OFFSET($AG$2,,,COUNTIF($AG$2:$AG$50,"?*"),23),13,FALSE),"?"),"")</f>
        <v/>
      </c>
      <c r="N20" s="366"/>
      <c r="O20" s="367"/>
      <c r="P20" s="368" t="str">
        <f ca="1">IFERROR(IF(VLOOKUP(M17,OFFSET($AG$2,,,COUNTIF($AG$2:$AG$50,"?*"),23),14,FALSE)&lt;&gt;0,VLOOKUP(M17,OFFSET($AG$2,,,COUNTIF($AG$2:$AG$50,"?*"),23),14,FALSE),"?"),"")</f>
        <v/>
      </c>
      <c r="Q20" s="36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739</v>
      </c>
      <c r="T20" s="102" t="s">
        <v>117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740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Vlach</v>
      </c>
      <c r="AX20" s="129" t="str">
        <f t="shared" ca="1" si="1"/>
        <v>6 OZ, 4 (1+3), -5 ±</v>
      </c>
      <c r="AY20" s="129" t="str">
        <f t="shared" ca="1" si="2"/>
        <v>6 OZ, 4 (1+3)</v>
      </c>
      <c r="AZ20" s="130"/>
      <c r="BA20" s="130"/>
      <c r="BB20" s="130"/>
      <c r="BC20" s="130"/>
      <c r="BD20" s="3" t="str">
        <f t="shared" si="3"/>
        <v>Vlach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744</v>
      </c>
      <c r="U21" s="102">
        <v>6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-5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ref="AL21:AL50" si="15">IF(AG21&lt;&gt;"",AJ21+AK21,"")</f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ref="AU21:AU23" ca="1" si="16">IF(AG21&lt;&gt;"",IF(AH21&lt;&gt;"",INT((TODAY()-AH21)/365),"?"),"")</f>
        <v/>
      </c>
      <c r="AV21" s="127" t="str">
        <f t="shared" ref="AV21:AV23" si="17">IF(AG21&lt;&gt;"",CONCATENATE(IF(AQ21&lt;&gt;"",AQ21,"? "),"/",IF(AR21&lt;&gt;"",AR21," ?")),"")</f>
        <v/>
      </c>
      <c r="AW21" s="128" t="str">
        <f t="shared" ref="AW21:AW50" si="18">IF(AG21&lt;&gt;"",IF(BE21=1,BD21,IF(BH21=1,BG21,IF(BJ21=1,BI21,IF(BL21=1,BK21,BM21)))),"")</f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3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745</v>
      </c>
      <c r="U22" s="102">
        <v>6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-6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36" t="s">
        <v>38</v>
      </c>
      <c r="BT22" s="104" t="s">
        <v>757</v>
      </c>
      <c r="BU22" s="103">
        <v>6</v>
      </c>
      <c r="BV22" s="104" t="str">
        <f t="shared" si="13"/>
        <v>Lukáš Jalový</v>
      </c>
      <c r="BW22" s="102">
        <f t="shared" si="14"/>
        <v>6</v>
      </c>
    </row>
    <row r="23" spans="1:75" ht="15" customHeight="1" thickTop="1" thickBot="1" x14ac:dyDescent="0.25">
      <c r="A23" s="348"/>
      <c r="B23" s="349"/>
      <c r="C23" s="349"/>
      <c r="D23" s="34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82" t="s">
        <v>13</v>
      </c>
      <c r="I23" s="382"/>
      <c r="J23" s="382"/>
      <c r="K23" s="382"/>
      <c r="M23" s="348"/>
      <c r="N23" s="349"/>
      <c r="O23" s="349"/>
      <c r="P23" s="34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36"/>
      <c r="BT23" s="104" t="s">
        <v>955</v>
      </c>
      <c r="BU23" s="103">
        <v>4</v>
      </c>
      <c r="BV23" s="104" t="str">
        <f t="shared" si="13"/>
        <v>Tomáš Brom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1" t="str">
        <f ca="1">IFERROR(IF(VLOOKUP(A23,OFFSET($AG$2,,,COUNTIF($AG$2:$AG$50,"?*"),23),2,FALSE)&lt;&gt;0,YEAR(VLOOKUP(A23,OFFSET($AG$2,,,COUNTIF($AG$2:$AG$50,"?*"),23),2,FALSE)),""),"")</f>
        <v/>
      </c>
      <c r="C24" s="342"/>
      <c r="D24" s="117" t="str">
        <f ca="1">IFERROR(VLOOKUP(A23,OFFSET($AG$2,,,COUNTIF($AG$2:$AG$50,"?*"),23),15,FALSE),"")</f>
        <v/>
      </c>
      <c r="E24" s="343" t="str">
        <f ca="1">IFERROR(VLOOKUP(A23,OFFSET($AG$2,,,COUNTIF($AG$2:$AG$50,"?*"),23),16,FALSE),"")</f>
        <v/>
      </c>
      <c r="F24" s="344"/>
      <c r="M24" s="4" t="str">
        <f ca="1">IFERROR(IF(VLOOKUP(M23,OFFSET($AG$2,,,COUNTIF($AG$2:$AG$50,"?*"),23),10,FALSE)&lt;&gt;0,VLOOKUP(M23,OFFSET($AG$2,,,COUNTIF($AG$2:$AG$50,"?*"),23),10,FALSE),""),"")</f>
        <v/>
      </c>
      <c r="N24" s="341" t="str">
        <f ca="1">IFERROR(IF(VLOOKUP(M23,OFFSET($AG$2,,,COUNTIF($AG$2:$AG$50,"?*"),23),2,FALSE)&lt;&gt;0,YEAR(VLOOKUP(M23,OFFSET($AG$2,,,COUNTIF($AG$2:$AG$50,"?*"),23),2,FALSE)),""),"")</f>
        <v/>
      </c>
      <c r="O24" s="342"/>
      <c r="P24" s="117" t="str">
        <f ca="1">IFERROR(VLOOKUP(M23,OFFSET($AG$2,,,COUNTIF($AG$2:$AG$50,"?*"),23),15,FALSE),"")</f>
        <v/>
      </c>
      <c r="Q24" s="343" t="str">
        <f ca="1">IFERROR(VLOOKUP(M23,OFFSET($AG$2,,,COUNTIF($AG$2:$AG$50,"?*"),23),16,FALSE),"")</f>
        <v/>
      </c>
      <c r="R24" s="344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36"/>
      <c r="BT24" s="104" t="s">
        <v>1239</v>
      </c>
      <c r="BU24" s="103">
        <v>3</v>
      </c>
      <c r="BV24" s="104" t="str">
        <f t="shared" si="13"/>
        <v>David Sládeček</v>
      </c>
      <c r="BW24" s="102">
        <f t="shared" si="14"/>
        <v>3</v>
      </c>
    </row>
    <row r="25" spans="1:75" ht="15" customHeight="1" thickTop="1" thickBot="1" x14ac:dyDescent="0.25">
      <c r="A25" s="377" t="str">
        <f ca="1">IFERROR(VLOOKUP(A23,OFFSET($AG$2,,,COUNTIF($AG$2:$AG$50,"?*"),23),18,FALSE),"")</f>
        <v/>
      </c>
      <c r="B25" s="378"/>
      <c r="C25" s="378"/>
      <c r="D25" s="379" t="str">
        <f ca="1">IFERROR(VLOOKUP(A23,OFFSET($AG$2,,,COUNTIF($AG$2:$AG$50,"?*"),23),19,FALSE),"")</f>
        <v/>
      </c>
      <c r="E25" s="379"/>
      <c r="F25" s="380"/>
      <c r="G25" s="348"/>
      <c r="H25" s="349"/>
      <c r="I25" s="349"/>
      <c r="J25" s="34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7" t="str">
        <f ca="1">IFERROR(VLOOKUP(M23,OFFSET($AG$2,,,COUNTIF($AG$2:$AG$50,"?*"),23),18,FALSE),"")</f>
        <v/>
      </c>
      <c r="N25" s="378"/>
      <c r="O25" s="378"/>
      <c r="P25" s="379" t="str">
        <f ca="1">IFERROR(VLOOKUP(M23,OFFSET($AG$2,,,COUNTIF($AG$2:$AG$50,"?*"),23),19,FALSE),"")</f>
        <v/>
      </c>
      <c r="Q25" s="379"/>
      <c r="R25" s="380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36"/>
      <c r="BT25" s="104" t="s">
        <v>869</v>
      </c>
      <c r="BU25" s="103">
        <v>3</v>
      </c>
      <c r="BV25" s="104" t="str">
        <f t="shared" si="13"/>
        <v>Lukáš Vlach</v>
      </c>
      <c r="BW25" s="102">
        <f t="shared" si="14"/>
        <v>3</v>
      </c>
    </row>
    <row r="26" spans="1:75" ht="15" customHeight="1" thickBot="1" x14ac:dyDescent="0.25">
      <c r="A26" s="365" t="str">
        <f ca="1">IFERROR(IF(VLOOKUP(A23,OFFSET($AG$2,,,COUNTIF($AG$2:$AG$50,"?*"),23),13,FALSE)&lt;&gt;0,VLOOKUP(A23,OFFSET($AG$2,,,COUNTIF($AG$2:$AG$50,"?*"),23),13,FALSE),"?"),"")</f>
        <v/>
      </c>
      <c r="B26" s="366"/>
      <c r="C26" s="367"/>
      <c r="D26" s="368" t="str">
        <f ca="1">IFERROR(IF(VLOOKUP(A23,OFFSET($AG$2,,,COUNTIF($AG$2:$AG$50,"?*"),23),14,FALSE)&lt;&gt;0,VLOOKUP(A23,OFFSET($AG$2,,,COUNTIF($AG$2:$AG$50,"?*"),23),14,FALSE),"?"),"")</f>
        <v/>
      </c>
      <c r="E26" s="36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1" t="str">
        <f ca="1">IFERROR(IF(VLOOKUP(G25,OFFSET($AG$2,,,COUNTIF($AG$2:$AG$50,"?*"),23),2,FALSE)&lt;&gt;0,YEAR(VLOOKUP(G25,OFFSET($AG$2,,,COUNTIF($AG$2:$AG$50,"?*"),23),2,FALSE)),""),"")</f>
        <v/>
      </c>
      <c r="I26" s="342"/>
      <c r="J26" s="117" t="str">
        <f ca="1">IFERROR(VLOOKUP(G25,OFFSET($AG$2,,,COUNTIF($AG$2:$AG$50,"?*"),23),15,FALSE),"")</f>
        <v/>
      </c>
      <c r="K26" s="343" t="str">
        <f ca="1">IFERROR(VLOOKUP(G25,OFFSET($AG$2,,,COUNTIF($AG$2:$AG$50,"?*"),23),16,FALSE),"")</f>
        <v/>
      </c>
      <c r="L26" s="344"/>
      <c r="M26" s="365" t="str">
        <f ca="1">IFERROR(IF(VLOOKUP(M23,OFFSET($AG$2,,,COUNTIF($AG$2:$AG$50,"?*"),23),13,FALSE)&lt;&gt;0,VLOOKUP(M23,OFFSET($AG$2,,,COUNTIF($AG$2:$AG$50,"?*"),23),13,FALSE),"?"),"")</f>
        <v/>
      </c>
      <c r="N26" s="366"/>
      <c r="O26" s="367"/>
      <c r="P26" s="368" t="str">
        <f ca="1">IFERROR(IF(VLOOKUP(M23,OFFSET($AG$2,,,COUNTIF($AG$2:$AG$50,"?*"),23),14,FALSE)&lt;&gt;0,VLOOKUP(M23,OFFSET($AG$2,,,COUNTIF($AG$2:$AG$50,"?*"),23),14,FALSE),"?"),"")</f>
        <v/>
      </c>
      <c r="Q26" s="369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36"/>
      <c r="BT26" s="104" t="s">
        <v>958</v>
      </c>
      <c r="BU26" s="103">
        <v>2</v>
      </c>
      <c r="BV26" s="104" t="str">
        <f t="shared" si="13"/>
        <v>Jiří Juhaňák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77" t="str">
        <f ca="1">IFERROR(VLOOKUP(G25,OFFSET($AG$2,,,COUNTIF($AG$2:$AG$50,"?*"),23),18,FALSE),"")</f>
        <v/>
      </c>
      <c r="H27" s="378"/>
      <c r="I27" s="378"/>
      <c r="J27" s="379" t="str">
        <f ca="1">IFERROR(VLOOKUP(G25,OFFSET($AG$2,,,COUNTIF($AG$2:$AG$50,"?*"),23),19,FALSE),"")</f>
        <v/>
      </c>
      <c r="K27" s="379"/>
      <c r="L27" s="38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36" t="s">
        <v>39</v>
      </c>
      <c r="BT27" s="104" t="s">
        <v>844</v>
      </c>
      <c r="BU27" s="103">
        <v>8</v>
      </c>
      <c r="BV27" s="104" t="str">
        <f t="shared" si="13"/>
        <v>René Slezák</v>
      </c>
      <c r="BW27" s="102">
        <f t="shared" si="14"/>
        <v>8</v>
      </c>
    </row>
    <row r="28" spans="1:75" ht="15" customHeight="1" thickTop="1" thickBot="1" x14ac:dyDescent="0.25">
      <c r="A28" s="348"/>
      <c r="B28" s="349"/>
      <c r="C28" s="349"/>
      <c r="D28" s="34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5" t="str">
        <f ca="1">IFERROR(IF(VLOOKUP(G25,OFFSET($AG$2,,,COUNTIF($AG$2:$AG$50,"?*"),23),13,FALSE)&lt;&gt;0,VLOOKUP(G25,OFFSET($AG$2,,,COUNTIF($AG$2:$AG$50,"?*"),23),13,FALSE),"?"),"")</f>
        <v/>
      </c>
      <c r="H28" s="366"/>
      <c r="I28" s="367"/>
      <c r="J28" s="368" t="str">
        <f ca="1">IFERROR(IF(VLOOKUP(G25,OFFSET($AG$2,,,COUNTIF($AG$2:$AG$50,"?*"),23),14,FALSE)&lt;&gt;0,VLOOKUP(G25,OFFSET($AG$2,,,COUNTIF($AG$2:$AG$50,"?*"),23),14,FALSE),"?"),"")</f>
        <v/>
      </c>
      <c r="K28" s="369"/>
      <c r="L28" s="7" t="str">
        <f ca="1">IFERROR(IF(VLOOKUP(G25,OFFSET($AG$2,,,COUNTIF($AG$2:$AG$50,"?*"),23),7,FALSE)&lt;&gt;0,VLOOKUP(G25,OFFSET($AG$2,,,COUNTIF($AG$2:$AG$50,"?*"),23),7,FALSE),"?"),"")</f>
        <v/>
      </c>
      <c r="M28" s="348"/>
      <c r="N28" s="349"/>
      <c r="O28" s="349"/>
      <c r="P28" s="34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36"/>
      <c r="BT28" s="104" t="s">
        <v>959</v>
      </c>
      <c r="BU28" s="103">
        <v>7</v>
      </c>
      <c r="BV28" s="104" t="str">
        <f t="shared" si="13"/>
        <v>Lukáš Lhota</v>
      </c>
      <c r="BW28" s="102">
        <f t="shared" si="14"/>
        <v>7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1" t="str">
        <f ca="1">IFERROR(IF(VLOOKUP(A28,OFFSET($AG$2,,,COUNTIF($AG$2:$AG$50,"?*"),23),2,FALSE)&lt;&gt;0,YEAR(VLOOKUP(A28,OFFSET($AG$2,,,COUNTIF($AG$2:$AG$50,"?*"),23),2,FALSE)),""),"")</f>
        <v/>
      </c>
      <c r="C29" s="342"/>
      <c r="D29" s="117" t="str">
        <f ca="1">IFERROR(VLOOKUP(A28,OFFSET($AG$2,,,COUNTIF($AG$2:$AG$50,"?*"),23),15,FALSE),"")</f>
        <v/>
      </c>
      <c r="E29" s="343" t="str">
        <f ca="1">IFERROR(VLOOKUP(A28,OFFSET($AG$2,,,COUNTIF($AG$2:$AG$50,"?*"),23),16,FALSE),"")</f>
        <v/>
      </c>
      <c r="F29" s="344"/>
      <c r="M29" s="4" t="str">
        <f ca="1">IFERROR(IF(VLOOKUP(M28,OFFSET($AG$2,,,COUNTIF($AG$2:$AG$50,"?*"),23),10,FALSE)&lt;&gt;0,VLOOKUP(M28,OFFSET($AG$2,,,COUNTIF($AG$2:$AG$50,"?*"),23),10,FALSE),""),"")</f>
        <v/>
      </c>
      <c r="N29" s="341" t="str">
        <f ca="1">IFERROR(IF(VLOOKUP(M28,OFFSET($AG$2,,,COUNTIF($AG$2:$AG$50,"?*"),23),2,FALSE)&lt;&gt;0,YEAR(VLOOKUP(M28,OFFSET($AG$2,,,COUNTIF($AG$2:$AG$50,"?*"),23),2,FALSE)),""),"")</f>
        <v/>
      </c>
      <c r="O29" s="342"/>
      <c r="P29" s="117" t="str">
        <f ca="1">IFERROR(VLOOKUP(M28,OFFSET($AG$2,,,COUNTIF($AG$2:$AG$50,"?*"),23),15,FALSE),"")</f>
        <v/>
      </c>
      <c r="Q29" s="343" t="str">
        <f ca="1">IFERROR(VLOOKUP(M28,OFFSET($AG$2,,,COUNTIF($AG$2:$AG$50,"?*"),23),16,FALSE),"")</f>
        <v/>
      </c>
      <c r="R29" s="344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36"/>
      <c r="BT29" s="104" t="s">
        <v>960</v>
      </c>
      <c r="BU29" s="103">
        <v>4</v>
      </c>
      <c r="BV29" s="104" t="str">
        <f t="shared" si="13"/>
        <v>Matěj Hronek</v>
      </c>
      <c r="BW29" s="102">
        <f t="shared" si="14"/>
        <v>4</v>
      </c>
    </row>
    <row r="30" spans="1:75" ht="15" customHeight="1" x14ac:dyDescent="0.2">
      <c r="A30" s="377" t="str">
        <f ca="1">IFERROR(VLOOKUP(A28,OFFSET($AG$2,,,COUNTIF($AG$2:$AG$50,"?*"),23),18,FALSE),"")</f>
        <v/>
      </c>
      <c r="B30" s="378"/>
      <c r="C30" s="378"/>
      <c r="D30" s="379" t="str">
        <f ca="1">IFERROR(VLOOKUP(A28,OFFSET($AG$2,,,COUNTIF($AG$2:$AG$50,"?*"),23),19,FALSE),"")</f>
        <v/>
      </c>
      <c r="E30" s="379"/>
      <c r="F30" s="380"/>
      <c r="H30" s="381" t="str">
        <f>H$8</f>
        <v>HAT</v>
      </c>
      <c r="I30" s="381"/>
      <c r="J30" s="381"/>
      <c r="K30" s="381"/>
      <c r="M30" s="377" t="str">
        <f ca="1">IFERROR(VLOOKUP(M28,OFFSET($AG$2,,,COUNTIF($AG$2:$AG$50,"?*"),23),18,FALSE),"")</f>
        <v/>
      </c>
      <c r="N30" s="378"/>
      <c r="O30" s="378"/>
      <c r="P30" s="379" t="str">
        <f ca="1">IFERROR(VLOOKUP(M28,OFFSET($AG$2,,,COUNTIF($AG$2:$AG$50,"?*"),23),19,FALSE),"")</f>
        <v/>
      </c>
      <c r="Q30" s="379"/>
      <c r="R30" s="38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36"/>
      <c r="BT30" s="104" t="s">
        <v>957</v>
      </c>
      <c r="BU30" s="103">
        <v>2</v>
      </c>
      <c r="BV30" s="104" t="str">
        <f t="shared" si="13"/>
        <v>David Sládeček</v>
      </c>
      <c r="BW30" s="102">
        <f t="shared" si="14"/>
        <v>2</v>
      </c>
    </row>
    <row r="31" spans="1:75" ht="15" customHeight="1" thickBot="1" x14ac:dyDescent="0.25">
      <c r="A31" s="365" t="str">
        <f ca="1">IFERROR(IF(VLOOKUP(A28,OFFSET($AG$2,,,COUNTIF($AG$2:$AG$50,"?*"),23),13,FALSE)&lt;&gt;0,VLOOKUP(A28,OFFSET($AG$2,,,COUNTIF($AG$2:$AG$50,"?*"),23),13,FALSE),"?"),"")</f>
        <v/>
      </c>
      <c r="B31" s="366"/>
      <c r="C31" s="367"/>
      <c r="D31" s="368" t="str">
        <f ca="1">IFERROR(IF(VLOOKUP(A28,OFFSET($AG$2,,,COUNTIF($AG$2:$AG$50,"?*"),23),14,FALSE)&lt;&gt;0,VLOOKUP(A28,OFFSET($AG$2,,,COUNTIF($AG$2:$AG$50,"?*"),23),14,FALSE),"?"),"")</f>
        <v/>
      </c>
      <c r="E31" s="369"/>
      <c r="F31" s="7" t="str">
        <f ca="1">IFERROR(IF(VLOOKUP(A28,OFFSET($AG$2,,,COUNTIF($AG$2:$AG$50,"?*"),23),7,FALSE)&lt;&gt;0,VLOOKUP(A28,OFFSET($AG$2,,,COUNTIF($AG$2:$AG$50,"?*"),23),7,FALSE),"?"),"")</f>
        <v/>
      </c>
      <c r="H31" s="381"/>
      <c r="I31" s="381"/>
      <c r="J31" s="381"/>
      <c r="K31" s="381"/>
      <c r="M31" s="365" t="str">
        <f ca="1">IFERROR(IF(VLOOKUP(M28,OFFSET($AG$2,,,COUNTIF($AG$2:$AG$50,"?*"),23),13,FALSE)&lt;&gt;0,VLOOKUP(M28,OFFSET($AG$2,,,COUNTIF($AG$2:$AG$50,"?*"),23),13,FALSE),"?"),"")</f>
        <v/>
      </c>
      <c r="N31" s="366"/>
      <c r="O31" s="367"/>
      <c r="P31" s="368" t="str">
        <f ca="1">IFERROR(IF(VLOOKUP(M28,OFFSET($AG$2,,,COUNTIF($AG$2:$AG$50,"?*"),23),14,FALSE)&lt;&gt;0,VLOOKUP(M28,OFFSET($AG$2,,,COUNTIF($AG$2:$AG$50,"?*"),23),14,FALSE),"?"),"")</f>
        <v/>
      </c>
      <c r="Q31" s="36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6"/>
      <c r="BT31" s="104" t="s">
        <v>1240</v>
      </c>
      <c r="BU31" s="103">
        <v>2</v>
      </c>
      <c r="BV31" s="104" t="str">
        <f t="shared" si="13"/>
        <v>Jakub Procházka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8"/>
      <c r="B34" s="349"/>
      <c r="C34" s="349"/>
      <c r="D34" s="34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6" t="s">
        <v>16</v>
      </c>
      <c r="J34" s="348"/>
      <c r="K34" s="349"/>
      <c r="L34" s="349"/>
      <c r="M34" s="349"/>
      <c r="N34" s="349"/>
      <c r="O34" s="349"/>
      <c r="P34" s="34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1" t="str">
        <f ca="1">IFERROR(IF(VLOOKUP(A34,OFFSET($AG$2,,,COUNTIF($AG$2:$AG$50,"?*"),23),2,FALSE)&lt;&gt;0,YEAR(VLOOKUP(A34,OFFSET($AG$2,,,COUNTIF($AG$2:$AG$50,"?*"),23),2,FALSE)),""),"")</f>
        <v/>
      </c>
      <c r="C35" s="342"/>
      <c r="D35" s="117" t="str">
        <f ca="1">IFERROR(VLOOKUP(A34,OFFSET($AG$2,,,COUNTIF($AG$2:$AG$50,"?*"),23),15,FALSE),"")</f>
        <v/>
      </c>
      <c r="E35" s="343" t="str">
        <f ca="1">IFERROR(VLOOKUP(A34,OFFSET($AG$2,,,COUNTIF($AG$2:$AG$50,"?*"),23),16,FALSE),"")</f>
        <v/>
      </c>
      <c r="F35" s="344"/>
      <c r="H35" s="376"/>
      <c r="J35" s="4" t="str">
        <f ca="1">IFERROR(IF(VLOOKUP(J34,OFFSET($AG$2,,,COUNTIF($AG$2:$AG$50,"?*"),23),10,FALSE)&lt;&gt;0,VLOOKUP(J34,OFFSET($AG$2,,,COUNTIF($AG$2:$AG$50,"?*"),23),10,FALSE),""),"")</f>
        <v/>
      </c>
      <c r="K35" s="342" t="str">
        <f ca="1">IFERROR(IF(VLOOKUP(J34,OFFSET($AG$2,,,COUNTIF($AG$2:$AG$50,"?*"),23),2,FALSE)&lt;&gt;0,YEAR(VLOOKUP(J34,OFFSET($AG$2,,,COUNTIF($AG$2:$AG$50,"?*"),23),2,FALSE)),""),"")</f>
        <v/>
      </c>
      <c r="L35" s="350"/>
      <c r="M35" s="118" t="str">
        <f ca="1">IFERROR(VLOOKUP(J34,OFFSET($AG$2,,,COUNTIF($AG$2:$AG$50,"?*"),23),15,FALSE),"")</f>
        <v/>
      </c>
      <c r="N35" s="350" t="str">
        <f ca="1">IFERROR(VLOOKUP(J34,OFFSET($AG$2,,,COUNTIF($AG$2:$AG$50,"?*"),23),16,FALSE),"")</f>
        <v/>
      </c>
      <c r="O35" s="350"/>
      <c r="P35" s="350" t="str">
        <f ca="1">IFERROR(VLOOKUP(J34,OFFSET($AG$2,,,COUNTIF($AG$2:$AG$50,"?*"),23),18,FALSE),"")</f>
        <v/>
      </c>
      <c r="Q35" s="350"/>
      <c r="R35" s="35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5" t="str">
        <f ca="1">IFERROR(VLOOKUP(A34,OFFSET($AG$2,,,COUNTIF($AG$2:$AG$50,"?*"),23),18,FALSE),"")</f>
        <v/>
      </c>
      <c r="C36" s="345"/>
      <c r="D36" s="346" t="str">
        <f ca="1">IFERROR(VLOOKUP(A34,OFFSET($S$45,,,COUNTIF($S$45:$S$50,"?*"),14),5,FALSE),"")</f>
        <v/>
      </c>
      <c r="E36" s="347"/>
      <c r="F36" s="17" t="str">
        <f ca="1">IFERROR(VLOOKUP(A34,OFFSET($S$45,,,COUNTIF($S$45:$S$50,"?*"),14),14,FALSE),"")</f>
        <v/>
      </c>
      <c r="H36" s="376"/>
      <c r="J36" s="18" t="str">
        <f ca="1">IFERROR(IF(VLOOKUP(J34,OFFSET($AG$2,,,COUNTIF($AG$2:$AG$50,"?*"),23),7,FALSE)&lt;&gt;0,VLOOKUP(J34,OFFSET($AG$2,,,COUNTIF($AG$2:$AG$50,"?*"),23),7,FALSE),"?"),"")</f>
        <v/>
      </c>
      <c r="K36" s="352" t="str">
        <f ca="1">IFERROR(VLOOKUP(J34,OFFSET($AG$2,,,COUNTIF($AG$2:$AG$50,"?*"),23),19,FALSE),"")</f>
        <v/>
      </c>
      <c r="L36" s="352"/>
      <c r="M36" s="352"/>
      <c r="N36" s="353" t="str">
        <f ca="1">IFERROR(IF(VLOOKUP(J34,OFFSET($AG$2,,,COUNTIF($AG$2:$AG$50,"?*"),23),13,FALSE)&lt;&gt;0,VLOOKUP(J34,OFFSET($AG$2,,,COUNTIF($AG$2:$AG$50,"?*"),23),13,FALSE),"?"),"")</f>
        <v/>
      </c>
      <c r="O36" s="353"/>
      <c r="P36" s="353"/>
      <c r="Q36" s="352" t="str">
        <f ca="1">IFERROR(IF(VLOOKUP(J34,OFFSET($AG$2,,,COUNTIF($AG$2:$AG$50,"?*"),23),14,FALSE)&lt;&gt;0,VLOOKUP(J34,OFFSET($AG$2,,,COUNTIF($AG$2:$AG$50,"?*"),23),14,FALSE),"?"),"")</f>
        <v/>
      </c>
      <c r="R36" s="35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0" t="str">
        <f ca="1">IFERROR(VLOOKUP(A34,OFFSET($S$45,,,COUNTIF($S$45:$S$50,"?*"),14),3,FALSE),"")</f>
        <v/>
      </c>
      <c r="B37" s="371"/>
      <c r="C37" s="372" t="str">
        <f ca="1">IFERROR(VLOOKUP(A34,OFFSET($S$45,,,COUNTIF($S$45:$S$50,"?*"),14),13,FALSE),"")</f>
        <v/>
      </c>
      <c r="D37" s="373"/>
      <c r="E37" s="374" t="str">
        <f ca="1">IFERROR(VLOOKUP(A34,OFFSET($AG$2,,,COUNTIF($AG$2:$AG$50,"?*"),23),19,FALSE),"")</f>
        <v/>
      </c>
      <c r="F37" s="375"/>
      <c r="H37" s="37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5" t="str">
        <f ca="1">IFERROR(IF(VLOOKUP(A34,OFFSET($AG$2,,,COUNTIF($AG$2:$AG$50,"?*"),23),13,FALSE)&lt;&gt;0,VLOOKUP(A34,OFFSET($AG$2,,,COUNTIF($AG$2:$AG$50,"?*"),23),13,FALSE),"?"),"")</f>
        <v/>
      </c>
      <c r="B38" s="366"/>
      <c r="C38" s="367"/>
      <c r="D38" s="368" t="str">
        <f ca="1">IFERROR(IF(VLOOKUP(A34,OFFSET($AG$2,,,COUNTIF($AG$2:$AG$50,"?*"),23),14,FALSE)&lt;&gt;0,VLOOKUP(A34,OFFSET($AG$2,,,COUNTIF($AG$2:$AG$50,"?*"),23),14,FALSE),"?"),"")</f>
        <v/>
      </c>
      <c r="E38" s="369"/>
      <c r="F38" s="19" t="str">
        <f ca="1">IFERROR(VLOOKUP(A34,OFFSET($S$45,,,COUNTIF($S$45:$S$50,"?*"),14),6,FALSE),"")</f>
        <v/>
      </c>
      <c r="H38" s="376"/>
      <c r="J38" s="348"/>
      <c r="K38" s="349"/>
      <c r="L38" s="349"/>
      <c r="M38" s="349"/>
      <c r="N38" s="349"/>
      <c r="O38" s="349"/>
      <c r="P38" s="34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6"/>
      <c r="J39" s="4" t="str">
        <f ca="1">IFERROR(IF(VLOOKUP(J38,OFFSET($AG$2,,,COUNTIF($AG$2:$AG$50,"?*"),23),10,FALSE)&lt;&gt;0,VLOOKUP(J38,OFFSET($AG$2,,,COUNTIF($AG$2:$AG$50,"?*"),23),10,FALSE),""),"")</f>
        <v/>
      </c>
      <c r="K39" s="342" t="str">
        <f ca="1">IFERROR(IF(VLOOKUP(J38,OFFSET($AG$2,,,COUNTIF($AG$2:$AG$50,"?*"),23),2,FALSE)&lt;&gt;0,YEAR(VLOOKUP(J38,OFFSET($AG$2,,,COUNTIF($AG$2:$AG$50,"?*"),23),2,FALSE)),""),"")</f>
        <v/>
      </c>
      <c r="L39" s="350"/>
      <c r="M39" s="151" t="str">
        <f ca="1">IFERROR(VLOOKUP(J38,OFFSET($AG$2,,,COUNTIF($AG$2:$AG$50,"?*"),23),15,FALSE),"")</f>
        <v/>
      </c>
      <c r="N39" s="350" t="str">
        <f ca="1">IFERROR(VLOOKUP(J38,OFFSET($AG$2,,,COUNTIF($AG$2:$AG$50,"?*"),23),16,FALSE),"")</f>
        <v/>
      </c>
      <c r="O39" s="350"/>
      <c r="P39" s="350" t="str">
        <f ca="1">IFERROR(VLOOKUP(J38,OFFSET($AG$2,,,COUNTIF($AG$2:$AG$50,"?*"),23),18,FALSE),"")</f>
        <v/>
      </c>
      <c r="Q39" s="350"/>
      <c r="R39" s="35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8"/>
      <c r="B40" s="349"/>
      <c r="C40" s="349"/>
      <c r="D40" s="34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6"/>
      <c r="J40" s="18" t="str">
        <f ca="1">IFERROR(IF(VLOOKUP(J38,OFFSET($AG$2,,,COUNTIF($AG$2:$AG$50,"?*"),23),7,FALSE)&lt;&gt;0,VLOOKUP(J38,OFFSET($AG$2,,,COUNTIF($AG$2:$AG$50,"?*"),23),7,FALSE),"?"),"")</f>
        <v/>
      </c>
      <c r="K40" s="352" t="str">
        <f ca="1">IFERROR(VLOOKUP(J38,OFFSET($AG$2,,,COUNTIF($AG$2:$AG$50,"?*"),23),19,FALSE),"")</f>
        <v/>
      </c>
      <c r="L40" s="352"/>
      <c r="M40" s="352"/>
      <c r="N40" s="353" t="str">
        <f ca="1">IFERROR(IF(VLOOKUP(J38,OFFSET($AG$2,,,COUNTIF($AG$2:$AG$50,"?*"),23),13,FALSE)&lt;&gt;0,VLOOKUP(J38,OFFSET($AG$2,,,COUNTIF($AG$2:$AG$50,"?*"),23),13,FALSE),"?"),"")</f>
        <v/>
      </c>
      <c r="O40" s="353"/>
      <c r="P40" s="353"/>
      <c r="Q40" s="352" t="str">
        <f ca="1">IFERROR(IF(VLOOKUP(J38,OFFSET($AG$2,,,COUNTIF($AG$2:$AG$50,"?*"),23),14,FALSE)&lt;&gt;0,VLOOKUP(J38,OFFSET($AG$2,,,COUNTIF($AG$2:$AG$50,"?*"),23),14,FALSE),"?"),"")</f>
        <v/>
      </c>
      <c r="R40" s="35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1" t="str">
        <f ca="1">IFERROR(IF(VLOOKUP(A40,OFFSET($AG$2,,,COUNTIF($AG$2:$AG$50,"?*"),23),2,FALSE)&lt;&gt;0,YEAR(VLOOKUP(A40,OFFSET($AG$2,,,COUNTIF($AG$2:$AG$50,"?*"),23),2,FALSE)),""),"")</f>
        <v/>
      </c>
      <c r="C41" s="342"/>
      <c r="D41" s="117" t="str">
        <f ca="1">IFERROR(VLOOKUP(A40,OFFSET($AG$2,,,COUNTIF($AG$2:$AG$50,"?*"),23),15,FALSE),"")</f>
        <v/>
      </c>
      <c r="E41" s="343" t="str">
        <f ca="1">IFERROR(VLOOKUP(A40,OFFSET($AG$2,,,COUNTIF($AG$2:$AG$50,"?*"),23),16,FALSE),"")</f>
        <v/>
      </c>
      <c r="F41" s="344"/>
      <c r="H41" s="37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5" t="str">
        <f ca="1">IFERROR(VLOOKUP(A40,OFFSET($AG$2,,,COUNTIF($AG$2:$AG$50,"?*"),23),18,FALSE),"")</f>
        <v/>
      </c>
      <c r="C42" s="345"/>
      <c r="D42" s="346" t="str">
        <f ca="1">IFERROR(VLOOKUP(A40,OFFSET($S$45,,,COUNTIF($S$45:$S$50,"?*"),14),5,FALSE),"")</f>
        <v/>
      </c>
      <c r="E42" s="347"/>
      <c r="F42" s="17" t="str">
        <f ca="1">IFERROR(VLOOKUP(A40,OFFSET($S$45,,,COUNTIF($S$45:$S$50,"?*"),14),14,FALSE),"")</f>
        <v/>
      </c>
      <c r="H42" s="376"/>
      <c r="J42" s="348"/>
      <c r="K42" s="349"/>
      <c r="L42" s="349"/>
      <c r="M42" s="349"/>
      <c r="N42" s="349"/>
      <c r="O42" s="349"/>
      <c r="P42" s="34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0" t="str">
        <f ca="1">IFERROR(VLOOKUP(A40,OFFSET($S$45,,,COUNTIF($S$45:$S$50,"?*"),14),3,FALSE),"")</f>
        <v/>
      </c>
      <c r="B43" s="371"/>
      <c r="C43" s="372" t="str">
        <f ca="1">IFERROR(VLOOKUP(A40,OFFSET($S$45,,,COUNTIF($S$45:$S$50,"?*"),14),13,FALSE),"")</f>
        <v/>
      </c>
      <c r="D43" s="373"/>
      <c r="E43" s="374" t="str">
        <f ca="1">IFERROR(VLOOKUP(A40,OFFSET($AG$2,,,COUNTIF($AG$2:$AG$50,"?*"),23),19,FALSE),"")</f>
        <v/>
      </c>
      <c r="F43" s="375"/>
      <c r="H43" s="376"/>
      <c r="J43" s="4" t="str">
        <f ca="1">IFERROR(IF(VLOOKUP(J42,OFFSET($AG$2,,,COUNTIF($AG$2:$AG$50,"?*"),23),10,FALSE)&lt;&gt;0,VLOOKUP(J42,OFFSET($AG$2,,,COUNTIF($AG$2:$AG$50,"?*"),23),10,FALSE),""),"")</f>
        <v/>
      </c>
      <c r="K43" s="342" t="str">
        <f ca="1">IFERROR(IF(VLOOKUP(J42,OFFSET($AG$2,,,COUNTIF($AG$2:$AG$50,"?*"),23),2,FALSE)&lt;&gt;0,YEAR(VLOOKUP(J42,OFFSET($AG$2,,,COUNTIF($AG$2:$AG$50,"?*"),23),2,FALSE)),""),"")</f>
        <v/>
      </c>
      <c r="L43" s="350"/>
      <c r="M43" s="151" t="str">
        <f ca="1">IFERROR(VLOOKUP(J42,OFFSET($AG$2,,,COUNTIF($AG$2:$AG$50,"?*"),23),15,FALSE),"")</f>
        <v/>
      </c>
      <c r="N43" s="350" t="str">
        <f ca="1">IFERROR(VLOOKUP(J42,OFFSET($AG$2,,,COUNTIF($AG$2:$AG$50,"?*"),23),16,FALSE),"")</f>
        <v/>
      </c>
      <c r="O43" s="350"/>
      <c r="P43" s="350" t="str">
        <f ca="1">IFERROR(VLOOKUP(J42,OFFSET($AG$2,,,COUNTIF($AG$2:$AG$50,"?*"),23),18,FALSE),"")</f>
        <v/>
      </c>
      <c r="Q43" s="350"/>
      <c r="R43" s="351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5" t="str">
        <f ca="1">IFERROR(IF(VLOOKUP(A40,OFFSET($AG$2,,,COUNTIF($AG$2:$AG$50,"?*"),23),13,FALSE)&lt;&gt;0,VLOOKUP(A40,OFFSET($AG$2,,,COUNTIF($AG$2:$AG$50,"?*"),23),13,FALSE),"?"),"")</f>
        <v/>
      </c>
      <c r="B44" s="366"/>
      <c r="C44" s="367"/>
      <c r="D44" s="368" t="str">
        <f ca="1">IFERROR(IF(VLOOKUP(A40,OFFSET($AG$2,,,COUNTIF($AG$2:$AG$50,"?*"),23),14,FALSE)&lt;&gt;0,VLOOKUP(A40,OFFSET($AG$2,,,COUNTIF($AG$2:$AG$50,"?*"),23),14,FALSE),"?"),"")</f>
        <v/>
      </c>
      <c r="E44" s="369"/>
      <c r="F44" s="19" t="str">
        <f ca="1">IFERROR(VLOOKUP(A40,OFFSET($S$45,,,COUNTIF($S$45:$S$50,"?*"),14),6,FALSE),"")</f>
        <v/>
      </c>
      <c r="H44" s="376"/>
      <c r="J44" s="18" t="str">
        <f ca="1">IFERROR(IF(VLOOKUP(J42,OFFSET($AG$2,,,COUNTIF($AG$2:$AG$50,"?*"),23),7,FALSE)&lt;&gt;0,VLOOKUP(J42,OFFSET($AG$2,,,COUNTIF($AG$2:$AG$50,"?*"),23),7,FALSE),"?"),"")</f>
        <v/>
      </c>
      <c r="K44" s="352" t="str">
        <f ca="1">IFERROR(VLOOKUP(J42,OFFSET($AG$2,,,COUNTIF($AG$2:$AG$50,"?*"),23),19,FALSE),"")</f>
        <v/>
      </c>
      <c r="L44" s="352"/>
      <c r="M44" s="352"/>
      <c r="N44" s="353" t="str">
        <f ca="1">IFERROR(IF(VLOOKUP(J42,OFFSET($AG$2,,,COUNTIF($AG$2:$AG$50,"?*"),23),13,FALSE)&lt;&gt;0,VLOOKUP(J42,OFFSET($AG$2,,,COUNTIF($AG$2:$AG$50,"?*"),23),13,FALSE),"?"),"")</f>
        <v/>
      </c>
      <c r="O44" s="353"/>
      <c r="P44" s="353"/>
      <c r="Q44" s="352" t="str">
        <f ca="1">IFERROR(IF(VLOOKUP(J42,OFFSET($AG$2,,,COUNTIF($AG$2:$AG$50,"?*"),23),14,FALSE)&lt;&gt;0,VLOOKUP(J42,OFFSET($AG$2,,,COUNTIF($AG$2:$AG$50,"?*"),23),14,FALSE),"?"),"")</f>
        <v/>
      </c>
      <c r="R44" s="354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739</v>
      </c>
      <c r="T45" s="102">
        <v>3</v>
      </c>
      <c r="U45" s="112">
        <v>129.41999999999999</v>
      </c>
      <c r="V45" s="102">
        <v>0</v>
      </c>
      <c r="W45" s="102">
        <v>16</v>
      </c>
      <c r="X45" s="102">
        <v>0</v>
      </c>
      <c r="Y45" s="102">
        <v>53</v>
      </c>
      <c r="Z45" s="102">
        <v>0</v>
      </c>
      <c r="AA45" s="102">
        <v>3</v>
      </c>
      <c r="AB45" s="102">
        <v>37</v>
      </c>
      <c r="AC45" s="102">
        <v>0</v>
      </c>
      <c r="AD45" s="102">
        <v>0</v>
      </c>
      <c r="AE45" s="112">
        <f>IF(S45&lt;&gt;"",IF(T45&gt;0,W45/(U45/60),0),"")</f>
        <v>7.4177097821047768</v>
      </c>
      <c r="AF45" s="112">
        <f>IF(S45&lt;&gt;"",IF(Y45&gt;0,(AB45/Y45)*100,"-"),"")</f>
        <v>69.811320754716974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750</v>
      </c>
      <c r="T46" s="102">
        <v>3</v>
      </c>
      <c r="U46" s="112">
        <v>171.53</v>
      </c>
      <c r="V46" s="102">
        <v>0</v>
      </c>
      <c r="W46" s="102">
        <v>26</v>
      </c>
      <c r="X46" s="102">
        <v>0</v>
      </c>
      <c r="Y46" s="102">
        <v>70</v>
      </c>
      <c r="Z46" s="102">
        <v>0</v>
      </c>
      <c r="AA46" s="102">
        <v>3</v>
      </c>
      <c r="AB46" s="102">
        <v>44</v>
      </c>
      <c r="AC46" s="102">
        <v>0</v>
      </c>
      <c r="AD46" s="102">
        <v>0</v>
      </c>
      <c r="AE46" s="112">
        <f t="shared" ref="AE46:AE50" si="25">IF(S46&lt;&gt;"",IF(T46&gt;0,W46/(U46/60),0),"")</f>
        <v>9.0946190170815591</v>
      </c>
      <c r="AF46" s="112">
        <f t="shared" ref="AF46:AF50" si="26">IF(S46&lt;&gt;"",IF(Y46&gt;0,(AB46/Y46)*100,"-"),"")</f>
        <v>62.857142857142854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7"/>
      <c r="B47" s="338"/>
      <c r="C47" s="338"/>
      <c r="D47" s="338"/>
      <c r="E47" s="339" t="str">
        <f ca="1">IFERROR(VLOOKUP(A47,OFFSET($BN$2,,,COUNTIF($BN$2:$BN$11,"?*"),5),3,FALSE),"")</f>
        <v/>
      </c>
      <c r="F47" s="339"/>
      <c r="G47" s="339"/>
      <c r="H47" s="339"/>
      <c r="I47" s="340"/>
      <c r="J47" s="337"/>
      <c r="K47" s="338"/>
      <c r="L47" s="338"/>
      <c r="M47" s="338"/>
      <c r="N47" s="339" t="str">
        <f ca="1">IFERROR(VLOOKUP(J47,OFFSET($BN$2,,,COUNTIF($BN$2:$BN$11,"?*"),5),3,FALSE),"")</f>
        <v/>
      </c>
      <c r="O47" s="339"/>
      <c r="P47" s="339"/>
      <c r="Q47" s="339"/>
      <c r="R47" s="340"/>
      <c r="S47" s="111" t="s">
        <v>528</v>
      </c>
      <c r="T47" s="102">
        <v>1</v>
      </c>
      <c r="U47" s="112">
        <v>60</v>
      </c>
      <c r="V47" s="102">
        <v>0</v>
      </c>
      <c r="W47" s="102">
        <v>8</v>
      </c>
      <c r="X47" s="102">
        <v>0</v>
      </c>
      <c r="Y47" s="102">
        <v>29</v>
      </c>
      <c r="Z47" s="102">
        <v>0</v>
      </c>
      <c r="AA47" s="102">
        <v>1</v>
      </c>
      <c r="AB47" s="102">
        <v>21</v>
      </c>
      <c r="AC47" s="102">
        <v>0</v>
      </c>
      <c r="AD47" s="102">
        <v>0</v>
      </c>
      <c r="AE47" s="112">
        <f t="shared" si="25"/>
        <v>8</v>
      </c>
      <c r="AF47" s="112">
        <f t="shared" si="26"/>
        <v>72.41379310344827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5" t="str">
        <f ca="1">IFERROR(VLOOKUP(A47,OFFSET($BN$2,,,COUNTIF($BN$2:$BN$11,"?*"),5),5,FALSE),"")</f>
        <v/>
      </c>
      <c r="B48" s="357" t="str">
        <f ca="1">IFERROR(IF(VLOOKUP(A47,OFFSET($BN$2,,,COUNTIF($BN$2:$BN$11,"?*"),5),4,FALSE)&lt;&gt;0,VLOOKUP(A47,OFFSET($BN$2,,,COUNTIF($BN$2:$BN$11,"?*"),5),4,FALSE),"-"),"")</f>
        <v/>
      </c>
      <c r="C48" s="357"/>
      <c r="D48" s="357"/>
      <c r="E48" s="357"/>
      <c r="F48" s="357"/>
      <c r="G48" s="357"/>
      <c r="H48" s="357"/>
      <c r="I48" s="358"/>
      <c r="J48" s="119" t="str">
        <f ca="1">IFERROR(VLOOKUP(J47,OFFSET($BN$2,,,COUNTIF($BN$2:$BN$11,"?*"),5),5,FALSE),"")</f>
        <v/>
      </c>
      <c r="K48" s="361" t="str">
        <f ca="1">IFERROR(IF(VLOOKUP(J47,OFFSET($BN$2,,,COUNTIF($BN$2:$BN$11,"?*"),5),4,FALSE)&lt;&gt;0,VLOOKUP(J47,OFFSET($BN$2,,,COUNTIF($BN$2:$BN$11,"?*"),5),4,FALSE),"-"),"")</f>
        <v/>
      </c>
      <c r="L48" s="361"/>
      <c r="M48" s="361"/>
      <c r="N48" s="361"/>
      <c r="O48" s="361"/>
      <c r="P48" s="361"/>
      <c r="Q48" s="361"/>
      <c r="R48" s="362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5"/>
      <c r="B49" s="357"/>
      <c r="C49" s="357"/>
      <c r="D49" s="357"/>
      <c r="E49" s="357"/>
      <c r="F49" s="357"/>
      <c r="G49" s="357"/>
      <c r="H49" s="357"/>
      <c r="I49" s="358"/>
      <c r="J49" s="363"/>
      <c r="K49" s="364"/>
      <c r="L49" s="364"/>
      <c r="M49" s="364"/>
      <c r="N49" s="339" t="str">
        <f ca="1">IFERROR(VLOOKUP(J49,OFFSET($BN$2,,,COUNTIF($BN$2:$BN$11,"?*"),5),3,FALSE),"")</f>
        <v/>
      </c>
      <c r="O49" s="339"/>
      <c r="P49" s="339"/>
      <c r="Q49" s="339"/>
      <c r="R49" s="340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6"/>
      <c r="B50" s="359"/>
      <c r="C50" s="359"/>
      <c r="D50" s="359"/>
      <c r="E50" s="359"/>
      <c r="F50" s="359"/>
      <c r="G50" s="359"/>
      <c r="H50" s="359"/>
      <c r="I50" s="360"/>
      <c r="J50" s="119" t="str">
        <f ca="1">IFERROR(VLOOKUP(J49,OFFSET($BN$2,,,COUNTIF($BN$2:$BN$11,"?*"),5),5,FALSE),"")</f>
        <v/>
      </c>
      <c r="K50" s="361" t="str">
        <f ca="1">IFERROR(IF(VLOOKUP(J49,OFFSET($BN$2,,,COUNTIF($BN$2:$BN$11,"?*"),5),4,FALSE)&lt;&gt;0,VLOOKUP(J49,OFFSET($BN$2,,,COUNTIF($BN$2:$BN$11,"?*"),5),4,FALSE),"-"),"")</f>
        <v/>
      </c>
      <c r="L50" s="361"/>
      <c r="M50" s="361"/>
      <c r="N50" s="361"/>
      <c r="O50" s="361"/>
      <c r="P50" s="361"/>
      <c r="Q50" s="361"/>
      <c r="R50" s="362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8"/>
      <c r="B1" s="349"/>
      <c r="C1" s="349"/>
      <c r="D1" s="34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82" t="s">
        <v>1</v>
      </c>
      <c r="I1" s="382"/>
      <c r="J1" s="382"/>
      <c r="K1" s="382"/>
      <c r="M1" s="348"/>
      <c r="N1" s="349"/>
      <c r="O1" s="349"/>
      <c r="P1" s="34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1" t="str">
        <f ca="1">IFERROR(IF(VLOOKUP(A1,OFFSET($AG$2,,,COUNTIF($AG$2:$AG$50,"?*"),23),2,FALSE)&lt;&gt;0,YEAR(VLOOKUP(A1,OFFSET($AG$2,,,COUNTIF($AG$2:$AG$50,"?*"),23),2,FALSE)),""),"")</f>
        <v/>
      </c>
      <c r="C2" s="342"/>
      <c r="D2" s="117" t="str">
        <f ca="1">IFERROR(VLOOKUP(A1,OFFSET($AG$2,,,COUNTIF($AG$2:$AG$50,"?*"),23),15,FALSE),"")</f>
        <v/>
      </c>
      <c r="E2" s="343" t="str">
        <f ca="1">IFERROR(VLOOKUP(A1,OFFSET($AG$2,,,COUNTIF($AG$2:$AG$50,"?*"),23),16,FALSE),"")</f>
        <v/>
      </c>
      <c r="F2" s="344"/>
      <c r="M2" s="4" t="str">
        <f ca="1">IFERROR(IF(VLOOKUP(M1,OFFSET($AG$2,,,COUNTIF($AG$2:$AG$50,"?*"),23),10,FALSE)&lt;&gt;0,VLOOKUP(M1,OFFSET($AG$2,,,COUNTIF($AG$2:$AG$50,"?*"),23),10,FALSE),""),"")</f>
        <v/>
      </c>
      <c r="N2" s="341" t="str">
        <f ca="1">IFERROR(IF(VLOOKUP(M1,OFFSET($AG$2,,,COUNTIF($AG$2:$AG$50,"?*"),23),2,FALSE)&lt;&gt;0,YEAR(VLOOKUP(M1,OFFSET($AG$2,,,COUNTIF($AG$2:$AG$50,"?*"),23),2,FALSE)),""),"")</f>
        <v/>
      </c>
      <c r="O2" s="342"/>
      <c r="P2" s="117" t="str">
        <f ca="1">IFERROR(VLOOKUP(M1,OFFSET($AG$2,,,COUNTIF($AG$2:$AG$50,"?*"),23),15,FALSE),"")</f>
        <v/>
      </c>
      <c r="Q2" s="343" t="str">
        <f ca="1">IFERROR(VLOOKUP(M1,OFFSET($AG$2,,,COUNTIF($AG$2:$AG$50,"?*"),23),16,FALSE),"")</f>
        <v/>
      </c>
      <c r="R2" s="344"/>
      <c r="S2" s="110" t="s">
        <v>274</v>
      </c>
      <c r="T2" s="102" t="s">
        <v>119</v>
      </c>
      <c r="U2" s="102">
        <v>8</v>
      </c>
      <c r="V2" s="102">
        <v>11</v>
      </c>
      <c r="W2" s="102">
        <v>0</v>
      </c>
      <c r="X2" s="102">
        <v>2</v>
      </c>
      <c r="Y2" s="102">
        <v>4</v>
      </c>
      <c r="Z2" s="102">
        <v>15</v>
      </c>
      <c r="AA2" s="102">
        <v>0</v>
      </c>
      <c r="AB2" s="102">
        <v>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283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304</v>
      </c>
      <c r="AT2" s="123">
        <v>2002</v>
      </c>
      <c r="AU2" s="127">
        <f ca="1">IF(AG2&lt;&gt;"",IF(AH2&lt;&gt;"",INT((TODAY()-AH2)/365),"?"),"")</f>
        <v>28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8 OZ, 5 (2+3), +4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216 OZ, 182 (95+87)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320</v>
      </c>
      <c r="BO2" s="122">
        <v>31582</v>
      </c>
      <c r="BP2" s="131" t="s">
        <v>256</v>
      </c>
      <c r="BQ2" s="132" t="s">
        <v>321</v>
      </c>
      <c r="BR2" s="127">
        <f ca="1">IF(BN2&lt;&gt;"",IF(BO2&lt;&gt;"",INT((TODAY()-BO2)/365),"?"),"")</f>
        <v>35</v>
      </c>
      <c r="BS2" s="336" t="s">
        <v>36</v>
      </c>
      <c r="BT2" s="104" t="s">
        <v>812</v>
      </c>
      <c r="BU2" s="103">
        <v>15</v>
      </c>
      <c r="BV2" s="104" t="str">
        <f>IFERROR(RIGHT(BT2,LEN(BT2)-SEARCH(" ",BT2)),"")</f>
        <v>Marek Vávra</v>
      </c>
      <c r="BW2" s="102">
        <f>IF(BT2&lt;&gt;0,_xlfn.NUMBERVALUE(BU2,","),"")</f>
        <v>15</v>
      </c>
      <c r="BX2" s="335" t="s">
        <v>211</v>
      </c>
      <c r="BY2" s="103" t="s">
        <v>966</v>
      </c>
      <c r="BZ2" s="103" t="s">
        <v>907</v>
      </c>
      <c r="CA2" s="115" t="s">
        <v>1242</v>
      </c>
    </row>
    <row r="3" spans="1:79" ht="15" customHeight="1" thickTop="1" thickBot="1" x14ac:dyDescent="0.25">
      <c r="A3" s="377" t="str">
        <f ca="1">IFERROR(VLOOKUP(A1,OFFSET($AG$2,,,COUNTIF($AG$2:$AG$50,"?*"),23),18,FALSE),"")</f>
        <v/>
      </c>
      <c r="B3" s="378"/>
      <c r="C3" s="378"/>
      <c r="D3" s="379" t="str">
        <f ca="1">IFERROR(VLOOKUP(A1,OFFSET($AG$2,,,COUNTIF($AG$2:$AG$50,"?*"),23),19,FALSE),"")</f>
        <v/>
      </c>
      <c r="E3" s="379"/>
      <c r="F3" s="380"/>
      <c r="G3" s="348"/>
      <c r="H3" s="349"/>
      <c r="I3" s="349"/>
      <c r="J3" s="34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7" t="str">
        <f ca="1">IFERROR(VLOOKUP(M1,OFFSET($AG$2,,,COUNTIF($AG$2:$AG$50,"?*"),23),18,FALSE),"")</f>
        <v/>
      </c>
      <c r="N3" s="378"/>
      <c r="O3" s="378"/>
      <c r="P3" s="379" t="str">
        <f ca="1">IFERROR(VLOOKUP(M1,OFFSET($AG$2,,,COUNTIF($AG$2:$AG$50,"?*"),23),19,FALSE),"")</f>
        <v/>
      </c>
      <c r="Q3" s="379"/>
      <c r="R3" s="380"/>
      <c r="S3" s="110" t="s">
        <v>277</v>
      </c>
      <c r="T3" s="102" t="s">
        <v>119</v>
      </c>
      <c r="U3" s="102">
        <v>8</v>
      </c>
      <c r="V3" s="102">
        <v>5</v>
      </c>
      <c r="W3" s="102">
        <v>1</v>
      </c>
      <c r="X3" s="102">
        <v>0</v>
      </c>
      <c r="Y3" s="102">
        <v>10</v>
      </c>
      <c r="Z3" s="102">
        <v>15</v>
      </c>
      <c r="AA3" s="102">
        <v>0</v>
      </c>
      <c r="AB3" s="102">
        <v>6</v>
      </c>
      <c r="AC3" s="102" t="str">
        <f t="shared" ca="1" si="0"/>
        <v>ANO</v>
      </c>
      <c r="AG3" s="121" t="s">
        <v>291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149</v>
      </c>
      <c r="AQ3" s="123">
        <v>182</v>
      </c>
      <c r="AR3" s="123">
        <v>76</v>
      </c>
      <c r="AS3" s="126" t="s">
        <v>70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0 OZ, 0 (0+0)</v>
      </c>
      <c r="AY3" s="129" t="str">
        <f t="shared" ca="1" si="2"/>
        <v>59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322</v>
      </c>
      <c r="BO3" s="122">
        <v>26801</v>
      </c>
      <c r="BP3" s="131" t="s">
        <v>257</v>
      </c>
      <c r="BQ3" s="132" t="s">
        <v>323</v>
      </c>
      <c r="BR3" s="127">
        <f t="shared" ref="BR3:BR11" ca="1" si="12">IF(BN3&lt;&gt;"",IF(BO3&lt;&gt;"",INT((TODAY()-BO3)/365),"?"),"")</f>
        <v>48</v>
      </c>
      <c r="BS3" s="336"/>
      <c r="BT3" s="104" t="s">
        <v>968</v>
      </c>
      <c r="BU3" s="103">
        <v>15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15</v>
      </c>
      <c r="BX3" s="335"/>
      <c r="BY3" s="103" t="s">
        <v>799</v>
      </c>
      <c r="BZ3" s="103" t="s">
        <v>940</v>
      </c>
      <c r="CA3" s="115" t="s">
        <v>1243</v>
      </c>
    </row>
    <row r="4" spans="1:79" ht="15" customHeight="1" thickBot="1" x14ac:dyDescent="0.25">
      <c r="A4" s="365" t="str">
        <f ca="1">IFERROR(IF(VLOOKUP(A1,OFFSET($AG$2,,,COUNTIF($AG$2:$AG$50,"?*"),23),13,FALSE)&lt;&gt;0,VLOOKUP(A1,OFFSET($AG$2,,,COUNTIF($AG$2:$AG$50,"?*"),23),13,FALSE),"?"),"")</f>
        <v/>
      </c>
      <c r="B4" s="366"/>
      <c r="C4" s="367"/>
      <c r="D4" s="368" t="str">
        <f ca="1">IFERROR(IF(VLOOKUP(A1,OFFSET($AG$2,,,COUNTIF($AG$2:$AG$50,"?*"),23),14,FALSE)&lt;&gt;0,VLOOKUP(A1,OFFSET($AG$2,,,COUNTIF($AG$2:$AG$50,"?*"),23),14,FALSE),"?"),"")</f>
        <v/>
      </c>
      <c r="E4" s="36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1" t="str">
        <f ca="1">IFERROR(IF(VLOOKUP(G3,OFFSET($AG$2,,,COUNTIF($AG$2:$AG$50,"?*"),23),2,FALSE)&lt;&gt;0,YEAR(VLOOKUP(G3,OFFSET($AG$2,,,COUNTIF($AG$2:$AG$50,"?*"),23),2,FALSE)),""),"")</f>
        <v/>
      </c>
      <c r="I4" s="342"/>
      <c r="J4" s="117" t="str">
        <f ca="1">IFERROR(VLOOKUP(G3,OFFSET($AG$2,,,COUNTIF($AG$2:$AG$50,"?*"),23),15,FALSE),"")</f>
        <v/>
      </c>
      <c r="K4" s="343" t="str">
        <f ca="1">IFERROR(VLOOKUP(G3,OFFSET($AG$2,,,COUNTIF($AG$2:$AG$50,"?*"),23),16,FALSE),"")</f>
        <v/>
      </c>
      <c r="L4" s="344"/>
      <c r="M4" s="365" t="str">
        <f ca="1">IFERROR(IF(VLOOKUP(M1,OFFSET($AG$2,,,COUNTIF($AG$2:$AG$50,"?*"),23),13,FALSE)&lt;&gt;0,VLOOKUP(M1,OFFSET($AG$2,,,COUNTIF($AG$2:$AG$50,"?*"),23),13,FALSE),"?"),"")</f>
        <v/>
      </c>
      <c r="N4" s="366"/>
      <c r="O4" s="367"/>
      <c r="P4" s="368" t="str">
        <f ca="1">IFERROR(IF(VLOOKUP(M1,OFFSET($AG$2,,,COUNTIF($AG$2:$AG$50,"?*"),23),14,FALSE)&lt;&gt;0,VLOOKUP(M1,OFFSET($AG$2,,,COUNTIF($AG$2:$AG$50,"?*"),23),14,FALSE),"?"),"")</f>
        <v/>
      </c>
      <c r="Q4" s="36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273</v>
      </c>
      <c r="T4" s="102" t="s">
        <v>119</v>
      </c>
      <c r="U4" s="102">
        <v>8</v>
      </c>
      <c r="V4" s="102">
        <v>7</v>
      </c>
      <c r="W4" s="102">
        <v>1</v>
      </c>
      <c r="X4" s="102">
        <v>0</v>
      </c>
      <c r="Y4" s="102">
        <v>6</v>
      </c>
      <c r="Z4" s="102">
        <v>13</v>
      </c>
      <c r="AA4" s="102">
        <v>4</v>
      </c>
      <c r="AB4" s="102">
        <v>6</v>
      </c>
      <c r="AC4" s="102" t="str">
        <f t="shared" ca="1" si="0"/>
        <v>NE</v>
      </c>
      <c r="AG4" s="121" t="s">
        <v>292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149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5 OZ, 0 (0+0), -2 ±</v>
      </c>
      <c r="AY4" s="129" t="str">
        <f t="shared" ca="1" si="2"/>
        <v>14 OZ, 0 (0+0)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302</v>
      </c>
      <c r="BO4" s="122">
        <v>28909</v>
      </c>
      <c r="BP4" s="131" t="s">
        <v>257</v>
      </c>
      <c r="BQ4" s="132" t="s">
        <v>324</v>
      </c>
      <c r="BR4" s="127">
        <f t="shared" ca="1" si="12"/>
        <v>42</v>
      </c>
      <c r="BS4" s="336"/>
      <c r="BT4" s="104" t="s">
        <v>813</v>
      </c>
      <c r="BU4" s="103">
        <v>13</v>
      </c>
      <c r="BV4" s="104" t="str">
        <f t="shared" si="13"/>
        <v>Mikuláš Komárek</v>
      </c>
      <c r="BW4" s="102">
        <f t="shared" si="14"/>
        <v>13</v>
      </c>
      <c r="BX4" s="335"/>
      <c r="BY4" s="103" t="s">
        <v>263</v>
      </c>
      <c r="BZ4" s="103" t="s">
        <v>916</v>
      </c>
      <c r="CA4" s="115" t="s">
        <v>838</v>
      </c>
    </row>
    <row r="5" spans="1:79" ht="15" customHeight="1" thickTop="1" thickBot="1" x14ac:dyDescent="0.25">
      <c r="A5" s="8"/>
      <c r="B5" s="8"/>
      <c r="C5" s="8"/>
      <c r="D5" s="8"/>
      <c r="G5" s="377" t="str">
        <f ca="1">IFERROR(VLOOKUP(G3,OFFSET($AG$2,,,COUNTIF($AG$2:$AG$50,"?*"),23),18,FALSE),"")</f>
        <v/>
      </c>
      <c r="H5" s="378"/>
      <c r="I5" s="378"/>
      <c r="J5" s="379" t="str">
        <f ca="1">IFERROR(VLOOKUP(G3,OFFSET($AG$2,,,COUNTIF($AG$2:$AG$50,"?*"),23),19,FALSE),"")</f>
        <v/>
      </c>
      <c r="K5" s="379"/>
      <c r="L5" s="380"/>
      <c r="S5" s="110" t="s">
        <v>280</v>
      </c>
      <c r="T5" s="102" t="s">
        <v>119</v>
      </c>
      <c r="U5" s="102">
        <v>7</v>
      </c>
      <c r="V5" s="102">
        <v>6</v>
      </c>
      <c r="W5" s="102">
        <v>2</v>
      </c>
      <c r="X5" s="102">
        <v>0</v>
      </c>
      <c r="Y5" s="102">
        <v>7</v>
      </c>
      <c r="Z5" s="102">
        <v>13</v>
      </c>
      <c r="AA5" s="102">
        <v>0</v>
      </c>
      <c r="AB5" s="102">
        <v>8</v>
      </c>
      <c r="AC5" s="102" t="str">
        <f t="shared" ca="1" si="0"/>
        <v>ANO</v>
      </c>
      <c r="AG5" s="121" t="s">
        <v>281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149</v>
      </c>
      <c r="AQ5" s="123">
        <v>183</v>
      </c>
      <c r="AR5" s="123">
        <v>92</v>
      </c>
      <c r="AS5" s="126" t="s">
        <v>305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8 OZ, 8 (6+2), +4 ±</v>
      </c>
      <c r="AY5" s="129" t="str">
        <f t="shared" ca="1" si="2"/>
        <v>54 OZ, 33 (23+10)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325</v>
      </c>
      <c r="BO5" s="122">
        <v>31168</v>
      </c>
      <c r="BP5" s="131" t="s">
        <v>326</v>
      </c>
      <c r="BQ5" s="132" t="s">
        <v>327</v>
      </c>
      <c r="BR5" s="127">
        <f t="shared" ca="1" si="12"/>
        <v>36</v>
      </c>
      <c r="BS5" s="336"/>
      <c r="BT5" s="104" t="s">
        <v>969</v>
      </c>
      <c r="BU5" s="103">
        <v>13</v>
      </c>
      <c r="BV5" s="104" t="str">
        <f t="shared" si="13"/>
        <v>Tom Ondrušek</v>
      </c>
      <c r="BW5" s="102">
        <f t="shared" si="14"/>
        <v>13</v>
      </c>
      <c r="BX5" s="335"/>
      <c r="BY5" s="103" t="s">
        <v>207</v>
      </c>
      <c r="BZ5" s="103" t="s">
        <v>961</v>
      </c>
      <c r="CA5" s="115" t="s">
        <v>839</v>
      </c>
    </row>
    <row r="6" spans="1:79" ht="15" customHeight="1" thickTop="1" thickBot="1" x14ac:dyDescent="0.25">
      <c r="A6" s="348"/>
      <c r="B6" s="349"/>
      <c r="C6" s="349"/>
      <c r="D6" s="34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5" t="str">
        <f ca="1">IFERROR(IF(VLOOKUP(G3,OFFSET($AG$2,,,COUNTIF($AG$2:$AG$50,"?*"),23),13,FALSE)&lt;&gt;0,VLOOKUP(G3,OFFSET($AG$2,,,COUNTIF($AG$2:$AG$50,"?*"),23),13,FALSE),"?"),"")</f>
        <v/>
      </c>
      <c r="H6" s="366"/>
      <c r="I6" s="367"/>
      <c r="J6" s="368" t="str">
        <f ca="1">IFERROR(IF(VLOOKUP(G3,OFFSET($AG$2,,,COUNTIF($AG$2:$AG$50,"?*"),23),14,FALSE)&lt;&gt;0,VLOOKUP(G3,OFFSET($AG$2,,,COUNTIF($AG$2:$AG$50,"?*"),23),14,FALSE),"?"),"")</f>
        <v/>
      </c>
      <c r="K6" s="369"/>
      <c r="L6" s="7" t="str">
        <f ca="1">IFERROR(IF(VLOOKUP(G3,OFFSET($AG$2,,,COUNTIF($AG$2:$AG$50,"?*"),23),7,FALSE)&lt;&gt;0,VLOOKUP(G3,OFFSET($AG$2,,,COUNTIF($AG$2:$AG$50,"?*"),23),7,FALSE),"?"),"")</f>
        <v/>
      </c>
      <c r="M6" s="348"/>
      <c r="N6" s="349"/>
      <c r="O6" s="349"/>
      <c r="P6" s="34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279</v>
      </c>
      <c r="T6" s="102" t="s">
        <v>119</v>
      </c>
      <c r="U6" s="102">
        <v>8</v>
      </c>
      <c r="V6" s="102">
        <v>4</v>
      </c>
      <c r="W6" s="102">
        <v>0</v>
      </c>
      <c r="X6" s="102">
        <v>0</v>
      </c>
      <c r="Y6" s="102">
        <v>5</v>
      </c>
      <c r="Z6" s="102">
        <v>9</v>
      </c>
      <c r="AA6" s="102">
        <v>0</v>
      </c>
      <c r="AB6" s="102">
        <v>6</v>
      </c>
      <c r="AC6" s="102" t="str">
        <f t="shared" ca="1" si="0"/>
        <v>NE</v>
      </c>
      <c r="AG6" s="121" t="s">
        <v>293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306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4 V, 1 P</v>
      </c>
      <c r="AY6" s="129" t="str">
        <f t="shared" ca="1" si="2"/>
        <v>16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328</v>
      </c>
      <c r="BO6" s="122">
        <v>32514</v>
      </c>
      <c r="BP6" s="131" t="s">
        <v>329</v>
      </c>
      <c r="BQ6" s="132" t="s">
        <v>330</v>
      </c>
      <c r="BR6" s="127">
        <f t="shared" ca="1" si="12"/>
        <v>32</v>
      </c>
      <c r="BS6" s="336"/>
      <c r="BT6" s="104" t="s">
        <v>1245</v>
      </c>
      <c r="BU6" s="103">
        <v>9</v>
      </c>
      <c r="BV6" s="104" t="str">
        <f t="shared" si="13"/>
        <v>Martin Skřivánek</v>
      </c>
      <c r="BW6" s="102">
        <f t="shared" si="14"/>
        <v>9</v>
      </c>
      <c r="BX6" s="335"/>
      <c r="BY6" s="103" t="s">
        <v>206</v>
      </c>
      <c r="BZ6" s="103" t="s">
        <v>962</v>
      </c>
      <c r="CA6" s="115" t="s">
        <v>963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1" t="str">
        <f ca="1">IFERROR(IF(VLOOKUP(A6,OFFSET($AG$2,,,COUNTIF($AG$2:$AG$50,"?*"),23),2,FALSE)&lt;&gt;0,YEAR(VLOOKUP(A6,OFFSET($AG$2,,,COUNTIF($AG$2:$AG$50,"?*"),23),2,FALSE)),""),"")</f>
        <v/>
      </c>
      <c r="C7" s="342"/>
      <c r="D7" s="117" t="str">
        <f ca="1">IFERROR(VLOOKUP(A6,OFFSET($AG$2,,,COUNTIF($AG$2:$AG$50,"?*"),23),15,FALSE),"")</f>
        <v/>
      </c>
      <c r="E7" s="343" t="str">
        <f ca="1">IFERROR(VLOOKUP(A6,OFFSET($AG$2,,,COUNTIF($AG$2:$AG$50,"?*"),23),16,FALSE),"")</f>
        <v/>
      </c>
      <c r="F7" s="344"/>
      <c r="M7" s="4" t="str">
        <f ca="1">IFERROR(IF(VLOOKUP(M6,OFFSET($AG$2,,,COUNTIF($AG$2:$AG$50,"?*"),23),10,FALSE)&lt;&gt;0,VLOOKUP(M6,OFFSET($AG$2,,,COUNTIF($AG$2:$AG$50,"?*"),23),10,FALSE),""),"")</f>
        <v/>
      </c>
      <c r="N7" s="341" t="str">
        <f ca="1">IFERROR(IF(VLOOKUP(M6,OFFSET($AG$2,,,COUNTIF($AG$2:$AG$50,"?*"),23),2,FALSE)&lt;&gt;0,YEAR(VLOOKUP(M6,OFFSET($AG$2,,,COUNTIF($AG$2:$AG$50,"?*"),23),2,FALSE)),""),"")</f>
        <v/>
      </c>
      <c r="O7" s="342"/>
      <c r="P7" s="117" t="str">
        <f ca="1">IFERROR(VLOOKUP(M6,OFFSET($AG$2,,,COUNTIF($AG$2:$AG$50,"?*"),23),15,FALSE),"")</f>
        <v/>
      </c>
      <c r="Q7" s="343" t="str">
        <f ca="1">IFERROR(VLOOKUP(M6,OFFSET($AG$2,,,COUNTIF($AG$2:$AG$50,"?*"),23),16,FALSE),"")</f>
        <v/>
      </c>
      <c r="R7" s="344"/>
      <c r="S7" s="110" t="s">
        <v>281</v>
      </c>
      <c r="T7" s="102" t="s">
        <v>119</v>
      </c>
      <c r="U7" s="102">
        <v>8</v>
      </c>
      <c r="V7" s="102">
        <v>6</v>
      </c>
      <c r="W7" s="102">
        <v>0</v>
      </c>
      <c r="X7" s="102">
        <v>1</v>
      </c>
      <c r="Y7" s="102">
        <v>2</v>
      </c>
      <c r="Z7" s="102">
        <v>8</v>
      </c>
      <c r="AA7" s="102">
        <v>4</v>
      </c>
      <c r="AB7" s="102">
        <v>4</v>
      </c>
      <c r="AC7" s="102" t="str">
        <f t="shared" ca="1" si="0"/>
        <v>ANO</v>
      </c>
      <c r="AG7" s="121" t="s">
        <v>294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149</v>
      </c>
      <c r="AQ7" s="123">
        <v>175</v>
      </c>
      <c r="AR7" s="123">
        <v>67</v>
      </c>
      <c r="AS7" s="126" t="s">
        <v>307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7 OZ, 0 (0+0), -5 ±</v>
      </c>
      <c r="AY7" s="129" t="str">
        <f t="shared" ca="1" si="2"/>
        <v>30 OZ, 7 (2+5)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6" t="s">
        <v>40</v>
      </c>
      <c r="BT7" s="104" t="s">
        <v>1246</v>
      </c>
      <c r="BU7" s="103" t="s">
        <v>1247</v>
      </c>
      <c r="BV7" s="104" t="str">
        <f t="shared" si="13"/>
        <v>Karel Hodík</v>
      </c>
      <c r="BW7" s="112">
        <f t="shared" si="14"/>
        <v>4.76</v>
      </c>
      <c r="BX7" s="335" t="s">
        <v>212</v>
      </c>
      <c r="BY7" s="103" t="s">
        <v>913</v>
      </c>
      <c r="BZ7" s="103" t="s">
        <v>967</v>
      </c>
      <c r="CA7" s="115" t="s">
        <v>205</v>
      </c>
    </row>
    <row r="8" spans="1:79" ht="15" customHeight="1" x14ac:dyDescent="0.2">
      <c r="A8" s="377" t="str">
        <f ca="1">IFERROR(VLOOKUP(A6,OFFSET($AG$2,,,COUNTIF($AG$2:$AG$50,"?*"),23),18,FALSE),"")</f>
        <v/>
      </c>
      <c r="B8" s="378"/>
      <c r="C8" s="378"/>
      <c r="D8" s="379" t="str">
        <f ca="1">IFERROR(VLOOKUP(A6,OFFSET($AG$2,,,COUNTIF($AG$2:$AG$50,"?*"),23),19,FALSE),"")</f>
        <v/>
      </c>
      <c r="E8" s="379"/>
      <c r="F8" s="380"/>
      <c r="H8" s="381" t="s">
        <v>24</v>
      </c>
      <c r="I8" s="381"/>
      <c r="J8" s="381"/>
      <c r="K8" s="381"/>
      <c r="M8" s="377" t="str">
        <f ca="1">IFERROR(VLOOKUP(M6,OFFSET($AG$2,,,COUNTIF($AG$2:$AG$50,"?*"),23),18,FALSE),"")</f>
        <v/>
      </c>
      <c r="N8" s="378"/>
      <c r="O8" s="378"/>
      <c r="P8" s="379" t="str">
        <f ca="1">IFERROR(VLOOKUP(M6,OFFSET($AG$2,,,COUNTIF($AG$2:$AG$50,"?*"),23),19,FALSE),"")</f>
        <v/>
      </c>
      <c r="Q8" s="379"/>
      <c r="R8" s="380"/>
      <c r="S8" s="110" t="s">
        <v>290</v>
      </c>
      <c r="T8" s="102" t="s">
        <v>119</v>
      </c>
      <c r="U8" s="102">
        <v>8</v>
      </c>
      <c r="V8" s="102">
        <v>4</v>
      </c>
      <c r="W8" s="102">
        <v>0</v>
      </c>
      <c r="X8" s="102">
        <v>0</v>
      </c>
      <c r="Y8" s="102">
        <v>2</v>
      </c>
      <c r="Z8" s="102">
        <v>6</v>
      </c>
      <c r="AA8" s="102">
        <v>0</v>
      </c>
      <c r="AB8" s="102">
        <v>9</v>
      </c>
      <c r="AC8" s="102" t="str">
        <f t="shared" ca="1" si="0"/>
        <v>ANO</v>
      </c>
      <c r="AG8" s="121" t="s">
        <v>295</v>
      </c>
      <c r="AH8" s="122"/>
      <c r="AI8" s="123"/>
      <c r="AJ8" s="123"/>
      <c r="AK8" s="123"/>
      <c r="AL8" s="124">
        <f>IF(AG8&lt;&gt;"",AJ8+AK8,"")</f>
        <v>0</v>
      </c>
      <c r="AM8" s="123" t="s">
        <v>303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1 OZ, 0 (0+0), 0 ±</v>
      </c>
      <c r="AY8" s="129" t="str">
        <f t="shared" ca="1" si="2"/>
        <v>1 OZ, 0 (0+0)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6"/>
      <c r="BT8" s="104" t="s">
        <v>1248</v>
      </c>
      <c r="BU8" s="103" t="s">
        <v>970</v>
      </c>
      <c r="BV8" s="104" t="str">
        <f t="shared" si="13"/>
        <v>Vojtěch Šimůnek</v>
      </c>
      <c r="BW8" s="112">
        <f t="shared" si="14"/>
        <v>5.64</v>
      </c>
      <c r="BX8" s="335"/>
      <c r="BY8" s="103" t="s">
        <v>915</v>
      </c>
      <c r="BZ8" s="103" t="s">
        <v>904</v>
      </c>
      <c r="CA8" s="115" t="s">
        <v>205</v>
      </c>
    </row>
    <row r="9" spans="1:79" ht="15" customHeight="1" thickBot="1" x14ac:dyDescent="0.25">
      <c r="A9" s="365" t="str">
        <f ca="1">IFERROR(IF(VLOOKUP(A6,OFFSET($AG$2,,,COUNTIF($AG$2:$AG$50,"?*"),23),13,FALSE)&lt;&gt;0,VLOOKUP(A6,OFFSET($AG$2,,,COUNTIF($AG$2:$AG$50,"?*"),23),13,FALSE),"?"),"")</f>
        <v/>
      </c>
      <c r="B9" s="366"/>
      <c r="C9" s="367"/>
      <c r="D9" s="368" t="str">
        <f ca="1">IFERROR(IF(VLOOKUP(A6,OFFSET($AG$2,,,COUNTIF($AG$2:$AG$50,"?*"),23),14,FALSE)&lt;&gt;0,VLOOKUP(A6,OFFSET($AG$2,,,COUNTIF($AG$2:$AG$50,"?*"),23),14,FALSE),"?"),"")</f>
        <v/>
      </c>
      <c r="E9" s="369"/>
      <c r="F9" s="7" t="str">
        <f ca="1">IFERROR(IF(VLOOKUP(A6,OFFSET($AG$2,,,COUNTIF($AG$2:$AG$50,"?*"),23),7,FALSE)&lt;&gt;0,VLOOKUP(A6,OFFSET($AG$2,,,COUNTIF($AG$2:$AG$50,"?*"),23),7,FALSE),"?"),"")</f>
        <v/>
      </c>
      <c r="H9" s="381"/>
      <c r="I9" s="381"/>
      <c r="J9" s="381"/>
      <c r="K9" s="381"/>
      <c r="M9" s="365" t="str">
        <f ca="1">IFERROR(IF(VLOOKUP(M6,OFFSET($AG$2,,,COUNTIF($AG$2:$AG$50,"?*"),23),13,FALSE)&lt;&gt;0,VLOOKUP(M6,OFFSET($AG$2,,,COUNTIF($AG$2:$AG$50,"?*"),23),13,FALSE),"?"),"")</f>
        <v/>
      </c>
      <c r="N9" s="366"/>
      <c r="O9" s="367"/>
      <c r="P9" s="368" t="str">
        <f ca="1">IFERROR(IF(VLOOKUP(M6,OFFSET($AG$2,,,COUNTIF($AG$2:$AG$50,"?*"),23),14,FALSE)&lt;&gt;0,VLOOKUP(M6,OFFSET($AG$2,,,COUNTIF($AG$2:$AG$50,"?*"),23),14,FALSE),"?"),"")</f>
        <v/>
      </c>
      <c r="Q9" s="36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283</v>
      </c>
      <c r="T9" s="102" t="s">
        <v>64</v>
      </c>
      <c r="U9" s="102">
        <v>8</v>
      </c>
      <c r="V9" s="102">
        <v>2</v>
      </c>
      <c r="W9" s="102">
        <v>1</v>
      </c>
      <c r="X9" s="102">
        <v>0</v>
      </c>
      <c r="Y9" s="102">
        <v>3</v>
      </c>
      <c r="Z9" s="102">
        <v>5</v>
      </c>
      <c r="AA9" s="102">
        <v>2</v>
      </c>
      <c r="AB9" s="102">
        <v>4</v>
      </c>
      <c r="AC9" s="102" t="str">
        <f t="shared" ca="1" si="0"/>
        <v>ANO</v>
      </c>
      <c r="AG9" s="121" t="s">
        <v>296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149</v>
      </c>
      <c r="AQ9" s="123">
        <v>183</v>
      </c>
      <c r="AR9" s="123">
        <v>88</v>
      </c>
      <c r="AS9" s="126" t="s">
        <v>308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6"/>
      <c r="BT9" s="104" t="s">
        <v>973</v>
      </c>
      <c r="BU9" s="103" t="s">
        <v>199</v>
      </c>
      <c r="BV9" s="104" t="str">
        <f t="shared" si="13"/>
        <v>Karel Pergler</v>
      </c>
      <c r="BW9" s="112">
        <f t="shared" si="14"/>
        <v>0</v>
      </c>
      <c r="BX9" s="335"/>
      <c r="BY9" s="103" t="s">
        <v>945</v>
      </c>
      <c r="BZ9" s="103" t="s">
        <v>953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278</v>
      </c>
      <c r="T10" s="102" t="s">
        <v>119</v>
      </c>
      <c r="U10" s="102">
        <v>8</v>
      </c>
      <c r="V10" s="102">
        <v>4</v>
      </c>
      <c r="W10" s="102">
        <v>0</v>
      </c>
      <c r="X10" s="102">
        <v>0</v>
      </c>
      <c r="Y10" s="102">
        <v>0</v>
      </c>
      <c r="Z10" s="102">
        <v>4</v>
      </c>
      <c r="AA10" s="102">
        <v>2</v>
      </c>
      <c r="AB10" s="102">
        <v>-5</v>
      </c>
      <c r="AC10" s="102" t="str">
        <f t="shared" ca="1" si="0"/>
        <v>ANO</v>
      </c>
      <c r="AG10" s="121" t="s">
        <v>297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149</v>
      </c>
      <c r="AQ10" s="123">
        <v>176</v>
      </c>
      <c r="AR10" s="123">
        <v>73</v>
      </c>
      <c r="AS10" s="126" t="s">
        <v>153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6"/>
      <c r="BV10" s="104" t="str">
        <f t="shared" si="13"/>
        <v/>
      </c>
      <c r="BW10" s="112" t="str">
        <f t="shared" si="14"/>
        <v/>
      </c>
      <c r="BX10" s="335"/>
      <c r="BY10" s="103" t="s">
        <v>1106</v>
      </c>
      <c r="BZ10" s="103" t="s">
        <v>912</v>
      </c>
      <c r="CA10" s="115" t="s">
        <v>205</v>
      </c>
    </row>
    <row r="11" spans="1:79" ht="15" customHeight="1" thickTop="1" thickBot="1" x14ac:dyDescent="0.25">
      <c r="R11" s="13"/>
      <c r="S11" s="110" t="s">
        <v>282</v>
      </c>
      <c r="T11" s="102" t="s">
        <v>64</v>
      </c>
      <c r="U11" s="102">
        <v>8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4</v>
      </c>
      <c r="AB11" s="102">
        <v>11</v>
      </c>
      <c r="AC11" s="102" t="str">
        <f t="shared" ca="1" si="0"/>
        <v>ANO</v>
      </c>
      <c r="AG11" s="121" t="s">
        <v>298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149</v>
      </c>
      <c r="AQ11" s="123">
        <v>186</v>
      </c>
      <c r="AR11" s="123">
        <v>84</v>
      </c>
      <c r="AS11" s="126" t="s">
        <v>309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6"/>
      <c r="BV11" s="104" t="str">
        <f t="shared" si="13"/>
        <v/>
      </c>
      <c r="BW11" s="112" t="str">
        <f t="shared" si="14"/>
        <v/>
      </c>
      <c r="BX11" s="335"/>
      <c r="BY11" s="103" t="s">
        <v>1196</v>
      </c>
      <c r="BZ11" s="103" t="s">
        <v>914</v>
      </c>
      <c r="CA11" s="115" t="s">
        <v>205</v>
      </c>
    </row>
    <row r="12" spans="1:79" ht="15" customHeight="1" thickTop="1" thickBot="1" x14ac:dyDescent="0.25">
      <c r="A12" s="348"/>
      <c r="B12" s="349"/>
      <c r="C12" s="349"/>
      <c r="D12" s="34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82" t="s">
        <v>7</v>
      </c>
      <c r="I12" s="382"/>
      <c r="J12" s="382"/>
      <c r="K12" s="382"/>
      <c r="M12" s="348"/>
      <c r="N12" s="349"/>
      <c r="O12" s="349"/>
      <c r="P12" s="34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276</v>
      </c>
      <c r="T12" s="102" t="s">
        <v>119</v>
      </c>
      <c r="U12" s="102">
        <v>7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0</v>
      </c>
      <c r="AB12" s="102">
        <v>-5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149</v>
      </c>
      <c r="AQ12" s="123">
        <v>177</v>
      </c>
      <c r="AR12" s="123">
        <v>75</v>
      </c>
      <c r="AS12" s="126" t="s">
        <v>310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6" t="s">
        <v>37</v>
      </c>
      <c r="BT12" s="104" t="s">
        <v>812</v>
      </c>
      <c r="BU12" s="103">
        <v>11</v>
      </c>
      <c r="BV12" s="104" t="str">
        <f t="shared" si="13"/>
        <v>Marek Vávra</v>
      </c>
      <c r="BW12" s="102">
        <f t="shared" si="14"/>
        <v>11</v>
      </c>
      <c r="BX12" s="120" t="s">
        <v>210</v>
      </c>
      <c r="BY12" s="100" t="s">
        <v>1244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1" t="str">
        <f ca="1">IFERROR(IF(VLOOKUP(A12,OFFSET($AG$2,,,COUNTIF($AG$2:$AG$50,"?*"),23),2,FALSE)&lt;&gt;0,YEAR(VLOOKUP(A12,OFFSET($AG$2,,,COUNTIF($AG$2:$AG$50,"?*"),23),2,FALSE)),""),"")</f>
        <v/>
      </c>
      <c r="C13" s="342"/>
      <c r="D13" s="117" t="str">
        <f ca="1">IFERROR(VLOOKUP(A12,OFFSET($AG$2,,,COUNTIF($AG$2:$AG$50,"?*"),23),15,FALSE),"")</f>
        <v/>
      </c>
      <c r="E13" s="343" t="str">
        <f ca="1">IFERROR(VLOOKUP(A12,OFFSET($AG$2,,,COUNTIF($AG$2:$AG$50,"?*"),23),16,FALSE),"")</f>
        <v/>
      </c>
      <c r="F13" s="344"/>
      <c r="M13" s="4" t="str">
        <f ca="1">IFERROR(IF(VLOOKUP(M12,OFFSET($AG$2,,,COUNTIF($AG$2:$AG$50,"?*"),23),10,FALSE)&lt;&gt;0,VLOOKUP(M12,OFFSET($AG$2,,,COUNTIF($AG$2:$AG$50,"?*"),23),10,FALSE),""),"")</f>
        <v/>
      </c>
      <c r="N13" s="341" t="str">
        <f ca="1">IFERROR(IF(VLOOKUP(M12,OFFSET($AG$2,,,COUNTIF($AG$2:$AG$50,"?*"),23),2,FALSE)&lt;&gt;0,YEAR(VLOOKUP(M12,OFFSET($AG$2,,,COUNTIF($AG$2:$AG$50,"?*"),23),2,FALSE)),""),"")</f>
        <v/>
      </c>
      <c r="O13" s="342"/>
      <c r="P13" s="117" t="str">
        <f ca="1">IFERROR(VLOOKUP(M12,OFFSET($AG$2,,,COUNTIF($AG$2:$AG$50,"?*"),23),15,FALSE),"")</f>
        <v/>
      </c>
      <c r="Q13" s="343" t="str">
        <f ca="1">IFERROR(VLOOKUP(M12,OFFSET($AG$2,,,COUNTIF($AG$2:$AG$50,"?*"),23),16,FALSE),"")</f>
        <v/>
      </c>
      <c r="R13" s="344"/>
      <c r="S13" s="110" t="s">
        <v>275</v>
      </c>
      <c r="T13" s="102" t="s">
        <v>64</v>
      </c>
      <c r="U13" s="102">
        <v>3</v>
      </c>
      <c r="V13" s="102">
        <v>0</v>
      </c>
      <c r="W13" s="102">
        <v>0</v>
      </c>
      <c r="X13" s="102">
        <v>0</v>
      </c>
      <c r="Y13" s="102">
        <v>2</v>
      </c>
      <c r="Z13" s="102">
        <v>2</v>
      </c>
      <c r="AA13" s="102">
        <v>0</v>
      </c>
      <c r="AB13" s="102">
        <v>1</v>
      </c>
      <c r="AC13" s="102" t="str">
        <f t="shared" ca="1" si="0"/>
        <v>ANO</v>
      </c>
      <c r="AG13" s="121" t="s">
        <v>277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311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8 OZ, 15 (5+10), +6 ±</v>
      </c>
      <c r="AY13" s="129" t="str">
        <f t="shared" ca="1" si="2"/>
        <v>48 OZ, 80 (45+35)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6"/>
      <c r="BT13" s="104" t="s">
        <v>331</v>
      </c>
      <c r="BU13" s="103">
        <v>7</v>
      </c>
      <c r="BV13" s="104" t="str">
        <f t="shared" si="13"/>
        <v>Mikuláš Komárek</v>
      </c>
      <c r="BW13" s="102">
        <f t="shared" si="14"/>
        <v>7</v>
      </c>
    </row>
    <row r="14" spans="1:79" ht="15" customHeight="1" thickTop="1" thickBot="1" x14ac:dyDescent="0.25">
      <c r="A14" s="377" t="str">
        <f ca="1">IFERROR(VLOOKUP(A12,OFFSET($AG$2,,,COUNTIF($AG$2:$AG$50,"?*"),23),18,FALSE),"")</f>
        <v/>
      </c>
      <c r="B14" s="378"/>
      <c r="C14" s="378"/>
      <c r="D14" s="379" t="str">
        <f ca="1">IFERROR(VLOOKUP(A12,OFFSET($AG$2,,,COUNTIF($AG$2:$AG$50,"?*"),23),19,FALSE),"")</f>
        <v/>
      </c>
      <c r="E14" s="379"/>
      <c r="F14" s="380"/>
      <c r="G14" s="348"/>
      <c r="H14" s="349"/>
      <c r="I14" s="349"/>
      <c r="J14" s="34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7" t="str">
        <f ca="1">IFERROR(VLOOKUP(M12,OFFSET($AG$2,,,COUNTIF($AG$2:$AG$50,"?*"),23),18,FALSE),"")</f>
        <v/>
      </c>
      <c r="N14" s="378"/>
      <c r="O14" s="378"/>
      <c r="P14" s="379" t="str">
        <f ca="1">IFERROR(VLOOKUP(M12,OFFSET($AG$2,,,COUNTIF($AG$2:$AG$50,"?*"),23),19,FALSE),"")</f>
        <v/>
      </c>
      <c r="Q14" s="379"/>
      <c r="R14" s="380"/>
      <c r="S14" s="110" t="s">
        <v>815</v>
      </c>
      <c r="T14" s="102" t="s">
        <v>119</v>
      </c>
      <c r="U14" s="102">
        <v>4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-5</v>
      </c>
      <c r="AC14" s="102" t="str">
        <f t="shared" ca="1" si="0"/>
        <v>NE</v>
      </c>
      <c r="AG14" s="121" t="s">
        <v>290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149</v>
      </c>
      <c r="AQ14" s="123">
        <v>184</v>
      </c>
      <c r="AR14" s="123">
        <v>78</v>
      </c>
      <c r="AS14" s="126" t="s">
        <v>312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8 OZ, 6 (4+2), +9 ±</v>
      </c>
      <c r="AY14" s="129" t="str">
        <f t="shared" ca="1" si="2"/>
        <v>102 OZ, 59 (40+19)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6"/>
      <c r="BT14" s="104" t="s">
        <v>971</v>
      </c>
      <c r="BU14" s="103">
        <v>6</v>
      </c>
      <c r="BV14" s="104" t="str">
        <f t="shared" si="13"/>
        <v>Daniel Eremiáš</v>
      </c>
      <c r="BW14" s="102">
        <f t="shared" si="14"/>
        <v>6</v>
      </c>
    </row>
    <row r="15" spans="1:79" ht="15" customHeight="1" thickBot="1" x14ac:dyDescent="0.25">
      <c r="A15" s="365" t="str">
        <f ca="1">IFERROR(IF(VLOOKUP(A12,OFFSET($AG$2,,,COUNTIF($AG$2:$AG$50,"?*"),23),13,FALSE)&lt;&gt;0,VLOOKUP(A12,OFFSET($AG$2,,,COUNTIF($AG$2:$AG$50,"?*"),23),13,FALSE),"?"),"")</f>
        <v/>
      </c>
      <c r="B15" s="366"/>
      <c r="C15" s="367"/>
      <c r="D15" s="368" t="str">
        <f ca="1">IFERROR(IF(VLOOKUP(A12,OFFSET($AG$2,,,COUNTIF($AG$2:$AG$50,"?*"),23),14,FALSE)&lt;&gt;0,VLOOKUP(A12,OFFSET($AG$2,,,COUNTIF($AG$2:$AG$50,"?*"),23),14,FALSE),"?"),"")</f>
        <v/>
      </c>
      <c r="E15" s="36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1" t="str">
        <f ca="1">IFERROR(IF(VLOOKUP(G14,OFFSET($AG$2,,,COUNTIF($AG$2:$AG$50,"?*"),23),2,FALSE)&lt;&gt;0,YEAR(VLOOKUP(G14,OFFSET($AG$2,,,COUNTIF($AG$2:$AG$50,"?*"),23),2,FALSE)),""),"")</f>
        <v/>
      </c>
      <c r="I15" s="342"/>
      <c r="J15" s="117" t="str">
        <f ca="1">IFERROR(VLOOKUP(G14,OFFSET($AG$2,,,COUNTIF($AG$2:$AG$50,"?*"),23),15,FALSE),"")</f>
        <v/>
      </c>
      <c r="K15" s="343" t="str">
        <f ca="1">IFERROR(VLOOKUP(G14,OFFSET($AG$2,,,COUNTIF($AG$2:$AG$50,"?*"),23),16,FALSE),"")</f>
        <v/>
      </c>
      <c r="L15" s="344"/>
      <c r="M15" s="365" t="str">
        <f ca="1">IFERROR(IF(VLOOKUP(M12,OFFSET($AG$2,,,COUNTIF($AG$2:$AG$50,"?*"),23),13,FALSE)&lt;&gt;0,VLOOKUP(M12,OFFSET($AG$2,,,COUNTIF($AG$2:$AG$50,"?*"),23),13,FALSE),"?"),"")</f>
        <v/>
      </c>
      <c r="N15" s="366"/>
      <c r="O15" s="367"/>
      <c r="P15" s="368" t="str">
        <f ca="1">IFERROR(IF(VLOOKUP(M12,OFFSET($AG$2,,,COUNTIF($AG$2:$AG$50,"?*"),23),14,FALSE)&lt;&gt;0,VLOOKUP(M12,OFFSET($AG$2,,,COUNTIF($AG$2:$AG$50,"?*"),23),14,FALSE),"?"),"")</f>
        <v/>
      </c>
      <c r="Q15" s="36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286</v>
      </c>
      <c r="T15" s="102" t="s">
        <v>119</v>
      </c>
      <c r="U15" s="102">
        <v>6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-1</v>
      </c>
      <c r="AC15" s="102" t="str">
        <f t="shared" ca="1" si="0"/>
        <v>ANO</v>
      </c>
      <c r="AG15" s="121" t="s">
        <v>299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149</v>
      </c>
      <c r="AQ15" s="123">
        <v>182</v>
      </c>
      <c r="AR15" s="123">
        <v>82</v>
      </c>
      <c r="AS15" s="126" t="s">
        <v>313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6"/>
      <c r="BT15" s="104" t="s">
        <v>969</v>
      </c>
      <c r="BU15" s="103">
        <v>6</v>
      </c>
      <c r="BV15" s="104" t="str">
        <f t="shared" si="13"/>
        <v>Tom Ondrušek</v>
      </c>
      <c r="BW15" s="102">
        <f t="shared" si="14"/>
        <v>6</v>
      </c>
    </row>
    <row r="16" spans="1:79" ht="15" customHeight="1" thickTop="1" thickBot="1" x14ac:dyDescent="0.25">
      <c r="A16" s="8"/>
      <c r="B16" s="8"/>
      <c r="C16" s="8"/>
      <c r="D16" s="8"/>
      <c r="G16" s="377" t="str">
        <f ca="1">IFERROR(VLOOKUP(G14,OFFSET($AG$2,,,COUNTIF($AG$2:$AG$50,"?*"),23),18,FALSE),"")</f>
        <v/>
      </c>
      <c r="H16" s="378"/>
      <c r="I16" s="378"/>
      <c r="J16" s="379" t="str">
        <f ca="1">IFERROR(VLOOKUP(G14,OFFSET($AG$2,,,COUNTIF($AG$2:$AG$50,"?*"),23),19,FALSE),"")</f>
        <v/>
      </c>
      <c r="K16" s="379"/>
      <c r="L16" s="380"/>
      <c r="S16" s="110" t="s">
        <v>287</v>
      </c>
      <c r="T16" s="102" t="s">
        <v>64</v>
      </c>
      <c r="U16" s="102">
        <v>8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4</v>
      </c>
      <c r="AB16" s="102">
        <v>3</v>
      </c>
      <c r="AC16" s="102" t="str">
        <f t="shared" ca="1" si="0"/>
        <v>ANO</v>
      </c>
      <c r="AG16" s="121" t="s">
        <v>280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314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7 OZ, 13 (6+7), +8 ±</v>
      </c>
      <c r="AY16" s="129" t="str">
        <f t="shared" ca="1" si="2"/>
        <v>247 OZ, 536 (328+208)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6"/>
      <c r="BT16" s="104" t="s">
        <v>1249</v>
      </c>
      <c r="BU16" s="103">
        <v>5</v>
      </c>
      <c r="BV16" s="104" t="str">
        <f t="shared" si="13"/>
        <v>Petr Majer</v>
      </c>
      <c r="BW16" s="102">
        <f t="shared" si="14"/>
        <v>5</v>
      </c>
    </row>
    <row r="17" spans="1:75" ht="15" customHeight="1" thickTop="1" thickBot="1" x14ac:dyDescent="0.25">
      <c r="A17" s="348"/>
      <c r="B17" s="349"/>
      <c r="C17" s="349"/>
      <c r="D17" s="34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5" t="str">
        <f ca="1">IFERROR(IF(VLOOKUP(G14,OFFSET($AG$2,,,COUNTIF($AG$2:$AG$50,"?*"),23),13,FALSE)&lt;&gt;0,VLOOKUP(G14,OFFSET($AG$2,,,COUNTIF($AG$2:$AG$50,"?*"),23),13,FALSE),"?"),"")</f>
        <v/>
      </c>
      <c r="H17" s="366"/>
      <c r="I17" s="367"/>
      <c r="J17" s="368" t="str">
        <f ca="1">IFERROR(IF(VLOOKUP(G14,OFFSET($AG$2,,,COUNTIF($AG$2:$AG$50,"?*"),23),14,FALSE)&lt;&gt;0,VLOOKUP(G14,OFFSET($AG$2,,,COUNTIF($AG$2:$AG$50,"?*"),23),14,FALSE),"?"),"")</f>
        <v/>
      </c>
      <c r="K17" s="369"/>
      <c r="L17" s="7" t="str">
        <f ca="1">IFERROR(IF(VLOOKUP(G14,OFFSET($AG$2,,,COUNTIF($AG$2:$AG$50,"?*"),23),7,FALSE)&lt;&gt;0,VLOOKUP(G14,OFFSET($AG$2,,,COUNTIF($AG$2:$AG$50,"?*"),23),7,FALSE),"?"),"")</f>
        <v/>
      </c>
      <c r="M17" s="348"/>
      <c r="N17" s="349"/>
      <c r="O17" s="349"/>
      <c r="P17" s="34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974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120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303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6" t="s">
        <v>41</v>
      </c>
      <c r="BT17" s="104" t="s">
        <v>1246</v>
      </c>
      <c r="BU17" s="103">
        <v>4</v>
      </c>
      <c r="BV17" s="104" t="str">
        <f t="shared" si="13"/>
        <v>Karel Hodík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1" t="str">
        <f ca="1">IFERROR(IF(VLOOKUP(A17,OFFSET($AG$2,,,COUNTIF($AG$2:$AG$50,"?*"),23),2,FALSE)&lt;&gt;0,YEAR(VLOOKUP(A17,OFFSET($AG$2,,,COUNTIF($AG$2:$AG$50,"?*"),23),2,FALSE)),""),"")</f>
        <v/>
      </c>
      <c r="C18" s="342"/>
      <c r="D18" s="150" t="str">
        <f ca="1">IFERROR(VLOOKUP(A17,OFFSET($AG$2,,,COUNTIF($AG$2:$AG$50,"?*"),23),15,FALSE),"")</f>
        <v/>
      </c>
      <c r="E18" s="343" t="str">
        <f ca="1">IFERROR(VLOOKUP(A17,OFFSET($AG$2,,,COUNTIF($AG$2:$AG$50,"?*"),23),16,FALSE),"")</f>
        <v/>
      </c>
      <c r="F18" s="344"/>
      <c r="M18" s="4" t="str">
        <f ca="1">IFERROR(IF(VLOOKUP(M17,OFFSET($AG$2,,,COUNTIF($AG$2:$AG$50,"?*"),23),10,FALSE)&lt;&gt;0,VLOOKUP(M17,OFFSET($AG$2,,,COUNTIF($AG$2:$AG$50,"?*"),23),10,FALSE),""),"")</f>
        <v/>
      </c>
      <c r="N18" s="341" t="str">
        <f ca="1">IFERROR(IF(VLOOKUP(M17,OFFSET($AG$2,,,COUNTIF($AG$2:$AG$50,"?*"),23),2,FALSE)&lt;&gt;0,YEAR(VLOOKUP(M17,OFFSET($AG$2,,,COUNTIF($AG$2:$AG$50,"?*"),23),2,FALSE)),""),"")</f>
        <v/>
      </c>
      <c r="O18" s="342"/>
      <c r="P18" s="117" t="str">
        <f ca="1">IFERROR(VLOOKUP(M17,OFFSET($AG$2,,,COUNTIF($AG$2:$AG$50,"?*"),23),15,FALSE),"")</f>
        <v/>
      </c>
      <c r="Q18" s="343" t="str">
        <f ca="1">IFERROR(VLOOKUP(M17,OFFSET($AG$2,,,COUNTIF($AG$2:$AG$50,"?*"),23),16,FALSE),"")</f>
        <v/>
      </c>
      <c r="R18" s="344"/>
      <c r="S18" s="110" t="s">
        <v>295</v>
      </c>
      <c r="T18" s="102" t="s">
        <v>119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284</v>
      </c>
      <c r="AH18" s="122"/>
      <c r="AI18" s="123"/>
      <c r="AJ18" s="123"/>
      <c r="AK18" s="123"/>
      <c r="AL18" s="124">
        <f>IF(AG18&lt;&gt;"",AJ18+AK18,"")</f>
        <v>0</v>
      </c>
      <c r="AM18" s="123" t="s">
        <v>303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0 V, 0 P</v>
      </c>
      <c r="AY18" s="129" t="str">
        <f t="shared" ca="1" si="2"/>
        <v>0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6"/>
      <c r="BT18" s="104" t="s">
        <v>1248</v>
      </c>
      <c r="BU18" s="103">
        <v>1</v>
      </c>
      <c r="BV18" s="104" t="str">
        <f t="shared" si="13"/>
        <v>Vojtěch Šimůnek</v>
      </c>
      <c r="BW18" s="102">
        <f t="shared" si="14"/>
        <v>1</v>
      </c>
    </row>
    <row r="19" spans="1:75" ht="15" customHeight="1" x14ac:dyDescent="0.2">
      <c r="A19" s="377" t="str">
        <f ca="1">IFERROR(VLOOKUP(A17,OFFSET($AG$2,,,COUNTIF($AG$2:$AG$50,"?*"),23),18,FALSE),"")</f>
        <v/>
      </c>
      <c r="B19" s="378"/>
      <c r="C19" s="378"/>
      <c r="D19" s="379" t="str">
        <f ca="1">IFERROR(VLOOKUP(A17,OFFSET($AG$2,,,COUNTIF($AG$2:$AG$50,"?*"),23),19,FALSE),"")</f>
        <v/>
      </c>
      <c r="E19" s="379"/>
      <c r="F19" s="380"/>
      <c r="H19" s="381" t="str">
        <f>H$8</f>
        <v>CHO</v>
      </c>
      <c r="I19" s="381"/>
      <c r="J19" s="381"/>
      <c r="K19" s="381"/>
      <c r="M19" s="377" t="str">
        <f ca="1">IFERROR(VLOOKUP(M17,OFFSET($AG$2,,,COUNTIF($AG$2:$AG$50,"?*"),23),18,FALSE),"")</f>
        <v/>
      </c>
      <c r="N19" s="378"/>
      <c r="O19" s="378"/>
      <c r="P19" s="379" t="str">
        <f ca="1">IFERROR(VLOOKUP(M17,OFFSET($AG$2,,,COUNTIF($AG$2:$AG$50,"?*"),23),19,FALSE),"")</f>
        <v/>
      </c>
      <c r="Q19" s="379"/>
      <c r="R19" s="380"/>
      <c r="S19" s="110" t="s">
        <v>289</v>
      </c>
      <c r="T19" s="102" t="s">
        <v>119</v>
      </c>
      <c r="U19" s="102">
        <v>1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3</v>
      </c>
      <c r="AC19" s="102" t="str">
        <f t="shared" ca="1" si="0"/>
        <v>NE</v>
      </c>
      <c r="AG19" s="121" t="s">
        <v>286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149</v>
      </c>
      <c r="AQ19" s="123">
        <v>172</v>
      </c>
      <c r="AR19" s="123">
        <v>73</v>
      </c>
      <c r="AS19" s="126" t="s">
        <v>315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6 OZ, 1 (0+1), -1 ±</v>
      </c>
      <c r="AY19" s="129" t="str">
        <f t="shared" ca="1" si="2"/>
        <v>123 OZ, 49 (30+19)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6"/>
      <c r="BT19" s="104" t="s">
        <v>973</v>
      </c>
      <c r="BU19" s="103">
        <v>0</v>
      </c>
      <c r="BV19" s="104" t="str">
        <f t="shared" si="13"/>
        <v>Karel Pergler</v>
      </c>
      <c r="BW19" s="102">
        <f t="shared" si="14"/>
        <v>0</v>
      </c>
    </row>
    <row r="20" spans="1:75" ht="15" customHeight="1" thickBot="1" x14ac:dyDescent="0.25">
      <c r="A20" s="365" t="str">
        <f ca="1">IFERROR(IF(VLOOKUP(A17,OFFSET($AG$2,,,COUNTIF($AG$2:$AG$50,"?*"),23),13,FALSE)&lt;&gt;0,VLOOKUP(A17,OFFSET($AG$2,,,COUNTIF($AG$2:$AG$50,"?*"),23),13,FALSE),"?"),"")</f>
        <v/>
      </c>
      <c r="B20" s="366"/>
      <c r="C20" s="367"/>
      <c r="D20" s="368" t="str">
        <f ca="1">IFERROR(IF(VLOOKUP(A17,OFFSET($AG$2,,,COUNTIF($AG$2:$AG$50,"?*"),23),14,FALSE)&lt;&gt;0,VLOOKUP(A17,OFFSET($AG$2,,,COUNTIF($AG$2:$AG$50,"?*"),23),14,FALSE),"?"),"")</f>
        <v/>
      </c>
      <c r="E20" s="369"/>
      <c r="F20" s="7" t="str">
        <f ca="1">IFERROR(IF(VLOOKUP(A17,OFFSET($AG$2,,,COUNTIF($AG$2:$AG$50,"?*"),23),7,FALSE)&lt;&gt;0,VLOOKUP(A17,OFFSET($AG$2,,,COUNTIF($AG$2:$AG$50,"?*"),23),7,FALSE),"?"),"")</f>
        <v/>
      </c>
      <c r="H20" s="381"/>
      <c r="I20" s="381"/>
      <c r="J20" s="381"/>
      <c r="K20" s="381"/>
      <c r="M20" s="365" t="str">
        <f ca="1">IFERROR(IF(VLOOKUP(M17,OFFSET($AG$2,,,COUNTIF($AG$2:$AG$50,"?*"),23),13,FALSE)&lt;&gt;0,VLOOKUP(M17,OFFSET($AG$2,,,COUNTIF($AG$2:$AG$50,"?*"),23),13,FALSE),"?"),"")</f>
        <v/>
      </c>
      <c r="N20" s="366"/>
      <c r="O20" s="367"/>
      <c r="P20" s="368" t="str">
        <f ca="1">IFERROR(IF(VLOOKUP(M17,OFFSET($AG$2,,,COUNTIF($AG$2:$AG$50,"?*"),23),14,FALSE)&lt;&gt;0,VLOOKUP(M17,OFFSET($AG$2,,,COUNTIF($AG$2:$AG$50,"?*"),23),14,FALSE),"?"),"")</f>
        <v/>
      </c>
      <c r="Q20" s="36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1241</v>
      </c>
      <c r="U20" s="102">
        <v>1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282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316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8 OZ, 4 (1+3), +11 ±</v>
      </c>
      <c r="AY20" s="129" t="str">
        <f t="shared" ca="1" si="2"/>
        <v>229 OZ, 155 (45+110)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288</v>
      </c>
      <c r="T21" s="102" t="s">
        <v>64</v>
      </c>
      <c r="U21" s="102">
        <v>4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300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316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975</v>
      </c>
      <c r="T22" s="102" t="s">
        <v>119</v>
      </c>
      <c r="U22" s="102">
        <v>4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-3</v>
      </c>
      <c r="AC22" s="102" t="str">
        <f t="shared" ca="1" si="0"/>
        <v>NE</v>
      </c>
      <c r="AG22" s="121" t="s">
        <v>276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317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7 OZ, 3 (2+1), -5 ±</v>
      </c>
      <c r="AY22" s="129" t="str">
        <f t="shared" ca="1" si="2"/>
        <v>101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6" t="s">
        <v>38</v>
      </c>
      <c r="BT22" s="104" t="s">
        <v>814</v>
      </c>
      <c r="BU22" s="103">
        <v>10</v>
      </c>
      <c r="BV22" s="104" t="str">
        <f t="shared" si="13"/>
        <v>Petr Majer</v>
      </c>
      <c r="BW22" s="102">
        <f t="shared" si="14"/>
        <v>10</v>
      </c>
    </row>
    <row r="23" spans="1:75" ht="15" customHeight="1" thickTop="1" thickBot="1" x14ac:dyDescent="0.25">
      <c r="A23" s="348"/>
      <c r="B23" s="349"/>
      <c r="C23" s="349"/>
      <c r="D23" s="34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82" t="s">
        <v>13</v>
      </c>
      <c r="I23" s="382"/>
      <c r="J23" s="382"/>
      <c r="K23" s="382"/>
      <c r="M23" s="348"/>
      <c r="N23" s="349"/>
      <c r="O23" s="349"/>
      <c r="P23" s="34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293</v>
      </c>
      <c r="T23" s="102" t="s">
        <v>117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287</v>
      </c>
      <c r="AH23" s="122"/>
      <c r="AI23" s="123"/>
      <c r="AJ23" s="123"/>
      <c r="AK23" s="123"/>
      <c r="AL23" s="124">
        <f>IF(AG23&lt;&gt;"",AJ23+AK23,"")</f>
        <v>0</v>
      </c>
      <c r="AM23" s="123" t="s">
        <v>303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8 OZ, 1 (0+1), +3 ±</v>
      </c>
      <c r="AY23" s="129" t="str">
        <f t="shared" ca="1" si="2"/>
        <v>8 OZ, 1 (0+1)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6"/>
      <c r="BT23" s="104" t="s">
        <v>872</v>
      </c>
      <c r="BU23" s="103">
        <v>7</v>
      </c>
      <c r="BV23" s="104" t="str">
        <f t="shared" si="13"/>
        <v>Tom Ondrušek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1" t="str">
        <f ca="1">IFERROR(IF(VLOOKUP(A23,OFFSET($AG$2,,,COUNTIF($AG$2:$AG$50,"?*"),23),2,FALSE)&lt;&gt;0,YEAR(VLOOKUP(A23,OFFSET($AG$2,,,COUNTIF($AG$2:$AG$50,"?*"),23),2,FALSE)),""),"")</f>
        <v/>
      </c>
      <c r="C24" s="342"/>
      <c r="D24" s="117" t="str">
        <f ca="1">IFERROR(VLOOKUP(A23,OFFSET($AG$2,,,COUNTIF($AG$2:$AG$50,"?*"),23),15,FALSE),"")</f>
        <v/>
      </c>
      <c r="E24" s="343" t="str">
        <f ca="1">IFERROR(VLOOKUP(A23,OFFSET($AG$2,,,COUNTIF($AG$2:$AG$50,"?*"),23),16,FALSE),"")</f>
        <v/>
      </c>
      <c r="F24" s="344"/>
      <c r="M24" s="4" t="str">
        <f ca="1">IFERROR(IF(VLOOKUP(M23,OFFSET($AG$2,,,COUNTIF($AG$2:$AG$50,"?*"),23),10,FALSE)&lt;&gt;0,VLOOKUP(M23,OFFSET($AG$2,,,COUNTIF($AG$2:$AG$50,"?*"),23),10,FALSE),""),"")</f>
        <v/>
      </c>
      <c r="N24" s="341" t="str">
        <f ca="1">IFERROR(IF(VLOOKUP(M23,OFFSET($AG$2,,,COUNTIF($AG$2:$AG$50,"?*"),23),2,FALSE)&lt;&gt;0,YEAR(VLOOKUP(M23,OFFSET($AG$2,,,COUNTIF($AG$2:$AG$50,"?*"),23),2,FALSE)),""),"")</f>
        <v/>
      </c>
      <c r="O24" s="342"/>
      <c r="P24" s="117" t="str">
        <f ca="1">IFERROR(VLOOKUP(M23,OFFSET($AG$2,,,COUNTIF($AG$2:$AG$50,"?*"),23),15,FALSE),"")</f>
        <v/>
      </c>
      <c r="Q24" s="343" t="str">
        <f ca="1">IFERROR(VLOOKUP(M23,OFFSET($AG$2,,,COUNTIF($AG$2:$AG$50,"?*"),23),16,FALSE),"")</f>
        <v/>
      </c>
      <c r="R24" s="344"/>
      <c r="S24" s="110" t="s">
        <v>292</v>
      </c>
      <c r="T24" s="102" t="s">
        <v>119</v>
      </c>
      <c r="U24" s="102">
        <v>5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-2</v>
      </c>
      <c r="AC24" s="102" t="str">
        <f t="shared" ca="1" si="0"/>
        <v>ANO</v>
      </c>
      <c r="AG24" s="121" t="s">
        <v>301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149</v>
      </c>
      <c r="AQ24" s="123">
        <v>182</v>
      </c>
      <c r="AR24" s="123">
        <v>75</v>
      </c>
      <c r="AS24" s="126" t="s">
        <v>317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7 OZ, 0 (0+0), -7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99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6"/>
      <c r="BT24" s="104" t="s">
        <v>813</v>
      </c>
      <c r="BU24" s="103">
        <v>6</v>
      </c>
      <c r="BV24" s="104" t="str">
        <f t="shared" si="13"/>
        <v>Mikuláš Komárek</v>
      </c>
      <c r="BW24" s="102">
        <f t="shared" si="14"/>
        <v>6</v>
      </c>
    </row>
    <row r="25" spans="1:75" ht="15" customHeight="1" thickTop="1" thickBot="1" x14ac:dyDescent="0.25">
      <c r="A25" s="377" t="str">
        <f ca="1">IFERROR(VLOOKUP(A23,OFFSET($AG$2,,,COUNTIF($AG$2:$AG$50,"?*"),23),18,FALSE),"")</f>
        <v/>
      </c>
      <c r="B25" s="378"/>
      <c r="C25" s="378"/>
      <c r="D25" s="379" t="str">
        <f ca="1">IFERROR(VLOOKUP(A23,OFFSET($AG$2,,,COUNTIF($AG$2:$AG$50,"?*"),23),19,FALSE),"")</f>
        <v/>
      </c>
      <c r="E25" s="379"/>
      <c r="F25" s="380"/>
      <c r="G25" s="348"/>
      <c r="H25" s="349"/>
      <c r="I25" s="349"/>
      <c r="J25" s="34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7" t="str">
        <f ca="1">IFERROR(VLOOKUP(M23,OFFSET($AG$2,,,COUNTIF($AG$2:$AG$50,"?*"),23),18,FALSE),"")</f>
        <v/>
      </c>
      <c r="N25" s="378"/>
      <c r="O25" s="378"/>
      <c r="P25" s="379" t="str">
        <f ca="1">IFERROR(VLOOKUP(M23,OFFSET($AG$2,,,COUNTIF($AG$2:$AG$50,"?*"),23),19,FALSE),"")</f>
        <v/>
      </c>
      <c r="Q25" s="379"/>
      <c r="R25" s="380"/>
      <c r="S25" s="110" t="s">
        <v>285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288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318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6"/>
      <c r="BT25" s="104" t="s">
        <v>972</v>
      </c>
      <c r="BU25" s="103">
        <v>5</v>
      </c>
      <c r="BV25" s="104" t="str">
        <f t="shared" si="13"/>
        <v>Martin Skřivánek</v>
      </c>
      <c r="BW25" s="102">
        <f t="shared" si="14"/>
        <v>5</v>
      </c>
    </row>
    <row r="26" spans="1:75" ht="15" customHeight="1" thickBot="1" x14ac:dyDescent="0.25">
      <c r="A26" s="365" t="str">
        <f ca="1">IFERROR(IF(VLOOKUP(A23,OFFSET($AG$2,,,COUNTIF($AG$2:$AG$50,"?*"),23),13,FALSE)&lt;&gt;0,VLOOKUP(A23,OFFSET($AG$2,,,COUNTIF($AG$2:$AG$50,"?*"),23),13,FALSE),"?"),"")</f>
        <v/>
      </c>
      <c r="B26" s="366"/>
      <c r="C26" s="367"/>
      <c r="D26" s="368" t="str">
        <f ca="1">IFERROR(IF(VLOOKUP(A23,OFFSET($AG$2,,,COUNTIF($AG$2:$AG$50,"?*"),23),14,FALSE)&lt;&gt;0,VLOOKUP(A23,OFFSET($AG$2,,,COUNTIF($AG$2:$AG$50,"?*"),23),14,FALSE),"?"),"")</f>
        <v/>
      </c>
      <c r="E26" s="36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1" t="str">
        <f ca="1">IFERROR(IF(VLOOKUP(G25,OFFSET($AG$2,,,COUNTIF($AG$2:$AG$50,"?*"),23),2,FALSE)&lt;&gt;0,YEAR(VLOOKUP(G25,OFFSET($AG$2,,,COUNTIF($AG$2:$AG$50,"?*"),23),2,FALSE)),""),"")</f>
        <v/>
      </c>
      <c r="I26" s="342"/>
      <c r="J26" s="117" t="str">
        <f ca="1">IFERROR(VLOOKUP(G25,OFFSET($AG$2,,,COUNTIF($AG$2:$AG$50,"?*"),23),15,FALSE),"")</f>
        <v/>
      </c>
      <c r="K26" s="343" t="str">
        <f ca="1">IFERROR(VLOOKUP(G25,OFFSET($AG$2,,,COUNTIF($AG$2:$AG$50,"?*"),23),16,FALSE),"")</f>
        <v/>
      </c>
      <c r="L26" s="344"/>
      <c r="M26" s="365" t="str">
        <f ca="1">IFERROR(IF(VLOOKUP(M23,OFFSET($AG$2,,,COUNTIF($AG$2:$AG$50,"?*"),23),13,FALSE)&lt;&gt;0,VLOOKUP(M23,OFFSET($AG$2,,,COUNTIF($AG$2:$AG$50,"?*"),23),13,FALSE),"?"),"")</f>
        <v/>
      </c>
      <c r="N26" s="366"/>
      <c r="O26" s="367"/>
      <c r="P26" s="368" t="str">
        <f ca="1">IFERROR(IF(VLOOKUP(M23,OFFSET($AG$2,,,COUNTIF($AG$2:$AG$50,"?*"),23),14,FALSE)&lt;&gt;0,VLOOKUP(M23,OFFSET($AG$2,,,COUNTIF($AG$2:$AG$50,"?*"),23),14,FALSE),"?"),"")</f>
        <v/>
      </c>
      <c r="Q26" s="369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284</v>
      </c>
      <c r="T26" s="102" t="s">
        <v>117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285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319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6"/>
      <c r="BT26" s="104" t="s">
        <v>1250</v>
      </c>
      <c r="BU26" s="103">
        <v>4</v>
      </c>
      <c r="BV26" s="104" t="str">
        <f t="shared" si="13"/>
        <v>Marek Vávra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377" t="str">
        <f ca="1">IFERROR(VLOOKUP(G25,OFFSET($AG$2,,,COUNTIF($AG$2:$AG$50,"?*"),23),18,FALSE),"")</f>
        <v/>
      </c>
      <c r="H27" s="378"/>
      <c r="I27" s="378"/>
      <c r="J27" s="379" t="str">
        <f ca="1">IFERROR(VLOOKUP(G25,OFFSET($AG$2,,,COUNTIF($AG$2:$AG$50,"?*"),23),19,FALSE),"")</f>
        <v/>
      </c>
      <c r="K27" s="379"/>
      <c r="L27" s="380"/>
      <c r="S27" s="110" t="s">
        <v>294</v>
      </c>
      <c r="U27" s="102">
        <v>7</v>
      </c>
      <c r="V27" s="102">
        <v>0</v>
      </c>
      <c r="W27" s="102">
        <v>0</v>
      </c>
      <c r="X27" s="102">
        <v>0</v>
      </c>
      <c r="Y27" s="102">
        <v>0</v>
      </c>
      <c r="Z27" s="102">
        <v>0</v>
      </c>
      <c r="AA27" s="102">
        <v>0</v>
      </c>
      <c r="AB27" s="102">
        <v>-5</v>
      </c>
      <c r="AC27" s="102" t="str">
        <f t="shared" ca="1" si="0"/>
        <v>ANO</v>
      </c>
      <c r="AG27" s="121" t="s">
        <v>302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303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6" t="s">
        <v>39</v>
      </c>
      <c r="BT27" s="104" t="s">
        <v>1251</v>
      </c>
      <c r="BU27" s="103">
        <v>8</v>
      </c>
      <c r="BV27" s="104" t="str">
        <f t="shared" si="13"/>
        <v>Michal Strnad</v>
      </c>
      <c r="BW27" s="102">
        <f t="shared" si="14"/>
        <v>8</v>
      </c>
    </row>
    <row r="28" spans="1:75" ht="15" customHeight="1" thickTop="1" thickBot="1" x14ac:dyDescent="0.25">
      <c r="A28" s="348"/>
      <c r="B28" s="349"/>
      <c r="C28" s="349"/>
      <c r="D28" s="34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5" t="str">
        <f ca="1">IFERROR(IF(VLOOKUP(G25,OFFSET($AG$2,,,COUNTIF($AG$2:$AG$50,"?*"),23),13,FALSE)&lt;&gt;0,VLOOKUP(G25,OFFSET($AG$2,,,COUNTIF($AG$2:$AG$50,"?*"),23),13,FALSE),"?"),"")</f>
        <v/>
      </c>
      <c r="H28" s="366"/>
      <c r="I28" s="367"/>
      <c r="J28" s="368" t="str">
        <f ca="1">IFERROR(IF(VLOOKUP(G25,OFFSET($AG$2,,,COUNTIF($AG$2:$AG$50,"?*"),23),14,FALSE)&lt;&gt;0,VLOOKUP(G25,OFFSET($AG$2,,,COUNTIF($AG$2:$AG$50,"?*"),23),14,FALSE),"?"),"")</f>
        <v/>
      </c>
      <c r="K28" s="369"/>
      <c r="L28" s="7" t="str">
        <f ca="1">IFERROR(IF(VLOOKUP(G25,OFFSET($AG$2,,,COUNTIF($AG$2:$AG$50,"?*"),23),7,FALSE)&lt;&gt;0,VLOOKUP(G25,OFFSET($AG$2,,,COUNTIF($AG$2:$AG$50,"?*"),23),7,FALSE),"?"),"")</f>
        <v/>
      </c>
      <c r="M28" s="348"/>
      <c r="N28" s="349"/>
      <c r="O28" s="349"/>
      <c r="P28" s="34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0" t="s">
        <v>301</v>
      </c>
      <c r="T28" s="102" t="s">
        <v>64</v>
      </c>
      <c r="U28" s="102">
        <v>7</v>
      </c>
      <c r="V28" s="102">
        <v>0</v>
      </c>
      <c r="W28" s="102">
        <v>0</v>
      </c>
      <c r="X28" s="102">
        <v>0</v>
      </c>
      <c r="Y28" s="102">
        <v>0</v>
      </c>
      <c r="Z28" s="102">
        <v>0</v>
      </c>
      <c r="AA28" s="102">
        <v>8</v>
      </c>
      <c r="AB28" s="102">
        <v>-7</v>
      </c>
      <c r="AC28" s="102" t="str">
        <f t="shared" ca="1" si="0"/>
        <v>ANO</v>
      </c>
      <c r="AG28" s="121" t="s">
        <v>274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166</v>
      </c>
      <c r="AP28" s="125" t="s">
        <v>149</v>
      </c>
      <c r="AQ28" s="123">
        <v>178</v>
      </c>
      <c r="AR28" s="123">
        <v>72</v>
      </c>
      <c r="AS28" s="126" t="s">
        <v>70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8 OZ, 15 (11+4), +1 ±</v>
      </c>
      <c r="AY28" s="129" t="str">
        <f t="shared" ca="1" si="16"/>
        <v>238 OZ, 473 (277+196)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6"/>
      <c r="BT28" s="104" t="s">
        <v>1252</v>
      </c>
      <c r="BU28" s="103">
        <v>4</v>
      </c>
      <c r="BV28" s="104" t="str">
        <f t="shared" si="13"/>
        <v>Daniel Eremiáš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1" t="str">
        <f ca="1">IFERROR(IF(VLOOKUP(A28,OFFSET($AG$2,,,COUNTIF($AG$2:$AG$50,"?*"),23),2,FALSE)&lt;&gt;0,YEAR(VLOOKUP(A28,OFFSET($AG$2,,,COUNTIF($AG$2:$AG$50,"?*"),23),2,FALSE)),""),"")</f>
        <v/>
      </c>
      <c r="C29" s="342"/>
      <c r="D29" s="117" t="str">
        <f ca="1">IFERROR(VLOOKUP(A28,OFFSET($AG$2,,,COUNTIF($AG$2:$AG$50,"?*"),23),15,FALSE),"")</f>
        <v/>
      </c>
      <c r="E29" s="343" t="str">
        <f ca="1">IFERROR(VLOOKUP(A28,OFFSET($AG$2,,,COUNTIF($AG$2:$AG$50,"?*"),23),16,FALSE),"")</f>
        <v/>
      </c>
      <c r="F29" s="344"/>
      <c r="M29" s="4" t="str">
        <f ca="1">IFERROR(IF(VLOOKUP(M28,OFFSET($AG$2,,,COUNTIF($AG$2:$AG$50,"?*"),23),10,FALSE)&lt;&gt;0,VLOOKUP(M28,OFFSET($AG$2,,,COUNTIF($AG$2:$AG$50,"?*"),23),10,FALSE),""),"")</f>
        <v/>
      </c>
      <c r="N29" s="341" t="str">
        <f ca="1">IFERROR(IF(VLOOKUP(M28,OFFSET($AG$2,,,COUNTIF($AG$2:$AG$50,"?*"),23),2,FALSE)&lt;&gt;0,YEAR(VLOOKUP(M28,OFFSET($AG$2,,,COUNTIF($AG$2:$AG$50,"?*"),23),2,FALSE)),""),"")</f>
        <v/>
      </c>
      <c r="O29" s="342"/>
      <c r="P29" s="117" t="str">
        <f ca="1">IFERROR(VLOOKUP(M28,OFFSET($AG$2,,,COUNTIF($AG$2:$AG$50,"?*"),23),15,FALSE),"")</f>
        <v/>
      </c>
      <c r="Q29" s="343" t="str">
        <f ca="1">IFERROR(VLOOKUP(M28,OFFSET($AG$2,,,COUNTIF($AG$2:$AG$50,"?*"),23),16,FALSE),"")</f>
        <v/>
      </c>
      <c r="R29" s="344"/>
      <c r="S29" s="111"/>
      <c r="AC29" s="102" t="str">
        <f t="shared" ca="1" si="0"/>
        <v/>
      </c>
      <c r="AG29" s="121" t="s">
        <v>275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149</v>
      </c>
      <c r="AQ29" s="123">
        <v>178</v>
      </c>
      <c r="AR29" s="123">
        <v>80</v>
      </c>
      <c r="AS29" s="126" t="s">
        <v>70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6"/>
      <c r="BT29" s="104" t="s">
        <v>1253</v>
      </c>
      <c r="BU29" s="103">
        <v>4</v>
      </c>
      <c r="BV29" s="104" t="str">
        <f t="shared" si="13"/>
        <v>Michal Podhráský</v>
      </c>
      <c r="BW29" s="102">
        <f t="shared" si="14"/>
        <v>4</v>
      </c>
    </row>
    <row r="30" spans="1:75" ht="15" customHeight="1" x14ac:dyDescent="0.2">
      <c r="A30" s="377" t="str">
        <f ca="1">IFERROR(VLOOKUP(A28,OFFSET($AG$2,,,COUNTIF($AG$2:$AG$50,"?*"),23),18,FALSE),"")</f>
        <v/>
      </c>
      <c r="B30" s="378"/>
      <c r="C30" s="378"/>
      <c r="D30" s="379" t="str">
        <f ca="1">IFERROR(VLOOKUP(A28,OFFSET($AG$2,,,COUNTIF($AG$2:$AG$50,"?*"),23),19,FALSE),"")</f>
        <v/>
      </c>
      <c r="E30" s="379"/>
      <c r="F30" s="380"/>
      <c r="H30" s="381" t="str">
        <f>H$8</f>
        <v>CHO</v>
      </c>
      <c r="I30" s="381"/>
      <c r="J30" s="381"/>
      <c r="K30" s="381"/>
      <c r="M30" s="377" t="str">
        <f ca="1">IFERROR(VLOOKUP(M28,OFFSET($AG$2,,,COUNTIF($AG$2:$AG$50,"?*"),23),18,FALSE),"")</f>
        <v/>
      </c>
      <c r="N30" s="378"/>
      <c r="O30" s="378"/>
      <c r="P30" s="379" t="str">
        <f ca="1">IFERROR(VLOOKUP(M28,OFFSET($AG$2,,,COUNTIF($AG$2:$AG$50,"?*"),23),19,FALSE),"")</f>
        <v/>
      </c>
      <c r="Q30" s="379"/>
      <c r="R30" s="380"/>
      <c r="S30" s="111"/>
      <c r="AC30" s="102" t="str">
        <f t="shared" ca="1" si="0"/>
        <v/>
      </c>
      <c r="AG30" s="121" t="s">
        <v>278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149</v>
      </c>
      <c r="AQ30" s="123">
        <v>184</v>
      </c>
      <c r="AR30" s="123">
        <v>78</v>
      </c>
      <c r="AS30" s="126" t="s">
        <v>311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8 OZ, 4 (4+0), -5 ±</v>
      </c>
      <c r="AY30" s="129" t="str">
        <f t="shared" ca="1" si="16"/>
        <v>114 OZ, 63 (38+25)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36"/>
      <c r="BT30" s="104" t="s">
        <v>1254</v>
      </c>
      <c r="BU30" s="103">
        <v>4</v>
      </c>
      <c r="BV30" s="104" t="str">
        <f t="shared" si="13"/>
        <v>Mikuláš Komárek</v>
      </c>
      <c r="BW30" s="102">
        <f t="shared" si="14"/>
        <v>4</v>
      </c>
    </row>
    <row r="31" spans="1:75" ht="15" customHeight="1" thickBot="1" x14ac:dyDescent="0.25">
      <c r="A31" s="365" t="str">
        <f ca="1">IFERROR(IF(VLOOKUP(A28,OFFSET($AG$2,,,COUNTIF($AG$2:$AG$50,"?*"),23),13,FALSE)&lt;&gt;0,VLOOKUP(A28,OFFSET($AG$2,,,COUNTIF($AG$2:$AG$50,"?*"),23),13,FALSE),"?"),"")</f>
        <v/>
      </c>
      <c r="B31" s="366"/>
      <c r="C31" s="367"/>
      <c r="D31" s="368" t="str">
        <f ca="1">IFERROR(IF(VLOOKUP(A28,OFFSET($AG$2,,,COUNTIF($AG$2:$AG$50,"?*"),23),14,FALSE)&lt;&gt;0,VLOOKUP(A28,OFFSET($AG$2,,,COUNTIF($AG$2:$AG$50,"?*"),23),14,FALSE),"?"),"")</f>
        <v/>
      </c>
      <c r="E31" s="369"/>
      <c r="F31" s="7" t="str">
        <f ca="1">IFERROR(IF(VLOOKUP(A28,OFFSET($AG$2,,,COUNTIF($AG$2:$AG$50,"?*"),23),7,FALSE)&lt;&gt;0,VLOOKUP(A28,OFFSET($AG$2,,,COUNTIF($AG$2:$AG$50,"?*"),23),7,FALSE),"?"),"")</f>
        <v/>
      </c>
      <c r="H31" s="381"/>
      <c r="I31" s="381"/>
      <c r="J31" s="381"/>
      <c r="K31" s="381"/>
      <c r="M31" s="365" t="str">
        <f ca="1">IFERROR(IF(VLOOKUP(M28,OFFSET($AG$2,,,COUNTIF($AG$2:$AG$50,"?*"),23),13,FALSE)&lt;&gt;0,VLOOKUP(M28,OFFSET($AG$2,,,COUNTIF($AG$2:$AG$50,"?*"),23),13,FALSE),"?"),"")</f>
        <v/>
      </c>
      <c r="N31" s="366"/>
      <c r="O31" s="367"/>
      <c r="P31" s="368" t="str">
        <f ca="1">IFERROR(IF(VLOOKUP(M28,OFFSET($AG$2,,,COUNTIF($AG$2:$AG$50,"?*"),23),14,FALSE)&lt;&gt;0,VLOOKUP(M28,OFFSET($AG$2,,,COUNTIF($AG$2:$AG$50,"?*"),23),14,FALSE),"?"),"")</f>
        <v/>
      </c>
      <c r="Q31" s="36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6"/>
      <c r="BT31" s="104" t="s">
        <v>1255</v>
      </c>
      <c r="BU31" s="103">
        <v>4</v>
      </c>
      <c r="BV31" s="104" t="str">
        <f t="shared" si="13"/>
        <v>Radim Slunečko</v>
      </c>
      <c r="BW31" s="102">
        <f t="shared" si="14"/>
        <v>4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8"/>
      <c r="B34" s="349"/>
      <c r="C34" s="349"/>
      <c r="D34" s="34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6" t="s">
        <v>16</v>
      </c>
      <c r="J34" s="348"/>
      <c r="K34" s="349"/>
      <c r="L34" s="349"/>
      <c r="M34" s="349"/>
      <c r="N34" s="349"/>
      <c r="O34" s="349"/>
      <c r="P34" s="34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1" t="str">
        <f ca="1">IFERROR(IF(VLOOKUP(A34,OFFSET($AG$2,,,COUNTIF($AG$2:$AG$50,"?*"),23),2,FALSE)&lt;&gt;0,YEAR(VLOOKUP(A34,OFFSET($AG$2,,,COUNTIF($AG$2:$AG$50,"?*"),23),2,FALSE)),""),"")</f>
        <v/>
      </c>
      <c r="C35" s="342"/>
      <c r="D35" s="117" t="str">
        <f ca="1">IFERROR(VLOOKUP(A34,OFFSET($AG$2,,,COUNTIF($AG$2:$AG$50,"?*"),23),15,FALSE),"")</f>
        <v/>
      </c>
      <c r="E35" s="343" t="str">
        <f ca="1">IFERROR(VLOOKUP(A34,OFFSET($AG$2,,,COUNTIF($AG$2:$AG$50,"?*"),23),16,FALSE),"")</f>
        <v/>
      </c>
      <c r="F35" s="344"/>
      <c r="H35" s="376"/>
      <c r="J35" s="4" t="str">
        <f ca="1">IFERROR(IF(VLOOKUP(J34,OFFSET($AG$2,,,COUNTIF($AG$2:$AG$50,"?*"),23),10,FALSE)&lt;&gt;0,VLOOKUP(J34,OFFSET($AG$2,,,COUNTIF($AG$2:$AG$50,"?*"),23),10,FALSE),""),"")</f>
        <v/>
      </c>
      <c r="K35" s="342" t="str">
        <f ca="1">IFERROR(IF(VLOOKUP(J34,OFFSET($AG$2,,,COUNTIF($AG$2:$AG$50,"?*"),23),2,FALSE)&lt;&gt;0,YEAR(VLOOKUP(J34,OFFSET($AG$2,,,COUNTIF($AG$2:$AG$50,"?*"),23),2,FALSE)),""),"")</f>
        <v/>
      </c>
      <c r="L35" s="350"/>
      <c r="M35" s="118" t="str">
        <f ca="1">IFERROR(VLOOKUP(J34,OFFSET($AG$2,,,COUNTIF($AG$2:$AG$50,"?*"),23),15,FALSE),"")</f>
        <v/>
      </c>
      <c r="N35" s="350" t="str">
        <f ca="1">IFERROR(VLOOKUP(J34,OFFSET($AG$2,,,COUNTIF($AG$2:$AG$50,"?*"),23),16,FALSE),"")</f>
        <v/>
      </c>
      <c r="O35" s="350"/>
      <c r="P35" s="350" t="str">
        <f ca="1">IFERROR(VLOOKUP(J34,OFFSET($AG$2,,,COUNTIF($AG$2:$AG$50,"?*"),23),18,FALSE),"")</f>
        <v/>
      </c>
      <c r="Q35" s="350"/>
      <c r="R35" s="35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5" t="str">
        <f ca="1">IFERROR(VLOOKUP(A34,OFFSET($AG$2,,,COUNTIF($AG$2:$AG$50,"?*"),23),18,FALSE),"")</f>
        <v/>
      </c>
      <c r="C36" s="345"/>
      <c r="D36" s="346" t="str">
        <f ca="1">IFERROR(VLOOKUP(A34,OFFSET($S$45,,,COUNTIF($S$45:$S$50,"?*"),14),5,FALSE),"")</f>
        <v/>
      </c>
      <c r="E36" s="347"/>
      <c r="F36" s="17" t="str">
        <f ca="1">IFERROR(VLOOKUP(A34,OFFSET($S$45,,,COUNTIF($S$45:$S$50,"?*"),14),14,FALSE),"")</f>
        <v/>
      </c>
      <c r="H36" s="376"/>
      <c r="J36" s="18" t="str">
        <f ca="1">IFERROR(IF(VLOOKUP(J34,OFFSET($AG$2,,,COUNTIF($AG$2:$AG$50,"?*"),23),7,FALSE)&lt;&gt;0,VLOOKUP(J34,OFFSET($AG$2,,,COUNTIF($AG$2:$AG$50,"?*"),23),7,FALSE),"?"),"")</f>
        <v/>
      </c>
      <c r="K36" s="352" t="str">
        <f ca="1">IFERROR(VLOOKUP(J34,OFFSET($AG$2,,,COUNTIF($AG$2:$AG$50,"?*"),23),19,FALSE),"")</f>
        <v/>
      </c>
      <c r="L36" s="352"/>
      <c r="M36" s="352"/>
      <c r="N36" s="353" t="str">
        <f ca="1">IFERROR(IF(VLOOKUP(J34,OFFSET($AG$2,,,COUNTIF($AG$2:$AG$50,"?*"),23),13,FALSE)&lt;&gt;0,VLOOKUP(J34,OFFSET($AG$2,,,COUNTIF($AG$2:$AG$50,"?*"),23),13,FALSE),"?"),"")</f>
        <v/>
      </c>
      <c r="O36" s="353"/>
      <c r="P36" s="353"/>
      <c r="Q36" s="352" t="str">
        <f ca="1">IFERROR(IF(VLOOKUP(J34,OFFSET($AG$2,,,COUNTIF($AG$2:$AG$50,"?*"),23),14,FALSE)&lt;&gt;0,VLOOKUP(J34,OFFSET($AG$2,,,COUNTIF($AG$2:$AG$50,"?*"),23),14,FALSE),"?"),"")</f>
        <v/>
      </c>
      <c r="R36" s="35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0" t="str">
        <f ca="1">IFERROR(VLOOKUP(A34,OFFSET($S$45,,,COUNTIF($S$45:$S$50,"?*"),14),3,FALSE),"")</f>
        <v/>
      </c>
      <c r="B37" s="371"/>
      <c r="C37" s="372" t="str">
        <f ca="1">IFERROR(VLOOKUP(A34,OFFSET($S$45,,,COUNTIF($S$45:$S$50,"?*"),14),13,FALSE),"")</f>
        <v/>
      </c>
      <c r="D37" s="373"/>
      <c r="E37" s="374" t="str">
        <f ca="1">IFERROR(VLOOKUP(A34,OFFSET($AG$2,,,COUNTIF($AG$2:$AG$50,"?*"),23),19,FALSE),"")</f>
        <v/>
      </c>
      <c r="F37" s="375"/>
      <c r="H37" s="37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5" t="str">
        <f ca="1">IFERROR(IF(VLOOKUP(A34,OFFSET($AG$2,,,COUNTIF($AG$2:$AG$50,"?*"),23),13,FALSE)&lt;&gt;0,VLOOKUP(A34,OFFSET($AG$2,,,COUNTIF($AG$2:$AG$50,"?*"),23),13,FALSE),"?"),"")</f>
        <v/>
      </c>
      <c r="B38" s="366"/>
      <c r="C38" s="367"/>
      <c r="D38" s="368" t="str">
        <f ca="1">IFERROR(IF(VLOOKUP(A34,OFFSET($AG$2,,,COUNTIF($AG$2:$AG$50,"?*"),23),14,FALSE)&lt;&gt;0,VLOOKUP(A34,OFFSET($AG$2,,,COUNTIF($AG$2:$AG$50,"?*"),23),14,FALSE),"?"),"")</f>
        <v/>
      </c>
      <c r="E38" s="369"/>
      <c r="F38" s="19" t="str">
        <f ca="1">IFERROR(VLOOKUP(A34,OFFSET($S$45,,,COUNTIF($S$45:$S$50,"?*"),14),6,FALSE),"")</f>
        <v/>
      </c>
      <c r="H38" s="376"/>
      <c r="J38" s="348"/>
      <c r="K38" s="349"/>
      <c r="L38" s="349"/>
      <c r="M38" s="349"/>
      <c r="N38" s="349"/>
      <c r="O38" s="349"/>
      <c r="P38" s="34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6"/>
      <c r="J39" s="4" t="str">
        <f ca="1">IFERROR(IF(VLOOKUP(J38,OFFSET($AG$2,,,COUNTIF($AG$2:$AG$50,"?*"),23),10,FALSE)&lt;&gt;0,VLOOKUP(J38,OFFSET($AG$2,,,COUNTIF($AG$2:$AG$50,"?*"),23),10,FALSE),""),"")</f>
        <v/>
      </c>
      <c r="K39" s="342" t="str">
        <f ca="1">IFERROR(IF(VLOOKUP(J38,OFFSET($AG$2,,,COUNTIF($AG$2:$AG$50,"?*"),23),2,FALSE)&lt;&gt;0,YEAR(VLOOKUP(J38,OFFSET($AG$2,,,COUNTIF($AG$2:$AG$50,"?*"),23),2,FALSE)),""),"")</f>
        <v/>
      </c>
      <c r="L39" s="350"/>
      <c r="M39" s="151" t="str">
        <f ca="1">IFERROR(VLOOKUP(J38,OFFSET($AG$2,,,COUNTIF($AG$2:$AG$50,"?*"),23),15,FALSE),"")</f>
        <v/>
      </c>
      <c r="N39" s="350" t="str">
        <f ca="1">IFERROR(VLOOKUP(J38,OFFSET($AG$2,,,COUNTIF($AG$2:$AG$50,"?*"),23),16,FALSE),"")</f>
        <v/>
      </c>
      <c r="O39" s="350"/>
      <c r="P39" s="350" t="str">
        <f ca="1">IFERROR(VLOOKUP(J38,OFFSET($AG$2,,,COUNTIF($AG$2:$AG$50,"?*"),23),18,FALSE),"")</f>
        <v/>
      </c>
      <c r="Q39" s="350"/>
      <c r="R39" s="35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8"/>
      <c r="B40" s="349"/>
      <c r="C40" s="349"/>
      <c r="D40" s="34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6"/>
      <c r="J40" s="18" t="str">
        <f ca="1">IFERROR(IF(VLOOKUP(J38,OFFSET($AG$2,,,COUNTIF($AG$2:$AG$50,"?*"),23),7,FALSE)&lt;&gt;0,VLOOKUP(J38,OFFSET($AG$2,,,COUNTIF($AG$2:$AG$50,"?*"),23),7,FALSE),"?"),"")</f>
        <v/>
      </c>
      <c r="K40" s="352" t="str">
        <f ca="1">IFERROR(VLOOKUP(J38,OFFSET($AG$2,,,COUNTIF($AG$2:$AG$50,"?*"),23),19,FALSE),"")</f>
        <v/>
      </c>
      <c r="L40" s="352"/>
      <c r="M40" s="352"/>
      <c r="N40" s="353" t="str">
        <f ca="1">IFERROR(IF(VLOOKUP(J38,OFFSET($AG$2,,,COUNTIF($AG$2:$AG$50,"?*"),23),13,FALSE)&lt;&gt;0,VLOOKUP(J38,OFFSET($AG$2,,,COUNTIF($AG$2:$AG$50,"?*"),23),13,FALSE),"?"),"")</f>
        <v/>
      </c>
      <c r="O40" s="353"/>
      <c r="P40" s="353"/>
      <c r="Q40" s="352" t="str">
        <f ca="1">IFERROR(IF(VLOOKUP(J38,OFFSET($AG$2,,,COUNTIF($AG$2:$AG$50,"?*"),23),14,FALSE)&lt;&gt;0,VLOOKUP(J38,OFFSET($AG$2,,,COUNTIF($AG$2:$AG$50,"?*"),23),14,FALSE),"?"),"")</f>
        <v/>
      </c>
      <c r="R40" s="35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1" t="str">
        <f ca="1">IFERROR(IF(VLOOKUP(A40,OFFSET($AG$2,,,COUNTIF($AG$2:$AG$50,"?*"),23),2,FALSE)&lt;&gt;0,YEAR(VLOOKUP(A40,OFFSET($AG$2,,,COUNTIF($AG$2:$AG$50,"?*"),23),2,FALSE)),""),"")</f>
        <v/>
      </c>
      <c r="C41" s="342"/>
      <c r="D41" s="117" t="str">
        <f ca="1">IFERROR(VLOOKUP(A40,OFFSET($AG$2,,,COUNTIF($AG$2:$AG$50,"?*"),23),15,FALSE),"")</f>
        <v/>
      </c>
      <c r="E41" s="343" t="str">
        <f ca="1">IFERROR(VLOOKUP(A40,OFFSET($AG$2,,,COUNTIF($AG$2:$AG$50,"?*"),23),16,FALSE),"")</f>
        <v/>
      </c>
      <c r="F41" s="344"/>
      <c r="H41" s="37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5" t="str">
        <f ca="1">IFERROR(VLOOKUP(A40,OFFSET($AG$2,,,COUNTIF($AG$2:$AG$50,"?*"),23),18,FALSE),"")</f>
        <v/>
      </c>
      <c r="C42" s="345"/>
      <c r="D42" s="346" t="str">
        <f ca="1">IFERROR(VLOOKUP(A40,OFFSET($S$45,,,COUNTIF($S$45:$S$50,"?*"),14),5,FALSE),"")</f>
        <v/>
      </c>
      <c r="E42" s="347"/>
      <c r="F42" s="17" t="str">
        <f ca="1">IFERROR(VLOOKUP(A40,OFFSET($S$45,,,COUNTIF($S$45:$S$50,"?*"),14),14,FALSE),"")</f>
        <v/>
      </c>
      <c r="H42" s="376"/>
      <c r="J42" s="348"/>
      <c r="K42" s="349"/>
      <c r="L42" s="349"/>
      <c r="M42" s="349"/>
      <c r="N42" s="349"/>
      <c r="O42" s="349"/>
      <c r="P42" s="34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0" t="str">
        <f ca="1">IFERROR(VLOOKUP(A40,OFFSET($S$45,,,COUNTIF($S$45:$S$50,"?*"),14),3,FALSE),"")</f>
        <v/>
      </c>
      <c r="B43" s="371"/>
      <c r="C43" s="372" t="str">
        <f ca="1">IFERROR(VLOOKUP(A40,OFFSET($S$45,,,COUNTIF($S$45:$S$50,"?*"),14),13,FALSE),"")</f>
        <v/>
      </c>
      <c r="D43" s="373"/>
      <c r="E43" s="374" t="str">
        <f ca="1">IFERROR(VLOOKUP(A40,OFFSET($AG$2,,,COUNTIF($AG$2:$AG$50,"?*"),23),19,FALSE),"")</f>
        <v/>
      </c>
      <c r="F43" s="375"/>
      <c r="H43" s="376"/>
      <c r="J43" s="4" t="str">
        <f ca="1">IFERROR(IF(VLOOKUP(J42,OFFSET($AG$2,,,COUNTIF($AG$2:$AG$50,"?*"),23),10,FALSE)&lt;&gt;0,VLOOKUP(J42,OFFSET($AG$2,,,COUNTIF($AG$2:$AG$50,"?*"),23),10,FALSE),""),"")</f>
        <v/>
      </c>
      <c r="K43" s="342" t="str">
        <f ca="1">IFERROR(IF(VLOOKUP(J42,OFFSET($AG$2,,,COUNTIF($AG$2:$AG$50,"?*"),23),2,FALSE)&lt;&gt;0,YEAR(VLOOKUP(J42,OFFSET($AG$2,,,COUNTIF($AG$2:$AG$50,"?*"),23),2,FALSE)),""),"")</f>
        <v/>
      </c>
      <c r="L43" s="350"/>
      <c r="M43" s="151" t="str">
        <f ca="1">IFERROR(VLOOKUP(J42,OFFSET($AG$2,,,COUNTIF($AG$2:$AG$50,"?*"),23),15,FALSE),"")</f>
        <v/>
      </c>
      <c r="N43" s="350" t="str">
        <f ca="1">IFERROR(VLOOKUP(J42,OFFSET($AG$2,,,COUNTIF($AG$2:$AG$50,"?*"),23),16,FALSE),"")</f>
        <v/>
      </c>
      <c r="O43" s="350"/>
      <c r="P43" s="350" t="str">
        <f ca="1">IFERROR(VLOOKUP(J42,OFFSET($AG$2,,,COUNTIF($AG$2:$AG$50,"?*"),23),18,FALSE),"")</f>
        <v/>
      </c>
      <c r="Q43" s="350"/>
      <c r="R43" s="351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5" t="str">
        <f ca="1">IFERROR(IF(VLOOKUP(A40,OFFSET($AG$2,,,COUNTIF($AG$2:$AG$50,"?*"),23),13,FALSE)&lt;&gt;0,VLOOKUP(A40,OFFSET($AG$2,,,COUNTIF($AG$2:$AG$50,"?*"),23),13,FALSE),"?"),"")</f>
        <v/>
      </c>
      <c r="B44" s="366"/>
      <c r="C44" s="367"/>
      <c r="D44" s="368" t="str">
        <f ca="1">IFERROR(IF(VLOOKUP(A40,OFFSET($AG$2,,,COUNTIF($AG$2:$AG$50,"?*"),23),14,FALSE)&lt;&gt;0,VLOOKUP(A40,OFFSET($AG$2,,,COUNTIF($AG$2:$AG$50,"?*"),23),14,FALSE),"?"),"")</f>
        <v/>
      </c>
      <c r="E44" s="369"/>
      <c r="F44" s="19" t="str">
        <f ca="1">IFERROR(VLOOKUP(A40,OFFSET($S$45,,,COUNTIF($S$45:$S$50,"?*"),14),6,FALSE),"")</f>
        <v/>
      </c>
      <c r="H44" s="376"/>
      <c r="J44" s="18" t="str">
        <f ca="1">IFERROR(IF(VLOOKUP(J42,OFFSET($AG$2,,,COUNTIF($AG$2:$AG$50,"?*"),23),7,FALSE)&lt;&gt;0,VLOOKUP(J42,OFFSET($AG$2,,,COUNTIF($AG$2:$AG$50,"?*"),23),7,FALSE),"?"),"")</f>
        <v/>
      </c>
      <c r="K44" s="352" t="str">
        <f ca="1">IFERROR(VLOOKUP(J42,OFFSET($AG$2,,,COUNTIF($AG$2:$AG$50,"?*"),23),19,FALSE),"")</f>
        <v/>
      </c>
      <c r="L44" s="352"/>
      <c r="M44" s="352"/>
      <c r="N44" s="353" t="str">
        <f ca="1">IFERROR(IF(VLOOKUP(J42,OFFSET($AG$2,,,COUNTIF($AG$2:$AG$50,"?*"),23),13,FALSE)&lt;&gt;0,VLOOKUP(J42,OFFSET($AG$2,,,COUNTIF($AG$2:$AG$50,"?*"),23),13,FALSE),"?"),"")</f>
        <v/>
      </c>
      <c r="O44" s="353"/>
      <c r="P44" s="353"/>
      <c r="Q44" s="352" t="str">
        <f ca="1">IFERROR(IF(VLOOKUP(J42,OFFSET($AG$2,,,COUNTIF($AG$2:$AG$50,"?*"),23),14,FALSE)&lt;&gt;0,VLOOKUP(J42,OFFSET($AG$2,,,COUNTIF($AG$2:$AG$50,"?*"),23),14,FALSE),"?"),"")</f>
        <v/>
      </c>
      <c r="R44" s="354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285</v>
      </c>
      <c r="T45" s="102">
        <v>4</v>
      </c>
      <c r="U45" s="112">
        <v>212.82</v>
      </c>
      <c r="V45" s="102">
        <v>1</v>
      </c>
      <c r="W45" s="102">
        <v>20</v>
      </c>
      <c r="X45" s="102">
        <v>0</v>
      </c>
      <c r="Y45" s="102">
        <v>88</v>
      </c>
      <c r="Z45" s="102">
        <v>0</v>
      </c>
      <c r="AA45" s="102">
        <v>3</v>
      </c>
      <c r="AB45" s="102">
        <v>68</v>
      </c>
      <c r="AC45" s="102">
        <v>0</v>
      </c>
      <c r="AD45" s="102">
        <v>0</v>
      </c>
      <c r="AE45" s="112">
        <f>IF(S45&lt;&gt;"",IF(T45&gt;0,W45/(U45/60),0),"")</f>
        <v>5.6385678037778408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293</v>
      </c>
      <c r="T46" s="102">
        <v>5</v>
      </c>
      <c r="U46" s="112">
        <v>264.52999999999997</v>
      </c>
      <c r="V46" s="102">
        <v>4</v>
      </c>
      <c r="W46" s="102">
        <v>21</v>
      </c>
      <c r="X46" s="102">
        <v>0</v>
      </c>
      <c r="Y46" s="102">
        <v>81</v>
      </c>
      <c r="Z46" s="102">
        <v>0</v>
      </c>
      <c r="AA46" s="102">
        <v>1</v>
      </c>
      <c r="AB46" s="102">
        <v>60</v>
      </c>
      <c r="AC46" s="102">
        <v>0</v>
      </c>
      <c r="AD46" s="102">
        <v>0</v>
      </c>
      <c r="AE46" s="112">
        <f t="shared" ref="AE46:AE50" si="23">IF(S46&lt;&gt;"",IF(T46&gt;0,W46/(U46/60),0),"")</f>
        <v>4.7631648584281558</v>
      </c>
      <c r="AF46" s="112">
        <f t="shared" ref="AF46:AF50" si="24">IF(S46&lt;&gt;"",IF(Y46&gt;0,(AB46/Y46)*100,"-"),"")</f>
        <v>74.074074074074076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7"/>
      <c r="B47" s="338"/>
      <c r="C47" s="338"/>
      <c r="D47" s="338"/>
      <c r="E47" s="339" t="str">
        <f ca="1">IFERROR(VLOOKUP(A47,OFFSET($BN$2,,,COUNTIF($BN$2:$BN$11,"?*"),5),3,FALSE),"")</f>
        <v/>
      </c>
      <c r="F47" s="339"/>
      <c r="G47" s="339"/>
      <c r="H47" s="339"/>
      <c r="I47" s="340"/>
      <c r="J47" s="337"/>
      <c r="K47" s="338"/>
      <c r="L47" s="338"/>
      <c r="M47" s="338"/>
      <c r="N47" s="339" t="str">
        <f ca="1">IFERROR(VLOOKUP(J47,OFFSET($BN$2,,,COUNTIF($BN$2:$BN$11,"?*"),5),3,FALSE),"")</f>
        <v/>
      </c>
      <c r="O47" s="339"/>
      <c r="P47" s="339"/>
      <c r="Q47" s="339"/>
      <c r="R47" s="340"/>
      <c r="S47" s="111" t="s">
        <v>284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5" t="str">
        <f ca="1">IFERROR(VLOOKUP(A47,OFFSET($BN$2,,,COUNTIF($BN$2:$BN$11,"?*"),5),5,FALSE),"")</f>
        <v/>
      </c>
      <c r="B48" s="357" t="str">
        <f ca="1">IFERROR(IF(VLOOKUP(A47,OFFSET($BN$2,,,COUNTIF($BN$2:$BN$11,"?*"),5),4,FALSE)&lt;&gt;0,VLOOKUP(A47,OFFSET($BN$2,,,COUNTIF($BN$2:$BN$11,"?*"),5),4,FALSE),"-"),"")</f>
        <v/>
      </c>
      <c r="C48" s="357"/>
      <c r="D48" s="357"/>
      <c r="E48" s="357"/>
      <c r="F48" s="357"/>
      <c r="G48" s="357"/>
      <c r="H48" s="357"/>
      <c r="I48" s="358"/>
      <c r="J48" s="119" t="str">
        <f ca="1">IFERROR(VLOOKUP(J47,OFFSET($BN$2,,,COUNTIF($BN$2:$BN$11,"?*"),5),5,FALSE),"")</f>
        <v/>
      </c>
      <c r="K48" s="361" t="str">
        <f ca="1">IFERROR(IF(VLOOKUP(J47,OFFSET($BN$2,,,COUNTIF($BN$2:$BN$11,"?*"),5),4,FALSE)&lt;&gt;0,VLOOKUP(J47,OFFSET($BN$2,,,COUNTIF($BN$2:$BN$11,"?*"),5),4,FALSE),"-"),"")</f>
        <v/>
      </c>
      <c r="L48" s="361"/>
      <c r="M48" s="361"/>
      <c r="N48" s="361"/>
      <c r="O48" s="361"/>
      <c r="P48" s="361"/>
      <c r="Q48" s="361"/>
      <c r="R48" s="362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5"/>
      <c r="B49" s="357"/>
      <c r="C49" s="357"/>
      <c r="D49" s="357"/>
      <c r="E49" s="357"/>
      <c r="F49" s="357"/>
      <c r="G49" s="357"/>
      <c r="H49" s="357"/>
      <c r="I49" s="358"/>
      <c r="J49" s="363"/>
      <c r="K49" s="364"/>
      <c r="L49" s="364"/>
      <c r="M49" s="364"/>
      <c r="N49" s="339" t="str">
        <f ca="1">IFERROR(VLOOKUP(J49,OFFSET($BN$2,,,COUNTIF($BN$2:$BN$11,"?*"),5),3,FALSE),"")</f>
        <v/>
      </c>
      <c r="O49" s="339"/>
      <c r="P49" s="339"/>
      <c r="Q49" s="339"/>
      <c r="R49" s="340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6"/>
      <c r="B50" s="359"/>
      <c r="C50" s="359"/>
      <c r="D50" s="359"/>
      <c r="E50" s="359"/>
      <c r="F50" s="359"/>
      <c r="G50" s="359"/>
      <c r="H50" s="359"/>
      <c r="I50" s="360"/>
      <c r="J50" s="119" t="str">
        <f ca="1">IFERROR(VLOOKUP(J49,OFFSET($BN$2,,,COUNTIF($BN$2:$BN$11,"?*"),5),5,FALSE),"")</f>
        <v/>
      </c>
      <c r="K50" s="361" t="str">
        <f ca="1">IFERROR(IF(VLOOKUP(J49,OFFSET($BN$2,,,COUNTIF($BN$2:$BN$11,"?*"),5),4,FALSE)&lt;&gt;0,VLOOKUP(J49,OFFSET($BN$2,,,COUNTIF($BN$2:$BN$11,"?*"),5),4,FALSE),"-"),"")</f>
        <v/>
      </c>
      <c r="L50" s="361"/>
      <c r="M50" s="361"/>
      <c r="N50" s="361"/>
      <c r="O50" s="361"/>
      <c r="P50" s="361"/>
      <c r="Q50" s="361"/>
      <c r="R50" s="362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topLeftCell="A9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8" t="s">
        <v>215</v>
      </c>
      <c r="B1" s="349"/>
      <c r="C1" s="349"/>
      <c r="D1" s="349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382" t="s">
        <v>1</v>
      </c>
      <c r="I1" s="382"/>
      <c r="J1" s="382"/>
      <c r="K1" s="382"/>
      <c r="M1" s="348" t="s">
        <v>221</v>
      </c>
      <c r="N1" s="349"/>
      <c r="O1" s="349"/>
      <c r="P1" s="349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41">
        <f ca="1">IFERROR(IF(VLOOKUP(A1,OFFSET($AG$2,,,COUNTIF($AG$2:$AG$50,"?*"),23),2,FALSE)&lt;&gt;0,YEAR(VLOOKUP(A1,OFFSET($AG$2,,,COUNTIF($AG$2:$AG$50,"?*"),23),2,FALSE)),""),"")</f>
        <v>1998</v>
      </c>
      <c r="C2" s="342"/>
      <c r="D2" s="94">
        <f ca="1">IFERROR(VLOOKUP(A1,OFFSET($AG$2,,,COUNTIF($AG$2:$AG$50,"?*"),23),15,FALSE),"")</f>
        <v>23</v>
      </c>
      <c r="E2" s="343" t="str">
        <f ca="1">IFERROR(VLOOKUP(A1,OFFSET($AG$2,,,COUNTIF($AG$2:$AG$50,"?*"),23),16,FALSE),"")</f>
        <v>177/74</v>
      </c>
      <c r="F2" s="344"/>
      <c r="M2" s="4" t="str">
        <f ca="1">IFERROR(IF(VLOOKUP(M1,OFFSET($AG$2,,,COUNTIF($AG$2:$AG$50,"?*"),23),10,FALSE)&lt;&gt;0,VLOOKUP(M1,OFFSET($AG$2,,,COUNTIF($AG$2:$AG$50,"?*"),23),10,FALSE),""),"")</f>
        <v>L</v>
      </c>
      <c r="N2" s="341">
        <f ca="1">IFERROR(IF(VLOOKUP(M1,OFFSET($AG$2,,,COUNTIF($AG$2:$AG$50,"?*"),23),2,FALSE)&lt;&gt;0,YEAR(VLOOKUP(M1,OFFSET($AG$2,,,COUNTIF($AG$2:$AG$50,"?*"),23),2,FALSE)),""),"")</f>
        <v>2003</v>
      </c>
      <c r="O2" s="342"/>
      <c r="P2" s="94">
        <f ca="1">IFERROR(VLOOKUP(M1,OFFSET($AG$2,,,COUNTIF($AG$2:$AG$50,"?*"),23),15,FALSE),"")</f>
        <v>18</v>
      </c>
      <c r="Q2" s="343" t="str">
        <f ca="1">IFERROR(VLOOKUP(M1,OFFSET($AG$2,,,COUNTIF($AG$2:$AG$50,"?*"),23),16,FALSE),"")</f>
        <v>187/83</v>
      </c>
      <c r="R2" s="344"/>
      <c r="S2" s="110" t="s">
        <v>218</v>
      </c>
      <c r="T2" s="102" t="s">
        <v>119</v>
      </c>
      <c r="U2" s="102">
        <v>7</v>
      </c>
      <c r="V2" s="102">
        <v>7</v>
      </c>
      <c r="W2" s="102">
        <v>2</v>
      </c>
      <c r="X2" s="102">
        <v>0</v>
      </c>
      <c r="Y2" s="102">
        <v>7</v>
      </c>
      <c r="Z2" s="102">
        <v>14</v>
      </c>
      <c r="AA2" s="102">
        <v>0</v>
      </c>
      <c r="AB2" s="102">
        <v>6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222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149</v>
      </c>
      <c r="AQ2" s="123">
        <v>185</v>
      </c>
      <c r="AR2" s="123">
        <v>86</v>
      </c>
      <c r="AS2" s="126" t="s">
        <v>234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7 OZ, 2 (2+0), -11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125 OZ, 37 (28+9)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251</v>
      </c>
      <c r="BO2" s="122">
        <v>24850</v>
      </c>
      <c r="BP2" s="131" t="s">
        <v>256</v>
      </c>
      <c r="BQ2" s="132" t="s">
        <v>260</v>
      </c>
      <c r="BR2" s="127">
        <f ca="1">IF(BN2&lt;&gt;"",IF(BO2&lt;&gt;"",INT((TODAY()-BO2)/365),"?"),"")</f>
        <v>53</v>
      </c>
      <c r="BS2" s="336" t="s">
        <v>36</v>
      </c>
      <c r="BT2" s="104" t="s">
        <v>1116</v>
      </c>
      <c r="BU2" s="103">
        <v>14</v>
      </c>
      <c r="BV2" s="104" t="str">
        <f>IFERROR(RIGHT(BT2,LEN(BT2)-SEARCH(" ",BT2)),"")</f>
        <v>Prokop Ferdan</v>
      </c>
      <c r="BW2" s="102">
        <f>IF(BT2&lt;&gt;0,_xlfn.NUMBERVALUE(BU2,","),"")</f>
        <v>14</v>
      </c>
      <c r="BX2" s="335" t="s">
        <v>211</v>
      </c>
      <c r="BY2" s="103" t="s">
        <v>966</v>
      </c>
      <c r="BZ2" s="103" t="s">
        <v>905</v>
      </c>
      <c r="CA2" s="115" t="s">
        <v>1264</v>
      </c>
    </row>
    <row r="3" spans="1:79" ht="15" customHeight="1" thickTop="1" thickBot="1" x14ac:dyDescent="0.25">
      <c r="A3" s="377" t="str">
        <f ca="1">IFERROR(VLOOKUP(A1,OFFSET($AG$2,,,COUNTIF($AG$2:$AG$50,"?*"),23),18,FALSE),"")</f>
        <v>8 OZ, 2 (2+0), -5 ±</v>
      </c>
      <c r="B3" s="378"/>
      <c r="C3" s="378"/>
      <c r="D3" s="379" t="str">
        <f ca="1">IFERROR(VLOOKUP(A1,OFFSET($AG$2,,,COUNTIF($AG$2:$AG$50,"?*"),23),19,FALSE),"")</f>
        <v>102 OZ, 31 (22+9)</v>
      </c>
      <c r="E3" s="379"/>
      <c r="F3" s="380"/>
      <c r="G3" s="348" t="s">
        <v>214</v>
      </c>
      <c r="H3" s="349"/>
      <c r="I3" s="349"/>
      <c r="J3" s="349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377" t="str">
        <f ca="1">IFERROR(VLOOKUP(M1,OFFSET($AG$2,,,COUNTIF($AG$2:$AG$50,"?*"),23),18,FALSE),"")</f>
        <v>8 OZ, 13 (6+7), -1 ±</v>
      </c>
      <c r="N3" s="378"/>
      <c r="O3" s="378"/>
      <c r="P3" s="379" t="str">
        <f ca="1">IFERROR(VLOOKUP(M1,OFFSET($AG$2,,,COUNTIF($AG$2:$AG$50,"?*"),23),19,FALSE),"")</f>
        <v>26 OZ, 27 (15+12)</v>
      </c>
      <c r="Q3" s="379"/>
      <c r="R3" s="380"/>
      <c r="S3" s="110" t="s">
        <v>221</v>
      </c>
      <c r="U3" s="102">
        <v>8</v>
      </c>
      <c r="V3" s="102">
        <v>6</v>
      </c>
      <c r="W3" s="102">
        <v>0</v>
      </c>
      <c r="X3" s="102">
        <v>0</v>
      </c>
      <c r="Y3" s="102">
        <v>7</v>
      </c>
      <c r="Z3" s="102">
        <v>13</v>
      </c>
      <c r="AA3" s="102">
        <v>4</v>
      </c>
      <c r="AB3" s="102">
        <v>-1</v>
      </c>
      <c r="AC3" s="102" t="str">
        <f t="shared" ca="1" si="0"/>
        <v>ANO</v>
      </c>
      <c r="AG3" s="121" t="s">
        <v>235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149</v>
      </c>
      <c r="AQ3" s="123">
        <v>180</v>
      </c>
      <c r="AR3" s="123">
        <v>73</v>
      </c>
      <c r="AS3" s="126" t="s">
        <v>82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0 OZ, 0 (0+0)</v>
      </c>
      <c r="AY3" s="129" t="str">
        <f t="shared" ca="1" si="2"/>
        <v>121 OZ, 16 (4+12)</v>
      </c>
      <c r="AZ3" s="130"/>
      <c r="BA3" s="130"/>
      <c r="BB3" s="130"/>
      <c r="BC3" s="130"/>
      <c r="BD3" s="89" t="str">
        <f t="shared" ref="BD3:BD50" si="3">IF(AG3&lt;&gt;"",RIGHT(AG3,LEN(AG3)-SEARCH(" ",AG3)),"")</f>
        <v>Bitman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252</v>
      </c>
      <c r="BO3" s="122">
        <v>34764</v>
      </c>
      <c r="BP3" s="131" t="s">
        <v>257</v>
      </c>
      <c r="BQ3" s="132"/>
      <c r="BR3" s="127">
        <f t="shared" ref="BR3:BR11" ca="1" si="12">IF(BN3&lt;&gt;"",IF(BO3&lt;&gt;"",INT((TODAY()-BO3)/365),"?"),"")</f>
        <v>26</v>
      </c>
      <c r="BS3" s="336"/>
      <c r="BT3" s="104" t="s">
        <v>1115</v>
      </c>
      <c r="BU3" s="103">
        <v>13</v>
      </c>
      <c r="BV3" s="104" t="str">
        <f t="shared" ref="BV3:BV31" si="13">IFERROR(RIGHT(BT3,LEN(BT3)-SEARCH(" ",BT3)),"")</f>
        <v>Šimon Stránský</v>
      </c>
      <c r="BW3" s="102">
        <f t="shared" ref="BW3:BW31" si="14">IF(BT3&lt;&gt;0,_xlfn.NUMBERVALUE(BU3,","),"")</f>
        <v>13</v>
      </c>
      <c r="BX3" s="335"/>
      <c r="BY3" s="103" t="s">
        <v>263</v>
      </c>
      <c r="BZ3" s="103" t="s">
        <v>931</v>
      </c>
      <c r="CA3" s="115" t="s">
        <v>332</v>
      </c>
    </row>
    <row r="4" spans="1:79" ht="15" customHeight="1" thickBot="1" x14ac:dyDescent="0.25">
      <c r="A4" s="365" t="str">
        <f ca="1">IFERROR(IF(VLOOKUP(A1,OFFSET($AG$2,,,COUNTIF($AG$2:$AG$50,"?*"),23),13,FALSE)&lt;&gt;0,VLOOKUP(A1,OFFSET($AG$2,,,COUNTIF($AG$2:$AG$50,"?*"),23),13,FALSE),"?"),"")</f>
        <v>FBC Liberec</v>
      </c>
      <c r="B4" s="366"/>
      <c r="C4" s="367"/>
      <c r="D4" s="368">
        <f ca="1">IFERROR(IF(VLOOKUP(A1,OFFSET($AG$2,,,COUNTIF($AG$2:$AG$50,"?*"),23),14,FALSE)&lt;&gt;0,VLOOKUP(A1,OFFSET($AG$2,,,COUNTIF($AG$2:$AG$50,"?*"),23),14,FALSE),"?"),"")</f>
        <v>2011</v>
      </c>
      <c r="E4" s="369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41">
        <f ca="1">IFERROR(IF(VLOOKUP(G3,OFFSET($AG$2,,,COUNTIF($AG$2:$AG$50,"?*"),23),2,FALSE)&lt;&gt;0,YEAR(VLOOKUP(G3,OFFSET($AG$2,,,COUNTIF($AG$2:$AG$50,"?*"),23),2,FALSE)),""),"")</f>
        <v>1998</v>
      </c>
      <c r="I4" s="342"/>
      <c r="J4" s="94">
        <f ca="1">IFERROR(VLOOKUP(G3,OFFSET($AG$2,,,COUNTIF($AG$2:$AG$50,"?*"),23),15,FALSE),"")</f>
        <v>23</v>
      </c>
      <c r="K4" s="343" t="str">
        <f ca="1">IFERROR(VLOOKUP(G3,OFFSET($AG$2,,,COUNTIF($AG$2:$AG$50,"?*"),23),16,FALSE),"")</f>
        <v>185/74</v>
      </c>
      <c r="L4" s="344"/>
      <c r="M4" s="365" t="str">
        <f ca="1">IFERROR(IF(VLOOKUP(M1,OFFSET($AG$2,,,COUNTIF($AG$2:$AG$50,"?*"),23),13,FALSE)&lt;&gt;0,VLOOKUP(M1,OFFSET($AG$2,,,COUNTIF($AG$2:$AG$50,"?*"),23),13,FALSE),"?"),"")</f>
        <v>FBC Lomnice</v>
      </c>
      <c r="N4" s="366"/>
      <c r="O4" s="367"/>
      <c r="P4" s="368">
        <f ca="1">IFERROR(IF(VLOOKUP(M1,OFFSET($AG$2,,,COUNTIF($AG$2:$AG$50,"?*"),23),14,FALSE)&lt;&gt;0,VLOOKUP(M1,OFFSET($AG$2,,,COUNTIF($AG$2:$AG$50,"?*"),23),14,FALSE),"?"),"")</f>
        <v>2010</v>
      </c>
      <c r="Q4" s="369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228</v>
      </c>
      <c r="T4" s="102" t="s">
        <v>119</v>
      </c>
      <c r="U4" s="102">
        <v>7</v>
      </c>
      <c r="V4" s="102">
        <v>8</v>
      </c>
      <c r="W4" s="102">
        <v>1</v>
      </c>
      <c r="X4" s="102">
        <v>0</v>
      </c>
      <c r="Y4" s="102">
        <v>1</v>
      </c>
      <c r="Z4" s="102">
        <v>9</v>
      </c>
      <c r="AA4" s="102">
        <v>0</v>
      </c>
      <c r="AB4" s="102">
        <v>-1</v>
      </c>
      <c r="AC4" s="102" t="str">
        <f t="shared" ca="1" si="0"/>
        <v>ANO</v>
      </c>
      <c r="AG4" s="121" t="s">
        <v>236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149</v>
      </c>
      <c r="AQ4" s="123">
        <v>180</v>
      </c>
      <c r="AR4" s="123">
        <v>66</v>
      </c>
      <c r="AS4" s="126" t="s">
        <v>82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3"/>
        <v>Blažek</v>
      </c>
      <c r="BE4" s="84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253</v>
      </c>
      <c r="BO4" s="122">
        <v>29102</v>
      </c>
      <c r="BP4" s="131" t="s">
        <v>192</v>
      </c>
      <c r="BQ4" s="132"/>
      <c r="BR4" s="127">
        <f t="shared" ca="1" si="12"/>
        <v>42</v>
      </c>
      <c r="BS4" s="336"/>
      <c r="BT4" s="104" t="s">
        <v>1114</v>
      </c>
      <c r="BU4" s="103">
        <v>9</v>
      </c>
      <c r="BV4" s="104" t="str">
        <f t="shared" si="13"/>
        <v>Filip Smutný</v>
      </c>
      <c r="BW4" s="102">
        <f t="shared" si="14"/>
        <v>9</v>
      </c>
      <c r="BX4" s="335"/>
      <c r="BY4" s="103" t="s">
        <v>1105</v>
      </c>
      <c r="BZ4" s="103" t="s">
        <v>967</v>
      </c>
      <c r="CA4" s="115" t="s">
        <v>838</v>
      </c>
    </row>
    <row r="5" spans="1:79" ht="15" customHeight="1" thickTop="1" thickBot="1" x14ac:dyDescent="0.25">
      <c r="A5" s="8"/>
      <c r="B5" s="8"/>
      <c r="C5" s="8"/>
      <c r="D5" s="8"/>
      <c r="G5" s="377" t="str">
        <f ca="1">IFERROR(VLOOKUP(G3,OFFSET($AG$2,,,COUNTIF($AG$2:$AG$50,"?*"),23),18,FALSE),"")</f>
        <v>7 OZ, 8 (3+5), +1 ±</v>
      </c>
      <c r="H5" s="378"/>
      <c r="I5" s="378"/>
      <c r="J5" s="379" t="str">
        <f ca="1">IFERROR(VLOOKUP(G3,OFFSET($AG$2,,,COUNTIF($AG$2:$AG$50,"?*"),23),19,FALSE),"")</f>
        <v>107 OZ, 93 (53+40)</v>
      </c>
      <c r="K5" s="379"/>
      <c r="L5" s="380"/>
      <c r="S5" s="110" t="s">
        <v>216</v>
      </c>
      <c r="T5" s="102" t="s">
        <v>119</v>
      </c>
      <c r="U5" s="102">
        <v>8</v>
      </c>
      <c r="V5" s="102">
        <v>4</v>
      </c>
      <c r="W5" s="102">
        <v>0</v>
      </c>
      <c r="X5" s="102">
        <v>0</v>
      </c>
      <c r="Y5" s="102">
        <v>5</v>
      </c>
      <c r="Z5" s="102">
        <v>9</v>
      </c>
      <c r="AA5" s="102">
        <v>2</v>
      </c>
      <c r="AB5" s="102">
        <v>1</v>
      </c>
      <c r="AC5" s="102" t="str">
        <f t="shared" ca="1" si="0"/>
        <v>ANO</v>
      </c>
      <c r="AG5" s="121" t="s">
        <v>229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149</v>
      </c>
      <c r="AQ5" s="123">
        <v>180</v>
      </c>
      <c r="AR5" s="123">
        <v>82</v>
      </c>
      <c r="AS5" s="126" t="s">
        <v>237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8 OZ, 1 (1+0), -1 ±</v>
      </c>
      <c r="AY5" s="129" t="str">
        <f t="shared" ca="1" si="2"/>
        <v>202 OZ, 117 (51+66)</v>
      </c>
      <c r="AZ5" s="130"/>
      <c r="BA5" s="130"/>
      <c r="BB5" s="130"/>
      <c r="BC5" s="130"/>
      <c r="BD5" s="89" t="str">
        <f t="shared" si="3"/>
        <v>Dlesk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254</v>
      </c>
      <c r="BO5" s="122">
        <v>30335</v>
      </c>
      <c r="BP5" s="131" t="s">
        <v>258</v>
      </c>
      <c r="BQ5" s="132"/>
      <c r="BR5" s="127">
        <f t="shared" ca="1" si="12"/>
        <v>38</v>
      </c>
      <c r="BS5" s="336"/>
      <c r="BT5" s="104" t="s">
        <v>982</v>
      </c>
      <c r="BU5" s="103">
        <v>9</v>
      </c>
      <c r="BV5" s="104" t="str">
        <f t="shared" si="13"/>
        <v>Radek Valeš</v>
      </c>
      <c r="BW5" s="102">
        <f t="shared" si="14"/>
        <v>9</v>
      </c>
      <c r="BX5" s="335"/>
      <c r="BY5" s="103" t="s">
        <v>207</v>
      </c>
      <c r="BZ5" s="103" t="s">
        <v>908</v>
      </c>
      <c r="CA5" s="115" t="s">
        <v>976</v>
      </c>
    </row>
    <row r="6" spans="1:79" ht="15" customHeight="1" thickTop="1" thickBot="1" x14ac:dyDescent="0.25">
      <c r="A6" s="348" t="s">
        <v>230</v>
      </c>
      <c r="B6" s="349"/>
      <c r="C6" s="349"/>
      <c r="D6" s="349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365" t="str">
        <f ca="1">IFERROR(IF(VLOOKUP(G3,OFFSET($AG$2,,,COUNTIF($AG$2:$AG$50,"?*"),23),13,FALSE)&lt;&gt;0,VLOOKUP(G3,OFFSET($AG$2,,,COUNTIF($AG$2:$AG$50,"?*"),23),13,FALSE),"?"),"")</f>
        <v>TJ Sokol Jaroměř</v>
      </c>
      <c r="H6" s="366"/>
      <c r="I6" s="367"/>
      <c r="J6" s="368">
        <f ca="1">IFERROR(IF(VLOOKUP(G3,OFFSET($AG$2,,,COUNTIF($AG$2:$AG$50,"?*"),23),14,FALSE)&lt;&gt;0,VLOOKUP(G3,OFFSET($AG$2,,,COUNTIF($AG$2:$AG$50,"?*"),23),14,FALSE),"?"),"")</f>
        <v>2007</v>
      </c>
      <c r="K6" s="369"/>
      <c r="L6" s="7">
        <f ca="1">IFERROR(IF(VLOOKUP(G3,OFFSET($AG$2,,,COUNTIF($AG$2:$AG$50,"?*"),23),7,FALSE)&lt;&gt;0,VLOOKUP(G3,OFFSET($AG$2,,,COUNTIF($AG$2:$AG$50,"?*"),23),7,FALSE),"?"),"")</f>
        <v>5</v>
      </c>
      <c r="M6" s="348" t="s">
        <v>224</v>
      </c>
      <c r="N6" s="349"/>
      <c r="O6" s="349"/>
      <c r="P6" s="349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0" t="s">
        <v>214</v>
      </c>
      <c r="U6" s="102">
        <v>7</v>
      </c>
      <c r="V6" s="102">
        <v>3</v>
      </c>
      <c r="W6" s="102">
        <v>1</v>
      </c>
      <c r="X6" s="102">
        <v>0</v>
      </c>
      <c r="Y6" s="102">
        <v>5</v>
      </c>
      <c r="Z6" s="102">
        <v>8</v>
      </c>
      <c r="AA6" s="102">
        <v>0</v>
      </c>
      <c r="AB6" s="102">
        <v>1</v>
      </c>
      <c r="AC6" s="102" t="str">
        <f t="shared" ca="1" si="0"/>
        <v>ANO</v>
      </c>
      <c r="AG6" s="121" t="s">
        <v>218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239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7 OZ, 14 (7+7), +6 ±</v>
      </c>
      <c r="AY6" s="129" t="str">
        <f t="shared" ca="1" si="2"/>
        <v>192 OZ, 238 (133+105)</v>
      </c>
      <c r="AZ6" s="130"/>
      <c r="BA6" s="130"/>
      <c r="BB6" s="130"/>
      <c r="BC6" s="130"/>
      <c r="BD6" s="3" t="str">
        <f t="shared" si="3"/>
        <v>Ferdan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255</v>
      </c>
      <c r="BO6" s="122">
        <v>36034</v>
      </c>
      <c r="BP6" s="131" t="s">
        <v>259</v>
      </c>
      <c r="BQ6" s="132"/>
      <c r="BR6" s="127">
        <f t="shared" ca="1" si="12"/>
        <v>23</v>
      </c>
      <c r="BS6" s="336"/>
      <c r="BT6" s="104" t="s">
        <v>979</v>
      </c>
      <c r="BU6" s="103">
        <v>8</v>
      </c>
      <c r="BV6" s="104" t="str">
        <f t="shared" si="13"/>
        <v>Jakub Kopecký</v>
      </c>
      <c r="BW6" s="102">
        <f t="shared" si="14"/>
        <v>8</v>
      </c>
      <c r="BX6" s="335"/>
      <c r="BY6" s="103" t="s">
        <v>262</v>
      </c>
      <c r="BZ6" s="103" t="s">
        <v>909</v>
      </c>
      <c r="CA6" s="115" t="s">
        <v>977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41">
        <f ca="1">IFERROR(IF(VLOOKUP(A6,OFFSET($AG$2,,,COUNTIF($AG$2:$AG$50,"?*"),23),2,FALSE)&lt;&gt;0,YEAR(VLOOKUP(A6,OFFSET($AG$2,,,COUNTIF($AG$2:$AG$50,"?*"),23),2,FALSE)),""),"")</f>
        <v>2002</v>
      </c>
      <c r="C7" s="342"/>
      <c r="D7" s="94">
        <f ca="1">IFERROR(VLOOKUP(A6,OFFSET($AG$2,,,COUNTIF($AG$2:$AG$50,"?*"),23),15,FALSE),"")</f>
        <v>19</v>
      </c>
      <c r="E7" s="343" t="str">
        <f ca="1">IFERROR(VLOOKUP(A6,OFFSET($AG$2,,,COUNTIF($AG$2:$AG$50,"?*"),23),16,FALSE),"")</f>
        <v>164/68</v>
      </c>
      <c r="F7" s="344"/>
      <c r="M7" s="4" t="str">
        <f ca="1">IFERROR(IF(VLOOKUP(M6,OFFSET($AG$2,,,COUNTIF($AG$2:$AG$50,"?*"),23),10,FALSE)&lt;&gt;0,VLOOKUP(M6,OFFSET($AG$2,,,COUNTIF($AG$2:$AG$50,"?*"),23),10,FALSE),""),"")</f>
        <v>L</v>
      </c>
      <c r="N7" s="341">
        <f ca="1">IFERROR(IF(VLOOKUP(M6,OFFSET($AG$2,,,COUNTIF($AG$2:$AG$50,"?*"),23),2,FALSE)&lt;&gt;0,YEAR(VLOOKUP(M6,OFFSET($AG$2,,,COUNTIF($AG$2:$AG$50,"?*"),23),2,FALSE)),""),"")</f>
        <v>1986</v>
      </c>
      <c r="O7" s="342"/>
      <c r="P7" s="94">
        <f ca="1">IFERROR(VLOOKUP(M6,OFFSET($AG$2,,,COUNTIF($AG$2:$AG$50,"?*"),23),15,FALSE),"")</f>
        <v>35</v>
      </c>
      <c r="Q7" s="343" t="str">
        <f ca="1">IFERROR(VLOOKUP(M6,OFFSET($AG$2,,,COUNTIF($AG$2:$AG$50,"?*"),23),16,FALSE),"")</f>
        <v>185/69</v>
      </c>
      <c r="R7" s="344"/>
      <c r="S7" s="110" t="s">
        <v>226</v>
      </c>
      <c r="U7" s="102">
        <v>8</v>
      </c>
      <c r="V7" s="102">
        <v>3</v>
      </c>
      <c r="W7" s="102">
        <v>0</v>
      </c>
      <c r="X7" s="102">
        <v>0</v>
      </c>
      <c r="Y7" s="102">
        <v>4</v>
      </c>
      <c r="Z7" s="102">
        <v>7</v>
      </c>
      <c r="AA7" s="102">
        <v>2</v>
      </c>
      <c r="AB7" s="102">
        <v>3</v>
      </c>
      <c r="AC7" s="102" t="str">
        <f t="shared" ca="1" si="0"/>
        <v>ANO</v>
      </c>
      <c r="AG7" s="121" t="s">
        <v>232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82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4 V, 3 P</v>
      </c>
      <c r="AY7" s="129" t="str">
        <f t="shared" ca="1" si="2"/>
        <v>7 OZ, 1 A</v>
      </c>
      <c r="AZ7" s="130"/>
      <c r="BA7" s="130"/>
      <c r="BB7" s="130"/>
      <c r="BC7" s="130"/>
      <c r="BD7" s="89" t="str">
        <f t="shared" si="3"/>
        <v>Chlad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6" t="s">
        <v>40</v>
      </c>
      <c r="BT7" s="104" t="s">
        <v>261</v>
      </c>
      <c r="BU7" s="103" t="s">
        <v>1256</v>
      </c>
      <c r="BV7" s="104" t="str">
        <f t="shared" si="13"/>
        <v>Petr Chlad</v>
      </c>
      <c r="BW7" s="112">
        <f t="shared" si="14"/>
        <v>5.7</v>
      </c>
      <c r="BX7" s="335" t="s">
        <v>212</v>
      </c>
      <c r="BY7" s="103" t="s">
        <v>935</v>
      </c>
      <c r="BZ7" s="103" t="s">
        <v>978</v>
      </c>
      <c r="CA7" s="115" t="s">
        <v>205</v>
      </c>
    </row>
    <row r="8" spans="1:79" ht="15" customHeight="1" x14ac:dyDescent="0.2">
      <c r="A8" s="377" t="str">
        <f ca="1">IFERROR(VLOOKUP(A6,OFFSET($AG$2,,,COUNTIF($AG$2:$AG$50,"?*"),23),18,FALSE),"")</f>
        <v>8 OZ, 0 (0+0), -5 ±</v>
      </c>
      <c r="B8" s="378"/>
      <c r="C8" s="378"/>
      <c r="D8" s="379" t="str">
        <f ca="1">IFERROR(VLOOKUP(A6,OFFSET($AG$2,,,COUNTIF($AG$2:$AG$50,"?*"),23),19,FALSE),"")</f>
        <v>22 OZ, 1 (1+0)</v>
      </c>
      <c r="E8" s="379"/>
      <c r="F8" s="380"/>
      <c r="H8" s="381" t="s">
        <v>105</v>
      </c>
      <c r="I8" s="381"/>
      <c r="J8" s="381"/>
      <c r="K8" s="381"/>
      <c r="M8" s="377" t="str">
        <f ca="1">IFERROR(VLOOKUP(M6,OFFSET($AG$2,,,COUNTIF($AG$2:$AG$50,"?*"),23),18,FALSE),"")</f>
        <v>6 OZ, 3 (0+3), +1 ±</v>
      </c>
      <c r="N8" s="378"/>
      <c r="O8" s="378"/>
      <c r="P8" s="379" t="str">
        <f ca="1">IFERROR(VLOOKUP(M6,OFFSET($AG$2,,,COUNTIF($AG$2:$AG$50,"?*"),23),19,FALSE),"")</f>
        <v>308 OZ, 234 (95+139)</v>
      </c>
      <c r="Q8" s="379"/>
      <c r="R8" s="380"/>
      <c r="S8" s="110" t="s">
        <v>231</v>
      </c>
      <c r="T8" s="102" t="s">
        <v>119</v>
      </c>
      <c r="U8" s="102">
        <v>8</v>
      </c>
      <c r="V8" s="102">
        <v>3</v>
      </c>
      <c r="W8" s="102">
        <v>0</v>
      </c>
      <c r="X8" s="102">
        <v>0</v>
      </c>
      <c r="Y8" s="102">
        <v>1</v>
      </c>
      <c r="Z8" s="102">
        <v>4</v>
      </c>
      <c r="AA8" s="102">
        <v>6</v>
      </c>
      <c r="AB8" s="102">
        <v>-12</v>
      </c>
      <c r="AC8" s="102" t="str">
        <f t="shared" ca="1" si="0"/>
        <v>ANO</v>
      </c>
      <c r="AG8" s="121" t="s">
        <v>223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149</v>
      </c>
      <c r="AQ8" s="123">
        <v>178</v>
      </c>
      <c r="AR8" s="123">
        <v>74</v>
      </c>
      <c r="AS8" s="126" t="s">
        <v>82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8 OZ, 1 (0+1), +1 ±</v>
      </c>
      <c r="AY8" s="129" t="str">
        <f t="shared" ca="1" si="2"/>
        <v>30 OZ, 5 (2+3)</v>
      </c>
      <c r="AZ8" s="130"/>
      <c r="BA8" s="130"/>
      <c r="BB8" s="130"/>
      <c r="BC8" s="130"/>
      <c r="BD8" s="3" t="str">
        <f t="shared" si="3"/>
        <v>Janeček</v>
      </c>
      <c r="BE8" s="84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6"/>
      <c r="BT8" s="104" t="s">
        <v>1257</v>
      </c>
      <c r="BU8" s="103" t="s">
        <v>199</v>
      </c>
      <c r="BV8" s="104" t="str">
        <f t="shared" si="13"/>
        <v>Jan Král</v>
      </c>
      <c r="BW8" s="112">
        <f t="shared" si="14"/>
        <v>0</v>
      </c>
      <c r="BX8" s="335"/>
      <c r="BY8" s="103" t="s">
        <v>1265</v>
      </c>
      <c r="BZ8" s="103" t="s">
        <v>911</v>
      </c>
      <c r="CA8" s="115" t="s">
        <v>205</v>
      </c>
    </row>
    <row r="9" spans="1:79" ht="15" customHeight="1" thickBot="1" x14ac:dyDescent="0.25">
      <c r="A9" s="365" t="str">
        <f ca="1">IFERROR(IF(VLOOKUP(A6,OFFSET($AG$2,,,COUNTIF($AG$2:$AG$50,"?*"),23),13,FALSE)&lt;&gt;0,VLOOKUP(A6,OFFSET($AG$2,,,COUNTIF($AG$2:$AG$50,"?*"),23),13,FALSE),"?"),"")</f>
        <v>Florbal Mladá Boleslav</v>
      </c>
      <c r="B9" s="366"/>
      <c r="C9" s="367"/>
      <c r="D9" s="368">
        <f ca="1">IFERROR(IF(VLOOKUP(A6,OFFSET($AG$2,,,COUNTIF($AG$2:$AG$50,"?*"),23),14,FALSE)&lt;&gt;0,VLOOKUP(A6,OFFSET($AG$2,,,COUNTIF($AG$2:$AG$50,"?*"),23),14,FALSE),"?"),"")</f>
        <v>2005</v>
      </c>
      <c r="E9" s="369"/>
      <c r="F9" s="7">
        <f ca="1">IFERROR(IF(VLOOKUP(A6,OFFSET($AG$2,,,COUNTIF($AG$2:$AG$50,"?*"),23),7,FALSE)&lt;&gt;0,VLOOKUP(A6,OFFSET($AG$2,,,COUNTIF($AG$2:$AG$50,"?*"),23),7,FALSE),"?"),"")</f>
        <v>4</v>
      </c>
      <c r="H9" s="381"/>
      <c r="I9" s="381"/>
      <c r="J9" s="381"/>
      <c r="K9" s="381"/>
      <c r="M9" s="365" t="str">
        <f ca="1">IFERROR(IF(VLOOKUP(M6,OFFSET($AG$2,,,COUNTIF($AG$2:$AG$50,"?*"),23),13,FALSE)&lt;&gt;0,VLOOKUP(M6,OFFSET($AG$2,,,COUNTIF($AG$2:$AG$50,"?*"),23),13,FALSE),"?"),"")</f>
        <v>FBC Mustang</v>
      </c>
      <c r="N9" s="366"/>
      <c r="O9" s="367"/>
      <c r="P9" s="368">
        <f ca="1">IFERROR(IF(VLOOKUP(M6,OFFSET($AG$2,,,COUNTIF($AG$2:$AG$50,"?*"),23),14,FALSE)&lt;&gt;0,VLOOKUP(M6,OFFSET($AG$2,,,COUNTIF($AG$2:$AG$50,"?*"),23),14,FALSE),"?"),"")</f>
        <v>1996</v>
      </c>
      <c r="Q9" s="369"/>
      <c r="R9" s="7">
        <f ca="1">IFERROR(IF(VLOOKUP(M6,OFFSET($AG$2,,,COUNTIF($AG$2:$AG$50,"?*"),23),7,FALSE)&lt;&gt;0,VLOOKUP(M6,OFFSET($AG$2,,,COUNTIF($AG$2:$AG$50,"?*"),23),7,FALSE),"?"),"")</f>
        <v>18</v>
      </c>
      <c r="S9" s="110" t="s">
        <v>224</v>
      </c>
      <c r="T9" s="102" t="s">
        <v>64</v>
      </c>
      <c r="U9" s="102">
        <v>6</v>
      </c>
      <c r="V9" s="102">
        <v>0</v>
      </c>
      <c r="W9" s="102">
        <v>0</v>
      </c>
      <c r="X9" s="102">
        <v>0</v>
      </c>
      <c r="Y9" s="102">
        <v>3</v>
      </c>
      <c r="Z9" s="102">
        <v>3</v>
      </c>
      <c r="AA9" s="102">
        <v>2</v>
      </c>
      <c r="AB9" s="102">
        <v>1</v>
      </c>
      <c r="AC9" s="102" t="str">
        <f t="shared" ca="1" si="0"/>
        <v>ANO</v>
      </c>
      <c r="AG9" s="121" t="s">
        <v>219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241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7 OZ, 1 (0+1), -8 ±</v>
      </c>
      <c r="AY9" s="129" t="str">
        <f t="shared" ca="1" si="2"/>
        <v>57 OZ, 14 (5+9)</v>
      </c>
      <c r="AZ9" s="130"/>
      <c r="BA9" s="130"/>
      <c r="BB9" s="130"/>
      <c r="BC9" s="130"/>
      <c r="BD9" s="89" t="str">
        <f t="shared" si="3"/>
        <v>Kárník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6"/>
      <c r="BT9" s="104" t="s">
        <v>1258</v>
      </c>
      <c r="BU9" s="103" t="s">
        <v>970</v>
      </c>
      <c r="BV9" s="104" t="str">
        <f t="shared" si="13"/>
        <v>Jakub Levínský</v>
      </c>
      <c r="BW9" s="112">
        <f t="shared" si="14"/>
        <v>5.64</v>
      </c>
      <c r="BX9" s="335"/>
      <c r="BY9" s="103" t="s">
        <v>945</v>
      </c>
      <c r="BZ9" s="103" t="s">
        <v>942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222</v>
      </c>
      <c r="T10" s="102" t="s">
        <v>119</v>
      </c>
      <c r="U10" s="102">
        <v>7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4</v>
      </c>
      <c r="AB10" s="102">
        <v>-11</v>
      </c>
      <c r="AC10" s="102" t="str">
        <f t="shared" ca="1" si="0"/>
        <v>ANO</v>
      </c>
      <c r="AG10" s="121" t="s">
        <v>217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166</v>
      </c>
      <c r="AP10" s="125" t="s">
        <v>149</v>
      </c>
      <c r="AQ10" s="123">
        <v>194</v>
      </c>
      <c r="AR10" s="123">
        <v>98</v>
      </c>
      <c r="AS10" s="126" t="s">
        <v>82</v>
      </c>
      <c r="AT10" s="123">
        <v>1999</v>
      </c>
      <c r="AU10" s="127">
        <f ca="1">IF(AG10&lt;&gt;"",IF(AH10&lt;&gt;"",INT((TODAY()-AH10)/365),"?"),"")</f>
        <v>31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7 OZ, 1 (1+0), -3 ±</v>
      </c>
      <c r="AY10" s="129" t="str">
        <f t="shared" ca="1" si="2"/>
        <v>249 OZ, 119 (64+55)</v>
      </c>
      <c r="AZ10" s="130"/>
      <c r="BA10" s="130"/>
      <c r="BB10" s="130"/>
      <c r="BC10" s="130"/>
      <c r="BD10" s="3" t="str">
        <f t="shared" si="3"/>
        <v>Klucho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6"/>
      <c r="BV10" s="104" t="str">
        <f t="shared" si="13"/>
        <v/>
      </c>
      <c r="BW10" s="112" t="str">
        <f t="shared" si="14"/>
        <v/>
      </c>
      <c r="BX10" s="335"/>
      <c r="BY10" s="103" t="s">
        <v>1106</v>
      </c>
      <c r="BZ10" s="103" t="s">
        <v>933</v>
      </c>
      <c r="CA10" s="115" t="s">
        <v>205</v>
      </c>
    </row>
    <row r="11" spans="1:79" ht="15" customHeight="1" thickTop="1" thickBot="1" x14ac:dyDescent="0.25">
      <c r="R11" s="13"/>
      <c r="S11" s="110" t="s">
        <v>215</v>
      </c>
      <c r="T11" s="102" t="s">
        <v>119</v>
      </c>
      <c r="U11" s="102">
        <v>8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-5</v>
      </c>
      <c r="AC11" s="102" t="str">
        <f t="shared" ca="1" si="0"/>
        <v>ANO</v>
      </c>
      <c r="AG11" s="121" t="s">
        <v>224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149</v>
      </c>
      <c r="AQ11" s="123">
        <v>185</v>
      </c>
      <c r="AR11" s="123">
        <v>69</v>
      </c>
      <c r="AS11" s="126" t="s">
        <v>242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6 OZ, 3 (0+3), +1 ±</v>
      </c>
      <c r="AY11" s="129" t="str">
        <f t="shared" ca="1" si="2"/>
        <v>308 OZ, 234 (95+139)</v>
      </c>
      <c r="AZ11" s="130"/>
      <c r="BA11" s="130"/>
      <c r="BB11" s="130"/>
      <c r="BC11" s="130"/>
      <c r="BD11" s="89" t="str">
        <f t="shared" si="3"/>
        <v>Kološ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6"/>
      <c r="BV11" s="104" t="str">
        <f t="shared" si="13"/>
        <v/>
      </c>
      <c r="BW11" s="112" t="str">
        <f t="shared" si="14"/>
        <v/>
      </c>
      <c r="BX11" s="335"/>
      <c r="BY11" s="103" t="s">
        <v>1196</v>
      </c>
      <c r="BZ11" s="103" t="s">
        <v>932</v>
      </c>
      <c r="CA11" s="115" t="s">
        <v>205</v>
      </c>
    </row>
    <row r="12" spans="1:79" ht="15" customHeight="1" thickTop="1" thickBot="1" x14ac:dyDescent="0.25">
      <c r="A12" s="348" t="s">
        <v>218</v>
      </c>
      <c r="B12" s="349"/>
      <c r="C12" s="349"/>
      <c r="D12" s="349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382" t="s">
        <v>7</v>
      </c>
      <c r="I12" s="382"/>
      <c r="J12" s="382"/>
      <c r="K12" s="382"/>
      <c r="M12" s="348" t="s">
        <v>226</v>
      </c>
      <c r="N12" s="349"/>
      <c r="O12" s="349"/>
      <c r="P12" s="349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0" t="s">
        <v>217</v>
      </c>
      <c r="T12" s="102" t="s">
        <v>64</v>
      </c>
      <c r="U12" s="102">
        <v>7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-3</v>
      </c>
      <c r="AC12" s="102" t="str">
        <f t="shared" ca="1" si="0"/>
        <v>ANO</v>
      </c>
      <c r="AG12" s="121" t="s">
        <v>214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149</v>
      </c>
      <c r="AQ12" s="123">
        <v>185</v>
      </c>
      <c r="AR12" s="123">
        <v>74</v>
      </c>
      <c r="AS12" s="126" t="s">
        <v>238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7 OZ, 8 (3+5), +1 ±</v>
      </c>
      <c r="AY12" s="129" t="str">
        <f t="shared" ca="1" si="2"/>
        <v>107 OZ, 93 (53+40)</v>
      </c>
      <c r="AZ12" s="130"/>
      <c r="BA12" s="130"/>
      <c r="BB12" s="130"/>
      <c r="BC12" s="130"/>
      <c r="BD12" s="3" t="str">
        <f t="shared" si="3"/>
        <v>Kopecký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6" t="s">
        <v>37</v>
      </c>
      <c r="BT12" s="104" t="s">
        <v>980</v>
      </c>
      <c r="BU12" s="103">
        <v>8</v>
      </c>
      <c r="BV12" s="104" t="str">
        <f t="shared" si="13"/>
        <v>Filip Smutný</v>
      </c>
      <c r="BW12" s="102">
        <f t="shared" si="14"/>
        <v>8</v>
      </c>
      <c r="BX12" s="116" t="s">
        <v>210</v>
      </c>
      <c r="BY12" s="100" t="s">
        <v>1266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41">
        <f ca="1">IFERROR(IF(VLOOKUP(A12,OFFSET($AG$2,,,COUNTIF($AG$2:$AG$50,"?*"),23),2,FALSE)&lt;&gt;0,YEAR(VLOOKUP(A12,OFFSET($AG$2,,,COUNTIF($AG$2:$AG$50,"?*"),23),2,FALSE)),""),"")</f>
        <v>1992</v>
      </c>
      <c r="C13" s="342"/>
      <c r="D13" s="94">
        <f ca="1">IFERROR(VLOOKUP(A12,OFFSET($AG$2,,,COUNTIF($AG$2:$AG$50,"?*"),23),15,FALSE),"")</f>
        <v>29</v>
      </c>
      <c r="E13" s="343" t="str">
        <f ca="1">IFERROR(VLOOKUP(A12,OFFSET($AG$2,,,COUNTIF($AG$2:$AG$50,"?*"),23),16,FALSE),"")</f>
        <v>176/74</v>
      </c>
      <c r="F13" s="344"/>
      <c r="M13" s="4" t="str">
        <f ca="1">IFERROR(IF(VLOOKUP(M12,OFFSET($AG$2,,,COUNTIF($AG$2:$AG$50,"?*"),23),10,FALSE)&lt;&gt;0,VLOOKUP(M12,OFFSET($AG$2,,,COUNTIF($AG$2:$AG$50,"?*"),23),10,FALSE),""),"")</f>
        <v>L</v>
      </c>
      <c r="N13" s="341">
        <f ca="1">IFERROR(IF(VLOOKUP(M12,OFFSET($AG$2,,,COUNTIF($AG$2:$AG$50,"?*"),23),2,FALSE)&lt;&gt;0,YEAR(VLOOKUP(M12,OFFSET($AG$2,,,COUNTIF($AG$2:$AG$50,"?*"),23),2,FALSE)),""),"")</f>
        <v>2003</v>
      </c>
      <c r="O13" s="342"/>
      <c r="P13" s="94">
        <f ca="1">IFERROR(VLOOKUP(M12,OFFSET($AG$2,,,COUNTIF($AG$2:$AG$50,"?*"),23),15,FALSE),"")</f>
        <v>18</v>
      </c>
      <c r="Q13" s="343" t="str">
        <f ca="1">IFERROR(VLOOKUP(M12,OFFSET($AG$2,,,COUNTIF($AG$2:$AG$50,"?*"),23),16,FALSE),"")</f>
        <v>178/70</v>
      </c>
      <c r="R13" s="344"/>
      <c r="S13" s="110" t="s">
        <v>229</v>
      </c>
      <c r="T13" s="102" t="s">
        <v>119</v>
      </c>
      <c r="U13" s="102">
        <v>8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2</v>
      </c>
      <c r="AB13" s="102">
        <v>-1</v>
      </c>
      <c r="AC13" s="102" t="str">
        <f t="shared" ca="1" si="0"/>
        <v>ANO</v>
      </c>
      <c r="AG13" s="121" t="s">
        <v>227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241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3"/>
        <v>Král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6"/>
      <c r="BT13" s="104" t="s">
        <v>818</v>
      </c>
      <c r="BU13" s="103">
        <v>7</v>
      </c>
      <c r="BV13" s="104" t="str">
        <f t="shared" si="13"/>
        <v>Prokop Ferdan</v>
      </c>
      <c r="BW13" s="102">
        <f t="shared" si="14"/>
        <v>7</v>
      </c>
    </row>
    <row r="14" spans="1:79" ht="15" customHeight="1" thickTop="1" thickBot="1" x14ac:dyDescent="0.25">
      <c r="A14" s="377" t="str">
        <f ca="1">IFERROR(VLOOKUP(A12,OFFSET($AG$2,,,COUNTIF($AG$2:$AG$50,"?*"),23),18,FALSE),"")</f>
        <v>7 OZ, 14 (7+7), +6 ±</v>
      </c>
      <c r="B14" s="378"/>
      <c r="C14" s="378"/>
      <c r="D14" s="379" t="str">
        <f ca="1">IFERROR(VLOOKUP(A12,OFFSET($AG$2,,,COUNTIF($AG$2:$AG$50,"?*"),23),19,FALSE),"")</f>
        <v>192 OZ, 238 (133+105)</v>
      </c>
      <c r="E14" s="379"/>
      <c r="F14" s="380"/>
      <c r="G14" s="348" t="s">
        <v>216</v>
      </c>
      <c r="H14" s="349"/>
      <c r="I14" s="349"/>
      <c r="J14" s="349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377" t="str">
        <f ca="1">IFERROR(VLOOKUP(M12,OFFSET($AG$2,,,COUNTIF($AG$2:$AG$50,"?*"),23),18,FALSE),"")</f>
        <v>8 OZ, 7 (3+4), +3 ±</v>
      </c>
      <c r="N14" s="378"/>
      <c r="O14" s="378"/>
      <c r="P14" s="379" t="str">
        <f ca="1">IFERROR(VLOOKUP(M12,OFFSET($AG$2,,,COUNTIF($AG$2:$AG$50,"?*"),23),19,FALSE),"")</f>
        <v>30 OZ, 33 (12+21)</v>
      </c>
      <c r="Q14" s="379"/>
      <c r="R14" s="380"/>
      <c r="S14" s="110" t="s">
        <v>219</v>
      </c>
      <c r="U14" s="102">
        <v>7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-8</v>
      </c>
      <c r="AC14" s="102" t="str">
        <f t="shared" ca="1" si="0"/>
        <v>ANO</v>
      </c>
      <c r="AG14" s="121" t="s">
        <v>816</v>
      </c>
      <c r="AH14" s="122"/>
      <c r="AI14" s="123"/>
      <c r="AJ14" s="123"/>
      <c r="AK14" s="123"/>
      <c r="AL14" s="124"/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1 V, 1 P</v>
      </c>
      <c r="AY14" s="129" t="str">
        <f t="shared" ca="1" si="2"/>
        <v>2 OZ, 0 A</v>
      </c>
      <c r="AZ14" s="130"/>
      <c r="BA14" s="130"/>
      <c r="BB14" s="130"/>
      <c r="BC14" s="130"/>
      <c r="BD14" s="3" t="str">
        <f t="shared" si="3"/>
        <v>Levínský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6"/>
      <c r="BT14" s="104" t="s">
        <v>1259</v>
      </c>
      <c r="BU14" s="103">
        <v>6</v>
      </c>
      <c r="BV14" s="104" t="str">
        <f t="shared" si="13"/>
        <v>Šimon Stránský</v>
      </c>
      <c r="BW14" s="102">
        <f t="shared" si="14"/>
        <v>6</v>
      </c>
    </row>
    <row r="15" spans="1:79" ht="15" customHeight="1" thickBot="1" x14ac:dyDescent="0.25">
      <c r="A15" s="365" t="str">
        <f ca="1">IFERROR(IF(VLOOKUP(A12,OFFSET($AG$2,,,COUNTIF($AG$2:$AG$50,"?*"),23),13,FALSE)&lt;&gt;0,VLOOKUP(A12,OFFSET($AG$2,,,COUNTIF($AG$2:$AG$50,"?*"),23),13,FALSE),"?"),"")</f>
        <v>TJ Centropen Dačice</v>
      </c>
      <c r="B15" s="366"/>
      <c r="C15" s="367"/>
      <c r="D15" s="368">
        <f ca="1">IFERROR(IF(VLOOKUP(A12,OFFSET($AG$2,,,COUNTIF($AG$2:$AG$50,"?*"),23),14,FALSE)&lt;&gt;0,VLOOKUP(A12,OFFSET($AG$2,,,COUNTIF($AG$2:$AG$50,"?*"),23),14,FALSE),"?"),"")</f>
        <v>2006</v>
      </c>
      <c r="E15" s="369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41">
        <f ca="1">IFERROR(IF(VLOOKUP(G14,OFFSET($AG$2,,,COUNTIF($AG$2:$AG$50,"?*"),23),2,FALSE)&lt;&gt;0,YEAR(VLOOKUP(G14,OFFSET($AG$2,,,COUNTIF($AG$2:$AG$50,"?*"),23),2,FALSE)),""),"")</f>
        <v>1994</v>
      </c>
      <c r="I15" s="342"/>
      <c r="J15" s="94">
        <f ca="1">IFERROR(VLOOKUP(G14,OFFSET($AG$2,,,COUNTIF($AG$2:$AG$50,"?*"),23),15,FALSE),"")</f>
        <v>27</v>
      </c>
      <c r="K15" s="343" t="str">
        <f ca="1">IFERROR(VLOOKUP(G14,OFFSET($AG$2,,,COUNTIF($AG$2:$AG$50,"?*"),23),16,FALSE),"")</f>
        <v>187/76</v>
      </c>
      <c r="L15" s="344"/>
      <c r="M15" s="365" t="str">
        <f ca="1">IFERROR(IF(VLOOKUP(M12,OFFSET($AG$2,,,COUNTIF($AG$2:$AG$50,"?*"),23),13,FALSE)&lt;&gt;0,VLOOKUP(M12,OFFSET($AG$2,,,COUNTIF($AG$2:$AG$50,"?*"),23),13,FALSE),"?"),"")</f>
        <v>FBC Liberec</v>
      </c>
      <c r="N15" s="366"/>
      <c r="O15" s="367"/>
      <c r="P15" s="368">
        <f ca="1">IFERROR(IF(VLOOKUP(M12,OFFSET($AG$2,,,COUNTIF($AG$2:$AG$50,"?*"),23),14,FALSE)&lt;&gt;0,VLOOKUP(M12,OFFSET($AG$2,,,COUNTIF($AG$2:$AG$50,"?*"),23),14,FALSE),"?"),"")</f>
        <v>2010</v>
      </c>
      <c r="Q15" s="369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220</v>
      </c>
      <c r="T15" s="102" t="s">
        <v>119</v>
      </c>
      <c r="U15" s="102">
        <v>8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-8</v>
      </c>
      <c r="AC15" s="102" t="str">
        <f t="shared" ca="1" si="0"/>
        <v>ANO</v>
      </c>
      <c r="AG15" s="121" t="s">
        <v>233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243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7 OZ, 0 (0+0), 0 ±</v>
      </c>
      <c r="AY15" s="129" t="str">
        <f t="shared" ca="1" si="2"/>
        <v>21 OZ, 0 (0+0)</v>
      </c>
      <c r="AZ15" s="130"/>
      <c r="BA15" s="130"/>
      <c r="BB15" s="130"/>
      <c r="BC15" s="130"/>
      <c r="BD15" s="89" t="str">
        <f t="shared" si="3"/>
        <v>Martínek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6"/>
      <c r="BT15" s="104" t="s">
        <v>982</v>
      </c>
      <c r="BU15" s="103">
        <v>4</v>
      </c>
      <c r="BV15" s="104" t="str">
        <f t="shared" si="13"/>
        <v>Radek Valeš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77" t="str">
        <f ca="1">IFERROR(VLOOKUP(G14,OFFSET($AG$2,,,COUNTIF($AG$2:$AG$50,"?*"),23),18,FALSE),"")</f>
        <v>8 OZ, 9 (4+5), +1 ±</v>
      </c>
      <c r="H16" s="378"/>
      <c r="I16" s="378"/>
      <c r="J16" s="379" t="str">
        <f ca="1">IFERROR(VLOOKUP(G14,OFFSET($AG$2,,,COUNTIF($AG$2:$AG$50,"?*"),23),19,FALSE),"")</f>
        <v>197 OZ, 314 (170+144)</v>
      </c>
      <c r="K16" s="379"/>
      <c r="L16" s="380"/>
      <c r="S16" s="110" t="s">
        <v>232</v>
      </c>
      <c r="T16" s="102" t="s">
        <v>117</v>
      </c>
      <c r="U16" s="102">
        <v>0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0</v>
      </c>
      <c r="AC16" s="102" t="str">
        <f t="shared" ca="1" si="0"/>
        <v>ANO</v>
      </c>
      <c r="AG16" s="121" t="s">
        <v>244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245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0 OZ, 0 (0+0)</v>
      </c>
      <c r="AY16" s="129" t="str">
        <f t="shared" ca="1" si="2"/>
        <v>48 OZ, 0 (0+0)</v>
      </c>
      <c r="AZ16" s="130"/>
      <c r="BA16" s="130"/>
      <c r="BB16" s="130"/>
      <c r="BC16" s="130"/>
      <c r="BD16" s="3" t="str">
        <f t="shared" si="3"/>
        <v>Mück</v>
      </c>
      <c r="BE16" s="84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6"/>
      <c r="BT16" s="104" t="s">
        <v>979</v>
      </c>
      <c r="BU16" s="103">
        <v>3</v>
      </c>
      <c r="BV16" s="104" t="str">
        <f t="shared" si="13"/>
        <v>Jakub Kopecký</v>
      </c>
      <c r="BW16" s="102">
        <f t="shared" si="14"/>
        <v>3</v>
      </c>
    </row>
    <row r="17" spans="1:75" ht="15" customHeight="1" thickTop="1" thickBot="1" x14ac:dyDescent="0.25">
      <c r="A17" s="348" t="s">
        <v>229</v>
      </c>
      <c r="B17" s="349"/>
      <c r="C17" s="349"/>
      <c r="D17" s="349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365" t="str">
        <f ca="1">IFERROR(IF(VLOOKUP(G14,OFFSET($AG$2,,,COUNTIF($AG$2:$AG$50,"?*"),23),13,FALSE)&lt;&gt;0,VLOOKUP(G14,OFFSET($AG$2,,,COUNTIF($AG$2:$AG$50,"?*"),23),13,FALSE),"?"),"")</f>
        <v>FBC Liberec</v>
      </c>
      <c r="H17" s="366"/>
      <c r="I17" s="367"/>
      <c r="J17" s="368">
        <f ca="1">IFERROR(IF(VLOOKUP(G14,OFFSET($AG$2,,,COUNTIF($AG$2:$AG$50,"?*"),23),14,FALSE)&lt;&gt;0,VLOOKUP(G14,OFFSET($AG$2,,,COUNTIF($AG$2:$AG$50,"?*"),23),14,FALSE),"?"),"")</f>
        <v>2002</v>
      </c>
      <c r="K17" s="369"/>
      <c r="L17" s="7">
        <f ca="1">IFERROR(IF(VLOOKUP(G14,OFFSET($AG$2,,,COUNTIF($AG$2:$AG$50,"?*"),23),7,FALSE)&lt;&gt;0,VLOOKUP(G14,OFFSET($AG$2,,,COUNTIF($AG$2:$AG$50,"?*"),23),7,FALSE),"?"),"")</f>
        <v>10</v>
      </c>
      <c r="M17" s="348" t="s">
        <v>223</v>
      </c>
      <c r="N17" s="349"/>
      <c r="O17" s="349"/>
      <c r="P17" s="349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0" t="s">
        <v>223</v>
      </c>
      <c r="T17" s="102" t="s">
        <v>64</v>
      </c>
      <c r="U17" s="102">
        <v>8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1</v>
      </c>
      <c r="AC17" s="102" t="str">
        <f t="shared" ca="1" si="0"/>
        <v>ANO</v>
      </c>
      <c r="AG17" s="121" t="s">
        <v>230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246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8 OZ, 0 (0+0), -5 ±</v>
      </c>
      <c r="AY17" s="129" t="str">
        <f t="shared" ca="1" si="2"/>
        <v>22 OZ, 1 (1+0)</v>
      </c>
      <c r="AZ17" s="130"/>
      <c r="BA17" s="130"/>
      <c r="BB17" s="130"/>
      <c r="BC17" s="130"/>
      <c r="BD17" s="89" t="str">
        <f t="shared" si="3"/>
        <v>Pařízek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6" t="s">
        <v>41</v>
      </c>
      <c r="BT17" s="104" t="s">
        <v>261</v>
      </c>
      <c r="BU17" s="103">
        <v>4</v>
      </c>
      <c r="BV17" s="104" t="str">
        <f t="shared" si="13"/>
        <v>Petr Chlad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41">
        <f ca="1">IFERROR(IF(VLOOKUP(A17,OFFSET($AG$2,,,COUNTIF($AG$2:$AG$50,"?*"),23),2,FALSE)&lt;&gt;0,YEAR(VLOOKUP(A17,OFFSET($AG$2,,,COUNTIF($AG$2:$AG$50,"?*"),23),2,FALSE)),""),"")</f>
        <v>1994</v>
      </c>
      <c r="C18" s="342"/>
      <c r="D18" s="150">
        <f ca="1">IFERROR(VLOOKUP(A17,OFFSET($AG$2,,,COUNTIF($AG$2:$AG$50,"?*"),23),15,FALSE),"")</f>
        <v>27</v>
      </c>
      <c r="E18" s="343" t="str">
        <f ca="1">IFERROR(VLOOKUP(A17,OFFSET($AG$2,,,COUNTIF($AG$2:$AG$50,"?*"),23),16,FALSE),"")</f>
        <v>180/82</v>
      </c>
      <c r="F18" s="344"/>
      <c r="M18" s="4" t="str">
        <f ca="1">IFERROR(IF(VLOOKUP(M17,OFFSET($AG$2,,,COUNTIF($AG$2:$AG$50,"?*"),23),10,FALSE)&lt;&gt;0,VLOOKUP(M17,OFFSET($AG$2,,,COUNTIF($AG$2:$AG$50,"?*"),23),10,FALSE),""),"")</f>
        <v>L</v>
      </c>
      <c r="N18" s="341">
        <f ca="1">IFERROR(IF(VLOOKUP(M17,OFFSET($AG$2,,,COUNTIF($AG$2:$AG$50,"?*"),23),2,FALSE)&lt;&gt;0,YEAR(VLOOKUP(M17,OFFSET($AG$2,,,COUNTIF($AG$2:$AG$50,"?*"),23),2,FALSE)),""),"")</f>
        <v>2003</v>
      </c>
      <c r="O18" s="342"/>
      <c r="P18" s="94">
        <f ca="1">IFERROR(VLOOKUP(M17,OFFSET($AG$2,,,COUNTIF($AG$2:$AG$50,"?*"),23),15,FALSE),"")</f>
        <v>18</v>
      </c>
      <c r="Q18" s="343" t="str">
        <f ca="1">IFERROR(VLOOKUP(M17,OFFSET($AG$2,,,COUNTIF($AG$2:$AG$50,"?*"),23),16,FALSE),"")</f>
        <v>178/74</v>
      </c>
      <c r="R18" s="344"/>
      <c r="S18" s="110" t="s">
        <v>227</v>
      </c>
      <c r="T18" s="102" t="s">
        <v>117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220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149</v>
      </c>
      <c r="AQ18" s="123">
        <v>164</v>
      </c>
      <c r="AR18" s="123">
        <v>60</v>
      </c>
      <c r="AS18" s="126" t="s">
        <v>246</v>
      </c>
      <c r="AT18" s="123">
        <v>2008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8 OZ, 1 (0+1), -8 ±</v>
      </c>
      <c r="AY18" s="129" t="str">
        <f t="shared" ca="1" si="2"/>
        <v>83 OZ, 45 (23+22)</v>
      </c>
      <c r="AZ18" s="130"/>
      <c r="BA18" s="130"/>
      <c r="BB18" s="130"/>
      <c r="BC18" s="130"/>
      <c r="BD18" s="3" t="str">
        <f t="shared" si="3"/>
        <v>Rozkovec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6"/>
      <c r="BT18" s="104" t="s">
        <v>819</v>
      </c>
      <c r="BU18" s="103">
        <v>1</v>
      </c>
      <c r="BV18" s="104" t="str">
        <f t="shared" si="13"/>
        <v>Jakub Levínský</v>
      </c>
      <c r="BW18" s="102">
        <f t="shared" si="14"/>
        <v>1</v>
      </c>
    </row>
    <row r="19" spans="1:75" ht="15" customHeight="1" x14ac:dyDescent="0.2">
      <c r="A19" s="377" t="str">
        <f ca="1">IFERROR(VLOOKUP(A17,OFFSET($AG$2,,,COUNTIF($AG$2:$AG$50,"?*"),23),18,FALSE),"")</f>
        <v>8 OZ, 1 (1+0), -1 ±</v>
      </c>
      <c r="B19" s="378"/>
      <c r="C19" s="378"/>
      <c r="D19" s="379" t="str">
        <f ca="1">IFERROR(VLOOKUP(A17,OFFSET($AG$2,,,COUNTIF($AG$2:$AG$50,"?*"),23),19,FALSE),"")</f>
        <v>202 OZ, 117 (51+66)</v>
      </c>
      <c r="E19" s="379"/>
      <c r="F19" s="380"/>
      <c r="H19" s="381" t="str">
        <f>H$8</f>
        <v>LIB</v>
      </c>
      <c r="I19" s="381"/>
      <c r="J19" s="381"/>
      <c r="K19" s="381"/>
      <c r="M19" s="377" t="str">
        <f ca="1">IFERROR(VLOOKUP(M17,OFFSET($AG$2,,,COUNTIF($AG$2:$AG$50,"?*"),23),18,FALSE),"")</f>
        <v>8 OZ, 1 (0+1), +1 ±</v>
      </c>
      <c r="N19" s="378"/>
      <c r="O19" s="378"/>
      <c r="P19" s="379" t="str">
        <f ca="1">IFERROR(VLOOKUP(M17,OFFSET($AG$2,,,COUNTIF($AG$2:$AG$50,"?*"),23),19,FALSE),"")</f>
        <v>30 OZ, 5 (2+3)</v>
      </c>
      <c r="Q19" s="379"/>
      <c r="R19" s="380"/>
      <c r="S19" s="110" t="s">
        <v>225</v>
      </c>
      <c r="U19" s="102">
        <v>2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-2</v>
      </c>
      <c r="AC19" s="102" t="str">
        <f t="shared" ca="1" si="0"/>
        <v>ANO</v>
      </c>
      <c r="AG19" s="121" t="s">
        <v>247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149</v>
      </c>
      <c r="AQ19" s="123">
        <v>181</v>
      </c>
      <c r="AR19" s="123">
        <v>79</v>
      </c>
      <c r="AS19" s="126" t="s">
        <v>248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3"/>
        <v>Salát</v>
      </c>
      <c r="BE19" s="91">
        <f t="shared" ca="1" si="4"/>
        <v>1</v>
      </c>
      <c r="BF19" s="90" t="str">
        <f t="shared" si="5"/>
        <v>P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6"/>
      <c r="BT19" s="104" t="s">
        <v>820</v>
      </c>
      <c r="BU19" s="103">
        <v>0</v>
      </c>
      <c r="BV19" s="104" t="str">
        <f t="shared" si="13"/>
        <v>Jan Král</v>
      </c>
      <c r="BW19" s="102">
        <f t="shared" si="14"/>
        <v>0</v>
      </c>
    </row>
    <row r="20" spans="1:75" ht="15" customHeight="1" thickBot="1" x14ac:dyDescent="0.25">
      <c r="A20" s="365" t="str">
        <f ca="1">IFERROR(IF(VLOOKUP(A17,OFFSET($AG$2,,,COUNTIF($AG$2:$AG$50,"?*"),23),13,FALSE)&lt;&gt;0,VLOOKUP(A17,OFFSET($AG$2,,,COUNTIF($AG$2:$AG$50,"?*"),23),13,FALSE),"?"),"")</f>
        <v>Sokol Pardubice</v>
      </c>
      <c r="B20" s="366"/>
      <c r="C20" s="367"/>
      <c r="D20" s="368">
        <f ca="1">IFERROR(IF(VLOOKUP(A17,OFFSET($AG$2,,,COUNTIF($AG$2:$AG$50,"?*"),23),14,FALSE)&lt;&gt;0,VLOOKUP(A17,OFFSET($AG$2,,,COUNTIF($AG$2:$AG$50,"?*"),23),14,FALSE),"?"),"")</f>
        <v>2009</v>
      </c>
      <c r="E20" s="369"/>
      <c r="F20" s="7">
        <f ca="1">IFERROR(IF(VLOOKUP(A17,OFFSET($AG$2,,,COUNTIF($AG$2:$AG$50,"?*"),23),7,FALSE)&lt;&gt;0,VLOOKUP(A17,OFFSET($AG$2,,,COUNTIF($AG$2:$AG$50,"?*"),23),7,FALSE),"?"),"")</f>
        <v>11</v>
      </c>
      <c r="H20" s="381"/>
      <c r="I20" s="381"/>
      <c r="J20" s="381"/>
      <c r="K20" s="381"/>
      <c r="M20" s="365" t="str">
        <f ca="1">IFERROR(IF(VLOOKUP(M17,OFFSET($AG$2,,,COUNTIF($AG$2:$AG$50,"?*"),23),13,FALSE)&lt;&gt;0,VLOOKUP(M17,OFFSET($AG$2,,,COUNTIF($AG$2:$AG$50,"?*"),23),13,FALSE),"?"),"")</f>
        <v>FBC Liberec</v>
      </c>
      <c r="N20" s="366"/>
      <c r="O20" s="367"/>
      <c r="P20" s="368">
        <f ca="1">IFERROR(IF(VLOOKUP(M17,OFFSET($AG$2,,,COUNTIF($AG$2:$AG$50,"?*"),23),14,FALSE)&lt;&gt;0,VLOOKUP(M17,OFFSET($AG$2,,,COUNTIF($AG$2:$AG$50,"?*"),23),14,FALSE),"?"),"")</f>
        <v>2010</v>
      </c>
      <c r="Q20" s="369"/>
      <c r="R20" s="7">
        <f ca="1">IFERROR(IF(VLOOKUP(M17,OFFSET($AG$2,,,COUNTIF($AG$2:$AG$50,"?*"),23),7,FALSE)&lt;&gt;0,VLOOKUP(M17,OFFSET($AG$2,,,COUNTIF($AG$2:$AG$50,"?*"),23),7,FALSE),"?"),"")</f>
        <v>2</v>
      </c>
      <c r="S20" s="110" t="s">
        <v>816</v>
      </c>
      <c r="T20" s="102" t="s">
        <v>117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228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797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7 OZ, 9 (8+1), -1 ±</v>
      </c>
      <c r="AY20" s="129" t="str">
        <f t="shared" ca="1" si="2"/>
        <v>7 OZ, 9 (8+1)</v>
      </c>
      <c r="AZ20" s="130"/>
      <c r="BA20" s="130"/>
      <c r="BB20" s="130"/>
      <c r="BC20" s="130"/>
      <c r="BD20" s="3" t="str">
        <f t="shared" si="3"/>
        <v>Smutný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233</v>
      </c>
      <c r="U21" s="102">
        <v>7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0</v>
      </c>
      <c r="AC21" s="102" t="str">
        <f t="shared" ca="1" si="0"/>
        <v>ANO</v>
      </c>
      <c r="AG21" s="121" t="s">
        <v>221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149</v>
      </c>
      <c r="AQ21" s="123">
        <v>187</v>
      </c>
      <c r="AR21" s="123">
        <v>83</v>
      </c>
      <c r="AS21" s="126" t="s">
        <v>249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8 OZ, 13 (6+7), -1 ±</v>
      </c>
      <c r="AY21" s="129" t="str">
        <f t="shared" ca="1" si="2"/>
        <v>26 OZ, 27 (15+12)</v>
      </c>
      <c r="AZ21" s="130"/>
      <c r="BA21" s="130"/>
      <c r="BB21" s="130"/>
      <c r="BC21" s="130"/>
      <c r="BD21" s="89" t="str">
        <f t="shared" si="3"/>
        <v>Stránský</v>
      </c>
      <c r="BE21" s="91">
        <f t="shared" ca="1" si="4"/>
        <v>1</v>
      </c>
      <c r="BF21" s="90" t="str">
        <f t="shared" si="5"/>
        <v>Š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230</v>
      </c>
      <c r="U22" s="102">
        <v>8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-5</v>
      </c>
      <c r="AC22" s="102" t="str">
        <f t="shared" ca="1" si="0"/>
        <v>ANO</v>
      </c>
      <c r="AG22" s="121" t="s">
        <v>231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149</v>
      </c>
      <c r="AQ22" s="123">
        <v>187</v>
      </c>
      <c r="AR22" s="123">
        <v>82</v>
      </c>
      <c r="AS22" s="126" t="s">
        <v>250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8 OZ, 4 (3+1), -12 ±</v>
      </c>
      <c r="AY22" s="129" t="str">
        <f t="shared" ca="1" si="2"/>
        <v>49 OZ, 29 (18+11)</v>
      </c>
      <c r="AZ22" s="130"/>
      <c r="BA22" s="130"/>
      <c r="BB22" s="130"/>
      <c r="BC22" s="130"/>
      <c r="BD22" s="3" t="str">
        <f t="shared" si="3"/>
        <v>Světlík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6" t="s">
        <v>38</v>
      </c>
      <c r="BT22" s="104" t="s">
        <v>1116</v>
      </c>
      <c r="BU22" s="103">
        <v>7</v>
      </c>
      <c r="BV22" s="104" t="str">
        <f t="shared" si="13"/>
        <v>Prokop Ferdan</v>
      </c>
      <c r="BW22" s="102">
        <f t="shared" si="14"/>
        <v>7</v>
      </c>
    </row>
    <row r="23" spans="1:75" ht="15" customHeight="1" thickTop="1" thickBot="1" x14ac:dyDescent="0.25">
      <c r="A23" s="348" t="s">
        <v>220</v>
      </c>
      <c r="B23" s="349"/>
      <c r="C23" s="349"/>
      <c r="D23" s="349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382" t="s">
        <v>13</v>
      </c>
      <c r="I23" s="382"/>
      <c r="J23" s="382"/>
      <c r="K23" s="382"/>
      <c r="M23" s="348" t="s">
        <v>231</v>
      </c>
      <c r="N23" s="349"/>
      <c r="O23" s="349"/>
      <c r="P23" s="349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1"/>
      <c r="AC23" s="102" t="str">
        <f t="shared" ca="1" si="0"/>
        <v/>
      </c>
      <c r="AG23" s="121" t="s">
        <v>215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149</v>
      </c>
      <c r="AQ23" s="123">
        <v>177</v>
      </c>
      <c r="AR23" s="123">
        <v>74</v>
      </c>
      <c r="AS23" s="126" t="s">
        <v>82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8 OZ, 2 (2+0), -5 ±</v>
      </c>
      <c r="AY23" s="129" t="str">
        <f t="shared" ca="1" si="2"/>
        <v>102 OZ, 31 (22+9)</v>
      </c>
      <c r="AZ23" s="130"/>
      <c r="BA23" s="130"/>
      <c r="BB23" s="130"/>
      <c r="BC23" s="130"/>
      <c r="BD23" s="89" t="str">
        <f t="shared" si="3"/>
        <v>Šoltys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6"/>
      <c r="BT23" s="104" t="s">
        <v>1115</v>
      </c>
      <c r="BU23" s="103">
        <v>7</v>
      </c>
      <c r="BV23" s="104" t="str">
        <f t="shared" si="13"/>
        <v>Šimon Stránský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41">
        <f ca="1">IFERROR(IF(VLOOKUP(A23,OFFSET($AG$2,,,COUNTIF($AG$2:$AG$50,"?*"),23),2,FALSE)&lt;&gt;0,YEAR(VLOOKUP(A23,OFFSET($AG$2,,,COUNTIF($AG$2:$AG$50,"?*"),23),2,FALSE)),""),"")</f>
        <v>1999</v>
      </c>
      <c r="C24" s="342"/>
      <c r="D24" s="94">
        <f ca="1">IFERROR(VLOOKUP(A23,OFFSET($AG$2,,,COUNTIF($AG$2:$AG$50,"?*"),23),15,FALSE),"")</f>
        <v>22</v>
      </c>
      <c r="E24" s="343" t="str">
        <f ca="1">IFERROR(VLOOKUP(A23,OFFSET($AG$2,,,COUNTIF($AG$2:$AG$50,"?*"),23),16,FALSE),"")</f>
        <v>164/60</v>
      </c>
      <c r="F24" s="344"/>
      <c r="M24" s="4" t="str">
        <f ca="1">IFERROR(IF(VLOOKUP(M23,OFFSET($AG$2,,,COUNTIF($AG$2:$AG$50,"?*"),23),10,FALSE)&lt;&gt;0,VLOOKUP(M23,OFFSET($AG$2,,,COUNTIF($AG$2:$AG$50,"?*"),23),10,FALSE),""),"")</f>
        <v>L</v>
      </c>
      <c r="N24" s="341">
        <f ca="1">IFERROR(IF(VLOOKUP(M23,OFFSET($AG$2,,,COUNTIF($AG$2:$AG$50,"?*"),23),2,FALSE)&lt;&gt;0,YEAR(VLOOKUP(M23,OFFSET($AG$2,,,COUNTIF($AG$2:$AG$50,"?*"),23),2,FALSE)),""),"")</f>
        <v>1998</v>
      </c>
      <c r="O24" s="342"/>
      <c r="P24" s="94">
        <f ca="1">IFERROR(VLOOKUP(M23,OFFSET($AG$2,,,COUNTIF($AG$2:$AG$50,"?*"),23),15,FALSE),"")</f>
        <v>23</v>
      </c>
      <c r="Q24" s="343" t="str">
        <f ca="1">IFERROR(VLOOKUP(M23,OFFSET($AG$2,,,COUNTIF($AG$2:$AG$50,"?*"),23),16,FALSE),"")</f>
        <v>187/82</v>
      </c>
      <c r="R24" s="344"/>
      <c r="S24" s="111"/>
      <c r="AC24" s="102" t="str">
        <f t="shared" ca="1" si="0"/>
        <v/>
      </c>
      <c r="AG24" s="121" t="s">
        <v>225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82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3"/>
        <v>Václavík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6"/>
      <c r="BT24" s="104" t="s">
        <v>1117</v>
      </c>
      <c r="BU24" s="103">
        <v>5</v>
      </c>
      <c r="BV24" s="104" t="str">
        <f t="shared" si="13"/>
        <v>Jakub Kopecký</v>
      </c>
      <c r="BW24" s="102">
        <f t="shared" si="14"/>
        <v>5</v>
      </c>
    </row>
    <row r="25" spans="1:75" ht="15" customHeight="1" thickTop="1" thickBot="1" x14ac:dyDescent="0.25">
      <c r="A25" s="377" t="str">
        <f ca="1">IFERROR(VLOOKUP(A23,OFFSET($AG$2,,,COUNTIF($AG$2:$AG$50,"?*"),23),18,FALSE),"")</f>
        <v>8 OZ, 1 (0+1), -8 ±</v>
      </c>
      <c r="B25" s="378"/>
      <c r="C25" s="378"/>
      <c r="D25" s="379" t="str">
        <f ca="1">IFERROR(VLOOKUP(A23,OFFSET($AG$2,,,COUNTIF($AG$2:$AG$50,"?*"),23),19,FALSE),"")</f>
        <v>83 OZ, 45 (23+22)</v>
      </c>
      <c r="E25" s="379"/>
      <c r="F25" s="380"/>
      <c r="G25" s="348" t="s">
        <v>222</v>
      </c>
      <c r="H25" s="349"/>
      <c r="I25" s="349"/>
      <c r="J25" s="349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377" t="str">
        <f ca="1">IFERROR(VLOOKUP(M23,OFFSET($AG$2,,,COUNTIF($AG$2:$AG$50,"?*"),23),18,FALSE),"")</f>
        <v>8 OZ, 4 (3+1), -12 ±</v>
      </c>
      <c r="N25" s="378"/>
      <c r="O25" s="378"/>
      <c r="P25" s="379" t="str">
        <f ca="1">IFERROR(VLOOKUP(M23,OFFSET($AG$2,,,COUNTIF($AG$2:$AG$50,"?*"),23),19,FALSE),"")</f>
        <v>49 OZ, 29 (18+11)</v>
      </c>
      <c r="Q25" s="379"/>
      <c r="R25" s="380"/>
      <c r="S25" s="111"/>
      <c r="AC25" s="102" t="str">
        <f t="shared" ca="1" si="0"/>
        <v/>
      </c>
      <c r="AG25" s="121" t="s">
        <v>216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149</v>
      </c>
      <c r="AQ25" s="123">
        <v>187</v>
      </c>
      <c r="AR25" s="123">
        <v>76</v>
      </c>
      <c r="AS25" s="126" t="s">
        <v>82</v>
      </c>
      <c r="AT25" s="123">
        <v>2002</v>
      </c>
      <c r="AU25" s="127">
        <f ca="1">IF(AG25&lt;&gt;"",IF(AH25&lt;&gt;"",INT((TODAY()-AH25)/365),"?"),"")</f>
        <v>27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5"/>
        <v>8 OZ, 9 (4+5), +1 ±</v>
      </c>
      <c r="AY25" s="129" t="str">
        <f t="shared" ca="1" si="16"/>
        <v>197 OZ, 314 (170+144)</v>
      </c>
      <c r="AZ25" s="130"/>
      <c r="BA25" s="130"/>
      <c r="BB25" s="130"/>
      <c r="BC25" s="130"/>
      <c r="BD25" s="89" t="str">
        <f t="shared" si="3"/>
        <v>Valeš</v>
      </c>
      <c r="BE25" s="91">
        <f t="shared" ca="1" si="4"/>
        <v>1</v>
      </c>
      <c r="BF25" s="90" t="str">
        <f t="shared" si="5"/>
        <v>R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6"/>
      <c r="BT25" s="104" t="s">
        <v>982</v>
      </c>
      <c r="BU25" s="103">
        <v>5</v>
      </c>
      <c r="BV25" s="104" t="str">
        <f t="shared" si="13"/>
        <v>Radek Valeš</v>
      </c>
      <c r="BW25" s="102">
        <f t="shared" si="14"/>
        <v>5</v>
      </c>
    </row>
    <row r="26" spans="1:75" ht="15" customHeight="1" thickBot="1" x14ac:dyDescent="0.25">
      <c r="A26" s="365" t="str">
        <f ca="1">IFERROR(IF(VLOOKUP(A23,OFFSET($AG$2,,,COUNTIF($AG$2:$AG$50,"?*"),23),13,FALSE)&lt;&gt;0,VLOOKUP(A23,OFFSET($AG$2,,,COUNTIF($AG$2:$AG$50,"?*"),23),13,FALSE),"?"),"")</f>
        <v>Florbal Mladá Boleslav</v>
      </c>
      <c r="B26" s="366"/>
      <c r="C26" s="367"/>
      <c r="D26" s="368">
        <f ca="1">IFERROR(IF(VLOOKUP(A23,OFFSET($AG$2,,,COUNTIF($AG$2:$AG$50,"?*"),23),14,FALSE)&lt;&gt;0,VLOOKUP(A23,OFFSET($AG$2,,,COUNTIF($AG$2:$AG$50,"?*"),23),14,FALSE),"?"),"")</f>
        <v>2008</v>
      </c>
      <c r="E26" s="369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41">
        <f ca="1">IFERROR(IF(VLOOKUP(G25,OFFSET($AG$2,,,COUNTIF($AG$2:$AG$50,"?*"),23),2,FALSE)&lt;&gt;0,YEAR(VLOOKUP(G25,OFFSET($AG$2,,,COUNTIF($AG$2:$AG$50,"?*"),23),2,FALSE)),""),"")</f>
        <v>1994</v>
      </c>
      <c r="I26" s="342"/>
      <c r="J26" s="94">
        <f ca="1">IFERROR(VLOOKUP(G25,OFFSET($AG$2,,,COUNTIF($AG$2:$AG$50,"?*"),23),15,FALSE),"")</f>
        <v>27</v>
      </c>
      <c r="K26" s="343" t="str">
        <f ca="1">IFERROR(VLOOKUP(G25,OFFSET($AG$2,,,COUNTIF($AG$2:$AG$50,"?*"),23),16,FALSE),"")</f>
        <v>185/86</v>
      </c>
      <c r="L26" s="344"/>
      <c r="M26" s="365" t="str">
        <f ca="1">IFERROR(IF(VLOOKUP(M23,OFFSET($AG$2,,,COUNTIF($AG$2:$AG$50,"?*"),23),13,FALSE)&lt;&gt;0,VLOOKUP(M23,OFFSET($AG$2,,,COUNTIF($AG$2:$AG$50,"?*"),23),13,FALSE),"?"),"")</f>
        <v>DTJ Trutnov</v>
      </c>
      <c r="N26" s="366"/>
      <c r="O26" s="367"/>
      <c r="P26" s="368">
        <f ca="1">IFERROR(IF(VLOOKUP(M23,OFFSET($AG$2,,,COUNTIF($AG$2:$AG$50,"?*"),23),14,FALSE)&lt;&gt;0,VLOOKUP(M23,OFFSET($AG$2,,,COUNTIF($AG$2:$AG$50,"?*"),23),14,FALSE),"?"),"")</f>
        <v>2014</v>
      </c>
      <c r="Q26" s="369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226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149</v>
      </c>
      <c r="AQ26" s="123">
        <v>178</v>
      </c>
      <c r="AR26" s="123">
        <v>70</v>
      </c>
      <c r="AS26" s="126" t="s">
        <v>82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5"/>
        <v>8 OZ, 7 (3+4), +3 ±</v>
      </c>
      <c r="AY26" s="129" t="str">
        <f t="shared" ca="1" si="16"/>
        <v>30 OZ, 33 (12+21)</v>
      </c>
      <c r="AZ26" s="130"/>
      <c r="BA26" s="130"/>
      <c r="BB26" s="130"/>
      <c r="BC26" s="130"/>
      <c r="BD26" s="3" t="str">
        <f t="shared" si="3"/>
        <v>Wiener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6"/>
      <c r="BT26" s="104" t="s">
        <v>1260</v>
      </c>
      <c r="BU26" s="103">
        <v>4</v>
      </c>
      <c r="BV26" s="104" t="str">
        <f t="shared" si="13"/>
        <v>Vojtěch Wiener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377" t="str">
        <f ca="1">IFERROR(VLOOKUP(G25,OFFSET($AG$2,,,COUNTIF($AG$2:$AG$50,"?*"),23),18,FALSE),"")</f>
        <v>7 OZ, 2 (2+0), -11 ±</v>
      </c>
      <c r="H27" s="378"/>
      <c r="I27" s="378"/>
      <c r="J27" s="379" t="str">
        <f ca="1">IFERROR(VLOOKUP(G25,OFFSET($AG$2,,,COUNTIF($AG$2:$AG$50,"?*"),23),19,FALSE),"")</f>
        <v>125 OZ, 37 (28+9)</v>
      </c>
      <c r="K27" s="379"/>
      <c r="L27" s="38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7">IF(AG27&lt;&gt;"",IF(AH27&lt;&gt;"",INT((TODAY()-AH27)/365),"?"),"")</f>
        <v/>
      </c>
      <c r="AV27" s="127" t="str">
        <f t="shared" ref="AV27:AV50" si="18">IF(AG27&lt;&gt;"",CONCATENATE(IF(AQ27&lt;&gt;"",AQ27,"? "),"/",IF(AR27&lt;&gt;"",AR27," ?")),"")</f>
        <v/>
      </c>
      <c r="AW27" s="128" t="str">
        <f t="shared" ref="AW27:AW50" si="19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36" t="s">
        <v>39</v>
      </c>
      <c r="BT27" s="104" t="s">
        <v>981</v>
      </c>
      <c r="BU27" s="103">
        <v>6</v>
      </c>
      <c r="BV27" s="104" t="str">
        <f t="shared" si="13"/>
        <v>Jan Světlík</v>
      </c>
      <c r="BW27" s="102">
        <f t="shared" si="14"/>
        <v>6</v>
      </c>
    </row>
    <row r="28" spans="1:75" ht="15" customHeight="1" thickTop="1" thickBot="1" x14ac:dyDescent="0.25">
      <c r="A28" s="348" t="s">
        <v>219</v>
      </c>
      <c r="B28" s="349"/>
      <c r="C28" s="349"/>
      <c r="D28" s="349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365" t="str">
        <f ca="1">IFERROR(IF(VLOOKUP(G25,OFFSET($AG$2,,,COUNTIF($AG$2:$AG$50,"?*"),23),13,FALSE)&lt;&gt;0,VLOOKUP(G25,OFFSET($AG$2,,,COUNTIF($AG$2:$AG$50,"?*"),23),13,FALSE),"?"),"")</f>
        <v>Sokol Dvůr Králové</v>
      </c>
      <c r="H28" s="366"/>
      <c r="I28" s="367"/>
      <c r="J28" s="368">
        <f ca="1">IFERROR(IF(VLOOKUP(G25,OFFSET($AG$2,,,COUNTIF($AG$2:$AG$50,"?*"),23),14,FALSE)&lt;&gt;0,VLOOKUP(G25,OFFSET($AG$2,,,COUNTIF($AG$2:$AG$50,"?*"),23),14,FALSE),"?"),"")</f>
        <v>2001</v>
      </c>
      <c r="K28" s="369"/>
      <c r="L28" s="7">
        <f ca="1">IFERROR(IF(VLOOKUP(G25,OFFSET($AG$2,,,COUNTIF($AG$2:$AG$50,"?*"),23),7,FALSE)&lt;&gt;0,VLOOKUP(G25,OFFSET($AG$2,,,COUNTIF($AG$2:$AG$50,"?*"),23),7,FALSE),"?"),"")</f>
        <v>11</v>
      </c>
      <c r="M28" s="348" t="s">
        <v>217</v>
      </c>
      <c r="N28" s="349"/>
      <c r="O28" s="349"/>
      <c r="P28" s="349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50" si="20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7"/>
        <v/>
      </c>
      <c r="AV28" s="127" t="str">
        <f t="shared" si="18"/>
        <v/>
      </c>
      <c r="AW28" s="128" t="str">
        <f t="shared" si="19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36"/>
      <c r="BT28" s="104" t="s">
        <v>1261</v>
      </c>
      <c r="BU28" s="103">
        <v>4</v>
      </c>
      <c r="BV28" s="104" t="str">
        <f t="shared" si="13"/>
        <v>Jan Baudisch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41">
        <f ca="1">IFERROR(IF(VLOOKUP(A28,OFFSET($AG$2,,,COUNTIF($AG$2:$AG$50,"?*"),23),2,FALSE)&lt;&gt;0,YEAR(VLOOKUP(A28,OFFSET($AG$2,,,COUNTIF($AG$2:$AG$50,"?*"),23),2,FALSE)),""),"")</f>
        <v>2000</v>
      </c>
      <c r="C29" s="342"/>
      <c r="D29" s="94">
        <f ca="1">IFERROR(VLOOKUP(A28,OFFSET($AG$2,,,COUNTIF($AG$2:$AG$50,"?*"),23),15,FALSE),"")</f>
        <v>21</v>
      </c>
      <c r="E29" s="343" t="str">
        <f ca="1">IFERROR(VLOOKUP(A28,OFFSET($AG$2,,,COUNTIF($AG$2:$AG$50,"?*"),23),16,FALSE),"")</f>
        <v>180/72</v>
      </c>
      <c r="F29" s="344"/>
      <c r="M29" s="4" t="str">
        <f ca="1">IFERROR(IF(VLOOKUP(M28,OFFSET($AG$2,,,COUNTIF($AG$2:$AG$50,"?*"),23),10,FALSE)&lt;&gt;0,VLOOKUP(M28,OFFSET($AG$2,,,COUNTIF($AG$2:$AG$50,"?*"),23),10,FALSE),""),"")</f>
        <v>L</v>
      </c>
      <c r="N29" s="341">
        <f ca="1">IFERROR(IF(VLOOKUP(M28,OFFSET($AG$2,,,COUNTIF($AG$2:$AG$50,"?*"),23),2,FALSE)&lt;&gt;0,YEAR(VLOOKUP(M28,OFFSET($AG$2,,,COUNTIF($AG$2:$AG$50,"?*"),23),2,FALSE)),""),"")</f>
        <v>1989</v>
      </c>
      <c r="O29" s="342"/>
      <c r="P29" s="94">
        <f ca="1">IFERROR(VLOOKUP(M28,OFFSET($AG$2,,,COUNTIF($AG$2:$AG$50,"?*"),23),15,FALSE),"")</f>
        <v>31</v>
      </c>
      <c r="Q29" s="343" t="str">
        <f ca="1">IFERROR(VLOOKUP(M28,OFFSET($AG$2,,,COUNTIF($AG$2:$AG$50,"?*"),23),16,FALSE),"")</f>
        <v>194/98</v>
      </c>
      <c r="R29" s="344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7"/>
        <v/>
      </c>
      <c r="AV29" s="127" t="str">
        <f t="shared" si="18"/>
        <v/>
      </c>
      <c r="AW29" s="128" t="str">
        <f t="shared" si="19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36"/>
      <c r="BT29" s="104" t="s">
        <v>1259</v>
      </c>
      <c r="BU29" s="103">
        <v>4</v>
      </c>
      <c r="BV29" s="104" t="str">
        <f t="shared" si="13"/>
        <v>Šimon Stránský</v>
      </c>
      <c r="BW29" s="102">
        <f t="shared" si="14"/>
        <v>4</v>
      </c>
    </row>
    <row r="30" spans="1:75" ht="15" customHeight="1" x14ac:dyDescent="0.2">
      <c r="A30" s="377" t="str">
        <f ca="1">IFERROR(VLOOKUP(A28,OFFSET($AG$2,,,COUNTIF($AG$2:$AG$50,"?*"),23),18,FALSE),"")</f>
        <v>7 OZ, 1 (0+1), -8 ±</v>
      </c>
      <c r="B30" s="378"/>
      <c r="C30" s="378"/>
      <c r="D30" s="379" t="str">
        <f ca="1">IFERROR(VLOOKUP(A28,OFFSET($AG$2,,,COUNTIF($AG$2:$AG$50,"?*"),23),19,FALSE),"")</f>
        <v>57 OZ, 14 (5+9)</v>
      </c>
      <c r="E30" s="379"/>
      <c r="F30" s="380"/>
      <c r="H30" s="381" t="str">
        <f>H$8</f>
        <v>LIB</v>
      </c>
      <c r="I30" s="381"/>
      <c r="J30" s="381"/>
      <c r="K30" s="381"/>
      <c r="M30" s="377" t="str">
        <f ca="1">IFERROR(VLOOKUP(M28,OFFSET($AG$2,,,COUNTIF($AG$2:$AG$50,"?*"),23),18,FALSE),"")</f>
        <v>7 OZ, 1 (1+0), -3 ±</v>
      </c>
      <c r="N30" s="378"/>
      <c r="O30" s="378"/>
      <c r="P30" s="379" t="str">
        <f ca="1">IFERROR(VLOOKUP(M28,OFFSET($AG$2,,,COUNTIF($AG$2:$AG$50,"?*"),23),19,FALSE),"")</f>
        <v>249 OZ, 119 (64+55)</v>
      </c>
      <c r="Q30" s="379"/>
      <c r="R30" s="38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36"/>
      <c r="BT30" s="104" t="s">
        <v>1262</v>
      </c>
      <c r="BU30" s="103">
        <v>2</v>
      </c>
      <c r="BV30" s="104" t="str">
        <f t="shared" si="13"/>
        <v>Daniel Martínek</v>
      </c>
      <c r="BW30" s="102">
        <f t="shared" si="14"/>
        <v>2</v>
      </c>
    </row>
    <row r="31" spans="1:75" ht="15" customHeight="1" thickBot="1" x14ac:dyDescent="0.25">
      <c r="A31" s="365" t="str">
        <f ca="1">IFERROR(IF(VLOOKUP(A28,OFFSET($AG$2,,,COUNTIF($AG$2:$AG$50,"?*"),23),13,FALSE)&lt;&gt;0,VLOOKUP(A28,OFFSET($AG$2,,,COUNTIF($AG$2:$AG$50,"?*"),23),13,FALSE),"?"),"")</f>
        <v>FA Mladá Boleslav</v>
      </c>
      <c r="B31" s="366"/>
      <c r="C31" s="367"/>
      <c r="D31" s="368">
        <f ca="1">IFERROR(IF(VLOOKUP(A28,OFFSET($AG$2,,,COUNTIF($AG$2:$AG$50,"?*"),23),14,FALSE)&lt;&gt;0,VLOOKUP(A28,OFFSET($AG$2,,,COUNTIF($AG$2:$AG$50,"?*"),23),14,FALSE),"?"),"")</f>
        <v>2006</v>
      </c>
      <c r="E31" s="369"/>
      <c r="F31" s="7">
        <f ca="1">IFERROR(IF(VLOOKUP(A28,OFFSET($AG$2,,,COUNTIF($AG$2:$AG$50,"?*"),23),7,FALSE)&lt;&gt;0,VLOOKUP(A28,OFFSET($AG$2,,,COUNTIF($AG$2:$AG$50,"?*"),23),7,FALSE),"?"),"")</f>
        <v>3</v>
      </c>
      <c r="H31" s="381"/>
      <c r="I31" s="381"/>
      <c r="J31" s="381"/>
      <c r="K31" s="381"/>
      <c r="M31" s="365" t="str">
        <f ca="1">IFERROR(IF(VLOOKUP(M28,OFFSET($AG$2,,,COUNTIF($AG$2:$AG$50,"?*"),23),13,FALSE)&lt;&gt;0,VLOOKUP(M28,OFFSET($AG$2,,,COUNTIF($AG$2:$AG$50,"?*"),23),13,FALSE),"?"),"")</f>
        <v>FBC Liberec</v>
      </c>
      <c r="N31" s="366"/>
      <c r="O31" s="367"/>
      <c r="P31" s="368">
        <f ca="1">IFERROR(IF(VLOOKUP(M28,OFFSET($AG$2,,,COUNTIF($AG$2:$AG$50,"?*"),23),14,FALSE)&lt;&gt;0,VLOOKUP(M28,OFFSET($AG$2,,,COUNTIF($AG$2:$AG$50,"?*"),23),14,FALSE),"?"),"")</f>
        <v>1999</v>
      </c>
      <c r="Q31" s="369"/>
      <c r="R31" s="7">
        <f ca="1">IFERROR(IF(VLOOKUP(M28,OFFSET($AG$2,,,COUNTIF($AG$2:$AG$50,"?*"),23),7,FALSE)&lt;&gt;0,VLOOKUP(M28,OFFSET($AG$2,,,COUNTIF($AG$2:$AG$50,"?*"),23),7,FALSE),"?"),"")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7"/>
        <v/>
      </c>
      <c r="AV31" s="127" t="str">
        <f t="shared" si="18"/>
        <v/>
      </c>
      <c r="AW31" s="128" t="str">
        <f t="shared" si="19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6"/>
      <c r="BT31" s="104" t="s">
        <v>1263</v>
      </c>
      <c r="BU31" s="103">
        <v>2</v>
      </c>
      <c r="BV31" s="104" t="str">
        <f t="shared" si="13"/>
        <v>Petr Kološ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8" t="s">
        <v>232</v>
      </c>
      <c r="B34" s="349"/>
      <c r="C34" s="349"/>
      <c r="D34" s="349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376" t="s">
        <v>16</v>
      </c>
      <c r="J34" s="348" t="s">
        <v>228</v>
      </c>
      <c r="K34" s="349"/>
      <c r="L34" s="349"/>
      <c r="M34" s="349"/>
      <c r="N34" s="349"/>
      <c r="O34" s="349"/>
      <c r="P34" s="349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341">
        <f ca="1">IFERROR(IF(VLOOKUP(A34,OFFSET($AG$2,,,COUNTIF($AG$2:$AG$50,"?*"),23),2,FALSE)&lt;&gt;0,YEAR(VLOOKUP(A34,OFFSET($AG$2,,,COUNTIF($AG$2:$AG$50,"?*"),23),2,FALSE)),""),"")</f>
        <v>2001</v>
      </c>
      <c r="C35" s="342"/>
      <c r="D35" s="94">
        <f ca="1">IFERROR(VLOOKUP(A34,OFFSET($AG$2,,,COUNTIF($AG$2:$AG$50,"?*"),23),15,FALSE),"")</f>
        <v>20</v>
      </c>
      <c r="E35" s="343" t="str">
        <f ca="1">IFERROR(VLOOKUP(A34,OFFSET($AG$2,,,COUNTIF($AG$2:$AG$50,"?*"),23),16,FALSE),"")</f>
        <v>195/93</v>
      </c>
      <c r="F35" s="344"/>
      <c r="H35" s="376"/>
      <c r="J35" s="4" t="str">
        <f ca="1">IFERROR(IF(VLOOKUP(J34,OFFSET($AG$2,,,COUNTIF($AG$2:$AG$50,"?*"),23),10,FALSE)&lt;&gt;0,VLOOKUP(J34,OFFSET($AG$2,,,COUNTIF($AG$2:$AG$50,"?*"),23),10,FALSE),""),"")</f>
        <v>P</v>
      </c>
      <c r="K35" s="342">
        <f ca="1">IFERROR(IF(VLOOKUP(J34,OFFSET($AG$2,,,COUNTIF($AG$2:$AG$50,"?*"),23),2,FALSE)&lt;&gt;0,YEAR(VLOOKUP(J34,OFFSET($AG$2,,,COUNTIF($AG$2:$AG$50,"?*"),23),2,FALSE)),""),"")</f>
        <v>2004</v>
      </c>
      <c r="L35" s="350"/>
      <c r="M35" s="93">
        <f ca="1">IFERROR(VLOOKUP(J34,OFFSET($AG$2,,,COUNTIF($AG$2:$AG$50,"?*"),23),15,FALSE),"")</f>
        <v>17</v>
      </c>
      <c r="N35" s="350" t="str">
        <f ca="1">IFERROR(VLOOKUP(J34,OFFSET($AG$2,,,COUNTIF($AG$2:$AG$50,"?*"),23),16,FALSE),"")</f>
        <v>183/79</v>
      </c>
      <c r="O35" s="350"/>
      <c r="P35" s="350" t="str">
        <f ca="1">IFERROR(VLOOKUP(J34,OFFSET($AG$2,,,COUNTIF($AG$2:$AG$50,"?*"),23),18,FALSE),"")</f>
        <v>7 OZ, 9 (8+1), -1 ±</v>
      </c>
      <c r="Q35" s="350"/>
      <c r="R35" s="35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7</v>
      </c>
      <c r="B36" s="345" t="str">
        <f ca="1">IFERROR(VLOOKUP(A34,OFFSET($AG$2,,,COUNTIF($AG$2:$AG$50,"?*"),23),18,FALSE),"")</f>
        <v>4 V, 3 P</v>
      </c>
      <c r="C36" s="345"/>
      <c r="D36" s="346">
        <f ca="1">IFERROR(VLOOKUP(A34,OFFSET($S$45,,,COUNTIF($S$45:$S$50,"?*"),14),5,FALSE),"")</f>
        <v>39</v>
      </c>
      <c r="E36" s="347"/>
      <c r="F36" s="17">
        <f ca="1">IFERROR(VLOOKUP(A34,OFFSET($S$45,,,COUNTIF($S$45:$S$50,"?*"),14),14,FALSE),"")</f>
        <v>71.32352941176471</v>
      </c>
      <c r="H36" s="376"/>
      <c r="J36" s="18">
        <f ca="1">IFERROR(IF(VLOOKUP(J34,OFFSET($AG$2,,,COUNTIF($AG$2:$AG$50,"?*"),23),7,FALSE)&lt;&gt;0,VLOOKUP(J34,OFFSET($AG$2,,,COUNTIF($AG$2:$AG$50,"?*"),23),7,FALSE),"?"),"")</f>
        <v>1</v>
      </c>
      <c r="K36" s="352" t="str">
        <f ca="1">IFERROR(VLOOKUP(J34,OFFSET($AG$2,,,COUNTIF($AG$2:$AG$50,"?*"),23),19,FALSE),"")</f>
        <v>7 OZ, 9 (8+1)</v>
      </c>
      <c r="L36" s="352"/>
      <c r="M36" s="352"/>
      <c r="N36" s="353" t="str">
        <f ca="1">IFERROR(IF(VLOOKUP(J34,OFFSET($AG$2,,,COUNTIF($AG$2:$AG$50,"?*"),23),13,FALSE)&lt;&gt;0,VLOOKUP(J34,OFFSET($AG$2,,,COUNTIF($AG$2:$AG$50,"?*"),23),13,FALSE),"?"),"")</f>
        <v>FBC Panthers Liberec</v>
      </c>
      <c r="O36" s="353"/>
      <c r="P36" s="353"/>
      <c r="Q36" s="352">
        <f ca="1">IFERROR(IF(VLOOKUP(J34,OFFSET($AG$2,,,COUNTIF($AG$2:$AG$50,"?*"),23),14,FALSE)&lt;&gt;0,VLOOKUP(J34,OFFSET($AG$2,,,COUNTIF($AG$2:$AG$50,"?*"),23),14,FALSE),"?"),"")</f>
        <v>2010</v>
      </c>
      <c r="R36" s="35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0">
        <f ca="1">IFERROR(VLOOKUP(A34,OFFSET($S$45,,,COUNTIF($S$45:$S$50,"?*"),14),3,FALSE),"")</f>
        <v>410.52</v>
      </c>
      <c r="B37" s="371"/>
      <c r="C37" s="372">
        <f ca="1">IFERROR(VLOOKUP(A34,OFFSET($S$45,,,COUNTIF($S$45:$S$50,"?*"),14),13,FALSE),"")</f>
        <v>5.7000876936568261</v>
      </c>
      <c r="D37" s="373"/>
      <c r="E37" s="374" t="str">
        <f ca="1">IFERROR(VLOOKUP(A34,OFFSET($AG$2,,,COUNTIF($AG$2:$AG$50,"?*"),23),19,FALSE),"")</f>
        <v>7 OZ, 1 A</v>
      </c>
      <c r="F37" s="375"/>
      <c r="H37" s="37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5" t="str">
        <f ca="1">IFERROR(IF(VLOOKUP(A34,OFFSET($AG$2,,,COUNTIF($AG$2:$AG$50,"?*"),23),13,FALSE)&lt;&gt;0,VLOOKUP(A34,OFFSET($AG$2,,,COUNTIF($AG$2:$AG$50,"?*"),23),13,FALSE),"?"),"")</f>
        <v>FBC Liberec</v>
      </c>
      <c r="B38" s="366"/>
      <c r="C38" s="367"/>
      <c r="D38" s="368">
        <f ca="1">IFERROR(IF(VLOOKUP(A34,OFFSET($AG$2,,,COUNTIF($AG$2:$AG$50,"?*"),23),14,FALSE)&lt;&gt;0,VLOOKUP(A34,OFFSET($AG$2,,,COUNTIF($AG$2:$AG$50,"?*"),23),14,FALSE),"?"),"")</f>
        <v>2014</v>
      </c>
      <c r="E38" s="369"/>
      <c r="F38" s="19">
        <f ca="1">IFERROR(VLOOKUP(A34,OFFSET($S$45,,,COUNTIF($S$45:$S$50,"?*"),14),6,FALSE),"")</f>
        <v>0</v>
      </c>
      <c r="H38" s="376"/>
      <c r="J38" s="348" t="s">
        <v>233</v>
      </c>
      <c r="K38" s="349"/>
      <c r="L38" s="349"/>
      <c r="M38" s="349"/>
      <c r="N38" s="349"/>
      <c r="O38" s="349"/>
      <c r="P38" s="349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6"/>
      <c r="J39" s="4" t="str">
        <f ca="1">IFERROR(IF(VLOOKUP(J38,OFFSET($AG$2,,,COUNTIF($AG$2:$AG$50,"?*"),23),10,FALSE)&lt;&gt;0,VLOOKUP(J38,OFFSET($AG$2,,,COUNTIF($AG$2:$AG$50,"?*"),23),10,FALSE),""),"")</f>
        <v>P</v>
      </c>
      <c r="K39" s="342">
        <f ca="1">IFERROR(IF(VLOOKUP(J38,OFFSET($AG$2,,,COUNTIF($AG$2:$AG$50,"?*"),23),2,FALSE)&lt;&gt;0,YEAR(VLOOKUP(J38,OFFSET($AG$2,,,COUNTIF($AG$2:$AG$50,"?*"),23),2,FALSE)),""),"")</f>
        <v>2001</v>
      </c>
      <c r="L39" s="350"/>
      <c r="M39" s="151">
        <f ca="1">IFERROR(VLOOKUP(J38,OFFSET($AG$2,,,COUNTIF($AG$2:$AG$50,"?*"),23),15,FALSE),"")</f>
        <v>20</v>
      </c>
      <c r="N39" s="350" t="str">
        <f ca="1">IFERROR(VLOOKUP(J38,OFFSET($AG$2,,,COUNTIF($AG$2:$AG$50,"?*"),23),16,FALSE),"")</f>
        <v>170/67</v>
      </c>
      <c r="O39" s="350"/>
      <c r="P39" s="350" t="str">
        <f ca="1">IFERROR(VLOOKUP(J38,OFFSET($AG$2,,,COUNTIF($AG$2:$AG$50,"?*"),23),18,FALSE),"")</f>
        <v>7 OZ, 0 (0+0), 0 ±</v>
      </c>
      <c r="Q39" s="350"/>
      <c r="R39" s="35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8" t="s">
        <v>816</v>
      </c>
      <c r="B40" s="349"/>
      <c r="C40" s="349"/>
      <c r="D40" s="34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6"/>
      <c r="J40" s="18">
        <f ca="1">IFERROR(IF(VLOOKUP(J38,OFFSET($AG$2,,,COUNTIF($AG$2:$AG$50,"?*"),23),7,FALSE)&lt;&gt;0,VLOOKUP(J38,OFFSET($AG$2,,,COUNTIF($AG$2:$AG$50,"?*"),23),7,FALSE),"?"),"")</f>
        <v>4</v>
      </c>
      <c r="K40" s="352" t="str">
        <f ca="1">IFERROR(VLOOKUP(J38,OFFSET($AG$2,,,COUNTIF($AG$2:$AG$50,"?*"),23),19,FALSE),"")</f>
        <v>21 OZ, 0 (0+0)</v>
      </c>
      <c r="L40" s="352"/>
      <c r="M40" s="352"/>
      <c r="N40" s="353" t="str">
        <f ca="1">IFERROR(IF(VLOOKUP(J38,OFFSET($AG$2,,,COUNTIF($AG$2:$AG$50,"?*"),23),13,FALSE)&lt;&gt;0,VLOOKUP(J38,OFFSET($AG$2,,,COUNTIF($AG$2:$AG$50,"?*"),23),13,FALSE),"?"),"")</f>
        <v>Sokol Benátky nad Jizerou</v>
      </c>
      <c r="O40" s="353"/>
      <c r="P40" s="353"/>
      <c r="Q40" s="352">
        <f ca="1">IFERROR(IF(VLOOKUP(J38,OFFSET($AG$2,,,COUNTIF($AG$2:$AG$50,"?*"),23),14,FALSE)&lt;&gt;0,VLOOKUP(J38,OFFSET($AG$2,,,COUNTIF($AG$2:$AG$50,"?*"),23),14,FALSE),"?"),"")</f>
        <v>2006</v>
      </c>
      <c r="R40" s="35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341" t="str">
        <f ca="1">IFERROR(IF(VLOOKUP(A40,OFFSET($AG$2,,,COUNTIF($AG$2:$AG$50,"?*"),23),2,FALSE)&lt;&gt;0,YEAR(VLOOKUP(A40,OFFSET($AG$2,,,COUNTIF($AG$2:$AG$50,"?*"),23),2,FALSE)),""),"")</f>
        <v/>
      </c>
      <c r="C41" s="342"/>
      <c r="D41" s="94" t="str">
        <f ca="1">IFERROR(VLOOKUP(A40,OFFSET($AG$2,,,COUNTIF($AG$2:$AG$50,"?*"),23),15,FALSE),"")</f>
        <v>?</v>
      </c>
      <c r="E41" s="343" t="str">
        <f ca="1">IFERROR(VLOOKUP(A40,OFFSET($AG$2,,,COUNTIF($AG$2:$AG$50,"?*"),23),16,FALSE),"")</f>
        <v>? / ?</v>
      </c>
      <c r="F41" s="344"/>
      <c r="H41" s="37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345" t="str">
        <f ca="1">IFERROR(VLOOKUP(A40,OFFSET($AG$2,,,COUNTIF($AG$2:$AG$50,"?*"),23),18,FALSE),"")</f>
        <v>1 V, 1 P</v>
      </c>
      <c r="C42" s="345"/>
      <c r="D42" s="346">
        <f ca="1">IFERROR(VLOOKUP(A40,OFFSET($S$45,,,COUNTIF($S$45:$S$50,"?*"),14),5,FALSE),"")</f>
        <v>7</v>
      </c>
      <c r="E42" s="347"/>
      <c r="F42" s="17">
        <f ca="1">IFERROR(VLOOKUP(A40,OFFSET($S$45,,,COUNTIF($S$45:$S$50,"?*"),14),14,FALSE),"")</f>
        <v>77.41935483870968</v>
      </c>
      <c r="H42" s="376"/>
      <c r="J42" s="348"/>
      <c r="K42" s="349"/>
      <c r="L42" s="349"/>
      <c r="M42" s="349"/>
      <c r="N42" s="349"/>
      <c r="O42" s="349"/>
      <c r="P42" s="349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0">
        <f ca="1">IFERROR(VLOOKUP(A40,OFFSET($S$45,,,COUNTIF($S$45:$S$50,"?*"),14),3,FALSE),"")</f>
        <v>74.48</v>
      </c>
      <c r="B43" s="371"/>
      <c r="C43" s="372">
        <f ca="1">IFERROR(VLOOKUP(A40,OFFSET($S$45,,,COUNTIF($S$45:$S$50,"?*"),14),13,FALSE),"")</f>
        <v>5.6390977443609023</v>
      </c>
      <c r="D43" s="373"/>
      <c r="E43" s="374" t="str">
        <f ca="1">IFERROR(VLOOKUP(A40,OFFSET($AG$2,,,COUNTIF($AG$2:$AG$50,"?*"),23),19,FALSE),"")</f>
        <v>2 OZ, 0 A</v>
      </c>
      <c r="F43" s="375"/>
      <c r="H43" s="376"/>
      <c r="J43" s="4" t="str">
        <f ca="1">IFERROR(IF(VLOOKUP(J42,OFFSET($AG$2,,,COUNTIF($AG$2:$AG$50,"?*"),23),10,FALSE)&lt;&gt;0,VLOOKUP(J42,OFFSET($AG$2,,,COUNTIF($AG$2:$AG$50,"?*"),23),10,FALSE),""),"")</f>
        <v/>
      </c>
      <c r="K43" s="342" t="str">
        <f ca="1">IFERROR(IF(VLOOKUP(J42,OFFSET($AG$2,,,COUNTIF($AG$2:$AG$50,"?*"),23),2,FALSE)&lt;&gt;0,YEAR(VLOOKUP(J42,OFFSET($AG$2,,,COUNTIF($AG$2:$AG$50,"?*"),23),2,FALSE)),""),"")</f>
        <v/>
      </c>
      <c r="L43" s="350"/>
      <c r="M43" s="151" t="str">
        <f ca="1">IFERROR(VLOOKUP(J42,OFFSET($AG$2,,,COUNTIF($AG$2:$AG$50,"?*"),23),15,FALSE),"")</f>
        <v/>
      </c>
      <c r="N43" s="350" t="str">
        <f ca="1">IFERROR(VLOOKUP(J42,OFFSET($AG$2,,,COUNTIF($AG$2:$AG$50,"?*"),23),16,FALSE),"")</f>
        <v/>
      </c>
      <c r="O43" s="350"/>
      <c r="P43" s="350" t="str">
        <f ca="1">IFERROR(VLOOKUP(J42,OFFSET($AG$2,,,COUNTIF($AG$2:$AG$50,"?*"),23),18,FALSE),"")</f>
        <v/>
      </c>
      <c r="Q43" s="350"/>
      <c r="R43" s="351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5" t="str">
        <f ca="1">IFERROR(IF(VLOOKUP(A40,OFFSET($AG$2,,,COUNTIF($AG$2:$AG$50,"?*"),23),13,FALSE)&lt;&gt;0,VLOOKUP(A40,OFFSET($AG$2,,,COUNTIF($AG$2:$AG$50,"?*"),23),13,FALSE),"?"),"")</f>
        <v>?</v>
      </c>
      <c r="B44" s="366"/>
      <c r="C44" s="367"/>
      <c r="D44" s="368" t="str">
        <f ca="1">IFERROR(IF(VLOOKUP(A40,OFFSET($AG$2,,,COUNTIF($AG$2:$AG$50,"?*"),23),14,FALSE)&lt;&gt;0,VLOOKUP(A40,OFFSET($AG$2,,,COUNTIF($AG$2:$AG$50,"?*"),23),14,FALSE),"?"),"")</f>
        <v>?</v>
      </c>
      <c r="E44" s="369"/>
      <c r="F44" s="19">
        <f ca="1">IFERROR(VLOOKUP(A40,OFFSET($S$45,,,COUNTIF($S$45:$S$50,"?*"),14),6,FALSE),"")</f>
        <v>0</v>
      </c>
      <c r="H44" s="376"/>
      <c r="J44" s="18" t="str">
        <f ca="1">IFERROR(IF(VLOOKUP(J42,OFFSET($AG$2,,,COUNTIF($AG$2:$AG$50,"?*"),23),7,FALSE)&lt;&gt;0,VLOOKUP(J42,OFFSET($AG$2,,,COUNTIF($AG$2:$AG$50,"?*"),23),7,FALSE),"?"),"")</f>
        <v/>
      </c>
      <c r="K44" s="352" t="str">
        <f ca="1">IFERROR(VLOOKUP(J42,OFFSET($AG$2,,,COUNTIF($AG$2:$AG$50,"?*"),23),19,FALSE),"")</f>
        <v/>
      </c>
      <c r="L44" s="352"/>
      <c r="M44" s="352"/>
      <c r="N44" s="353" t="str">
        <f ca="1">IFERROR(IF(VLOOKUP(J42,OFFSET($AG$2,,,COUNTIF($AG$2:$AG$50,"?*"),23),13,FALSE)&lt;&gt;0,VLOOKUP(J42,OFFSET($AG$2,,,COUNTIF($AG$2:$AG$50,"?*"),23),13,FALSE),"?"),"")</f>
        <v/>
      </c>
      <c r="O44" s="353"/>
      <c r="P44" s="353"/>
      <c r="Q44" s="352" t="str">
        <f ca="1">IFERROR(IF(VLOOKUP(J42,OFFSET($AG$2,,,COUNTIF($AG$2:$AG$50,"?*"),23),14,FALSE)&lt;&gt;0,VLOOKUP(J42,OFFSET($AG$2,,,COUNTIF($AG$2:$AG$50,"?*"),23),14,FALSE),"?"),"")</f>
        <v/>
      </c>
      <c r="R44" s="354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232</v>
      </c>
      <c r="T45" s="102">
        <v>7</v>
      </c>
      <c r="U45" s="112">
        <v>410.52</v>
      </c>
      <c r="V45" s="102">
        <v>4</v>
      </c>
      <c r="W45" s="102">
        <v>39</v>
      </c>
      <c r="X45" s="102">
        <v>0</v>
      </c>
      <c r="Y45" s="102">
        <v>136</v>
      </c>
      <c r="Z45" s="102">
        <v>0</v>
      </c>
      <c r="AA45" s="102">
        <v>3</v>
      </c>
      <c r="AB45" s="102">
        <v>97</v>
      </c>
      <c r="AC45" s="102">
        <v>1</v>
      </c>
      <c r="AD45" s="102">
        <v>0</v>
      </c>
      <c r="AE45" s="112">
        <f>IF(S45&lt;&gt;"",IF(T45&gt;0,W45/(U45/60),0),"")</f>
        <v>5.7000876936568261</v>
      </c>
      <c r="AF45" s="112">
        <f>IF(S45&lt;&gt;"",IF(Y45&gt;0,(AB45/Y45)*100,"-"),"")</f>
        <v>71.32352941176471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816</v>
      </c>
      <c r="T46" s="102">
        <v>2</v>
      </c>
      <c r="U46" s="112">
        <v>74.48</v>
      </c>
      <c r="V46" s="102">
        <v>1</v>
      </c>
      <c r="W46" s="102">
        <v>7</v>
      </c>
      <c r="X46" s="102">
        <v>0</v>
      </c>
      <c r="Y46" s="102">
        <v>31</v>
      </c>
      <c r="Z46" s="102">
        <v>0</v>
      </c>
      <c r="AA46" s="102">
        <v>1</v>
      </c>
      <c r="AB46" s="102">
        <v>24</v>
      </c>
      <c r="AC46" s="102">
        <v>0</v>
      </c>
      <c r="AD46" s="102">
        <v>0</v>
      </c>
      <c r="AE46" s="112">
        <f t="shared" ref="AE46:AE50" si="23">IF(S46&lt;&gt;"",IF(T46&gt;0,W46/(U46/60),0),"")</f>
        <v>5.6390977443609023</v>
      </c>
      <c r="AF46" s="112">
        <f t="shared" ref="AF46:AF50" si="24">IF(S46&lt;&gt;"",IF(Y46&gt;0,(AB46/Y46)*100,"-"),"")</f>
        <v>77.41935483870968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7" t="s">
        <v>251</v>
      </c>
      <c r="B47" s="338"/>
      <c r="C47" s="338"/>
      <c r="D47" s="338"/>
      <c r="E47" s="339" t="str">
        <f ca="1">IFERROR(VLOOKUP(A47,OFFSET($BN$2,,,COUNTIF($BN$2:$BN$11,"?*"),5),3,FALSE),"")</f>
        <v>hlavní trenér</v>
      </c>
      <c r="F47" s="339"/>
      <c r="G47" s="339"/>
      <c r="H47" s="339"/>
      <c r="I47" s="340"/>
      <c r="J47" s="337" t="s">
        <v>252</v>
      </c>
      <c r="K47" s="338"/>
      <c r="L47" s="338"/>
      <c r="M47" s="338"/>
      <c r="N47" s="339" t="str">
        <f ca="1">IFERROR(VLOOKUP(J47,OFFSET($BN$2,,,COUNTIF($BN$2:$BN$11,"?*"),5),3,FALSE),"")</f>
        <v>asistent trenéra</v>
      </c>
      <c r="O47" s="339"/>
      <c r="P47" s="339"/>
      <c r="Q47" s="339"/>
      <c r="R47" s="340"/>
      <c r="S47" s="111" t="s">
        <v>227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5">
        <f ca="1">IFERROR(VLOOKUP(A47,OFFSET($BN$2,,,COUNTIF($BN$2:$BN$11,"?*"),5),5,FALSE),"")</f>
        <v>53</v>
      </c>
      <c r="B48" s="357" t="str">
        <f ca="1">IFERROR(IF(VLOOKUP(A47,OFFSET($BN$2,,,COUNTIF($BN$2:$BN$11,"?*"),5),4,FALSE)&lt;&gt;0,VLOOKUP(A47,OFFSET($BN$2,,,COUNTIF($BN$2:$BN$11,"?*"),5),4,FALSE),"-"),"")</f>
        <v>stříbro a bronz z MS</v>
      </c>
      <c r="C48" s="357"/>
      <c r="D48" s="357"/>
      <c r="E48" s="357"/>
      <c r="F48" s="357"/>
      <c r="G48" s="357"/>
      <c r="H48" s="357"/>
      <c r="I48" s="358"/>
      <c r="J48" s="92">
        <f ca="1">IFERROR(VLOOKUP(J47,OFFSET($BN$2,,,COUNTIF($BN$2:$BN$11,"?*"),5),5,FALSE),"")</f>
        <v>26</v>
      </c>
      <c r="K48" s="361" t="str">
        <f ca="1">IFERROR(IF(VLOOKUP(J47,OFFSET($BN$2,,,COUNTIF($BN$2:$BN$11,"?*"),5),4,FALSE)&lt;&gt;0,VLOOKUP(J47,OFFSET($BN$2,,,COUNTIF($BN$2:$BN$11,"?*"),5),4,FALSE),"-"),"")</f>
        <v>-</v>
      </c>
      <c r="L48" s="361"/>
      <c r="M48" s="361"/>
      <c r="N48" s="361"/>
      <c r="O48" s="361"/>
      <c r="P48" s="361"/>
      <c r="Q48" s="361"/>
      <c r="R48" s="362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5"/>
      <c r="B49" s="357"/>
      <c r="C49" s="357"/>
      <c r="D49" s="357"/>
      <c r="E49" s="357"/>
      <c r="F49" s="357"/>
      <c r="G49" s="357"/>
      <c r="H49" s="357"/>
      <c r="I49" s="358"/>
      <c r="J49" s="363" t="s">
        <v>253</v>
      </c>
      <c r="K49" s="364"/>
      <c r="L49" s="364"/>
      <c r="M49" s="364"/>
      <c r="N49" s="339" t="str">
        <f ca="1">IFERROR(VLOOKUP(J49,OFFSET($BN$2,,,COUNTIF($BN$2:$BN$11,"?*"),5),3,FALSE),"")</f>
        <v>kondiční trenér</v>
      </c>
      <c r="O49" s="339"/>
      <c r="P49" s="339"/>
      <c r="Q49" s="339"/>
      <c r="R49" s="340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6"/>
      <c r="B50" s="359"/>
      <c r="C50" s="359"/>
      <c r="D50" s="359"/>
      <c r="E50" s="359"/>
      <c r="F50" s="359"/>
      <c r="G50" s="359"/>
      <c r="H50" s="359"/>
      <c r="I50" s="360"/>
      <c r="J50" s="92">
        <f ca="1">IFERROR(VLOOKUP(J49,OFFSET($BN$2,,,COUNTIF($BN$2:$BN$11,"?*"),5),5,FALSE),"")</f>
        <v>42</v>
      </c>
      <c r="K50" s="361" t="str">
        <f ca="1">IFERROR(IF(VLOOKUP(J49,OFFSET($BN$2,,,COUNTIF($BN$2:$BN$11,"?*"),5),4,FALSE)&lt;&gt;0,VLOOKUP(J49,OFFSET($BN$2,,,COUNTIF($BN$2:$BN$11,"?*"),5),4,FALSE),"-"),"")</f>
        <v>-</v>
      </c>
      <c r="L50" s="361"/>
      <c r="M50" s="361"/>
      <c r="N50" s="361"/>
      <c r="O50" s="361"/>
      <c r="P50" s="361"/>
      <c r="Q50" s="361"/>
      <c r="R50" s="362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7"/>
        <v/>
      </c>
      <c r="AV50" s="127" t="str">
        <f t="shared" si="18"/>
        <v/>
      </c>
      <c r="AW50" s="128" t="str">
        <f t="shared" si="19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8"/>
      <c r="B1" s="349"/>
      <c r="C1" s="349"/>
      <c r="D1" s="34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82" t="s">
        <v>1</v>
      </c>
      <c r="I1" s="382"/>
      <c r="J1" s="382"/>
      <c r="K1" s="382"/>
      <c r="M1" s="348"/>
      <c r="N1" s="349"/>
      <c r="O1" s="349"/>
      <c r="P1" s="34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1" t="str">
        <f ca="1">IFERROR(IF(VLOOKUP(A1,OFFSET($AG$2,,,COUNTIF($AG$2:$AG$50,"?*"),23),2,FALSE)&lt;&gt;0,YEAR(VLOOKUP(A1,OFFSET($AG$2,,,COUNTIF($AG$2:$AG$50,"?*"),23),2,FALSE)),""),"")</f>
        <v/>
      </c>
      <c r="C2" s="342"/>
      <c r="D2" s="117" t="str">
        <f ca="1">IFERROR(VLOOKUP(A1,OFFSET($AG$2,,,COUNTIF($AG$2:$AG$50,"?*"),23),15,FALSE),"")</f>
        <v/>
      </c>
      <c r="E2" s="343" t="str">
        <f ca="1">IFERROR(VLOOKUP(A1,OFFSET($AG$2,,,COUNTIF($AG$2:$AG$50,"?*"),23),16,FALSE),"")</f>
        <v/>
      </c>
      <c r="F2" s="344"/>
      <c r="M2" s="4" t="str">
        <f ca="1">IFERROR(IF(VLOOKUP(M1,OFFSET($AG$2,,,COUNTIF($AG$2:$AG$50,"?*"),23),10,FALSE)&lt;&gt;0,VLOOKUP(M1,OFFSET($AG$2,,,COUNTIF($AG$2:$AG$50,"?*"),23),10,FALSE),""),"")</f>
        <v/>
      </c>
      <c r="N2" s="341" t="str">
        <f ca="1">IFERROR(IF(VLOOKUP(M1,OFFSET($AG$2,,,COUNTIF($AG$2:$AG$50,"?*"),23),2,FALSE)&lt;&gt;0,YEAR(VLOOKUP(M1,OFFSET($AG$2,,,COUNTIF($AG$2:$AG$50,"?*"),23),2,FALSE)),""),"")</f>
        <v/>
      </c>
      <c r="O2" s="342"/>
      <c r="P2" s="117" t="str">
        <f ca="1">IFERROR(VLOOKUP(M1,OFFSET($AG$2,,,COUNTIF($AG$2:$AG$50,"?*"),23),15,FALSE),"")</f>
        <v/>
      </c>
      <c r="Q2" s="343" t="str">
        <f ca="1">IFERROR(VLOOKUP(M1,OFFSET($AG$2,,,COUNTIF($AG$2:$AG$50,"?*"),23),16,FALSE),"")</f>
        <v/>
      </c>
      <c r="R2" s="344"/>
      <c r="S2" s="110" t="s">
        <v>390</v>
      </c>
      <c r="T2" s="102" t="s">
        <v>119</v>
      </c>
      <c r="U2" s="102">
        <v>7</v>
      </c>
      <c r="V2" s="102">
        <v>8</v>
      </c>
      <c r="W2" s="102">
        <v>0</v>
      </c>
      <c r="X2" s="102">
        <v>0</v>
      </c>
      <c r="Y2" s="102">
        <v>5</v>
      </c>
      <c r="Z2" s="102">
        <v>13</v>
      </c>
      <c r="AA2" s="102">
        <v>2</v>
      </c>
      <c r="AB2" s="102">
        <v>10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403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420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V, 1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167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432</v>
      </c>
      <c r="BO2" s="122">
        <v>30091</v>
      </c>
      <c r="BP2" s="131" t="s">
        <v>256</v>
      </c>
      <c r="BQ2" s="132" t="s">
        <v>433</v>
      </c>
      <c r="BR2" s="127">
        <f ca="1">IF(BN2&lt;&gt;"",IF(BO2&lt;&gt;"",INT((TODAY()-BO2)/365),"?"),"")</f>
        <v>39</v>
      </c>
      <c r="BS2" s="336" t="s">
        <v>36</v>
      </c>
      <c r="BT2" s="104" t="s">
        <v>984</v>
      </c>
      <c r="BU2" s="103">
        <v>13</v>
      </c>
      <c r="BV2" s="104" t="str">
        <f>IFERROR(RIGHT(BT2,LEN(BT2)-SEARCH(" ",BT2)),"")</f>
        <v>Jiří Curney</v>
      </c>
      <c r="BW2" s="102">
        <f>IF(BT2&lt;&gt;0,_xlfn.NUMBERVALUE(BU2,","),"")</f>
        <v>13</v>
      </c>
      <c r="BX2" s="335" t="s">
        <v>211</v>
      </c>
      <c r="BY2" s="103" t="s">
        <v>876</v>
      </c>
      <c r="BZ2" s="103" t="s">
        <v>914</v>
      </c>
      <c r="CA2" s="115" t="s">
        <v>811</v>
      </c>
    </row>
    <row r="3" spans="1:79" ht="15" customHeight="1" thickTop="1" thickBot="1" x14ac:dyDescent="0.25">
      <c r="A3" s="377" t="str">
        <f ca="1">IFERROR(VLOOKUP(A1,OFFSET($AG$2,,,COUNTIF($AG$2:$AG$50,"?*"),23),18,FALSE),"")</f>
        <v/>
      </c>
      <c r="B3" s="378"/>
      <c r="C3" s="378"/>
      <c r="D3" s="379" t="str">
        <f ca="1">IFERROR(VLOOKUP(A1,OFFSET($AG$2,,,COUNTIF($AG$2:$AG$50,"?*"),23),19,FALSE),"")</f>
        <v/>
      </c>
      <c r="E3" s="379"/>
      <c r="F3" s="380"/>
      <c r="G3" s="348"/>
      <c r="H3" s="349"/>
      <c r="I3" s="349"/>
      <c r="J3" s="34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7" t="str">
        <f ca="1">IFERROR(VLOOKUP(M1,OFFSET($AG$2,,,COUNTIF($AG$2:$AG$50,"?*"),23),18,FALSE),"")</f>
        <v/>
      </c>
      <c r="N3" s="378"/>
      <c r="O3" s="378"/>
      <c r="P3" s="379" t="str">
        <f ca="1">IFERROR(VLOOKUP(M1,OFFSET($AG$2,,,COUNTIF($AG$2:$AG$50,"?*"),23),19,FALSE),"")</f>
        <v/>
      </c>
      <c r="Q3" s="379"/>
      <c r="R3" s="380"/>
      <c r="S3" s="110" t="s">
        <v>391</v>
      </c>
      <c r="U3" s="102">
        <v>7</v>
      </c>
      <c r="V3" s="102">
        <v>8</v>
      </c>
      <c r="W3" s="102">
        <v>0</v>
      </c>
      <c r="X3" s="102">
        <v>0</v>
      </c>
      <c r="Y3" s="102">
        <v>2</v>
      </c>
      <c r="Z3" s="102">
        <v>10</v>
      </c>
      <c r="AA3" s="102">
        <v>0</v>
      </c>
      <c r="AB3" s="102">
        <v>6</v>
      </c>
      <c r="AC3" s="102" t="str">
        <f t="shared" ca="1" si="0"/>
        <v>NE</v>
      </c>
      <c r="AG3" s="121" t="s">
        <v>398</v>
      </c>
      <c r="AH3" s="122">
        <v>35871</v>
      </c>
      <c r="AI3" s="123">
        <v>138</v>
      </c>
      <c r="AJ3" s="123">
        <v>84</v>
      </c>
      <c r="AK3" s="123">
        <v>30</v>
      </c>
      <c r="AL3" s="124">
        <f>IF(AG3&lt;&gt;"",AJ3+AK3,"")</f>
        <v>114</v>
      </c>
      <c r="AM3" s="123">
        <v>7</v>
      </c>
      <c r="AN3" s="123">
        <v>17</v>
      </c>
      <c r="AO3" s="125"/>
      <c r="AP3" s="125" t="s">
        <v>149</v>
      </c>
      <c r="AQ3" s="123">
        <v>181</v>
      </c>
      <c r="AR3" s="123">
        <v>62</v>
      </c>
      <c r="AS3" s="126" t="s">
        <v>421</v>
      </c>
      <c r="AT3" s="123">
        <v>2006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181/62</v>
      </c>
      <c r="AW3" s="128" t="str">
        <f ca="1">IF(AG3&lt;&gt;"",IF(BE3=1,BD3,IF(BH3=1,BG3,IF(BJ3=1,BI3,IF(BL3=1,BK3,BM3)))),"")</f>
        <v>Bína</v>
      </c>
      <c r="AX3" s="129" t="str">
        <f t="shared" ca="1" si="1"/>
        <v>7 OZ, 9 (7+2), +1 ±</v>
      </c>
      <c r="AY3" s="129" t="str">
        <f t="shared" ca="1" si="2"/>
        <v>145 OZ, 123 (91+32)</v>
      </c>
      <c r="AZ3" s="130"/>
      <c r="BA3" s="130"/>
      <c r="BB3" s="130"/>
      <c r="BC3" s="130"/>
      <c r="BD3" s="89" t="str">
        <f t="shared" ref="BD3:BD50" si="3">IF(AG3&lt;&gt;"",RIGHT(AG3,LEN(AG3)-SEARCH(" ",AG3)),"")</f>
        <v>Bína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434</v>
      </c>
      <c r="BO3" s="122">
        <v>33197</v>
      </c>
      <c r="BP3" s="131" t="s">
        <v>192</v>
      </c>
      <c r="BQ3" s="132" t="s">
        <v>435</v>
      </c>
      <c r="BR3" s="127">
        <f t="shared" ref="BR3:BR11" ca="1" si="12">IF(BN3&lt;&gt;"",IF(BO3&lt;&gt;"",INT((TODAY()-BO3)/365),"?"),"")</f>
        <v>30</v>
      </c>
      <c r="BS3" s="336"/>
      <c r="BT3" s="104" t="s">
        <v>985</v>
      </c>
      <c r="BU3" s="103">
        <v>10</v>
      </c>
      <c r="BV3" s="104" t="str">
        <f t="shared" ref="BV3:BV31" si="13">IFERROR(RIGHT(BT3,LEN(BT3)-SEARCH(" ",BT3)),"")</f>
        <v>Matěj Pěnička</v>
      </c>
      <c r="BW3" s="102">
        <f t="shared" ref="BW3:BW31" si="14">IF(BT3&lt;&gt;0,_xlfn.NUMBERVALUE(BU3,","),"")</f>
        <v>10</v>
      </c>
      <c r="BX3" s="335"/>
      <c r="BY3" s="103" t="s">
        <v>1195</v>
      </c>
      <c r="BZ3" s="103" t="s">
        <v>908</v>
      </c>
      <c r="CA3" s="115" t="s">
        <v>1267</v>
      </c>
    </row>
    <row r="4" spans="1:79" ht="15" customHeight="1" thickBot="1" x14ac:dyDescent="0.25">
      <c r="A4" s="365" t="str">
        <f ca="1">IFERROR(IF(VLOOKUP(A1,OFFSET($AG$2,,,COUNTIF($AG$2:$AG$50,"?*"),23),13,FALSE)&lt;&gt;0,VLOOKUP(A1,OFFSET($AG$2,,,COUNTIF($AG$2:$AG$50,"?*"),23),13,FALSE),"?"),"")</f>
        <v/>
      </c>
      <c r="B4" s="366"/>
      <c r="C4" s="367"/>
      <c r="D4" s="368" t="str">
        <f ca="1">IFERROR(IF(VLOOKUP(A1,OFFSET($AG$2,,,COUNTIF($AG$2:$AG$50,"?*"),23),14,FALSE)&lt;&gt;0,VLOOKUP(A1,OFFSET($AG$2,,,COUNTIF($AG$2:$AG$50,"?*"),23),14,FALSE),"?"),"")</f>
        <v/>
      </c>
      <c r="E4" s="36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1" t="str">
        <f ca="1">IFERROR(IF(VLOOKUP(G3,OFFSET($AG$2,,,COUNTIF($AG$2:$AG$50,"?*"),23),2,FALSE)&lt;&gt;0,YEAR(VLOOKUP(G3,OFFSET($AG$2,,,COUNTIF($AG$2:$AG$50,"?*"),23),2,FALSE)),""),"")</f>
        <v/>
      </c>
      <c r="I4" s="342"/>
      <c r="J4" s="117" t="str">
        <f ca="1">IFERROR(VLOOKUP(G3,OFFSET($AG$2,,,COUNTIF($AG$2:$AG$50,"?*"),23),15,FALSE),"")</f>
        <v/>
      </c>
      <c r="K4" s="343" t="str">
        <f ca="1">IFERROR(VLOOKUP(G3,OFFSET($AG$2,,,COUNTIF($AG$2:$AG$50,"?*"),23),16,FALSE),"")</f>
        <v/>
      </c>
      <c r="L4" s="344"/>
      <c r="M4" s="365" t="str">
        <f ca="1">IFERROR(IF(VLOOKUP(M1,OFFSET($AG$2,,,COUNTIF($AG$2:$AG$50,"?*"),23),13,FALSE)&lt;&gt;0,VLOOKUP(M1,OFFSET($AG$2,,,COUNTIF($AG$2:$AG$50,"?*"),23),13,FALSE),"?"),"")</f>
        <v/>
      </c>
      <c r="N4" s="366"/>
      <c r="O4" s="367"/>
      <c r="P4" s="368" t="str">
        <f ca="1">IFERROR(IF(VLOOKUP(M1,OFFSET($AG$2,,,COUNTIF($AG$2:$AG$50,"?*"),23),14,FALSE)&lt;&gt;0,VLOOKUP(M1,OFFSET($AG$2,,,COUNTIF($AG$2:$AG$50,"?*"),23),14,FALSE),"?"),"")</f>
        <v/>
      </c>
      <c r="Q4" s="36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398</v>
      </c>
      <c r="U4" s="102">
        <v>7</v>
      </c>
      <c r="V4" s="102">
        <v>7</v>
      </c>
      <c r="W4" s="102">
        <v>0</v>
      </c>
      <c r="X4" s="102">
        <v>0</v>
      </c>
      <c r="Y4" s="102">
        <v>2</v>
      </c>
      <c r="Z4" s="102">
        <v>9</v>
      </c>
      <c r="AA4" s="102">
        <v>0</v>
      </c>
      <c r="AB4" s="102">
        <v>1</v>
      </c>
      <c r="AC4" s="102" t="str">
        <f t="shared" ca="1" si="0"/>
        <v>ANO</v>
      </c>
      <c r="AG4" s="121" t="s">
        <v>390</v>
      </c>
      <c r="AH4" s="122">
        <v>32786</v>
      </c>
      <c r="AI4" s="123">
        <v>335</v>
      </c>
      <c r="AJ4" s="123">
        <v>403</v>
      </c>
      <c r="AK4" s="123">
        <v>332</v>
      </c>
      <c r="AL4" s="124">
        <f>IF(AG4&lt;&gt;"",AJ4+AK4,"")</f>
        <v>735</v>
      </c>
      <c r="AM4" s="123">
        <v>16</v>
      </c>
      <c r="AN4" s="123">
        <v>40</v>
      </c>
      <c r="AO4" s="125"/>
      <c r="AP4" s="125" t="s">
        <v>149</v>
      </c>
      <c r="AQ4" s="123">
        <v>180</v>
      </c>
      <c r="AR4" s="123">
        <v>77</v>
      </c>
      <c r="AS4" s="126" t="s">
        <v>422</v>
      </c>
      <c r="AT4" s="123">
        <v>2004</v>
      </c>
      <c r="AU4" s="127">
        <f ca="1">IF(AG4&lt;&gt;"",IF(AH4&lt;&gt;"",INT((TODAY()-AH4)/365),"?"),"")</f>
        <v>32</v>
      </c>
      <c r="AV4" s="127" t="str">
        <f>IF(AG4&lt;&gt;"",CONCATENATE(IF(AQ4&lt;&gt;"",AQ4,"? "),"/",IF(AR4&lt;&gt;"",AR4," ?")),"")</f>
        <v>180/77</v>
      </c>
      <c r="AW4" s="128" t="str">
        <f ca="1">IF(AG4&lt;&gt;"",IF(BE4=1,BD4,IF(BH4=1,BG4,IF(BJ4=1,BI4,IF(BL4=1,BK4,BM4)))),"")</f>
        <v>Curney</v>
      </c>
      <c r="AX4" s="129" t="str">
        <f t="shared" ca="1" si="1"/>
        <v>7 OZ, 13 (8+5), +10 ±</v>
      </c>
      <c r="AY4" s="129" t="str">
        <f t="shared" ca="1" si="2"/>
        <v>342 OZ, 748 (411+337)</v>
      </c>
      <c r="AZ4" s="130"/>
      <c r="BA4" s="130"/>
      <c r="BB4" s="130"/>
      <c r="BC4" s="130"/>
      <c r="BD4" s="3" t="str">
        <f t="shared" si="3"/>
        <v>Curney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436</v>
      </c>
      <c r="BO4" s="122">
        <v>30597</v>
      </c>
      <c r="BP4" s="131" t="s">
        <v>257</v>
      </c>
      <c r="BQ4" s="132" t="s">
        <v>437</v>
      </c>
      <c r="BR4" s="127">
        <f t="shared" ca="1" si="12"/>
        <v>38</v>
      </c>
      <c r="BS4" s="336"/>
      <c r="BT4" s="104" t="s">
        <v>986</v>
      </c>
      <c r="BU4" s="103">
        <v>9</v>
      </c>
      <c r="BV4" s="104" t="str">
        <f t="shared" si="13"/>
        <v>Jakub Bína</v>
      </c>
      <c r="BW4" s="102">
        <f t="shared" si="14"/>
        <v>9</v>
      </c>
      <c r="BX4" s="335"/>
      <c r="BY4" s="103" t="s">
        <v>207</v>
      </c>
      <c r="BZ4" s="103" t="s">
        <v>912</v>
      </c>
      <c r="CA4" s="115" t="s">
        <v>983</v>
      </c>
    </row>
    <row r="5" spans="1:79" ht="15" customHeight="1" thickTop="1" thickBot="1" x14ac:dyDescent="0.25">
      <c r="A5" s="8"/>
      <c r="B5" s="8"/>
      <c r="C5" s="8"/>
      <c r="D5" s="8"/>
      <c r="G5" s="377" t="str">
        <f ca="1">IFERROR(VLOOKUP(G3,OFFSET($AG$2,,,COUNTIF($AG$2:$AG$50,"?*"),23),18,FALSE),"")</f>
        <v/>
      </c>
      <c r="H5" s="378"/>
      <c r="I5" s="378"/>
      <c r="J5" s="379" t="str">
        <f ca="1">IFERROR(VLOOKUP(G3,OFFSET($AG$2,,,COUNTIF($AG$2:$AG$50,"?*"),23),19,FALSE),"")</f>
        <v/>
      </c>
      <c r="K5" s="379"/>
      <c r="L5" s="380"/>
      <c r="S5" s="110" t="s">
        <v>395</v>
      </c>
      <c r="U5" s="102">
        <v>7</v>
      </c>
      <c r="V5" s="102">
        <v>3</v>
      </c>
      <c r="W5" s="102">
        <v>0</v>
      </c>
      <c r="X5" s="102">
        <v>0</v>
      </c>
      <c r="Y5" s="102">
        <v>6</v>
      </c>
      <c r="Z5" s="102">
        <v>9</v>
      </c>
      <c r="AA5" s="102">
        <v>0</v>
      </c>
      <c r="AB5" s="102">
        <v>13</v>
      </c>
      <c r="AC5" s="102" t="str">
        <f t="shared" ca="1" si="0"/>
        <v>NE</v>
      </c>
      <c r="AG5" s="121" t="s">
        <v>409</v>
      </c>
      <c r="AH5" s="122">
        <v>32496</v>
      </c>
      <c r="AI5" s="123">
        <v>204</v>
      </c>
      <c r="AJ5" s="123">
        <v>104</v>
      </c>
      <c r="AK5" s="123">
        <v>79</v>
      </c>
      <c r="AL5" s="124">
        <f>IF(AG5&lt;&gt;"",AJ5+AK5,"")</f>
        <v>183</v>
      </c>
      <c r="AM5" s="123">
        <v>13</v>
      </c>
      <c r="AN5" s="123">
        <v>6</v>
      </c>
      <c r="AO5" s="125"/>
      <c r="AP5" s="125" t="s">
        <v>27</v>
      </c>
      <c r="AQ5" s="123">
        <v>177</v>
      </c>
      <c r="AR5" s="123">
        <v>73</v>
      </c>
      <c r="AS5" s="126" t="s">
        <v>308</v>
      </c>
      <c r="AT5" s="123">
        <v>2003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177/73</v>
      </c>
      <c r="AW5" s="128" t="str">
        <f ca="1">IF(AG5&lt;&gt;"",IF(BE5=1,BD5,IF(BH5=1,BG5,IF(BJ5=1,BI5,IF(BL5=1,BK5,BM5)))),"")</f>
        <v>Daniš</v>
      </c>
      <c r="AX5" s="129" t="str">
        <f t="shared" ca="1" si="1"/>
        <v>0 OZ, 0 (0+0)</v>
      </c>
      <c r="AY5" s="129" t="str">
        <f t="shared" ca="1" si="2"/>
        <v>204 OZ, 183 (104+79)</v>
      </c>
      <c r="AZ5" s="130"/>
      <c r="BA5" s="130"/>
      <c r="BB5" s="130"/>
      <c r="BC5" s="130"/>
      <c r="BD5" s="89" t="str">
        <f t="shared" si="3"/>
        <v>Daniš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438</v>
      </c>
      <c r="BO5" s="122">
        <v>34618</v>
      </c>
      <c r="BP5" s="131" t="s">
        <v>439</v>
      </c>
      <c r="BQ5" s="132" t="s">
        <v>440</v>
      </c>
      <c r="BR5" s="127">
        <f t="shared" ca="1" si="12"/>
        <v>27</v>
      </c>
      <c r="BS5" s="336"/>
      <c r="BT5" s="104" t="s">
        <v>878</v>
      </c>
      <c r="BU5" s="103">
        <v>9</v>
      </c>
      <c r="BV5" s="104" t="str">
        <f t="shared" si="13"/>
        <v>Dominik Beneš</v>
      </c>
      <c r="BW5" s="102">
        <f t="shared" si="14"/>
        <v>9</v>
      </c>
      <c r="BX5" s="335"/>
      <c r="BY5" s="103" t="s">
        <v>262</v>
      </c>
      <c r="BZ5" s="103" t="s">
        <v>953</v>
      </c>
      <c r="CA5" s="115" t="s">
        <v>495</v>
      </c>
    </row>
    <row r="6" spans="1:79" ht="15" customHeight="1" thickTop="1" thickBot="1" x14ac:dyDescent="0.25">
      <c r="A6" s="348"/>
      <c r="B6" s="349"/>
      <c r="C6" s="349"/>
      <c r="D6" s="34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5" t="str">
        <f ca="1">IFERROR(IF(VLOOKUP(G3,OFFSET($AG$2,,,COUNTIF($AG$2:$AG$50,"?*"),23),13,FALSE)&lt;&gt;0,VLOOKUP(G3,OFFSET($AG$2,,,COUNTIF($AG$2:$AG$50,"?*"),23),13,FALSE),"?"),"")</f>
        <v/>
      </c>
      <c r="H6" s="366"/>
      <c r="I6" s="367"/>
      <c r="J6" s="368" t="str">
        <f ca="1">IFERROR(IF(VLOOKUP(G3,OFFSET($AG$2,,,COUNTIF($AG$2:$AG$50,"?*"),23),14,FALSE)&lt;&gt;0,VLOOKUP(G3,OFFSET($AG$2,,,COUNTIF($AG$2:$AG$50,"?*"),23),14,FALSE),"?"),"")</f>
        <v/>
      </c>
      <c r="K6" s="369"/>
      <c r="L6" s="7" t="str">
        <f ca="1">IFERROR(IF(VLOOKUP(G3,OFFSET($AG$2,,,COUNTIF($AG$2:$AG$50,"?*"),23),7,FALSE)&lt;&gt;0,VLOOKUP(G3,OFFSET($AG$2,,,COUNTIF($AG$2:$AG$50,"?*"),23),7,FALSE),"?"),"")</f>
        <v/>
      </c>
      <c r="M6" s="348"/>
      <c r="N6" s="349"/>
      <c r="O6" s="349"/>
      <c r="P6" s="34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392</v>
      </c>
      <c r="U6" s="102">
        <v>7</v>
      </c>
      <c r="V6" s="102">
        <v>6</v>
      </c>
      <c r="W6" s="102">
        <v>0</v>
      </c>
      <c r="X6" s="102">
        <v>0</v>
      </c>
      <c r="Y6" s="102">
        <v>2</v>
      </c>
      <c r="Z6" s="102">
        <v>8</v>
      </c>
      <c r="AA6" s="102">
        <v>6</v>
      </c>
      <c r="AB6" s="102">
        <v>8</v>
      </c>
      <c r="AC6" s="102" t="str">
        <f t="shared" ca="1" si="0"/>
        <v>ANO</v>
      </c>
      <c r="AG6" s="121" t="s">
        <v>410</v>
      </c>
      <c r="AH6" s="122">
        <v>37081</v>
      </c>
      <c r="AI6" s="123">
        <v>2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21</v>
      </c>
      <c r="AO6" s="125"/>
      <c r="AP6" s="125" t="s">
        <v>149</v>
      </c>
      <c r="AQ6" s="123">
        <v>178</v>
      </c>
      <c r="AR6" s="123">
        <v>64</v>
      </c>
      <c r="AS6" s="126" t="s">
        <v>423</v>
      </c>
      <c r="AT6" s="123">
        <v>2010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178/64</v>
      </c>
      <c r="AW6" s="128" t="str">
        <f ca="1">IF(AG6&lt;&gt;"",IF(BE6=1,BD6,IF(BH6=1,BG6,IF(BJ6=1,BI6,IF(BL6=1,BK6,BM6)))),"")</f>
        <v>Goll</v>
      </c>
      <c r="AX6" s="129" t="str">
        <f t="shared" ca="1" si="1"/>
        <v>0 OZ, 0 (0+0)</v>
      </c>
      <c r="AY6" s="129" t="str">
        <f t="shared" ca="1" si="2"/>
        <v>2 OZ, 0 (0+0)</v>
      </c>
      <c r="AZ6" s="130"/>
      <c r="BA6" s="130"/>
      <c r="BB6" s="130"/>
      <c r="BC6" s="130"/>
      <c r="BD6" s="3" t="str">
        <f t="shared" si="3"/>
        <v>Goll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441</v>
      </c>
      <c r="BO6" s="122">
        <v>33694</v>
      </c>
      <c r="BP6" s="131" t="s">
        <v>442</v>
      </c>
      <c r="BQ6" s="132"/>
      <c r="BR6" s="127">
        <f t="shared" ca="1" si="12"/>
        <v>29</v>
      </c>
      <c r="BS6" s="336"/>
      <c r="BT6" s="104" t="s">
        <v>1269</v>
      </c>
      <c r="BU6" s="103">
        <v>8</v>
      </c>
      <c r="BV6" s="104" t="str">
        <f t="shared" si="13"/>
        <v>Martin Tokoš</v>
      </c>
      <c r="BW6" s="102">
        <f t="shared" si="14"/>
        <v>8</v>
      </c>
      <c r="BX6" s="335"/>
      <c r="BY6" s="103" t="s">
        <v>855</v>
      </c>
      <c r="BZ6" s="103" t="s">
        <v>904</v>
      </c>
      <c r="CA6" s="115" t="s">
        <v>875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1" t="str">
        <f ca="1">IFERROR(IF(VLOOKUP(A6,OFFSET($AG$2,,,COUNTIF($AG$2:$AG$50,"?*"),23),2,FALSE)&lt;&gt;0,YEAR(VLOOKUP(A6,OFFSET($AG$2,,,COUNTIF($AG$2:$AG$50,"?*"),23),2,FALSE)),""),"")</f>
        <v/>
      </c>
      <c r="C7" s="342"/>
      <c r="D7" s="117" t="str">
        <f ca="1">IFERROR(VLOOKUP(A6,OFFSET($AG$2,,,COUNTIF($AG$2:$AG$50,"?*"),23),15,FALSE),"")</f>
        <v/>
      </c>
      <c r="E7" s="343" t="str">
        <f ca="1">IFERROR(VLOOKUP(A6,OFFSET($AG$2,,,COUNTIF($AG$2:$AG$50,"?*"),23),16,FALSE),"")</f>
        <v/>
      </c>
      <c r="F7" s="344"/>
      <c r="M7" s="4" t="str">
        <f ca="1">IFERROR(IF(VLOOKUP(M6,OFFSET($AG$2,,,COUNTIF($AG$2:$AG$50,"?*"),23),10,FALSE)&lt;&gt;0,VLOOKUP(M6,OFFSET($AG$2,,,COUNTIF($AG$2:$AG$50,"?*"),23),10,FALSE),""),"")</f>
        <v/>
      </c>
      <c r="N7" s="341" t="str">
        <f ca="1">IFERROR(IF(VLOOKUP(M6,OFFSET($AG$2,,,COUNTIF($AG$2:$AG$50,"?*"),23),2,FALSE)&lt;&gt;0,YEAR(VLOOKUP(M6,OFFSET($AG$2,,,COUNTIF($AG$2:$AG$50,"?*"),23),2,FALSE)),""),"")</f>
        <v/>
      </c>
      <c r="O7" s="342"/>
      <c r="P7" s="117" t="str">
        <f ca="1">IFERROR(VLOOKUP(M6,OFFSET($AG$2,,,COUNTIF($AG$2:$AG$50,"?*"),23),15,FALSE),"")</f>
        <v/>
      </c>
      <c r="Q7" s="343" t="str">
        <f ca="1">IFERROR(VLOOKUP(M6,OFFSET($AG$2,,,COUNTIF($AG$2:$AG$50,"?*"),23),16,FALSE),"")</f>
        <v/>
      </c>
      <c r="R7" s="344"/>
      <c r="S7" s="110" t="s">
        <v>400</v>
      </c>
      <c r="T7" s="102" t="s">
        <v>64</v>
      </c>
      <c r="U7" s="102">
        <v>7</v>
      </c>
      <c r="V7" s="102">
        <v>1</v>
      </c>
      <c r="W7" s="102">
        <v>0</v>
      </c>
      <c r="X7" s="102">
        <v>0</v>
      </c>
      <c r="Y7" s="102">
        <v>6</v>
      </c>
      <c r="Z7" s="102">
        <v>7</v>
      </c>
      <c r="AA7" s="102">
        <v>8</v>
      </c>
      <c r="AB7" s="102">
        <v>3</v>
      </c>
      <c r="AC7" s="102" t="str">
        <f t="shared" ca="1" si="0"/>
        <v>ANO</v>
      </c>
      <c r="AG7" s="121" t="s">
        <v>394</v>
      </c>
      <c r="AH7" s="122">
        <v>34602</v>
      </c>
      <c r="AI7" s="123">
        <v>207</v>
      </c>
      <c r="AJ7" s="123">
        <v>78</v>
      </c>
      <c r="AK7" s="123">
        <v>57</v>
      </c>
      <c r="AL7" s="124">
        <f>IF(AG7&lt;&gt;"",AJ7+AK7,"")</f>
        <v>135</v>
      </c>
      <c r="AM7" s="123">
        <v>11</v>
      </c>
      <c r="AN7" s="123">
        <v>25</v>
      </c>
      <c r="AO7" s="125"/>
      <c r="AP7" s="125" t="s">
        <v>27</v>
      </c>
      <c r="AQ7" s="123">
        <v>185</v>
      </c>
      <c r="AR7" s="123">
        <v>84</v>
      </c>
      <c r="AS7" s="126" t="s">
        <v>420</v>
      </c>
      <c r="AT7" s="123">
        <v>2005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185/84</v>
      </c>
      <c r="AW7" s="128" t="str">
        <f ca="1">IF(AG7&lt;&gt;"",IF(BE7=1,BD7,IF(BH7=1,BG7,IF(BJ7=1,BI7,IF(BL7=1,BK7,BM7)))),"")</f>
        <v>Gruber</v>
      </c>
      <c r="AX7" s="129" t="str">
        <f t="shared" ca="1" si="1"/>
        <v>7 OZ, 4 (0+4), +6 ±</v>
      </c>
      <c r="AY7" s="129" t="str">
        <f t="shared" ca="1" si="2"/>
        <v>214 OZ, 139 (78+61)</v>
      </c>
      <c r="AZ7" s="130"/>
      <c r="BA7" s="130"/>
      <c r="BB7" s="130"/>
      <c r="BC7" s="130"/>
      <c r="BD7" s="89" t="str">
        <f t="shared" si="3"/>
        <v>Gruber</v>
      </c>
      <c r="BE7" s="91">
        <f t="shared" ca="1" si="4"/>
        <v>1</v>
      </c>
      <c r="BF7" s="90" t="str">
        <f t="shared" si="5"/>
        <v>J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6" t="s">
        <v>40</v>
      </c>
      <c r="BT7" s="104" t="s">
        <v>443</v>
      </c>
      <c r="BU7" s="103" t="s">
        <v>1270</v>
      </c>
      <c r="BV7" s="104" t="str">
        <f t="shared" si="13"/>
        <v>Lukáš Bauer</v>
      </c>
      <c r="BW7" s="112">
        <f t="shared" si="14"/>
        <v>3.26</v>
      </c>
      <c r="BX7" s="335" t="s">
        <v>212</v>
      </c>
      <c r="BY7" s="103" t="s">
        <v>913</v>
      </c>
      <c r="BZ7" s="103" t="s">
        <v>943</v>
      </c>
      <c r="CA7" s="115" t="s">
        <v>205</v>
      </c>
    </row>
    <row r="8" spans="1:79" ht="15" customHeight="1" x14ac:dyDescent="0.2">
      <c r="A8" s="377" t="str">
        <f ca="1">IFERROR(VLOOKUP(A6,OFFSET($AG$2,,,COUNTIF($AG$2:$AG$50,"?*"),23),18,FALSE),"")</f>
        <v/>
      </c>
      <c r="B8" s="378"/>
      <c r="C8" s="378"/>
      <c r="D8" s="379" t="str">
        <f ca="1">IFERROR(VLOOKUP(A6,OFFSET($AG$2,,,COUNTIF($AG$2:$AG$50,"?*"),23),19,FALSE),"")</f>
        <v/>
      </c>
      <c r="E8" s="379"/>
      <c r="F8" s="380"/>
      <c r="H8" s="381" t="s">
        <v>23</v>
      </c>
      <c r="I8" s="381"/>
      <c r="J8" s="381"/>
      <c r="K8" s="381"/>
      <c r="M8" s="377" t="str">
        <f ca="1">IFERROR(VLOOKUP(M6,OFFSET($AG$2,,,COUNTIF($AG$2:$AG$50,"?*"),23),18,FALSE),"")</f>
        <v/>
      </c>
      <c r="N8" s="378"/>
      <c r="O8" s="378"/>
      <c r="P8" s="379" t="str">
        <f ca="1">IFERROR(VLOOKUP(M6,OFFSET($AG$2,,,COUNTIF($AG$2:$AG$50,"?*"),23),19,FALSE),"")</f>
        <v/>
      </c>
      <c r="Q8" s="379"/>
      <c r="R8" s="380"/>
      <c r="S8" s="110" t="s">
        <v>393</v>
      </c>
      <c r="T8" s="102" t="s">
        <v>119</v>
      </c>
      <c r="U8" s="102">
        <v>4</v>
      </c>
      <c r="V8" s="102">
        <v>4</v>
      </c>
      <c r="W8" s="102">
        <v>2</v>
      </c>
      <c r="X8" s="102">
        <v>0</v>
      </c>
      <c r="Y8" s="102">
        <v>2</v>
      </c>
      <c r="Z8" s="102">
        <v>6</v>
      </c>
      <c r="AA8" s="102">
        <v>0</v>
      </c>
      <c r="AB8" s="102">
        <v>8</v>
      </c>
      <c r="AC8" s="102" t="str">
        <f t="shared" ca="1" si="0"/>
        <v>ANO</v>
      </c>
      <c r="AG8" s="121" t="s">
        <v>411</v>
      </c>
      <c r="AH8" s="122">
        <v>37407</v>
      </c>
      <c r="AI8" s="123">
        <v>13</v>
      </c>
      <c r="AJ8" s="123">
        <v>7</v>
      </c>
      <c r="AK8" s="123">
        <v>4</v>
      </c>
      <c r="AL8" s="124">
        <f>IF(AG8&lt;&gt;"",AJ8+AK8,"")</f>
        <v>11</v>
      </c>
      <c r="AM8" s="123">
        <v>3</v>
      </c>
      <c r="AN8" s="123">
        <v>82</v>
      </c>
      <c r="AO8" s="125"/>
      <c r="AP8" s="125" t="s">
        <v>149</v>
      </c>
      <c r="AQ8" s="123">
        <v>187</v>
      </c>
      <c r="AR8" s="123">
        <v>80</v>
      </c>
      <c r="AS8" s="126" t="s">
        <v>424</v>
      </c>
      <c r="AT8" s="123">
        <v>2011</v>
      </c>
      <c r="AU8" s="127">
        <f ca="1">IF(AG8&lt;&gt;"",IF(AH8&lt;&gt;"",INT((TODAY()-AH8)/365),"?"),"")</f>
        <v>19</v>
      </c>
      <c r="AV8" s="127" t="str">
        <f>IF(AG8&lt;&gt;"",CONCATENATE(IF(AQ8&lt;&gt;"",AQ8,"? "),"/",IF(AR8&lt;&gt;"",AR8," ?")),"")</f>
        <v>187/80</v>
      </c>
      <c r="AW8" s="128" t="str">
        <f ca="1">IF(AG8&lt;&gt;"",IF(BE8=1,BD8,IF(BH8=1,BG8,IF(BJ8=1,BI8,IF(BL8=1,BK8,BM8)))),"")</f>
        <v>Hemerka</v>
      </c>
      <c r="AX8" s="129" t="str">
        <f t="shared" ca="1" si="1"/>
        <v>5 OZ, 5 (1+4), +10 ±</v>
      </c>
      <c r="AY8" s="129" t="str">
        <f t="shared" ca="1" si="2"/>
        <v>18 OZ, 16 (8+8)</v>
      </c>
      <c r="AZ8" s="130"/>
      <c r="BA8" s="130"/>
      <c r="BB8" s="130"/>
      <c r="BC8" s="130"/>
      <c r="BD8" s="3" t="str">
        <f t="shared" si="3"/>
        <v>Hemerka</v>
      </c>
      <c r="BE8" s="84">
        <f t="shared" ca="1" si="4"/>
        <v>1</v>
      </c>
      <c r="BF8" s="62" t="str">
        <f t="shared" si="5"/>
        <v>A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6"/>
      <c r="BT8" s="104" t="s">
        <v>444</v>
      </c>
      <c r="BU8" s="103" t="s">
        <v>199</v>
      </c>
      <c r="BV8" s="104" t="str">
        <f t="shared" si="13"/>
        <v>Ondřej Tomšík</v>
      </c>
      <c r="BW8" s="112">
        <f t="shared" si="14"/>
        <v>0</v>
      </c>
      <c r="BX8" s="335"/>
      <c r="BY8" s="103" t="s">
        <v>915</v>
      </c>
      <c r="BZ8" s="103" t="s">
        <v>910</v>
      </c>
      <c r="CA8" s="115" t="s">
        <v>205</v>
      </c>
    </row>
    <row r="9" spans="1:79" ht="15" customHeight="1" thickBot="1" x14ac:dyDescent="0.25">
      <c r="A9" s="365" t="str">
        <f ca="1">IFERROR(IF(VLOOKUP(A6,OFFSET($AG$2,,,COUNTIF($AG$2:$AG$50,"?*"),23),13,FALSE)&lt;&gt;0,VLOOKUP(A6,OFFSET($AG$2,,,COUNTIF($AG$2:$AG$50,"?*"),23),13,FALSE),"?"),"")</f>
        <v/>
      </c>
      <c r="B9" s="366"/>
      <c r="C9" s="367"/>
      <c r="D9" s="368" t="str">
        <f ca="1">IFERROR(IF(VLOOKUP(A6,OFFSET($AG$2,,,COUNTIF($AG$2:$AG$50,"?*"),23),14,FALSE)&lt;&gt;0,VLOOKUP(A6,OFFSET($AG$2,,,COUNTIF($AG$2:$AG$50,"?*"),23),14,FALSE),"?"),"")</f>
        <v/>
      </c>
      <c r="E9" s="369"/>
      <c r="F9" s="7" t="str">
        <f ca="1">IFERROR(IF(VLOOKUP(A6,OFFSET($AG$2,,,COUNTIF($AG$2:$AG$50,"?*"),23),7,FALSE)&lt;&gt;0,VLOOKUP(A6,OFFSET($AG$2,,,COUNTIF($AG$2:$AG$50,"?*"),23),7,FALSE),"?"),"")</f>
        <v/>
      </c>
      <c r="H9" s="381"/>
      <c r="I9" s="381"/>
      <c r="J9" s="381"/>
      <c r="K9" s="381"/>
      <c r="M9" s="365" t="str">
        <f ca="1">IFERROR(IF(VLOOKUP(M6,OFFSET($AG$2,,,COUNTIF($AG$2:$AG$50,"?*"),23),13,FALSE)&lt;&gt;0,VLOOKUP(M6,OFFSET($AG$2,,,COUNTIF($AG$2:$AG$50,"?*"),23),13,FALSE),"?"),"")</f>
        <v/>
      </c>
      <c r="N9" s="366"/>
      <c r="O9" s="367"/>
      <c r="P9" s="368" t="str">
        <f ca="1">IFERROR(IF(VLOOKUP(M6,OFFSET($AG$2,,,COUNTIF($AG$2:$AG$50,"?*"),23),14,FALSE)&lt;&gt;0,VLOOKUP(M6,OFFSET($AG$2,,,COUNTIF($AG$2:$AG$50,"?*"),23),14,FALSE),"?"),"")</f>
        <v/>
      </c>
      <c r="Q9" s="36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396</v>
      </c>
      <c r="T9" s="102" t="s">
        <v>119</v>
      </c>
      <c r="U9" s="102">
        <v>7</v>
      </c>
      <c r="V9" s="102">
        <v>4</v>
      </c>
      <c r="W9" s="102">
        <v>0</v>
      </c>
      <c r="X9" s="102">
        <v>0</v>
      </c>
      <c r="Y9" s="102">
        <v>2</v>
      </c>
      <c r="Z9" s="102">
        <v>6</v>
      </c>
      <c r="AA9" s="102">
        <v>0</v>
      </c>
      <c r="AB9" s="102">
        <v>5</v>
      </c>
      <c r="AC9" s="102" t="str">
        <f t="shared" ca="1" si="0"/>
        <v>ANO</v>
      </c>
      <c r="AG9" s="121" t="s">
        <v>412</v>
      </c>
      <c r="AH9" s="122">
        <v>35213</v>
      </c>
      <c r="AI9" s="123">
        <v>152</v>
      </c>
      <c r="AJ9" s="123">
        <v>37</v>
      </c>
      <c r="AK9" s="123">
        <v>33</v>
      </c>
      <c r="AL9" s="124">
        <f>IF(AG9&lt;&gt;"",AJ9+AK9,"")</f>
        <v>70</v>
      </c>
      <c r="AM9" s="123">
        <v>9</v>
      </c>
      <c r="AN9" s="123">
        <v>28</v>
      </c>
      <c r="AO9" s="125"/>
      <c r="AP9" s="125" t="s">
        <v>27</v>
      </c>
      <c r="AQ9" s="123">
        <v>183</v>
      </c>
      <c r="AR9" s="123">
        <v>85</v>
      </c>
      <c r="AS9" s="126" t="s">
        <v>74</v>
      </c>
      <c r="AT9" s="123">
        <v>2006</v>
      </c>
      <c r="AU9" s="127">
        <f ca="1">IF(AG9&lt;&gt;"",IF(AH9&lt;&gt;"",INT((TODAY()-AH9)/365),"?"),"")</f>
        <v>25</v>
      </c>
      <c r="AV9" s="127" t="str">
        <f>IF(AG9&lt;&gt;"",CONCATENATE(IF(AQ9&lt;&gt;"",AQ9,"? "),"/",IF(AR9&lt;&gt;"",AR9," ?")),"")</f>
        <v>183/85</v>
      </c>
      <c r="AW9" s="128" t="str">
        <f ca="1">IF(AG9&lt;&gt;"",IF(BE9=1,BD9,IF(BH9=1,BG9,IF(BJ9=1,BI9,IF(BL9=1,BK9,BM9)))),"")</f>
        <v>Höffer</v>
      </c>
      <c r="AX9" s="129" t="str">
        <f t="shared" ca="1" si="1"/>
        <v>0 OZ, 0 (0+0)</v>
      </c>
      <c r="AY9" s="129" t="str">
        <f t="shared" ca="1" si="2"/>
        <v>152 OZ, 70 (37+33)</v>
      </c>
      <c r="AZ9" s="130"/>
      <c r="BA9" s="130"/>
      <c r="BB9" s="130"/>
      <c r="BC9" s="130"/>
      <c r="BD9" s="89" t="str">
        <f t="shared" si="3"/>
        <v>Höffer</v>
      </c>
      <c r="BE9" s="91">
        <f t="shared" ca="1" si="4"/>
        <v>1</v>
      </c>
      <c r="BF9" s="90" t="str">
        <f t="shared" si="5"/>
        <v>A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6"/>
      <c r="BV9" s="104" t="str">
        <f t="shared" si="13"/>
        <v/>
      </c>
      <c r="BW9" s="112" t="str">
        <f t="shared" si="14"/>
        <v/>
      </c>
      <c r="BX9" s="335"/>
      <c r="BY9" s="103" t="s">
        <v>945</v>
      </c>
      <c r="BZ9" s="103" t="s">
        <v>928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399</v>
      </c>
      <c r="T10" s="102" t="s">
        <v>119</v>
      </c>
      <c r="U10" s="102">
        <v>7</v>
      </c>
      <c r="V10" s="102">
        <v>2</v>
      </c>
      <c r="W10" s="102">
        <v>0</v>
      </c>
      <c r="X10" s="102">
        <v>0</v>
      </c>
      <c r="Y10" s="102">
        <v>4</v>
      </c>
      <c r="Z10" s="102">
        <v>6</v>
      </c>
      <c r="AA10" s="102">
        <v>0</v>
      </c>
      <c r="AB10" s="102">
        <v>6</v>
      </c>
      <c r="AC10" s="102" t="str">
        <f t="shared" ca="1" si="0"/>
        <v>ANO</v>
      </c>
      <c r="AG10" s="121" t="s">
        <v>396</v>
      </c>
      <c r="AH10" s="122">
        <v>34634</v>
      </c>
      <c r="AI10" s="123">
        <v>210</v>
      </c>
      <c r="AJ10" s="123">
        <v>111</v>
      </c>
      <c r="AK10" s="123">
        <v>73</v>
      </c>
      <c r="AL10" s="124">
        <f>IF(AG10&lt;&gt;"",AJ10+AK10,"")</f>
        <v>184</v>
      </c>
      <c r="AM10" s="123">
        <v>11</v>
      </c>
      <c r="AN10" s="123">
        <v>16</v>
      </c>
      <c r="AO10" s="125"/>
      <c r="AP10" s="125" t="s">
        <v>27</v>
      </c>
      <c r="AQ10" s="123">
        <v>177</v>
      </c>
      <c r="AR10" s="123">
        <v>82</v>
      </c>
      <c r="AS10" s="126" t="s">
        <v>425</v>
      </c>
      <c r="AT10" s="123">
        <v>2005</v>
      </c>
      <c r="AU10" s="127">
        <f ca="1">IF(AG10&lt;&gt;"",IF(AH10&lt;&gt;"",INT((TODAY()-AH10)/365),"?"),"")</f>
        <v>26</v>
      </c>
      <c r="AV10" s="127" t="str">
        <f>IF(AG10&lt;&gt;"",CONCATENATE(IF(AQ10&lt;&gt;"",AQ10,"? "),"/",IF(AR10&lt;&gt;"",AR10," ?")),"")</f>
        <v>177/82</v>
      </c>
      <c r="AW10" s="128" t="str">
        <f ca="1">IF(AG10&lt;&gt;"",IF(BE10=1,BD10,IF(BH10=1,BG10,IF(BJ10=1,BI10,IF(BL10=1,BK10,BM10)))),"")</f>
        <v>Chroust Ta.</v>
      </c>
      <c r="AX10" s="129" t="str">
        <f t="shared" ca="1" si="1"/>
        <v>7 OZ, 6 (4+2), +5 ±</v>
      </c>
      <c r="AY10" s="129" t="str">
        <f t="shared" ca="1" si="2"/>
        <v>217 OZ, 190 (115+75)</v>
      </c>
      <c r="AZ10" s="130"/>
      <c r="BA10" s="130"/>
      <c r="BB10" s="130"/>
      <c r="BC10" s="130"/>
      <c r="BD10" s="3" t="str">
        <f t="shared" si="3"/>
        <v>Chroust</v>
      </c>
      <c r="BE10" s="84">
        <f t="shared" ca="1" si="4"/>
        <v>2</v>
      </c>
      <c r="BF10" s="62" t="str">
        <f t="shared" si="5"/>
        <v>T</v>
      </c>
      <c r="BG10" s="3" t="str">
        <f t="shared" ca="1" si="6"/>
        <v>Chroust T.</v>
      </c>
      <c r="BH10" s="62">
        <f t="shared" ca="1" si="7"/>
        <v>2</v>
      </c>
      <c r="BI10" s="3" t="str">
        <f t="shared" ca="1" si="8"/>
        <v>Chroust Ta.</v>
      </c>
      <c r="BJ10" s="62">
        <f t="shared" ca="1" si="7"/>
        <v>1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6"/>
      <c r="BV10" s="104" t="str">
        <f t="shared" si="13"/>
        <v/>
      </c>
      <c r="BW10" s="112" t="str">
        <f t="shared" si="14"/>
        <v/>
      </c>
      <c r="BX10" s="335"/>
      <c r="BY10" s="103" t="s">
        <v>1106</v>
      </c>
      <c r="BZ10" s="103" t="s">
        <v>927</v>
      </c>
      <c r="CA10" s="115" t="s">
        <v>205</v>
      </c>
    </row>
    <row r="11" spans="1:79" ht="15" customHeight="1" thickTop="1" thickBot="1" x14ac:dyDescent="0.25">
      <c r="R11" s="13"/>
      <c r="S11" s="110" t="s">
        <v>411</v>
      </c>
      <c r="U11" s="102">
        <v>5</v>
      </c>
      <c r="V11" s="102">
        <v>1</v>
      </c>
      <c r="W11" s="102">
        <v>0</v>
      </c>
      <c r="X11" s="102">
        <v>0</v>
      </c>
      <c r="Y11" s="102">
        <v>4</v>
      </c>
      <c r="Z11" s="102">
        <v>5</v>
      </c>
      <c r="AA11" s="102">
        <v>4</v>
      </c>
      <c r="AB11" s="102">
        <v>10</v>
      </c>
      <c r="AC11" s="102" t="str">
        <f t="shared" ca="1" si="0"/>
        <v>ANO</v>
      </c>
      <c r="AG11" s="121" t="s">
        <v>413</v>
      </c>
      <c r="AH11" s="122">
        <v>33799</v>
      </c>
      <c r="AI11" s="123">
        <v>209</v>
      </c>
      <c r="AJ11" s="123">
        <v>137</v>
      </c>
      <c r="AK11" s="123">
        <v>76</v>
      </c>
      <c r="AL11" s="124">
        <f>IF(AG11&lt;&gt;"",AJ11+AK11,"")</f>
        <v>213</v>
      </c>
      <c r="AM11" s="123">
        <v>10</v>
      </c>
      <c r="AN11" s="123">
        <v>14</v>
      </c>
      <c r="AO11" s="125"/>
      <c r="AP11" s="125" t="s">
        <v>149</v>
      </c>
      <c r="AQ11" s="123">
        <v>183</v>
      </c>
      <c r="AR11" s="123">
        <v>73</v>
      </c>
      <c r="AS11" s="126" t="s">
        <v>425</v>
      </c>
      <c r="AT11" s="123">
        <v>2005</v>
      </c>
      <c r="AU11" s="127">
        <f ca="1">IF(AG11&lt;&gt;"",IF(AH11&lt;&gt;"",INT((TODAY()-AH11)/365),"?"),"")</f>
        <v>29</v>
      </c>
      <c r="AV11" s="127" t="str">
        <f>IF(AG11&lt;&gt;"",CONCATENATE(IF(AQ11&lt;&gt;"",AQ11,"? "),"/",IF(AR11&lt;&gt;"",AR11," ?")),"")</f>
        <v>183/73</v>
      </c>
      <c r="AW11" s="128" t="str">
        <f ca="1">IF(AG11&lt;&gt;"",IF(BE11=1,BD11,IF(BH11=1,BG11,IF(BJ11=1,BI11,IF(BL11=1,BK11,BM11)))),"")</f>
        <v>Chroust To.</v>
      </c>
      <c r="AX11" s="129" t="str">
        <f t="shared" ca="1" si="1"/>
        <v>0 OZ, 0 (0+0)</v>
      </c>
      <c r="AY11" s="129" t="str">
        <f t="shared" ca="1" si="2"/>
        <v>209 OZ, 213 (137+76)</v>
      </c>
      <c r="AZ11" s="130"/>
      <c r="BA11" s="130"/>
      <c r="BB11" s="130"/>
      <c r="BC11" s="130"/>
      <c r="BD11" s="89" t="str">
        <f t="shared" si="3"/>
        <v>Chroust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Chroust T.</v>
      </c>
      <c r="BH11" s="90">
        <f t="shared" ca="1" si="7"/>
        <v>2</v>
      </c>
      <c r="BI11" s="89" t="str">
        <f t="shared" ca="1" si="8"/>
        <v>Chroust To.</v>
      </c>
      <c r="BJ11" s="90">
        <f t="shared" ca="1" si="7"/>
        <v>1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6"/>
      <c r="BV11" s="104" t="str">
        <f t="shared" si="13"/>
        <v/>
      </c>
      <c r="BW11" s="112" t="str">
        <f t="shared" si="14"/>
        <v/>
      </c>
      <c r="BX11" s="335"/>
      <c r="BY11" s="103" t="s">
        <v>1228</v>
      </c>
      <c r="BZ11" s="103" t="s">
        <v>909</v>
      </c>
      <c r="CA11" s="115" t="s">
        <v>205</v>
      </c>
    </row>
    <row r="12" spans="1:79" ht="15" customHeight="1" thickTop="1" thickBot="1" x14ac:dyDescent="0.25">
      <c r="A12" s="348"/>
      <c r="B12" s="349"/>
      <c r="C12" s="349"/>
      <c r="D12" s="34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82" t="s">
        <v>7</v>
      </c>
      <c r="I12" s="382"/>
      <c r="J12" s="382"/>
      <c r="K12" s="382"/>
      <c r="M12" s="348"/>
      <c r="N12" s="349"/>
      <c r="O12" s="349"/>
      <c r="P12" s="34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402</v>
      </c>
      <c r="U12" s="102">
        <v>5</v>
      </c>
      <c r="V12" s="102">
        <v>2</v>
      </c>
      <c r="W12" s="102">
        <v>0</v>
      </c>
      <c r="X12" s="102">
        <v>0</v>
      </c>
      <c r="Y12" s="102">
        <v>2</v>
      </c>
      <c r="Z12" s="102">
        <v>4</v>
      </c>
      <c r="AA12" s="102">
        <v>4</v>
      </c>
      <c r="AB12" s="102">
        <v>2</v>
      </c>
      <c r="AC12" s="102" t="str">
        <f t="shared" ca="1" si="0"/>
        <v>ANO</v>
      </c>
      <c r="AG12" s="121" t="s">
        <v>273</v>
      </c>
      <c r="AH12" s="122">
        <v>35184</v>
      </c>
      <c r="AI12" s="123">
        <v>115</v>
      </c>
      <c r="AJ12" s="123">
        <v>59</v>
      </c>
      <c r="AK12" s="123">
        <v>41</v>
      </c>
      <c r="AL12" s="124">
        <f>IF(AG12&lt;&gt;"",AJ12+AK12,"")</f>
        <v>100</v>
      </c>
      <c r="AM12" s="123">
        <v>8</v>
      </c>
      <c r="AN12" s="123">
        <v>10</v>
      </c>
      <c r="AO12" s="125"/>
      <c r="AP12" s="125" t="s">
        <v>149</v>
      </c>
      <c r="AQ12" s="123">
        <v>185</v>
      </c>
      <c r="AR12" s="123">
        <v>85</v>
      </c>
      <c r="AS12" s="126" t="s">
        <v>70</v>
      </c>
      <c r="AT12" s="123">
        <v>2006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185/85</v>
      </c>
      <c r="AW12" s="128" t="str">
        <f ca="1">IF(AG12&lt;&gt;"",IF(BE12=1,BD12,IF(BH12=1,BG12,IF(BJ12=1,BI12,IF(BL12=1,BK12,BM12)))),"")</f>
        <v>Komárek</v>
      </c>
      <c r="AX12" s="129" t="str">
        <f t="shared" ca="1" si="1"/>
        <v>0 OZ, 0 (0+0)</v>
      </c>
      <c r="AY12" s="129" t="str">
        <f t="shared" ca="1" si="2"/>
        <v>115 OZ, 100 (59+41)</v>
      </c>
      <c r="AZ12" s="130"/>
      <c r="BA12" s="130"/>
      <c r="BB12" s="130"/>
      <c r="BC12" s="130"/>
      <c r="BD12" s="3" t="str">
        <f t="shared" si="3"/>
        <v>Komárek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6" t="s">
        <v>37</v>
      </c>
      <c r="BT12" s="104" t="s">
        <v>984</v>
      </c>
      <c r="BU12" s="103">
        <v>8</v>
      </c>
      <c r="BV12" s="104" t="str">
        <f t="shared" si="13"/>
        <v>Jiří Curney</v>
      </c>
      <c r="BW12" s="102">
        <f t="shared" si="14"/>
        <v>8</v>
      </c>
      <c r="BX12" s="120" t="s">
        <v>210</v>
      </c>
      <c r="BY12" s="100" t="s">
        <v>1268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1" t="str">
        <f ca="1">IFERROR(IF(VLOOKUP(A12,OFFSET($AG$2,,,COUNTIF($AG$2:$AG$50,"?*"),23),2,FALSE)&lt;&gt;0,YEAR(VLOOKUP(A12,OFFSET($AG$2,,,COUNTIF($AG$2:$AG$50,"?*"),23),2,FALSE)),""),"")</f>
        <v/>
      </c>
      <c r="C13" s="342"/>
      <c r="D13" s="117" t="str">
        <f ca="1">IFERROR(VLOOKUP(A12,OFFSET($AG$2,,,COUNTIF($AG$2:$AG$50,"?*"),23),15,FALSE),"")</f>
        <v/>
      </c>
      <c r="E13" s="343" t="str">
        <f ca="1">IFERROR(VLOOKUP(A12,OFFSET($AG$2,,,COUNTIF($AG$2:$AG$50,"?*"),23),16,FALSE),"")</f>
        <v/>
      </c>
      <c r="F13" s="344"/>
      <c r="M13" s="4" t="str">
        <f ca="1">IFERROR(IF(VLOOKUP(M12,OFFSET($AG$2,,,COUNTIF($AG$2:$AG$50,"?*"),23),10,FALSE)&lt;&gt;0,VLOOKUP(M12,OFFSET($AG$2,,,COUNTIF($AG$2:$AG$50,"?*"),23),10,FALSE),""),"")</f>
        <v/>
      </c>
      <c r="N13" s="341" t="str">
        <f ca="1">IFERROR(IF(VLOOKUP(M12,OFFSET($AG$2,,,COUNTIF($AG$2:$AG$50,"?*"),23),2,FALSE)&lt;&gt;0,YEAR(VLOOKUP(M12,OFFSET($AG$2,,,COUNTIF($AG$2:$AG$50,"?*"),23),2,FALSE)),""),"")</f>
        <v/>
      </c>
      <c r="O13" s="342"/>
      <c r="P13" s="117" t="str">
        <f ca="1">IFERROR(VLOOKUP(M12,OFFSET($AG$2,,,COUNTIF($AG$2:$AG$50,"?*"),23),15,FALSE),"")</f>
        <v/>
      </c>
      <c r="Q13" s="343" t="str">
        <f ca="1">IFERROR(VLOOKUP(M12,OFFSET($AG$2,,,COUNTIF($AG$2:$AG$50,"?*"),23),16,FALSE),"")</f>
        <v/>
      </c>
      <c r="R13" s="344"/>
      <c r="S13" s="110" t="s">
        <v>401</v>
      </c>
      <c r="T13" s="102" t="s">
        <v>64</v>
      </c>
      <c r="U13" s="102">
        <v>7</v>
      </c>
      <c r="V13" s="102">
        <v>1</v>
      </c>
      <c r="W13" s="102">
        <v>0</v>
      </c>
      <c r="X13" s="102">
        <v>0</v>
      </c>
      <c r="Y13" s="102">
        <v>3</v>
      </c>
      <c r="Z13" s="102">
        <v>4</v>
      </c>
      <c r="AA13" s="102">
        <v>0</v>
      </c>
      <c r="AB13" s="102">
        <v>4</v>
      </c>
      <c r="AC13" s="102" t="str">
        <f t="shared" ca="1" si="0"/>
        <v>NE</v>
      </c>
      <c r="AG13" s="121" t="s">
        <v>406</v>
      </c>
      <c r="AH13" s="122">
        <v>37366</v>
      </c>
      <c r="AI13" s="123">
        <v>30</v>
      </c>
      <c r="AJ13" s="123">
        <v>8</v>
      </c>
      <c r="AK13" s="123">
        <v>6</v>
      </c>
      <c r="AL13" s="124">
        <f>IF(AG13&lt;&gt;"",AJ13+AK13,"")</f>
        <v>14</v>
      </c>
      <c r="AM13" s="123">
        <v>3</v>
      </c>
      <c r="AN13" s="123">
        <v>24</v>
      </c>
      <c r="AO13" s="125"/>
      <c r="AP13" s="125" t="s">
        <v>149</v>
      </c>
      <c r="AQ13" s="123">
        <v>187</v>
      </c>
      <c r="AR13" s="123">
        <v>71</v>
      </c>
      <c r="AS13" s="126" t="s">
        <v>426</v>
      </c>
      <c r="AT13" s="123">
        <v>2010</v>
      </c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187/71</v>
      </c>
      <c r="AW13" s="128" t="str">
        <f ca="1">IF(AG13&lt;&gt;"",IF(BE13=1,BD13,IF(BH13=1,BG13,IF(BJ13=1,BI13,IF(BL13=1,BK13,BM13)))),"")</f>
        <v>Korych</v>
      </c>
      <c r="AX13" s="129" t="str">
        <f t="shared" ca="1" si="1"/>
        <v>7 OZ, 0 (0+0), -1 ±</v>
      </c>
      <c r="AY13" s="129" t="str">
        <f t="shared" ca="1" si="2"/>
        <v>37 OZ, 14 (8+6)</v>
      </c>
      <c r="AZ13" s="130"/>
      <c r="BA13" s="130"/>
      <c r="BB13" s="130"/>
      <c r="BC13" s="130"/>
      <c r="BD13" s="89" t="str">
        <f t="shared" si="3"/>
        <v>Korych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6"/>
      <c r="BT13" s="104" t="s">
        <v>985</v>
      </c>
      <c r="BU13" s="103">
        <v>8</v>
      </c>
      <c r="BV13" s="104" t="str">
        <f t="shared" si="13"/>
        <v>Matěj Pěnička</v>
      </c>
      <c r="BW13" s="102">
        <f t="shared" si="14"/>
        <v>8</v>
      </c>
    </row>
    <row r="14" spans="1:79" ht="15" customHeight="1" thickTop="1" thickBot="1" x14ac:dyDescent="0.25">
      <c r="A14" s="377" t="str">
        <f ca="1">IFERROR(VLOOKUP(A12,OFFSET($AG$2,,,COUNTIF($AG$2:$AG$50,"?*"),23),18,FALSE),"")</f>
        <v/>
      </c>
      <c r="B14" s="378"/>
      <c r="C14" s="378"/>
      <c r="D14" s="379" t="str">
        <f ca="1">IFERROR(VLOOKUP(A12,OFFSET($AG$2,,,COUNTIF($AG$2:$AG$50,"?*"),23),19,FALSE),"")</f>
        <v/>
      </c>
      <c r="E14" s="379"/>
      <c r="F14" s="380"/>
      <c r="G14" s="348"/>
      <c r="H14" s="349"/>
      <c r="I14" s="349"/>
      <c r="J14" s="34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7" t="str">
        <f ca="1">IFERROR(VLOOKUP(M12,OFFSET($AG$2,,,COUNTIF($AG$2:$AG$50,"?*"),23),18,FALSE),"")</f>
        <v/>
      </c>
      <c r="N14" s="378"/>
      <c r="O14" s="378"/>
      <c r="P14" s="379" t="str">
        <f ca="1">IFERROR(VLOOKUP(M12,OFFSET($AG$2,,,COUNTIF($AG$2:$AG$50,"?*"),23),19,FALSE),"")</f>
        <v/>
      </c>
      <c r="Q14" s="379"/>
      <c r="R14" s="380"/>
      <c r="S14" s="110" t="s">
        <v>394</v>
      </c>
      <c r="T14" s="102" t="s">
        <v>64</v>
      </c>
      <c r="U14" s="102">
        <v>7</v>
      </c>
      <c r="V14" s="102">
        <v>0</v>
      </c>
      <c r="W14" s="102">
        <v>0</v>
      </c>
      <c r="X14" s="102">
        <v>0</v>
      </c>
      <c r="Y14" s="102">
        <v>4</v>
      </c>
      <c r="Z14" s="102">
        <v>4</v>
      </c>
      <c r="AA14" s="102">
        <v>0</v>
      </c>
      <c r="AB14" s="102">
        <v>6</v>
      </c>
      <c r="AC14" s="102" t="str">
        <f t="shared" ca="1" si="0"/>
        <v>ANO</v>
      </c>
      <c r="AG14" s="121" t="s">
        <v>414</v>
      </c>
      <c r="AH14" s="122">
        <v>32710</v>
      </c>
      <c r="AI14" s="123">
        <v>285</v>
      </c>
      <c r="AJ14" s="123">
        <v>47</v>
      </c>
      <c r="AK14" s="123">
        <v>129</v>
      </c>
      <c r="AL14" s="124">
        <f>IF(AG14&lt;&gt;"",AJ14+AK14,"")</f>
        <v>176</v>
      </c>
      <c r="AM14" s="123">
        <v>15</v>
      </c>
      <c r="AN14" s="123">
        <v>70</v>
      </c>
      <c r="AO14" s="125"/>
      <c r="AP14" s="125" t="s">
        <v>149</v>
      </c>
      <c r="AQ14" s="123">
        <v>186</v>
      </c>
      <c r="AR14" s="123">
        <v>88</v>
      </c>
      <c r="AS14" s="126" t="s">
        <v>364</v>
      </c>
      <c r="AT14" s="123">
        <v>2001</v>
      </c>
      <c r="AU14" s="127">
        <f ca="1">IF(AG14&lt;&gt;"",IF(AH14&lt;&gt;"",INT((TODAY()-AH14)/365),"?"),"")</f>
        <v>32</v>
      </c>
      <c r="AV14" s="127" t="str">
        <f>IF(AG14&lt;&gt;"",CONCATENATE(IF(AQ14&lt;&gt;"",AQ14,"? "),"/",IF(AR14&lt;&gt;"",AR14," ?")),"")</f>
        <v>186/88</v>
      </c>
      <c r="AW14" s="128" t="str">
        <f ca="1">IF(AG14&lt;&gt;"",IF(BE14=1,BD14,IF(BH14=1,BG14,IF(BJ14=1,BI14,IF(BL14=1,BK14,BM14)))),"")</f>
        <v>Krzyžanek</v>
      </c>
      <c r="AX14" s="129" t="str">
        <f t="shared" ca="1" si="1"/>
        <v>0 OZ, 0 (0+0)</v>
      </c>
      <c r="AY14" s="129" t="str">
        <f t="shared" ca="1" si="2"/>
        <v>285 OZ, 176 (47+129)</v>
      </c>
      <c r="AZ14" s="130"/>
      <c r="BA14" s="130"/>
      <c r="BB14" s="130"/>
      <c r="BC14" s="130"/>
      <c r="BD14" s="3" t="str">
        <f t="shared" si="3"/>
        <v>Krzyžanek</v>
      </c>
      <c r="BE14" s="84">
        <f t="shared" ca="1" si="4"/>
        <v>1</v>
      </c>
      <c r="BF14" s="62" t="str">
        <f t="shared" si="5"/>
        <v>P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6"/>
      <c r="BT14" s="104" t="s">
        <v>986</v>
      </c>
      <c r="BU14" s="103">
        <v>7</v>
      </c>
      <c r="BV14" s="104" t="str">
        <f t="shared" si="13"/>
        <v>Jakub Bína</v>
      </c>
      <c r="BW14" s="102">
        <f t="shared" si="14"/>
        <v>7</v>
      </c>
    </row>
    <row r="15" spans="1:79" ht="15" customHeight="1" thickBot="1" x14ac:dyDescent="0.25">
      <c r="A15" s="365" t="str">
        <f ca="1">IFERROR(IF(VLOOKUP(A12,OFFSET($AG$2,,,COUNTIF($AG$2:$AG$50,"?*"),23),13,FALSE)&lt;&gt;0,VLOOKUP(A12,OFFSET($AG$2,,,COUNTIF($AG$2:$AG$50,"?*"),23),13,FALSE),"?"),"")</f>
        <v/>
      </c>
      <c r="B15" s="366"/>
      <c r="C15" s="367"/>
      <c r="D15" s="368" t="str">
        <f ca="1">IFERROR(IF(VLOOKUP(A12,OFFSET($AG$2,,,COUNTIF($AG$2:$AG$50,"?*"),23),14,FALSE)&lt;&gt;0,VLOOKUP(A12,OFFSET($AG$2,,,COUNTIF($AG$2:$AG$50,"?*"),23),14,FALSE),"?"),"")</f>
        <v/>
      </c>
      <c r="E15" s="36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1" t="str">
        <f ca="1">IFERROR(IF(VLOOKUP(G14,OFFSET($AG$2,,,COUNTIF($AG$2:$AG$50,"?*"),23),2,FALSE)&lt;&gt;0,YEAR(VLOOKUP(G14,OFFSET($AG$2,,,COUNTIF($AG$2:$AG$50,"?*"),23),2,FALSE)),""),"")</f>
        <v/>
      </c>
      <c r="I15" s="342"/>
      <c r="J15" s="117" t="str">
        <f ca="1">IFERROR(VLOOKUP(G14,OFFSET($AG$2,,,COUNTIF($AG$2:$AG$50,"?*"),23),15,FALSE),"")</f>
        <v/>
      </c>
      <c r="K15" s="343" t="str">
        <f ca="1">IFERROR(VLOOKUP(G14,OFFSET($AG$2,,,COUNTIF($AG$2:$AG$50,"?*"),23),16,FALSE),"")</f>
        <v/>
      </c>
      <c r="L15" s="344"/>
      <c r="M15" s="365" t="str">
        <f ca="1">IFERROR(IF(VLOOKUP(M12,OFFSET($AG$2,,,COUNTIF($AG$2:$AG$50,"?*"),23),13,FALSE)&lt;&gt;0,VLOOKUP(M12,OFFSET($AG$2,,,COUNTIF($AG$2:$AG$50,"?*"),23),13,FALSE),"?"),"")</f>
        <v/>
      </c>
      <c r="N15" s="366"/>
      <c r="O15" s="367"/>
      <c r="P15" s="368" t="str">
        <f ca="1">IFERROR(IF(VLOOKUP(M12,OFFSET($AG$2,,,COUNTIF($AG$2:$AG$50,"?*"),23),14,FALSE)&lt;&gt;0,VLOOKUP(M12,OFFSET($AG$2,,,COUNTIF($AG$2:$AG$50,"?*"),23),14,FALSE),"?"),"")</f>
        <v/>
      </c>
      <c r="Q15" s="36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407</v>
      </c>
      <c r="U15" s="102">
        <v>7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2</v>
      </c>
      <c r="AB15" s="102">
        <v>7</v>
      </c>
      <c r="AC15" s="102" t="str">
        <f t="shared" ca="1" si="0"/>
        <v>NE</v>
      </c>
      <c r="AG15" s="121" t="s">
        <v>415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149</v>
      </c>
      <c r="AQ15" s="123">
        <v>174</v>
      </c>
      <c r="AR15" s="123">
        <v>64</v>
      </c>
      <c r="AS15" s="126" t="s">
        <v>82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Kučera</v>
      </c>
      <c r="BE15" s="91">
        <f t="shared" ca="1" si="4"/>
        <v>1</v>
      </c>
      <c r="BF15" s="90" t="str">
        <f t="shared" si="5"/>
        <v>F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6"/>
      <c r="BT15" s="104" t="s">
        <v>877</v>
      </c>
      <c r="BU15" s="103">
        <v>6</v>
      </c>
      <c r="BV15" s="104" t="str">
        <f t="shared" si="13"/>
        <v>Martin Tokoš</v>
      </c>
      <c r="BW15" s="102">
        <f t="shared" si="14"/>
        <v>6</v>
      </c>
    </row>
    <row r="16" spans="1:79" ht="15" customHeight="1" thickTop="1" thickBot="1" x14ac:dyDescent="0.25">
      <c r="A16" s="8"/>
      <c r="B16" s="8"/>
      <c r="C16" s="8"/>
      <c r="D16" s="8"/>
      <c r="G16" s="377" t="str">
        <f ca="1">IFERROR(VLOOKUP(G14,OFFSET($AG$2,,,COUNTIF($AG$2:$AG$50,"?*"),23),18,FALSE),"")</f>
        <v/>
      </c>
      <c r="H16" s="378"/>
      <c r="I16" s="378"/>
      <c r="J16" s="379" t="str">
        <f ca="1">IFERROR(VLOOKUP(G14,OFFSET($AG$2,,,COUNTIF($AG$2:$AG$50,"?*"),23),19,FALSE),"")</f>
        <v/>
      </c>
      <c r="K16" s="379"/>
      <c r="L16" s="380"/>
      <c r="S16" s="110" t="s">
        <v>404</v>
      </c>
      <c r="U16" s="102">
        <v>7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0</v>
      </c>
      <c r="AB16" s="102">
        <v>6</v>
      </c>
      <c r="AC16" s="102" t="str">
        <f t="shared" ca="1" si="0"/>
        <v>NE</v>
      </c>
      <c r="AG16" s="121" t="s">
        <v>416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427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Macík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6"/>
      <c r="BT16" s="104" t="s">
        <v>879</v>
      </c>
      <c r="BU16" s="103">
        <v>4</v>
      </c>
      <c r="BV16" s="104" t="str">
        <f t="shared" si="13"/>
        <v>Jan Natov</v>
      </c>
      <c r="BW16" s="102">
        <f t="shared" si="14"/>
        <v>4</v>
      </c>
    </row>
    <row r="17" spans="1:75" ht="15" customHeight="1" thickTop="1" thickBot="1" x14ac:dyDescent="0.25">
      <c r="A17" s="348"/>
      <c r="B17" s="349"/>
      <c r="C17" s="349"/>
      <c r="D17" s="34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5" t="str">
        <f ca="1">IFERROR(IF(VLOOKUP(G14,OFFSET($AG$2,,,COUNTIF($AG$2:$AG$50,"?*"),23),13,FALSE)&lt;&gt;0,VLOOKUP(G14,OFFSET($AG$2,,,COUNTIF($AG$2:$AG$50,"?*"),23),13,FALSE),"?"),"")</f>
        <v/>
      </c>
      <c r="H17" s="366"/>
      <c r="I17" s="367"/>
      <c r="J17" s="368" t="str">
        <f ca="1">IFERROR(IF(VLOOKUP(G14,OFFSET($AG$2,,,COUNTIF($AG$2:$AG$50,"?*"),23),14,FALSE)&lt;&gt;0,VLOOKUP(G14,OFFSET($AG$2,,,COUNTIF($AG$2:$AG$50,"?*"),23),14,FALSE),"?"),"")</f>
        <v/>
      </c>
      <c r="K17" s="369"/>
      <c r="L17" s="7" t="str">
        <f ca="1">IFERROR(IF(VLOOKUP(G14,OFFSET($AG$2,,,COUNTIF($AG$2:$AG$50,"?*"),23),7,FALSE)&lt;&gt;0,VLOOKUP(G14,OFFSET($AG$2,,,COUNTIF($AG$2:$AG$50,"?*"),23),7,FALSE),"?"),"")</f>
        <v/>
      </c>
      <c r="M17" s="348"/>
      <c r="N17" s="349"/>
      <c r="O17" s="349"/>
      <c r="P17" s="34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405</v>
      </c>
      <c r="U17" s="102">
        <v>7</v>
      </c>
      <c r="V17" s="102">
        <v>1</v>
      </c>
      <c r="W17" s="102">
        <v>0</v>
      </c>
      <c r="X17" s="102">
        <v>0</v>
      </c>
      <c r="Y17" s="102">
        <v>1</v>
      </c>
      <c r="Z17" s="102">
        <v>2</v>
      </c>
      <c r="AA17" s="102">
        <v>0</v>
      </c>
      <c r="AB17" s="102">
        <v>6</v>
      </c>
      <c r="AC17" s="102" t="str">
        <f t="shared" ca="1" si="0"/>
        <v>ANO</v>
      </c>
      <c r="AG17" s="121" t="s">
        <v>122</v>
      </c>
      <c r="AH17" s="122">
        <v>36001</v>
      </c>
      <c r="AI17" s="123">
        <v>32</v>
      </c>
      <c r="AJ17" s="123">
        <v>0</v>
      </c>
      <c r="AK17" s="123">
        <v>0</v>
      </c>
      <c r="AL17" s="124">
        <f>IF(AG17&lt;&gt;"",AJ17+AK17,"")</f>
        <v>0</v>
      </c>
      <c r="AM17" s="123">
        <v>7</v>
      </c>
      <c r="AN17" s="123">
        <v>80</v>
      </c>
      <c r="AO17" s="125"/>
      <c r="AP17" s="125"/>
      <c r="AQ17" s="123">
        <v>175</v>
      </c>
      <c r="AR17" s="123">
        <v>69</v>
      </c>
      <c r="AS17" s="126" t="s">
        <v>272</v>
      </c>
      <c r="AT17" s="123">
        <v>2012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175/69</v>
      </c>
      <c r="AW17" s="128" t="str">
        <f ca="1">IF(AG17&lt;&gt;"",IF(BE17=1,BD17,IF(BH17=1,BG17,IF(BJ17=1,BI17,IF(BL17=1,BK17,BM17)))),"")</f>
        <v>Musil</v>
      </c>
      <c r="AX17" s="129" t="str">
        <f t="shared" ca="1" si="1"/>
        <v>0 OZ, 0 (0+0)</v>
      </c>
      <c r="AY17" s="129" t="str">
        <f t="shared" ca="1" si="2"/>
        <v>32 OZ, 0 (0+0)</v>
      </c>
      <c r="AZ17" s="130"/>
      <c r="BA17" s="130"/>
      <c r="BB17" s="130"/>
      <c r="BC17" s="130"/>
      <c r="BD17" s="89" t="str">
        <f t="shared" si="3"/>
        <v>Musil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6" t="s">
        <v>41</v>
      </c>
      <c r="BT17" s="104" t="s">
        <v>443</v>
      </c>
      <c r="BU17" s="103">
        <v>6</v>
      </c>
      <c r="BV17" s="104" t="str">
        <f t="shared" si="13"/>
        <v>Lukáš Bauer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1" t="str">
        <f ca="1">IFERROR(IF(VLOOKUP(A17,OFFSET($AG$2,,,COUNTIF($AG$2:$AG$50,"?*"),23),2,FALSE)&lt;&gt;0,YEAR(VLOOKUP(A17,OFFSET($AG$2,,,COUNTIF($AG$2:$AG$50,"?*"),23),2,FALSE)),""),"")</f>
        <v/>
      </c>
      <c r="C18" s="342"/>
      <c r="D18" s="150" t="str">
        <f ca="1">IFERROR(VLOOKUP(A17,OFFSET($AG$2,,,COUNTIF($AG$2:$AG$50,"?*"),23),15,FALSE),"")</f>
        <v/>
      </c>
      <c r="E18" s="343" t="str">
        <f ca="1">IFERROR(VLOOKUP(A17,OFFSET($AG$2,,,COUNTIF($AG$2:$AG$50,"?*"),23),16,FALSE),"")</f>
        <v/>
      </c>
      <c r="F18" s="344"/>
      <c r="M18" s="4" t="str">
        <f ca="1">IFERROR(IF(VLOOKUP(M17,OFFSET($AG$2,,,COUNTIF($AG$2:$AG$50,"?*"),23),10,FALSE)&lt;&gt;0,VLOOKUP(M17,OFFSET($AG$2,,,COUNTIF($AG$2:$AG$50,"?*"),23),10,FALSE),""),"")</f>
        <v/>
      </c>
      <c r="N18" s="341" t="str">
        <f ca="1">IFERROR(IF(VLOOKUP(M17,OFFSET($AG$2,,,COUNTIF($AG$2:$AG$50,"?*"),23),2,FALSE)&lt;&gt;0,YEAR(VLOOKUP(M17,OFFSET($AG$2,,,COUNTIF($AG$2:$AG$50,"?*"),23),2,FALSE)),""),"")</f>
        <v/>
      </c>
      <c r="O18" s="342"/>
      <c r="P18" s="117" t="str">
        <f ca="1">IFERROR(VLOOKUP(M17,OFFSET($AG$2,,,COUNTIF($AG$2:$AG$50,"?*"),23),15,FALSE),"")</f>
        <v/>
      </c>
      <c r="Q18" s="343" t="str">
        <f ca="1">IFERROR(VLOOKUP(M17,OFFSET($AG$2,,,COUNTIF($AG$2:$AG$50,"?*"),23),16,FALSE),"")</f>
        <v/>
      </c>
      <c r="R18" s="344"/>
      <c r="S18" s="110" t="s">
        <v>397</v>
      </c>
      <c r="T18" s="102" t="s">
        <v>119</v>
      </c>
      <c r="U18" s="102">
        <v>5</v>
      </c>
      <c r="V18" s="102">
        <v>1</v>
      </c>
      <c r="W18" s="102">
        <v>0</v>
      </c>
      <c r="X18" s="102">
        <v>0</v>
      </c>
      <c r="Y18" s="102">
        <v>0</v>
      </c>
      <c r="Z18" s="102">
        <v>1</v>
      </c>
      <c r="AA18" s="102">
        <v>0</v>
      </c>
      <c r="AB18" s="102">
        <v>1</v>
      </c>
      <c r="AC18" s="102" t="str">
        <f t="shared" ca="1" si="0"/>
        <v>ANO</v>
      </c>
      <c r="AG18" s="121" t="s">
        <v>393</v>
      </c>
      <c r="AH18" s="122">
        <v>33919</v>
      </c>
      <c r="AI18" s="123">
        <v>273</v>
      </c>
      <c r="AJ18" s="123">
        <v>275</v>
      </c>
      <c r="AK18" s="123">
        <v>181</v>
      </c>
      <c r="AL18" s="124">
        <f>IF(AG18&lt;&gt;"",AJ18+AK18,"")</f>
        <v>456</v>
      </c>
      <c r="AM18" s="123">
        <v>14</v>
      </c>
      <c r="AN18" s="123">
        <v>88</v>
      </c>
      <c r="AO18" s="125" t="s">
        <v>166</v>
      </c>
      <c r="AP18" s="125" t="s">
        <v>27</v>
      </c>
      <c r="AQ18" s="123">
        <v>181</v>
      </c>
      <c r="AR18" s="123">
        <v>76</v>
      </c>
      <c r="AS18" s="126" t="s">
        <v>428</v>
      </c>
      <c r="AT18" s="123">
        <v>2000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181/76</v>
      </c>
      <c r="AW18" s="128" t="str">
        <f ca="1">IF(AG18&lt;&gt;"",IF(BE18=1,BD18,IF(BH18=1,BG18,IF(BJ18=1,BI18,IF(BL18=1,BK18,BM18)))),"")</f>
        <v>Natov</v>
      </c>
      <c r="AX18" s="129" t="str">
        <f t="shared" ca="1" si="1"/>
        <v>4 OZ, 6 (4+2), +8 ±</v>
      </c>
      <c r="AY18" s="129" t="str">
        <f t="shared" ca="1" si="2"/>
        <v>277 OZ, 462 (279+183)</v>
      </c>
      <c r="AZ18" s="130"/>
      <c r="BA18" s="130"/>
      <c r="BB18" s="130"/>
      <c r="BC18" s="130"/>
      <c r="BD18" s="3" t="str">
        <f t="shared" si="3"/>
        <v>Natov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6"/>
      <c r="BT18" s="104" t="s">
        <v>444</v>
      </c>
      <c r="BU18" s="103">
        <v>0</v>
      </c>
      <c r="BV18" s="104" t="str">
        <f t="shared" si="13"/>
        <v>Ondřej Tomšík</v>
      </c>
      <c r="BW18" s="102">
        <f t="shared" si="14"/>
        <v>0</v>
      </c>
    </row>
    <row r="19" spans="1:75" ht="15" customHeight="1" x14ac:dyDescent="0.2">
      <c r="A19" s="377" t="str">
        <f ca="1">IFERROR(VLOOKUP(A17,OFFSET($AG$2,,,COUNTIF($AG$2:$AG$50,"?*"),23),18,FALSE),"")</f>
        <v/>
      </c>
      <c r="B19" s="378"/>
      <c r="C19" s="378"/>
      <c r="D19" s="379" t="str">
        <f ca="1">IFERROR(VLOOKUP(A17,OFFSET($AG$2,,,COUNTIF($AG$2:$AG$50,"?*"),23),19,FALSE),"")</f>
        <v/>
      </c>
      <c r="E19" s="379"/>
      <c r="F19" s="380"/>
      <c r="H19" s="381" t="str">
        <f>H$8</f>
        <v>MB</v>
      </c>
      <c r="I19" s="381"/>
      <c r="J19" s="381"/>
      <c r="K19" s="381"/>
      <c r="M19" s="377" t="str">
        <f ca="1">IFERROR(VLOOKUP(M17,OFFSET($AG$2,,,COUNTIF($AG$2:$AG$50,"?*"),23),18,FALSE),"")</f>
        <v/>
      </c>
      <c r="N19" s="378"/>
      <c r="O19" s="378"/>
      <c r="P19" s="379" t="str">
        <f ca="1">IFERROR(VLOOKUP(M17,OFFSET($AG$2,,,COUNTIF($AG$2:$AG$50,"?*"),23),19,FALSE),"")</f>
        <v/>
      </c>
      <c r="Q19" s="379"/>
      <c r="R19" s="380"/>
      <c r="S19" s="110" t="s">
        <v>874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NE</v>
      </c>
      <c r="AG19" s="121" t="s">
        <v>230</v>
      </c>
      <c r="AH19" s="122">
        <v>37001</v>
      </c>
      <c r="AI19" s="123">
        <v>9</v>
      </c>
      <c r="AJ19" s="123">
        <v>0</v>
      </c>
      <c r="AK19" s="123">
        <v>0</v>
      </c>
      <c r="AL19" s="124">
        <f>IF(AG19&lt;&gt;"",AJ19+AK19,"")</f>
        <v>0</v>
      </c>
      <c r="AM19" s="123">
        <v>3</v>
      </c>
      <c r="AN19" s="123">
        <v>48</v>
      </c>
      <c r="AO19" s="125"/>
      <c r="AP19" s="125" t="s">
        <v>27</v>
      </c>
      <c r="AQ19" s="123">
        <v>179</v>
      </c>
      <c r="AR19" s="123">
        <v>66</v>
      </c>
      <c r="AS19" s="126" t="s">
        <v>426</v>
      </c>
      <c r="AT19" s="123">
        <v>2010</v>
      </c>
      <c r="AU19" s="127">
        <f ca="1">IF(AG19&lt;&gt;"",IF(AH19&lt;&gt;"",INT((TODAY()-AH19)/365),"?"),"")</f>
        <v>20</v>
      </c>
      <c r="AV19" s="127" t="str">
        <f>IF(AG19&lt;&gt;"",CONCATENATE(IF(AQ19&lt;&gt;"",AQ19,"? "),"/",IF(AR19&lt;&gt;"",AR19," ?")),"")</f>
        <v>179/66</v>
      </c>
      <c r="AW19" s="128" t="str">
        <f ca="1">IF(AG19&lt;&gt;"",IF(BE19=1,BD19,IF(BH19=1,BG19,IF(BJ19=1,BI19,IF(BL19=1,BK19,BM19)))),"")</f>
        <v>Pařízek</v>
      </c>
      <c r="AX19" s="129" t="str">
        <f t="shared" ca="1" si="1"/>
        <v>0 OZ, 0 (0+0)</v>
      </c>
      <c r="AY19" s="129" t="str">
        <f t="shared" ca="1" si="2"/>
        <v>9 OZ, 0 (0+0)</v>
      </c>
      <c r="AZ19" s="130"/>
      <c r="BA19" s="130"/>
      <c r="BB19" s="130"/>
      <c r="BC19" s="130"/>
      <c r="BD19" s="89" t="str">
        <f t="shared" si="3"/>
        <v>Pařízek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65" t="str">
        <f ca="1">IFERROR(IF(VLOOKUP(A17,OFFSET($AG$2,,,COUNTIF($AG$2:$AG$50,"?*"),23),13,FALSE)&lt;&gt;0,VLOOKUP(A17,OFFSET($AG$2,,,COUNTIF($AG$2:$AG$50,"?*"),23),13,FALSE),"?"),"")</f>
        <v/>
      </c>
      <c r="B20" s="366"/>
      <c r="C20" s="367"/>
      <c r="D20" s="368" t="str">
        <f ca="1">IFERROR(IF(VLOOKUP(A17,OFFSET($AG$2,,,COUNTIF($AG$2:$AG$50,"?*"),23),14,FALSE)&lt;&gt;0,VLOOKUP(A17,OFFSET($AG$2,,,COUNTIF($AG$2:$AG$50,"?*"),23),14,FALSE),"?"),"")</f>
        <v/>
      </c>
      <c r="E20" s="369"/>
      <c r="F20" s="7" t="str">
        <f ca="1">IFERROR(IF(VLOOKUP(A17,OFFSET($AG$2,,,COUNTIF($AG$2:$AG$50,"?*"),23),7,FALSE)&lt;&gt;0,VLOOKUP(A17,OFFSET($AG$2,,,COUNTIF($AG$2:$AG$50,"?*"),23),7,FALSE),"?"),"")</f>
        <v/>
      </c>
      <c r="H20" s="381"/>
      <c r="I20" s="381"/>
      <c r="J20" s="381"/>
      <c r="K20" s="381"/>
      <c r="M20" s="365" t="str">
        <f ca="1">IFERROR(IF(VLOOKUP(M17,OFFSET($AG$2,,,COUNTIF($AG$2:$AG$50,"?*"),23),13,FALSE)&lt;&gt;0,VLOOKUP(M17,OFFSET($AG$2,,,COUNTIF($AG$2:$AG$50,"?*"),23),13,FALSE),"?"),"")</f>
        <v/>
      </c>
      <c r="N20" s="366"/>
      <c r="O20" s="367"/>
      <c r="P20" s="368" t="str">
        <f ca="1">IFERROR(IF(VLOOKUP(M17,OFFSET($AG$2,,,COUNTIF($AG$2:$AG$50,"?*"),23),14,FALSE)&lt;&gt;0,VLOOKUP(M17,OFFSET($AG$2,,,COUNTIF($AG$2:$AG$50,"?*"),23),14,FALSE),"?"),"")</f>
        <v/>
      </c>
      <c r="Q20" s="36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408</v>
      </c>
      <c r="T20" s="102" t="s">
        <v>117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417</v>
      </c>
      <c r="AH20" s="122">
        <v>34411</v>
      </c>
      <c r="AI20" s="123">
        <v>184</v>
      </c>
      <c r="AJ20" s="123">
        <v>60</v>
      </c>
      <c r="AK20" s="123">
        <v>60</v>
      </c>
      <c r="AL20" s="124">
        <f>IF(AG20&lt;&gt;"",AJ20+AK20,"")</f>
        <v>120</v>
      </c>
      <c r="AM20" s="123">
        <v>10</v>
      </c>
      <c r="AN20" s="123">
        <v>18</v>
      </c>
      <c r="AO20" s="125"/>
      <c r="AP20" s="125" t="s">
        <v>149</v>
      </c>
      <c r="AQ20" s="123">
        <v>182</v>
      </c>
      <c r="AR20" s="123">
        <v>71</v>
      </c>
      <c r="AS20" s="126" t="s">
        <v>429</v>
      </c>
      <c r="AT20" s="123">
        <v>2004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182/71</v>
      </c>
      <c r="AW20" s="128" t="str">
        <f ca="1">IF(AG20&lt;&gt;"",IF(BE20=1,BD20,IF(BH20=1,BG20,IF(BJ20=1,BI20,IF(BL20=1,BK20,BM20)))),"")</f>
        <v>Řehoř</v>
      </c>
      <c r="AX20" s="129" t="str">
        <f t="shared" ca="1" si="1"/>
        <v>0 OZ, 0 (0+0)</v>
      </c>
      <c r="AY20" s="129" t="str">
        <f t="shared" ca="1" si="2"/>
        <v>184 OZ, 120 (60+60)</v>
      </c>
      <c r="AZ20" s="130"/>
      <c r="BA20" s="130"/>
      <c r="BB20" s="130"/>
      <c r="BC20" s="130"/>
      <c r="BD20" s="3" t="str">
        <f t="shared" si="3"/>
        <v>Řehoř</v>
      </c>
      <c r="BE20" s="84">
        <f t="shared" ca="1" si="4"/>
        <v>1</v>
      </c>
      <c r="BF20" s="62" t="str">
        <f t="shared" si="5"/>
        <v>J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403</v>
      </c>
      <c r="T21" s="102" t="s">
        <v>117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400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364</v>
      </c>
      <c r="AT21" s="123">
        <v>2001</v>
      </c>
      <c r="AU21" s="127">
        <f ca="1">IF(AG21&lt;&gt;"",IF(AH21&lt;&gt;"",INT((TODAY()-AH21)/365),"?"),"")</f>
        <v>30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7 OZ, 7 (1+6), +3 ±</v>
      </c>
      <c r="AY21" s="129" t="str">
        <f t="shared" ca="1" si="2"/>
        <v>190 OZ, 190 (88+102)</v>
      </c>
      <c r="AZ21" s="130"/>
      <c r="BA21" s="130"/>
      <c r="BB21" s="130"/>
      <c r="BC21" s="130"/>
      <c r="BD21" s="89" t="str">
        <f t="shared" si="3"/>
        <v>Suchánek</v>
      </c>
      <c r="BE21" s="91">
        <f t="shared" ca="1" si="4"/>
        <v>1</v>
      </c>
      <c r="BF21" s="90" t="str">
        <f t="shared" si="5"/>
        <v>P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406</v>
      </c>
      <c r="T22" s="102" t="s">
        <v>119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 t="s">
        <v>402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316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5 OZ, 4 (2+2), +2 ±</v>
      </c>
      <c r="AY22" s="129" t="str">
        <f t="shared" ca="1" si="2"/>
        <v>146 OZ, 192 (103+89)</v>
      </c>
      <c r="AZ22" s="130"/>
      <c r="BA22" s="130"/>
      <c r="BB22" s="130"/>
      <c r="BC22" s="130"/>
      <c r="BD22" s="3" t="str">
        <f t="shared" si="3"/>
        <v>Šebek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6" t="s">
        <v>38</v>
      </c>
      <c r="BT22" s="104" t="s">
        <v>987</v>
      </c>
      <c r="BU22" s="103">
        <v>6</v>
      </c>
      <c r="BV22" s="104" t="str">
        <f t="shared" si="13"/>
        <v>Dominik Beneš</v>
      </c>
      <c r="BW22" s="102">
        <f t="shared" si="14"/>
        <v>6</v>
      </c>
    </row>
    <row r="23" spans="1:75" ht="15" customHeight="1" thickTop="1" thickBot="1" x14ac:dyDescent="0.25">
      <c r="A23" s="348"/>
      <c r="B23" s="349"/>
      <c r="C23" s="349"/>
      <c r="D23" s="34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82" t="s">
        <v>13</v>
      </c>
      <c r="I23" s="382"/>
      <c r="J23" s="382"/>
      <c r="K23" s="382"/>
      <c r="M23" s="348"/>
      <c r="N23" s="349"/>
      <c r="O23" s="349"/>
      <c r="P23" s="34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118</v>
      </c>
      <c r="AH23" s="122">
        <v>37297</v>
      </c>
      <c r="AI23" s="123">
        <v>17</v>
      </c>
      <c r="AJ23" s="123">
        <v>1</v>
      </c>
      <c r="AK23" s="123">
        <v>1</v>
      </c>
      <c r="AL23" s="124">
        <f>IF(AG23&lt;&gt;"",AJ23+AK23,"")</f>
        <v>2</v>
      </c>
      <c r="AM23" s="123">
        <v>3</v>
      </c>
      <c r="AN23" s="123">
        <v>37</v>
      </c>
      <c r="AO23" s="125"/>
      <c r="AP23" s="125" t="s">
        <v>27</v>
      </c>
      <c r="AQ23" s="123">
        <v>182</v>
      </c>
      <c r="AR23" s="123">
        <v>75</v>
      </c>
      <c r="AS23" s="126" t="s">
        <v>241</v>
      </c>
      <c r="AT23" s="123">
        <v>2010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182/75</v>
      </c>
      <c r="AW23" s="128" t="str">
        <f ca="1">IF(AG23&lt;&gt;"",IF(BE23=1,BD23,IF(BH23=1,BG23,IF(BJ23=1,BI23,IF(BL23=1,BK23,BM23)))),"")</f>
        <v>Švejda</v>
      </c>
      <c r="AX23" s="129" t="str">
        <f t="shared" ca="1" si="1"/>
        <v>0 OZ, 0 (0+0)</v>
      </c>
      <c r="AY23" s="129" t="str">
        <f t="shared" ca="1" si="2"/>
        <v>17 OZ, 2 (1+1)</v>
      </c>
      <c r="AZ23" s="130"/>
      <c r="BA23" s="130"/>
      <c r="BB23" s="130"/>
      <c r="BC23" s="130"/>
      <c r="BD23" s="89" t="str">
        <f t="shared" si="3"/>
        <v>Švejda</v>
      </c>
      <c r="BE23" s="91">
        <f t="shared" ca="1" si="4"/>
        <v>1</v>
      </c>
      <c r="BF23" s="90" t="str">
        <f t="shared" si="5"/>
        <v>Š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6"/>
      <c r="BT23" s="104" t="s">
        <v>1271</v>
      </c>
      <c r="BU23" s="103">
        <v>6</v>
      </c>
      <c r="BV23" s="104" t="str">
        <f t="shared" si="13"/>
        <v>Patrik Suchánek</v>
      </c>
      <c r="BW23" s="102">
        <f t="shared" si="14"/>
        <v>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1" t="str">
        <f ca="1">IFERROR(IF(VLOOKUP(A23,OFFSET($AG$2,,,COUNTIF($AG$2:$AG$50,"?*"),23),2,FALSE)&lt;&gt;0,YEAR(VLOOKUP(A23,OFFSET($AG$2,,,COUNTIF($AG$2:$AG$50,"?*"),23),2,FALSE)),""),"")</f>
        <v/>
      </c>
      <c r="C24" s="342"/>
      <c r="D24" s="117" t="str">
        <f ca="1">IFERROR(VLOOKUP(A23,OFFSET($AG$2,,,COUNTIF($AG$2:$AG$50,"?*"),23),15,FALSE),"")</f>
        <v/>
      </c>
      <c r="E24" s="343" t="str">
        <f ca="1">IFERROR(VLOOKUP(A23,OFFSET($AG$2,,,COUNTIF($AG$2:$AG$50,"?*"),23),16,FALSE),"")</f>
        <v/>
      </c>
      <c r="F24" s="344"/>
      <c r="M24" s="4" t="str">
        <f ca="1">IFERROR(IF(VLOOKUP(M23,OFFSET($AG$2,,,COUNTIF($AG$2:$AG$50,"?*"),23),10,FALSE)&lt;&gt;0,VLOOKUP(M23,OFFSET($AG$2,,,COUNTIF($AG$2:$AG$50,"?*"),23),10,FALSE),""),"")</f>
        <v/>
      </c>
      <c r="N24" s="341" t="str">
        <f ca="1">IFERROR(IF(VLOOKUP(M23,OFFSET($AG$2,,,COUNTIF($AG$2:$AG$50,"?*"),23),2,FALSE)&lt;&gt;0,YEAR(VLOOKUP(M23,OFFSET($AG$2,,,COUNTIF($AG$2:$AG$50,"?*"),23),2,FALSE)),""),"")</f>
        <v/>
      </c>
      <c r="O24" s="342"/>
      <c r="P24" s="117" t="str">
        <f ca="1">IFERROR(VLOOKUP(M23,OFFSET($AG$2,,,COUNTIF($AG$2:$AG$50,"?*"),23),15,FALSE),"")</f>
        <v/>
      </c>
      <c r="Q24" s="343" t="str">
        <f ca="1">IFERROR(VLOOKUP(M23,OFFSET($AG$2,,,COUNTIF($AG$2:$AG$50,"?*"),23),16,FALSE),"")</f>
        <v/>
      </c>
      <c r="R24" s="344"/>
      <c r="S24" s="111"/>
      <c r="AC24" s="102" t="str">
        <f t="shared" ca="1" si="0"/>
        <v/>
      </c>
      <c r="AG24" s="121" t="s">
        <v>418</v>
      </c>
      <c r="AH24" s="122">
        <v>33976</v>
      </c>
      <c r="AI24" s="123">
        <v>72</v>
      </c>
      <c r="AJ24" s="123">
        <v>33</v>
      </c>
      <c r="AK24" s="123">
        <v>24</v>
      </c>
      <c r="AL24" s="124">
        <f>IF(AG24&lt;&gt;"",AJ24+AK24,"")</f>
        <v>57</v>
      </c>
      <c r="AM24" s="123">
        <v>7</v>
      </c>
      <c r="AN24" s="123">
        <v>4</v>
      </c>
      <c r="AO24" s="125"/>
      <c r="AP24" s="125" t="s">
        <v>149</v>
      </c>
      <c r="AQ24" s="123">
        <v>192</v>
      </c>
      <c r="AR24" s="123">
        <v>90</v>
      </c>
      <c r="AS24" s="126" t="s">
        <v>430</v>
      </c>
      <c r="AT24" s="123">
        <v>2008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192/90</v>
      </c>
      <c r="AW24" s="128" t="str">
        <f ca="1">IF(AG24&lt;&gt;"",IF(BE24=1,BD24,IF(BH24=1,BG24,IF(BJ24=1,BI24,IF(BL24=1,BK24,BM24)))),"")</f>
        <v>Tichý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72 OZ, 57 (33+24)</v>
      </c>
      <c r="AZ24" s="130"/>
      <c r="BA24" s="130"/>
      <c r="BB24" s="130"/>
      <c r="BC24" s="130"/>
      <c r="BD24" s="3" t="str">
        <f t="shared" si="3"/>
        <v>Tichý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6"/>
      <c r="BT24" s="104" t="s">
        <v>1272</v>
      </c>
      <c r="BU24" s="103">
        <v>5</v>
      </c>
      <c r="BV24" s="104" t="str">
        <f t="shared" si="13"/>
        <v>Jiří Curney</v>
      </c>
      <c r="BW24" s="102">
        <f t="shared" si="14"/>
        <v>5</v>
      </c>
    </row>
    <row r="25" spans="1:75" ht="15" customHeight="1" thickTop="1" thickBot="1" x14ac:dyDescent="0.25">
      <c r="A25" s="377" t="str">
        <f ca="1">IFERROR(VLOOKUP(A23,OFFSET($AG$2,,,COUNTIF($AG$2:$AG$50,"?*"),23),18,FALSE),"")</f>
        <v/>
      </c>
      <c r="B25" s="378"/>
      <c r="C25" s="378"/>
      <c r="D25" s="379" t="str">
        <f ca="1">IFERROR(VLOOKUP(A23,OFFSET($AG$2,,,COUNTIF($AG$2:$AG$50,"?*"),23),19,FALSE),"")</f>
        <v/>
      </c>
      <c r="E25" s="379"/>
      <c r="F25" s="380"/>
      <c r="G25" s="348"/>
      <c r="H25" s="349"/>
      <c r="I25" s="349"/>
      <c r="J25" s="34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7" t="str">
        <f ca="1">IFERROR(VLOOKUP(M23,OFFSET($AG$2,,,COUNTIF($AG$2:$AG$50,"?*"),23),18,FALSE),"")</f>
        <v/>
      </c>
      <c r="N25" s="378"/>
      <c r="O25" s="378"/>
      <c r="P25" s="379" t="str">
        <f ca="1">IFERROR(VLOOKUP(M23,OFFSET($AG$2,,,COUNTIF($AG$2:$AG$50,"?*"),23),19,FALSE),"")</f>
        <v/>
      </c>
      <c r="Q25" s="379"/>
      <c r="R25" s="380"/>
      <c r="S25" s="111"/>
      <c r="AC25" s="102" t="str">
        <f t="shared" ca="1" si="0"/>
        <v/>
      </c>
      <c r="AG25" s="121" t="s">
        <v>392</v>
      </c>
      <c r="AH25" s="122">
        <v>33157</v>
      </c>
      <c r="AI25" s="123">
        <v>233</v>
      </c>
      <c r="AJ25" s="123">
        <v>183</v>
      </c>
      <c r="AK25" s="123">
        <v>112</v>
      </c>
      <c r="AL25" s="124">
        <f>IF(AG25&lt;&gt;"",AJ25+AK25,"")</f>
        <v>295</v>
      </c>
      <c r="AM25" s="123">
        <v>12</v>
      </c>
      <c r="AN25" s="123">
        <v>20</v>
      </c>
      <c r="AO25" s="125"/>
      <c r="AP25" s="125" t="s">
        <v>149</v>
      </c>
      <c r="AQ25" s="123">
        <v>183</v>
      </c>
      <c r="AR25" s="123">
        <v>76</v>
      </c>
      <c r="AS25" s="126" t="s">
        <v>431</v>
      </c>
      <c r="AT25" s="123">
        <v>1998</v>
      </c>
      <c r="AU25" s="127">
        <f ca="1">IF(AG25&lt;&gt;"",IF(AH25&lt;&gt;"",INT((TODAY()-AH25)/365),"?"),"")</f>
        <v>31</v>
      </c>
      <c r="AV25" s="127" t="str">
        <f>IF(AG25&lt;&gt;"",CONCATENATE(IF(AQ25&lt;&gt;"",AQ25,"? "),"/",IF(AR25&lt;&gt;"",AR25," ?")),"")</f>
        <v>183/76</v>
      </c>
      <c r="AW25" s="128" t="str">
        <f ca="1">IF(AG25&lt;&gt;"",IF(BE25=1,BD25,IF(BH25=1,BG25,IF(BJ25=1,BI25,IF(BL25=1,BK25,BM25)))),"")</f>
        <v>Tokoš</v>
      </c>
      <c r="AX25" s="129" t="str">
        <f t="shared" ca="1" si="15"/>
        <v>7 OZ, 8 (6+2), +8 ±</v>
      </c>
      <c r="AY25" s="129" t="str">
        <f t="shared" ca="1" si="16"/>
        <v>240 OZ, 303 (189+114)</v>
      </c>
      <c r="AZ25" s="130"/>
      <c r="BA25" s="130"/>
      <c r="BB25" s="130"/>
      <c r="BC25" s="130"/>
      <c r="BD25" s="89" t="str">
        <f t="shared" si="3"/>
        <v>Tokoš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6"/>
      <c r="BT25" s="104" t="s">
        <v>1273</v>
      </c>
      <c r="BU25" s="103">
        <v>4</v>
      </c>
      <c r="BV25" s="104" t="str">
        <f t="shared" si="13"/>
        <v>Adam Hemerka</v>
      </c>
      <c r="BW25" s="102">
        <f t="shared" si="14"/>
        <v>4</v>
      </c>
    </row>
    <row r="26" spans="1:75" ht="15" customHeight="1" thickBot="1" x14ac:dyDescent="0.25">
      <c r="A26" s="365" t="str">
        <f ca="1">IFERROR(IF(VLOOKUP(A23,OFFSET($AG$2,,,COUNTIF($AG$2:$AG$50,"?*"),23),13,FALSE)&lt;&gt;0,VLOOKUP(A23,OFFSET($AG$2,,,COUNTIF($AG$2:$AG$50,"?*"),23),13,FALSE),"?"),"")</f>
        <v/>
      </c>
      <c r="B26" s="366"/>
      <c r="C26" s="367"/>
      <c r="D26" s="368" t="str">
        <f ca="1">IFERROR(IF(VLOOKUP(A23,OFFSET($AG$2,,,COUNTIF($AG$2:$AG$50,"?*"),23),14,FALSE)&lt;&gt;0,VLOOKUP(A23,OFFSET($AG$2,,,COUNTIF($AG$2:$AG$50,"?*"),23),14,FALSE),"?"),"")</f>
        <v/>
      </c>
      <c r="E26" s="36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1" t="str">
        <f ca="1">IFERROR(IF(VLOOKUP(G25,OFFSET($AG$2,,,COUNTIF($AG$2:$AG$50,"?*"),23),2,FALSE)&lt;&gt;0,YEAR(VLOOKUP(G25,OFFSET($AG$2,,,COUNTIF($AG$2:$AG$50,"?*"),23),2,FALSE)),""),"")</f>
        <v/>
      </c>
      <c r="I26" s="342"/>
      <c r="J26" s="117" t="str">
        <f ca="1">IFERROR(VLOOKUP(G25,OFFSET($AG$2,,,COUNTIF($AG$2:$AG$50,"?*"),23),15,FALSE),"")</f>
        <v/>
      </c>
      <c r="K26" s="343" t="str">
        <f ca="1">IFERROR(VLOOKUP(G25,OFFSET($AG$2,,,COUNTIF($AG$2:$AG$50,"?*"),23),16,FALSE),"")</f>
        <v/>
      </c>
      <c r="L26" s="344"/>
      <c r="M26" s="365" t="str">
        <f ca="1">IFERROR(IF(VLOOKUP(M23,OFFSET($AG$2,,,COUNTIF($AG$2:$AG$50,"?*"),23),13,FALSE)&lt;&gt;0,VLOOKUP(M23,OFFSET($AG$2,,,COUNTIF($AG$2:$AG$50,"?*"),23),13,FALSE),"?"),"")</f>
        <v/>
      </c>
      <c r="N26" s="366"/>
      <c r="O26" s="367"/>
      <c r="P26" s="368" t="str">
        <f ca="1">IFERROR(IF(VLOOKUP(M23,OFFSET($AG$2,,,COUNTIF($AG$2:$AG$50,"?*"),23),14,FALSE)&lt;&gt;0,VLOOKUP(M23,OFFSET($AG$2,,,COUNTIF($AG$2:$AG$50,"?*"),23),14,FALSE),"?"),"")</f>
        <v/>
      </c>
      <c r="Q26" s="369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399</v>
      </c>
      <c r="AH26" s="122">
        <v>32329</v>
      </c>
      <c r="AI26" s="123">
        <v>218</v>
      </c>
      <c r="AJ26" s="123">
        <v>184</v>
      </c>
      <c r="AK26" s="123">
        <v>174</v>
      </c>
      <c r="AL26" s="124">
        <f>IF(AG26&lt;&gt;"",AJ26+AK26,"")</f>
        <v>358</v>
      </c>
      <c r="AM26" s="123">
        <v>12</v>
      </c>
      <c r="AN26" s="123">
        <v>7</v>
      </c>
      <c r="AO26" s="125"/>
      <c r="AP26" s="125" t="s">
        <v>149</v>
      </c>
      <c r="AQ26" s="123">
        <v>181</v>
      </c>
      <c r="AR26" s="123">
        <v>85</v>
      </c>
      <c r="AS26" s="126" t="s">
        <v>431</v>
      </c>
      <c r="AT26" s="123">
        <v>1995</v>
      </c>
      <c r="AU26" s="127">
        <f ca="1">IF(AG26&lt;&gt;"",IF(AH26&lt;&gt;"",INT((TODAY()-AH26)/365),"?"),"")</f>
        <v>33</v>
      </c>
      <c r="AV26" s="127" t="str">
        <f>IF(AG26&lt;&gt;"",CONCATENATE(IF(AQ26&lt;&gt;"",AQ26,"? "),"/",IF(AR26&lt;&gt;"",AR26," ?")),"")</f>
        <v>181/85</v>
      </c>
      <c r="AW26" s="128" t="str">
        <f ca="1">IF(AG26&lt;&gt;"",IF(BE26=1,BD26,IF(BH26=1,BG26,IF(BJ26=1,BI26,IF(BL26=1,BK26,BM26)))),"")</f>
        <v>Tomašík</v>
      </c>
      <c r="AX26" s="129" t="str">
        <f t="shared" ca="1" si="15"/>
        <v>7 OZ, 6 (2+4), +6 ±</v>
      </c>
      <c r="AY26" s="129" t="str">
        <f t="shared" ca="1" si="16"/>
        <v>225 OZ, 364 (186+178)</v>
      </c>
      <c r="AZ26" s="130"/>
      <c r="BA26" s="130"/>
      <c r="BB26" s="130"/>
      <c r="BC26" s="130"/>
      <c r="BD26" s="3" t="str">
        <f t="shared" si="3"/>
        <v>Tomašík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6"/>
      <c r="BT26" s="104" t="s">
        <v>1274</v>
      </c>
      <c r="BU26" s="103">
        <v>4</v>
      </c>
      <c r="BV26" s="104" t="str">
        <f t="shared" si="13"/>
        <v>Jakub Gruber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377" t="str">
        <f ca="1">IFERROR(VLOOKUP(G25,OFFSET($AG$2,,,COUNTIF($AG$2:$AG$50,"?*"),23),18,FALSE),"")</f>
        <v/>
      </c>
      <c r="H27" s="378"/>
      <c r="I27" s="378"/>
      <c r="J27" s="379" t="str">
        <f ca="1">IFERROR(VLOOKUP(G25,OFFSET($AG$2,,,COUNTIF($AG$2:$AG$50,"?*"),23),19,FALSE),"")</f>
        <v/>
      </c>
      <c r="K27" s="379"/>
      <c r="L27" s="380"/>
      <c r="S27" s="111"/>
      <c r="AC27" s="102" t="str">
        <f t="shared" ca="1" si="0"/>
        <v/>
      </c>
      <c r="AG27" s="121" t="s">
        <v>408</v>
      </c>
      <c r="AH27" s="122">
        <v>37659</v>
      </c>
      <c r="AI27" s="123">
        <v>1</v>
      </c>
      <c r="AJ27" s="123">
        <v>0</v>
      </c>
      <c r="AK27" s="123">
        <v>0</v>
      </c>
      <c r="AL27" s="124">
        <f>IF(AG27&lt;&gt;"",AJ27+AK27,"")</f>
        <v>0</v>
      </c>
      <c r="AM27" s="123">
        <v>2</v>
      </c>
      <c r="AN27" s="123">
        <v>31</v>
      </c>
      <c r="AO27" s="125"/>
      <c r="AP27" s="125"/>
      <c r="AQ27" s="123">
        <v>189</v>
      </c>
      <c r="AR27" s="123">
        <v>77</v>
      </c>
      <c r="AS27" s="126" t="s">
        <v>241</v>
      </c>
      <c r="AT27" s="123">
        <v>2009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189/77</v>
      </c>
      <c r="AW27" s="128" t="str">
        <f ca="1">IF(AG27&lt;&gt;"",IF(BE27=1,BD27,IF(BH27=1,BG27,IF(BJ27=1,BI27,IF(BL27=1,BK27,BM27)))),"")</f>
        <v>Tomšík</v>
      </c>
      <c r="AX27" s="129" t="str">
        <f t="shared" ca="1" si="15"/>
        <v>0 V, 0 P</v>
      </c>
      <c r="AY27" s="129" t="str">
        <f t="shared" ca="1" si="16"/>
        <v>1 OZ, 0 A</v>
      </c>
      <c r="AZ27" s="130"/>
      <c r="BA27" s="130"/>
      <c r="BB27" s="130"/>
      <c r="BC27" s="130"/>
      <c r="BD27" s="89" t="str">
        <f t="shared" si="3"/>
        <v>Tomšík</v>
      </c>
      <c r="BE27" s="91">
        <f t="shared" ca="1" si="4"/>
        <v>1</v>
      </c>
      <c r="BF27" s="90" t="str">
        <f t="shared" si="5"/>
        <v>O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6" t="s">
        <v>39</v>
      </c>
      <c r="BT27" s="104" t="s">
        <v>988</v>
      </c>
      <c r="BU27" s="103">
        <v>8</v>
      </c>
      <c r="BV27" s="104" t="str">
        <f t="shared" si="13"/>
        <v>Patrik Suchánek</v>
      </c>
      <c r="BW27" s="102">
        <f t="shared" si="14"/>
        <v>8</v>
      </c>
    </row>
    <row r="28" spans="1:75" ht="15" customHeight="1" thickTop="1" thickBot="1" x14ac:dyDescent="0.25">
      <c r="A28" s="348"/>
      <c r="B28" s="349"/>
      <c r="C28" s="349"/>
      <c r="D28" s="34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5" t="str">
        <f ca="1">IFERROR(IF(VLOOKUP(G25,OFFSET($AG$2,,,COUNTIF($AG$2:$AG$50,"?*"),23),13,FALSE)&lt;&gt;0,VLOOKUP(G25,OFFSET($AG$2,,,COUNTIF($AG$2:$AG$50,"?*"),23),13,FALSE),"?"),"")</f>
        <v/>
      </c>
      <c r="H28" s="366"/>
      <c r="I28" s="367"/>
      <c r="J28" s="368" t="str">
        <f ca="1">IFERROR(IF(VLOOKUP(G25,OFFSET($AG$2,,,COUNTIF($AG$2:$AG$50,"?*"),23),14,FALSE)&lt;&gt;0,VLOOKUP(G25,OFFSET($AG$2,,,COUNTIF($AG$2:$AG$50,"?*"),23),14,FALSE),"?"),"")</f>
        <v/>
      </c>
      <c r="K28" s="369"/>
      <c r="L28" s="7" t="str">
        <f ca="1">IFERROR(IF(VLOOKUP(G25,OFFSET($AG$2,,,COUNTIF($AG$2:$AG$50,"?*"),23),7,FALSE)&lt;&gt;0,VLOOKUP(G25,OFFSET($AG$2,,,COUNTIF($AG$2:$AG$50,"?*"),23),7,FALSE),"?"),"")</f>
        <v/>
      </c>
      <c r="M28" s="348"/>
      <c r="N28" s="349"/>
      <c r="O28" s="349"/>
      <c r="P28" s="34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419</v>
      </c>
      <c r="AH28" s="122">
        <v>37307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3</v>
      </c>
      <c r="AN28" s="123">
        <v>2</v>
      </c>
      <c r="AO28" s="125"/>
      <c r="AP28" s="125" t="s">
        <v>149</v>
      </c>
      <c r="AQ28" s="123"/>
      <c r="AR28" s="123"/>
      <c r="AS28" s="126" t="s">
        <v>241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Vyhnánek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Vyhnánek</v>
      </c>
      <c r="BE28" s="84">
        <f t="shared" ca="1" si="4"/>
        <v>1</v>
      </c>
      <c r="BF28" s="62" t="str">
        <f t="shared" si="5"/>
        <v>Z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6"/>
      <c r="BT28" s="104" t="s">
        <v>989</v>
      </c>
      <c r="BU28" s="103">
        <v>6</v>
      </c>
      <c r="BV28" s="104" t="str">
        <f t="shared" si="13"/>
        <v>Martin Tokoš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1" t="str">
        <f ca="1">IFERROR(IF(VLOOKUP(A28,OFFSET($AG$2,,,COUNTIF($AG$2:$AG$50,"?*"),23),2,FALSE)&lt;&gt;0,YEAR(VLOOKUP(A28,OFFSET($AG$2,,,COUNTIF($AG$2:$AG$50,"?*"),23),2,FALSE)),""),"")</f>
        <v/>
      </c>
      <c r="C29" s="342"/>
      <c r="D29" s="117" t="str">
        <f ca="1">IFERROR(VLOOKUP(A28,OFFSET($AG$2,,,COUNTIF($AG$2:$AG$50,"?*"),23),15,FALSE),"")</f>
        <v/>
      </c>
      <c r="E29" s="343" t="str">
        <f ca="1">IFERROR(VLOOKUP(A28,OFFSET($AG$2,,,COUNTIF($AG$2:$AG$50,"?*"),23),16,FALSE),"")</f>
        <v/>
      </c>
      <c r="F29" s="344"/>
      <c r="M29" s="4" t="str">
        <f ca="1">IFERROR(IF(VLOOKUP(M28,OFFSET($AG$2,,,COUNTIF($AG$2:$AG$50,"?*"),23),10,FALSE)&lt;&gt;0,VLOOKUP(M28,OFFSET($AG$2,,,COUNTIF($AG$2:$AG$50,"?*"),23),10,FALSE),""),"")</f>
        <v/>
      </c>
      <c r="N29" s="341" t="str">
        <f ca="1">IFERROR(IF(VLOOKUP(M28,OFFSET($AG$2,,,COUNTIF($AG$2:$AG$50,"?*"),23),2,FALSE)&lt;&gt;0,YEAR(VLOOKUP(M28,OFFSET($AG$2,,,COUNTIF($AG$2:$AG$50,"?*"),23),2,FALSE)),""),"")</f>
        <v/>
      </c>
      <c r="O29" s="342"/>
      <c r="P29" s="117" t="str">
        <f ca="1">IFERROR(VLOOKUP(M28,OFFSET($AG$2,,,COUNTIF($AG$2:$AG$50,"?*"),23),15,FALSE),"")</f>
        <v/>
      </c>
      <c r="Q29" s="343" t="str">
        <f ca="1">IFERROR(VLOOKUP(M28,OFFSET($AG$2,,,COUNTIF($AG$2:$AG$50,"?*"),23),16,FALSE),"")</f>
        <v/>
      </c>
      <c r="R29" s="344"/>
      <c r="S29" s="111"/>
      <c r="AC29" s="102" t="str">
        <f t="shared" ca="1" si="0"/>
        <v/>
      </c>
      <c r="AG29" s="121" t="s">
        <v>405</v>
      </c>
      <c r="AH29" s="122">
        <v>36377</v>
      </c>
      <c r="AI29" s="123">
        <v>122</v>
      </c>
      <c r="AJ29" s="123">
        <v>18</v>
      </c>
      <c r="AK29" s="123">
        <v>25</v>
      </c>
      <c r="AL29" s="124">
        <f>IF(AG29&lt;&gt;"",AJ29+AK29,"")</f>
        <v>43</v>
      </c>
      <c r="AM29" s="123">
        <v>6</v>
      </c>
      <c r="AN29" s="123">
        <v>58</v>
      </c>
      <c r="AO29" s="125"/>
      <c r="AP29" s="125" t="s">
        <v>149</v>
      </c>
      <c r="AQ29" s="123">
        <v>186</v>
      </c>
      <c r="AR29" s="123">
        <v>78</v>
      </c>
      <c r="AS29" s="126" t="s">
        <v>426</v>
      </c>
      <c r="AT29" s="123">
        <v>2009</v>
      </c>
      <c r="AU29" s="127">
        <f ca="1">IF(AG29&lt;&gt;"",IF(AH29&lt;&gt;"",INT((TODAY()-AH29)/365),"?"),"")</f>
        <v>22</v>
      </c>
      <c r="AV29" s="127" t="str">
        <f>IF(AG29&lt;&gt;"",CONCATENATE(IF(AQ29&lt;&gt;"",AQ29,"? "),"/",IF(AR29&lt;&gt;"",AR29," ?")),"")</f>
        <v>186/78</v>
      </c>
      <c r="AW29" s="128" t="str">
        <f ca="1">IF(AG29&lt;&gt;"",IF(BE29=1,BD29,IF(BH29=1,BG29,IF(BJ29=1,BI29,IF(BL29=1,BK29,BM29)))),"")</f>
        <v>Zakonov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7 OZ, 2 (1+1), +6 ±</v>
      </c>
      <c r="AY29" s="129" t="str">
        <f t="shared" ca="1" si="16"/>
        <v>129 OZ, 45 (19+26)</v>
      </c>
      <c r="AZ29" s="130"/>
      <c r="BA29" s="130"/>
      <c r="BB29" s="130"/>
      <c r="BC29" s="130"/>
      <c r="BD29" s="89" t="str">
        <f t="shared" si="3"/>
        <v>Zakonov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6"/>
      <c r="BT29" s="104" t="s">
        <v>990</v>
      </c>
      <c r="BU29" s="103">
        <v>4</v>
      </c>
      <c r="BV29" s="104" t="str">
        <f t="shared" si="13"/>
        <v>Adam Hemerka</v>
      </c>
      <c r="BW29" s="102">
        <f t="shared" si="14"/>
        <v>4</v>
      </c>
    </row>
    <row r="30" spans="1:75" ht="15" customHeight="1" x14ac:dyDescent="0.2">
      <c r="A30" s="377" t="str">
        <f ca="1">IFERROR(VLOOKUP(A28,OFFSET($AG$2,,,COUNTIF($AG$2:$AG$50,"?*"),23),18,FALSE),"")</f>
        <v/>
      </c>
      <c r="B30" s="378"/>
      <c r="C30" s="378"/>
      <c r="D30" s="379" t="str">
        <f ca="1">IFERROR(VLOOKUP(A28,OFFSET($AG$2,,,COUNTIF($AG$2:$AG$50,"?*"),23),19,FALSE),"")</f>
        <v/>
      </c>
      <c r="E30" s="379"/>
      <c r="F30" s="380"/>
      <c r="H30" s="381" t="str">
        <f>H$8</f>
        <v>MB</v>
      </c>
      <c r="I30" s="381"/>
      <c r="J30" s="381"/>
      <c r="K30" s="381"/>
      <c r="M30" s="377" t="str">
        <f ca="1">IFERROR(VLOOKUP(M28,OFFSET($AG$2,,,COUNTIF($AG$2:$AG$50,"?*"),23),18,FALSE),"")</f>
        <v/>
      </c>
      <c r="N30" s="378"/>
      <c r="O30" s="378"/>
      <c r="P30" s="379" t="str">
        <f ca="1">IFERROR(VLOOKUP(M28,OFFSET($AG$2,,,COUNTIF($AG$2:$AG$50,"?*"),23),19,FALSE),"")</f>
        <v/>
      </c>
      <c r="Q30" s="379"/>
      <c r="R30" s="380"/>
      <c r="S30" s="111"/>
      <c r="AC30" s="102" t="str">
        <f t="shared" ca="1" si="0"/>
        <v/>
      </c>
      <c r="AG30" s="121" t="s">
        <v>397</v>
      </c>
      <c r="AH30" s="122">
        <v>37744</v>
      </c>
      <c r="AI30" s="123">
        <v>25</v>
      </c>
      <c r="AJ30" s="123">
        <v>6</v>
      </c>
      <c r="AK30" s="123">
        <v>5</v>
      </c>
      <c r="AL30" s="124">
        <f>IF(AG30&lt;&gt;"",AJ30+AK30,"")</f>
        <v>11</v>
      </c>
      <c r="AM30" s="123">
        <v>2</v>
      </c>
      <c r="AN30" s="123">
        <v>39</v>
      </c>
      <c r="AO30" s="125"/>
      <c r="AP30" s="125" t="s">
        <v>149</v>
      </c>
      <c r="AQ30" s="123">
        <v>185</v>
      </c>
      <c r="AR30" s="123">
        <v>71</v>
      </c>
      <c r="AS30" s="126" t="s">
        <v>426</v>
      </c>
      <c r="AT30" s="123">
        <v>2011</v>
      </c>
      <c r="AU30" s="127">
        <f ca="1">IF(AG30&lt;&gt;"",IF(AH30&lt;&gt;"",INT((TODAY()-AH30)/365),"?"),"")</f>
        <v>18</v>
      </c>
      <c r="AV30" s="127" t="str">
        <f>IF(AG30&lt;&gt;"",CONCATENATE(IF(AQ30&lt;&gt;"",AQ30,"? "),"/",IF(AR30&lt;&gt;"",AR30," ?")),"")</f>
        <v>185/71</v>
      </c>
      <c r="AW30" s="128" t="str">
        <f ca="1">IF(AG30&lt;&gt;"",IF(BE30=1,BD30,IF(BH30=1,BG30,IF(BJ30=1,BI30,IF(BL30=1,BK30,BM30)))),"")</f>
        <v>Zoufalý</v>
      </c>
      <c r="AX30" s="129" t="str">
        <f t="shared" ca="1" si="17"/>
        <v>5 OZ, 1 (1+0), +1 ±</v>
      </c>
      <c r="AY30" s="129" t="str">
        <f t="shared" ca="1" si="16"/>
        <v>30 OZ, 12 (7+5)</v>
      </c>
      <c r="AZ30" s="130"/>
      <c r="BA30" s="130"/>
      <c r="BB30" s="130"/>
      <c r="BC30" s="130"/>
      <c r="BD30" s="3" t="str">
        <f t="shared" si="3"/>
        <v>Zoufalý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36"/>
      <c r="BT30" s="104" t="s">
        <v>991</v>
      </c>
      <c r="BU30" s="103">
        <v>4</v>
      </c>
      <c r="BV30" s="104" t="str">
        <f t="shared" si="13"/>
        <v>Daniel Šebek</v>
      </c>
      <c r="BW30" s="102">
        <f t="shared" si="14"/>
        <v>4</v>
      </c>
    </row>
    <row r="31" spans="1:75" ht="15" customHeight="1" thickBot="1" x14ac:dyDescent="0.25">
      <c r="A31" s="365" t="str">
        <f ca="1">IFERROR(IF(VLOOKUP(A28,OFFSET($AG$2,,,COUNTIF($AG$2:$AG$50,"?*"),23),13,FALSE)&lt;&gt;0,VLOOKUP(A28,OFFSET($AG$2,,,COUNTIF($AG$2:$AG$50,"?*"),23),13,FALSE),"?"),"")</f>
        <v/>
      </c>
      <c r="B31" s="366"/>
      <c r="C31" s="367"/>
      <c r="D31" s="368" t="str">
        <f ca="1">IFERROR(IF(VLOOKUP(A28,OFFSET($AG$2,,,COUNTIF($AG$2:$AG$50,"?*"),23),14,FALSE)&lt;&gt;0,VLOOKUP(A28,OFFSET($AG$2,,,COUNTIF($AG$2:$AG$50,"?*"),23),14,FALSE),"?"),"")</f>
        <v/>
      </c>
      <c r="E31" s="369"/>
      <c r="F31" s="7" t="str">
        <f ca="1">IFERROR(IF(VLOOKUP(A28,OFFSET($AG$2,,,COUNTIF($AG$2:$AG$50,"?*"),23),7,FALSE)&lt;&gt;0,VLOOKUP(A28,OFFSET($AG$2,,,COUNTIF($AG$2:$AG$50,"?*"),23),7,FALSE),"?"),"")</f>
        <v/>
      </c>
      <c r="H31" s="381"/>
      <c r="I31" s="381"/>
      <c r="J31" s="381"/>
      <c r="K31" s="381"/>
      <c r="M31" s="365" t="str">
        <f ca="1">IFERROR(IF(VLOOKUP(M28,OFFSET($AG$2,,,COUNTIF($AG$2:$AG$50,"?*"),23),13,FALSE)&lt;&gt;0,VLOOKUP(M28,OFFSET($AG$2,,,COUNTIF($AG$2:$AG$50,"?*"),23),13,FALSE),"?"),"")</f>
        <v/>
      </c>
      <c r="N31" s="366"/>
      <c r="O31" s="367"/>
      <c r="P31" s="368" t="str">
        <f ca="1">IFERROR(IF(VLOOKUP(M28,OFFSET($AG$2,,,COUNTIF($AG$2:$AG$50,"?*"),23),14,FALSE)&lt;&gt;0,VLOOKUP(M28,OFFSET($AG$2,,,COUNTIF($AG$2:$AG$50,"?*"),23),14,FALSE),"?"),"")</f>
        <v/>
      </c>
      <c r="Q31" s="36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6"/>
      <c r="BT31" s="104" t="s">
        <v>992</v>
      </c>
      <c r="BU31" s="103">
        <v>2</v>
      </c>
      <c r="BV31" s="104" t="str">
        <f t="shared" si="13"/>
        <v>Jiří Curney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8"/>
      <c r="B34" s="349"/>
      <c r="C34" s="349"/>
      <c r="D34" s="34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6" t="s">
        <v>16</v>
      </c>
      <c r="J34" s="348"/>
      <c r="K34" s="349"/>
      <c r="L34" s="349"/>
      <c r="M34" s="349"/>
      <c r="N34" s="349"/>
      <c r="O34" s="349"/>
      <c r="P34" s="34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1" t="str">
        <f ca="1">IFERROR(IF(VLOOKUP(A34,OFFSET($AG$2,,,COUNTIF($AG$2:$AG$50,"?*"),23),2,FALSE)&lt;&gt;0,YEAR(VLOOKUP(A34,OFFSET($AG$2,,,COUNTIF($AG$2:$AG$50,"?*"),23),2,FALSE)),""),"")</f>
        <v/>
      </c>
      <c r="C35" s="342"/>
      <c r="D35" s="117" t="str">
        <f ca="1">IFERROR(VLOOKUP(A34,OFFSET($AG$2,,,COUNTIF($AG$2:$AG$50,"?*"),23),15,FALSE),"")</f>
        <v/>
      </c>
      <c r="E35" s="343" t="str">
        <f ca="1">IFERROR(VLOOKUP(A34,OFFSET($AG$2,,,COUNTIF($AG$2:$AG$50,"?*"),23),16,FALSE),"")</f>
        <v/>
      </c>
      <c r="F35" s="344"/>
      <c r="H35" s="376"/>
      <c r="J35" s="4" t="str">
        <f ca="1">IFERROR(IF(VLOOKUP(J34,OFFSET($AG$2,,,COUNTIF($AG$2:$AG$50,"?*"),23),10,FALSE)&lt;&gt;0,VLOOKUP(J34,OFFSET($AG$2,,,COUNTIF($AG$2:$AG$50,"?*"),23),10,FALSE),""),"")</f>
        <v/>
      </c>
      <c r="K35" s="342" t="str">
        <f ca="1">IFERROR(IF(VLOOKUP(J34,OFFSET($AG$2,,,COUNTIF($AG$2:$AG$50,"?*"),23),2,FALSE)&lt;&gt;0,YEAR(VLOOKUP(J34,OFFSET($AG$2,,,COUNTIF($AG$2:$AG$50,"?*"),23),2,FALSE)),""),"")</f>
        <v/>
      </c>
      <c r="L35" s="350"/>
      <c r="M35" s="118" t="str">
        <f ca="1">IFERROR(VLOOKUP(J34,OFFSET($AG$2,,,COUNTIF($AG$2:$AG$50,"?*"),23),15,FALSE),"")</f>
        <v/>
      </c>
      <c r="N35" s="350" t="str">
        <f ca="1">IFERROR(VLOOKUP(J34,OFFSET($AG$2,,,COUNTIF($AG$2:$AG$50,"?*"),23),16,FALSE),"")</f>
        <v/>
      </c>
      <c r="O35" s="350"/>
      <c r="P35" s="350" t="str">
        <f ca="1">IFERROR(VLOOKUP(J34,OFFSET($AG$2,,,COUNTIF($AG$2:$AG$50,"?*"),23),18,FALSE),"")</f>
        <v/>
      </c>
      <c r="Q35" s="350"/>
      <c r="R35" s="35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5" t="str">
        <f ca="1">IFERROR(VLOOKUP(A34,OFFSET($AG$2,,,COUNTIF($AG$2:$AG$50,"?*"),23),18,FALSE),"")</f>
        <v/>
      </c>
      <c r="C36" s="345"/>
      <c r="D36" s="346" t="str">
        <f ca="1">IFERROR(VLOOKUP(A34,OFFSET($S$45,,,COUNTIF($S$45:$S$50,"?*"),14),5,FALSE),"")</f>
        <v/>
      </c>
      <c r="E36" s="347"/>
      <c r="F36" s="17" t="str">
        <f ca="1">IFERROR(VLOOKUP(A34,OFFSET($S$45,,,COUNTIF($S$45:$S$50,"?*"),14),14,FALSE),"")</f>
        <v/>
      </c>
      <c r="H36" s="376"/>
      <c r="J36" s="18" t="str">
        <f ca="1">IFERROR(IF(VLOOKUP(J34,OFFSET($AG$2,,,COUNTIF($AG$2:$AG$50,"?*"),23),7,FALSE)&lt;&gt;0,VLOOKUP(J34,OFFSET($AG$2,,,COUNTIF($AG$2:$AG$50,"?*"),23),7,FALSE),"?"),"")</f>
        <v/>
      </c>
      <c r="K36" s="352" t="str">
        <f ca="1">IFERROR(VLOOKUP(J34,OFFSET($AG$2,,,COUNTIF($AG$2:$AG$50,"?*"),23),19,FALSE),"")</f>
        <v/>
      </c>
      <c r="L36" s="352"/>
      <c r="M36" s="352"/>
      <c r="N36" s="353" t="str">
        <f ca="1">IFERROR(IF(VLOOKUP(J34,OFFSET($AG$2,,,COUNTIF($AG$2:$AG$50,"?*"),23),13,FALSE)&lt;&gt;0,VLOOKUP(J34,OFFSET($AG$2,,,COUNTIF($AG$2:$AG$50,"?*"),23),13,FALSE),"?"),"")</f>
        <v/>
      </c>
      <c r="O36" s="353"/>
      <c r="P36" s="353"/>
      <c r="Q36" s="352" t="str">
        <f ca="1">IFERROR(IF(VLOOKUP(J34,OFFSET($AG$2,,,COUNTIF($AG$2:$AG$50,"?*"),23),14,FALSE)&lt;&gt;0,VLOOKUP(J34,OFFSET($AG$2,,,COUNTIF($AG$2:$AG$50,"?*"),23),14,FALSE),"?"),"")</f>
        <v/>
      </c>
      <c r="R36" s="35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0" t="str">
        <f ca="1">IFERROR(VLOOKUP(A34,OFFSET($S$45,,,COUNTIF($S$45:$S$50,"?*"),14),3,FALSE),"")</f>
        <v/>
      </c>
      <c r="B37" s="371"/>
      <c r="C37" s="372" t="str">
        <f ca="1">IFERROR(VLOOKUP(A34,OFFSET($S$45,,,COUNTIF($S$45:$S$50,"?*"),14),13,FALSE),"")</f>
        <v/>
      </c>
      <c r="D37" s="373"/>
      <c r="E37" s="374" t="str">
        <f ca="1">IFERROR(VLOOKUP(A34,OFFSET($AG$2,,,COUNTIF($AG$2:$AG$50,"?*"),23),19,FALSE),"")</f>
        <v/>
      </c>
      <c r="F37" s="375"/>
      <c r="H37" s="37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5" t="str">
        <f ca="1">IFERROR(IF(VLOOKUP(A34,OFFSET($AG$2,,,COUNTIF($AG$2:$AG$50,"?*"),23),13,FALSE)&lt;&gt;0,VLOOKUP(A34,OFFSET($AG$2,,,COUNTIF($AG$2:$AG$50,"?*"),23),13,FALSE),"?"),"")</f>
        <v/>
      </c>
      <c r="B38" s="366"/>
      <c r="C38" s="367"/>
      <c r="D38" s="368" t="str">
        <f ca="1">IFERROR(IF(VLOOKUP(A34,OFFSET($AG$2,,,COUNTIF($AG$2:$AG$50,"?*"),23),14,FALSE)&lt;&gt;0,VLOOKUP(A34,OFFSET($AG$2,,,COUNTIF($AG$2:$AG$50,"?*"),23),14,FALSE),"?"),"")</f>
        <v/>
      </c>
      <c r="E38" s="369"/>
      <c r="F38" s="19" t="str">
        <f ca="1">IFERROR(VLOOKUP(A34,OFFSET($S$45,,,COUNTIF($S$45:$S$50,"?*"),14),6,FALSE),"")</f>
        <v/>
      </c>
      <c r="H38" s="376"/>
      <c r="J38" s="348"/>
      <c r="K38" s="349"/>
      <c r="L38" s="349"/>
      <c r="M38" s="349"/>
      <c r="N38" s="349"/>
      <c r="O38" s="349"/>
      <c r="P38" s="34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6"/>
      <c r="J39" s="4" t="str">
        <f ca="1">IFERROR(IF(VLOOKUP(J38,OFFSET($AG$2,,,COUNTIF($AG$2:$AG$50,"?*"),23),10,FALSE)&lt;&gt;0,VLOOKUP(J38,OFFSET($AG$2,,,COUNTIF($AG$2:$AG$50,"?*"),23),10,FALSE),""),"")</f>
        <v/>
      </c>
      <c r="K39" s="342" t="str">
        <f ca="1">IFERROR(IF(VLOOKUP(J38,OFFSET($AG$2,,,COUNTIF($AG$2:$AG$50,"?*"),23),2,FALSE)&lt;&gt;0,YEAR(VLOOKUP(J38,OFFSET($AG$2,,,COUNTIF($AG$2:$AG$50,"?*"),23),2,FALSE)),""),"")</f>
        <v/>
      </c>
      <c r="L39" s="350"/>
      <c r="M39" s="151" t="str">
        <f ca="1">IFERROR(VLOOKUP(J38,OFFSET($AG$2,,,COUNTIF($AG$2:$AG$50,"?*"),23),15,FALSE),"")</f>
        <v/>
      </c>
      <c r="N39" s="350" t="str">
        <f ca="1">IFERROR(VLOOKUP(J38,OFFSET($AG$2,,,COUNTIF($AG$2:$AG$50,"?*"),23),16,FALSE),"")</f>
        <v/>
      </c>
      <c r="O39" s="350"/>
      <c r="P39" s="350" t="str">
        <f ca="1">IFERROR(VLOOKUP(J38,OFFSET($AG$2,,,COUNTIF($AG$2:$AG$50,"?*"),23),18,FALSE),"")</f>
        <v/>
      </c>
      <c r="Q39" s="350"/>
      <c r="R39" s="35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8"/>
      <c r="B40" s="349"/>
      <c r="C40" s="349"/>
      <c r="D40" s="34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6"/>
      <c r="J40" s="18" t="str">
        <f ca="1">IFERROR(IF(VLOOKUP(J38,OFFSET($AG$2,,,COUNTIF($AG$2:$AG$50,"?*"),23),7,FALSE)&lt;&gt;0,VLOOKUP(J38,OFFSET($AG$2,,,COUNTIF($AG$2:$AG$50,"?*"),23),7,FALSE),"?"),"")</f>
        <v/>
      </c>
      <c r="K40" s="352" t="str">
        <f ca="1">IFERROR(VLOOKUP(J38,OFFSET($AG$2,,,COUNTIF($AG$2:$AG$50,"?*"),23),19,FALSE),"")</f>
        <v/>
      </c>
      <c r="L40" s="352"/>
      <c r="M40" s="352"/>
      <c r="N40" s="353" t="str">
        <f ca="1">IFERROR(IF(VLOOKUP(J38,OFFSET($AG$2,,,COUNTIF($AG$2:$AG$50,"?*"),23),13,FALSE)&lt;&gt;0,VLOOKUP(J38,OFFSET($AG$2,,,COUNTIF($AG$2:$AG$50,"?*"),23),13,FALSE),"?"),"")</f>
        <v/>
      </c>
      <c r="O40" s="353"/>
      <c r="P40" s="353"/>
      <c r="Q40" s="352" t="str">
        <f ca="1">IFERROR(IF(VLOOKUP(J38,OFFSET($AG$2,,,COUNTIF($AG$2:$AG$50,"?*"),23),14,FALSE)&lt;&gt;0,VLOOKUP(J38,OFFSET($AG$2,,,COUNTIF($AG$2:$AG$50,"?*"),23),14,FALSE),"?"),"")</f>
        <v/>
      </c>
      <c r="R40" s="35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1" t="str">
        <f ca="1">IFERROR(IF(VLOOKUP(A40,OFFSET($AG$2,,,COUNTIF($AG$2:$AG$50,"?*"),23),2,FALSE)&lt;&gt;0,YEAR(VLOOKUP(A40,OFFSET($AG$2,,,COUNTIF($AG$2:$AG$50,"?*"),23),2,FALSE)),""),"")</f>
        <v/>
      </c>
      <c r="C41" s="342"/>
      <c r="D41" s="117" t="str">
        <f ca="1">IFERROR(VLOOKUP(A40,OFFSET($AG$2,,,COUNTIF($AG$2:$AG$50,"?*"),23),15,FALSE),"")</f>
        <v/>
      </c>
      <c r="E41" s="343" t="str">
        <f ca="1">IFERROR(VLOOKUP(A40,OFFSET($AG$2,,,COUNTIF($AG$2:$AG$50,"?*"),23),16,FALSE),"")</f>
        <v/>
      </c>
      <c r="F41" s="344"/>
      <c r="H41" s="37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5" t="str">
        <f ca="1">IFERROR(VLOOKUP(A40,OFFSET($AG$2,,,COUNTIF($AG$2:$AG$50,"?*"),23),18,FALSE),"")</f>
        <v/>
      </c>
      <c r="C42" s="345"/>
      <c r="D42" s="346" t="str">
        <f ca="1">IFERROR(VLOOKUP(A40,OFFSET($S$45,,,COUNTIF($S$45:$S$50,"?*"),14),5,FALSE),"")</f>
        <v/>
      </c>
      <c r="E42" s="347"/>
      <c r="F42" s="17" t="str">
        <f ca="1">IFERROR(VLOOKUP(A40,OFFSET($S$45,,,COUNTIF($S$45:$S$50,"?*"),14),14,FALSE),"")</f>
        <v/>
      </c>
      <c r="H42" s="376"/>
      <c r="J42" s="348"/>
      <c r="K42" s="349"/>
      <c r="L42" s="349"/>
      <c r="M42" s="349"/>
      <c r="N42" s="349"/>
      <c r="O42" s="349"/>
      <c r="P42" s="34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0" t="str">
        <f ca="1">IFERROR(VLOOKUP(A40,OFFSET($S$45,,,COUNTIF($S$45:$S$50,"?*"),14),3,FALSE),"")</f>
        <v/>
      </c>
      <c r="B43" s="371"/>
      <c r="C43" s="372" t="str">
        <f ca="1">IFERROR(VLOOKUP(A40,OFFSET($S$45,,,COUNTIF($S$45:$S$50,"?*"),14),13,FALSE),"")</f>
        <v/>
      </c>
      <c r="D43" s="373"/>
      <c r="E43" s="374" t="str">
        <f ca="1">IFERROR(VLOOKUP(A40,OFFSET($AG$2,,,COUNTIF($AG$2:$AG$50,"?*"),23),19,FALSE),"")</f>
        <v/>
      </c>
      <c r="F43" s="375"/>
      <c r="H43" s="376"/>
      <c r="J43" s="4" t="str">
        <f ca="1">IFERROR(IF(VLOOKUP(J42,OFFSET($AG$2,,,COUNTIF($AG$2:$AG$50,"?*"),23),10,FALSE)&lt;&gt;0,VLOOKUP(J42,OFFSET($AG$2,,,COUNTIF($AG$2:$AG$50,"?*"),23),10,FALSE),""),"")</f>
        <v/>
      </c>
      <c r="K43" s="342" t="str">
        <f ca="1">IFERROR(IF(VLOOKUP(J42,OFFSET($AG$2,,,COUNTIF($AG$2:$AG$50,"?*"),23),2,FALSE)&lt;&gt;0,YEAR(VLOOKUP(J42,OFFSET($AG$2,,,COUNTIF($AG$2:$AG$50,"?*"),23),2,FALSE)),""),"")</f>
        <v/>
      </c>
      <c r="L43" s="350"/>
      <c r="M43" s="151" t="str">
        <f ca="1">IFERROR(VLOOKUP(J42,OFFSET($AG$2,,,COUNTIF($AG$2:$AG$50,"?*"),23),15,FALSE),"")</f>
        <v/>
      </c>
      <c r="N43" s="350" t="str">
        <f ca="1">IFERROR(VLOOKUP(J42,OFFSET($AG$2,,,COUNTIF($AG$2:$AG$50,"?*"),23),16,FALSE),"")</f>
        <v/>
      </c>
      <c r="O43" s="350"/>
      <c r="P43" s="350" t="str">
        <f ca="1">IFERROR(VLOOKUP(J42,OFFSET($AG$2,,,COUNTIF($AG$2:$AG$50,"?*"),23),18,FALSE),"")</f>
        <v/>
      </c>
      <c r="Q43" s="350"/>
      <c r="R43" s="351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5" t="str">
        <f ca="1">IFERROR(IF(VLOOKUP(A40,OFFSET($AG$2,,,COUNTIF($AG$2:$AG$50,"?*"),23),13,FALSE)&lt;&gt;0,VLOOKUP(A40,OFFSET($AG$2,,,COUNTIF($AG$2:$AG$50,"?*"),23),13,FALSE),"?"),"")</f>
        <v/>
      </c>
      <c r="B44" s="366"/>
      <c r="C44" s="367"/>
      <c r="D44" s="368" t="str">
        <f ca="1">IFERROR(IF(VLOOKUP(A40,OFFSET($AG$2,,,COUNTIF($AG$2:$AG$50,"?*"),23),14,FALSE)&lt;&gt;0,VLOOKUP(A40,OFFSET($AG$2,,,COUNTIF($AG$2:$AG$50,"?*"),23),14,FALSE),"?"),"")</f>
        <v/>
      </c>
      <c r="E44" s="369"/>
      <c r="F44" s="19" t="str">
        <f ca="1">IFERROR(VLOOKUP(A40,OFFSET($S$45,,,COUNTIF($S$45:$S$50,"?*"),14),6,FALSE),"")</f>
        <v/>
      </c>
      <c r="H44" s="376"/>
      <c r="J44" s="18" t="str">
        <f ca="1">IFERROR(IF(VLOOKUP(J42,OFFSET($AG$2,,,COUNTIF($AG$2:$AG$50,"?*"),23),7,FALSE)&lt;&gt;0,VLOOKUP(J42,OFFSET($AG$2,,,COUNTIF($AG$2:$AG$50,"?*"),23),7,FALSE),"?"),"")</f>
        <v/>
      </c>
      <c r="K44" s="352" t="str">
        <f ca="1">IFERROR(VLOOKUP(J42,OFFSET($AG$2,,,COUNTIF($AG$2:$AG$50,"?*"),23),19,FALSE),"")</f>
        <v/>
      </c>
      <c r="L44" s="352"/>
      <c r="M44" s="352"/>
      <c r="N44" s="353" t="str">
        <f ca="1">IFERROR(IF(VLOOKUP(J42,OFFSET($AG$2,,,COUNTIF($AG$2:$AG$50,"?*"),23),13,FALSE)&lt;&gt;0,VLOOKUP(J42,OFFSET($AG$2,,,COUNTIF($AG$2:$AG$50,"?*"),23),13,FALSE),"?"),"")</f>
        <v/>
      </c>
      <c r="O44" s="353"/>
      <c r="P44" s="353"/>
      <c r="Q44" s="352" t="str">
        <f ca="1">IFERROR(IF(VLOOKUP(J42,OFFSET($AG$2,,,COUNTIF($AG$2:$AG$50,"?*"),23),14,FALSE)&lt;&gt;0,VLOOKUP(J42,OFFSET($AG$2,,,COUNTIF($AG$2:$AG$50,"?*"),23),14,FALSE),"?"),"")</f>
        <v/>
      </c>
      <c r="R44" s="354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403</v>
      </c>
      <c r="T45" s="102">
        <v>7</v>
      </c>
      <c r="U45" s="112">
        <v>423.2</v>
      </c>
      <c r="V45" s="102">
        <v>6</v>
      </c>
      <c r="W45" s="102">
        <v>23</v>
      </c>
      <c r="X45" s="102">
        <v>0</v>
      </c>
      <c r="Y45" s="102">
        <v>100</v>
      </c>
      <c r="Z45" s="102">
        <v>0</v>
      </c>
      <c r="AA45" s="102">
        <v>1</v>
      </c>
      <c r="AB45" s="102">
        <v>77</v>
      </c>
      <c r="AC45" s="102">
        <v>0</v>
      </c>
      <c r="AD45" s="102">
        <v>0</v>
      </c>
      <c r="AE45" s="112">
        <f>IF(S45&lt;&gt;"",IF(T45&gt;0,W45/(U45/60),0),"")</f>
        <v>3.2608695652173916</v>
      </c>
      <c r="AF45" s="112">
        <f>IF(S45&lt;&gt;"",IF(Y45&gt;0,(AB45/Y45)*100,"-"),"")</f>
        <v>77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408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7"/>
      <c r="B47" s="338"/>
      <c r="C47" s="338"/>
      <c r="D47" s="338"/>
      <c r="E47" s="339" t="str">
        <f ca="1">IFERROR(VLOOKUP(A47,OFFSET($BN$2,,,COUNTIF($BN$2:$BN$11,"?*"),5),3,FALSE),"")</f>
        <v/>
      </c>
      <c r="F47" s="339"/>
      <c r="G47" s="339"/>
      <c r="H47" s="339"/>
      <c r="I47" s="340"/>
      <c r="J47" s="337"/>
      <c r="K47" s="338"/>
      <c r="L47" s="338"/>
      <c r="M47" s="338"/>
      <c r="N47" s="339" t="str">
        <f ca="1">IFERROR(VLOOKUP(J47,OFFSET($BN$2,,,COUNTIF($BN$2:$BN$11,"?*"),5),3,FALSE),"")</f>
        <v/>
      </c>
      <c r="O47" s="339"/>
      <c r="P47" s="339"/>
      <c r="Q47" s="339"/>
      <c r="R47" s="340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5" t="str">
        <f ca="1">IFERROR(VLOOKUP(A47,OFFSET($BN$2,,,COUNTIF($BN$2:$BN$11,"?*"),5),5,FALSE),"")</f>
        <v/>
      </c>
      <c r="B48" s="357" t="str">
        <f ca="1">IFERROR(IF(VLOOKUP(A47,OFFSET($BN$2,,,COUNTIF($BN$2:$BN$11,"?*"),5),4,FALSE)&lt;&gt;0,VLOOKUP(A47,OFFSET($BN$2,,,COUNTIF($BN$2:$BN$11,"?*"),5),4,FALSE),"-"),"")</f>
        <v/>
      </c>
      <c r="C48" s="357"/>
      <c r="D48" s="357"/>
      <c r="E48" s="357"/>
      <c r="F48" s="357"/>
      <c r="G48" s="357"/>
      <c r="H48" s="357"/>
      <c r="I48" s="358"/>
      <c r="J48" s="119" t="str">
        <f ca="1">IFERROR(VLOOKUP(J47,OFFSET($BN$2,,,COUNTIF($BN$2:$BN$11,"?*"),5),5,FALSE),"")</f>
        <v/>
      </c>
      <c r="K48" s="361" t="str">
        <f ca="1">IFERROR(IF(VLOOKUP(J47,OFFSET($BN$2,,,COUNTIF($BN$2:$BN$11,"?*"),5),4,FALSE)&lt;&gt;0,VLOOKUP(J47,OFFSET($BN$2,,,COUNTIF($BN$2:$BN$11,"?*"),5),4,FALSE),"-"),"")</f>
        <v/>
      </c>
      <c r="L48" s="361"/>
      <c r="M48" s="361"/>
      <c r="N48" s="361"/>
      <c r="O48" s="361"/>
      <c r="P48" s="361"/>
      <c r="Q48" s="361"/>
      <c r="R48" s="362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5"/>
      <c r="B49" s="357"/>
      <c r="C49" s="357"/>
      <c r="D49" s="357"/>
      <c r="E49" s="357"/>
      <c r="F49" s="357"/>
      <c r="G49" s="357"/>
      <c r="H49" s="357"/>
      <c r="I49" s="358"/>
      <c r="J49" s="363"/>
      <c r="K49" s="364"/>
      <c r="L49" s="364"/>
      <c r="M49" s="364"/>
      <c r="N49" s="339" t="str">
        <f ca="1">IFERROR(VLOOKUP(J49,OFFSET($BN$2,,,COUNTIF($BN$2:$BN$11,"?*"),5),3,FALSE),"")</f>
        <v/>
      </c>
      <c r="O49" s="339"/>
      <c r="P49" s="339"/>
      <c r="Q49" s="339"/>
      <c r="R49" s="340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6"/>
      <c r="B50" s="359"/>
      <c r="C50" s="359"/>
      <c r="D50" s="359"/>
      <c r="E50" s="359"/>
      <c r="F50" s="359"/>
      <c r="G50" s="359"/>
      <c r="H50" s="359"/>
      <c r="I50" s="360"/>
      <c r="J50" s="119" t="str">
        <f ca="1">IFERROR(VLOOKUP(J49,OFFSET($BN$2,,,COUNTIF($BN$2:$BN$11,"?*"),5),5,FALSE),"")</f>
        <v/>
      </c>
      <c r="K50" s="361" t="str">
        <f ca="1">IFERROR(IF(VLOOKUP(J49,OFFSET($BN$2,,,COUNTIF($BN$2:$BN$11,"?*"),5),4,FALSE)&lt;&gt;0,VLOOKUP(J49,OFFSET($BN$2,,,COUNTIF($BN$2:$BN$11,"?*"),5),4,FALSE),"-"),"")</f>
        <v/>
      </c>
      <c r="L50" s="361"/>
      <c r="M50" s="361"/>
      <c r="N50" s="361"/>
      <c r="O50" s="361"/>
      <c r="P50" s="361"/>
      <c r="Q50" s="361"/>
      <c r="R50" s="362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8"/>
      <c r="B1" s="349"/>
      <c r="C1" s="349"/>
      <c r="D1" s="34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82" t="s">
        <v>1</v>
      </c>
      <c r="I1" s="382"/>
      <c r="J1" s="382"/>
      <c r="K1" s="382"/>
      <c r="M1" s="348"/>
      <c r="N1" s="349"/>
      <c r="O1" s="349"/>
      <c r="P1" s="34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1" t="str">
        <f ca="1">IFERROR(IF(VLOOKUP(A1,OFFSET($AG$2,,,COUNTIF($AG$2:$AG$50,"?*"),23),2,FALSE)&lt;&gt;0,YEAR(VLOOKUP(A1,OFFSET($AG$2,,,COUNTIF($AG$2:$AG$50,"?*"),23),2,FALSE)),""),"")</f>
        <v/>
      </c>
      <c r="C2" s="342"/>
      <c r="D2" s="117" t="str">
        <f ca="1">IFERROR(VLOOKUP(A1,OFFSET($AG$2,,,COUNTIF($AG$2:$AG$50,"?*"),23),15,FALSE),"")</f>
        <v/>
      </c>
      <c r="E2" s="343" t="str">
        <f ca="1">IFERROR(VLOOKUP(A1,OFFSET($AG$2,,,COUNTIF($AG$2:$AG$50,"?*"),23),16,FALSE),"")</f>
        <v/>
      </c>
      <c r="F2" s="344"/>
      <c r="M2" s="4" t="str">
        <f ca="1">IFERROR(IF(VLOOKUP(M1,OFFSET($AG$2,,,COUNTIF($AG$2:$AG$50,"?*"),23),10,FALSE)&lt;&gt;0,VLOOKUP(M1,OFFSET($AG$2,,,COUNTIF($AG$2:$AG$50,"?*"),23),10,FALSE),""),"")</f>
        <v/>
      </c>
      <c r="N2" s="341" t="str">
        <f ca="1">IFERROR(IF(VLOOKUP(M1,OFFSET($AG$2,,,COUNTIF($AG$2:$AG$50,"?*"),23),2,FALSE)&lt;&gt;0,YEAR(VLOOKUP(M1,OFFSET($AG$2,,,COUNTIF($AG$2:$AG$50,"?*"),23),2,FALSE)),""),"")</f>
        <v/>
      </c>
      <c r="O2" s="342"/>
      <c r="P2" s="117" t="str">
        <f ca="1">IFERROR(VLOOKUP(M1,OFFSET($AG$2,,,COUNTIF($AG$2:$AG$50,"?*"),23),15,FALSE),"")</f>
        <v/>
      </c>
      <c r="Q2" s="343" t="str">
        <f ca="1">IFERROR(VLOOKUP(M1,OFFSET($AG$2,,,COUNTIF($AG$2:$AG$50,"?*"),23),16,FALSE),"")</f>
        <v/>
      </c>
      <c r="R2" s="344"/>
      <c r="S2" s="110" t="s">
        <v>758</v>
      </c>
      <c r="U2" s="102">
        <v>7</v>
      </c>
      <c r="V2" s="102">
        <v>11</v>
      </c>
      <c r="W2" s="102">
        <v>4</v>
      </c>
      <c r="X2" s="102">
        <v>0</v>
      </c>
      <c r="Y2" s="102">
        <v>6</v>
      </c>
      <c r="Z2" s="102">
        <v>17</v>
      </c>
      <c r="AA2" s="102">
        <v>0</v>
      </c>
      <c r="AB2" s="102">
        <v>15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763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V, 4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36" t="s">
        <v>36</v>
      </c>
      <c r="BT2" s="104" t="s">
        <v>772</v>
      </c>
      <c r="BU2" s="103">
        <v>17</v>
      </c>
      <c r="BV2" s="104" t="str">
        <f>IFERROR(RIGHT(BT2,LEN(BT2)-SEARCH(" ",BT2)),"")</f>
        <v>Wojciech Malajka</v>
      </c>
      <c r="BW2" s="102">
        <f>IF(BT2&lt;&gt;0,_xlfn.NUMBERVALUE(BU2,","),"")</f>
        <v>17</v>
      </c>
      <c r="BX2" s="335" t="s">
        <v>211</v>
      </c>
      <c r="BY2" s="103" t="s">
        <v>799</v>
      </c>
      <c r="BZ2" s="103" t="s">
        <v>905</v>
      </c>
      <c r="CA2" s="115" t="s">
        <v>1282</v>
      </c>
    </row>
    <row r="3" spans="1:79" ht="15" customHeight="1" thickTop="1" thickBot="1" x14ac:dyDescent="0.25">
      <c r="A3" s="377" t="str">
        <f ca="1">IFERROR(VLOOKUP(A1,OFFSET($AG$2,,,COUNTIF($AG$2:$AG$50,"?*"),23),18,FALSE),"")</f>
        <v/>
      </c>
      <c r="B3" s="378"/>
      <c r="C3" s="378"/>
      <c r="D3" s="379" t="str">
        <f ca="1">IFERROR(VLOOKUP(A1,OFFSET($AG$2,,,COUNTIF($AG$2:$AG$50,"?*"),23),19,FALSE),"")</f>
        <v/>
      </c>
      <c r="E3" s="379"/>
      <c r="F3" s="380"/>
      <c r="G3" s="348"/>
      <c r="H3" s="349"/>
      <c r="I3" s="349"/>
      <c r="J3" s="34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7" t="str">
        <f ca="1">IFERROR(VLOOKUP(M1,OFFSET($AG$2,,,COUNTIF($AG$2:$AG$50,"?*"),23),18,FALSE),"")</f>
        <v/>
      </c>
      <c r="N3" s="378"/>
      <c r="O3" s="378"/>
      <c r="P3" s="379" t="str">
        <f ca="1">IFERROR(VLOOKUP(M1,OFFSET($AG$2,,,COUNTIF($AG$2:$AG$50,"?*"),23),19,FALSE),"")</f>
        <v/>
      </c>
      <c r="Q3" s="379"/>
      <c r="R3" s="380"/>
      <c r="S3" s="110" t="s">
        <v>759</v>
      </c>
      <c r="T3" s="102" t="s">
        <v>119</v>
      </c>
      <c r="U3" s="102">
        <v>7</v>
      </c>
      <c r="V3" s="102">
        <v>6</v>
      </c>
      <c r="W3" s="102">
        <v>3</v>
      </c>
      <c r="X3" s="102">
        <v>0</v>
      </c>
      <c r="Y3" s="102">
        <v>9</v>
      </c>
      <c r="Z3" s="102">
        <v>15</v>
      </c>
      <c r="AA3" s="102">
        <v>0</v>
      </c>
      <c r="AB3" s="102">
        <v>2</v>
      </c>
      <c r="AC3" s="102" t="str">
        <f t="shared" ca="1" si="0"/>
        <v>ANO</v>
      </c>
      <c r="AG3" s="121" t="s">
        <v>516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7 OZ, 5 (5+0), +12 ±</v>
      </c>
      <c r="AY3" s="129" t="str">
        <f t="shared" ca="1" si="2"/>
        <v>7 OZ, 5 (5+0)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36"/>
      <c r="BT3" s="104" t="s">
        <v>995</v>
      </c>
      <c r="BU3" s="103">
        <v>15</v>
      </c>
      <c r="BV3" s="104" t="str">
        <f t="shared" ref="BV3:BV31" si="13">IFERROR(RIGHT(BT3,LEN(BT3)-SEARCH(" ",BT3)),"")</f>
        <v>Michal Sládek</v>
      </c>
      <c r="BW3" s="102">
        <f t="shared" ref="BW3:BW31" si="14">IF(BT3&lt;&gt;0,_xlfn.NUMBERVALUE(BU3,","),"")</f>
        <v>15</v>
      </c>
      <c r="BX3" s="335"/>
      <c r="BY3" s="103" t="s">
        <v>1195</v>
      </c>
      <c r="BZ3" s="103" t="s">
        <v>965</v>
      </c>
      <c r="CA3" s="115" t="s">
        <v>1283</v>
      </c>
    </row>
    <row r="4" spans="1:79" ht="15" customHeight="1" thickBot="1" x14ac:dyDescent="0.25">
      <c r="A4" s="365" t="str">
        <f ca="1">IFERROR(IF(VLOOKUP(A1,OFFSET($AG$2,,,COUNTIF($AG$2:$AG$50,"?*"),23),13,FALSE)&lt;&gt;0,VLOOKUP(A1,OFFSET($AG$2,,,COUNTIF($AG$2:$AG$50,"?*"),23),13,FALSE),"?"),"")</f>
        <v/>
      </c>
      <c r="B4" s="366"/>
      <c r="C4" s="367"/>
      <c r="D4" s="368" t="str">
        <f ca="1">IFERROR(IF(VLOOKUP(A1,OFFSET($AG$2,,,COUNTIF($AG$2:$AG$50,"?*"),23),14,FALSE)&lt;&gt;0,VLOOKUP(A1,OFFSET($AG$2,,,COUNTIF($AG$2:$AG$50,"?*"),23),14,FALSE),"?"),"")</f>
        <v/>
      </c>
      <c r="E4" s="36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1" t="str">
        <f ca="1">IFERROR(IF(VLOOKUP(G3,OFFSET($AG$2,,,COUNTIF($AG$2:$AG$50,"?*"),23),2,FALSE)&lt;&gt;0,YEAR(VLOOKUP(G3,OFFSET($AG$2,,,COUNTIF($AG$2:$AG$50,"?*"),23),2,FALSE)),""),"")</f>
        <v/>
      </c>
      <c r="I4" s="342"/>
      <c r="J4" s="117" t="str">
        <f ca="1">IFERROR(VLOOKUP(G3,OFFSET($AG$2,,,COUNTIF($AG$2:$AG$50,"?*"),23),15,FALSE),"")</f>
        <v/>
      </c>
      <c r="K4" s="343" t="str">
        <f ca="1">IFERROR(VLOOKUP(G3,OFFSET($AG$2,,,COUNTIF($AG$2:$AG$50,"?*"),23),16,FALSE),"")</f>
        <v/>
      </c>
      <c r="L4" s="344"/>
      <c r="M4" s="365" t="str">
        <f ca="1">IFERROR(IF(VLOOKUP(M1,OFFSET($AG$2,,,COUNTIF($AG$2:$AG$50,"?*"),23),13,FALSE)&lt;&gt;0,VLOOKUP(M1,OFFSET($AG$2,,,COUNTIF($AG$2:$AG$50,"?*"),23),13,FALSE),"?"),"")</f>
        <v/>
      </c>
      <c r="N4" s="366"/>
      <c r="O4" s="367"/>
      <c r="P4" s="368" t="str">
        <f ca="1">IFERROR(IF(VLOOKUP(M1,OFFSET($AG$2,,,COUNTIF($AG$2:$AG$50,"?*"),23),14,FALSE)&lt;&gt;0,VLOOKUP(M1,OFFSET($AG$2,,,COUNTIF($AG$2:$AG$50,"?*"),23),14,FALSE),"?"),"")</f>
        <v/>
      </c>
      <c r="Q4" s="36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356</v>
      </c>
      <c r="T4" s="102" t="s">
        <v>64</v>
      </c>
      <c r="U4" s="102">
        <v>7</v>
      </c>
      <c r="V4" s="102">
        <v>4</v>
      </c>
      <c r="W4" s="102">
        <v>0</v>
      </c>
      <c r="X4" s="102">
        <v>0</v>
      </c>
      <c r="Y4" s="102">
        <v>10</v>
      </c>
      <c r="Z4" s="102">
        <v>14</v>
      </c>
      <c r="AA4" s="102">
        <v>0</v>
      </c>
      <c r="AB4" s="102">
        <v>13</v>
      </c>
      <c r="AC4" s="102" t="str">
        <f t="shared" ca="1" si="0"/>
        <v>ANO</v>
      </c>
      <c r="AG4" s="121" t="s">
        <v>767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7 OZ, 1 (0+1), -4 ±</v>
      </c>
      <c r="AY4" s="129" t="str">
        <f t="shared" ca="1" si="2"/>
        <v>7 OZ, 1 (0+1)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36"/>
      <c r="BT4" s="104" t="s">
        <v>829</v>
      </c>
      <c r="BU4" s="103">
        <v>14</v>
      </c>
      <c r="BV4" s="104" t="str">
        <f t="shared" si="13"/>
        <v>Šimon Kuczera</v>
      </c>
      <c r="BW4" s="102">
        <f t="shared" si="14"/>
        <v>14</v>
      </c>
      <c r="BX4" s="335"/>
      <c r="BY4" s="103" t="s">
        <v>207</v>
      </c>
      <c r="BZ4" s="103" t="s">
        <v>907</v>
      </c>
      <c r="CA4" s="115" t="s">
        <v>993</v>
      </c>
    </row>
    <row r="5" spans="1:79" ht="15" customHeight="1" thickTop="1" thickBot="1" x14ac:dyDescent="0.25">
      <c r="A5" s="8"/>
      <c r="B5" s="8"/>
      <c r="C5" s="8"/>
      <c r="D5" s="8"/>
      <c r="G5" s="377" t="str">
        <f ca="1">IFERROR(VLOOKUP(G3,OFFSET($AG$2,,,COUNTIF($AG$2:$AG$50,"?*"),23),18,FALSE),"")</f>
        <v/>
      </c>
      <c r="H5" s="378"/>
      <c r="I5" s="378"/>
      <c r="J5" s="379" t="str">
        <f ca="1">IFERROR(VLOOKUP(G3,OFFSET($AG$2,,,COUNTIF($AG$2:$AG$50,"?*"),23),19,FALSE),"")</f>
        <v/>
      </c>
      <c r="K5" s="379"/>
      <c r="L5" s="380"/>
      <c r="S5" s="110" t="s">
        <v>760</v>
      </c>
      <c r="T5" s="102" t="s">
        <v>119</v>
      </c>
      <c r="U5" s="102">
        <v>6</v>
      </c>
      <c r="V5" s="102">
        <v>5</v>
      </c>
      <c r="W5" s="102">
        <v>1</v>
      </c>
      <c r="X5" s="102">
        <v>0</v>
      </c>
      <c r="Y5" s="102">
        <v>8</v>
      </c>
      <c r="Z5" s="102">
        <v>13</v>
      </c>
      <c r="AA5" s="102">
        <v>0</v>
      </c>
      <c r="AB5" s="102">
        <v>16</v>
      </c>
      <c r="AC5" s="102" t="str">
        <f t="shared" ca="1" si="0"/>
        <v>ANO</v>
      </c>
      <c r="AG5" s="121" t="s">
        <v>769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6 OZ, 1 (1+0), -4 ±</v>
      </c>
      <c r="AY5" s="129" t="str">
        <f t="shared" ca="1" si="2"/>
        <v>6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36"/>
      <c r="BT5" s="104" t="s">
        <v>996</v>
      </c>
      <c r="BU5" s="103">
        <v>13</v>
      </c>
      <c r="BV5" s="104" t="str">
        <f t="shared" si="13"/>
        <v>Lukáš Pešat</v>
      </c>
      <c r="BW5" s="102">
        <f t="shared" si="14"/>
        <v>13</v>
      </c>
      <c r="BX5" s="335"/>
      <c r="BY5" s="103" t="s">
        <v>206</v>
      </c>
      <c r="BZ5" s="103" t="s">
        <v>967</v>
      </c>
      <c r="CA5" s="115" t="s">
        <v>994</v>
      </c>
    </row>
    <row r="6" spans="1:79" ht="15" customHeight="1" thickTop="1" thickBot="1" x14ac:dyDescent="0.25">
      <c r="A6" s="348"/>
      <c r="B6" s="349"/>
      <c r="C6" s="349"/>
      <c r="D6" s="34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5" t="str">
        <f ca="1">IFERROR(IF(VLOOKUP(G3,OFFSET($AG$2,,,COUNTIF($AG$2:$AG$50,"?*"),23),13,FALSE)&lt;&gt;0,VLOOKUP(G3,OFFSET($AG$2,,,COUNTIF($AG$2:$AG$50,"?*"),23),13,FALSE),"?"),"")</f>
        <v/>
      </c>
      <c r="H6" s="366"/>
      <c r="I6" s="367"/>
      <c r="J6" s="368" t="str">
        <f ca="1">IFERROR(IF(VLOOKUP(G3,OFFSET($AG$2,,,COUNTIF($AG$2:$AG$50,"?*"),23),14,FALSE)&lt;&gt;0,VLOOKUP(G3,OFFSET($AG$2,,,COUNTIF($AG$2:$AG$50,"?*"),23),14,FALSE),"?"),"")</f>
        <v/>
      </c>
      <c r="K6" s="369"/>
      <c r="L6" s="7" t="str">
        <f ca="1">IFERROR(IF(VLOOKUP(G3,OFFSET($AG$2,,,COUNTIF($AG$2:$AG$50,"?*"),23),7,FALSE)&lt;&gt;0,VLOOKUP(G3,OFFSET($AG$2,,,COUNTIF($AG$2:$AG$50,"?*"),23),7,FALSE),"?"),"")</f>
        <v/>
      </c>
      <c r="M6" s="348"/>
      <c r="N6" s="349"/>
      <c r="O6" s="349"/>
      <c r="P6" s="34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761</v>
      </c>
      <c r="U6" s="102">
        <v>7</v>
      </c>
      <c r="V6" s="102">
        <v>6</v>
      </c>
      <c r="W6" s="102">
        <v>1</v>
      </c>
      <c r="X6" s="102">
        <v>0</v>
      </c>
      <c r="Y6" s="102">
        <v>2</v>
      </c>
      <c r="Z6" s="102">
        <v>8</v>
      </c>
      <c r="AA6" s="102">
        <v>2</v>
      </c>
      <c r="AB6" s="102">
        <v>2</v>
      </c>
      <c r="AC6" s="102" t="str">
        <f t="shared" ca="1" si="0"/>
        <v>ANO</v>
      </c>
      <c r="AG6" s="121" t="s">
        <v>761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7 OZ, 8 (6+2), +2 ±</v>
      </c>
      <c r="AY6" s="129" t="str">
        <f t="shared" ca="1" si="2"/>
        <v>7 OZ, 8 (6+2)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36"/>
      <c r="BT6" s="104" t="s">
        <v>997</v>
      </c>
      <c r="BU6" s="103">
        <v>8</v>
      </c>
      <c r="BV6" s="104" t="str">
        <f t="shared" si="13"/>
        <v>Daniel Chatrný</v>
      </c>
      <c r="BW6" s="102">
        <f t="shared" si="14"/>
        <v>8</v>
      </c>
      <c r="BX6" s="335"/>
      <c r="BY6" s="103" t="s">
        <v>855</v>
      </c>
      <c r="BZ6" s="103" t="s">
        <v>961</v>
      </c>
      <c r="CA6" s="115" t="s">
        <v>811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1" t="str">
        <f ca="1">IFERROR(IF(VLOOKUP(A6,OFFSET($AG$2,,,COUNTIF($AG$2:$AG$50,"?*"),23),2,FALSE)&lt;&gt;0,YEAR(VLOOKUP(A6,OFFSET($AG$2,,,COUNTIF($AG$2:$AG$50,"?*"),23),2,FALSE)),""),"")</f>
        <v/>
      </c>
      <c r="C7" s="342"/>
      <c r="D7" s="117" t="str">
        <f ca="1">IFERROR(VLOOKUP(A6,OFFSET($AG$2,,,COUNTIF($AG$2:$AG$50,"?*"),23),15,FALSE),"")</f>
        <v/>
      </c>
      <c r="E7" s="343" t="str">
        <f ca="1">IFERROR(VLOOKUP(A6,OFFSET($AG$2,,,COUNTIF($AG$2:$AG$50,"?*"),23),16,FALSE),"")</f>
        <v/>
      </c>
      <c r="F7" s="344"/>
      <c r="M7" s="4" t="str">
        <f ca="1">IFERROR(IF(VLOOKUP(M6,OFFSET($AG$2,,,COUNTIF($AG$2:$AG$50,"?*"),23),10,FALSE)&lt;&gt;0,VLOOKUP(M6,OFFSET($AG$2,,,COUNTIF($AG$2:$AG$50,"?*"),23),10,FALSE),""),"")</f>
        <v/>
      </c>
      <c r="N7" s="341" t="str">
        <f ca="1">IFERROR(IF(VLOOKUP(M6,OFFSET($AG$2,,,COUNTIF($AG$2:$AG$50,"?*"),23),2,FALSE)&lt;&gt;0,YEAR(VLOOKUP(M6,OFFSET($AG$2,,,COUNTIF($AG$2:$AG$50,"?*"),23),2,FALSE)),""),"")</f>
        <v/>
      </c>
      <c r="O7" s="342"/>
      <c r="P7" s="117" t="str">
        <f ca="1">IFERROR(VLOOKUP(M6,OFFSET($AG$2,,,COUNTIF($AG$2:$AG$50,"?*"),23),15,FALSE),"")</f>
        <v/>
      </c>
      <c r="Q7" s="343" t="str">
        <f ca="1">IFERROR(VLOOKUP(M6,OFFSET($AG$2,,,COUNTIF($AG$2:$AG$50,"?*"),23),16,FALSE),"")</f>
        <v/>
      </c>
      <c r="R7" s="344"/>
      <c r="S7" s="110" t="s">
        <v>516</v>
      </c>
      <c r="T7" s="102" t="s">
        <v>119</v>
      </c>
      <c r="U7" s="102">
        <v>7</v>
      </c>
      <c r="V7" s="102">
        <v>5</v>
      </c>
      <c r="W7" s="102">
        <v>0</v>
      </c>
      <c r="X7" s="102">
        <v>0</v>
      </c>
      <c r="Y7" s="102">
        <v>0</v>
      </c>
      <c r="Z7" s="102">
        <v>5</v>
      </c>
      <c r="AA7" s="102">
        <v>2</v>
      </c>
      <c r="AB7" s="102">
        <v>12</v>
      </c>
      <c r="AC7" s="102" t="str">
        <f t="shared" ca="1" si="0"/>
        <v>ANO</v>
      </c>
      <c r="AG7" s="121" t="s">
        <v>353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5 OZ, 0 (0+0), -6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6" t="s">
        <v>40</v>
      </c>
      <c r="BT7" s="104" t="s">
        <v>773</v>
      </c>
      <c r="BU7" s="103" t="s">
        <v>1275</v>
      </c>
      <c r="BV7" s="104" t="str">
        <f t="shared" si="13"/>
        <v>Jan Binder</v>
      </c>
      <c r="BW7" s="112">
        <f t="shared" si="14"/>
        <v>4.4800000000000004</v>
      </c>
      <c r="BX7" s="335" t="s">
        <v>212</v>
      </c>
      <c r="BY7" s="103" t="s">
        <v>913</v>
      </c>
      <c r="BZ7" s="103" t="s">
        <v>953</v>
      </c>
      <c r="CA7" s="115" t="s">
        <v>205</v>
      </c>
    </row>
    <row r="8" spans="1:79" ht="15" customHeight="1" x14ac:dyDescent="0.2">
      <c r="A8" s="377" t="str">
        <f ca="1">IFERROR(VLOOKUP(A6,OFFSET($AG$2,,,COUNTIF($AG$2:$AG$50,"?*"),23),18,FALSE),"")</f>
        <v/>
      </c>
      <c r="B8" s="378"/>
      <c r="C8" s="378"/>
      <c r="D8" s="379" t="str">
        <f ca="1">IFERROR(VLOOKUP(A6,OFFSET($AG$2,,,COUNTIF($AG$2:$AG$50,"?*"),23),19,FALSE),"")</f>
        <v/>
      </c>
      <c r="E8" s="379"/>
      <c r="F8" s="380"/>
      <c r="H8" s="381" t="s">
        <v>99</v>
      </c>
      <c r="I8" s="381"/>
      <c r="J8" s="381"/>
      <c r="K8" s="381"/>
      <c r="M8" s="377" t="str">
        <f ca="1">IFERROR(VLOOKUP(M6,OFFSET($AG$2,,,COUNTIF($AG$2:$AG$50,"?*"),23),18,FALSE),"")</f>
        <v/>
      </c>
      <c r="N8" s="378"/>
      <c r="O8" s="378"/>
      <c r="P8" s="379" t="str">
        <f ca="1">IFERROR(VLOOKUP(M6,OFFSET($AG$2,,,COUNTIF($AG$2:$AG$50,"?*"),23),19,FALSE),"")</f>
        <v/>
      </c>
      <c r="Q8" s="379"/>
      <c r="R8" s="380"/>
      <c r="S8" s="110" t="s">
        <v>770</v>
      </c>
      <c r="U8" s="102">
        <v>7</v>
      </c>
      <c r="V8" s="102">
        <v>2</v>
      </c>
      <c r="W8" s="102">
        <v>0</v>
      </c>
      <c r="X8" s="102">
        <v>0</v>
      </c>
      <c r="Y8" s="102">
        <v>2</v>
      </c>
      <c r="Z8" s="102">
        <v>4</v>
      </c>
      <c r="AA8" s="102">
        <v>0</v>
      </c>
      <c r="AB8" s="102">
        <v>0</v>
      </c>
      <c r="AC8" s="102" t="str">
        <f t="shared" ca="1" si="0"/>
        <v>ANO</v>
      </c>
      <c r="AG8" s="121" t="s">
        <v>762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7 OZ, 0 (0+0), -4 ±</v>
      </c>
      <c r="AY8" s="129" t="str">
        <f t="shared" ca="1" si="2"/>
        <v>7 OZ, 0 (0+0)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6"/>
      <c r="BT8" s="104" t="s">
        <v>827</v>
      </c>
      <c r="BU8" s="103" t="s">
        <v>199</v>
      </c>
      <c r="BV8" s="104" t="str">
        <f t="shared" si="13"/>
        <v>Martin Janík</v>
      </c>
      <c r="BW8" s="112">
        <f t="shared" si="14"/>
        <v>0</v>
      </c>
      <c r="BX8" s="335"/>
      <c r="BY8" s="103" t="s">
        <v>915</v>
      </c>
      <c r="BZ8" s="103" t="s">
        <v>912</v>
      </c>
      <c r="CA8" s="115" t="s">
        <v>205</v>
      </c>
    </row>
    <row r="9" spans="1:79" ht="15" customHeight="1" thickBot="1" x14ac:dyDescent="0.25">
      <c r="A9" s="365" t="str">
        <f ca="1">IFERROR(IF(VLOOKUP(A6,OFFSET($AG$2,,,COUNTIF($AG$2:$AG$50,"?*"),23),13,FALSE)&lt;&gt;0,VLOOKUP(A6,OFFSET($AG$2,,,COUNTIF($AG$2:$AG$50,"?*"),23),13,FALSE),"?"),"")</f>
        <v/>
      </c>
      <c r="B9" s="366"/>
      <c r="C9" s="367"/>
      <c r="D9" s="368" t="str">
        <f ca="1">IFERROR(IF(VLOOKUP(A6,OFFSET($AG$2,,,COUNTIF($AG$2:$AG$50,"?*"),23),14,FALSE)&lt;&gt;0,VLOOKUP(A6,OFFSET($AG$2,,,COUNTIF($AG$2:$AG$50,"?*"),23),14,FALSE),"?"),"")</f>
        <v/>
      </c>
      <c r="E9" s="369"/>
      <c r="F9" s="7" t="str">
        <f ca="1">IFERROR(IF(VLOOKUP(A6,OFFSET($AG$2,,,COUNTIF($AG$2:$AG$50,"?*"),23),7,FALSE)&lt;&gt;0,VLOOKUP(A6,OFFSET($AG$2,,,COUNTIF($AG$2:$AG$50,"?*"),23),7,FALSE),"?"),"")</f>
        <v/>
      </c>
      <c r="H9" s="381"/>
      <c r="I9" s="381"/>
      <c r="J9" s="381"/>
      <c r="K9" s="381"/>
      <c r="M9" s="365" t="str">
        <f ca="1">IFERROR(IF(VLOOKUP(M6,OFFSET($AG$2,,,COUNTIF($AG$2:$AG$50,"?*"),23),13,FALSE)&lt;&gt;0,VLOOKUP(M6,OFFSET($AG$2,,,COUNTIF($AG$2:$AG$50,"?*"),23),13,FALSE),"?"),"")</f>
        <v/>
      </c>
      <c r="N9" s="366"/>
      <c r="O9" s="367"/>
      <c r="P9" s="368" t="str">
        <f ca="1">IFERROR(IF(VLOOKUP(M6,OFFSET($AG$2,,,COUNTIF($AG$2:$AG$50,"?*"),23),14,FALSE)&lt;&gt;0,VLOOKUP(M6,OFFSET($AG$2,,,COUNTIF($AG$2:$AG$50,"?*"),23),14,FALSE),"?"),"")</f>
        <v/>
      </c>
      <c r="Q9" s="36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771</v>
      </c>
      <c r="U9" s="102">
        <v>7</v>
      </c>
      <c r="V9" s="102">
        <v>1</v>
      </c>
      <c r="W9" s="102">
        <v>1</v>
      </c>
      <c r="X9" s="102">
        <v>0</v>
      </c>
      <c r="Y9" s="102">
        <v>2</v>
      </c>
      <c r="Z9" s="102">
        <v>3</v>
      </c>
      <c r="AA9" s="102">
        <v>0</v>
      </c>
      <c r="AB9" s="102">
        <v>12</v>
      </c>
      <c r="AC9" s="102" t="str">
        <f t="shared" ca="1" si="0"/>
        <v>ANO</v>
      </c>
      <c r="AG9" s="121" t="s">
        <v>771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7 OZ, 3 (1+2), +12 ±</v>
      </c>
      <c r="AY9" s="129" t="str">
        <f t="shared" ca="1" si="2"/>
        <v>7 OZ, 3 (1+2)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6"/>
      <c r="BT9" s="104" t="s">
        <v>828</v>
      </c>
      <c r="BU9" s="103" t="s">
        <v>998</v>
      </c>
      <c r="BV9" s="104" t="str">
        <f t="shared" si="13"/>
        <v>Jan Klinka</v>
      </c>
      <c r="BW9" s="112">
        <f t="shared" si="14"/>
        <v>7.17</v>
      </c>
      <c r="BX9" s="335"/>
      <c r="BY9" s="103" t="s">
        <v>945</v>
      </c>
      <c r="BZ9" s="103" t="s">
        <v>914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766</v>
      </c>
      <c r="T10" s="102" t="s">
        <v>64</v>
      </c>
      <c r="U10" s="102">
        <v>7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0</v>
      </c>
      <c r="AB10" s="102">
        <v>-1</v>
      </c>
      <c r="AC10" s="102" t="str">
        <f t="shared" ca="1" si="0"/>
        <v>ANO</v>
      </c>
      <c r="AG10" s="121" t="s">
        <v>764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1 V, 0 P</v>
      </c>
      <c r="AY10" s="129" t="str">
        <f t="shared" ca="1" si="2"/>
        <v>1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6"/>
      <c r="BV10" s="104" t="str">
        <f t="shared" si="13"/>
        <v/>
      </c>
      <c r="BW10" s="112" t="str">
        <f t="shared" si="14"/>
        <v/>
      </c>
      <c r="BX10" s="335"/>
      <c r="BY10" s="103" t="s">
        <v>1230</v>
      </c>
      <c r="BZ10" s="103" t="s">
        <v>916</v>
      </c>
      <c r="CA10" s="115" t="s">
        <v>205</v>
      </c>
    </row>
    <row r="11" spans="1:79" ht="15" customHeight="1" thickTop="1" thickBot="1" x14ac:dyDescent="0.25">
      <c r="R11" s="13"/>
      <c r="S11" s="110" t="s">
        <v>769</v>
      </c>
      <c r="U11" s="102">
        <v>6</v>
      </c>
      <c r="V11" s="102">
        <v>1</v>
      </c>
      <c r="W11" s="102">
        <v>1</v>
      </c>
      <c r="X11" s="102">
        <v>0</v>
      </c>
      <c r="Y11" s="102">
        <v>0</v>
      </c>
      <c r="Z11" s="102">
        <v>1</v>
      </c>
      <c r="AA11" s="102">
        <v>2</v>
      </c>
      <c r="AB11" s="102">
        <v>-4</v>
      </c>
      <c r="AC11" s="102" t="str">
        <f t="shared" ca="1" si="0"/>
        <v>ANO</v>
      </c>
      <c r="AG11" s="121" t="s">
        <v>356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7 OZ, 14 (4+10), +13 ±</v>
      </c>
      <c r="AY11" s="129" t="str">
        <f t="shared" ca="1" si="2"/>
        <v>7 OZ, 14 (4+10)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6"/>
      <c r="BV11" s="104" t="str">
        <f t="shared" si="13"/>
        <v/>
      </c>
      <c r="BW11" s="112" t="str">
        <f t="shared" si="14"/>
        <v/>
      </c>
      <c r="BX11" s="335"/>
      <c r="BY11" s="103" t="s">
        <v>1284</v>
      </c>
      <c r="BZ11" s="103" t="s">
        <v>943</v>
      </c>
      <c r="CA11" s="115" t="s">
        <v>205</v>
      </c>
    </row>
    <row r="12" spans="1:79" ht="15" customHeight="1" thickTop="1" thickBot="1" x14ac:dyDescent="0.25">
      <c r="A12" s="348"/>
      <c r="B12" s="349"/>
      <c r="C12" s="349"/>
      <c r="D12" s="34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82" t="s">
        <v>7</v>
      </c>
      <c r="I12" s="382"/>
      <c r="J12" s="382"/>
      <c r="K12" s="382"/>
      <c r="M12" s="348"/>
      <c r="N12" s="349"/>
      <c r="O12" s="349"/>
      <c r="P12" s="34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767</v>
      </c>
      <c r="U12" s="102">
        <v>7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-4</v>
      </c>
      <c r="AC12" s="102" t="str">
        <f t="shared" ca="1" si="0"/>
        <v>ANO</v>
      </c>
      <c r="AG12" s="121" t="s">
        <v>766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7 OZ, 2 (1+1), -1 ±</v>
      </c>
      <c r="AY12" s="129" t="str">
        <f t="shared" ca="1" si="2"/>
        <v>7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6" t="s">
        <v>37</v>
      </c>
      <c r="BT12" s="104" t="s">
        <v>772</v>
      </c>
      <c r="BU12" s="103">
        <v>11</v>
      </c>
      <c r="BV12" s="104" t="str">
        <f t="shared" si="13"/>
        <v>Wojciech Malajka</v>
      </c>
      <c r="BW12" s="102">
        <f t="shared" si="14"/>
        <v>11</v>
      </c>
      <c r="BX12" s="120" t="s">
        <v>210</v>
      </c>
      <c r="BY12" s="100" t="s">
        <v>1285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1" t="str">
        <f ca="1">IFERROR(IF(VLOOKUP(A12,OFFSET($AG$2,,,COUNTIF($AG$2:$AG$50,"?*"),23),2,FALSE)&lt;&gt;0,YEAR(VLOOKUP(A12,OFFSET($AG$2,,,COUNTIF($AG$2:$AG$50,"?*"),23),2,FALSE)),""),"")</f>
        <v/>
      </c>
      <c r="C13" s="342"/>
      <c r="D13" s="117" t="str">
        <f ca="1">IFERROR(VLOOKUP(A12,OFFSET($AG$2,,,COUNTIF($AG$2:$AG$50,"?*"),23),15,FALSE),"")</f>
        <v/>
      </c>
      <c r="E13" s="343" t="str">
        <f ca="1">IFERROR(VLOOKUP(A12,OFFSET($AG$2,,,COUNTIF($AG$2:$AG$50,"?*"),23),16,FALSE),"")</f>
        <v/>
      </c>
      <c r="F13" s="344"/>
      <c r="M13" s="4" t="str">
        <f ca="1">IFERROR(IF(VLOOKUP(M12,OFFSET($AG$2,,,COUNTIF($AG$2:$AG$50,"?*"),23),10,FALSE)&lt;&gt;0,VLOOKUP(M12,OFFSET($AG$2,,,COUNTIF($AG$2:$AG$50,"?*"),23),10,FALSE),""),"")</f>
        <v/>
      </c>
      <c r="N13" s="341" t="str">
        <f ca="1">IFERROR(IF(VLOOKUP(M12,OFFSET($AG$2,,,COUNTIF($AG$2:$AG$50,"?*"),23),2,FALSE)&lt;&gt;0,YEAR(VLOOKUP(M12,OFFSET($AG$2,,,COUNTIF($AG$2:$AG$50,"?*"),23),2,FALSE)),""),"")</f>
        <v/>
      </c>
      <c r="O13" s="342"/>
      <c r="P13" s="117" t="str">
        <f ca="1">IFERROR(VLOOKUP(M12,OFFSET($AG$2,,,COUNTIF($AG$2:$AG$50,"?*"),23),15,FALSE),"")</f>
        <v/>
      </c>
      <c r="Q13" s="343" t="str">
        <f ca="1">IFERROR(VLOOKUP(M12,OFFSET($AG$2,,,COUNTIF($AG$2:$AG$50,"?*"),23),16,FALSE),"")</f>
        <v/>
      </c>
      <c r="R13" s="344"/>
      <c r="S13" s="110" t="s">
        <v>1281</v>
      </c>
      <c r="U13" s="102">
        <v>2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0</v>
      </c>
      <c r="AC13" s="102" t="str">
        <f t="shared" ca="1" si="0"/>
        <v>NE</v>
      </c>
      <c r="AG13" s="121" t="s">
        <v>758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7 OZ, 17 (11+6), +15 ±</v>
      </c>
      <c r="AY13" s="129" t="str">
        <f t="shared" ca="1" si="2"/>
        <v>7 OZ, 17 (11+6)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6"/>
      <c r="BT13" s="104" t="s">
        <v>775</v>
      </c>
      <c r="BU13" s="103">
        <v>6</v>
      </c>
      <c r="BV13" s="104" t="str">
        <f t="shared" si="13"/>
        <v>Daniel Chatrný</v>
      </c>
      <c r="BW13" s="102">
        <f t="shared" si="14"/>
        <v>6</v>
      </c>
    </row>
    <row r="14" spans="1:79" ht="15" customHeight="1" thickTop="1" thickBot="1" x14ac:dyDescent="0.25">
      <c r="A14" s="377" t="str">
        <f ca="1">IFERROR(VLOOKUP(A12,OFFSET($AG$2,,,COUNTIF($AG$2:$AG$50,"?*"),23),18,FALSE),"")</f>
        <v/>
      </c>
      <c r="B14" s="378"/>
      <c r="C14" s="378"/>
      <c r="D14" s="379" t="str">
        <f ca="1">IFERROR(VLOOKUP(A12,OFFSET($AG$2,,,COUNTIF($AG$2:$AG$50,"?*"),23),19,FALSE),"")</f>
        <v/>
      </c>
      <c r="E14" s="379"/>
      <c r="F14" s="380"/>
      <c r="G14" s="348"/>
      <c r="H14" s="349"/>
      <c r="I14" s="349"/>
      <c r="J14" s="34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7" t="str">
        <f ca="1">IFERROR(VLOOKUP(M12,OFFSET($AG$2,,,COUNTIF($AG$2:$AG$50,"?*"),23),18,FALSE),"")</f>
        <v/>
      </c>
      <c r="N14" s="378"/>
      <c r="O14" s="378"/>
      <c r="P14" s="379" t="str">
        <f ca="1">IFERROR(VLOOKUP(M12,OFFSET($AG$2,,,COUNTIF($AG$2:$AG$50,"?*"),23),19,FALSE),"")</f>
        <v/>
      </c>
      <c r="Q14" s="379"/>
      <c r="R14" s="380"/>
      <c r="S14" s="110" t="s">
        <v>821</v>
      </c>
      <c r="U14" s="102">
        <v>1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NE</v>
      </c>
      <c r="AG14" s="121" t="s">
        <v>760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6 OZ, 13 (5+8), +16 ±</v>
      </c>
      <c r="AY14" s="129" t="str">
        <f t="shared" ca="1" si="2"/>
        <v>6 OZ, 13 (5+8)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6"/>
      <c r="BT14" s="104" t="s">
        <v>1276</v>
      </c>
      <c r="BU14" s="103">
        <v>6</v>
      </c>
      <c r="BV14" s="104" t="str">
        <f t="shared" si="13"/>
        <v>Michal Sládek</v>
      </c>
      <c r="BW14" s="102">
        <f t="shared" si="14"/>
        <v>6</v>
      </c>
    </row>
    <row r="15" spans="1:79" ht="15" customHeight="1" thickBot="1" x14ac:dyDescent="0.25">
      <c r="A15" s="365" t="str">
        <f ca="1">IFERROR(IF(VLOOKUP(A12,OFFSET($AG$2,,,COUNTIF($AG$2:$AG$50,"?*"),23),13,FALSE)&lt;&gt;0,VLOOKUP(A12,OFFSET($AG$2,,,COUNTIF($AG$2:$AG$50,"?*"),23),13,FALSE),"?"),"")</f>
        <v/>
      </c>
      <c r="B15" s="366"/>
      <c r="C15" s="367"/>
      <c r="D15" s="368" t="str">
        <f ca="1">IFERROR(IF(VLOOKUP(A12,OFFSET($AG$2,,,COUNTIF($AG$2:$AG$50,"?*"),23),14,FALSE)&lt;&gt;0,VLOOKUP(A12,OFFSET($AG$2,,,COUNTIF($AG$2:$AG$50,"?*"),23),14,FALSE),"?"),"")</f>
        <v/>
      </c>
      <c r="E15" s="36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1" t="str">
        <f ca="1">IFERROR(IF(VLOOKUP(G14,OFFSET($AG$2,,,COUNTIF($AG$2:$AG$50,"?*"),23),2,FALSE)&lt;&gt;0,YEAR(VLOOKUP(G14,OFFSET($AG$2,,,COUNTIF($AG$2:$AG$50,"?*"),23),2,FALSE)),""),"")</f>
        <v/>
      </c>
      <c r="I15" s="342"/>
      <c r="J15" s="117" t="str">
        <f ca="1">IFERROR(VLOOKUP(G14,OFFSET($AG$2,,,COUNTIF($AG$2:$AG$50,"?*"),23),15,FALSE),"")</f>
        <v/>
      </c>
      <c r="K15" s="343" t="str">
        <f ca="1">IFERROR(VLOOKUP(G14,OFFSET($AG$2,,,COUNTIF($AG$2:$AG$50,"?*"),23),16,FALSE),"")</f>
        <v/>
      </c>
      <c r="L15" s="344"/>
      <c r="M15" s="365" t="str">
        <f ca="1">IFERROR(IF(VLOOKUP(M12,OFFSET($AG$2,,,COUNTIF($AG$2:$AG$50,"?*"),23),13,FALSE)&lt;&gt;0,VLOOKUP(M12,OFFSET($AG$2,,,COUNTIF($AG$2:$AG$50,"?*"),23),13,FALSE),"?"),"")</f>
        <v/>
      </c>
      <c r="N15" s="366"/>
      <c r="O15" s="367"/>
      <c r="P15" s="368" t="str">
        <f ca="1">IFERROR(IF(VLOOKUP(M12,OFFSET($AG$2,,,COUNTIF($AG$2:$AG$50,"?*"),23),14,FALSE)&lt;&gt;0,VLOOKUP(M12,OFFSET($AG$2,,,COUNTIF($AG$2:$AG$50,"?*"),23),14,FALSE),"?"),"")</f>
        <v/>
      </c>
      <c r="Q15" s="36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822</v>
      </c>
      <c r="U15" s="102">
        <v>4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-1</v>
      </c>
      <c r="AC15" s="102" t="str">
        <f t="shared" ca="1" si="0"/>
        <v>NE</v>
      </c>
      <c r="AG15" s="121" t="s">
        <v>765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7 OZ, 0 (0+0), -3 ±</v>
      </c>
      <c r="AY15" s="129" t="str">
        <f t="shared" ca="1" si="2"/>
        <v>7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6"/>
      <c r="BT15" s="104" t="s">
        <v>1277</v>
      </c>
      <c r="BU15" s="103">
        <v>5</v>
      </c>
      <c r="BV15" s="104" t="str">
        <f t="shared" si="13"/>
        <v>Ladislav Gál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77" t="str">
        <f ca="1">IFERROR(VLOOKUP(G14,OFFSET($AG$2,,,COUNTIF($AG$2:$AG$50,"?*"),23),18,FALSE),"")</f>
        <v/>
      </c>
      <c r="H16" s="378"/>
      <c r="I16" s="378"/>
      <c r="J16" s="379" t="str">
        <f ca="1">IFERROR(VLOOKUP(G14,OFFSET($AG$2,,,COUNTIF($AG$2:$AG$50,"?*"),23),19,FALSE),"")</f>
        <v/>
      </c>
      <c r="K16" s="379"/>
      <c r="L16" s="380"/>
      <c r="S16" s="110" t="s">
        <v>764</v>
      </c>
      <c r="T16" s="102" t="s">
        <v>117</v>
      </c>
      <c r="U16" s="102">
        <v>0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759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7 OZ, 15 (6+9), +2 ±</v>
      </c>
      <c r="AY16" s="129" t="str">
        <f t="shared" ca="1" si="2"/>
        <v>7 OZ, 15 (6+9)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6"/>
      <c r="BT16" s="104" t="s">
        <v>1278</v>
      </c>
      <c r="BU16" s="103">
        <v>5</v>
      </c>
      <c r="BV16" s="104" t="str">
        <f t="shared" si="13"/>
        <v>Lukáš Pešat</v>
      </c>
      <c r="BW16" s="102">
        <f t="shared" si="14"/>
        <v>5</v>
      </c>
    </row>
    <row r="17" spans="1:75" ht="15" customHeight="1" thickTop="1" thickBot="1" x14ac:dyDescent="0.25">
      <c r="A17" s="348"/>
      <c r="B17" s="349"/>
      <c r="C17" s="349"/>
      <c r="D17" s="34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5" t="str">
        <f ca="1">IFERROR(IF(VLOOKUP(G14,OFFSET($AG$2,,,COUNTIF($AG$2:$AG$50,"?*"),23),13,FALSE)&lt;&gt;0,VLOOKUP(G14,OFFSET($AG$2,,,COUNTIF($AG$2:$AG$50,"?*"),23),13,FALSE),"?"),"")</f>
        <v/>
      </c>
      <c r="H17" s="366"/>
      <c r="I17" s="367"/>
      <c r="J17" s="368" t="str">
        <f ca="1">IFERROR(IF(VLOOKUP(G14,OFFSET($AG$2,,,COUNTIF($AG$2:$AG$50,"?*"),23),14,FALSE)&lt;&gt;0,VLOOKUP(G14,OFFSET($AG$2,,,COUNTIF($AG$2:$AG$50,"?*"),23),14,FALSE),"?"),"")</f>
        <v/>
      </c>
      <c r="K17" s="369"/>
      <c r="L17" s="7" t="str">
        <f ca="1">IFERROR(IF(VLOOKUP(G14,OFFSET($AG$2,,,COUNTIF($AG$2:$AG$50,"?*"),23),7,FALSE)&lt;&gt;0,VLOOKUP(G14,OFFSET($AG$2,,,COUNTIF($AG$2:$AG$50,"?*"),23),7,FALSE),"?"),"")</f>
        <v/>
      </c>
      <c r="M17" s="348"/>
      <c r="N17" s="349"/>
      <c r="O17" s="349"/>
      <c r="P17" s="34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353</v>
      </c>
      <c r="T17" s="102" t="s">
        <v>119</v>
      </c>
      <c r="U17" s="102">
        <v>5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2</v>
      </c>
      <c r="AB17" s="102">
        <v>-6</v>
      </c>
      <c r="AC17" s="102" t="str">
        <f t="shared" ca="1" si="0"/>
        <v>ANO</v>
      </c>
      <c r="AG17" s="121" t="s">
        <v>770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7 OZ, 4 (2+2), 0 ±</v>
      </c>
      <c r="AY17" s="129" t="str">
        <f t="shared" ca="1" si="2"/>
        <v>7 OZ, 4 (2+2)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6" t="s">
        <v>41</v>
      </c>
      <c r="BT17" s="104" t="s">
        <v>773</v>
      </c>
      <c r="BU17" s="103">
        <v>3</v>
      </c>
      <c r="BV17" s="104" t="str">
        <f t="shared" si="13"/>
        <v>Jan Binder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1" t="str">
        <f ca="1">IFERROR(IF(VLOOKUP(A17,OFFSET($AG$2,,,COUNTIF($AG$2:$AG$50,"?*"),23),2,FALSE)&lt;&gt;0,YEAR(VLOOKUP(A17,OFFSET($AG$2,,,COUNTIF($AG$2:$AG$50,"?*"),23),2,FALSE)),""),"")</f>
        <v/>
      </c>
      <c r="C18" s="342"/>
      <c r="D18" s="150" t="str">
        <f ca="1">IFERROR(VLOOKUP(A17,OFFSET($AG$2,,,COUNTIF($AG$2:$AG$50,"?*"),23),15,FALSE),"")</f>
        <v/>
      </c>
      <c r="E18" s="343" t="str">
        <f ca="1">IFERROR(VLOOKUP(A17,OFFSET($AG$2,,,COUNTIF($AG$2:$AG$50,"?*"),23),16,FALSE),"")</f>
        <v/>
      </c>
      <c r="F18" s="344"/>
      <c r="M18" s="4" t="str">
        <f ca="1">IFERROR(IF(VLOOKUP(M17,OFFSET($AG$2,,,COUNTIF($AG$2:$AG$50,"?*"),23),10,FALSE)&lt;&gt;0,VLOOKUP(M17,OFFSET($AG$2,,,COUNTIF($AG$2:$AG$50,"?*"),23),10,FALSE),""),"")</f>
        <v/>
      </c>
      <c r="N18" s="341" t="str">
        <f ca="1">IFERROR(IF(VLOOKUP(M17,OFFSET($AG$2,,,COUNTIF($AG$2:$AG$50,"?*"),23),2,FALSE)&lt;&gt;0,YEAR(VLOOKUP(M17,OFFSET($AG$2,,,COUNTIF($AG$2:$AG$50,"?*"),23),2,FALSE)),""),"")</f>
        <v/>
      </c>
      <c r="O18" s="342"/>
      <c r="P18" s="117" t="str">
        <f ca="1">IFERROR(VLOOKUP(M17,OFFSET($AG$2,,,COUNTIF($AG$2:$AG$50,"?*"),23),15,FALSE),"")</f>
        <v/>
      </c>
      <c r="Q18" s="343" t="str">
        <f ca="1">IFERROR(VLOOKUP(M17,OFFSET($AG$2,,,COUNTIF($AG$2:$AG$50,"?*"),23),16,FALSE),"")</f>
        <v/>
      </c>
      <c r="R18" s="344"/>
      <c r="S18" s="110" t="s">
        <v>823</v>
      </c>
      <c r="T18" s="102" t="s">
        <v>119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768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5 OZ, 0 (0+0), +2 ±</v>
      </c>
      <c r="AY18" s="129" t="str">
        <f t="shared" ca="1" si="2"/>
        <v>5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6"/>
      <c r="BT18" s="104" t="s">
        <v>774</v>
      </c>
      <c r="BU18" s="103">
        <v>1</v>
      </c>
      <c r="BV18" s="104" t="str">
        <f t="shared" si="13"/>
        <v>Jan Klinka</v>
      </c>
      <c r="BW18" s="102">
        <f t="shared" si="14"/>
        <v>1</v>
      </c>
    </row>
    <row r="19" spans="1:75" ht="15" customHeight="1" x14ac:dyDescent="0.2">
      <c r="A19" s="377" t="str">
        <f ca="1">IFERROR(VLOOKUP(A17,OFFSET($AG$2,,,COUNTIF($AG$2:$AG$50,"?*"),23),18,FALSE),"")</f>
        <v/>
      </c>
      <c r="B19" s="378"/>
      <c r="C19" s="378"/>
      <c r="D19" s="379" t="str">
        <f ca="1">IFERROR(VLOOKUP(A17,OFFSET($AG$2,,,COUNTIF($AG$2:$AG$50,"?*"),23),19,FALSE),"")</f>
        <v/>
      </c>
      <c r="E19" s="379"/>
      <c r="F19" s="380"/>
      <c r="H19" s="381" t="str">
        <f>H$8</f>
        <v>OST</v>
      </c>
      <c r="I19" s="381"/>
      <c r="J19" s="381"/>
      <c r="K19" s="381"/>
      <c r="M19" s="377" t="str">
        <f ca="1">IFERROR(VLOOKUP(M17,OFFSET($AG$2,,,COUNTIF($AG$2:$AG$50,"?*"),23),18,FALSE),"")</f>
        <v/>
      </c>
      <c r="N19" s="378"/>
      <c r="O19" s="378"/>
      <c r="P19" s="379" t="str">
        <f ca="1">IFERROR(VLOOKUP(M17,OFFSET($AG$2,,,COUNTIF($AG$2:$AG$50,"?*"),23),19,FALSE),"")</f>
        <v/>
      </c>
      <c r="Q19" s="379"/>
      <c r="R19" s="380"/>
      <c r="S19" s="110" t="s">
        <v>824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NE</v>
      </c>
      <c r="AG19" s="121" t="s">
        <v>536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5 OZ, 0 (0+0), -2 ±</v>
      </c>
      <c r="AY19" s="129" t="str">
        <f t="shared" ca="1" si="2"/>
        <v>5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6"/>
      <c r="BT19" s="104" t="s">
        <v>826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365" t="str">
        <f ca="1">IFERROR(IF(VLOOKUP(A17,OFFSET($AG$2,,,COUNTIF($AG$2:$AG$50,"?*"),23),13,FALSE)&lt;&gt;0,VLOOKUP(A17,OFFSET($AG$2,,,COUNTIF($AG$2:$AG$50,"?*"),23),13,FALSE),"?"),"")</f>
        <v/>
      </c>
      <c r="B20" s="366"/>
      <c r="C20" s="367"/>
      <c r="D20" s="368" t="str">
        <f ca="1">IFERROR(IF(VLOOKUP(A17,OFFSET($AG$2,,,COUNTIF($AG$2:$AG$50,"?*"),23),14,FALSE)&lt;&gt;0,VLOOKUP(A17,OFFSET($AG$2,,,COUNTIF($AG$2:$AG$50,"?*"),23),14,FALSE),"?"),"")</f>
        <v/>
      </c>
      <c r="E20" s="369"/>
      <c r="F20" s="7" t="str">
        <f ca="1">IFERROR(IF(VLOOKUP(A17,OFFSET($AG$2,,,COUNTIF($AG$2:$AG$50,"?*"),23),7,FALSE)&lt;&gt;0,VLOOKUP(A17,OFFSET($AG$2,,,COUNTIF($AG$2:$AG$50,"?*"),23),7,FALSE),"?"),"")</f>
        <v/>
      </c>
      <c r="H20" s="381"/>
      <c r="I20" s="381"/>
      <c r="J20" s="381"/>
      <c r="K20" s="381"/>
      <c r="M20" s="365" t="str">
        <f ca="1">IFERROR(IF(VLOOKUP(M17,OFFSET($AG$2,,,COUNTIF($AG$2:$AG$50,"?*"),23),13,FALSE)&lt;&gt;0,VLOOKUP(M17,OFFSET($AG$2,,,COUNTIF($AG$2:$AG$50,"?*"),23),13,FALSE),"?"),"")</f>
        <v/>
      </c>
      <c r="N20" s="366"/>
      <c r="O20" s="367"/>
      <c r="P20" s="368" t="str">
        <f ca="1">IFERROR(IF(VLOOKUP(M17,OFFSET($AG$2,,,COUNTIF($AG$2:$AG$50,"?*"),23),14,FALSE)&lt;&gt;0,VLOOKUP(M17,OFFSET($AG$2,,,COUNTIF($AG$2:$AG$50,"?*"),23),14,FALSE),"?"),"")</f>
        <v/>
      </c>
      <c r="Q20" s="36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536</v>
      </c>
      <c r="T20" s="102" t="s">
        <v>64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-2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3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768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2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3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762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-4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36" t="s">
        <v>38</v>
      </c>
      <c r="BT22" s="104" t="s">
        <v>1279</v>
      </c>
      <c r="BU22" s="103">
        <v>10</v>
      </c>
      <c r="BV22" s="104" t="str">
        <f t="shared" si="13"/>
        <v>Šimon Kuczera</v>
      </c>
      <c r="BW22" s="102">
        <f t="shared" si="14"/>
        <v>10</v>
      </c>
    </row>
    <row r="23" spans="1:75" ht="15" customHeight="1" thickTop="1" thickBot="1" x14ac:dyDescent="0.25">
      <c r="A23" s="348"/>
      <c r="B23" s="349"/>
      <c r="C23" s="349"/>
      <c r="D23" s="34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82" t="s">
        <v>13</v>
      </c>
      <c r="I23" s="382"/>
      <c r="J23" s="382"/>
      <c r="K23" s="382"/>
      <c r="M23" s="348"/>
      <c r="N23" s="349"/>
      <c r="O23" s="349"/>
      <c r="P23" s="34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765</v>
      </c>
      <c r="U23" s="102">
        <v>7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-3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36"/>
      <c r="BT23" s="104" t="s">
        <v>995</v>
      </c>
      <c r="BU23" s="103">
        <v>9</v>
      </c>
      <c r="BV23" s="104" t="str">
        <f t="shared" si="13"/>
        <v>Michal Sládek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1" t="str">
        <f ca="1">IFERROR(IF(VLOOKUP(A23,OFFSET($AG$2,,,COUNTIF($AG$2:$AG$50,"?*"),23),2,FALSE)&lt;&gt;0,YEAR(VLOOKUP(A23,OFFSET($AG$2,,,COUNTIF($AG$2:$AG$50,"?*"),23),2,FALSE)),""),"")</f>
        <v/>
      </c>
      <c r="C24" s="342"/>
      <c r="D24" s="117" t="str">
        <f ca="1">IFERROR(VLOOKUP(A23,OFFSET($AG$2,,,COUNTIF($AG$2:$AG$50,"?*"),23),15,FALSE),"")</f>
        <v/>
      </c>
      <c r="E24" s="343" t="str">
        <f ca="1">IFERROR(VLOOKUP(A23,OFFSET($AG$2,,,COUNTIF($AG$2:$AG$50,"?*"),23),16,FALSE),"")</f>
        <v/>
      </c>
      <c r="F24" s="344"/>
      <c r="M24" s="4" t="str">
        <f ca="1">IFERROR(IF(VLOOKUP(M23,OFFSET($AG$2,,,COUNTIF($AG$2:$AG$50,"?*"),23),10,FALSE)&lt;&gt;0,VLOOKUP(M23,OFFSET($AG$2,,,COUNTIF($AG$2:$AG$50,"?*"),23),10,FALSE),""),"")</f>
        <v/>
      </c>
      <c r="N24" s="341" t="str">
        <f ca="1">IFERROR(IF(VLOOKUP(M23,OFFSET($AG$2,,,COUNTIF($AG$2:$AG$50,"?*"),23),2,FALSE)&lt;&gt;0,YEAR(VLOOKUP(M23,OFFSET($AG$2,,,COUNTIF($AG$2:$AG$50,"?*"),23),2,FALSE)),""),"")</f>
        <v/>
      </c>
      <c r="O24" s="342"/>
      <c r="P24" s="117" t="str">
        <f ca="1">IFERROR(VLOOKUP(M23,OFFSET($AG$2,,,COUNTIF($AG$2:$AG$50,"?*"),23),15,FALSE),"")</f>
        <v/>
      </c>
      <c r="Q24" s="343" t="str">
        <f ca="1">IFERROR(VLOOKUP(M23,OFFSET($AG$2,,,COUNTIF($AG$2:$AG$50,"?*"),23),16,FALSE),"")</f>
        <v/>
      </c>
      <c r="R24" s="344"/>
      <c r="S24" s="110" t="s">
        <v>763</v>
      </c>
      <c r="T24" s="102" t="s">
        <v>117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2</v>
      </c>
      <c r="AB24" s="102">
        <v>0</v>
      </c>
      <c r="AC24" s="102" t="str">
        <f t="shared" ca="1" si="0"/>
        <v>ANO</v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36"/>
      <c r="BT24" s="104" t="s">
        <v>880</v>
      </c>
      <c r="BU24" s="103">
        <v>8</v>
      </c>
      <c r="BV24" s="104" t="str">
        <f t="shared" si="13"/>
        <v>Lukáš Pešat</v>
      </c>
      <c r="BW24" s="102">
        <f t="shared" si="14"/>
        <v>8</v>
      </c>
    </row>
    <row r="25" spans="1:75" ht="15" customHeight="1" thickTop="1" thickBot="1" x14ac:dyDescent="0.25">
      <c r="A25" s="377" t="str">
        <f ca="1">IFERROR(VLOOKUP(A23,OFFSET($AG$2,,,COUNTIF($AG$2:$AG$50,"?*"),23),18,FALSE),"")</f>
        <v/>
      </c>
      <c r="B25" s="378"/>
      <c r="C25" s="378"/>
      <c r="D25" s="379" t="str">
        <f ca="1">IFERROR(VLOOKUP(A23,OFFSET($AG$2,,,COUNTIF($AG$2:$AG$50,"?*"),23),19,FALSE),"")</f>
        <v/>
      </c>
      <c r="E25" s="379"/>
      <c r="F25" s="380"/>
      <c r="G25" s="348"/>
      <c r="H25" s="349"/>
      <c r="I25" s="349"/>
      <c r="J25" s="34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7" t="str">
        <f ca="1">IFERROR(VLOOKUP(M23,OFFSET($AG$2,,,COUNTIF($AG$2:$AG$50,"?*"),23),18,FALSE),"")</f>
        <v/>
      </c>
      <c r="N25" s="378"/>
      <c r="O25" s="378"/>
      <c r="P25" s="379" t="str">
        <f ca="1">IFERROR(VLOOKUP(M23,OFFSET($AG$2,,,COUNTIF($AG$2:$AG$50,"?*"),23),19,FALSE),"")</f>
        <v/>
      </c>
      <c r="Q25" s="379"/>
      <c r="R25" s="380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36"/>
      <c r="BT25" s="104" t="s">
        <v>830</v>
      </c>
      <c r="BU25" s="103">
        <v>6</v>
      </c>
      <c r="BV25" s="104" t="str">
        <f t="shared" si="13"/>
        <v>Wojciech Malajka</v>
      </c>
      <c r="BW25" s="102">
        <f t="shared" si="14"/>
        <v>6</v>
      </c>
    </row>
    <row r="26" spans="1:75" ht="15" customHeight="1" thickBot="1" x14ac:dyDescent="0.25">
      <c r="A26" s="365" t="str">
        <f ca="1">IFERROR(IF(VLOOKUP(A23,OFFSET($AG$2,,,COUNTIF($AG$2:$AG$50,"?*"),23),13,FALSE)&lt;&gt;0,VLOOKUP(A23,OFFSET($AG$2,,,COUNTIF($AG$2:$AG$50,"?*"),23),13,FALSE),"?"),"")</f>
        <v/>
      </c>
      <c r="B26" s="366"/>
      <c r="C26" s="367"/>
      <c r="D26" s="368" t="str">
        <f ca="1">IFERROR(IF(VLOOKUP(A23,OFFSET($AG$2,,,COUNTIF($AG$2:$AG$50,"?*"),23),14,FALSE)&lt;&gt;0,VLOOKUP(A23,OFFSET($AG$2,,,COUNTIF($AG$2:$AG$50,"?*"),23),14,FALSE),"?"),"")</f>
        <v/>
      </c>
      <c r="E26" s="36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1" t="str">
        <f ca="1">IFERROR(IF(VLOOKUP(G25,OFFSET($AG$2,,,COUNTIF($AG$2:$AG$50,"?*"),23),2,FALSE)&lt;&gt;0,YEAR(VLOOKUP(G25,OFFSET($AG$2,,,COUNTIF($AG$2:$AG$50,"?*"),23),2,FALSE)),""),"")</f>
        <v/>
      </c>
      <c r="I26" s="342"/>
      <c r="J26" s="117" t="str">
        <f ca="1">IFERROR(VLOOKUP(G25,OFFSET($AG$2,,,COUNTIF($AG$2:$AG$50,"?*"),23),15,FALSE),"")</f>
        <v/>
      </c>
      <c r="K26" s="343" t="str">
        <f ca="1">IFERROR(VLOOKUP(G25,OFFSET($AG$2,,,COUNTIF($AG$2:$AG$50,"?*"),23),16,FALSE),"")</f>
        <v/>
      </c>
      <c r="L26" s="344"/>
      <c r="M26" s="365" t="str">
        <f ca="1">IFERROR(IF(VLOOKUP(M23,OFFSET($AG$2,,,COUNTIF($AG$2:$AG$50,"?*"),23),13,FALSE)&lt;&gt;0,VLOOKUP(M23,OFFSET($AG$2,,,COUNTIF($AG$2:$AG$50,"?*"),23),13,FALSE),"?"),"")</f>
        <v/>
      </c>
      <c r="N26" s="366"/>
      <c r="O26" s="367"/>
      <c r="P26" s="368" t="str">
        <f ca="1">IFERROR(IF(VLOOKUP(M23,OFFSET($AG$2,,,COUNTIF($AG$2:$AG$50,"?*"),23),14,FALSE)&lt;&gt;0,VLOOKUP(M23,OFFSET($AG$2,,,COUNTIF($AG$2:$AG$50,"?*"),23),14,FALSE),"?"),"")</f>
        <v/>
      </c>
      <c r="Q26" s="369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36"/>
      <c r="BT26" s="104" t="s">
        <v>997</v>
      </c>
      <c r="BU26" s="103">
        <v>2</v>
      </c>
      <c r="BV26" s="104" t="str">
        <f t="shared" si="13"/>
        <v>Daniel Chatrný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77" t="str">
        <f ca="1">IFERROR(VLOOKUP(G25,OFFSET($AG$2,,,COUNTIF($AG$2:$AG$50,"?*"),23),18,FALSE),"")</f>
        <v/>
      </c>
      <c r="H27" s="378"/>
      <c r="I27" s="378"/>
      <c r="J27" s="379" t="str">
        <f ca="1">IFERROR(VLOOKUP(G25,OFFSET($AG$2,,,COUNTIF($AG$2:$AG$50,"?*"),23),19,FALSE),"")</f>
        <v/>
      </c>
      <c r="K27" s="379"/>
      <c r="L27" s="38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36" t="s">
        <v>39</v>
      </c>
      <c r="BT27" s="104" t="s">
        <v>999</v>
      </c>
      <c r="BU27" s="103">
        <v>2</v>
      </c>
      <c r="BV27" s="104" t="str">
        <f t="shared" si="13"/>
        <v>Adam Choma</v>
      </c>
      <c r="BW27" s="102">
        <f t="shared" si="14"/>
        <v>2</v>
      </c>
    </row>
    <row r="28" spans="1:75" ht="15" customHeight="1" thickTop="1" thickBot="1" x14ac:dyDescent="0.25">
      <c r="A28" s="348"/>
      <c r="B28" s="349"/>
      <c r="C28" s="349"/>
      <c r="D28" s="34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5" t="str">
        <f ca="1">IFERROR(IF(VLOOKUP(G25,OFFSET($AG$2,,,COUNTIF($AG$2:$AG$50,"?*"),23),13,FALSE)&lt;&gt;0,VLOOKUP(G25,OFFSET($AG$2,,,COUNTIF($AG$2:$AG$50,"?*"),23),13,FALSE),"?"),"")</f>
        <v/>
      </c>
      <c r="H28" s="366"/>
      <c r="I28" s="367"/>
      <c r="J28" s="368" t="str">
        <f ca="1">IFERROR(IF(VLOOKUP(G25,OFFSET($AG$2,,,COUNTIF($AG$2:$AG$50,"?*"),23),14,FALSE)&lt;&gt;0,VLOOKUP(G25,OFFSET($AG$2,,,COUNTIF($AG$2:$AG$50,"?*"),23),14,FALSE),"?"),"")</f>
        <v/>
      </c>
      <c r="K28" s="369"/>
      <c r="L28" s="7" t="str">
        <f ca="1">IFERROR(IF(VLOOKUP(G25,OFFSET($AG$2,,,COUNTIF($AG$2:$AG$50,"?*"),23),7,FALSE)&lt;&gt;0,VLOOKUP(G25,OFFSET($AG$2,,,COUNTIF($AG$2:$AG$50,"?*"),23),7,FALSE),"?"),"")</f>
        <v/>
      </c>
      <c r="M28" s="348"/>
      <c r="N28" s="349"/>
      <c r="O28" s="349"/>
      <c r="P28" s="34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36"/>
      <c r="BT28" s="104" t="s">
        <v>775</v>
      </c>
      <c r="BU28" s="103">
        <v>2</v>
      </c>
      <c r="BV28" s="104" t="str">
        <f t="shared" si="13"/>
        <v>Daniel Chatrný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1" t="str">
        <f ca="1">IFERROR(IF(VLOOKUP(A28,OFFSET($AG$2,,,COUNTIF($AG$2:$AG$50,"?*"),23),2,FALSE)&lt;&gt;0,YEAR(VLOOKUP(A28,OFFSET($AG$2,,,COUNTIF($AG$2:$AG$50,"?*"),23),2,FALSE)),""),"")</f>
        <v/>
      </c>
      <c r="C29" s="342"/>
      <c r="D29" s="117" t="str">
        <f ca="1">IFERROR(VLOOKUP(A28,OFFSET($AG$2,,,COUNTIF($AG$2:$AG$50,"?*"),23),15,FALSE),"")</f>
        <v/>
      </c>
      <c r="E29" s="343" t="str">
        <f ca="1">IFERROR(VLOOKUP(A28,OFFSET($AG$2,,,COUNTIF($AG$2:$AG$50,"?*"),23),16,FALSE),"")</f>
        <v/>
      </c>
      <c r="F29" s="344"/>
      <c r="M29" s="4" t="str">
        <f ca="1">IFERROR(IF(VLOOKUP(M28,OFFSET($AG$2,,,COUNTIF($AG$2:$AG$50,"?*"),23),10,FALSE)&lt;&gt;0,VLOOKUP(M28,OFFSET($AG$2,,,COUNTIF($AG$2:$AG$50,"?*"),23),10,FALSE),""),"")</f>
        <v/>
      </c>
      <c r="N29" s="341" t="str">
        <f ca="1">IFERROR(IF(VLOOKUP(M28,OFFSET($AG$2,,,COUNTIF($AG$2:$AG$50,"?*"),23),2,FALSE)&lt;&gt;0,YEAR(VLOOKUP(M28,OFFSET($AG$2,,,COUNTIF($AG$2:$AG$50,"?*"),23),2,FALSE)),""),"")</f>
        <v/>
      </c>
      <c r="O29" s="342"/>
      <c r="P29" s="117" t="str">
        <f ca="1">IFERROR(VLOOKUP(M28,OFFSET($AG$2,,,COUNTIF($AG$2:$AG$50,"?*"),23),15,FALSE),"")</f>
        <v/>
      </c>
      <c r="Q29" s="343" t="str">
        <f ca="1">IFERROR(VLOOKUP(M28,OFFSET($AG$2,,,COUNTIF($AG$2:$AG$50,"?*"),23),16,FALSE),"")</f>
        <v/>
      </c>
      <c r="R29" s="344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36"/>
      <c r="BT29" s="104" t="s">
        <v>1000</v>
      </c>
      <c r="BU29" s="103">
        <v>2</v>
      </c>
      <c r="BV29" s="104" t="str">
        <f t="shared" si="13"/>
        <v>Denis Zimmer</v>
      </c>
      <c r="BW29" s="102">
        <f t="shared" si="14"/>
        <v>2</v>
      </c>
    </row>
    <row r="30" spans="1:75" ht="15" customHeight="1" x14ac:dyDescent="0.2">
      <c r="A30" s="377" t="str">
        <f ca="1">IFERROR(VLOOKUP(A28,OFFSET($AG$2,,,COUNTIF($AG$2:$AG$50,"?*"),23),18,FALSE),"")</f>
        <v/>
      </c>
      <c r="B30" s="378"/>
      <c r="C30" s="378"/>
      <c r="D30" s="379" t="str">
        <f ca="1">IFERROR(VLOOKUP(A28,OFFSET($AG$2,,,COUNTIF($AG$2:$AG$50,"?*"),23),19,FALSE),"")</f>
        <v/>
      </c>
      <c r="E30" s="379"/>
      <c r="F30" s="380"/>
      <c r="H30" s="381" t="str">
        <f>H$8</f>
        <v>OST</v>
      </c>
      <c r="I30" s="381"/>
      <c r="J30" s="381"/>
      <c r="K30" s="381"/>
      <c r="M30" s="377" t="str">
        <f ca="1">IFERROR(VLOOKUP(M28,OFFSET($AG$2,,,COUNTIF($AG$2:$AG$50,"?*"),23),18,FALSE),"")</f>
        <v/>
      </c>
      <c r="N30" s="378"/>
      <c r="O30" s="378"/>
      <c r="P30" s="379" t="str">
        <f ca="1">IFERROR(VLOOKUP(M28,OFFSET($AG$2,,,COUNTIF($AG$2:$AG$50,"?*"),23),19,FALSE),"")</f>
        <v/>
      </c>
      <c r="Q30" s="379"/>
      <c r="R30" s="38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36"/>
      <c r="BT30" s="104" t="s">
        <v>1001</v>
      </c>
      <c r="BU30" s="103">
        <v>2</v>
      </c>
      <c r="BV30" s="104" t="str">
        <f t="shared" si="13"/>
        <v>Jan Binder</v>
      </c>
      <c r="BW30" s="102">
        <f t="shared" si="14"/>
        <v>2</v>
      </c>
    </row>
    <row r="31" spans="1:75" ht="15" customHeight="1" thickBot="1" x14ac:dyDescent="0.25">
      <c r="A31" s="365" t="str">
        <f ca="1">IFERROR(IF(VLOOKUP(A28,OFFSET($AG$2,,,COUNTIF($AG$2:$AG$50,"?*"),23),13,FALSE)&lt;&gt;0,VLOOKUP(A28,OFFSET($AG$2,,,COUNTIF($AG$2:$AG$50,"?*"),23),13,FALSE),"?"),"")</f>
        <v/>
      </c>
      <c r="B31" s="366"/>
      <c r="C31" s="367"/>
      <c r="D31" s="368" t="str">
        <f ca="1">IFERROR(IF(VLOOKUP(A28,OFFSET($AG$2,,,COUNTIF($AG$2:$AG$50,"?*"),23),14,FALSE)&lt;&gt;0,VLOOKUP(A28,OFFSET($AG$2,,,COUNTIF($AG$2:$AG$50,"?*"),23),14,FALSE),"?"),"")</f>
        <v/>
      </c>
      <c r="E31" s="369"/>
      <c r="F31" s="7" t="str">
        <f ca="1">IFERROR(IF(VLOOKUP(A28,OFFSET($AG$2,,,COUNTIF($AG$2:$AG$50,"?*"),23),7,FALSE)&lt;&gt;0,VLOOKUP(A28,OFFSET($AG$2,,,COUNTIF($AG$2:$AG$50,"?*"),23),7,FALSE),"?"),"")</f>
        <v/>
      </c>
      <c r="H31" s="381"/>
      <c r="I31" s="381"/>
      <c r="J31" s="381"/>
      <c r="K31" s="381"/>
      <c r="M31" s="365" t="str">
        <f ca="1">IFERROR(IF(VLOOKUP(M28,OFFSET($AG$2,,,COUNTIF($AG$2:$AG$50,"?*"),23),13,FALSE)&lt;&gt;0,VLOOKUP(M28,OFFSET($AG$2,,,COUNTIF($AG$2:$AG$50,"?*"),23),13,FALSE),"?"),"")</f>
        <v/>
      </c>
      <c r="N31" s="366"/>
      <c r="O31" s="367"/>
      <c r="P31" s="368" t="str">
        <f ca="1">IFERROR(IF(VLOOKUP(M28,OFFSET($AG$2,,,COUNTIF($AG$2:$AG$50,"?*"),23),14,FALSE)&lt;&gt;0,VLOOKUP(M28,OFFSET($AG$2,,,COUNTIF($AG$2:$AG$50,"?*"),23),14,FALSE),"?"),"")</f>
        <v/>
      </c>
      <c r="Q31" s="36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6"/>
      <c r="BT31" s="104" t="s">
        <v>1280</v>
      </c>
      <c r="BU31" s="103">
        <v>2</v>
      </c>
      <c r="BV31" s="104" t="str">
        <f t="shared" si="13"/>
        <v>Ladislav Gál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8"/>
      <c r="B34" s="349"/>
      <c r="C34" s="349"/>
      <c r="D34" s="34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6" t="s">
        <v>16</v>
      </c>
      <c r="J34" s="348"/>
      <c r="K34" s="349"/>
      <c r="L34" s="349"/>
      <c r="M34" s="349"/>
      <c r="N34" s="349"/>
      <c r="O34" s="349"/>
      <c r="P34" s="34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1" t="str">
        <f ca="1">IFERROR(IF(VLOOKUP(A34,OFFSET($AG$2,,,COUNTIF($AG$2:$AG$50,"?*"),23),2,FALSE)&lt;&gt;0,YEAR(VLOOKUP(A34,OFFSET($AG$2,,,COUNTIF($AG$2:$AG$50,"?*"),23),2,FALSE)),""),"")</f>
        <v/>
      </c>
      <c r="C35" s="342"/>
      <c r="D35" s="117" t="str">
        <f ca="1">IFERROR(VLOOKUP(A34,OFFSET($AG$2,,,COUNTIF($AG$2:$AG$50,"?*"),23),15,FALSE),"")</f>
        <v/>
      </c>
      <c r="E35" s="343" t="str">
        <f ca="1">IFERROR(VLOOKUP(A34,OFFSET($AG$2,,,COUNTIF($AG$2:$AG$50,"?*"),23),16,FALSE),"")</f>
        <v/>
      </c>
      <c r="F35" s="344"/>
      <c r="H35" s="376"/>
      <c r="J35" s="4" t="str">
        <f ca="1">IFERROR(IF(VLOOKUP(J34,OFFSET($AG$2,,,COUNTIF($AG$2:$AG$50,"?*"),23),10,FALSE)&lt;&gt;0,VLOOKUP(J34,OFFSET($AG$2,,,COUNTIF($AG$2:$AG$50,"?*"),23),10,FALSE),""),"")</f>
        <v/>
      </c>
      <c r="K35" s="342" t="str">
        <f ca="1">IFERROR(IF(VLOOKUP(J34,OFFSET($AG$2,,,COUNTIF($AG$2:$AG$50,"?*"),23),2,FALSE)&lt;&gt;0,YEAR(VLOOKUP(J34,OFFSET($AG$2,,,COUNTIF($AG$2:$AG$50,"?*"),23),2,FALSE)),""),"")</f>
        <v/>
      </c>
      <c r="L35" s="350"/>
      <c r="M35" s="118" t="str">
        <f ca="1">IFERROR(VLOOKUP(J34,OFFSET($AG$2,,,COUNTIF($AG$2:$AG$50,"?*"),23),15,FALSE),"")</f>
        <v/>
      </c>
      <c r="N35" s="350" t="str">
        <f ca="1">IFERROR(VLOOKUP(J34,OFFSET($AG$2,,,COUNTIF($AG$2:$AG$50,"?*"),23),16,FALSE),"")</f>
        <v/>
      </c>
      <c r="O35" s="350"/>
      <c r="P35" s="350" t="str">
        <f ca="1">IFERROR(VLOOKUP(J34,OFFSET($AG$2,,,COUNTIF($AG$2:$AG$50,"?*"),23),18,FALSE),"")</f>
        <v/>
      </c>
      <c r="Q35" s="350"/>
      <c r="R35" s="35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5" t="str">
        <f ca="1">IFERROR(VLOOKUP(A34,OFFSET($AG$2,,,COUNTIF($AG$2:$AG$50,"?*"),23),18,FALSE),"")</f>
        <v/>
      </c>
      <c r="C36" s="345"/>
      <c r="D36" s="346" t="str">
        <f ca="1">IFERROR(VLOOKUP(A34,OFFSET($S$45,,,COUNTIF($S$45:$S$50,"?*"),14),5,FALSE),"")</f>
        <v/>
      </c>
      <c r="E36" s="347"/>
      <c r="F36" s="17" t="str">
        <f ca="1">IFERROR(VLOOKUP(A34,OFFSET($S$45,,,COUNTIF($S$45:$S$50,"?*"),14),14,FALSE),"")</f>
        <v/>
      </c>
      <c r="H36" s="376"/>
      <c r="J36" s="18" t="str">
        <f ca="1">IFERROR(IF(VLOOKUP(J34,OFFSET($AG$2,,,COUNTIF($AG$2:$AG$50,"?*"),23),7,FALSE)&lt;&gt;0,VLOOKUP(J34,OFFSET($AG$2,,,COUNTIF($AG$2:$AG$50,"?*"),23),7,FALSE),"?"),"")</f>
        <v/>
      </c>
      <c r="K36" s="352" t="str">
        <f ca="1">IFERROR(VLOOKUP(J34,OFFSET($AG$2,,,COUNTIF($AG$2:$AG$50,"?*"),23),19,FALSE),"")</f>
        <v/>
      </c>
      <c r="L36" s="352"/>
      <c r="M36" s="352"/>
      <c r="N36" s="353" t="str">
        <f ca="1">IFERROR(IF(VLOOKUP(J34,OFFSET($AG$2,,,COUNTIF($AG$2:$AG$50,"?*"),23),13,FALSE)&lt;&gt;0,VLOOKUP(J34,OFFSET($AG$2,,,COUNTIF($AG$2:$AG$50,"?*"),23),13,FALSE),"?"),"")</f>
        <v/>
      </c>
      <c r="O36" s="353"/>
      <c r="P36" s="353"/>
      <c r="Q36" s="352" t="str">
        <f ca="1">IFERROR(IF(VLOOKUP(J34,OFFSET($AG$2,,,COUNTIF($AG$2:$AG$50,"?*"),23),14,FALSE)&lt;&gt;0,VLOOKUP(J34,OFFSET($AG$2,,,COUNTIF($AG$2:$AG$50,"?*"),23),14,FALSE),"?"),"")</f>
        <v/>
      </c>
      <c r="R36" s="35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0" t="str">
        <f ca="1">IFERROR(VLOOKUP(A34,OFFSET($S$45,,,COUNTIF($S$45:$S$50,"?*"),14),3,FALSE),"")</f>
        <v/>
      </c>
      <c r="B37" s="371"/>
      <c r="C37" s="372" t="str">
        <f ca="1">IFERROR(VLOOKUP(A34,OFFSET($S$45,,,COUNTIF($S$45:$S$50,"?*"),14),13,FALSE),"")</f>
        <v/>
      </c>
      <c r="D37" s="373"/>
      <c r="E37" s="374" t="str">
        <f ca="1">IFERROR(VLOOKUP(A34,OFFSET($AG$2,,,COUNTIF($AG$2:$AG$50,"?*"),23),19,FALSE),"")</f>
        <v/>
      </c>
      <c r="F37" s="375"/>
      <c r="H37" s="37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5" t="str">
        <f ca="1">IFERROR(IF(VLOOKUP(A34,OFFSET($AG$2,,,COUNTIF($AG$2:$AG$50,"?*"),23),13,FALSE)&lt;&gt;0,VLOOKUP(A34,OFFSET($AG$2,,,COUNTIF($AG$2:$AG$50,"?*"),23),13,FALSE),"?"),"")</f>
        <v/>
      </c>
      <c r="B38" s="366"/>
      <c r="C38" s="367"/>
      <c r="D38" s="368" t="str">
        <f ca="1">IFERROR(IF(VLOOKUP(A34,OFFSET($AG$2,,,COUNTIF($AG$2:$AG$50,"?*"),23),14,FALSE)&lt;&gt;0,VLOOKUP(A34,OFFSET($AG$2,,,COUNTIF($AG$2:$AG$50,"?*"),23),14,FALSE),"?"),"")</f>
        <v/>
      </c>
      <c r="E38" s="369"/>
      <c r="F38" s="19" t="str">
        <f ca="1">IFERROR(VLOOKUP(A34,OFFSET($S$45,,,COUNTIF($S$45:$S$50,"?*"),14),6,FALSE),"")</f>
        <v/>
      </c>
      <c r="H38" s="376"/>
      <c r="J38" s="348"/>
      <c r="K38" s="349"/>
      <c r="L38" s="349"/>
      <c r="M38" s="349"/>
      <c r="N38" s="349"/>
      <c r="O38" s="349"/>
      <c r="P38" s="34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6"/>
      <c r="J39" s="4" t="str">
        <f ca="1">IFERROR(IF(VLOOKUP(J38,OFFSET($AG$2,,,COUNTIF($AG$2:$AG$50,"?*"),23),10,FALSE)&lt;&gt;0,VLOOKUP(J38,OFFSET($AG$2,,,COUNTIF($AG$2:$AG$50,"?*"),23),10,FALSE),""),"")</f>
        <v/>
      </c>
      <c r="K39" s="342" t="str">
        <f ca="1">IFERROR(IF(VLOOKUP(J38,OFFSET($AG$2,,,COUNTIF($AG$2:$AG$50,"?*"),23),2,FALSE)&lt;&gt;0,YEAR(VLOOKUP(J38,OFFSET($AG$2,,,COUNTIF($AG$2:$AG$50,"?*"),23),2,FALSE)),""),"")</f>
        <v/>
      </c>
      <c r="L39" s="350"/>
      <c r="M39" s="151" t="str">
        <f ca="1">IFERROR(VLOOKUP(J38,OFFSET($AG$2,,,COUNTIF($AG$2:$AG$50,"?*"),23),15,FALSE),"")</f>
        <v/>
      </c>
      <c r="N39" s="350" t="str">
        <f ca="1">IFERROR(VLOOKUP(J38,OFFSET($AG$2,,,COUNTIF($AG$2:$AG$50,"?*"),23),16,FALSE),"")</f>
        <v/>
      </c>
      <c r="O39" s="350"/>
      <c r="P39" s="350" t="str">
        <f ca="1">IFERROR(VLOOKUP(J38,OFFSET($AG$2,,,COUNTIF($AG$2:$AG$50,"?*"),23),18,FALSE),"")</f>
        <v/>
      </c>
      <c r="Q39" s="350"/>
      <c r="R39" s="35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8"/>
      <c r="B40" s="349"/>
      <c r="C40" s="349"/>
      <c r="D40" s="34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6"/>
      <c r="J40" s="18" t="str">
        <f ca="1">IFERROR(IF(VLOOKUP(J38,OFFSET($AG$2,,,COUNTIF($AG$2:$AG$50,"?*"),23),7,FALSE)&lt;&gt;0,VLOOKUP(J38,OFFSET($AG$2,,,COUNTIF($AG$2:$AG$50,"?*"),23),7,FALSE),"?"),"")</f>
        <v/>
      </c>
      <c r="K40" s="352" t="str">
        <f ca="1">IFERROR(VLOOKUP(J38,OFFSET($AG$2,,,COUNTIF($AG$2:$AG$50,"?*"),23),19,FALSE),"")</f>
        <v/>
      </c>
      <c r="L40" s="352"/>
      <c r="M40" s="352"/>
      <c r="N40" s="353" t="str">
        <f ca="1">IFERROR(IF(VLOOKUP(J38,OFFSET($AG$2,,,COUNTIF($AG$2:$AG$50,"?*"),23),13,FALSE)&lt;&gt;0,VLOOKUP(J38,OFFSET($AG$2,,,COUNTIF($AG$2:$AG$50,"?*"),23),13,FALSE),"?"),"")</f>
        <v/>
      </c>
      <c r="O40" s="353"/>
      <c r="P40" s="353"/>
      <c r="Q40" s="352" t="str">
        <f ca="1">IFERROR(IF(VLOOKUP(J38,OFFSET($AG$2,,,COUNTIF($AG$2:$AG$50,"?*"),23),14,FALSE)&lt;&gt;0,VLOOKUP(J38,OFFSET($AG$2,,,COUNTIF($AG$2:$AG$50,"?*"),23),14,FALSE),"?"),"")</f>
        <v/>
      </c>
      <c r="R40" s="35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1" t="str">
        <f ca="1">IFERROR(IF(VLOOKUP(A40,OFFSET($AG$2,,,COUNTIF($AG$2:$AG$50,"?*"),23),2,FALSE)&lt;&gt;0,YEAR(VLOOKUP(A40,OFFSET($AG$2,,,COUNTIF($AG$2:$AG$50,"?*"),23),2,FALSE)),""),"")</f>
        <v/>
      </c>
      <c r="C41" s="342"/>
      <c r="D41" s="117" t="str">
        <f ca="1">IFERROR(VLOOKUP(A40,OFFSET($AG$2,,,COUNTIF($AG$2:$AG$50,"?*"),23),15,FALSE),"")</f>
        <v/>
      </c>
      <c r="E41" s="343" t="str">
        <f ca="1">IFERROR(VLOOKUP(A40,OFFSET($AG$2,,,COUNTIF($AG$2:$AG$50,"?*"),23),16,FALSE),"")</f>
        <v/>
      </c>
      <c r="F41" s="344"/>
      <c r="H41" s="37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5" t="str">
        <f ca="1">IFERROR(VLOOKUP(A40,OFFSET($AG$2,,,COUNTIF($AG$2:$AG$50,"?*"),23),18,FALSE),"")</f>
        <v/>
      </c>
      <c r="C42" s="345"/>
      <c r="D42" s="346" t="str">
        <f ca="1">IFERROR(VLOOKUP(A40,OFFSET($S$45,,,COUNTIF($S$45:$S$50,"?*"),14),5,FALSE),"")</f>
        <v/>
      </c>
      <c r="E42" s="347"/>
      <c r="F42" s="17" t="str">
        <f ca="1">IFERROR(VLOOKUP(A40,OFFSET($S$45,,,COUNTIF($S$45:$S$50,"?*"),14),14,FALSE),"")</f>
        <v/>
      </c>
      <c r="H42" s="376"/>
      <c r="J42" s="348"/>
      <c r="K42" s="349"/>
      <c r="L42" s="349"/>
      <c r="M42" s="349"/>
      <c r="N42" s="349"/>
      <c r="O42" s="349"/>
      <c r="P42" s="34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0" t="str">
        <f ca="1">IFERROR(VLOOKUP(A40,OFFSET($S$45,,,COUNTIF($S$45:$S$50,"?*"),14),3,FALSE),"")</f>
        <v/>
      </c>
      <c r="B43" s="371"/>
      <c r="C43" s="372" t="str">
        <f ca="1">IFERROR(VLOOKUP(A40,OFFSET($S$45,,,COUNTIF($S$45:$S$50,"?*"),14),13,FALSE),"")</f>
        <v/>
      </c>
      <c r="D43" s="373"/>
      <c r="E43" s="374" t="str">
        <f ca="1">IFERROR(VLOOKUP(A40,OFFSET($AG$2,,,COUNTIF($AG$2:$AG$50,"?*"),23),19,FALSE),"")</f>
        <v/>
      </c>
      <c r="F43" s="375"/>
      <c r="H43" s="376"/>
      <c r="J43" s="4" t="str">
        <f ca="1">IFERROR(IF(VLOOKUP(J42,OFFSET($AG$2,,,COUNTIF($AG$2:$AG$50,"?*"),23),10,FALSE)&lt;&gt;0,VLOOKUP(J42,OFFSET($AG$2,,,COUNTIF($AG$2:$AG$50,"?*"),23),10,FALSE),""),"")</f>
        <v/>
      </c>
      <c r="K43" s="342" t="str">
        <f ca="1">IFERROR(IF(VLOOKUP(J42,OFFSET($AG$2,,,COUNTIF($AG$2:$AG$50,"?*"),23),2,FALSE)&lt;&gt;0,YEAR(VLOOKUP(J42,OFFSET($AG$2,,,COUNTIF($AG$2:$AG$50,"?*"),23),2,FALSE)),""),"")</f>
        <v/>
      </c>
      <c r="L43" s="350"/>
      <c r="M43" s="151" t="str">
        <f ca="1">IFERROR(VLOOKUP(J42,OFFSET($AG$2,,,COUNTIF($AG$2:$AG$50,"?*"),23),15,FALSE),"")</f>
        <v/>
      </c>
      <c r="N43" s="350" t="str">
        <f ca="1">IFERROR(VLOOKUP(J42,OFFSET($AG$2,,,COUNTIF($AG$2:$AG$50,"?*"),23),16,FALSE),"")</f>
        <v/>
      </c>
      <c r="O43" s="350"/>
      <c r="P43" s="350" t="str">
        <f ca="1">IFERROR(VLOOKUP(J42,OFFSET($AG$2,,,COUNTIF($AG$2:$AG$50,"?*"),23),18,FALSE),"")</f>
        <v/>
      </c>
      <c r="Q43" s="350"/>
      <c r="R43" s="351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5" t="str">
        <f ca="1">IFERROR(IF(VLOOKUP(A40,OFFSET($AG$2,,,COUNTIF($AG$2:$AG$50,"?*"),23),13,FALSE)&lt;&gt;0,VLOOKUP(A40,OFFSET($AG$2,,,COUNTIF($AG$2:$AG$50,"?*"),23),13,FALSE),"?"),"")</f>
        <v/>
      </c>
      <c r="B44" s="366"/>
      <c r="C44" s="367"/>
      <c r="D44" s="368" t="str">
        <f ca="1">IFERROR(IF(VLOOKUP(A40,OFFSET($AG$2,,,COUNTIF($AG$2:$AG$50,"?*"),23),14,FALSE)&lt;&gt;0,VLOOKUP(A40,OFFSET($AG$2,,,COUNTIF($AG$2:$AG$50,"?*"),23),14,FALSE),"?"),"")</f>
        <v/>
      </c>
      <c r="E44" s="369"/>
      <c r="F44" s="19" t="str">
        <f ca="1">IFERROR(VLOOKUP(A40,OFFSET($S$45,,,COUNTIF($S$45:$S$50,"?*"),14),6,FALSE),"")</f>
        <v/>
      </c>
      <c r="H44" s="376"/>
      <c r="J44" s="18" t="str">
        <f ca="1">IFERROR(IF(VLOOKUP(J42,OFFSET($AG$2,,,COUNTIF($AG$2:$AG$50,"?*"),23),7,FALSE)&lt;&gt;0,VLOOKUP(J42,OFFSET($AG$2,,,COUNTIF($AG$2:$AG$50,"?*"),23),7,FALSE),"?"),"")</f>
        <v/>
      </c>
      <c r="K44" s="352" t="str">
        <f ca="1">IFERROR(VLOOKUP(J42,OFFSET($AG$2,,,COUNTIF($AG$2:$AG$50,"?*"),23),19,FALSE),"")</f>
        <v/>
      </c>
      <c r="L44" s="352"/>
      <c r="M44" s="352"/>
      <c r="N44" s="353" t="str">
        <f ca="1">IFERROR(IF(VLOOKUP(J42,OFFSET($AG$2,,,COUNTIF($AG$2:$AG$50,"?*"),23),13,FALSE)&lt;&gt;0,VLOOKUP(J42,OFFSET($AG$2,,,COUNTIF($AG$2:$AG$50,"?*"),23),13,FALSE),"?"),"")</f>
        <v/>
      </c>
      <c r="O44" s="353"/>
      <c r="P44" s="353"/>
      <c r="Q44" s="352" t="str">
        <f ca="1">IFERROR(IF(VLOOKUP(J42,OFFSET($AG$2,,,COUNTIF($AG$2:$AG$50,"?*"),23),14,FALSE)&lt;&gt;0,VLOOKUP(J42,OFFSET($AG$2,,,COUNTIF($AG$2:$AG$50,"?*"),23),14,FALSE),"?"),"")</f>
        <v/>
      </c>
      <c r="R44" s="354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763</v>
      </c>
      <c r="T45" s="102">
        <v>7</v>
      </c>
      <c r="U45" s="112">
        <v>402.14</v>
      </c>
      <c r="V45" s="102">
        <v>3</v>
      </c>
      <c r="W45" s="102">
        <v>30</v>
      </c>
      <c r="X45" s="102">
        <v>0</v>
      </c>
      <c r="Y45" s="102">
        <v>148</v>
      </c>
      <c r="Z45" s="102">
        <v>0</v>
      </c>
      <c r="AA45" s="102">
        <v>4</v>
      </c>
      <c r="AB45" s="102">
        <v>118</v>
      </c>
      <c r="AC45" s="102">
        <v>0</v>
      </c>
      <c r="AD45" s="102">
        <v>2</v>
      </c>
      <c r="AE45" s="112">
        <f>IF(S45&lt;&gt;"",IF(T45&gt;0,W45/(U45/60),0),"")</f>
        <v>4.4760531158303083</v>
      </c>
      <c r="AF45" s="112">
        <f>IF(S45&lt;&gt;"",IF(Y45&gt;0,(AB45/Y45)*100,"-"),"")</f>
        <v>79.729729729729726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821</v>
      </c>
      <c r="T46" s="102">
        <v>1</v>
      </c>
      <c r="U46" s="112">
        <v>9.6199999999999992</v>
      </c>
      <c r="V46" s="102">
        <v>1</v>
      </c>
      <c r="W46" s="102">
        <v>0</v>
      </c>
      <c r="X46" s="102">
        <v>0</v>
      </c>
      <c r="Y46" s="102">
        <v>4</v>
      </c>
      <c r="Z46" s="102">
        <v>0</v>
      </c>
      <c r="AA46" s="102">
        <v>0</v>
      </c>
      <c r="AB46" s="102">
        <v>4</v>
      </c>
      <c r="AC46" s="102">
        <v>0</v>
      </c>
      <c r="AD46" s="102">
        <v>0</v>
      </c>
      <c r="AE46" s="112">
        <f t="shared" ref="AE46:AE50" si="25">IF(S46&lt;&gt;"",IF(T46&gt;0,W46/(U46/60),0),"")</f>
        <v>0</v>
      </c>
      <c r="AF46" s="112">
        <f t="shared" ref="AF46:AF50" si="26">IF(S46&lt;&gt;"",IF(Y46&gt;0,(AB46/Y46)*100,"-"),"")</f>
        <v>100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7"/>
      <c r="B47" s="338"/>
      <c r="C47" s="338"/>
      <c r="D47" s="338"/>
      <c r="E47" s="339" t="str">
        <f ca="1">IFERROR(VLOOKUP(A47,OFFSET($BN$2,,,COUNTIF($BN$2:$BN$11,"?*"),5),3,FALSE),"")</f>
        <v/>
      </c>
      <c r="F47" s="339"/>
      <c r="G47" s="339"/>
      <c r="H47" s="339"/>
      <c r="I47" s="340"/>
      <c r="J47" s="337"/>
      <c r="K47" s="338"/>
      <c r="L47" s="338"/>
      <c r="M47" s="338"/>
      <c r="N47" s="339" t="str">
        <f ca="1">IFERROR(VLOOKUP(J47,OFFSET($BN$2,,,COUNTIF($BN$2:$BN$11,"?*"),5),3,FALSE),"")</f>
        <v/>
      </c>
      <c r="O47" s="339"/>
      <c r="P47" s="339"/>
      <c r="Q47" s="339"/>
      <c r="R47" s="340"/>
      <c r="S47" s="111" t="s">
        <v>764</v>
      </c>
      <c r="T47" s="102">
        <v>1</v>
      </c>
      <c r="U47" s="112">
        <v>8.3699999999999992</v>
      </c>
      <c r="V47" s="102">
        <v>1</v>
      </c>
      <c r="W47" s="102">
        <v>1</v>
      </c>
      <c r="X47" s="102">
        <v>0</v>
      </c>
      <c r="Y47" s="102">
        <v>6</v>
      </c>
      <c r="Z47" s="102">
        <v>0</v>
      </c>
      <c r="AA47" s="102">
        <v>0</v>
      </c>
      <c r="AB47" s="102">
        <v>5</v>
      </c>
      <c r="AC47" s="102">
        <v>0</v>
      </c>
      <c r="AD47" s="102">
        <v>0</v>
      </c>
      <c r="AE47" s="112">
        <f t="shared" si="25"/>
        <v>7.1684587813620082</v>
      </c>
      <c r="AF47" s="112">
        <f t="shared" si="26"/>
        <v>83.333333333333343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5" t="str">
        <f ca="1">IFERROR(VLOOKUP(A47,OFFSET($BN$2,,,COUNTIF($BN$2:$BN$11,"?*"),5),5,FALSE),"")</f>
        <v/>
      </c>
      <c r="B48" s="357" t="str">
        <f ca="1">IFERROR(IF(VLOOKUP(A47,OFFSET($BN$2,,,COUNTIF($BN$2:$BN$11,"?*"),5),4,FALSE)&lt;&gt;0,VLOOKUP(A47,OFFSET($BN$2,,,COUNTIF($BN$2:$BN$11,"?*"),5),4,FALSE),"-"),"")</f>
        <v/>
      </c>
      <c r="C48" s="357"/>
      <c r="D48" s="357"/>
      <c r="E48" s="357"/>
      <c r="F48" s="357"/>
      <c r="G48" s="357"/>
      <c r="H48" s="357"/>
      <c r="I48" s="358"/>
      <c r="J48" s="119" t="str">
        <f ca="1">IFERROR(VLOOKUP(J47,OFFSET($BN$2,,,COUNTIF($BN$2:$BN$11,"?*"),5),5,FALSE),"")</f>
        <v/>
      </c>
      <c r="K48" s="361" t="str">
        <f ca="1">IFERROR(IF(VLOOKUP(J47,OFFSET($BN$2,,,COUNTIF($BN$2:$BN$11,"?*"),5),4,FALSE)&lt;&gt;0,VLOOKUP(J47,OFFSET($BN$2,,,COUNTIF($BN$2:$BN$11,"?*"),5),4,FALSE),"-"),"")</f>
        <v/>
      </c>
      <c r="L48" s="361"/>
      <c r="M48" s="361"/>
      <c r="N48" s="361"/>
      <c r="O48" s="361"/>
      <c r="P48" s="361"/>
      <c r="Q48" s="361"/>
      <c r="R48" s="362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5"/>
      <c r="B49" s="357"/>
      <c r="C49" s="357"/>
      <c r="D49" s="357"/>
      <c r="E49" s="357"/>
      <c r="F49" s="357"/>
      <c r="G49" s="357"/>
      <c r="H49" s="357"/>
      <c r="I49" s="358"/>
      <c r="J49" s="363"/>
      <c r="K49" s="364"/>
      <c r="L49" s="364"/>
      <c r="M49" s="364"/>
      <c r="N49" s="339" t="str">
        <f ca="1">IFERROR(VLOOKUP(J49,OFFSET($BN$2,,,COUNTIF($BN$2:$BN$11,"?*"),5),3,FALSE),"")</f>
        <v/>
      </c>
      <c r="O49" s="339"/>
      <c r="P49" s="339"/>
      <c r="Q49" s="339"/>
      <c r="R49" s="340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6"/>
      <c r="B50" s="359"/>
      <c r="C50" s="359"/>
      <c r="D50" s="359"/>
      <c r="E50" s="359"/>
      <c r="F50" s="359"/>
      <c r="G50" s="359"/>
      <c r="H50" s="359"/>
      <c r="I50" s="360"/>
      <c r="J50" s="119" t="str">
        <f ca="1">IFERROR(VLOOKUP(J49,OFFSET($BN$2,,,COUNTIF($BN$2:$BN$11,"?*"),5),5,FALSE),"")</f>
        <v/>
      </c>
      <c r="K50" s="361" t="str">
        <f ca="1">IFERROR(IF(VLOOKUP(J49,OFFSET($BN$2,,,COUNTIF($BN$2:$BN$11,"?*"),5),4,FALSE)&lt;&gt;0,VLOOKUP(J49,OFFSET($BN$2,,,COUNTIF($BN$2:$BN$11,"?*"),5),4,FALSE),"-"),"")</f>
        <v/>
      </c>
      <c r="L50" s="361"/>
      <c r="M50" s="361"/>
      <c r="N50" s="361"/>
      <c r="O50" s="361"/>
      <c r="P50" s="361"/>
      <c r="Q50" s="361"/>
      <c r="R50" s="362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topLeftCell="A3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8"/>
      <c r="B1" s="349"/>
      <c r="C1" s="349"/>
      <c r="D1" s="34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82" t="s">
        <v>1</v>
      </c>
      <c r="I1" s="382"/>
      <c r="J1" s="382"/>
      <c r="K1" s="382"/>
      <c r="M1" s="348"/>
      <c r="N1" s="349"/>
      <c r="O1" s="349"/>
      <c r="P1" s="34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1" t="str">
        <f ca="1">IFERROR(IF(VLOOKUP(A1,OFFSET($AG$2,,,COUNTIF($AG$2:$AG$50,"?*"),23),2,FALSE)&lt;&gt;0,YEAR(VLOOKUP(A1,OFFSET($AG$2,,,COUNTIF($AG$2:$AG$50,"?*"),23),2,FALSE)),""),"")</f>
        <v/>
      </c>
      <c r="C2" s="342"/>
      <c r="D2" s="117" t="str">
        <f ca="1">IFERROR(VLOOKUP(A1,OFFSET($AG$2,,,COUNTIF($AG$2:$AG$50,"?*"),23),15,FALSE),"")</f>
        <v/>
      </c>
      <c r="E2" s="343" t="str">
        <f ca="1">IFERROR(VLOOKUP(A1,OFFSET($AG$2,,,COUNTIF($AG$2:$AG$50,"?*"),23),16,FALSE),"")</f>
        <v/>
      </c>
      <c r="F2" s="344"/>
      <c r="M2" s="4" t="str">
        <f ca="1">IFERROR(IF(VLOOKUP(M1,OFFSET($AG$2,,,COUNTIF($AG$2:$AG$50,"?*"),23),10,FALSE)&lt;&gt;0,VLOOKUP(M1,OFFSET($AG$2,,,COUNTIF($AG$2:$AG$50,"?*"),23),10,FALSE),""),"")</f>
        <v/>
      </c>
      <c r="N2" s="341" t="str">
        <f ca="1">IFERROR(IF(VLOOKUP(M1,OFFSET($AG$2,,,COUNTIF($AG$2:$AG$50,"?*"),23),2,FALSE)&lt;&gt;0,YEAR(VLOOKUP(M1,OFFSET($AG$2,,,COUNTIF($AG$2:$AG$50,"?*"),23),2,FALSE)),""),"")</f>
        <v/>
      </c>
      <c r="O2" s="342"/>
      <c r="P2" s="117" t="str">
        <f ca="1">IFERROR(VLOOKUP(M1,OFFSET($AG$2,,,COUNTIF($AG$2:$AG$50,"?*"),23),15,FALSE),"")</f>
        <v/>
      </c>
      <c r="Q2" s="343" t="str">
        <f ca="1">IFERROR(VLOOKUP(M1,OFFSET($AG$2,,,COUNTIF($AG$2:$AG$50,"?*"),23),16,FALSE),"")</f>
        <v/>
      </c>
      <c r="R2" s="344"/>
      <c r="S2" s="110" t="s">
        <v>496</v>
      </c>
      <c r="T2" s="102" t="s">
        <v>119</v>
      </c>
      <c r="U2" s="102">
        <v>6</v>
      </c>
      <c r="V2" s="102">
        <v>7</v>
      </c>
      <c r="W2" s="102">
        <v>2</v>
      </c>
      <c r="X2" s="102">
        <v>0</v>
      </c>
      <c r="Y2" s="102">
        <v>5</v>
      </c>
      <c r="Z2" s="102">
        <v>12</v>
      </c>
      <c r="AA2" s="102">
        <v>0</v>
      </c>
      <c r="AB2" s="102">
        <v>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515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537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556</v>
      </c>
      <c r="BO2" s="122">
        <v>27314</v>
      </c>
      <c r="BP2" s="131" t="s">
        <v>256</v>
      </c>
      <c r="BQ2" s="132"/>
      <c r="BR2" s="127">
        <f ca="1">IF(BN2&lt;&gt;"",IF(BO2&lt;&gt;"",INT((TODAY()-BO2)/365),"?"),"")</f>
        <v>47</v>
      </c>
      <c r="BS2" s="336" t="s">
        <v>36</v>
      </c>
      <c r="BT2" s="104" t="s">
        <v>559</v>
      </c>
      <c r="BU2" s="103">
        <v>12</v>
      </c>
      <c r="BV2" s="104" t="str">
        <f>IFERROR(RIGHT(BT2,LEN(BT2)-SEARCH(" ",BT2)),"")</f>
        <v>František Vykopal</v>
      </c>
      <c r="BW2" s="102">
        <f>IF(BT2&lt;&gt;0,_xlfn.NUMBERVALUE(BU2,","),"")</f>
        <v>12</v>
      </c>
      <c r="BX2" s="335" t="s">
        <v>211</v>
      </c>
      <c r="BY2" s="103" t="s">
        <v>263</v>
      </c>
      <c r="BZ2" s="103" t="s">
        <v>1004</v>
      </c>
      <c r="CA2" s="115" t="s">
        <v>561</v>
      </c>
    </row>
    <row r="3" spans="1:79" ht="15" customHeight="1" thickTop="1" thickBot="1" x14ac:dyDescent="0.25">
      <c r="A3" s="377" t="str">
        <f ca="1">IFERROR(VLOOKUP(A1,OFFSET($AG$2,,,COUNTIF($AG$2:$AG$50,"?*"),23),18,FALSE),"")</f>
        <v/>
      </c>
      <c r="B3" s="378"/>
      <c r="C3" s="378"/>
      <c r="D3" s="379" t="str">
        <f ca="1">IFERROR(VLOOKUP(A1,OFFSET($AG$2,,,COUNTIF($AG$2:$AG$50,"?*"),23),19,FALSE),"")</f>
        <v/>
      </c>
      <c r="E3" s="379"/>
      <c r="F3" s="380"/>
      <c r="G3" s="348"/>
      <c r="H3" s="349"/>
      <c r="I3" s="349"/>
      <c r="J3" s="34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7" t="str">
        <f ca="1">IFERROR(VLOOKUP(M1,OFFSET($AG$2,,,COUNTIF($AG$2:$AG$50,"?*"),23),18,FALSE),"")</f>
        <v/>
      </c>
      <c r="N3" s="378"/>
      <c r="O3" s="378"/>
      <c r="P3" s="379" t="str">
        <f ca="1">IFERROR(VLOOKUP(M1,OFFSET($AG$2,,,COUNTIF($AG$2:$AG$50,"?*"),23),19,FALSE),"")</f>
        <v/>
      </c>
      <c r="Q3" s="379"/>
      <c r="R3" s="380"/>
      <c r="S3" s="110" t="s">
        <v>497</v>
      </c>
      <c r="U3" s="102">
        <v>6</v>
      </c>
      <c r="V3" s="102">
        <v>4</v>
      </c>
      <c r="W3" s="102">
        <v>1</v>
      </c>
      <c r="X3" s="102">
        <v>0</v>
      </c>
      <c r="Y3" s="102">
        <v>7</v>
      </c>
      <c r="Z3" s="102">
        <v>11</v>
      </c>
      <c r="AA3" s="102">
        <v>4</v>
      </c>
      <c r="AB3" s="102">
        <v>-2</v>
      </c>
      <c r="AC3" s="102" t="str">
        <f t="shared" ca="1" si="0"/>
        <v>NE</v>
      </c>
      <c r="AG3" s="121" t="s">
        <v>513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149</v>
      </c>
      <c r="AQ3" s="123">
        <v>177</v>
      </c>
      <c r="AR3" s="123">
        <v>70</v>
      </c>
      <c r="AS3" s="126" t="s">
        <v>538</v>
      </c>
      <c r="AT3" s="123">
        <v>2015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6 OZ, 2 (0+2), -8 ±</v>
      </c>
      <c r="AY3" s="129" t="str">
        <f t="shared" ca="1" si="2"/>
        <v>54 OZ, 22 (9+13)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557</v>
      </c>
      <c r="BO3" s="122">
        <v>33731</v>
      </c>
      <c r="BP3" s="131" t="s">
        <v>257</v>
      </c>
      <c r="BQ3" s="132"/>
      <c r="BR3" s="127">
        <f t="shared" ref="BR3:BR11" ca="1" si="12">IF(BN3&lt;&gt;"",IF(BO3&lt;&gt;"",INT((TODAY()-BO3)/365),"?"),"")</f>
        <v>29</v>
      </c>
      <c r="BS3" s="336"/>
      <c r="BT3" s="104" t="s">
        <v>884</v>
      </c>
      <c r="BU3" s="103">
        <v>11</v>
      </c>
      <c r="BV3" s="104" t="str">
        <f t="shared" ref="BV3:BV31" si="13">IFERROR(RIGHT(BT3,LEN(BT3)-SEARCH(" ",BT3)),"")</f>
        <v>Ronald Gašparík</v>
      </c>
      <c r="BW3" s="102">
        <f t="shared" ref="BW3:BW31" si="14">IF(BT3&lt;&gt;0,_xlfn.NUMBERVALUE(BU3,","),"")</f>
        <v>11</v>
      </c>
      <c r="BX3" s="335"/>
      <c r="BY3" s="103" t="s">
        <v>207</v>
      </c>
      <c r="BZ3" s="103" t="s">
        <v>933</v>
      </c>
      <c r="CA3" s="115" t="s">
        <v>1002</v>
      </c>
    </row>
    <row r="4" spans="1:79" ht="15" customHeight="1" thickBot="1" x14ac:dyDescent="0.25">
      <c r="A4" s="365" t="str">
        <f ca="1">IFERROR(IF(VLOOKUP(A1,OFFSET($AG$2,,,COUNTIF($AG$2:$AG$50,"?*"),23),13,FALSE)&lt;&gt;0,VLOOKUP(A1,OFFSET($AG$2,,,COUNTIF($AG$2:$AG$50,"?*"),23),13,FALSE),"?"),"")</f>
        <v/>
      </c>
      <c r="B4" s="366"/>
      <c r="C4" s="367"/>
      <c r="D4" s="368" t="str">
        <f ca="1">IFERROR(IF(VLOOKUP(A1,OFFSET($AG$2,,,COUNTIF($AG$2:$AG$50,"?*"),23),14,FALSE)&lt;&gt;0,VLOOKUP(A1,OFFSET($AG$2,,,COUNTIF($AG$2:$AG$50,"?*"),23),14,FALSE),"?"),"")</f>
        <v/>
      </c>
      <c r="E4" s="36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1" t="str">
        <f ca="1">IFERROR(IF(VLOOKUP(G3,OFFSET($AG$2,,,COUNTIF($AG$2:$AG$50,"?*"),23),2,FALSE)&lt;&gt;0,YEAR(VLOOKUP(G3,OFFSET($AG$2,,,COUNTIF($AG$2:$AG$50,"?*"),23),2,FALSE)),""),"")</f>
        <v/>
      </c>
      <c r="I4" s="342"/>
      <c r="J4" s="117" t="str">
        <f ca="1">IFERROR(VLOOKUP(G3,OFFSET($AG$2,,,COUNTIF($AG$2:$AG$50,"?*"),23),15,FALSE),"")</f>
        <v/>
      </c>
      <c r="K4" s="343" t="str">
        <f ca="1">IFERROR(VLOOKUP(G3,OFFSET($AG$2,,,COUNTIF($AG$2:$AG$50,"?*"),23),16,FALSE),"")</f>
        <v/>
      </c>
      <c r="L4" s="344"/>
      <c r="M4" s="365" t="str">
        <f ca="1">IFERROR(IF(VLOOKUP(M1,OFFSET($AG$2,,,COUNTIF($AG$2:$AG$50,"?*"),23),13,FALSE)&lt;&gt;0,VLOOKUP(M1,OFFSET($AG$2,,,COUNTIF($AG$2:$AG$50,"?*"),23),13,FALSE),"?"),"")</f>
        <v/>
      </c>
      <c r="N4" s="366"/>
      <c r="O4" s="367"/>
      <c r="P4" s="368" t="str">
        <f ca="1">IFERROR(IF(VLOOKUP(M1,OFFSET($AG$2,,,COUNTIF($AG$2:$AG$50,"?*"),23),14,FALSE)&lt;&gt;0,VLOOKUP(M1,OFFSET($AG$2,,,COUNTIF($AG$2:$AG$50,"?*"),23),14,FALSE),"?"),"")</f>
        <v/>
      </c>
      <c r="Q4" s="36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503</v>
      </c>
      <c r="T4" s="102" t="s">
        <v>119</v>
      </c>
      <c r="U4" s="102">
        <v>6</v>
      </c>
      <c r="V4" s="102">
        <v>3</v>
      </c>
      <c r="W4" s="102">
        <v>0</v>
      </c>
      <c r="X4" s="102">
        <v>0</v>
      </c>
      <c r="Y4" s="102">
        <v>4</v>
      </c>
      <c r="Z4" s="102">
        <v>7</v>
      </c>
      <c r="AA4" s="102">
        <v>0</v>
      </c>
      <c r="AB4" s="102">
        <v>-10</v>
      </c>
      <c r="AC4" s="102" t="str">
        <f t="shared" ca="1" si="0"/>
        <v>ANO</v>
      </c>
      <c r="AG4" s="121" t="s">
        <v>516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149</v>
      </c>
      <c r="AQ4" s="123">
        <v>177</v>
      </c>
      <c r="AR4" s="123">
        <v>77</v>
      </c>
      <c r="AS4" s="126" t="s">
        <v>539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558</v>
      </c>
      <c r="BO4" s="122">
        <v>25991</v>
      </c>
      <c r="BP4" s="131" t="s">
        <v>192</v>
      </c>
      <c r="BQ4" s="132"/>
      <c r="BR4" s="127">
        <f t="shared" ca="1" si="12"/>
        <v>50</v>
      </c>
      <c r="BS4" s="336"/>
      <c r="BT4" s="104" t="s">
        <v>1005</v>
      </c>
      <c r="BU4" s="103">
        <v>7</v>
      </c>
      <c r="BV4" s="104" t="str">
        <f t="shared" si="13"/>
        <v>Lukáš Petřík</v>
      </c>
      <c r="BW4" s="102">
        <f t="shared" si="14"/>
        <v>7</v>
      </c>
      <c r="BX4" s="335"/>
      <c r="BY4" s="103" t="s">
        <v>262</v>
      </c>
      <c r="BZ4" s="103" t="s">
        <v>942</v>
      </c>
      <c r="CA4" s="115" t="s">
        <v>1003</v>
      </c>
    </row>
    <row r="5" spans="1:79" ht="15" customHeight="1" thickTop="1" thickBot="1" x14ac:dyDescent="0.25">
      <c r="A5" s="8"/>
      <c r="B5" s="8"/>
      <c r="C5" s="8"/>
      <c r="D5" s="8"/>
      <c r="G5" s="377" t="str">
        <f ca="1">IFERROR(VLOOKUP(G3,OFFSET($AG$2,,,COUNTIF($AG$2:$AG$50,"?*"),23),18,FALSE),"")</f>
        <v/>
      </c>
      <c r="H5" s="378"/>
      <c r="I5" s="378"/>
      <c r="J5" s="379" t="str">
        <f ca="1">IFERROR(VLOOKUP(G3,OFFSET($AG$2,,,COUNTIF($AG$2:$AG$50,"?*"),23),19,FALSE),"")</f>
        <v/>
      </c>
      <c r="K5" s="379"/>
      <c r="L5" s="380"/>
      <c r="S5" s="110" t="s">
        <v>500</v>
      </c>
      <c r="U5" s="102">
        <v>6</v>
      </c>
      <c r="V5" s="102">
        <v>5</v>
      </c>
      <c r="W5" s="102">
        <v>0</v>
      </c>
      <c r="X5" s="102">
        <v>0</v>
      </c>
      <c r="Y5" s="102">
        <v>1</v>
      </c>
      <c r="Z5" s="102">
        <v>6</v>
      </c>
      <c r="AA5" s="102">
        <v>2</v>
      </c>
      <c r="AB5" s="102">
        <v>-2</v>
      </c>
      <c r="AC5" s="102" t="str">
        <f t="shared" ca="1" si="0"/>
        <v>ANO</v>
      </c>
      <c r="AG5" s="121" t="s">
        <v>517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149</v>
      </c>
      <c r="AQ5" s="123">
        <v>193</v>
      </c>
      <c r="AR5" s="123">
        <v>77</v>
      </c>
      <c r="AS5" s="126" t="s">
        <v>540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36"/>
      <c r="BT5" s="104" t="s">
        <v>1006</v>
      </c>
      <c r="BU5" s="103">
        <v>6</v>
      </c>
      <c r="BV5" s="104" t="str">
        <f t="shared" si="13"/>
        <v>Peter Nehila</v>
      </c>
      <c r="BW5" s="102">
        <f t="shared" si="14"/>
        <v>6</v>
      </c>
      <c r="BX5" s="335"/>
      <c r="BY5" s="103" t="s">
        <v>855</v>
      </c>
      <c r="BZ5" s="103" t="s">
        <v>953</v>
      </c>
      <c r="CA5" s="115" t="s">
        <v>838</v>
      </c>
    </row>
    <row r="6" spans="1:79" ht="15" customHeight="1" thickTop="1" thickBot="1" x14ac:dyDescent="0.25">
      <c r="A6" s="348"/>
      <c r="B6" s="349"/>
      <c r="C6" s="349"/>
      <c r="D6" s="34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5" t="str">
        <f ca="1">IFERROR(IF(VLOOKUP(G3,OFFSET($AG$2,,,COUNTIF($AG$2:$AG$50,"?*"),23),13,FALSE)&lt;&gt;0,VLOOKUP(G3,OFFSET($AG$2,,,COUNTIF($AG$2:$AG$50,"?*"),23),13,FALSE),"?"),"")</f>
        <v/>
      </c>
      <c r="H6" s="366"/>
      <c r="I6" s="367"/>
      <c r="J6" s="368" t="str">
        <f ca="1">IFERROR(IF(VLOOKUP(G3,OFFSET($AG$2,,,COUNTIF($AG$2:$AG$50,"?*"),23),14,FALSE)&lt;&gt;0,VLOOKUP(G3,OFFSET($AG$2,,,COUNTIF($AG$2:$AG$50,"?*"),23),14,FALSE),"?"),"")</f>
        <v/>
      </c>
      <c r="K6" s="369"/>
      <c r="L6" s="7" t="str">
        <f ca="1">IFERROR(IF(VLOOKUP(G3,OFFSET($AG$2,,,COUNTIF($AG$2:$AG$50,"?*"),23),7,FALSE)&lt;&gt;0,VLOOKUP(G3,OFFSET($AG$2,,,COUNTIF($AG$2:$AG$50,"?*"),23),7,FALSE),"?"),"")</f>
        <v/>
      </c>
      <c r="M6" s="348"/>
      <c r="N6" s="349"/>
      <c r="O6" s="349"/>
      <c r="P6" s="34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506</v>
      </c>
      <c r="T6" s="102" t="s">
        <v>119</v>
      </c>
      <c r="U6" s="102">
        <v>6</v>
      </c>
      <c r="V6" s="102">
        <v>3</v>
      </c>
      <c r="W6" s="102">
        <v>0</v>
      </c>
      <c r="X6" s="102">
        <v>0</v>
      </c>
      <c r="Y6" s="102">
        <v>1</v>
      </c>
      <c r="Z6" s="102">
        <v>4</v>
      </c>
      <c r="AA6" s="102">
        <v>0</v>
      </c>
      <c r="AB6" s="102">
        <v>-7</v>
      </c>
      <c r="AC6" s="102" t="str">
        <f t="shared" ca="1" si="0"/>
        <v>ANO</v>
      </c>
      <c r="AG6" s="121" t="s">
        <v>512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149</v>
      </c>
      <c r="AQ6" s="123">
        <v>180</v>
      </c>
      <c r="AR6" s="123">
        <v>80</v>
      </c>
      <c r="AS6" s="126" t="s">
        <v>538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36"/>
      <c r="BT6" s="104" t="s">
        <v>1288</v>
      </c>
      <c r="BU6" s="103">
        <v>4</v>
      </c>
      <c r="BV6" s="104" t="str">
        <f t="shared" si="13"/>
        <v>Pavel Jurčík</v>
      </c>
      <c r="BW6" s="102">
        <f t="shared" si="14"/>
        <v>4</v>
      </c>
      <c r="BX6" s="335"/>
      <c r="BY6" s="103" t="s">
        <v>204</v>
      </c>
      <c r="BZ6" s="103" t="s">
        <v>978</v>
      </c>
      <c r="CA6" s="115" t="s">
        <v>811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1" t="str">
        <f ca="1">IFERROR(IF(VLOOKUP(A6,OFFSET($AG$2,,,COUNTIF($AG$2:$AG$50,"?*"),23),2,FALSE)&lt;&gt;0,YEAR(VLOOKUP(A6,OFFSET($AG$2,,,COUNTIF($AG$2:$AG$50,"?*"),23),2,FALSE)),""),"")</f>
        <v/>
      </c>
      <c r="C7" s="342"/>
      <c r="D7" s="117" t="str">
        <f ca="1">IFERROR(VLOOKUP(A6,OFFSET($AG$2,,,COUNTIF($AG$2:$AG$50,"?*"),23),15,FALSE),"")</f>
        <v/>
      </c>
      <c r="E7" s="343" t="str">
        <f ca="1">IFERROR(VLOOKUP(A6,OFFSET($AG$2,,,COUNTIF($AG$2:$AG$50,"?*"),23),16,FALSE),"")</f>
        <v/>
      </c>
      <c r="F7" s="344"/>
      <c r="M7" s="4" t="str">
        <f ca="1">IFERROR(IF(VLOOKUP(M6,OFFSET($AG$2,,,COUNTIF($AG$2:$AG$50,"?*"),23),10,FALSE)&lt;&gt;0,VLOOKUP(M6,OFFSET($AG$2,,,COUNTIF($AG$2:$AG$50,"?*"),23),10,FALSE),""),"")</f>
        <v/>
      </c>
      <c r="N7" s="341" t="str">
        <f ca="1">IFERROR(IF(VLOOKUP(M6,OFFSET($AG$2,,,COUNTIF($AG$2:$AG$50,"?*"),23),2,FALSE)&lt;&gt;0,YEAR(VLOOKUP(M6,OFFSET($AG$2,,,COUNTIF($AG$2:$AG$50,"?*"),23),2,FALSE)),""),"")</f>
        <v/>
      </c>
      <c r="O7" s="342"/>
      <c r="P7" s="117" t="str">
        <f ca="1">IFERROR(VLOOKUP(M6,OFFSET($AG$2,,,COUNTIF($AG$2:$AG$50,"?*"),23),15,FALSE),"")</f>
        <v/>
      </c>
      <c r="Q7" s="343" t="str">
        <f ca="1">IFERROR(VLOOKUP(M6,OFFSET($AG$2,,,COUNTIF($AG$2:$AG$50,"?*"),23),16,FALSE),"")</f>
        <v/>
      </c>
      <c r="R7" s="344"/>
      <c r="S7" s="110" t="s">
        <v>499</v>
      </c>
      <c r="T7" s="102" t="s">
        <v>119</v>
      </c>
      <c r="U7" s="102">
        <v>6</v>
      </c>
      <c r="V7" s="102">
        <v>2</v>
      </c>
      <c r="W7" s="102">
        <v>0</v>
      </c>
      <c r="X7" s="102">
        <v>0</v>
      </c>
      <c r="Y7" s="102">
        <v>2</v>
      </c>
      <c r="Z7" s="102">
        <v>4</v>
      </c>
      <c r="AA7" s="102">
        <v>0</v>
      </c>
      <c r="AB7" s="102">
        <v>-7</v>
      </c>
      <c r="AC7" s="102" t="str">
        <f t="shared" ca="1" si="0"/>
        <v>NE</v>
      </c>
      <c r="AG7" s="121" t="s">
        <v>501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149</v>
      </c>
      <c r="AQ7" s="123">
        <v>174</v>
      </c>
      <c r="AR7" s="123">
        <v>73</v>
      </c>
      <c r="AS7" s="126" t="s">
        <v>541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5 OZ, 2 (1+1), -6 ±</v>
      </c>
      <c r="AY7" s="129" t="str">
        <f t="shared" ca="1" si="2"/>
        <v>176 OZ, 162 (100+62)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6" t="s">
        <v>40</v>
      </c>
      <c r="BT7" s="104" t="s">
        <v>1007</v>
      </c>
      <c r="BU7" s="103" t="s">
        <v>1289</v>
      </c>
      <c r="BV7" s="104" t="str">
        <f t="shared" si="13"/>
        <v>Adam Kohút</v>
      </c>
      <c r="BW7" s="112">
        <f t="shared" si="14"/>
        <v>6.31</v>
      </c>
      <c r="BX7" s="335" t="s">
        <v>212</v>
      </c>
      <c r="BY7" s="103" t="s">
        <v>1113</v>
      </c>
      <c r="BZ7" s="103" t="s">
        <v>932</v>
      </c>
      <c r="CA7" s="115" t="s">
        <v>205</v>
      </c>
    </row>
    <row r="8" spans="1:79" ht="15" customHeight="1" x14ac:dyDescent="0.2">
      <c r="A8" s="377" t="str">
        <f ca="1">IFERROR(VLOOKUP(A6,OFFSET($AG$2,,,COUNTIF($AG$2:$AG$50,"?*"),23),18,FALSE),"")</f>
        <v/>
      </c>
      <c r="B8" s="378"/>
      <c r="C8" s="378"/>
      <c r="D8" s="379" t="str">
        <f ca="1">IFERROR(VLOOKUP(A6,OFFSET($AG$2,,,COUNTIF($AG$2:$AG$50,"?*"),23),19,FALSE),"")</f>
        <v/>
      </c>
      <c r="E8" s="379"/>
      <c r="F8" s="380"/>
      <c r="H8" s="381" t="s">
        <v>100</v>
      </c>
      <c r="I8" s="381"/>
      <c r="J8" s="381"/>
      <c r="K8" s="381"/>
      <c r="M8" s="377" t="str">
        <f ca="1">IFERROR(VLOOKUP(M6,OFFSET($AG$2,,,COUNTIF($AG$2:$AG$50,"?*"),23),18,FALSE),"")</f>
        <v/>
      </c>
      <c r="N8" s="378"/>
      <c r="O8" s="378"/>
      <c r="P8" s="379" t="str">
        <f ca="1">IFERROR(VLOOKUP(M6,OFFSET($AG$2,,,COUNTIF($AG$2:$AG$50,"?*"),23),19,FALSE),"")</f>
        <v/>
      </c>
      <c r="Q8" s="379"/>
      <c r="R8" s="380"/>
      <c r="S8" s="110" t="s">
        <v>498</v>
      </c>
      <c r="T8" s="102" t="s">
        <v>119</v>
      </c>
      <c r="U8" s="102">
        <v>6</v>
      </c>
      <c r="V8" s="102">
        <v>2</v>
      </c>
      <c r="W8" s="102">
        <v>1</v>
      </c>
      <c r="X8" s="102">
        <v>0</v>
      </c>
      <c r="Y8" s="102">
        <v>0</v>
      </c>
      <c r="Z8" s="102">
        <v>2</v>
      </c>
      <c r="AA8" s="102">
        <v>2</v>
      </c>
      <c r="AB8" s="102">
        <v>-9</v>
      </c>
      <c r="AC8" s="102" t="str">
        <f t="shared" ca="1" si="0"/>
        <v>NE</v>
      </c>
      <c r="AG8" s="121" t="s">
        <v>518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149</v>
      </c>
      <c r="AQ8" s="123">
        <v>185</v>
      </c>
      <c r="AR8" s="123">
        <v>75</v>
      </c>
      <c r="AS8" s="126" t="s">
        <v>542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6"/>
      <c r="BT8" s="104" t="s">
        <v>1008</v>
      </c>
      <c r="BU8" s="103" t="s">
        <v>1009</v>
      </c>
      <c r="BV8" s="104" t="str">
        <f t="shared" si="13"/>
        <v>Kevin Majrich</v>
      </c>
      <c r="BW8" s="112">
        <f t="shared" si="14"/>
        <v>8.09</v>
      </c>
      <c r="BX8" s="335"/>
      <c r="BY8" s="103" t="s">
        <v>913</v>
      </c>
      <c r="BZ8" s="103" t="s">
        <v>965</v>
      </c>
      <c r="CA8" s="115" t="s">
        <v>205</v>
      </c>
    </row>
    <row r="9" spans="1:79" ht="15" customHeight="1" thickBot="1" x14ac:dyDescent="0.25">
      <c r="A9" s="365" t="str">
        <f ca="1">IFERROR(IF(VLOOKUP(A6,OFFSET($AG$2,,,COUNTIF($AG$2:$AG$50,"?*"),23),13,FALSE)&lt;&gt;0,VLOOKUP(A6,OFFSET($AG$2,,,COUNTIF($AG$2:$AG$50,"?*"),23),13,FALSE),"?"),"")</f>
        <v/>
      </c>
      <c r="B9" s="366"/>
      <c r="C9" s="367"/>
      <c r="D9" s="368" t="str">
        <f ca="1">IFERROR(IF(VLOOKUP(A6,OFFSET($AG$2,,,COUNTIF($AG$2:$AG$50,"?*"),23),14,FALSE)&lt;&gt;0,VLOOKUP(A6,OFFSET($AG$2,,,COUNTIF($AG$2:$AG$50,"?*"),23),14,FALSE),"?"),"")</f>
        <v/>
      </c>
      <c r="E9" s="369"/>
      <c r="F9" s="7" t="str">
        <f ca="1">IFERROR(IF(VLOOKUP(A6,OFFSET($AG$2,,,COUNTIF($AG$2:$AG$50,"?*"),23),7,FALSE)&lt;&gt;0,VLOOKUP(A6,OFFSET($AG$2,,,COUNTIF($AG$2:$AG$50,"?*"),23),7,FALSE),"?"),"")</f>
        <v/>
      </c>
      <c r="H9" s="381"/>
      <c r="I9" s="381"/>
      <c r="J9" s="381"/>
      <c r="K9" s="381"/>
      <c r="M9" s="365" t="str">
        <f ca="1">IFERROR(IF(VLOOKUP(M6,OFFSET($AG$2,,,COUNTIF($AG$2:$AG$50,"?*"),23),13,FALSE)&lt;&gt;0,VLOOKUP(M6,OFFSET($AG$2,,,COUNTIF($AG$2:$AG$50,"?*"),23),13,FALSE),"?"),"")</f>
        <v/>
      </c>
      <c r="N9" s="366"/>
      <c r="O9" s="367"/>
      <c r="P9" s="368" t="str">
        <f ca="1">IFERROR(IF(VLOOKUP(M6,OFFSET($AG$2,,,COUNTIF($AG$2:$AG$50,"?*"),23),14,FALSE)&lt;&gt;0,VLOOKUP(M6,OFFSET($AG$2,,,COUNTIF($AG$2:$AG$50,"?*"),23),14,FALSE),"?"),"")</f>
        <v/>
      </c>
      <c r="Q9" s="36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501</v>
      </c>
      <c r="T9" s="102" t="s">
        <v>119</v>
      </c>
      <c r="U9" s="102">
        <v>5</v>
      </c>
      <c r="V9" s="102">
        <v>1</v>
      </c>
      <c r="W9" s="102">
        <v>1</v>
      </c>
      <c r="X9" s="102">
        <v>0</v>
      </c>
      <c r="Y9" s="102">
        <v>1</v>
      </c>
      <c r="Z9" s="102">
        <v>2</v>
      </c>
      <c r="AA9" s="102">
        <v>0</v>
      </c>
      <c r="AB9" s="102">
        <v>-6</v>
      </c>
      <c r="AC9" s="102" t="str">
        <f t="shared" ca="1" si="0"/>
        <v>ANO</v>
      </c>
      <c r="AG9" s="121" t="s">
        <v>519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149</v>
      </c>
      <c r="AQ9" s="123">
        <v>193</v>
      </c>
      <c r="AR9" s="123">
        <v>90</v>
      </c>
      <c r="AS9" s="126" t="s">
        <v>543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6"/>
      <c r="BT9" s="104" t="s">
        <v>1010</v>
      </c>
      <c r="BU9" s="103" t="s">
        <v>1011</v>
      </c>
      <c r="BV9" s="104" t="str">
        <f t="shared" si="13"/>
        <v>Miroslav Steiger</v>
      </c>
      <c r="BW9" s="112">
        <f t="shared" si="14"/>
        <v>11.1</v>
      </c>
      <c r="BX9" s="335"/>
      <c r="BY9" s="103" t="s">
        <v>915</v>
      </c>
      <c r="BZ9" s="103" t="s">
        <v>964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530</v>
      </c>
      <c r="T10" s="102" t="s">
        <v>119</v>
      </c>
      <c r="U10" s="102">
        <v>4</v>
      </c>
      <c r="V10" s="102">
        <v>0</v>
      </c>
      <c r="W10" s="102">
        <v>0</v>
      </c>
      <c r="X10" s="102">
        <v>0</v>
      </c>
      <c r="Y10" s="102">
        <v>2</v>
      </c>
      <c r="Z10" s="102">
        <v>2</v>
      </c>
      <c r="AA10" s="102">
        <v>0</v>
      </c>
      <c r="AB10" s="102">
        <v>-2</v>
      </c>
      <c r="AC10" s="102" t="str">
        <f t="shared" ca="1" si="0"/>
        <v>ANO</v>
      </c>
      <c r="AG10" s="121" t="s">
        <v>354</v>
      </c>
      <c r="AH10" s="122"/>
      <c r="AI10" s="123"/>
      <c r="AJ10" s="123"/>
      <c r="AK10" s="123"/>
      <c r="AL10" s="124">
        <f>IF(AG10&lt;&gt;"",AJ10+AK10,"")</f>
        <v>0</v>
      </c>
      <c r="AM10" s="123" t="s">
        <v>303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6"/>
      <c r="BV10" s="104" t="str">
        <f t="shared" si="13"/>
        <v/>
      </c>
      <c r="BW10" s="112" t="str">
        <f t="shared" si="14"/>
        <v/>
      </c>
      <c r="BX10" s="335"/>
      <c r="BY10" s="103" t="s">
        <v>945</v>
      </c>
      <c r="BZ10" s="103" t="s">
        <v>962</v>
      </c>
      <c r="CA10" s="115" t="s">
        <v>205</v>
      </c>
    </row>
    <row r="11" spans="1:79" ht="15" customHeight="1" thickTop="1" thickBot="1" x14ac:dyDescent="0.25">
      <c r="R11" s="13"/>
      <c r="S11" s="110" t="s">
        <v>513</v>
      </c>
      <c r="T11" s="102" t="s">
        <v>119</v>
      </c>
      <c r="U11" s="102">
        <v>6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0</v>
      </c>
      <c r="AB11" s="102">
        <v>-8</v>
      </c>
      <c r="AC11" s="102" t="str">
        <f t="shared" ca="1" si="0"/>
        <v>ANO</v>
      </c>
      <c r="AG11" s="121" t="s">
        <v>520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149</v>
      </c>
      <c r="AQ11" s="123">
        <v>188</v>
      </c>
      <c r="AR11" s="123">
        <v>78</v>
      </c>
      <c r="AS11" s="126" t="s">
        <v>538</v>
      </c>
      <c r="AT11" s="123">
        <v>2014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6"/>
      <c r="BV11" s="104" t="str">
        <f t="shared" si="13"/>
        <v/>
      </c>
      <c r="BW11" s="112" t="str">
        <f t="shared" si="14"/>
        <v/>
      </c>
      <c r="BX11" s="335"/>
      <c r="BY11" s="103" t="s">
        <v>1106</v>
      </c>
      <c r="BZ11" s="103" t="s">
        <v>961</v>
      </c>
      <c r="CA11" s="115" t="s">
        <v>205</v>
      </c>
    </row>
    <row r="12" spans="1:79" ht="15" customHeight="1" thickTop="1" thickBot="1" x14ac:dyDescent="0.25">
      <c r="A12" s="348"/>
      <c r="B12" s="349"/>
      <c r="C12" s="349"/>
      <c r="D12" s="34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82" t="s">
        <v>7</v>
      </c>
      <c r="I12" s="382"/>
      <c r="J12" s="382"/>
      <c r="K12" s="382"/>
      <c r="M12" s="348"/>
      <c r="N12" s="349"/>
      <c r="O12" s="349"/>
      <c r="P12" s="34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505</v>
      </c>
      <c r="U12" s="102">
        <v>6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4</v>
      </c>
      <c r="AB12" s="102">
        <v>-10</v>
      </c>
      <c r="AC12" s="102" t="str">
        <f t="shared" ca="1" si="0"/>
        <v>NE</v>
      </c>
      <c r="AG12" s="121" t="s">
        <v>506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544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6 OZ, 4 (3+1), -7 ±</v>
      </c>
      <c r="AY12" s="129" t="str">
        <f t="shared" ca="1" si="2"/>
        <v>147 OZ, 65 (44+21)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6" t="s">
        <v>37</v>
      </c>
      <c r="BT12" s="104" t="s">
        <v>559</v>
      </c>
      <c r="BU12" s="103">
        <v>7</v>
      </c>
      <c r="BV12" s="104" t="str">
        <f t="shared" si="13"/>
        <v>František Vykopal</v>
      </c>
      <c r="BW12" s="102">
        <f t="shared" si="14"/>
        <v>7</v>
      </c>
      <c r="BX12" s="120" t="s">
        <v>210</v>
      </c>
      <c r="BY12" s="100" t="s">
        <v>1287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1" t="str">
        <f ca="1">IFERROR(IF(VLOOKUP(A12,OFFSET($AG$2,,,COUNTIF($AG$2:$AG$50,"?*"),23),2,FALSE)&lt;&gt;0,YEAR(VLOOKUP(A12,OFFSET($AG$2,,,COUNTIF($AG$2:$AG$50,"?*"),23),2,FALSE)),""),"")</f>
        <v/>
      </c>
      <c r="C13" s="342"/>
      <c r="D13" s="117" t="str">
        <f ca="1">IFERROR(VLOOKUP(A12,OFFSET($AG$2,,,COUNTIF($AG$2:$AG$50,"?*"),23),15,FALSE),"")</f>
        <v/>
      </c>
      <c r="E13" s="343" t="str">
        <f ca="1">IFERROR(VLOOKUP(A12,OFFSET($AG$2,,,COUNTIF($AG$2:$AG$50,"?*"),23),16,FALSE),"")</f>
        <v/>
      </c>
      <c r="F13" s="344"/>
      <c r="M13" s="4" t="str">
        <f ca="1">IFERROR(IF(VLOOKUP(M12,OFFSET($AG$2,,,COUNTIF($AG$2:$AG$50,"?*"),23),10,FALSE)&lt;&gt;0,VLOOKUP(M12,OFFSET($AG$2,,,COUNTIF($AG$2:$AG$50,"?*"),23),10,FALSE),""),"")</f>
        <v/>
      </c>
      <c r="N13" s="341" t="str">
        <f ca="1">IFERROR(IF(VLOOKUP(M12,OFFSET($AG$2,,,COUNTIF($AG$2:$AG$50,"?*"),23),2,FALSE)&lt;&gt;0,YEAR(VLOOKUP(M12,OFFSET($AG$2,,,COUNTIF($AG$2:$AG$50,"?*"),23),2,FALSE)),""),"")</f>
        <v/>
      </c>
      <c r="O13" s="342"/>
      <c r="P13" s="117" t="str">
        <f ca="1">IFERROR(VLOOKUP(M12,OFFSET($AG$2,,,COUNTIF($AG$2:$AG$50,"?*"),23),15,FALSE),"")</f>
        <v/>
      </c>
      <c r="Q13" s="343" t="str">
        <f ca="1">IFERROR(VLOOKUP(M12,OFFSET($AG$2,,,COUNTIF($AG$2:$AG$50,"?*"),23),16,FALSE),"")</f>
        <v/>
      </c>
      <c r="R13" s="344"/>
      <c r="S13" s="110" t="s">
        <v>502</v>
      </c>
      <c r="U13" s="102">
        <v>6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-5</v>
      </c>
      <c r="AC13" s="102" t="str">
        <f t="shared" ca="1" si="0"/>
        <v>NE</v>
      </c>
      <c r="AG13" s="121" t="s">
        <v>521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149</v>
      </c>
      <c r="AQ13" s="123">
        <v>172</v>
      </c>
      <c r="AR13" s="123">
        <v>67</v>
      </c>
      <c r="AS13" s="126" t="s">
        <v>543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6"/>
      <c r="BT13" s="104" t="s">
        <v>1290</v>
      </c>
      <c r="BU13" s="103">
        <v>5</v>
      </c>
      <c r="BV13" s="104" t="str">
        <f t="shared" si="13"/>
        <v>Peter Nehila</v>
      </c>
      <c r="BW13" s="102">
        <f t="shared" si="14"/>
        <v>5</v>
      </c>
    </row>
    <row r="14" spans="1:79" ht="15" customHeight="1" thickTop="1" thickBot="1" x14ac:dyDescent="0.25">
      <c r="A14" s="377" t="str">
        <f ca="1">IFERROR(VLOOKUP(A12,OFFSET($AG$2,,,COUNTIF($AG$2:$AG$50,"?*"),23),18,FALSE),"")</f>
        <v/>
      </c>
      <c r="B14" s="378"/>
      <c r="C14" s="378"/>
      <c r="D14" s="379" t="str">
        <f ca="1">IFERROR(VLOOKUP(A12,OFFSET($AG$2,,,COUNTIF($AG$2:$AG$50,"?*"),23),19,FALSE),"")</f>
        <v/>
      </c>
      <c r="E14" s="379"/>
      <c r="F14" s="380"/>
      <c r="G14" s="348"/>
      <c r="H14" s="349"/>
      <c r="I14" s="349"/>
      <c r="J14" s="34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7" t="str">
        <f ca="1">IFERROR(VLOOKUP(M12,OFFSET($AG$2,,,COUNTIF($AG$2:$AG$50,"?*"),23),18,FALSE),"")</f>
        <v/>
      </c>
      <c r="N14" s="378"/>
      <c r="O14" s="378"/>
      <c r="P14" s="379" t="str">
        <f ca="1">IFERROR(VLOOKUP(M12,OFFSET($AG$2,,,COUNTIF($AG$2:$AG$50,"?*"),23),19,FALSE),"")</f>
        <v/>
      </c>
      <c r="Q14" s="379"/>
      <c r="R14" s="380"/>
      <c r="S14" s="110" t="s">
        <v>509</v>
      </c>
      <c r="T14" s="102" t="s">
        <v>64</v>
      </c>
      <c r="U14" s="102">
        <v>3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1</v>
      </c>
      <c r="AC14" s="102" t="str">
        <f t="shared" ca="1" si="0"/>
        <v>ANO</v>
      </c>
      <c r="AG14" s="121" t="s">
        <v>522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149</v>
      </c>
      <c r="AQ14" s="123">
        <v>181</v>
      </c>
      <c r="AR14" s="123">
        <v>80</v>
      </c>
      <c r="AS14" s="126" t="s">
        <v>545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6"/>
      <c r="BT14" s="104" t="s">
        <v>1291</v>
      </c>
      <c r="BU14" s="103">
        <v>4</v>
      </c>
      <c r="BV14" s="104" t="str">
        <f t="shared" si="13"/>
        <v>Ronald Gašparík</v>
      </c>
      <c r="BW14" s="102">
        <f t="shared" si="14"/>
        <v>4</v>
      </c>
    </row>
    <row r="15" spans="1:79" ht="15" customHeight="1" thickBot="1" x14ac:dyDescent="0.25">
      <c r="A15" s="365" t="str">
        <f ca="1">IFERROR(IF(VLOOKUP(A12,OFFSET($AG$2,,,COUNTIF($AG$2:$AG$50,"?*"),23),13,FALSE)&lt;&gt;0,VLOOKUP(A12,OFFSET($AG$2,,,COUNTIF($AG$2:$AG$50,"?*"),23),13,FALSE),"?"),"")</f>
        <v/>
      </c>
      <c r="B15" s="366"/>
      <c r="C15" s="367"/>
      <c r="D15" s="368" t="str">
        <f ca="1">IFERROR(IF(VLOOKUP(A12,OFFSET($AG$2,,,COUNTIF($AG$2:$AG$50,"?*"),23),14,FALSE)&lt;&gt;0,VLOOKUP(A12,OFFSET($AG$2,,,COUNTIF($AG$2:$AG$50,"?*"),23),14,FALSE),"?"),"")</f>
        <v/>
      </c>
      <c r="E15" s="36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1" t="str">
        <f ca="1">IFERROR(IF(VLOOKUP(G14,OFFSET($AG$2,,,COUNTIF($AG$2:$AG$50,"?*"),23),2,FALSE)&lt;&gt;0,YEAR(VLOOKUP(G14,OFFSET($AG$2,,,COUNTIF($AG$2:$AG$50,"?*"),23),2,FALSE)),""),"")</f>
        <v/>
      </c>
      <c r="I15" s="342"/>
      <c r="J15" s="117" t="str">
        <f ca="1">IFERROR(VLOOKUP(G14,OFFSET($AG$2,,,COUNTIF($AG$2:$AG$50,"?*"),23),15,FALSE),"")</f>
        <v/>
      </c>
      <c r="K15" s="343" t="str">
        <f ca="1">IFERROR(VLOOKUP(G14,OFFSET($AG$2,,,COUNTIF($AG$2:$AG$50,"?*"),23),16,FALSE),"")</f>
        <v/>
      </c>
      <c r="L15" s="344"/>
      <c r="M15" s="365" t="str">
        <f ca="1">IFERROR(IF(VLOOKUP(M12,OFFSET($AG$2,,,COUNTIF($AG$2:$AG$50,"?*"),23),13,FALSE)&lt;&gt;0,VLOOKUP(M12,OFFSET($AG$2,,,COUNTIF($AG$2:$AG$50,"?*"),23),13,FALSE),"?"),"")</f>
        <v/>
      </c>
      <c r="N15" s="366"/>
      <c r="O15" s="367"/>
      <c r="P15" s="368" t="str">
        <f ca="1">IFERROR(IF(VLOOKUP(M12,OFFSET($AG$2,,,COUNTIF($AG$2:$AG$50,"?*"),23),14,FALSE)&lt;&gt;0,VLOOKUP(M12,OFFSET($AG$2,,,COUNTIF($AG$2:$AG$50,"?*"),23),14,FALSE),"?"),"")</f>
        <v/>
      </c>
      <c r="Q15" s="36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1286</v>
      </c>
      <c r="U15" s="102">
        <v>1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-1</v>
      </c>
      <c r="AC15" s="102" t="str">
        <f t="shared" ca="1" si="0"/>
        <v>NE</v>
      </c>
      <c r="AG15" s="121" t="s">
        <v>401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149</v>
      </c>
      <c r="AQ15" s="123">
        <v>185</v>
      </c>
      <c r="AR15" s="123">
        <v>77</v>
      </c>
      <c r="AS15" s="126" t="s">
        <v>153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6"/>
      <c r="BT15" s="104" t="s">
        <v>1292</v>
      </c>
      <c r="BU15" s="103">
        <v>3</v>
      </c>
      <c r="BV15" s="104" t="str">
        <f t="shared" si="13"/>
        <v>Lukáš Petřík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77" t="str">
        <f ca="1">IFERROR(VLOOKUP(G14,OFFSET($AG$2,,,COUNTIF($AG$2:$AG$50,"?*"),23),18,FALSE),"")</f>
        <v/>
      </c>
      <c r="H16" s="378"/>
      <c r="I16" s="378"/>
      <c r="J16" s="379" t="str">
        <f ca="1">IFERROR(VLOOKUP(G14,OFFSET($AG$2,,,COUNTIF($AG$2:$AG$50,"?*"),23),19,FALSE),"")</f>
        <v/>
      </c>
      <c r="K16" s="379"/>
      <c r="L16" s="380"/>
      <c r="S16" s="110" t="s">
        <v>512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523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149</v>
      </c>
      <c r="AQ16" s="123">
        <v>196</v>
      </c>
      <c r="AR16" s="123">
        <v>91</v>
      </c>
      <c r="AS16" s="126" t="s">
        <v>543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6"/>
      <c r="BT16" s="104" t="s">
        <v>1288</v>
      </c>
      <c r="BU16" s="103">
        <v>3</v>
      </c>
      <c r="BV16" s="104" t="str">
        <f t="shared" si="13"/>
        <v>Pavel Jurčík</v>
      </c>
      <c r="BW16" s="102">
        <f t="shared" si="14"/>
        <v>3</v>
      </c>
    </row>
    <row r="17" spans="1:75" ht="15" customHeight="1" thickTop="1" thickBot="1" x14ac:dyDescent="0.25">
      <c r="A17" s="348"/>
      <c r="B17" s="349"/>
      <c r="C17" s="349"/>
      <c r="D17" s="34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5" t="str">
        <f ca="1">IFERROR(IF(VLOOKUP(G14,OFFSET($AG$2,,,COUNTIF($AG$2:$AG$50,"?*"),23),13,FALSE)&lt;&gt;0,VLOOKUP(G14,OFFSET($AG$2,,,COUNTIF($AG$2:$AG$50,"?*"),23),13,FALSE),"?"),"")</f>
        <v/>
      </c>
      <c r="H17" s="366"/>
      <c r="I17" s="367"/>
      <c r="J17" s="368" t="str">
        <f ca="1">IFERROR(IF(VLOOKUP(G14,OFFSET($AG$2,,,COUNTIF($AG$2:$AG$50,"?*"),23),14,FALSE)&lt;&gt;0,VLOOKUP(G14,OFFSET($AG$2,,,COUNTIF($AG$2:$AG$50,"?*"),23),14,FALSE),"?"),"")</f>
        <v/>
      </c>
      <c r="K17" s="369"/>
      <c r="L17" s="7" t="str">
        <f ca="1">IFERROR(IF(VLOOKUP(G14,OFFSET($AG$2,,,COUNTIF($AG$2:$AG$50,"?*"),23),7,FALSE)&lt;&gt;0,VLOOKUP(G14,OFFSET($AG$2,,,COUNTIF($AG$2:$AG$50,"?*"),23),7,FALSE),"?"),"")</f>
        <v/>
      </c>
      <c r="M17" s="348"/>
      <c r="N17" s="349"/>
      <c r="O17" s="349"/>
      <c r="P17" s="34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1012</v>
      </c>
      <c r="U17" s="102">
        <v>0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524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546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6" t="s">
        <v>41</v>
      </c>
      <c r="BT17" s="104" t="s">
        <v>882</v>
      </c>
      <c r="BU17" s="103">
        <v>1</v>
      </c>
      <c r="BV17" s="104" t="str">
        <f t="shared" si="13"/>
        <v>Kevin Majrich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1" t="str">
        <f ca="1">IFERROR(IF(VLOOKUP(A17,OFFSET($AG$2,,,COUNTIF($AG$2:$AG$50,"?*"),23),2,FALSE)&lt;&gt;0,YEAR(VLOOKUP(A17,OFFSET($AG$2,,,COUNTIF($AG$2:$AG$50,"?*"),23),2,FALSE)),""),"")</f>
        <v/>
      </c>
      <c r="C18" s="342"/>
      <c r="D18" s="150" t="str">
        <f ca="1">IFERROR(VLOOKUP(A17,OFFSET($AG$2,,,COUNTIF($AG$2:$AG$50,"?*"),23),15,FALSE),"")</f>
        <v/>
      </c>
      <c r="E18" s="343" t="str">
        <f ca="1">IFERROR(VLOOKUP(A17,OFFSET($AG$2,,,COUNTIF($AG$2:$AG$50,"?*"),23),16,FALSE),"")</f>
        <v/>
      </c>
      <c r="F18" s="344"/>
      <c r="M18" s="4" t="str">
        <f ca="1">IFERROR(IF(VLOOKUP(M17,OFFSET($AG$2,,,COUNTIF($AG$2:$AG$50,"?*"),23),10,FALSE)&lt;&gt;0,VLOOKUP(M17,OFFSET($AG$2,,,COUNTIF($AG$2:$AG$50,"?*"),23),10,FALSE),""),"")</f>
        <v/>
      </c>
      <c r="N18" s="341" t="str">
        <f ca="1">IFERROR(IF(VLOOKUP(M17,OFFSET($AG$2,,,COUNTIF($AG$2:$AG$50,"?*"),23),2,FALSE)&lt;&gt;0,YEAR(VLOOKUP(M17,OFFSET($AG$2,,,COUNTIF($AG$2:$AG$50,"?*"),23),2,FALSE)),""),"")</f>
        <v/>
      </c>
      <c r="O18" s="342"/>
      <c r="P18" s="117" t="str">
        <f ca="1">IFERROR(VLOOKUP(M17,OFFSET($AG$2,,,COUNTIF($AG$2:$AG$50,"?*"),23),15,FALSE),"")</f>
        <v/>
      </c>
      <c r="Q18" s="343" t="str">
        <f ca="1">IFERROR(VLOOKUP(M17,OFFSET($AG$2,,,COUNTIF($AG$2:$AG$50,"?*"),23),16,FALSE),"")</f>
        <v/>
      </c>
      <c r="R18" s="344"/>
      <c r="S18" s="110" t="s">
        <v>1013</v>
      </c>
      <c r="T18" s="102" t="s">
        <v>64</v>
      </c>
      <c r="U18" s="102">
        <v>2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NE</v>
      </c>
      <c r="AG18" s="121" t="s">
        <v>510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166</v>
      </c>
      <c r="AP18" s="125" t="s">
        <v>27</v>
      </c>
      <c r="AQ18" s="123">
        <v>181</v>
      </c>
      <c r="AR18" s="123">
        <v>72</v>
      </c>
      <c r="AS18" s="126" t="s">
        <v>427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6 OZ, 0 (0+0), -9 ±</v>
      </c>
      <c r="AY18" s="129" t="str">
        <f t="shared" ca="1" si="2"/>
        <v>94 OZ, 25 (14+11)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6"/>
      <c r="BT18" s="104" t="s">
        <v>883</v>
      </c>
      <c r="BU18" s="103">
        <v>0</v>
      </c>
      <c r="BV18" s="104" t="str">
        <f t="shared" si="13"/>
        <v>Adam Kohút</v>
      </c>
      <c r="BW18" s="102">
        <f t="shared" si="14"/>
        <v>0</v>
      </c>
    </row>
    <row r="19" spans="1:75" ht="15" customHeight="1" x14ac:dyDescent="0.2">
      <c r="A19" s="377" t="str">
        <f ca="1">IFERROR(VLOOKUP(A17,OFFSET($AG$2,,,COUNTIF($AG$2:$AG$50,"?*"),23),18,FALSE),"")</f>
        <v/>
      </c>
      <c r="B19" s="378"/>
      <c r="C19" s="378"/>
      <c r="D19" s="379" t="str">
        <f ca="1">IFERROR(VLOOKUP(A17,OFFSET($AG$2,,,COUNTIF($AG$2:$AG$50,"?*"),23),19,FALSE),"")</f>
        <v/>
      </c>
      <c r="E19" s="379"/>
      <c r="F19" s="380"/>
      <c r="H19" s="381" t="str">
        <f>H$8</f>
        <v>OTR</v>
      </c>
      <c r="I19" s="381"/>
      <c r="J19" s="381"/>
      <c r="K19" s="381"/>
      <c r="M19" s="377" t="str">
        <f ca="1">IFERROR(VLOOKUP(M17,OFFSET($AG$2,,,COUNTIF($AG$2:$AG$50,"?*"),23),18,FALSE),"")</f>
        <v/>
      </c>
      <c r="N19" s="378"/>
      <c r="O19" s="378"/>
      <c r="P19" s="379" t="str">
        <f ca="1">IFERROR(VLOOKUP(M17,OFFSET($AG$2,,,COUNTIF($AG$2:$AG$50,"?*"),23),19,FALSE),"")</f>
        <v/>
      </c>
      <c r="Q19" s="379"/>
      <c r="R19" s="380"/>
      <c r="S19" s="110" t="s">
        <v>1014</v>
      </c>
      <c r="U19" s="102">
        <v>2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2</v>
      </c>
      <c r="AB19" s="102">
        <v>-8</v>
      </c>
      <c r="AC19" s="102" t="str">
        <f t="shared" ca="1" si="0"/>
        <v>NE</v>
      </c>
      <c r="AG19" s="121" t="s">
        <v>525</v>
      </c>
      <c r="AH19" s="122"/>
      <c r="AI19" s="123"/>
      <c r="AJ19" s="123"/>
      <c r="AK19" s="123"/>
      <c r="AL19" s="124">
        <f>IF(AG19&lt;&gt;"",AJ19+AK19,"")</f>
        <v>0</v>
      </c>
      <c r="AM19" s="123" t="s">
        <v>303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6"/>
      <c r="BT19" s="104" t="s">
        <v>1010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365" t="str">
        <f ca="1">IFERROR(IF(VLOOKUP(A17,OFFSET($AG$2,,,COUNTIF($AG$2:$AG$50,"?*"),23),13,FALSE)&lt;&gt;0,VLOOKUP(A17,OFFSET($AG$2,,,COUNTIF($AG$2:$AG$50,"?*"),23),13,FALSE),"?"),"")</f>
        <v/>
      </c>
      <c r="B20" s="366"/>
      <c r="C20" s="367"/>
      <c r="D20" s="368" t="str">
        <f ca="1">IFERROR(IF(VLOOKUP(A17,OFFSET($AG$2,,,COUNTIF($AG$2:$AG$50,"?*"),23),14,FALSE)&lt;&gt;0,VLOOKUP(A17,OFFSET($AG$2,,,COUNTIF($AG$2:$AG$50,"?*"),23),14,FALSE),"?"),"")</f>
        <v/>
      </c>
      <c r="E20" s="369"/>
      <c r="F20" s="7" t="str">
        <f ca="1">IFERROR(IF(VLOOKUP(A17,OFFSET($AG$2,,,COUNTIF($AG$2:$AG$50,"?*"),23),7,FALSE)&lt;&gt;0,VLOOKUP(A17,OFFSET($AG$2,,,COUNTIF($AG$2:$AG$50,"?*"),23),7,FALSE),"?"),"")</f>
        <v/>
      </c>
      <c r="H20" s="381"/>
      <c r="I20" s="381"/>
      <c r="J20" s="381"/>
      <c r="K20" s="381"/>
      <c r="M20" s="365" t="str">
        <f ca="1">IFERROR(IF(VLOOKUP(M17,OFFSET($AG$2,,,COUNTIF($AG$2:$AG$50,"?*"),23),13,FALSE)&lt;&gt;0,VLOOKUP(M17,OFFSET($AG$2,,,COUNTIF($AG$2:$AG$50,"?*"),23),13,FALSE),"?"),"")</f>
        <v/>
      </c>
      <c r="N20" s="366"/>
      <c r="O20" s="367"/>
      <c r="P20" s="368" t="str">
        <f ca="1">IFERROR(IF(VLOOKUP(M17,OFFSET($AG$2,,,COUNTIF($AG$2:$AG$50,"?*"),23),14,FALSE)&lt;&gt;0,VLOOKUP(M17,OFFSET($AG$2,,,COUNTIF($AG$2:$AG$50,"?*"),23),14,FALSE),"?"),"")</f>
        <v/>
      </c>
      <c r="Q20" s="36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514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507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547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504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509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149</v>
      </c>
      <c r="AQ21" s="123">
        <v>182</v>
      </c>
      <c r="AR21" s="123">
        <v>74</v>
      </c>
      <c r="AS21" s="126" t="s">
        <v>548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511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NE</v>
      </c>
      <c r="AG22" s="121" t="s">
        <v>526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149</v>
      </c>
      <c r="AQ22" s="123">
        <v>182</v>
      </c>
      <c r="AR22" s="123">
        <v>79</v>
      </c>
      <c r="AS22" s="126" t="s">
        <v>543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6" t="s">
        <v>38</v>
      </c>
      <c r="BT22" s="104" t="s">
        <v>831</v>
      </c>
      <c r="BU22" s="103">
        <v>7</v>
      </c>
      <c r="BV22" s="104" t="str">
        <f t="shared" si="13"/>
        <v>Ronald Gašparík</v>
      </c>
      <c r="BW22" s="102">
        <f t="shared" si="14"/>
        <v>7</v>
      </c>
    </row>
    <row r="23" spans="1:75" ht="15" customHeight="1" thickTop="1" thickBot="1" x14ac:dyDescent="0.25">
      <c r="A23" s="348"/>
      <c r="B23" s="349"/>
      <c r="C23" s="349"/>
      <c r="D23" s="34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82" t="s">
        <v>13</v>
      </c>
      <c r="I23" s="382"/>
      <c r="J23" s="382"/>
      <c r="K23" s="382"/>
      <c r="M23" s="348"/>
      <c r="N23" s="349"/>
      <c r="O23" s="349"/>
      <c r="P23" s="34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508</v>
      </c>
      <c r="T23" s="102" t="s">
        <v>119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-4</v>
      </c>
      <c r="AC23" s="102" t="str">
        <f t="shared" ca="1" si="0"/>
        <v>ANO</v>
      </c>
      <c r="AG23" s="121" t="s">
        <v>500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149</v>
      </c>
      <c r="AQ23" s="123">
        <v>179</v>
      </c>
      <c r="AR23" s="123">
        <v>77</v>
      </c>
      <c r="AS23" s="126" t="s">
        <v>549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6 OZ, 6 (5+1), -2 ±</v>
      </c>
      <c r="AY23" s="129" t="str">
        <f t="shared" ca="1" si="2"/>
        <v>68 OZ, 39 (24+15)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6"/>
      <c r="BT23" s="104" t="s">
        <v>832</v>
      </c>
      <c r="BU23" s="103">
        <v>5</v>
      </c>
      <c r="BV23" s="104" t="str">
        <f t="shared" si="13"/>
        <v>František Vykopal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1" t="str">
        <f ca="1">IFERROR(IF(VLOOKUP(A23,OFFSET($AG$2,,,COUNTIF($AG$2:$AG$50,"?*"),23),2,FALSE)&lt;&gt;0,YEAR(VLOOKUP(A23,OFFSET($AG$2,,,COUNTIF($AG$2:$AG$50,"?*"),23),2,FALSE)),""),"")</f>
        <v/>
      </c>
      <c r="C24" s="342"/>
      <c r="D24" s="117" t="str">
        <f ca="1">IFERROR(VLOOKUP(A23,OFFSET($AG$2,,,COUNTIF($AG$2:$AG$50,"?*"),23),15,FALSE),"")</f>
        <v/>
      </c>
      <c r="E24" s="343" t="str">
        <f ca="1">IFERROR(VLOOKUP(A23,OFFSET($AG$2,,,COUNTIF($AG$2:$AG$50,"?*"),23),16,FALSE),"")</f>
        <v/>
      </c>
      <c r="F24" s="344"/>
      <c r="M24" s="4" t="str">
        <f ca="1">IFERROR(IF(VLOOKUP(M23,OFFSET($AG$2,,,COUNTIF($AG$2:$AG$50,"?*"),23),10,FALSE)&lt;&gt;0,VLOOKUP(M23,OFFSET($AG$2,,,COUNTIF($AG$2:$AG$50,"?*"),23),10,FALSE),""),"")</f>
        <v/>
      </c>
      <c r="N24" s="341" t="str">
        <f ca="1">IFERROR(IF(VLOOKUP(M23,OFFSET($AG$2,,,COUNTIF($AG$2:$AG$50,"?*"),23),2,FALSE)&lt;&gt;0,YEAR(VLOOKUP(M23,OFFSET($AG$2,,,COUNTIF($AG$2:$AG$50,"?*"),23),2,FALSE)),""),"")</f>
        <v/>
      </c>
      <c r="O24" s="342"/>
      <c r="P24" s="117" t="str">
        <f ca="1">IFERROR(VLOOKUP(M23,OFFSET($AG$2,,,COUNTIF($AG$2:$AG$50,"?*"),23),15,FALSE),"")</f>
        <v/>
      </c>
      <c r="Q24" s="343" t="str">
        <f ca="1">IFERROR(VLOOKUP(M23,OFFSET($AG$2,,,COUNTIF($AG$2:$AG$50,"?*"),23),16,FALSE),"")</f>
        <v/>
      </c>
      <c r="R24" s="344"/>
      <c r="S24" s="110" t="s">
        <v>507</v>
      </c>
      <c r="T24" s="102" t="s">
        <v>117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503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149</v>
      </c>
      <c r="AQ24" s="123">
        <v>192</v>
      </c>
      <c r="AR24" s="123">
        <v>81</v>
      </c>
      <c r="AS24" s="126" t="s">
        <v>550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6 OZ, 7 (3+4), -10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312 OZ, 269 (124+145)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6"/>
      <c r="BT24" s="104" t="s">
        <v>1005</v>
      </c>
      <c r="BU24" s="103">
        <v>4</v>
      </c>
      <c r="BV24" s="104" t="str">
        <f t="shared" si="13"/>
        <v>Lukáš Petřík</v>
      </c>
      <c r="BW24" s="102">
        <f t="shared" si="14"/>
        <v>4</v>
      </c>
    </row>
    <row r="25" spans="1:75" ht="15" customHeight="1" thickTop="1" thickBot="1" x14ac:dyDescent="0.25">
      <c r="A25" s="377" t="str">
        <f ca="1">IFERROR(VLOOKUP(A23,OFFSET($AG$2,,,COUNTIF($AG$2:$AG$50,"?*"),23),18,FALSE),"")</f>
        <v/>
      </c>
      <c r="B25" s="378"/>
      <c r="C25" s="378"/>
      <c r="D25" s="379" t="str">
        <f ca="1">IFERROR(VLOOKUP(A23,OFFSET($AG$2,,,COUNTIF($AG$2:$AG$50,"?*"),23),19,FALSE),"")</f>
        <v/>
      </c>
      <c r="E25" s="379"/>
      <c r="F25" s="380"/>
      <c r="G25" s="348"/>
      <c r="H25" s="349"/>
      <c r="I25" s="349"/>
      <c r="J25" s="34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7" t="str">
        <f ca="1">IFERROR(VLOOKUP(M23,OFFSET($AG$2,,,COUNTIF($AG$2:$AG$50,"?*"),23),18,FALSE),"")</f>
        <v/>
      </c>
      <c r="N25" s="378"/>
      <c r="O25" s="378"/>
      <c r="P25" s="379" t="str">
        <f ca="1">IFERROR(VLOOKUP(M23,OFFSET($AG$2,,,COUNTIF($AG$2:$AG$50,"?*"),23),19,FALSE),"")</f>
        <v/>
      </c>
      <c r="Q25" s="379"/>
      <c r="R25" s="380"/>
      <c r="S25" s="110" t="s">
        <v>510</v>
      </c>
      <c r="T25" s="102" t="s">
        <v>64</v>
      </c>
      <c r="U25" s="102">
        <v>6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-9</v>
      </c>
      <c r="AC25" s="102" t="str">
        <f t="shared" ca="1" si="0"/>
        <v>ANO</v>
      </c>
      <c r="AG25" s="121" t="s">
        <v>527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149</v>
      </c>
      <c r="AQ25" s="123">
        <v>187</v>
      </c>
      <c r="AR25" s="123">
        <v>78</v>
      </c>
      <c r="AS25" s="126" t="s">
        <v>543</v>
      </c>
      <c r="AT25" s="123">
        <v>2012</v>
      </c>
      <c r="AU25" s="127">
        <f ca="1">IF(AG25&lt;&gt;"",IF(AH25&lt;&gt;"",INT((TODAY()-AH25)/365),"?"),"")</f>
        <v>19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6"/>
      <c r="BT25" s="104" t="s">
        <v>881</v>
      </c>
      <c r="BU25" s="103">
        <v>2</v>
      </c>
      <c r="BV25" s="104" t="str">
        <f t="shared" si="13"/>
        <v>David Ležatka</v>
      </c>
      <c r="BW25" s="102">
        <f t="shared" si="14"/>
        <v>2</v>
      </c>
    </row>
    <row r="26" spans="1:75" ht="15" customHeight="1" thickBot="1" x14ac:dyDescent="0.25">
      <c r="A26" s="365" t="str">
        <f ca="1">IFERROR(IF(VLOOKUP(A23,OFFSET($AG$2,,,COUNTIF($AG$2:$AG$50,"?*"),23),13,FALSE)&lt;&gt;0,VLOOKUP(A23,OFFSET($AG$2,,,COUNTIF($AG$2:$AG$50,"?*"),23),13,FALSE),"?"),"")</f>
        <v/>
      </c>
      <c r="B26" s="366"/>
      <c r="C26" s="367"/>
      <c r="D26" s="368" t="str">
        <f ca="1">IFERROR(IF(VLOOKUP(A23,OFFSET($AG$2,,,COUNTIF($AG$2:$AG$50,"?*"),23),14,FALSE)&lt;&gt;0,VLOOKUP(A23,OFFSET($AG$2,,,COUNTIF($AG$2:$AG$50,"?*"),23),14,FALSE),"?"),"")</f>
        <v/>
      </c>
      <c r="E26" s="36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1" t="str">
        <f ca="1">IFERROR(IF(VLOOKUP(G25,OFFSET($AG$2,,,COUNTIF($AG$2:$AG$50,"?*"),23),2,FALSE)&lt;&gt;0,YEAR(VLOOKUP(G25,OFFSET($AG$2,,,COUNTIF($AG$2:$AG$50,"?*"),23),2,FALSE)),""),"")</f>
        <v/>
      </c>
      <c r="I26" s="342"/>
      <c r="J26" s="117" t="str">
        <f ca="1">IFERROR(VLOOKUP(G25,OFFSET($AG$2,,,COUNTIF($AG$2:$AG$50,"?*"),23),15,FALSE),"")</f>
        <v/>
      </c>
      <c r="K26" s="343" t="str">
        <f ca="1">IFERROR(VLOOKUP(G25,OFFSET($AG$2,,,COUNTIF($AG$2:$AG$50,"?*"),23),16,FALSE),"")</f>
        <v/>
      </c>
      <c r="L26" s="344"/>
      <c r="M26" s="365" t="str">
        <f ca="1">IFERROR(IF(VLOOKUP(M23,OFFSET($AG$2,,,COUNTIF($AG$2:$AG$50,"?*"),23),13,FALSE)&lt;&gt;0,VLOOKUP(M23,OFFSET($AG$2,,,COUNTIF($AG$2:$AG$50,"?*"),23),13,FALSE),"?"),"")</f>
        <v/>
      </c>
      <c r="N26" s="366"/>
      <c r="O26" s="367"/>
      <c r="P26" s="368" t="str">
        <f ca="1">IFERROR(IF(VLOOKUP(M23,OFFSET($AG$2,,,COUNTIF($AG$2:$AG$50,"?*"),23),14,FALSE)&lt;&gt;0,VLOOKUP(M23,OFFSET($AG$2,,,COUNTIF($AG$2:$AG$50,"?*"),23),14,FALSE),"?"),"")</f>
        <v/>
      </c>
      <c r="Q26" s="369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528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551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6"/>
      <c r="BT26" s="104" t="s">
        <v>1293</v>
      </c>
      <c r="BU26" s="103">
        <v>2</v>
      </c>
      <c r="BV26" s="104" t="str">
        <f t="shared" si="13"/>
        <v>Tomáš Sovják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77" t="str">
        <f ca="1">IFERROR(VLOOKUP(G25,OFFSET($AG$2,,,COUNTIF($AG$2:$AG$50,"?*"),23),18,FALSE),"")</f>
        <v/>
      </c>
      <c r="H27" s="378"/>
      <c r="I27" s="378"/>
      <c r="J27" s="379" t="str">
        <f ca="1">IFERROR(VLOOKUP(G25,OFFSET($AG$2,,,COUNTIF($AG$2:$AG$50,"?*"),23),19,FALSE),"")</f>
        <v/>
      </c>
      <c r="K27" s="379"/>
      <c r="L27" s="380"/>
      <c r="S27" s="111"/>
      <c r="AC27" s="102" t="str">
        <f t="shared" ca="1" si="0"/>
        <v/>
      </c>
      <c r="AG27" s="121" t="s">
        <v>529</v>
      </c>
      <c r="AH27" s="122"/>
      <c r="AI27" s="123"/>
      <c r="AJ27" s="123"/>
      <c r="AK27" s="123"/>
      <c r="AL27" s="124">
        <f>IF(AG27&lt;&gt;"",AJ27+AK27,"")</f>
        <v>0</v>
      </c>
      <c r="AM27" s="123" t="s">
        <v>303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6" t="s">
        <v>39</v>
      </c>
      <c r="BT27" s="104" t="s">
        <v>560</v>
      </c>
      <c r="BU27" s="103">
        <v>4</v>
      </c>
      <c r="BV27" s="104" t="str">
        <f t="shared" si="13"/>
        <v>Jiří Halama</v>
      </c>
      <c r="BW27" s="102">
        <f t="shared" si="14"/>
        <v>4</v>
      </c>
    </row>
    <row r="28" spans="1:75" ht="15" customHeight="1" thickTop="1" thickBot="1" x14ac:dyDescent="0.25">
      <c r="A28" s="348"/>
      <c r="B28" s="349"/>
      <c r="C28" s="349"/>
      <c r="D28" s="34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5" t="str">
        <f ca="1">IFERROR(IF(VLOOKUP(G25,OFFSET($AG$2,,,COUNTIF($AG$2:$AG$50,"?*"),23),13,FALSE)&lt;&gt;0,VLOOKUP(G25,OFFSET($AG$2,,,COUNTIF($AG$2:$AG$50,"?*"),23),13,FALSE),"?"),"")</f>
        <v/>
      </c>
      <c r="H28" s="366"/>
      <c r="I28" s="367"/>
      <c r="J28" s="368" t="str">
        <f ca="1">IFERROR(IF(VLOOKUP(G25,OFFSET($AG$2,,,COUNTIF($AG$2:$AG$50,"?*"),23),14,FALSE)&lt;&gt;0,VLOOKUP(G25,OFFSET($AG$2,,,COUNTIF($AG$2:$AG$50,"?*"),23),14,FALSE),"?"),"")</f>
        <v/>
      </c>
      <c r="K28" s="369"/>
      <c r="L28" s="7" t="str">
        <f ca="1">IFERROR(IF(VLOOKUP(G25,OFFSET($AG$2,,,COUNTIF($AG$2:$AG$50,"?*"),23),7,FALSE)&lt;&gt;0,VLOOKUP(G25,OFFSET($AG$2,,,COUNTIF($AG$2:$AG$50,"?*"),23),7,FALSE),"?"),"")</f>
        <v/>
      </c>
      <c r="M28" s="348"/>
      <c r="N28" s="349"/>
      <c r="O28" s="349"/>
      <c r="P28" s="34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530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149</v>
      </c>
      <c r="AQ28" s="123">
        <v>190</v>
      </c>
      <c r="AR28" s="123">
        <v>82</v>
      </c>
      <c r="AS28" s="126" t="s">
        <v>543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4 OZ, 2 (0+2), -2 ±</v>
      </c>
      <c r="AY28" s="129" t="str">
        <f t="shared" ca="1" si="16"/>
        <v>213 OZ, 172 (107+65)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6"/>
      <c r="BT28" s="104" t="s">
        <v>884</v>
      </c>
      <c r="BU28" s="103">
        <v>4</v>
      </c>
      <c r="BV28" s="104" t="str">
        <f t="shared" si="13"/>
        <v>Ronald Gašparík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1" t="str">
        <f ca="1">IFERROR(IF(VLOOKUP(A28,OFFSET($AG$2,,,COUNTIF($AG$2:$AG$50,"?*"),23),2,FALSE)&lt;&gt;0,YEAR(VLOOKUP(A28,OFFSET($AG$2,,,COUNTIF($AG$2:$AG$50,"?*"),23),2,FALSE)),""),"")</f>
        <v/>
      </c>
      <c r="C29" s="342"/>
      <c r="D29" s="117" t="str">
        <f ca="1">IFERROR(VLOOKUP(A28,OFFSET($AG$2,,,COUNTIF($AG$2:$AG$50,"?*"),23),15,FALSE),"")</f>
        <v/>
      </c>
      <c r="E29" s="343" t="str">
        <f ca="1">IFERROR(VLOOKUP(A28,OFFSET($AG$2,,,COUNTIF($AG$2:$AG$50,"?*"),23),16,FALSE),"")</f>
        <v/>
      </c>
      <c r="F29" s="344"/>
      <c r="M29" s="4" t="str">
        <f ca="1">IFERROR(IF(VLOOKUP(M28,OFFSET($AG$2,,,COUNTIF($AG$2:$AG$50,"?*"),23),10,FALSE)&lt;&gt;0,VLOOKUP(M28,OFFSET($AG$2,,,COUNTIF($AG$2:$AG$50,"?*"),23),10,FALSE),""),"")</f>
        <v/>
      </c>
      <c r="N29" s="341" t="str">
        <f ca="1">IFERROR(IF(VLOOKUP(M28,OFFSET($AG$2,,,COUNTIF($AG$2:$AG$50,"?*"),23),2,FALSE)&lt;&gt;0,YEAR(VLOOKUP(M28,OFFSET($AG$2,,,COUNTIF($AG$2:$AG$50,"?*"),23),2,FALSE)),""),"")</f>
        <v/>
      </c>
      <c r="O29" s="342"/>
      <c r="P29" s="117" t="str">
        <f ca="1">IFERROR(VLOOKUP(M28,OFFSET($AG$2,,,COUNTIF($AG$2:$AG$50,"?*"),23),15,FALSE),"")</f>
        <v/>
      </c>
      <c r="Q29" s="343" t="str">
        <f ca="1">IFERROR(VLOOKUP(M28,OFFSET($AG$2,,,COUNTIF($AG$2:$AG$50,"?*"),23),16,FALSE),"")</f>
        <v/>
      </c>
      <c r="R29" s="344"/>
      <c r="S29" s="111"/>
      <c r="AC29" s="102" t="str">
        <f t="shared" ca="1" si="0"/>
        <v/>
      </c>
      <c r="AG29" s="121" t="s">
        <v>531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149</v>
      </c>
      <c r="AQ29" s="123">
        <v>185</v>
      </c>
      <c r="AR29" s="123">
        <v>78</v>
      </c>
      <c r="AS29" s="126" t="s">
        <v>552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6"/>
      <c r="BT29" s="104" t="s">
        <v>1294</v>
      </c>
      <c r="BU29" s="103">
        <v>2</v>
      </c>
      <c r="BV29" s="104" t="str">
        <f t="shared" si="13"/>
        <v>David Medek</v>
      </c>
      <c r="BW29" s="102">
        <f t="shared" si="14"/>
        <v>2</v>
      </c>
    </row>
    <row r="30" spans="1:75" ht="15" customHeight="1" x14ac:dyDescent="0.2">
      <c r="A30" s="377" t="str">
        <f ca="1">IFERROR(VLOOKUP(A28,OFFSET($AG$2,,,COUNTIF($AG$2:$AG$50,"?*"),23),18,FALSE),"")</f>
        <v/>
      </c>
      <c r="B30" s="378"/>
      <c r="C30" s="378"/>
      <c r="D30" s="379" t="str">
        <f ca="1">IFERROR(VLOOKUP(A28,OFFSET($AG$2,,,COUNTIF($AG$2:$AG$50,"?*"),23),19,FALSE),"")</f>
        <v/>
      </c>
      <c r="E30" s="379"/>
      <c r="F30" s="380"/>
      <c r="H30" s="381" t="str">
        <f>H$8</f>
        <v>OTR</v>
      </c>
      <c r="I30" s="381"/>
      <c r="J30" s="381"/>
      <c r="K30" s="381"/>
      <c r="M30" s="377" t="str">
        <f ca="1">IFERROR(VLOOKUP(M28,OFFSET($AG$2,,,COUNTIF($AG$2:$AG$50,"?*"),23),18,FALSE),"")</f>
        <v/>
      </c>
      <c r="N30" s="378"/>
      <c r="O30" s="378"/>
      <c r="P30" s="379" t="str">
        <f ca="1">IFERROR(VLOOKUP(M28,OFFSET($AG$2,,,COUNTIF($AG$2:$AG$50,"?*"),23),19,FALSE),"")</f>
        <v/>
      </c>
      <c r="Q30" s="379"/>
      <c r="R30" s="380"/>
      <c r="S30" s="111"/>
      <c r="AC30" s="102" t="str">
        <f t="shared" ca="1" si="0"/>
        <v/>
      </c>
      <c r="AG30" s="121" t="s">
        <v>532</v>
      </c>
      <c r="AH30" s="122"/>
      <c r="AI30" s="123"/>
      <c r="AJ30" s="123"/>
      <c r="AK30" s="123"/>
      <c r="AL30" s="124">
        <f>IF(AG30&lt;&gt;"",AJ30+AK30,"")</f>
        <v>0</v>
      </c>
      <c r="AM30" s="123" t="s">
        <v>303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36"/>
      <c r="BT30" s="104" t="s">
        <v>1295</v>
      </c>
      <c r="BU30" s="103">
        <v>2</v>
      </c>
      <c r="BV30" s="104" t="str">
        <f t="shared" si="13"/>
        <v>Martin Ležatka</v>
      </c>
      <c r="BW30" s="102">
        <f t="shared" si="14"/>
        <v>2</v>
      </c>
    </row>
    <row r="31" spans="1:75" ht="15" customHeight="1" thickBot="1" x14ac:dyDescent="0.25">
      <c r="A31" s="365" t="str">
        <f ca="1">IFERROR(IF(VLOOKUP(A28,OFFSET($AG$2,,,COUNTIF($AG$2:$AG$50,"?*"),23),13,FALSE)&lt;&gt;0,VLOOKUP(A28,OFFSET($AG$2,,,COUNTIF($AG$2:$AG$50,"?*"),23),13,FALSE),"?"),"")</f>
        <v/>
      </c>
      <c r="B31" s="366"/>
      <c r="C31" s="367"/>
      <c r="D31" s="368" t="str">
        <f ca="1">IFERROR(IF(VLOOKUP(A28,OFFSET($AG$2,,,COUNTIF($AG$2:$AG$50,"?*"),23),14,FALSE)&lt;&gt;0,VLOOKUP(A28,OFFSET($AG$2,,,COUNTIF($AG$2:$AG$50,"?*"),23),14,FALSE),"?"),"")</f>
        <v/>
      </c>
      <c r="E31" s="369"/>
      <c r="F31" s="7" t="str">
        <f ca="1">IFERROR(IF(VLOOKUP(A28,OFFSET($AG$2,,,COUNTIF($AG$2:$AG$50,"?*"),23),7,FALSE)&lt;&gt;0,VLOOKUP(A28,OFFSET($AG$2,,,COUNTIF($AG$2:$AG$50,"?*"),23),7,FALSE),"?"),"")</f>
        <v/>
      </c>
      <c r="H31" s="381"/>
      <c r="I31" s="381"/>
      <c r="J31" s="381"/>
      <c r="K31" s="381"/>
      <c r="M31" s="365" t="str">
        <f ca="1">IFERROR(IF(VLOOKUP(M28,OFFSET($AG$2,,,COUNTIF($AG$2:$AG$50,"?*"),23),13,FALSE)&lt;&gt;0,VLOOKUP(M28,OFFSET($AG$2,,,COUNTIF($AG$2:$AG$50,"?*"),23),13,FALSE),"?"),"")</f>
        <v/>
      </c>
      <c r="N31" s="366"/>
      <c r="O31" s="367"/>
      <c r="P31" s="368" t="str">
        <f ca="1">IFERROR(IF(VLOOKUP(M28,OFFSET($AG$2,,,COUNTIF($AG$2:$AG$50,"?*"),23),14,FALSE)&lt;&gt;0,VLOOKUP(M28,OFFSET($AG$2,,,COUNTIF($AG$2:$AG$50,"?*"),23),14,FALSE),"?"),"")</f>
        <v/>
      </c>
      <c r="Q31" s="36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508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149</v>
      </c>
      <c r="AQ31" s="123">
        <v>184</v>
      </c>
      <c r="AR31" s="123">
        <v>72</v>
      </c>
      <c r="AS31" s="126" t="s">
        <v>543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5 OZ, 0 (0+0), -4 ±</v>
      </c>
      <c r="AY31" s="129" t="str">
        <f t="shared" ca="1" si="16"/>
        <v>24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36"/>
      <c r="BT31" s="104" t="s">
        <v>1296</v>
      </c>
      <c r="BU31" s="103">
        <v>2</v>
      </c>
      <c r="BV31" s="104" t="str">
        <f t="shared" si="13"/>
        <v>Peter Nehila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533</v>
      </c>
      <c r="AH32" s="122"/>
      <c r="AI32" s="123"/>
      <c r="AJ32" s="123"/>
      <c r="AK32" s="123"/>
      <c r="AL32" s="124">
        <f>IF(AG32&lt;&gt;"",AJ32+AK32,"")</f>
        <v>0</v>
      </c>
      <c r="AM32" s="123" t="s">
        <v>303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534</v>
      </c>
      <c r="AH33" s="122"/>
      <c r="AI33" s="123"/>
      <c r="AJ33" s="123"/>
      <c r="AK33" s="123"/>
      <c r="AL33" s="124">
        <f>IF(AG33&lt;&gt;"",AJ33+AK33,"")</f>
        <v>0</v>
      </c>
      <c r="AM33" s="123" t="s">
        <v>303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348"/>
      <c r="B34" s="349"/>
      <c r="C34" s="349"/>
      <c r="D34" s="34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6" t="s">
        <v>16</v>
      </c>
      <c r="J34" s="348"/>
      <c r="K34" s="349"/>
      <c r="L34" s="349"/>
      <c r="M34" s="349"/>
      <c r="N34" s="349"/>
      <c r="O34" s="349"/>
      <c r="P34" s="34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496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553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6 OZ, 12 (7+5), 0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105 OZ, 82 (48+34)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1" t="str">
        <f ca="1">IFERROR(IF(VLOOKUP(A34,OFFSET($AG$2,,,COUNTIF($AG$2:$AG$50,"?*"),23),2,FALSE)&lt;&gt;0,YEAR(VLOOKUP(A34,OFFSET($AG$2,,,COUNTIF($AG$2:$AG$50,"?*"),23),2,FALSE)),""),"")</f>
        <v/>
      </c>
      <c r="C35" s="342"/>
      <c r="D35" s="117" t="str">
        <f ca="1">IFERROR(VLOOKUP(A34,OFFSET($AG$2,,,COUNTIF($AG$2:$AG$50,"?*"),23),15,FALSE),"")</f>
        <v/>
      </c>
      <c r="E35" s="343" t="str">
        <f ca="1">IFERROR(VLOOKUP(A34,OFFSET($AG$2,,,COUNTIF($AG$2:$AG$50,"?*"),23),16,FALSE),"")</f>
        <v/>
      </c>
      <c r="F35" s="344"/>
      <c r="H35" s="376"/>
      <c r="J35" s="4" t="str">
        <f ca="1">IFERROR(IF(VLOOKUP(J34,OFFSET($AG$2,,,COUNTIF($AG$2:$AG$50,"?*"),23),10,FALSE)&lt;&gt;0,VLOOKUP(J34,OFFSET($AG$2,,,COUNTIF($AG$2:$AG$50,"?*"),23),10,FALSE),""),"")</f>
        <v/>
      </c>
      <c r="K35" s="342" t="str">
        <f ca="1">IFERROR(IF(VLOOKUP(J34,OFFSET($AG$2,,,COUNTIF($AG$2:$AG$50,"?*"),23),2,FALSE)&lt;&gt;0,YEAR(VLOOKUP(J34,OFFSET($AG$2,,,COUNTIF($AG$2:$AG$50,"?*"),23),2,FALSE)),""),"")</f>
        <v/>
      </c>
      <c r="L35" s="350"/>
      <c r="M35" s="118" t="str">
        <f ca="1">IFERROR(VLOOKUP(J34,OFFSET($AG$2,,,COUNTIF($AG$2:$AG$50,"?*"),23),15,FALSE),"")</f>
        <v/>
      </c>
      <c r="N35" s="350" t="str">
        <f ca="1">IFERROR(VLOOKUP(J34,OFFSET($AG$2,,,COUNTIF($AG$2:$AG$50,"?*"),23),16,FALSE),"")</f>
        <v/>
      </c>
      <c r="O35" s="350"/>
      <c r="P35" s="350" t="str">
        <f ca="1">IFERROR(VLOOKUP(J34,OFFSET($AG$2,,,COUNTIF($AG$2:$AG$50,"?*"),23),18,FALSE),"")</f>
        <v/>
      </c>
      <c r="Q35" s="350"/>
      <c r="R35" s="351"/>
      <c r="S35" s="111"/>
      <c r="AC35" s="102" t="str">
        <f t="shared" ca="1" si="0"/>
        <v/>
      </c>
      <c r="AG35" s="121" t="s">
        <v>535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554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5" t="str">
        <f ca="1">IFERROR(VLOOKUP(A34,OFFSET($AG$2,,,COUNTIF($AG$2:$AG$50,"?*"),23),18,FALSE),"")</f>
        <v/>
      </c>
      <c r="C36" s="345"/>
      <c r="D36" s="346" t="str">
        <f ca="1">IFERROR(VLOOKUP(A34,OFFSET($S$45,,,COUNTIF($S$45:$S$50,"?*"),14),5,FALSE),"")</f>
        <v/>
      </c>
      <c r="E36" s="347"/>
      <c r="F36" s="17" t="str">
        <f ca="1">IFERROR(VLOOKUP(A34,OFFSET($S$45,,,COUNTIF($S$45:$S$50,"?*"),14),14,FALSE),"")</f>
        <v/>
      </c>
      <c r="H36" s="376"/>
      <c r="J36" s="18" t="str">
        <f ca="1">IFERROR(IF(VLOOKUP(J34,OFFSET($AG$2,,,COUNTIF($AG$2:$AG$50,"?*"),23),7,FALSE)&lt;&gt;0,VLOOKUP(J34,OFFSET($AG$2,,,COUNTIF($AG$2:$AG$50,"?*"),23),7,FALSE),"?"),"")</f>
        <v/>
      </c>
      <c r="K36" s="352" t="str">
        <f ca="1">IFERROR(VLOOKUP(J34,OFFSET($AG$2,,,COUNTIF($AG$2:$AG$50,"?*"),23),19,FALSE),"")</f>
        <v/>
      </c>
      <c r="L36" s="352"/>
      <c r="M36" s="352"/>
      <c r="N36" s="353" t="str">
        <f ca="1">IFERROR(IF(VLOOKUP(J34,OFFSET($AG$2,,,COUNTIF($AG$2:$AG$50,"?*"),23),13,FALSE)&lt;&gt;0,VLOOKUP(J34,OFFSET($AG$2,,,COUNTIF($AG$2:$AG$50,"?*"),23),13,FALSE),"?"),"")</f>
        <v/>
      </c>
      <c r="O36" s="353"/>
      <c r="P36" s="353"/>
      <c r="Q36" s="352" t="str">
        <f ca="1">IFERROR(IF(VLOOKUP(J34,OFFSET($AG$2,,,COUNTIF($AG$2:$AG$50,"?*"),23),14,FALSE)&lt;&gt;0,VLOOKUP(J34,OFFSET($AG$2,,,COUNTIF($AG$2:$AG$50,"?*"),23),14,FALSE),"?"),"")</f>
        <v/>
      </c>
      <c r="R36" s="354"/>
      <c r="S36" s="111"/>
      <c r="AC36" s="102" t="str">
        <f t="shared" ca="1" si="0"/>
        <v/>
      </c>
      <c r="AG36" s="121" t="s">
        <v>536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149</v>
      </c>
      <c r="AQ36" s="123">
        <v>188</v>
      </c>
      <c r="AR36" s="123">
        <v>85</v>
      </c>
      <c r="AS36" s="126" t="s">
        <v>555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70" t="str">
        <f ca="1">IFERROR(VLOOKUP(A34,OFFSET($S$45,,,COUNTIF($S$45:$S$50,"?*"),14),3,FALSE),"")</f>
        <v/>
      </c>
      <c r="B37" s="371"/>
      <c r="C37" s="372" t="str">
        <f ca="1">IFERROR(VLOOKUP(A34,OFFSET($S$45,,,COUNTIF($S$45:$S$50,"?*"),14),13,FALSE),"")</f>
        <v/>
      </c>
      <c r="D37" s="373"/>
      <c r="E37" s="374" t="str">
        <f ca="1">IFERROR(VLOOKUP(A34,OFFSET($AG$2,,,COUNTIF($AG$2:$AG$50,"?*"),23),19,FALSE),"")</f>
        <v/>
      </c>
      <c r="F37" s="375"/>
      <c r="H37" s="37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5" t="str">
        <f ca="1">IFERROR(IF(VLOOKUP(A34,OFFSET($AG$2,,,COUNTIF($AG$2:$AG$50,"?*"),23),13,FALSE)&lt;&gt;0,VLOOKUP(A34,OFFSET($AG$2,,,COUNTIF($AG$2:$AG$50,"?*"),23),13,FALSE),"?"),"")</f>
        <v/>
      </c>
      <c r="B38" s="366"/>
      <c r="C38" s="367"/>
      <c r="D38" s="368" t="str">
        <f ca="1">IFERROR(IF(VLOOKUP(A34,OFFSET($AG$2,,,COUNTIF($AG$2:$AG$50,"?*"),23),14,FALSE)&lt;&gt;0,VLOOKUP(A34,OFFSET($AG$2,,,COUNTIF($AG$2:$AG$50,"?*"),23),14,FALSE),"?"),"")</f>
        <v/>
      </c>
      <c r="E38" s="369"/>
      <c r="F38" s="19" t="str">
        <f ca="1">IFERROR(VLOOKUP(A34,OFFSET($S$45,,,COUNTIF($S$45:$S$50,"?*"),14),6,FALSE),"")</f>
        <v/>
      </c>
      <c r="H38" s="376"/>
      <c r="J38" s="348"/>
      <c r="K38" s="349"/>
      <c r="L38" s="349"/>
      <c r="M38" s="349"/>
      <c r="N38" s="349"/>
      <c r="O38" s="349"/>
      <c r="P38" s="34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6"/>
      <c r="J39" s="4" t="str">
        <f ca="1">IFERROR(IF(VLOOKUP(J38,OFFSET($AG$2,,,COUNTIF($AG$2:$AG$50,"?*"),23),10,FALSE)&lt;&gt;0,VLOOKUP(J38,OFFSET($AG$2,,,COUNTIF($AG$2:$AG$50,"?*"),23),10,FALSE),""),"")</f>
        <v/>
      </c>
      <c r="K39" s="342" t="str">
        <f ca="1">IFERROR(IF(VLOOKUP(J38,OFFSET($AG$2,,,COUNTIF($AG$2:$AG$50,"?*"),23),2,FALSE)&lt;&gt;0,YEAR(VLOOKUP(J38,OFFSET($AG$2,,,COUNTIF($AG$2:$AG$50,"?*"),23),2,FALSE)),""),"")</f>
        <v/>
      </c>
      <c r="L39" s="350"/>
      <c r="M39" s="151" t="str">
        <f ca="1">IFERROR(VLOOKUP(J38,OFFSET($AG$2,,,COUNTIF($AG$2:$AG$50,"?*"),23),15,FALSE),"")</f>
        <v/>
      </c>
      <c r="N39" s="350" t="str">
        <f ca="1">IFERROR(VLOOKUP(J38,OFFSET($AG$2,,,COUNTIF($AG$2:$AG$50,"?*"),23),16,FALSE),"")</f>
        <v/>
      </c>
      <c r="O39" s="350"/>
      <c r="P39" s="350" t="str">
        <f ca="1">IFERROR(VLOOKUP(J38,OFFSET($AG$2,,,COUNTIF($AG$2:$AG$50,"?*"),23),18,FALSE),"")</f>
        <v/>
      </c>
      <c r="Q39" s="350"/>
      <c r="R39" s="35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8"/>
      <c r="B40" s="349"/>
      <c r="C40" s="349"/>
      <c r="D40" s="34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6"/>
      <c r="J40" s="18" t="str">
        <f ca="1">IFERROR(IF(VLOOKUP(J38,OFFSET($AG$2,,,COUNTIF($AG$2:$AG$50,"?*"),23),7,FALSE)&lt;&gt;0,VLOOKUP(J38,OFFSET($AG$2,,,COUNTIF($AG$2:$AG$50,"?*"),23),7,FALSE),"?"),"")</f>
        <v/>
      </c>
      <c r="K40" s="352" t="str">
        <f ca="1">IFERROR(VLOOKUP(J38,OFFSET($AG$2,,,COUNTIF($AG$2:$AG$50,"?*"),23),19,FALSE),"")</f>
        <v/>
      </c>
      <c r="L40" s="352"/>
      <c r="M40" s="352"/>
      <c r="N40" s="353" t="str">
        <f ca="1">IFERROR(IF(VLOOKUP(J38,OFFSET($AG$2,,,COUNTIF($AG$2:$AG$50,"?*"),23),13,FALSE)&lt;&gt;0,VLOOKUP(J38,OFFSET($AG$2,,,COUNTIF($AG$2:$AG$50,"?*"),23),13,FALSE),"?"),"")</f>
        <v/>
      </c>
      <c r="O40" s="353"/>
      <c r="P40" s="353"/>
      <c r="Q40" s="352" t="str">
        <f ca="1">IFERROR(IF(VLOOKUP(J38,OFFSET($AG$2,,,COUNTIF($AG$2:$AG$50,"?*"),23),14,FALSE)&lt;&gt;0,VLOOKUP(J38,OFFSET($AG$2,,,COUNTIF($AG$2:$AG$50,"?*"),23),14,FALSE),"?"),"")</f>
        <v/>
      </c>
      <c r="R40" s="35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1" t="str">
        <f ca="1">IFERROR(IF(VLOOKUP(A40,OFFSET($AG$2,,,COUNTIF($AG$2:$AG$50,"?*"),23),2,FALSE)&lt;&gt;0,YEAR(VLOOKUP(A40,OFFSET($AG$2,,,COUNTIF($AG$2:$AG$50,"?*"),23),2,FALSE)),""),"")</f>
        <v/>
      </c>
      <c r="C41" s="342"/>
      <c r="D41" s="117" t="str">
        <f ca="1">IFERROR(VLOOKUP(A40,OFFSET($AG$2,,,COUNTIF($AG$2:$AG$50,"?*"),23),15,FALSE),"")</f>
        <v/>
      </c>
      <c r="E41" s="343" t="str">
        <f ca="1">IFERROR(VLOOKUP(A40,OFFSET($AG$2,,,COUNTIF($AG$2:$AG$50,"?*"),23),16,FALSE),"")</f>
        <v/>
      </c>
      <c r="F41" s="344"/>
      <c r="H41" s="37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5" t="str">
        <f ca="1">IFERROR(VLOOKUP(A40,OFFSET($AG$2,,,COUNTIF($AG$2:$AG$50,"?*"),23),18,FALSE),"")</f>
        <v/>
      </c>
      <c r="C42" s="345"/>
      <c r="D42" s="346" t="str">
        <f ca="1">IFERROR(VLOOKUP(A40,OFFSET($S$45,,,COUNTIF($S$45:$S$50,"?*"),14),5,FALSE),"")</f>
        <v/>
      </c>
      <c r="E42" s="347"/>
      <c r="F42" s="17" t="str">
        <f ca="1">IFERROR(VLOOKUP(A40,OFFSET($S$45,,,COUNTIF($S$45:$S$50,"?*"),14),14,FALSE),"")</f>
        <v/>
      </c>
      <c r="H42" s="376"/>
      <c r="J42" s="348"/>
      <c r="K42" s="349"/>
      <c r="L42" s="349"/>
      <c r="M42" s="349"/>
      <c r="N42" s="349"/>
      <c r="O42" s="349"/>
      <c r="P42" s="34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0" t="str">
        <f ca="1">IFERROR(VLOOKUP(A40,OFFSET($S$45,,,COUNTIF($S$45:$S$50,"?*"),14),3,FALSE),"")</f>
        <v/>
      </c>
      <c r="B43" s="371"/>
      <c r="C43" s="372" t="str">
        <f ca="1">IFERROR(VLOOKUP(A40,OFFSET($S$45,,,COUNTIF($S$45:$S$50,"?*"),14),13,FALSE),"")</f>
        <v/>
      </c>
      <c r="D43" s="373"/>
      <c r="E43" s="374" t="str">
        <f ca="1">IFERROR(VLOOKUP(A40,OFFSET($AG$2,,,COUNTIF($AG$2:$AG$50,"?*"),23),19,FALSE),"")</f>
        <v/>
      </c>
      <c r="F43" s="375"/>
      <c r="H43" s="376"/>
      <c r="J43" s="4" t="str">
        <f ca="1">IFERROR(IF(VLOOKUP(J42,OFFSET($AG$2,,,COUNTIF($AG$2:$AG$50,"?*"),23),10,FALSE)&lt;&gt;0,VLOOKUP(J42,OFFSET($AG$2,,,COUNTIF($AG$2:$AG$50,"?*"),23),10,FALSE),""),"")</f>
        <v/>
      </c>
      <c r="K43" s="342" t="str">
        <f ca="1">IFERROR(IF(VLOOKUP(J42,OFFSET($AG$2,,,COUNTIF($AG$2:$AG$50,"?*"),23),2,FALSE)&lt;&gt;0,YEAR(VLOOKUP(J42,OFFSET($AG$2,,,COUNTIF($AG$2:$AG$50,"?*"),23),2,FALSE)),""),"")</f>
        <v/>
      </c>
      <c r="L43" s="350"/>
      <c r="M43" s="151" t="str">
        <f ca="1">IFERROR(VLOOKUP(J42,OFFSET($AG$2,,,COUNTIF($AG$2:$AG$50,"?*"),23),15,FALSE),"")</f>
        <v/>
      </c>
      <c r="N43" s="350" t="str">
        <f ca="1">IFERROR(VLOOKUP(J42,OFFSET($AG$2,,,COUNTIF($AG$2:$AG$50,"?*"),23),16,FALSE),"")</f>
        <v/>
      </c>
      <c r="O43" s="350"/>
      <c r="P43" s="350" t="str">
        <f ca="1">IFERROR(VLOOKUP(J42,OFFSET($AG$2,,,COUNTIF($AG$2:$AG$50,"?*"),23),18,FALSE),"")</f>
        <v/>
      </c>
      <c r="Q43" s="350"/>
      <c r="R43" s="351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5" t="str">
        <f ca="1">IFERROR(IF(VLOOKUP(A40,OFFSET($AG$2,,,COUNTIF($AG$2:$AG$50,"?*"),23),13,FALSE)&lt;&gt;0,VLOOKUP(A40,OFFSET($AG$2,,,COUNTIF($AG$2:$AG$50,"?*"),23),13,FALSE),"?"),"")</f>
        <v/>
      </c>
      <c r="B44" s="366"/>
      <c r="C44" s="367"/>
      <c r="D44" s="368" t="str">
        <f ca="1">IFERROR(IF(VLOOKUP(A40,OFFSET($AG$2,,,COUNTIF($AG$2:$AG$50,"?*"),23),14,FALSE)&lt;&gt;0,VLOOKUP(A40,OFFSET($AG$2,,,COUNTIF($AG$2:$AG$50,"?*"),23),14,FALSE),"?"),"")</f>
        <v/>
      </c>
      <c r="E44" s="369"/>
      <c r="F44" s="19" t="str">
        <f ca="1">IFERROR(VLOOKUP(A40,OFFSET($S$45,,,COUNTIF($S$45:$S$50,"?*"),14),6,FALSE),"")</f>
        <v/>
      </c>
      <c r="H44" s="376"/>
      <c r="J44" s="18" t="str">
        <f ca="1">IFERROR(IF(VLOOKUP(J42,OFFSET($AG$2,,,COUNTIF($AG$2:$AG$50,"?*"),23),7,FALSE)&lt;&gt;0,VLOOKUP(J42,OFFSET($AG$2,,,COUNTIF($AG$2:$AG$50,"?*"),23),7,FALSE),"?"),"")</f>
        <v/>
      </c>
      <c r="K44" s="352" t="str">
        <f ca="1">IFERROR(VLOOKUP(J42,OFFSET($AG$2,,,COUNTIF($AG$2:$AG$50,"?*"),23),19,FALSE),"")</f>
        <v/>
      </c>
      <c r="L44" s="352"/>
      <c r="M44" s="352"/>
      <c r="N44" s="353" t="str">
        <f ca="1">IFERROR(IF(VLOOKUP(J42,OFFSET($AG$2,,,COUNTIF($AG$2:$AG$50,"?*"),23),13,FALSE)&lt;&gt;0,VLOOKUP(J42,OFFSET($AG$2,,,COUNTIF($AG$2:$AG$50,"?*"),23),13,FALSE),"?"),"")</f>
        <v/>
      </c>
      <c r="O44" s="353"/>
      <c r="P44" s="353"/>
      <c r="Q44" s="352" t="str">
        <f ca="1">IFERROR(IF(VLOOKUP(J42,OFFSET($AG$2,,,COUNTIF($AG$2:$AG$50,"?*"),23),14,FALSE)&lt;&gt;0,VLOOKUP(J42,OFFSET($AG$2,,,COUNTIF($AG$2:$AG$50,"?*"),23),14,FALSE),"?"),"")</f>
        <v/>
      </c>
      <c r="R44" s="354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507</v>
      </c>
      <c r="T45" s="102">
        <v>2</v>
      </c>
      <c r="U45" s="112">
        <v>103.78</v>
      </c>
      <c r="V45" s="102">
        <v>1</v>
      </c>
      <c r="W45" s="102">
        <v>14</v>
      </c>
      <c r="X45" s="102">
        <v>0</v>
      </c>
      <c r="Y45" s="102">
        <v>51</v>
      </c>
      <c r="Z45" s="102">
        <v>0</v>
      </c>
      <c r="AA45" s="102">
        <v>1</v>
      </c>
      <c r="AB45" s="102">
        <v>37</v>
      </c>
      <c r="AC45" s="102">
        <v>0</v>
      </c>
      <c r="AD45" s="102">
        <v>0</v>
      </c>
      <c r="AE45" s="112">
        <f>IF(S45&lt;&gt;"",IF(T45&gt;0,W45/(U45/60),0),"")</f>
        <v>8.0940450953941028</v>
      </c>
      <c r="AF45" s="112">
        <f>IF(S45&lt;&gt;"",IF(Y45&gt;0,(AB45/Y45)*100,"-"),"")</f>
        <v>72.549019607843135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511</v>
      </c>
      <c r="T46" s="102">
        <v>4</v>
      </c>
      <c r="U46" s="112">
        <v>237.68</v>
      </c>
      <c r="V46" s="102">
        <v>0</v>
      </c>
      <c r="W46" s="102">
        <v>25</v>
      </c>
      <c r="X46" s="102">
        <v>0</v>
      </c>
      <c r="Y46" s="102">
        <v>82</v>
      </c>
      <c r="Z46" s="102">
        <v>0</v>
      </c>
      <c r="AA46" s="102">
        <v>4</v>
      </c>
      <c r="AB46" s="102">
        <v>57</v>
      </c>
      <c r="AC46" s="102">
        <v>0</v>
      </c>
      <c r="AD46" s="102">
        <v>0</v>
      </c>
      <c r="AE46" s="112">
        <f t="shared" ref="AE46:AE50" si="23">IF(S46&lt;&gt;"",IF(T46&gt;0,W46/(U46/60),0),"")</f>
        <v>6.3110063951531465</v>
      </c>
      <c r="AF46" s="112">
        <f t="shared" ref="AF46:AF50" si="24">IF(S46&lt;&gt;"",IF(Y46&gt;0,(AB46/Y46)*100,"-"),"")</f>
        <v>69.512195121951208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7"/>
      <c r="B47" s="338"/>
      <c r="C47" s="338"/>
      <c r="D47" s="338"/>
      <c r="E47" s="339" t="str">
        <f ca="1">IFERROR(VLOOKUP(A47,OFFSET($BN$2,,,COUNTIF($BN$2:$BN$11,"?*"),5),3,FALSE),"")</f>
        <v/>
      </c>
      <c r="F47" s="339"/>
      <c r="G47" s="339"/>
      <c r="H47" s="339"/>
      <c r="I47" s="340"/>
      <c r="J47" s="337"/>
      <c r="K47" s="338"/>
      <c r="L47" s="338"/>
      <c r="M47" s="338"/>
      <c r="N47" s="339" t="str">
        <f ca="1">IFERROR(VLOOKUP(J47,OFFSET($BN$2,,,COUNTIF($BN$2:$BN$11,"?*"),5),3,FALSE),"")</f>
        <v/>
      </c>
      <c r="O47" s="339"/>
      <c r="P47" s="339"/>
      <c r="Q47" s="339"/>
      <c r="R47" s="340"/>
      <c r="S47" s="111" t="s">
        <v>1012</v>
      </c>
      <c r="T47" s="102">
        <v>1</v>
      </c>
      <c r="U47" s="112">
        <v>16.22</v>
      </c>
      <c r="V47" s="102">
        <v>0</v>
      </c>
      <c r="W47" s="102">
        <v>3</v>
      </c>
      <c r="X47" s="102">
        <v>0</v>
      </c>
      <c r="Y47" s="102">
        <v>7</v>
      </c>
      <c r="Z47" s="102">
        <v>0</v>
      </c>
      <c r="AA47" s="102">
        <v>1</v>
      </c>
      <c r="AB47" s="102">
        <v>4</v>
      </c>
      <c r="AC47" s="102">
        <v>0</v>
      </c>
      <c r="AD47" s="102">
        <v>0</v>
      </c>
      <c r="AE47" s="112">
        <f t="shared" si="23"/>
        <v>11.097410604192357</v>
      </c>
      <c r="AF47" s="112">
        <f t="shared" si="24"/>
        <v>57.142857142857139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5" t="str">
        <f ca="1">IFERROR(VLOOKUP(A47,OFFSET($BN$2,,,COUNTIF($BN$2:$BN$11,"?*"),5),5,FALSE),"")</f>
        <v/>
      </c>
      <c r="B48" s="357" t="str">
        <f ca="1">IFERROR(IF(VLOOKUP(A47,OFFSET($BN$2,,,COUNTIF($BN$2:$BN$11,"?*"),5),4,FALSE)&lt;&gt;0,VLOOKUP(A47,OFFSET($BN$2,,,COUNTIF($BN$2:$BN$11,"?*"),5),4,FALSE),"-"),"")</f>
        <v/>
      </c>
      <c r="C48" s="357"/>
      <c r="D48" s="357"/>
      <c r="E48" s="357"/>
      <c r="F48" s="357"/>
      <c r="G48" s="357"/>
      <c r="H48" s="357"/>
      <c r="I48" s="358"/>
      <c r="J48" s="119" t="str">
        <f ca="1">IFERROR(VLOOKUP(J47,OFFSET($BN$2,,,COUNTIF($BN$2:$BN$11,"?*"),5),5,FALSE),"")</f>
        <v/>
      </c>
      <c r="K48" s="361" t="str">
        <f ca="1">IFERROR(IF(VLOOKUP(J47,OFFSET($BN$2,,,COUNTIF($BN$2:$BN$11,"?*"),5),4,FALSE)&lt;&gt;0,VLOOKUP(J47,OFFSET($BN$2,,,COUNTIF($BN$2:$BN$11,"?*"),5),4,FALSE),"-"),"")</f>
        <v/>
      </c>
      <c r="L48" s="361"/>
      <c r="M48" s="361"/>
      <c r="N48" s="361"/>
      <c r="O48" s="361"/>
      <c r="P48" s="361"/>
      <c r="Q48" s="361"/>
      <c r="R48" s="362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5"/>
      <c r="B49" s="357"/>
      <c r="C49" s="357"/>
      <c r="D49" s="357"/>
      <c r="E49" s="357"/>
      <c r="F49" s="357"/>
      <c r="G49" s="357"/>
      <c r="H49" s="357"/>
      <c r="I49" s="358"/>
      <c r="J49" s="363"/>
      <c r="K49" s="364"/>
      <c r="L49" s="364"/>
      <c r="M49" s="364"/>
      <c r="N49" s="339" t="str">
        <f ca="1">IFERROR(VLOOKUP(J49,OFFSET($BN$2,,,COUNTIF($BN$2:$BN$11,"?*"),5),3,FALSE),"")</f>
        <v/>
      </c>
      <c r="O49" s="339"/>
      <c r="P49" s="339"/>
      <c r="Q49" s="339"/>
      <c r="R49" s="340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6"/>
      <c r="B50" s="359"/>
      <c r="C50" s="359"/>
      <c r="D50" s="359"/>
      <c r="E50" s="359"/>
      <c r="F50" s="359"/>
      <c r="G50" s="359"/>
      <c r="H50" s="359"/>
      <c r="I50" s="360"/>
      <c r="J50" s="119" t="str">
        <f ca="1">IFERROR(VLOOKUP(J49,OFFSET($BN$2,,,COUNTIF($BN$2:$BN$11,"?*"),5),5,FALSE),"")</f>
        <v/>
      </c>
      <c r="K50" s="361" t="str">
        <f ca="1">IFERROR(IF(VLOOKUP(J49,OFFSET($BN$2,,,COUNTIF($BN$2:$BN$11,"?*"),5),4,FALSE)&lt;&gt;0,VLOOKUP(J49,OFFSET($BN$2,,,COUNTIF($BN$2:$BN$11,"?*"),5),4,FALSE),"-"),"")</f>
        <v/>
      </c>
      <c r="L50" s="361"/>
      <c r="M50" s="361"/>
      <c r="N50" s="361"/>
      <c r="O50" s="361"/>
      <c r="P50" s="361"/>
      <c r="Q50" s="361"/>
      <c r="R50" s="362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8"/>
      <c r="B1" s="349"/>
      <c r="C1" s="349"/>
      <c r="D1" s="34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82" t="s">
        <v>1</v>
      </c>
      <c r="I1" s="382"/>
      <c r="J1" s="382"/>
      <c r="K1" s="382"/>
      <c r="M1" s="348"/>
      <c r="N1" s="349"/>
      <c r="O1" s="349"/>
      <c r="P1" s="34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1" t="str">
        <f ca="1">IFERROR(IF(VLOOKUP(A1,OFFSET($AG$2,,,COUNTIF($AG$2:$AG$50,"?*"),23),2,FALSE)&lt;&gt;0,YEAR(VLOOKUP(A1,OFFSET($AG$2,,,COUNTIF($AG$2:$AG$50,"?*"),23),2,FALSE)),""),"")</f>
        <v/>
      </c>
      <c r="C2" s="342"/>
      <c r="D2" s="117" t="str">
        <f ca="1">IFERROR(VLOOKUP(A1,OFFSET($AG$2,,,COUNTIF($AG$2:$AG$50,"?*"),23),15,FALSE),"")</f>
        <v/>
      </c>
      <c r="E2" s="343" t="str">
        <f ca="1">IFERROR(VLOOKUP(A1,OFFSET($AG$2,,,COUNTIF($AG$2:$AG$50,"?*"),23),16,FALSE),"")</f>
        <v/>
      </c>
      <c r="F2" s="344"/>
      <c r="M2" s="4" t="str">
        <f ca="1">IFERROR(IF(VLOOKUP(M1,OFFSET($AG$2,,,COUNTIF($AG$2:$AG$50,"?*"),23),10,FALSE)&lt;&gt;0,VLOOKUP(M1,OFFSET($AG$2,,,COUNTIF($AG$2:$AG$50,"?*"),23),10,FALSE),""),"")</f>
        <v/>
      </c>
      <c r="N2" s="341" t="str">
        <f ca="1">IFERROR(IF(VLOOKUP(M1,OFFSET($AG$2,,,COUNTIF($AG$2:$AG$50,"?*"),23),2,FALSE)&lt;&gt;0,YEAR(VLOOKUP(M1,OFFSET($AG$2,,,COUNTIF($AG$2:$AG$50,"?*"),23),2,FALSE)),""),"")</f>
        <v/>
      </c>
      <c r="O2" s="342"/>
      <c r="P2" s="117" t="str">
        <f ca="1">IFERROR(VLOOKUP(M1,OFFSET($AG$2,,,COUNTIF($AG$2:$AG$50,"?*"),23),15,FALSE),"")</f>
        <v/>
      </c>
      <c r="Q2" s="343" t="str">
        <f ca="1">IFERROR(VLOOKUP(M1,OFFSET($AG$2,,,COUNTIF($AG$2:$AG$50,"?*"),23),16,FALSE),"")</f>
        <v/>
      </c>
      <c r="R2" s="344"/>
      <c r="S2" s="110" t="s">
        <v>785</v>
      </c>
      <c r="T2" s="102" t="s">
        <v>119</v>
      </c>
      <c r="U2" s="102">
        <v>7</v>
      </c>
      <c r="V2" s="102">
        <v>6</v>
      </c>
      <c r="W2" s="102">
        <v>1</v>
      </c>
      <c r="X2" s="102">
        <v>0</v>
      </c>
      <c r="Y2" s="102">
        <v>3</v>
      </c>
      <c r="Z2" s="102">
        <v>9</v>
      </c>
      <c r="AA2" s="102">
        <v>4</v>
      </c>
      <c r="AB2" s="102">
        <v>-3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790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36" t="s">
        <v>36</v>
      </c>
      <c r="BT2" s="104" t="s">
        <v>1299</v>
      </c>
      <c r="BU2" s="103">
        <v>9</v>
      </c>
      <c r="BV2" s="104" t="str">
        <f>IFERROR(RIGHT(BT2,LEN(BT2)-SEARCH(" ",BT2)),"")</f>
        <v>Ivo Teichman</v>
      </c>
      <c r="BW2" s="102">
        <f>IF(BT2&lt;&gt;0,_xlfn.NUMBERVALUE(BU2,","),"")</f>
        <v>9</v>
      </c>
      <c r="BX2" s="335" t="s">
        <v>211</v>
      </c>
      <c r="BY2" s="103" t="s">
        <v>799</v>
      </c>
      <c r="BZ2" s="103" t="s">
        <v>927</v>
      </c>
      <c r="CA2" s="115" t="s">
        <v>1297</v>
      </c>
    </row>
    <row r="3" spans="1:79" ht="15" customHeight="1" thickTop="1" thickBot="1" x14ac:dyDescent="0.25">
      <c r="A3" s="377" t="str">
        <f ca="1">IFERROR(VLOOKUP(A1,OFFSET($AG$2,,,COUNTIF($AG$2:$AG$50,"?*"),23),18,FALSE),"")</f>
        <v/>
      </c>
      <c r="B3" s="378"/>
      <c r="C3" s="378"/>
      <c r="D3" s="379" t="str">
        <f ca="1">IFERROR(VLOOKUP(A1,OFFSET($AG$2,,,COUNTIF($AG$2:$AG$50,"?*"),23),19,FALSE),"")</f>
        <v/>
      </c>
      <c r="E3" s="379"/>
      <c r="F3" s="380"/>
      <c r="G3" s="348"/>
      <c r="H3" s="349"/>
      <c r="I3" s="349"/>
      <c r="J3" s="34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7" t="str">
        <f ca="1">IFERROR(VLOOKUP(M1,OFFSET($AG$2,,,COUNTIF($AG$2:$AG$50,"?*"),23),18,FALSE),"")</f>
        <v/>
      </c>
      <c r="N3" s="378"/>
      <c r="O3" s="378"/>
      <c r="P3" s="379" t="str">
        <f ca="1">IFERROR(VLOOKUP(M1,OFFSET($AG$2,,,COUNTIF($AG$2:$AG$50,"?*"),23),19,FALSE),"")</f>
        <v/>
      </c>
      <c r="Q3" s="379"/>
      <c r="R3" s="380"/>
      <c r="S3" s="110" t="s">
        <v>779</v>
      </c>
      <c r="U3" s="102">
        <v>6</v>
      </c>
      <c r="V3" s="102">
        <v>4</v>
      </c>
      <c r="W3" s="102">
        <v>1</v>
      </c>
      <c r="X3" s="102">
        <v>0</v>
      </c>
      <c r="Y3" s="102">
        <v>3</v>
      </c>
      <c r="Z3" s="102">
        <v>7</v>
      </c>
      <c r="AA3" s="102">
        <v>0</v>
      </c>
      <c r="AB3" s="102">
        <v>-14</v>
      </c>
      <c r="AC3" s="102" t="str">
        <f t="shared" ca="1" si="0"/>
        <v>ANO</v>
      </c>
      <c r="AG3" s="121" t="s">
        <v>783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5 OZ, 3 (2+1), -7 ±</v>
      </c>
      <c r="AY3" s="129" t="str">
        <f t="shared" ca="1" si="2"/>
        <v>5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36"/>
      <c r="BT3" s="104" t="s">
        <v>1300</v>
      </c>
      <c r="BU3" s="103">
        <v>7</v>
      </c>
      <c r="BV3" s="104" t="str">
        <f t="shared" ref="BV3:BV31" si="13">IFERROR(RIGHT(BT3,LEN(BT3)-SEARCH(" ",BT3)),"")</f>
        <v>Adam Šmíd</v>
      </c>
      <c r="BW3" s="102">
        <f t="shared" ref="BW3:BW31" si="14">IF(BT3&lt;&gt;0,_xlfn.NUMBERVALUE(BU3,","),"")</f>
        <v>7</v>
      </c>
      <c r="BX3" s="335"/>
      <c r="BY3" s="103" t="s">
        <v>263</v>
      </c>
      <c r="BZ3" s="103" t="s">
        <v>942</v>
      </c>
      <c r="CA3" s="115" t="s">
        <v>817</v>
      </c>
    </row>
    <row r="4" spans="1:79" ht="15" customHeight="1" thickBot="1" x14ac:dyDescent="0.25">
      <c r="A4" s="365" t="str">
        <f ca="1">IFERROR(IF(VLOOKUP(A1,OFFSET($AG$2,,,COUNTIF($AG$2:$AG$50,"?*"),23),13,FALSE)&lt;&gt;0,VLOOKUP(A1,OFFSET($AG$2,,,COUNTIF($AG$2:$AG$50,"?*"),23),13,FALSE),"?"),"")</f>
        <v/>
      </c>
      <c r="B4" s="366"/>
      <c r="C4" s="367"/>
      <c r="D4" s="368" t="str">
        <f ca="1">IFERROR(IF(VLOOKUP(A1,OFFSET($AG$2,,,COUNTIF($AG$2:$AG$50,"?*"),23),14,FALSE)&lt;&gt;0,VLOOKUP(A1,OFFSET($AG$2,,,COUNTIF($AG$2:$AG$50,"?*"),23),14,FALSE),"?"),"")</f>
        <v/>
      </c>
      <c r="E4" s="36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1" t="str">
        <f ca="1">IFERROR(IF(VLOOKUP(G3,OFFSET($AG$2,,,COUNTIF($AG$2:$AG$50,"?*"),23),2,FALSE)&lt;&gt;0,YEAR(VLOOKUP(G3,OFFSET($AG$2,,,COUNTIF($AG$2:$AG$50,"?*"),23),2,FALSE)),""),"")</f>
        <v/>
      </c>
      <c r="I4" s="342"/>
      <c r="J4" s="117" t="str">
        <f ca="1">IFERROR(VLOOKUP(G3,OFFSET($AG$2,,,COUNTIF($AG$2:$AG$50,"?*"),23),15,FALSE),"")</f>
        <v/>
      </c>
      <c r="K4" s="343" t="str">
        <f ca="1">IFERROR(VLOOKUP(G3,OFFSET($AG$2,,,COUNTIF($AG$2:$AG$50,"?*"),23),16,FALSE),"")</f>
        <v/>
      </c>
      <c r="L4" s="344"/>
      <c r="M4" s="365" t="str">
        <f ca="1">IFERROR(IF(VLOOKUP(M1,OFFSET($AG$2,,,COUNTIF($AG$2:$AG$50,"?*"),23),13,FALSE)&lt;&gt;0,VLOOKUP(M1,OFFSET($AG$2,,,COUNTIF($AG$2:$AG$50,"?*"),23),13,FALSE),"?"),"")</f>
        <v/>
      </c>
      <c r="N4" s="366"/>
      <c r="O4" s="367"/>
      <c r="P4" s="368" t="str">
        <f ca="1">IFERROR(IF(VLOOKUP(M1,OFFSET($AG$2,,,COUNTIF($AG$2:$AG$50,"?*"),23),14,FALSE)&lt;&gt;0,VLOOKUP(M1,OFFSET($AG$2,,,COUNTIF($AG$2:$AG$50,"?*"),23),14,FALSE),"?"),"")</f>
        <v/>
      </c>
      <c r="Q4" s="36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640</v>
      </c>
      <c r="U4" s="102">
        <v>7</v>
      </c>
      <c r="V4" s="102">
        <v>3</v>
      </c>
      <c r="W4" s="102">
        <v>0</v>
      </c>
      <c r="X4" s="102">
        <v>0</v>
      </c>
      <c r="Y4" s="102">
        <v>4</v>
      </c>
      <c r="Z4" s="102">
        <v>7</v>
      </c>
      <c r="AA4" s="102">
        <v>0</v>
      </c>
      <c r="AB4" s="102">
        <v>-11</v>
      </c>
      <c r="AC4" s="102" t="str">
        <f t="shared" ca="1" si="0"/>
        <v>ANO</v>
      </c>
      <c r="AG4" s="121" t="s">
        <v>788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1 V, 5 P</v>
      </c>
      <c r="AY4" s="129" t="str">
        <f t="shared" ca="1" si="2"/>
        <v>6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36"/>
      <c r="BT4" s="104" t="s">
        <v>886</v>
      </c>
      <c r="BU4" s="103">
        <v>7</v>
      </c>
      <c r="BV4" s="104" t="str">
        <f t="shared" si="13"/>
        <v>Matyáš Velc</v>
      </c>
      <c r="BW4" s="102">
        <f t="shared" si="14"/>
        <v>7</v>
      </c>
      <c r="BX4" s="335"/>
      <c r="BY4" s="103" t="s">
        <v>207</v>
      </c>
      <c r="BZ4" s="103" t="s">
        <v>964</v>
      </c>
      <c r="CA4" s="115" t="s">
        <v>839</v>
      </c>
    </row>
    <row r="5" spans="1:79" ht="15" customHeight="1" thickTop="1" thickBot="1" x14ac:dyDescent="0.25">
      <c r="A5" s="8"/>
      <c r="B5" s="8"/>
      <c r="C5" s="8"/>
      <c r="D5" s="8"/>
      <c r="G5" s="377" t="str">
        <f ca="1">IFERROR(VLOOKUP(G3,OFFSET($AG$2,,,COUNTIF($AG$2:$AG$50,"?*"),23),18,FALSE),"")</f>
        <v/>
      </c>
      <c r="H5" s="378"/>
      <c r="I5" s="378"/>
      <c r="J5" s="379" t="str">
        <f ca="1">IFERROR(VLOOKUP(G3,OFFSET($AG$2,,,COUNTIF($AG$2:$AG$50,"?*"),23),19,FALSE),"")</f>
        <v/>
      </c>
      <c r="K5" s="379"/>
      <c r="L5" s="380"/>
      <c r="S5" s="110" t="s">
        <v>787</v>
      </c>
      <c r="T5" s="102" t="s">
        <v>119</v>
      </c>
      <c r="U5" s="102">
        <v>7</v>
      </c>
      <c r="V5" s="102">
        <v>2</v>
      </c>
      <c r="W5" s="102">
        <v>0</v>
      </c>
      <c r="X5" s="102">
        <v>0</v>
      </c>
      <c r="Y5" s="102">
        <v>5</v>
      </c>
      <c r="Z5" s="102">
        <v>7</v>
      </c>
      <c r="AA5" s="102">
        <v>2</v>
      </c>
      <c r="AB5" s="102">
        <v>-12</v>
      </c>
      <c r="AC5" s="102" t="str">
        <f t="shared" ca="1" si="0"/>
        <v>ANO</v>
      </c>
      <c r="AG5" s="121" t="s">
        <v>778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7 OZ, 2 (2+0), -9 ±</v>
      </c>
      <c r="AY5" s="129" t="str">
        <f t="shared" ca="1" si="2"/>
        <v>7 OZ, 2 (2+0)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36"/>
      <c r="BT5" s="104" t="s">
        <v>885</v>
      </c>
      <c r="BU5" s="103">
        <v>7</v>
      </c>
      <c r="BV5" s="104" t="str">
        <f t="shared" si="13"/>
        <v>Přemek Pakosta</v>
      </c>
      <c r="BW5" s="102">
        <f t="shared" si="14"/>
        <v>7</v>
      </c>
      <c r="BX5" s="335"/>
      <c r="BY5" s="103" t="s">
        <v>262</v>
      </c>
      <c r="BZ5" s="103" t="s">
        <v>965</v>
      </c>
      <c r="CA5" s="115" t="s">
        <v>213</v>
      </c>
    </row>
    <row r="6" spans="1:79" ht="15" customHeight="1" thickTop="1" thickBot="1" x14ac:dyDescent="0.25">
      <c r="A6" s="348"/>
      <c r="B6" s="349"/>
      <c r="C6" s="349"/>
      <c r="D6" s="34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5" t="str">
        <f ca="1">IFERROR(IF(VLOOKUP(G3,OFFSET($AG$2,,,COUNTIF($AG$2:$AG$50,"?*"),23),13,FALSE)&lt;&gt;0,VLOOKUP(G3,OFFSET($AG$2,,,COUNTIF($AG$2:$AG$50,"?*"),23),13,FALSE),"?"),"")</f>
        <v/>
      </c>
      <c r="H6" s="366"/>
      <c r="I6" s="367"/>
      <c r="J6" s="368" t="str">
        <f ca="1">IFERROR(IF(VLOOKUP(G3,OFFSET($AG$2,,,COUNTIF($AG$2:$AG$50,"?*"),23),14,FALSE)&lt;&gt;0,VLOOKUP(G3,OFFSET($AG$2,,,COUNTIF($AG$2:$AG$50,"?*"),23),14,FALSE),"?"),"")</f>
        <v/>
      </c>
      <c r="K6" s="369"/>
      <c r="L6" s="7" t="str">
        <f ca="1">IFERROR(IF(VLOOKUP(G3,OFFSET($AG$2,,,COUNTIF($AG$2:$AG$50,"?*"),23),7,FALSE)&lt;&gt;0,VLOOKUP(G3,OFFSET($AG$2,,,COUNTIF($AG$2:$AG$50,"?*"),23),7,FALSE),"?"),"")</f>
        <v/>
      </c>
      <c r="M6" s="348"/>
      <c r="N6" s="349"/>
      <c r="O6" s="349"/>
      <c r="P6" s="34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791</v>
      </c>
      <c r="T6" s="102" t="s">
        <v>119</v>
      </c>
      <c r="U6" s="102">
        <v>3</v>
      </c>
      <c r="V6" s="102">
        <v>3</v>
      </c>
      <c r="W6" s="102">
        <v>1</v>
      </c>
      <c r="X6" s="102">
        <v>0</v>
      </c>
      <c r="Y6" s="102">
        <v>1</v>
      </c>
      <c r="Z6" s="102">
        <v>4</v>
      </c>
      <c r="AA6" s="102">
        <v>0</v>
      </c>
      <c r="AB6" s="102">
        <v>-8</v>
      </c>
      <c r="AC6" s="102" t="str">
        <f t="shared" ca="1" si="0"/>
        <v>ANO</v>
      </c>
      <c r="AG6" s="121" t="s">
        <v>784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7 OZ, 0 (0+0), -1 ±</v>
      </c>
      <c r="AY6" s="129" t="str">
        <f t="shared" ca="1" si="2"/>
        <v>7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36"/>
      <c r="BT6" s="104" t="s">
        <v>1301</v>
      </c>
      <c r="BU6" s="103">
        <v>4</v>
      </c>
      <c r="BV6" s="104" t="str">
        <f t="shared" si="13"/>
        <v>Jan Savický</v>
      </c>
      <c r="BW6" s="102">
        <f t="shared" si="14"/>
        <v>4</v>
      </c>
      <c r="BX6" s="335"/>
      <c r="BY6" s="103" t="s">
        <v>855</v>
      </c>
      <c r="BZ6" s="103" t="s">
        <v>931</v>
      </c>
      <c r="CA6" s="115" t="s">
        <v>839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1" t="str">
        <f ca="1">IFERROR(IF(VLOOKUP(A6,OFFSET($AG$2,,,COUNTIF($AG$2:$AG$50,"?*"),23),2,FALSE)&lt;&gt;0,YEAR(VLOOKUP(A6,OFFSET($AG$2,,,COUNTIF($AG$2:$AG$50,"?*"),23),2,FALSE)),""),"")</f>
        <v/>
      </c>
      <c r="C7" s="342"/>
      <c r="D7" s="117" t="str">
        <f ca="1">IFERROR(VLOOKUP(A6,OFFSET($AG$2,,,COUNTIF($AG$2:$AG$50,"?*"),23),15,FALSE),"")</f>
        <v/>
      </c>
      <c r="E7" s="343" t="str">
        <f ca="1">IFERROR(VLOOKUP(A6,OFFSET($AG$2,,,COUNTIF($AG$2:$AG$50,"?*"),23),16,FALSE),"")</f>
        <v/>
      </c>
      <c r="F7" s="344"/>
      <c r="M7" s="4" t="str">
        <f ca="1">IFERROR(IF(VLOOKUP(M6,OFFSET($AG$2,,,COUNTIF($AG$2:$AG$50,"?*"),23),10,FALSE)&lt;&gt;0,VLOOKUP(M6,OFFSET($AG$2,,,COUNTIF($AG$2:$AG$50,"?*"),23),10,FALSE),""),"")</f>
        <v/>
      </c>
      <c r="N7" s="341" t="str">
        <f ca="1">IFERROR(IF(VLOOKUP(M6,OFFSET($AG$2,,,COUNTIF($AG$2:$AG$50,"?*"),23),2,FALSE)&lt;&gt;0,YEAR(VLOOKUP(M6,OFFSET($AG$2,,,COUNTIF($AG$2:$AG$50,"?*"),23),2,FALSE)),""),"")</f>
        <v/>
      </c>
      <c r="O7" s="342"/>
      <c r="P7" s="117" t="str">
        <f ca="1">IFERROR(VLOOKUP(M6,OFFSET($AG$2,,,COUNTIF($AG$2:$AG$50,"?*"),23),15,FALSE),"")</f>
        <v/>
      </c>
      <c r="Q7" s="343" t="str">
        <f ca="1">IFERROR(VLOOKUP(M6,OFFSET($AG$2,,,COUNTIF($AG$2:$AG$50,"?*"),23),16,FALSE),"")</f>
        <v/>
      </c>
      <c r="R7" s="344"/>
      <c r="S7" s="110" t="s">
        <v>783</v>
      </c>
      <c r="U7" s="102">
        <v>5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0</v>
      </c>
      <c r="AB7" s="102">
        <v>-7</v>
      </c>
      <c r="AC7" s="102" t="str">
        <f t="shared" ca="1" si="0"/>
        <v>ANO</v>
      </c>
      <c r="AG7" s="121" t="s">
        <v>744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7 OZ, 3 (1+2), -9 ±</v>
      </c>
      <c r="AY7" s="129" t="str">
        <f t="shared" ca="1" si="2"/>
        <v>7 OZ, 3 (1+2)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6" t="s">
        <v>40</v>
      </c>
      <c r="BT7" s="104" t="s">
        <v>792</v>
      </c>
      <c r="BU7" s="103" t="s">
        <v>1302</v>
      </c>
      <c r="BV7" s="104" t="str">
        <f t="shared" si="13"/>
        <v>Martin Haleš</v>
      </c>
      <c r="BW7" s="112">
        <f t="shared" si="14"/>
        <v>8.24</v>
      </c>
      <c r="BX7" s="335" t="s">
        <v>212</v>
      </c>
      <c r="BY7" s="103" t="s">
        <v>913</v>
      </c>
      <c r="BZ7" s="103" t="s">
        <v>940</v>
      </c>
      <c r="CA7" s="115" t="s">
        <v>205</v>
      </c>
    </row>
    <row r="8" spans="1:79" ht="15" customHeight="1" x14ac:dyDescent="0.2">
      <c r="A8" s="377" t="str">
        <f ca="1">IFERROR(VLOOKUP(A6,OFFSET($AG$2,,,COUNTIF($AG$2:$AG$50,"?*"),23),18,FALSE),"")</f>
        <v/>
      </c>
      <c r="B8" s="378"/>
      <c r="C8" s="378"/>
      <c r="D8" s="379" t="str">
        <f ca="1">IFERROR(VLOOKUP(A6,OFFSET($AG$2,,,COUNTIF($AG$2:$AG$50,"?*"),23),19,FALSE),"")</f>
        <v/>
      </c>
      <c r="E8" s="379"/>
      <c r="F8" s="380"/>
      <c r="H8" s="381" t="s">
        <v>104</v>
      </c>
      <c r="I8" s="381"/>
      <c r="J8" s="381"/>
      <c r="K8" s="381"/>
      <c r="M8" s="377" t="str">
        <f ca="1">IFERROR(VLOOKUP(M6,OFFSET($AG$2,,,COUNTIF($AG$2:$AG$50,"?*"),23),18,FALSE),"")</f>
        <v/>
      </c>
      <c r="N8" s="378"/>
      <c r="O8" s="378"/>
      <c r="P8" s="379" t="str">
        <f ca="1">IFERROR(VLOOKUP(M6,OFFSET($AG$2,,,COUNTIF($AG$2:$AG$50,"?*"),23),19,FALSE),"")</f>
        <v/>
      </c>
      <c r="Q8" s="379"/>
      <c r="R8" s="380"/>
      <c r="S8" s="110" t="s">
        <v>782</v>
      </c>
      <c r="U8" s="102">
        <v>7</v>
      </c>
      <c r="V8" s="102">
        <v>2</v>
      </c>
      <c r="W8" s="102">
        <v>0</v>
      </c>
      <c r="X8" s="102">
        <v>0</v>
      </c>
      <c r="Y8" s="102">
        <v>1</v>
      </c>
      <c r="Z8" s="102">
        <v>3</v>
      </c>
      <c r="AA8" s="102">
        <v>2</v>
      </c>
      <c r="AB8" s="102">
        <v>-5</v>
      </c>
      <c r="AC8" s="102" t="str">
        <f t="shared" ca="1" si="0"/>
        <v>ANO</v>
      </c>
      <c r="AG8" s="121" t="s">
        <v>789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3 OZ, 0 (0+0), -2 ±</v>
      </c>
      <c r="AY8" s="129" t="str">
        <f t="shared" ca="1" si="2"/>
        <v>3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6"/>
      <c r="BT8" s="104" t="s">
        <v>1118</v>
      </c>
      <c r="BU8" s="103" t="s">
        <v>1303</v>
      </c>
      <c r="BV8" s="104" t="str">
        <f t="shared" si="13"/>
        <v>Matěj Denemark</v>
      </c>
      <c r="BW8" s="112">
        <f t="shared" si="14"/>
        <v>4.07</v>
      </c>
      <c r="BX8" s="335"/>
      <c r="BY8" s="103" t="s">
        <v>1265</v>
      </c>
      <c r="BZ8" s="103" t="s">
        <v>1004</v>
      </c>
      <c r="CA8" s="115" t="s">
        <v>205</v>
      </c>
    </row>
    <row r="9" spans="1:79" ht="15" customHeight="1" thickBot="1" x14ac:dyDescent="0.25">
      <c r="A9" s="365" t="str">
        <f ca="1">IFERROR(IF(VLOOKUP(A6,OFFSET($AG$2,,,COUNTIF($AG$2:$AG$50,"?*"),23),13,FALSE)&lt;&gt;0,VLOOKUP(A6,OFFSET($AG$2,,,COUNTIF($AG$2:$AG$50,"?*"),23),13,FALSE),"?"),"")</f>
        <v/>
      </c>
      <c r="B9" s="366"/>
      <c r="C9" s="367"/>
      <c r="D9" s="368" t="str">
        <f ca="1">IFERROR(IF(VLOOKUP(A6,OFFSET($AG$2,,,COUNTIF($AG$2:$AG$50,"?*"),23),14,FALSE)&lt;&gt;0,VLOOKUP(A6,OFFSET($AG$2,,,COUNTIF($AG$2:$AG$50,"?*"),23),14,FALSE),"?"),"")</f>
        <v/>
      </c>
      <c r="E9" s="369"/>
      <c r="F9" s="7" t="str">
        <f ca="1">IFERROR(IF(VLOOKUP(A6,OFFSET($AG$2,,,COUNTIF($AG$2:$AG$50,"?*"),23),7,FALSE)&lt;&gt;0,VLOOKUP(A6,OFFSET($AG$2,,,COUNTIF($AG$2:$AG$50,"?*"),23),7,FALSE),"?"),"")</f>
        <v/>
      </c>
      <c r="H9" s="381"/>
      <c r="I9" s="381"/>
      <c r="J9" s="381"/>
      <c r="K9" s="381"/>
      <c r="M9" s="365" t="str">
        <f ca="1">IFERROR(IF(VLOOKUP(M6,OFFSET($AG$2,,,COUNTIF($AG$2:$AG$50,"?*"),23),13,FALSE)&lt;&gt;0,VLOOKUP(M6,OFFSET($AG$2,,,COUNTIF($AG$2:$AG$50,"?*"),23),13,FALSE),"?"),"")</f>
        <v/>
      </c>
      <c r="N9" s="366"/>
      <c r="O9" s="367"/>
      <c r="P9" s="368" t="str">
        <f ca="1">IFERROR(IF(VLOOKUP(M6,OFFSET($AG$2,,,COUNTIF($AG$2:$AG$50,"?*"),23),14,FALSE)&lt;&gt;0,VLOOKUP(M6,OFFSET($AG$2,,,COUNTIF($AG$2:$AG$50,"?*"),23),14,FALSE),"?"),"")</f>
        <v/>
      </c>
      <c r="Q9" s="36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780</v>
      </c>
      <c r="U9" s="102">
        <v>7</v>
      </c>
      <c r="V9" s="102">
        <v>1</v>
      </c>
      <c r="W9" s="102">
        <v>0</v>
      </c>
      <c r="X9" s="102">
        <v>0</v>
      </c>
      <c r="Y9" s="102">
        <v>2</v>
      </c>
      <c r="Z9" s="102">
        <v>3</v>
      </c>
      <c r="AA9" s="102">
        <v>4</v>
      </c>
      <c r="AB9" s="102">
        <v>-12</v>
      </c>
      <c r="AC9" s="102" t="str">
        <f t="shared" ca="1" si="0"/>
        <v>ANO</v>
      </c>
      <c r="AG9" s="121" t="s">
        <v>787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7 OZ, 7 (2+5), -12 ±</v>
      </c>
      <c r="AY9" s="129" t="str">
        <f t="shared" ca="1" si="2"/>
        <v>7 OZ, 7 (2+5)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6"/>
      <c r="BT9" s="104" t="s">
        <v>1119</v>
      </c>
      <c r="BU9" s="103" t="s">
        <v>1016</v>
      </c>
      <c r="BV9" s="104" t="str">
        <f t="shared" si="13"/>
        <v>Karel Aubus</v>
      </c>
      <c r="BW9" s="112">
        <f t="shared" si="14"/>
        <v>5.12</v>
      </c>
      <c r="BX9" s="335"/>
      <c r="BY9" s="103" t="s">
        <v>945</v>
      </c>
      <c r="BZ9" s="103" t="s">
        <v>944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744</v>
      </c>
      <c r="U10" s="102">
        <v>7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4</v>
      </c>
      <c r="AB10" s="102">
        <v>-9</v>
      </c>
      <c r="AC10" s="102" t="str">
        <f t="shared" ca="1" si="0"/>
        <v>ANO</v>
      </c>
      <c r="AG10" s="121" t="s">
        <v>781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7 OZ, 0 (0+0), -9 ±</v>
      </c>
      <c r="AY10" s="129" t="str">
        <f t="shared" ca="1" si="2"/>
        <v>7 OZ, 0 (0+0)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6"/>
      <c r="BV10" s="104" t="str">
        <f t="shared" si="13"/>
        <v/>
      </c>
      <c r="BW10" s="112" t="str">
        <f t="shared" si="14"/>
        <v/>
      </c>
      <c r="BX10" s="335"/>
      <c r="BY10" s="103" t="s">
        <v>1106</v>
      </c>
      <c r="BZ10" s="103" t="s">
        <v>978</v>
      </c>
      <c r="CA10" s="115" t="s">
        <v>205</v>
      </c>
    </row>
    <row r="11" spans="1:79" ht="15" customHeight="1" thickTop="1" thickBot="1" x14ac:dyDescent="0.25">
      <c r="R11" s="13"/>
      <c r="S11" s="110" t="s">
        <v>776</v>
      </c>
      <c r="U11" s="102">
        <v>6</v>
      </c>
      <c r="V11" s="102">
        <v>0</v>
      </c>
      <c r="W11" s="102">
        <v>0</v>
      </c>
      <c r="X11" s="102">
        <v>0</v>
      </c>
      <c r="Y11" s="102">
        <v>3</v>
      </c>
      <c r="Z11" s="102">
        <v>3</v>
      </c>
      <c r="AA11" s="102">
        <v>0</v>
      </c>
      <c r="AB11" s="102">
        <v>-1</v>
      </c>
      <c r="AC11" s="102" t="str">
        <f t="shared" ca="1" si="0"/>
        <v>ANO</v>
      </c>
      <c r="AG11" s="121" t="s">
        <v>776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6 OZ, 3 (0+3), -1 ±</v>
      </c>
      <c r="AY11" s="129" t="str">
        <f t="shared" ca="1" si="2"/>
        <v>6 OZ, 3 (0+3)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6"/>
      <c r="BV11" s="104" t="str">
        <f t="shared" si="13"/>
        <v/>
      </c>
      <c r="BW11" s="112" t="str">
        <f t="shared" si="14"/>
        <v/>
      </c>
      <c r="BX11" s="335"/>
      <c r="BY11" s="103" t="s">
        <v>1228</v>
      </c>
      <c r="BZ11" s="103" t="s">
        <v>967</v>
      </c>
      <c r="CA11" s="115" t="s">
        <v>205</v>
      </c>
    </row>
    <row r="12" spans="1:79" ht="15" customHeight="1" thickTop="1" thickBot="1" x14ac:dyDescent="0.25">
      <c r="A12" s="348"/>
      <c r="B12" s="349"/>
      <c r="C12" s="349"/>
      <c r="D12" s="34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82" t="s">
        <v>7</v>
      </c>
      <c r="I12" s="382"/>
      <c r="J12" s="382"/>
      <c r="K12" s="382"/>
      <c r="M12" s="348"/>
      <c r="N12" s="349"/>
      <c r="O12" s="349"/>
      <c r="P12" s="34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778</v>
      </c>
      <c r="T12" s="102" t="s">
        <v>64</v>
      </c>
      <c r="U12" s="102">
        <v>7</v>
      </c>
      <c r="V12" s="102">
        <v>2</v>
      </c>
      <c r="W12" s="102">
        <v>0</v>
      </c>
      <c r="X12" s="102">
        <v>0</v>
      </c>
      <c r="Y12" s="102">
        <v>0</v>
      </c>
      <c r="Z12" s="102">
        <v>2</v>
      </c>
      <c r="AA12" s="102">
        <v>2</v>
      </c>
      <c r="AB12" s="102">
        <v>-9</v>
      </c>
      <c r="AC12" s="102" t="str">
        <f t="shared" ca="1" si="0"/>
        <v>ANO</v>
      </c>
      <c r="AG12" s="121" t="s">
        <v>780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7 OZ, 3 (1+2), -12 ±</v>
      </c>
      <c r="AY12" s="129" t="str">
        <f t="shared" ca="1" si="2"/>
        <v>7 OZ, 3 (1+2)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6" t="s">
        <v>37</v>
      </c>
      <c r="BT12" s="104" t="s">
        <v>1299</v>
      </c>
      <c r="BU12" s="103">
        <v>6</v>
      </c>
      <c r="BV12" s="104" t="str">
        <f t="shared" si="13"/>
        <v>Ivo Teichman</v>
      </c>
      <c r="BW12" s="102">
        <f t="shared" si="14"/>
        <v>6</v>
      </c>
      <c r="BX12" s="120" t="s">
        <v>210</v>
      </c>
      <c r="BY12" s="100" t="s">
        <v>1298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1" t="str">
        <f ca="1">IFERROR(IF(VLOOKUP(A12,OFFSET($AG$2,,,COUNTIF($AG$2:$AG$50,"?*"),23),2,FALSE)&lt;&gt;0,YEAR(VLOOKUP(A12,OFFSET($AG$2,,,COUNTIF($AG$2:$AG$50,"?*"),23),2,FALSE)),""),"")</f>
        <v/>
      </c>
      <c r="C13" s="342"/>
      <c r="D13" s="117" t="str">
        <f ca="1">IFERROR(VLOOKUP(A12,OFFSET($AG$2,,,COUNTIF($AG$2:$AG$50,"?*"),23),15,FALSE),"")</f>
        <v/>
      </c>
      <c r="E13" s="343" t="str">
        <f ca="1">IFERROR(VLOOKUP(A12,OFFSET($AG$2,,,COUNTIF($AG$2:$AG$50,"?*"),23),16,FALSE),"")</f>
        <v/>
      </c>
      <c r="F13" s="344"/>
      <c r="M13" s="4" t="str">
        <f ca="1">IFERROR(IF(VLOOKUP(M12,OFFSET($AG$2,,,COUNTIF($AG$2:$AG$50,"?*"),23),10,FALSE)&lt;&gt;0,VLOOKUP(M12,OFFSET($AG$2,,,COUNTIF($AG$2:$AG$50,"?*"),23),10,FALSE),""),"")</f>
        <v/>
      </c>
      <c r="N13" s="341" t="str">
        <f ca="1">IFERROR(IF(VLOOKUP(M12,OFFSET($AG$2,,,COUNTIF($AG$2:$AG$50,"?*"),23),2,FALSE)&lt;&gt;0,YEAR(VLOOKUP(M12,OFFSET($AG$2,,,COUNTIF($AG$2:$AG$50,"?*"),23),2,FALSE)),""),"")</f>
        <v/>
      </c>
      <c r="O13" s="342"/>
      <c r="P13" s="117" t="str">
        <f ca="1">IFERROR(VLOOKUP(M12,OFFSET($AG$2,,,COUNTIF($AG$2:$AG$50,"?*"),23),15,FALSE),"")</f>
        <v/>
      </c>
      <c r="Q13" s="343" t="str">
        <f ca="1">IFERROR(VLOOKUP(M12,OFFSET($AG$2,,,COUNTIF($AG$2:$AG$50,"?*"),23),16,FALSE),"")</f>
        <v/>
      </c>
      <c r="R13" s="344"/>
      <c r="S13" s="110" t="s">
        <v>786</v>
      </c>
      <c r="U13" s="102">
        <v>7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-10</v>
      </c>
      <c r="AC13" s="102" t="str">
        <f t="shared" ca="1" si="0"/>
        <v>ANO</v>
      </c>
      <c r="AG13" s="121" t="s">
        <v>777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7 OZ, 1 (1+0), -9 ±</v>
      </c>
      <c r="AY13" s="129" t="str">
        <f t="shared" ca="1" si="2"/>
        <v>7 OZ, 1 (1+0)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6"/>
      <c r="BT13" s="104" t="s">
        <v>1300</v>
      </c>
      <c r="BU13" s="103">
        <v>4</v>
      </c>
      <c r="BV13" s="104" t="str">
        <f t="shared" si="13"/>
        <v>Adam Šmíd</v>
      </c>
      <c r="BW13" s="102">
        <f t="shared" si="14"/>
        <v>4</v>
      </c>
    </row>
    <row r="14" spans="1:79" ht="15" customHeight="1" thickTop="1" thickBot="1" x14ac:dyDescent="0.25">
      <c r="A14" s="377" t="str">
        <f ca="1">IFERROR(VLOOKUP(A12,OFFSET($AG$2,,,COUNTIF($AG$2:$AG$50,"?*"),23),18,FALSE),"")</f>
        <v/>
      </c>
      <c r="B14" s="378"/>
      <c r="C14" s="378"/>
      <c r="D14" s="379" t="str">
        <f ca="1">IFERROR(VLOOKUP(A12,OFFSET($AG$2,,,COUNTIF($AG$2:$AG$50,"?*"),23),19,FALSE),"")</f>
        <v/>
      </c>
      <c r="E14" s="379"/>
      <c r="F14" s="380"/>
      <c r="G14" s="348"/>
      <c r="H14" s="349"/>
      <c r="I14" s="349"/>
      <c r="J14" s="34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7" t="str">
        <f ca="1">IFERROR(VLOOKUP(M12,OFFSET($AG$2,,,COUNTIF($AG$2:$AG$50,"?*"),23),18,FALSE),"")</f>
        <v/>
      </c>
      <c r="N14" s="378"/>
      <c r="O14" s="378"/>
      <c r="P14" s="379" t="str">
        <f ca="1">IFERROR(VLOOKUP(M12,OFFSET($AG$2,,,COUNTIF($AG$2:$AG$50,"?*"),23),19,FALSE),"")</f>
        <v/>
      </c>
      <c r="Q14" s="379"/>
      <c r="R14" s="380"/>
      <c r="S14" s="110" t="s">
        <v>777</v>
      </c>
      <c r="U14" s="102">
        <v>7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2</v>
      </c>
      <c r="AB14" s="102">
        <v>-9</v>
      </c>
      <c r="AC14" s="102" t="str">
        <f t="shared" ca="1" si="0"/>
        <v>ANO</v>
      </c>
      <c r="AG14" s="121" t="s">
        <v>791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3 OZ, 4 (3+1), -8 ±</v>
      </c>
      <c r="AY14" s="129" t="str">
        <f t="shared" ca="1" si="2"/>
        <v>3 OZ, 4 (3+1)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6"/>
      <c r="BT14" s="104" t="s">
        <v>847</v>
      </c>
      <c r="BU14" s="103">
        <v>3</v>
      </c>
      <c r="BV14" s="104" t="str">
        <f t="shared" si="13"/>
        <v>Jan Savický</v>
      </c>
      <c r="BW14" s="102">
        <f t="shared" si="14"/>
        <v>3</v>
      </c>
    </row>
    <row r="15" spans="1:79" ht="15" customHeight="1" thickBot="1" x14ac:dyDescent="0.25">
      <c r="A15" s="365" t="str">
        <f ca="1">IFERROR(IF(VLOOKUP(A12,OFFSET($AG$2,,,COUNTIF($AG$2:$AG$50,"?*"),23),13,FALSE)&lt;&gt;0,VLOOKUP(A12,OFFSET($AG$2,,,COUNTIF($AG$2:$AG$50,"?*"),23),13,FALSE),"?"),"")</f>
        <v/>
      </c>
      <c r="B15" s="366"/>
      <c r="C15" s="367"/>
      <c r="D15" s="368" t="str">
        <f ca="1">IFERROR(IF(VLOOKUP(A12,OFFSET($AG$2,,,COUNTIF($AG$2:$AG$50,"?*"),23),14,FALSE)&lt;&gt;0,VLOOKUP(A12,OFFSET($AG$2,,,COUNTIF($AG$2:$AG$50,"?*"),23),14,FALSE),"?"),"")</f>
        <v/>
      </c>
      <c r="E15" s="36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1" t="str">
        <f ca="1">IFERROR(IF(VLOOKUP(G14,OFFSET($AG$2,,,COUNTIF($AG$2:$AG$50,"?*"),23),2,FALSE)&lt;&gt;0,YEAR(VLOOKUP(G14,OFFSET($AG$2,,,COUNTIF($AG$2:$AG$50,"?*"),23),2,FALSE)),""),"")</f>
        <v/>
      </c>
      <c r="I15" s="342"/>
      <c r="J15" s="117" t="str">
        <f ca="1">IFERROR(VLOOKUP(G14,OFFSET($AG$2,,,COUNTIF($AG$2:$AG$50,"?*"),23),15,FALSE),"")</f>
        <v/>
      </c>
      <c r="K15" s="343" t="str">
        <f ca="1">IFERROR(VLOOKUP(G14,OFFSET($AG$2,,,COUNTIF($AG$2:$AG$50,"?*"),23),16,FALSE),"")</f>
        <v/>
      </c>
      <c r="L15" s="344"/>
      <c r="M15" s="365" t="str">
        <f ca="1">IFERROR(IF(VLOOKUP(M12,OFFSET($AG$2,,,COUNTIF($AG$2:$AG$50,"?*"),23),13,FALSE)&lt;&gt;0,VLOOKUP(M12,OFFSET($AG$2,,,COUNTIF($AG$2:$AG$50,"?*"),23),13,FALSE),"?"),"")</f>
        <v/>
      </c>
      <c r="N15" s="366"/>
      <c r="O15" s="367"/>
      <c r="P15" s="368" t="str">
        <f ca="1">IFERROR(IF(VLOOKUP(M12,OFFSET($AG$2,,,COUNTIF($AG$2:$AG$50,"?*"),23),14,FALSE)&lt;&gt;0,VLOOKUP(M12,OFFSET($AG$2,,,COUNTIF($AG$2:$AG$50,"?*"),23),14,FALSE),"?"),"")</f>
        <v/>
      </c>
      <c r="Q15" s="36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1018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786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7 OZ, 1 (1+0), -10 ±</v>
      </c>
      <c r="AY15" s="129" t="str">
        <f t="shared" ca="1" si="2"/>
        <v>7 OZ, 1 (1+0)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6"/>
      <c r="BT15" s="104" t="s">
        <v>1304</v>
      </c>
      <c r="BU15" s="103">
        <v>3</v>
      </c>
      <c r="BV15" s="104" t="str">
        <f t="shared" si="13"/>
        <v>Matyáš Velc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77" t="str">
        <f ca="1">IFERROR(VLOOKUP(G14,OFFSET($AG$2,,,COUNTIF($AG$2:$AG$50,"?*"),23),18,FALSE),"")</f>
        <v/>
      </c>
      <c r="H16" s="378"/>
      <c r="I16" s="378"/>
      <c r="J16" s="379" t="str">
        <f ca="1">IFERROR(VLOOKUP(G14,OFFSET($AG$2,,,COUNTIF($AG$2:$AG$50,"?*"),23),19,FALSE),"")</f>
        <v/>
      </c>
      <c r="K16" s="379"/>
      <c r="L16" s="380"/>
      <c r="S16" s="110" t="s">
        <v>789</v>
      </c>
      <c r="T16" s="102" t="s">
        <v>119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-2</v>
      </c>
      <c r="AC16" s="102" t="str">
        <f t="shared" ca="1" si="0"/>
        <v>ANO</v>
      </c>
      <c r="AG16" s="121" t="s">
        <v>779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6 OZ, 7 (4+3), -14 ±</v>
      </c>
      <c r="AY16" s="129" t="str">
        <f t="shared" ca="1" si="2"/>
        <v>6 OZ, 7 (4+3)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6"/>
      <c r="BT16" s="104" t="s">
        <v>1015</v>
      </c>
      <c r="BU16" s="103">
        <v>2</v>
      </c>
      <c r="BV16" s="104" t="str">
        <f t="shared" si="13"/>
        <v>David Žáček</v>
      </c>
      <c r="BW16" s="102">
        <f t="shared" si="14"/>
        <v>2</v>
      </c>
    </row>
    <row r="17" spans="1:75" ht="15" customHeight="1" thickTop="1" thickBot="1" x14ac:dyDescent="0.25">
      <c r="A17" s="348"/>
      <c r="B17" s="349"/>
      <c r="C17" s="349"/>
      <c r="D17" s="34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5" t="str">
        <f ca="1">IFERROR(IF(VLOOKUP(G14,OFFSET($AG$2,,,COUNTIF($AG$2:$AG$50,"?*"),23),13,FALSE)&lt;&gt;0,VLOOKUP(G14,OFFSET($AG$2,,,COUNTIF($AG$2:$AG$50,"?*"),23),13,FALSE),"?"),"")</f>
        <v/>
      </c>
      <c r="H17" s="366"/>
      <c r="I17" s="367"/>
      <c r="J17" s="368" t="str">
        <f ca="1">IFERROR(IF(VLOOKUP(G14,OFFSET($AG$2,,,COUNTIF($AG$2:$AG$50,"?*"),23),14,FALSE)&lt;&gt;0,VLOOKUP(G14,OFFSET($AG$2,,,COUNTIF($AG$2:$AG$50,"?*"),23),14,FALSE),"?"),"")</f>
        <v/>
      </c>
      <c r="K17" s="369"/>
      <c r="L17" s="7" t="str">
        <f ca="1">IFERROR(IF(VLOOKUP(G14,OFFSET($AG$2,,,COUNTIF($AG$2:$AG$50,"?*"),23),7,FALSE)&lt;&gt;0,VLOOKUP(G14,OFFSET($AG$2,,,COUNTIF($AG$2:$AG$50,"?*"),23),7,FALSE),"?"),"")</f>
        <v/>
      </c>
      <c r="M17" s="348"/>
      <c r="N17" s="349"/>
      <c r="O17" s="349"/>
      <c r="P17" s="34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790</v>
      </c>
      <c r="U17" s="102">
        <v>0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785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7 OZ, 9 (6+3), -3 ±</v>
      </c>
      <c r="AY17" s="129" t="str">
        <f t="shared" ca="1" si="2"/>
        <v>7 OZ, 9 (6+3)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6" t="s">
        <v>41</v>
      </c>
      <c r="BT17" s="104" t="s">
        <v>792</v>
      </c>
      <c r="BU17" s="103">
        <v>1</v>
      </c>
      <c r="BV17" s="104" t="str">
        <f t="shared" si="13"/>
        <v>Martin Haleš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1" t="str">
        <f ca="1">IFERROR(IF(VLOOKUP(A17,OFFSET($AG$2,,,COUNTIF($AG$2:$AG$50,"?*"),23),2,FALSE)&lt;&gt;0,YEAR(VLOOKUP(A17,OFFSET($AG$2,,,COUNTIF($AG$2:$AG$50,"?*"),23),2,FALSE)),""),"")</f>
        <v/>
      </c>
      <c r="C18" s="342"/>
      <c r="D18" s="150" t="str">
        <f ca="1">IFERROR(VLOOKUP(A17,OFFSET($AG$2,,,COUNTIF($AG$2:$AG$50,"?*"),23),15,FALSE),"")</f>
        <v/>
      </c>
      <c r="E18" s="343" t="str">
        <f ca="1">IFERROR(VLOOKUP(A17,OFFSET($AG$2,,,COUNTIF($AG$2:$AG$50,"?*"),23),16,FALSE),"")</f>
        <v/>
      </c>
      <c r="F18" s="344"/>
      <c r="M18" s="4" t="str">
        <f ca="1">IFERROR(IF(VLOOKUP(M17,OFFSET($AG$2,,,COUNTIF($AG$2:$AG$50,"?*"),23),10,FALSE)&lt;&gt;0,VLOOKUP(M17,OFFSET($AG$2,,,COUNTIF($AG$2:$AG$50,"?*"),23),10,FALSE),""),"")</f>
        <v/>
      </c>
      <c r="N18" s="341" t="str">
        <f ca="1">IFERROR(IF(VLOOKUP(M17,OFFSET($AG$2,,,COUNTIF($AG$2:$AG$50,"?*"),23),2,FALSE)&lt;&gt;0,YEAR(VLOOKUP(M17,OFFSET($AG$2,,,COUNTIF($AG$2:$AG$50,"?*"),23),2,FALSE)),""),"")</f>
        <v/>
      </c>
      <c r="O18" s="342"/>
      <c r="P18" s="117" t="str">
        <f ca="1">IFERROR(VLOOKUP(M17,OFFSET($AG$2,,,COUNTIF($AG$2:$AG$50,"?*"),23),15,FALSE),"")</f>
        <v/>
      </c>
      <c r="Q18" s="343" t="str">
        <f ca="1">IFERROR(VLOOKUP(M17,OFFSET($AG$2,,,COUNTIF($AG$2:$AG$50,"?*"),23),16,FALSE),"")</f>
        <v/>
      </c>
      <c r="R18" s="344"/>
      <c r="S18" s="110" t="s">
        <v>845</v>
      </c>
      <c r="T18" s="102" t="s">
        <v>64</v>
      </c>
      <c r="U18" s="102">
        <v>6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-5</v>
      </c>
      <c r="AC18" s="102" t="str">
        <f t="shared" ca="1" si="0"/>
        <v>NE</v>
      </c>
      <c r="AG18" s="121" t="s">
        <v>640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7 OZ, 7 (3+4), -11 ±</v>
      </c>
      <c r="AY18" s="129" t="str">
        <f t="shared" ca="1" si="2"/>
        <v>7 OZ, 7 (3+4)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6"/>
      <c r="BT18" s="104" t="s">
        <v>793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377" t="str">
        <f ca="1">IFERROR(VLOOKUP(A17,OFFSET($AG$2,,,COUNTIF($AG$2:$AG$50,"?*"),23),18,FALSE),"")</f>
        <v/>
      </c>
      <c r="B19" s="378"/>
      <c r="C19" s="378"/>
      <c r="D19" s="379" t="str">
        <f ca="1">IFERROR(VLOOKUP(A17,OFFSET($AG$2,,,COUNTIF($AG$2:$AG$50,"?*"),23),19,FALSE),"")</f>
        <v/>
      </c>
      <c r="E19" s="379"/>
      <c r="F19" s="380"/>
      <c r="H19" s="381" t="str">
        <f>H$8</f>
        <v>PAR</v>
      </c>
      <c r="I19" s="381"/>
      <c r="J19" s="381"/>
      <c r="K19" s="381"/>
      <c r="M19" s="377" t="str">
        <f ca="1">IFERROR(VLOOKUP(M17,OFFSET($AG$2,,,COUNTIF($AG$2:$AG$50,"?*"),23),18,FALSE),"")</f>
        <v/>
      </c>
      <c r="N19" s="378"/>
      <c r="O19" s="378"/>
      <c r="P19" s="379" t="str">
        <f ca="1">IFERROR(VLOOKUP(M17,OFFSET($AG$2,,,COUNTIF($AG$2:$AG$50,"?*"),23),19,FALSE),"")</f>
        <v/>
      </c>
      <c r="Q19" s="379"/>
      <c r="R19" s="380"/>
      <c r="S19" s="110" t="s">
        <v>846</v>
      </c>
      <c r="U19" s="102">
        <v>6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-6</v>
      </c>
      <c r="AC19" s="102" t="str">
        <f t="shared" ca="1" si="0"/>
        <v>NE</v>
      </c>
      <c r="AG19" s="121" t="s">
        <v>782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7 OZ, 3 (2+1), -5 ±</v>
      </c>
      <c r="AY19" s="129" t="str">
        <f t="shared" ca="1" si="2"/>
        <v>7 OZ, 3 (2+1)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6"/>
      <c r="BT19" s="104" t="s">
        <v>1017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365" t="str">
        <f ca="1">IFERROR(IF(VLOOKUP(A17,OFFSET($AG$2,,,COUNTIF($AG$2:$AG$50,"?*"),23),13,FALSE)&lt;&gt;0,VLOOKUP(A17,OFFSET($AG$2,,,COUNTIF($AG$2:$AG$50,"?*"),23),13,FALSE),"?"),"")</f>
        <v/>
      </c>
      <c r="B20" s="366"/>
      <c r="C20" s="367"/>
      <c r="D20" s="368" t="str">
        <f ca="1">IFERROR(IF(VLOOKUP(A17,OFFSET($AG$2,,,COUNTIF($AG$2:$AG$50,"?*"),23),14,FALSE)&lt;&gt;0,VLOOKUP(A17,OFFSET($AG$2,,,COUNTIF($AG$2:$AG$50,"?*"),23),14,FALSE),"?"),"")</f>
        <v/>
      </c>
      <c r="E20" s="369"/>
      <c r="F20" s="7" t="str">
        <f ca="1">IFERROR(IF(VLOOKUP(A17,OFFSET($AG$2,,,COUNTIF($AG$2:$AG$50,"?*"),23),7,FALSE)&lt;&gt;0,VLOOKUP(A17,OFFSET($AG$2,,,COUNTIF($AG$2:$AG$50,"?*"),23),7,FALSE),"?"),"")</f>
        <v/>
      </c>
      <c r="H20" s="381"/>
      <c r="I20" s="381"/>
      <c r="J20" s="381"/>
      <c r="K20" s="381"/>
      <c r="M20" s="365" t="str">
        <f ca="1">IFERROR(IF(VLOOKUP(M17,OFFSET($AG$2,,,COUNTIF($AG$2:$AG$50,"?*"),23),13,FALSE)&lt;&gt;0,VLOOKUP(M17,OFFSET($AG$2,,,COUNTIF($AG$2:$AG$50,"?*"),23),13,FALSE),"?"),"")</f>
        <v/>
      </c>
      <c r="N20" s="366"/>
      <c r="O20" s="367"/>
      <c r="P20" s="368" t="str">
        <f ca="1">IFERROR(IF(VLOOKUP(M17,OFFSET($AG$2,,,COUNTIF($AG$2:$AG$50,"?*"),23),14,FALSE)&lt;&gt;0,VLOOKUP(M17,OFFSET($AG$2,,,COUNTIF($AG$2:$AG$50,"?*"),23),14,FALSE),"?"),"")</f>
        <v/>
      </c>
      <c r="Q20" s="36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788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3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781</v>
      </c>
      <c r="T21" s="102" t="s">
        <v>119</v>
      </c>
      <c r="U21" s="102">
        <v>7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-9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3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784</v>
      </c>
      <c r="U22" s="102">
        <v>7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-1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36" t="s">
        <v>38</v>
      </c>
      <c r="BT22" s="104" t="s">
        <v>1305</v>
      </c>
      <c r="BU22" s="103">
        <v>5</v>
      </c>
      <c r="BV22" s="104" t="str">
        <f t="shared" si="13"/>
        <v>Přemek Pakosta</v>
      </c>
      <c r="BW22" s="102">
        <f t="shared" si="14"/>
        <v>5</v>
      </c>
    </row>
    <row r="23" spans="1:75" ht="15" customHeight="1" thickTop="1" thickBot="1" x14ac:dyDescent="0.25">
      <c r="A23" s="348"/>
      <c r="B23" s="349"/>
      <c r="C23" s="349"/>
      <c r="D23" s="34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82" t="s">
        <v>13</v>
      </c>
      <c r="I23" s="382"/>
      <c r="J23" s="382"/>
      <c r="K23" s="382"/>
      <c r="M23" s="348"/>
      <c r="N23" s="349"/>
      <c r="O23" s="349"/>
      <c r="P23" s="34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36"/>
      <c r="BT23" s="104" t="s">
        <v>794</v>
      </c>
      <c r="BU23" s="103">
        <v>4</v>
      </c>
      <c r="BV23" s="104" t="str">
        <f t="shared" si="13"/>
        <v>Matyáš Velc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1" t="str">
        <f ca="1">IFERROR(IF(VLOOKUP(A23,OFFSET($AG$2,,,COUNTIF($AG$2:$AG$50,"?*"),23),2,FALSE)&lt;&gt;0,YEAR(VLOOKUP(A23,OFFSET($AG$2,,,COUNTIF($AG$2:$AG$50,"?*"),23),2,FALSE)),""),"")</f>
        <v/>
      </c>
      <c r="C24" s="342"/>
      <c r="D24" s="117" t="str">
        <f ca="1">IFERROR(VLOOKUP(A23,OFFSET($AG$2,,,COUNTIF($AG$2:$AG$50,"?*"),23),15,FALSE),"")</f>
        <v/>
      </c>
      <c r="E24" s="343" t="str">
        <f ca="1">IFERROR(VLOOKUP(A23,OFFSET($AG$2,,,COUNTIF($AG$2:$AG$50,"?*"),23),16,FALSE),"")</f>
        <v/>
      </c>
      <c r="F24" s="344"/>
      <c r="M24" s="4" t="str">
        <f ca="1">IFERROR(IF(VLOOKUP(M23,OFFSET($AG$2,,,COUNTIF($AG$2:$AG$50,"?*"),23),10,FALSE)&lt;&gt;0,VLOOKUP(M23,OFFSET($AG$2,,,COUNTIF($AG$2:$AG$50,"?*"),23),10,FALSE),""),"")</f>
        <v/>
      </c>
      <c r="N24" s="341" t="str">
        <f ca="1">IFERROR(IF(VLOOKUP(M23,OFFSET($AG$2,,,COUNTIF($AG$2:$AG$50,"?*"),23),2,FALSE)&lt;&gt;0,YEAR(VLOOKUP(M23,OFFSET($AG$2,,,COUNTIF($AG$2:$AG$50,"?*"),23),2,FALSE)),""),"")</f>
        <v/>
      </c>
      <c r="O24" s="342"/>
      <c r="P24" s="117" t="str">
        <f ca="1">IFERROR(VLOOKUP(M23,OFFSET($AG$2,,,COUNTIF($AG$2:$AG$50,"?*"),23),15,FALSE),"")</f>
        <v/>
      </c>
      <c r="Q24" s="343" t="str">
        <f ca="1">IFERROR(VLOOKUP(M23,OFFSET($AG$2,,,COUNTIF($AG$2:$AG$50,"?*"),23),16,FALSE),"")</f>
        <v/>
      </c>
      <c r="R24" s="344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36"/>
      <c r="BT24" s="104" t="s">
        <v>1306</v>
      </c>
      <c r="BU24" s="103">
        <v>3</v>
      </c>
      <c r="BV24" s="104" t="str">
        <f t="shared" si="13"/>
        <v>Adam Šmíd</v>
      </c>
      <c r="BW24" s="102">
        <f t="shared" si="14"/>
        <v>3</v>
      </c>
    </row>
    <row r="25" spans="1:75" ht="15" customHeight="1" thickTop="1" thickBot="1" x14ac:dyDescent="0.25">
      <c r="A25" s="377" t="str">
        <f ca="1">IFERROR(VLOOKUP(A23,OFFSET($AG$2,,,COUNTIF($AG$2:$AG$50,"?*"),23),18,FALSE),"")</f>
        <v/>
      </c>
      <c r="B25" s="378"/>
      <c r="C25" s="378"/>
      <c r="D25" s="379" t="str">
        <f ca="1">IFERROR(VLOOKUP(A23,OFFSET($AG$2,,,COUNTIF($AG$2:$AG$50,"?*"),23),19,FALSE),"")</f>
        <v/>
      </c>
      <c r="E25" s="379"/>
      <c r="F25" s="380"/>
      <c r="G25" s="348"/>
      <c r="H25" s="349"/>
      <c r="I25" s="349"/>
      <c r="J25" s="34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7" t="str">
        <f ca="1">IFERROR(VLOOKUP(M23,OFFSET($AG$2,,,COUNTIF($AG$2:$AG$50,"?*"),23),18,FALSE),"")</f>
        <v/>
      </c>
      <c r="N25" s="378"/>
      <c r="O25" s="378"/>
      <c r="P25" s="379" t="str">
        <f ca="1">IFERROR(VLOOKUP(M23,OFFSET($AG$2,,,COUNTIF($AG$2:$AG$50,"?*"),23),19,FALSE),"")</f>
        <v/>
      </c>
      <c r="Q25" s="379"/>
      <c r="R25" s="380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36"/>
      <c r="BT25" s="104" t="s">
        <v>1307</v>
      </c>
      <c r="BU25" s="103">
        <v>3</v>
      </c>
      <c r="BV25" s="104" t="str">
        <f t="shared" si="13"/>
        <v>David Petržela</v>
      </c>
      <c r="BW25" s="102">
        <f t="shared" si="14"/>
        <v>3</v>
      </c>
    </row>
    <row r="26" spans="1:75" ht="15" customHeight="1" thickBot="1" x14ac:dyDescent="0.25">
      <c r="A26" s="365" t="str">
        <f ca="1">IFERROR(IF(VLOOKUP(A23,OFFSET($AG$2,,,COUNTIF($AG$2:$AG$50,"?*"),23),13,FALSE)&lt;&gt;0,VLOOKUP(A23,OFFSET($AG$2,,,COUNTIF($AG$2:$AG$50,"?*"),23),13,FALSE),"?"),"")</f>
        <v/>
      </c>
      <c r="B26" s="366"/>
      <c r="C26" s="367"/>
      <c r="D26" s="368" t="str">
        <f ca="1">IFERROR(IF(VLOOKUP(A23,OFFSET($AG$2,,,COUNTIF($AG$2:$AG$50,"?*"),23),14,FALSE)&lt;&gt;0,VLOOKUP(A23,OFFSET($AG$2,,,COUNTIF($AG$2:$AG$50,"?*"),23),14,FALSE),"?"),"")</f>
        <v/>
      </c>
      <c r="E26" s="36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1" t="str">
        <f ca="1">IFERROR(IF(VLOOKUP(G25,OFFSET($AG$2,,,COUNTIF($AG$2:$AG$50,"?*"),23),2,FALSE)&lt;&gt;0,YEAR(VLOOKUP(G25,OFFSET($AG$2,,,COUNTIF($AG$2:$AG$50,"?*"),23),2,FALSE)),""),"")</f>
        <v/>
      </c>
      <c r="I26" s="342"/>
      <c r="J26" s="117" t="str">
        <f ca="1">IFERROR(VLOOKUP(G25,OFFSET($AG$2,,,COUNTIF($AG$2:$AG$50,"?*"),23),15,FALSE),"")</f>
        <v/>
      </c>
      <c r="K26" s="343" t="str">
        <f ca="1">IFERROR(VLOOKUP(G25,OFFSET($AG$2,,,COUNTIF($AG$2:$AG$50,"?*"),23),16,FALSE),"")</f>
        <v/>
      </c>
      <c r="L26" s="344"/>
      <c r="M26" s="365" t="str">
        <f ca="1">IFERROR(IF(VLOOKUP(M23,OFFSET($AG$2,,,COUNTIF($AG$2:$AG$50,"?*"),23),13,FALSE)&lt;&gt;0,VLOOKUP(M23,OFFSET($AG$2,,,COUNTIF($AG$2:$AG$50,"?*"),23),13,FALSE),"?"),"")</f>
        <v/>
      </c>
      <c r="N26" s="366"/>
      <c r="O26" s="367"/>
      <c r="P26" s="368" t="str">
        <f ca="1">IFERROR(IF(VLOOKUP(M23,OFFSET($AG$2,,,COUNTIF($AG$2:$AG$50,"?*"),23),14,FALSE)&lt;&gt;0,VLOOKUP(M23,OFFSET($AG$2,,,COUNTIF($AG$2:$AG$50,"?*"),23),14,FALSE),"?"),"")</f>
        <v/>
      </c>
      <c r="Q26" s="369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36"/>
      <c r="BT26" s="104" t="s">
        <v>1308</v>
      </c>
      <c r="BU26" s="103">
        <v>3</v>
      </c>
      <c r="BV26" s="104" t="str">
        <f t="shared" si="13"/>
        <v>Ivo Teichman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77" t="str">
        <f ca="1">IFERROR(VLOOKUP(G25,OFFSET($AG$2,,,COUNTIF($AG$2:$AG$50,"?*"),23),18,FALSE),"")</f>
        <v/>
      </c>
      <c r="H27" s="378"/>
      <c r="I27" s="378"/>
      <c r="J27" s="379" t="str">
        <f ca="1">IFERROR(VLOOKUP(G25,OFFSET($AG$2,,,COUNTIF($AG$2:$AG$50,"?*"),23),19,FALSE),"")</f>
        <v/>
      </c>
      <c r="K27" s="379"/>
      <c r="L27" s="380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36" t="s">
        <v>39</v>
      </c>
      <c r="BT27" s="104" t="s">
        <v>1299</v>
      </c>
      <c r="BU27" s="103">
        <v>4</v>
      </c>
      <c r="BV27" s="104" t="str">
        <f t="shared" si="13"/>
        <v>Ivo Teichman</v>
      </c>
      <c r="BW27" s="102">
        <f t="shared" si="14"/>
        <v>4</v>
      </c>
    </row>
    <row r="28" spans="1:75" ht="15" customHeight="1" thickTop="1" thickBot="1" x14ac:dyDescent="0.25">
      <c r="A28" s="348"/>
      <c r="B28" s="349"/>
      <c r="C28" s="349"/>
      <c r="D28" s="34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5" t="str">
        <f ca="1">IFERROR(IF(VLOOKUP(G25,OFFSET($AG$2,,,COUNTIF($AG$2:$AG$50,"?*"),23),13,FALSE)&lt;&gt;0,VLOOKUP(G25,OFFSET($AG$2,,,COUNTIF($AG$2:$AG$50,"?*"),23),13,FALSE),"?"),"")</f>
        <v/>
      </c>
      <c r="H28" s="366"/>
      <c r="I28" s="367"/>
      <c r="J28" s="368" t="str">
        <f ca="1">IFERROR(IF(VLOOKUP(G25,OFFSET($AG$2,,,COUNTIF($AG$2:$AG$50,"?*"),23),14,FALSE)&lt;&gt;0,VLOOKUP(G25,OFFSET($AG$2,,,COUNTIF($AG$2:$AG$50,"?*"),23),14,FALSE),"?"),"")</f>
        <v/>
      </c>
      <c r="K28" s="369"/>
      <c r="L28" s="7" t="str">
        <f ca="1">IFERROR(IF(VLOOKUP(G25,OFFSET($AG$2,,,COUNTIF($AG$2:$AG$50,"?*"),23),7,FALSE)&lt;&gt;0,VLOOKUP(G25,OFFSET($AG$2,,,COUNTIF($AG$2:$AG$50,"?*"),23),7,FALSE),"?"),"")</f>
        <v/>
      </c>
      <c r="M28" s="348"/>
      <c r="N28" s="349"/>
      <c r="O28" s="349"/>
      <c r="P28" s="34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36"/>
      <c r="BT28" s="104" t="s">
        <v>1309</v>
      </c>
      <c r="BU28" s="103">
        <v>4</v>
      </c>
      <c r="BV28" s="104" t="str">
        <f t="shared" si="13"/>
        <v>Lukáš Kučera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1" t="str">
        <f ca="1">IFERROR(IF(VLOOKUP(A28,OFFSET($AG$2,,,COUNTIF($AG$2:$AG$50,"?*"),23),2,FALSE)&lt;&gt;0,YEAR(VLOOKUP(A28,OFFSET($AG$2,,,COUNTIF($AG$2:$AG$50,"?*"),23),2,FALSE)),""),"")</f>
        <v/>
      </c>
      <c r="C29" s="342"/>
      <c r="D29" s="117" t="str">
        <f ca="1">IFERROR(VLOOKUP(A28,OFFSET($AG$2,,,COUNTIF($AG$2:$AG$50,"?*"),23),15,FALSE),"")</f>
        <v/>
      </c>
      <c r="E29" s="343" t="str">
        <f ca="1">IFERROR(VLOOKUP(A28,OFFSET($AG$2,,,COUNTIF($AG$2:$AG$50,"?*"),23),16,FALSE),"")</f>
        <v/>
      </c>
      <c r="F29" s="344"/>
      <c r="M29" s="4" t="str">
        <f ca="1">IFERROR(IF(VLOOKUP(M28,OFFSET($AG$2,,,COUNTIF($AG$2:$AG$50,"?*"),23),10,FALSE)&lt;&gt;0,VLOOKUP(M28,OFFSET($AG$2,,,COUNTIF($AG$2:$AG$50,"?*"),23),10,FALSE),""),"")</f>
        <v/>
      </c>
      <c r="N29" s="341" t="str">
        <f ca="1">IFERROR(IF(VLOOKUP(M28,OFFSET($AG$2,,,COUNTIF($AG$2:$AG$50,"?*"),23),2,FALSE)&lt;&gt;0,YEAR(VLOOKUP(M28,OFFSET($AG$2,,,COUNTIF($AG$2:$AG$50,"?*"),23),2,FALSE)),""),"")</f>
        <v/>
      </c>
      <c r="O29" s="342"/>
      <c r="P29" s="117" t="str">
        <f ca="1">IFERROR(VLOOKUP(M28,OFFSET($AG$2,,,COUNTIF($AG$2:$AG$50,"?*"),23),15,FALSE),"")</f>
        <v/>
      </c>
      <c r="Q29" s="343" t="str">
        <f ca="1">IFERROR(VLOOKUP(M28,OFFSET($AG$2,,,COUNTIF($AG$2:$AG$50,"?*"),23),16,FALSE),"")</f>
        <v/>
      </c>
      <c r="R29" s="344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36"/>
      <c r="BT29" s="104" t="s">
        <v>1310</v>
      </c>
      <c r="BU29" s="103">
        <v>4</v>
      </c>
      <c r="BV29" s="104" t="str">
        <f t="shared" si="13"/>
        <v>Lukáš Prix</v>
      </c>
      <c r="BW29" s="102">
        <f t="shared" si="14"/>
        <v>4</v>
      </c>
    </row>
    <row r="30" spans="1:75" ht="15" customHeight="1" x14ac:dyDescent="0.2">
      <c r="A30" s="377" t="str">
        <f ca="1">IFERROR(VLOOKUP(A28,OFFSET($AG$2,,,COUNTIF($AG$2:$AG$50,"?*"),23),18,FALSE),"")</f>
        <v/>
      </c>
      <c r="B30" s="378"/>
      <c r="C30" s="378"/>
      <c r="D30" s="379" t="str">
        <f ca="1">IFERROR(VLOOKUP(A28,OFFSET($AG$2,,,COUNTIF($AG$2:$AG$50,"?*"),23),19,FALSE),"")</f>
        <v/>
      </c>
      <c r="E30" s="379"/>
      <c r="F30" s="380"/>
      <c r="H30" s="381" t="str">
        <f>H$8</f>
        <v>PAR</v>
      </c>
      <c r="I30" s="381"/>
      <c r="J30" s="381"/>
      <c r="K30" s="381"/>
      <c r="M30" s="377" t="str">
        <f ca="1">IFERROR(VLOOKUP(M28,OFFSET($AG$2,,,COUNTIF($AG$2:$AG$50,"?*"),23),18,FALSE),"")</f>
        <v/>
      </c>
      <c r="N30" s="378"/>
      <c r="O30" s="378"/>
      <c r="P30" s="379" t="str">
        <f ca="1">IFERROR(VLOOKUP(M28,OFFSET($AG$2,,,COUNTIF($AG$2:$AG$50,"?*"),23),19,FALSE),"")</f>
        <v/>
      </c>
      <c r="Q30" s="379"/>
      <c r="R30" s="38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36"/>
      <c r="BT30" s="104" t="s">
        <v>1311</v>
      </c>
      <c r="BU30" s="103">
        <v>2</v>
      </c>
      <c r="BV30" s="104" t="str">
        <f t="shared" si="13"/>
        <v>David Žáček</v>
      </c>
      <c r="BW30" s="102">
        <f t="shared" si="14"/>
        <v>2</v>
      </c>
    </row>
    <row r="31" spans="1:75" ht="15" customHeight="1" thickBot="1" x14ac:dyDescent="0.25">
      <c r="A31" s="365" t="str">
        <f ca="1">IFERROR(IF(VLOOKUP(A28,OFFSET($AG$2,,,COUNTIF($AG$2:$AG$50,"?*"),23),13,FALSE)&lt;&gt;0,VLOOKUP(A28,OFFSET($AG$2,,,COUNTIF($AG$2:$AG$50,"?*"),23),13,FALSE),"?"),"")</f>
        <v/>
      </c>
      <c r="B31" s="366"/>
      <c r="C31" s="367"/>
      <c r="D31" s="368" t="str">
        <f ca="1">IFERROR(IF(VLOOKUP(A28,OFFSET($AG$2,,,COUNTIF($AG$2:$AG$50,"?*"),23),14,FALSE)&lt;&gt;0,VLOOKUP(A28,OFFSET($AG$2,,,COUNTIF($AG$2:$AG$50,"?*"),23),14,FALSE),"?"),"")</f>
        <v/>
      </c>
      <c r="E31" s="369"/>
      <c r="F31" s="7" t="str">
        <f ca="1">IFERROR(IF(VLOOKUP(A28,OFFSET($AG$2,,,COUNTIF($AG$2:$AG$50,"?*"),23),7,FALSE)&lt;&gt;0,VLOOKUP(A28,OFFSET($AG$2,,,COUNTIF($AG$2:$AG$50,"?*"),23),7,FALSE),"?"),"")</f>
        <v/>
      </c>
      <c r="H31" s="381"/>
      <c r="I31" s="381"/>
      <c r="J31" s="381"/>
      <c r="K31" s="381"/>
      <c r="M31" s="365" t="str">
        <f ca="1">IFERROR(IF(VLOOKUP(M28,OFFSET($AG$2,,,COUNTIF($AG$2:$AG$50,"?*"),23),13,FALSE)&lt;&gt;0,VLOOKUP(M28,OFFSET($AG$2,,,COUNTIF($AG$2:$AG$50,"?*"),23),13,FALSE),"?"),"")</f>
        <v/>
      </c>
      <c r="N31" s="366"/>
      <c r="O31" s="367"/>
      <c r="P31" s="368" t="str">
        <f ca="1">IFERROR(IF(VLOOKUP(M28,OFFSET($AG$2,,,COUNTIF($AG$2:$AG$50,"?*"),23),14,FALSE)&lt;&gt;0,VLOOKUP(M28,OFFSET($AG$2,,,COUNTIF($AG$2:$AG$50,"?*"),23),14,FALSE),"?"),"")</f>
        <v/>
      </c>
      <c r="Q31" s="36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6"/>
      <c r="BT31" s="104" t="s">
        <v>1312</v>
      </c>
      <c r="BU31" s="103">
        <v>2</v>
      </c>
      <c r="BV31" s="104" t="str">
        <f t="shared" si="13"/>
        <v>Patrik Petr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8"/>
      <c r="B34" s="349"/>
      <c r="C34" s="349"/>
      <c r="D34" s="34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6" t="s">
        <v>16</v>
      </c>
      <c r="J34" s="348"/>
      <c r="K34" s="349"/>
      <c r="L34" s="349"/>
      <c r="M34" s="349"/>
      <c r="N34" s="349"/>
      <c r="O34" s="349"/>
      <c r="P34" s="34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1" t="str">
        <f ca="1">IFERROR(IF(VLOOKUP(A34,OFFSET($AG$2,,,COUNTIF($AG$2:$AG$50,"?*"),23),2,FALSE)&lt;&gt;0,YEAR(VLOOKUP(A34,OFFSET($AG$2,,,COUNTIF($AG$2:$AG$50,"?*"),23),2,FALSE)),""),"")</f>
        <v/>
      </c>
      <c r="C35" s="342"/>
      <c r="D35" s="117" t="str">
        <f ca="1">IFERROR(VLOOKUP(A34,OFFSET($AG$2,,,COUNTIF($AG$2:$AG$50,"?*"),23),15,FALSE),"")</f>
        <v/>
      </c>
      <c r="E35" s="343" t="str">
        <f ca="1">IFERROR(VLOOKUP(A34,OFFSET($AG$2,,,COUNTIF($AG$2:$AG$50,"?*"),23),16,FALSE),"")</f>
        <v/>
      </c>
      <c r="F35" s="344"/>
      <c r="H35" s="376"/>
      <c r="J35" s="4" t="str">
        <f ca="1">IFERROR(IF(VLOOKUP(J34,OFFSET($AG$2,,,COUNTIF($AG$2:$AG$50,"?*"),23),10,FALSE)&lt;&gt;0,VLOOKUP(J34,OFFSET($AG$2,,,COUNTIF($AG$2:$AG$50,"?*"),23),10,FALSE),""),"")</f>
        <v/>
      </c>
      <c r="K35" s="342" t="str">
        <f ca="1">IFERROR(IF(VLOOKUP(J34,OFFSET($AG$2,,,COUNTIF($AG$2:$AG$50,"?*"),23),2,FALSE)&lt;&gt;0,YEAR(VLOOKUP(J34,OFFSET($AG$2,,,COUNTIF($AG$2:$AG$50,"?*"),23),2,FALSE)),""),"")</f>
        <v/>
      </c>
      <c r="L35" s="350"/>
      <c r="M35" s="118" t="str">
        <f ca="1">IFERROR(VLOOKUP(J34,OFFSET($AG$2,,,COUNTIF($AG$2:$AG$50,"?*"),23),15,FALSE),"")</f>
        <v/>
      </c>
      <c r="N35" s="350" t="str">
        <f ca="1">IFERROR(VLOOKUP(J34,OFFSET($AG$2,,,COUNTIF($AG$2:$AG$50,"?*"),23),16,FALSE),"")</f>
        <v/>
      </c>
      <c r="O35" s="350"/>
      <c r="P35" s="350" t="str">
        <f ca="1">IFERROR(VLOOKUP(J34,OFFSET($AG$2,,,COUNTIF($AG$2:$AG$50,"?*"),23),18,FALSE),"")</f>
        <v/>
      </c>
      <c r="Q35" s="350"/>
      <c r="R35" s="35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5" t="str">
        <f ca="1">IFERROR(VLOOKUP(A34,OFFSET($AG$2,,,COUNTIF($AG$2:$AG$50,"?*"),23),18,FALSE),"")</f>
        <v/>
      </c>
      <c r="C36" s="345"/>
      <c r="D36" s="346" t="str">
        <f ca="1">IFERROR(VLOOKUP(A34,OFFSET($S$45,,,COUNTIF($S$45:$S$50,"?*"),14),5,FALSE),"")</f>
        <v/>
      </c>
      <c r="E36" s="347"/>
      <c r="F36" s="17" t="str">
        <f ca="1">IFERROR(VLOOKUP(A34,OFFSET($S$45,,,COUNTIF($S$45:$S$50,"?*"),14),14,FALSE),"")</f>
        <v/>
      </c>
      <c r="H36" s="376"/>
      <c r="J36" s="18" t="str">
        <f ca="1">IFERROR(IF(VLOOKUP(J34,OFFSET($AG$2,,,COUNTIF($AG$2:$AG$50,"?*"),23),7,FALSE)&lt;&gt;0,VLOOKUP(J34,OFFSET($AG$2,,,COUNTIF($AG$2:$AG$50,"?*"),23),7,FALSE),"?"),"")</f>
        <v/>
      </c>
      <c r="K36" s="352" t="str">
        <f ca="1">IFERROR(VLOOKUP(J34,OFFSET($AG$2,,,COUNTIF($AG$2:$AG$50,"?*"),23),19,FALSE),"")</f>
        <v/>
      </c>
      <c r="L36" s="352"/>
      <c r="M36" s="352"/>
      <c r="N36" s="353" t="str">
        <f ca="1">IFERROR(IF(VLOOKUP(J34,OFFSET($AG$2,,,COUNTIF($AG$2:$AG$50,"?*"),23),13,FALSE)&lt;&gt;0,VLOOKUP(J34,OFFSET($AG$2,,,COUNTIF($AG$2:$AG$50,"?*"),23),13,FALSE),"?"),"")</f>
        <v/>
      </c>
      <c r="O36" s="353"/>
      <c r="P36" s="353"/>
      <c r="Q36" s="352" t="str">
        <f ca="1">IFERROR(IF(VLOOKUP(J34,OFFSET($AG$2,,,COUNTIF($AG$2:$AG$50,"?*"),23),14,FALSE)&lt;&gt;0,VLOOKUP(J34,OFFSET($AG$2,,,COUNTIF($AG$2:$AG$50,"?*"),23),14,FALSE),"?"),"")</f>
        <v/>
      </c>
      <c r="R36" s="35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0" t="str">
        <f ca="1">IFERROR(VLOOKUP(A34,OFFSET($S$45,,,COUNTIF($S$45:$S$50,"?*"),14),3,FALSE),"")</f>
        <v/>
      </c>
      <c r="B37" s="371"/>
      <c r="C37" s="372" t="str">
        <f ca="1">IFERROR(VLOOKUP(A34,OFFSET($S$45,,,COUNTIF($S$45:$S$50,"?*"),14),13,FALSE),"")</f>
        <v/>
      </c>
      <c r="D37" s="373"/>
      <c r="E37" s="374" t="str">
        <f ca="1">IFERROR(VLOOKUP(A34,OFFSET($AG$2,,,COUNTIF($AG$2:$AG$50,"?*"),23),19,FALSE),"")</f>
        <v/>
      </c>
      <c r="F37" s="375"/>
      <c r="H37" s="37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5" t="str">
        <f ca="1">IFERROR(IF(VLOOKUP(A34,OFFSET($AG$2,,,COUNTIF($AG$2:$AG$50,"?*"),23),13,FALSE)&lt;&gt;0,VLOOKUP(A34,OFFSET($AG$2,,,COUNTIF($AG$2:$AG$50,"?*"),23),13,FALSE),"?"),"")</f>
        <v/>
      </c>
      <c r="B38" s="366"/>
      <c r="C38" s="367"/>
      <c r="D38" s="368" t="str">
        <f ca="1">IFERROR(IF(VLOOKUP(A34,OFFSET($AG$2,,,COUNTIF($AG$2:$AG$50,"?*"),23),14,FALSE)&lt;&gt;0,VLOOKUP(A34,OFFSET($AG$2,,,COUNTIF($AG$2:$AG$50,"?*"),23),14,FALSE),"?"),"")</f>
        <v/>
      </c>
      <c r="E38" s="369"/>
      <c r="F38" s="19" t="str">
        <f ca="1">IFERROR(VLOOKUP(A34,OFFSET($S$45,,,COUNTIF($S$45:$S$50,"?*"),14),6,FALSE),"")</f>
        <v/>
      </c>
      <c r="H38" s="376"/>
      <c r="J38" s="348"/>
      <c r="K38" s="349"/>
      <c r="L38" s="349"/>
      <c r="M38" s="349"/>
      <c r="N38" s="349"/>
      <c r="O38" s="349"/>
      <c r="P38" s="34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6"/>
      <c r="J39" s="4" t="str">
        <f ca="1">IFERROR(IF(VLOOKUP(J38,OFFSET($AG$2,,,COUNTIF($AG$2:$AG$50,"?*"),23),10,FALSE)&lt;&gt;0,VLOOKUP(J38,OFFSET($AG$2,,,COUNTIF($AG$2:$AG$50,"?*"),23),10,FALSE),""),"")</f>
        <v/>
      </c>
      <c r="K39" s="342" t="str">
        <f ca="1">IFERROR(IF(VLOOKUP(J38,OFFSET($AG$2,,,COUNTIF($AG$2:$AG$50,"?*"),23),2,FALSE)&lt;&gt;0,YEAR(VLOOKUP(J38,OFFSET($AG$2,,,COUNTIF($AG$2:$AG$50,"?*"),23),2,FALSE)),""),"")</f>
        <v/>
      </c>
      <c r="L39" s="350"/>
      <c r="M39" s="151" t="str">
        <f ca="1">IFERROR(VLOOKUP(J38,OFFSET($AG$2,,,COUNTIF($AG$2:$AG$50,"?*"),23),15,FALSE),"")</f>
        <v/>
      </c>
      <c r="N39" s="350" t="str">
        <f ca="1">IFERROR(VLOOKUP(J38,OFFSET($AG$2,,,COUNTIF($AG$2:$AG$50,"?*"),23),16,FALSE),"")</f>
        <v/>
      </c>
      <c r="O39" s="350"/>
      <c r="P39" s="350" t="str">
        <f ca="1">IFERROR(VLOOKUP(J38,OFFSET($AG$2,,,COUNTIF($AG$2:$AG$50,"?*"),23),18,FALSE),"")</f>
        <v/>
      </c>
      <c r="Q39" s="350"/>
      <c r="R39" s="35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8"/>
      <c r="B40" s="349"/>
      <c r="C40" s="349"/>
      <c r="D40" s="34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6"/>
      <c r="J40" s="18" t="str">
        <f ca="1">IFERROR(IF(VLOOKUP(J38,OFFSET($AG$2,,,COUNTIF($AG$2:$AG$50,"?*"),23),7,FALSE)&lt;&gt;0,VLOOKUP(J38,OFFSET($AG$2,,,COUNTIF($AG$2:$AG$50,"?*"),23),7,FALSE),"?"),"")</f>
        <v/>
      </c>
      <c r="K40" s="352" t="str">
        <f ca="1">IFERROR(VLOOKUP(J38,OFFSET($AG$2,,,COUNTIF($AG$2:$AG$50,"?*"),23),19,FALSE),"")</f>
        <v/>
      </c>
      <c r="L40" s="352"/>
      <c r="M40" s="352"/>
      <c r="N40" s="353" t="str">
        <f ca="1">IFERROR(IF(VLOOKUP(J38,OFFSET($AG$2,,,COUNTIF($AG$2:$AG$50,"?*"),23),13,FALSE)&lt;&gt;0,VLOOKUP(J38,OFFSET($AG$2,,,COUNTIF($AG$2:$AG$50,"?*"),23),13,FALSE),"?"),"")</f>
        <v/>
      </c>
      <c r="O40" s="353"/>
      <c r="P40" s="353"/>
      <c r="Q40" s="352" t="str">
        <f ca="1">IFERROR(IF(VLOOKUP(J38,OFFSET($AG$2,,,COUNTIF($AG$2:$AG$50,"?*"),23),14,FALSE)&lt;&gt;0,VLOOKUP(J38,OFFSET($AG$2,,,COUNTIF($AG$2:$AG$50,"?*"),23),14,FALSE),"?"),"")</f>
        <v/>
      </c>
      <c r="R40" s="35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1" t="str">
        <f ca="1">IFERROR(IF(VLOOKUP(A40,OFFSET($AG$2,,,COUNTIF($AG$2:$AG$50,"?*"),23),2,FALSE)&lt;&gt;0,YEAR(VLOOKUP(A40,OFFSET($AG$2,,,COUNTIF($AG$2:$AG$50,"?*"),23),2,FALSE)),""),"")</f>
        <v/>
      </c>
      <c r="C41" s="342"/>
      <c r="D41" s="117" t="str">
        <f ca="1">IFERROR(VLOOKUP(A40,OFFSET($AG$2,,,COUNTIF($AG$2:$AG$50,"?*"),23),15,FALSE),"")</f>
        <v/>
      </c>
      <c r="E41" s="343" t="str">
        <f ca="1">IFERROR(VLOOKUP(A40,OFFSET($AG$2,,,COUNTIF($AG$2:$AG$50,"?*"),23),16,FALSE),"")</f>
        <v/>
      </c>
      <c r="F41" s="344"/>
      <c r="H41" s="37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5" t="str">
        <f ca="1">IFERROR(VLOOKUP(A40,OFFSET($AG$2,,,COUNTIF($AG$2:$AG$50,"?*"),23),18,FALSE),"")</f>
        <v/>
      </c>
      <c r="C42" s="345"/>
      <c r="D42" s="346" t="str">
        <f ca="1">IFERROR(VLOOKUP(A40,OFFSET($S$45,,,COUNTIF($S$45:$S$50,"?*"),14),5,FALSE),"")</f>
        <v/>
      </c>
      <c r="E42" s="347"/>
      <c r="F42" s="17" t="str">
        <f ca="1">IFERROR(VLOOKUP(A40,OFFSET($S$45,,,COUNTIF($S$45:$S$50,"?*"),14),14,FALSE),"")</f>
        <v/>
      </c>
      <c r="H42" s="376"/>
      <c r="J42" s="348"/>
      <c r="K42" s="349"/>
      <c r="L42" s="349"/>
      <c r="M42" s="349"/>
      <c r="N42" s="349"/>
      <c r="O42" s="349"/>
      <c r="P42" s="34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0" t="str">
        <f ca="1">IFERROR(VLOOKUP(A40,OFFSET($S$45,,,COUNTIF($S$45:$S$50,"?*"),14),3,FALSE),"")</f>
        <v/>
      </c>
      <c r="B43" s="371"/>
      <c r="C43" s="372" t="str">
        <f ca="1">IFERROR(VLOOKUP(A40,OFFSET($S$45,,,COUNTIF($S$45:$S$50,"?*"),14),13,FALSE),"")</f>
        <v/>
      </c>
      <c r="D43" s="373"/>
      <c r="E43" s="374" t="str">
        <f ca="1">IFERROR(VLOOKUP(A40,OFFSET($AG$2,,,COUNTIF($AG$2:$AG$50,"?*"),23),19,FALSE),"")</f>
        <v/>
      </c>
      <c r="F43" s="375"/>
      <c r="H43" s="376"/>
      <c r="J43" s="4" t="str">
        <f ca="1">IFERROR(IF(VLOOKUP(J42,OFFSET($AG$2,,,COUNTIF($AG$2:$AG$50,"?*"),23),10,FALSE)&lt;&gt;0,VLOOKUP(J42,OFFSET($AG$2,,,COUNTIF($AG$2:$AG$50,"?*"),23),10,FALSE),""),"")</f>
        <v/>
      </c>
      <c r="K43" s="342" t="str">
        <f ca="1">IFERROR(IF(VLOOKUP(J42,OFFSET($AG$2,,,COUNTIF($AG$2:$AG$50,"?*"),23),2,FALSE)&lt;&gt;0,YEAR(VLOOKUP(J42,OFFSET($AG$2,,,COUNTIF($AG$2:$AG$50,"?*"),23),2,FALSE)),""),"")</f>
        <v/>
      </c>
      <c r="L43" s="350"/>
      <c r="M43" s="151" t="str">
        <f ca="1">IFERROR(VLOOKUP(J42,OFFSET($AG$2,,,COUNTIF($AG$2:$AG$50,"?*"),23),15,FALSE),"")</f>
        <v/>
      </c>
      <c r="N43" s="350" t="str">
        <f ca="1">IFERROR(VLOOKUP(J42,OFFSET($AG$2,,,COUNTIF($AG$2:$AG$50,"?*"),23),16,FALSE),"")</f>
        <v/>
      </c>
      <c r="O43" s="350"/>
      <c r="P43" s="350" t="str">
        <f ca="1">IFERROR(VLOOKUP(J42,OFFSET($AG$2,,,COUNTIF($AG$2:$AG$50,"?*"),23),18,FALSE),"")</f>
        <v/>
      </c>
      <c r="Q43" s="350"/>
      <c r="R43" s="351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5" t="str">
        <f ca="1">IFERROR(IF(VLOOKUP(A40,OFFSET($AG$2,,,COUNTIF($AG$2:$AG$50,"?*"),23),13,FALSE)&lt;&gt;0,VLOOKUP(A40,OFFSET($AG$2,,,COUNTIF($AG$2:$AG$50,"?*"),23),13,FALSE),"?"),"")</f>
        <v/>
      </c>
      <c r="B44" s="366"/>
      <c r="C44" s="367"/>
      <c r="D44" s="368" t="str">
        <f ca="1">IFERROR(IF(VLOOKUP(A40,OFFSET($AG$2,,,COUNTIF($AG$2:$AG$50,"?*"),23),14,FALSE)&lt;&gt;0,VLOOKUP(A40,OFFSET($AG$2,,,COUNTIF($AG$2:$AG$50,"?*"),23),14,FALSE),"?"),"")</f>
        <v/>
      </c>
      <c r="E44" s="369"/>
      <c r="F44" s="19" t="str">
        <f ca="1">IFERROR(VLOOKUP(A40,OFFSET($S$45,,,COUNTIF($S$45:$S$50,"?*"),14),6,FALSE),"")</f>
        <v/>
      </c>
      <c r="H44" s="376"/>
      <c r="J44" s="18" t="str">
        <f ca="1">IFERROR(IF(VLOOKUP(J42,OFFSET($AG$2,,,COUNTIF($AG$2:$AG$50,"?*"),23),7,FALSE)&lt;&gt;0,VLOOKUP(J42,OFFSET($AG$2,,,COUNTIF($AG$2:$AG$50,"?*"),23),7,FALSE),"?"),"")</f>
        <v/>
      </c>
      <c r="K44" s="352" t="str">
        <f ca="1">IFERROR(VLOOKUP(J42,OFFSET($AG$2,,,COUNTIF($AG$2:$AG$50,"?*"),23),19,FALSE),"")</f>
        <v/>
      </c>
      <c r="L44" s="352"/>
      <c r="M44" s="352"/>
      <c r="N44" s="353" t="str">
        <f ca="1">IFERROR(IF(VLOOKUP(J42,OFFSET($AG$2,,,COUNTIF($AG$2:$AG$50,"?*"),23),13,FALSE)&lt;&gt;0,VLOOKUP(J42,OFFSET($AG$2,,,COUNTIF($AG$2:$AG$50,"?*"),23),13,FALSE),"?"),"")</f>
        <v/>
      </c>
      <c r="O44" s="353"/>
      <c r="P44" s="353"/>
      <c r="Q44" s="352" t="str">
        <f ca="1">IFERROR(IF(VLOOKUP(J42,OFFSET($AG$2,,,COUNTIF($AG$2:$AG$50,"?*"),23),14,FALSE)&lt;&gt;0,VLOOKUP(J42,OFFSET($AG$2,,,COUNTIF($AG$2:$AG$50,"?*"),23),14,FALSE),"?"),"")</f>
        <v/>
      </c>
      <c r="R44" s="354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788</v>
      </c>
      <c r="T45" s="102">
        <v>6</v>
      </c>
      <c r="U45" s="112">
        <v>276.55</v>
      </c>
      <c r="V45" s="102">
        <v>1</v>
      </c>
      <c r="W45" s="102">
        <v>38</v>
      </c>
      <c r="X45" s="102">
        <v>0</v>
      </c>
      <c r="Y45" s="102">
        <v>150</v>
      </c>
      <c r="Z45" s="102">
        <v>0</v>
      </c>
      <c r="AA45" s="102">
        <v>5</v>
      </c>
      <c r="AB45" s="102">
        <v>112</v>
      </c>
      <c r="AC45" s="102">
        <v>0</v>
      </c>
      <c r="AD45" s="102">
        <v>0</v>
      </c>
      <c r="AE45" s="112">
        <f>IF(S45&lt;&gt;"",IF(T45&gt;0,W45/(U45/60),0),"")</f>
        <v>8.2444404266859515</v>
      </c>
      <c r="AF45" s="112">
        <f>IF(S45&lt;&gt;"",IF(Y45&gt;0,(AB45/Y45)*100,"-"),"")</f>
        <v>74.666666666666671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1018</v>
      </c>
      <c r="T46" s="102">
        <v>1</v>
      </c>
      <c r="U46" s="112">
        <v>58.93</v>
      </c>
      <c r="V46" s="102">
        <v>0</v>
      </c>
      <c r="W46" s="102">
        <v>4</v>
      </c>
      <c r="X46" s="102">
        <v>0</v>
      </c>
      <c r="Y46" s="102">
        <v>37</v>
      </c>
      <c r="Z46" s="102">
        <v>0</v>
      </c>
      <c r="AA46" s="102">
        <v>1</v>
      </c>
      <c r="AB46" s="102">
        <v>33</v>
      </c>
      <c r="AC46" s="102">
        <v>0</v>
      </c>
      <c r="AD46" s="102">
        <v>0</v>
      </c>
      <c r="AE46" s="112">
        <f t="shared" ref="AE46:AE50" si="25">IF(S46&lt;&gt;"",IF(T46&gt;0,W46/(U46/60),0),"")</f>
        <v>4.0726285423383679</v>
      </c>
      <c r="AF46" s="112">
        <f t="shared" ref="AF46:AF50" si="26">IF(S46&lt;&gt;"",IF(Y46&gt;0,(AB46/Y46)*100,"-"),"")</f>
        <v>89.189189189189193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7"/>
      <c r="B47" s="338"/>
      <c r="C47" s="338"/>
      <c r="D47" s="338"/>
      <c r="E47" s="339" t="str">
        <f ca="1">IFERROR(VLOOKUP(A47,OFFSET($BN$2,,,COUNTIF($BN$2:$BN$11,"?*"),5),3,FALSE),"")</f>
        <v/>
      </c>
      <c r="F47" s="339"/>
      <c r="G47" s="339"/>
      <c r="H47" s="339"/>
      <c r="I47" s="340"/>
      <c r="J47" s="337"/>
      <c r="K47" s="338"/>
      <c r="L47" s="338"/>
      <c r="M47" s="338"/>
      <c r="N47" s="339" t="str">
        <f ca="1">IFERROR(VLOOKUP(J47,OFFSET($BN$2,,,COUNTIF($BN$2:$BN$11,"?*"),5),3,FALSE),"")</f>
        <v/>
      </c>
      <c r="O47" s="339"/>
      <c r="P47" s="339"/>
      <c r="Q47" s="339"/>
      <c r="R47" s="340"/>
      <c r="S47" s="111" t="s">
        <v>790</v>
      </c>
      <c r="T47" s="102">
        <v>2</v>
      </c>
      <c r="U47" s="112">
        <v>82.1</v>
      </c>
      <c r="V47" s="102">
        <v>0</v>
      </c>
      <c r="W47" s="102">
        <v>7</v>
      </c>
      <c r="X47" s="102">
        <v>0</v>
      </c>
      <c r="Y47" s="102">
        <v>34</v>
      </c>
      <c r="Z47" s="102">
        <v>0</v>
      </c>
      <c r="AA47" s="102">
        <v>2</v>
      </c>
      <c r="AB47" s="102">
        <v>27</v>
      </c>
      <c r="AC47" s="102">
        <v>0</v>
      </c>
      <c r="AD47" s="102">
        <v>0</v>
      </c>
      <c r="AE47" s="112">
        <f t="shared" si="25"/>
        <v>5.1157125456760051</v>
      </c>
      <c r="AF47" s="112">
        <f t="shared" si="26"/>
        <v>79.411764705882348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5" t="str">
        <f ca="1">IFERROR(VLOOKUP(A47,OFFSET($BN$2,,,COUNTIF($BN$2:$BN$11,"?*"),5),5,FALSE),"")</f>
        <v/>
      </c>
      <c r="B48" s="357" t="str">
        <f ca="1">IFERROR(IF(VLOOKUP(A47,OFFSET($BN$2,,,COUNTIF($BN$2:$BN$11,"?*"),5),4,FALSE)&lt;&gt;0,VLOOKUP(A47,OFFSET($BN$2,,,COUNTIF($BN$2:$BN$11,"?*"),5),4,FALSE),"-"),"")</f>
        <v/>
      </c>
      <c r="C48" s="357"/>
      <c r="D48" s="357"/>
      <c r="E48" s="357"/>
      <c r="F48" s="357"/>
      <c r="G48" s="357"/>
      <c r="H48" s="357"/>
      <c r="I48" s="358"/>
      <c r="J48" s="119" t="str">
        <f ca="1">IFERROR(VLOOKUP(J47,OFFSET($BN$2,,,COUNTIF($BN$2:$BN$11,"?*"),5),5,FALSE),"")</f>
        <v/>
      </c>
      <c r="K48" s="361" t="str">
        <f ca="1">IFERROR(IF(VLOOKUP(J47,OFFSET($BN$2,,,COUNTIF($BN$2:$BN$11,"?*"),5),4,FALSE)&lt;&gt;0,VLOOKUP(J47,OFFSET($BN$2,,,COUNTIF($BN$2:$BN$11,"?*"),5),4,FALSE),"-"),"")</f>
        <v/>
      </c>
      <c r="L48" s="361"/>
      <c r="M48" s="361"/>
      <c r="N48" s="361"/>
      <c r="O48" s="361"/>
      <c r="P48" s="361"/>
      <c r="Q48" s="361"/>
      <c r="R48" s="362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5"/>
      <c r="B49" s="357"/>
      <c r="C49" s="357"/>
      <c r="D49" s="357"/>
      <c r="E49" s="357"/>
      <c r="F49" s="357"/>
      <c r="G49" s="357"/>
      <c r="H49" s="357"/>
      <c r="I49" s="358"/>
      <c r="J49" s="363"/>
      <c r="K49" s="364"/>
      <c r="L49" s="364"/>
      <c r="M49" s="364"/>
      <c r="N49" s="339" t="str">
        <f ca="1">IFERROR(VLOOKUP(J49,OFFSET($BN$2,,,COUNTIF($BN$2:$BN$11,"?*"),5),3,FALSE),"")</f>
        <v/>
      </c>
      <c r="O49" s="339"/>
      <c r="P49" s="339"/>
      <c r="Q49" s="339"/>
      <c r="R49" s="340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6"/>
      <c r="B50" s="359"/>
      <c r="C50" s="359"/>
      <c r="D50" s="359"/>
      <c r="E50" s="359"/>
      <c r="F50" s="359"/>
      <c r="G50" s="359"/>
      <c r="H50" s="359"/>
      <c r="I50" s="360"/>
      <c r="J50" s="119" t="str">
        <f ca="1">IFERROR(VLOOKUP(J49,OFFSET($BN$2,,,COUNTIF($BN$2:$BN$11,"?*"),5),5,FALSE),"")</f>
        <v/>
      </c>
      <c r="K50" s="361" t="str">
        <f ca="1">IFERROR(IF(VLOOKUP(J49,OFFSET($BN$2,,,COUNTIF($BN$2:$BN$11,"?*"),5),4,FALSE)&lt;&gt;0,VLOOKUP(J49,OFFSET($BN$2,,,COUNTIF($BN$2:$BN$11,"?*"),5),4,FALSE),"-"),"")</f>
        <v/>
      </c>
      <c r="L50" s="361"/>
      <c r="M50" s="361"/>
      <c r="N50" s="361"/>
      <c r="O50" s="361"/>
      <c r="P50" s="361"/>
      <c r="Q50" s="361"/>
      <c r="R50" s="362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topLeftCell="A12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8"/>
      <c r="B1" s="349"/>
      <c r="C1" s="349"/>
      <c r="D1" s="34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82" t="s">
        <v>1</v>
      </c>
      <c r="I1" s="382"/>
      <c r="J1" s="382"/>
      <c r="K1" s="382"/>
      <c r="M1" s="348"/>
      <c r="N1" s="349"/>
      <c r="O1" s="349"/>
      <c r="P1" s="34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1" t="str">
        <f ca="1">IFERROR(IF(VLOOKUP(A1,OFFSET($AG$2,,,COUNTIF($AG$2:$AG$50,"?*"),23),2,FALSE)&lt;&gt;0,YEAR(VLOOKUP(A1,OFFSET($AG$2,,,COUNTIF($AG$2:$AG$50,"?*"),23),2,FALSE)),""),"")</f>
        <v/>
      </c>
      <c r="C2" s="342"/>
      <c r="D2" s="117" t="str">
        <f ca="1">IFERROR(VLOOKUP(A1,OFFSET($AG$2,,,COUNTIF($AG$2:$AG$50,"?*"),23),15,FALSE),"")</f>
        <v/>
      </c>
      <c r="E2" s="343" t="str">
        <f ca="1">IFERROR(VLOOKUP(A1,OFFSET($AG$2,,,COUNTIF($AG$2:$AG$50,"?*"),23),16,FALSE),"")</f>
        <v/>
      </c>
      <c r="F2" s="344"/>
      <c r="M2" s="4" t="str">
        <f ca="1">IFERROR(IF(VLOOKUP(M1,OFFSET($AG$2,,,COUNTIF($AG$2:$AG$50,"?*"),23),10,FALSE)&lt;&gt;0,VLOOKUP(M1,OFFSET($AG$2,,,COUNTIF($AG$2:$AG$50,"?*"),23),10,FALSE),""),"")</f>
        <v/>
      </c>
      <c r="N2" s="341" t="str">
        <f ca="1">IFERROR(IF(VLOOKUP(M1,OFFSET($AG$2,,,COUNTIF($AG$2:$AG$50,"?*"),23),2,FALSE)&lt;&gt;0,YEAR(VLOOKUP(M1,OFFSET($AG$2,,,COUNTIF($AG$2:$AG$50,"?*"),23),2,FALSE)),""),"")</f>
        <v/>
      </c>
      <c r="O2" s="342"/>
      <c r="P2" s="117" t="str">
        <f ca="1">IFERROR(VLOOKUP(M1,OFFSET($AG$2,,,COUNTIF($AG$2:$AG$50,"?*"),23),15,FALSE),"")</f>
        <v/>
      </c>
      <c r="Q2" s="343" t="str">
        <f ca="1">IFERROR(VLOOKUP(M1,OFFSET($AG$2,,,COUNTIF($AG$2:$AG$50,"?*"),23),16,FALSE),"")</f>
        <v/>
      </c>
      <c r="R2" s="344"/>
      <c r="S2" s="110" t="s">
        <v>612</v>
      </c>
      <c r="T2" s="102" t="s">
        <v>119</v>
      </c>
      <c r="U2" s="102">
        <v>7</v>
      </c>
      <c r="V2" s="102">
        <v>7</v>
      </c>
      <c r="W2" s="102">
        <v>3</v>
      </c>
      <c r="X2" s="102">
        <v>0</v>
      </c>
      <c r="Y2" s="102">
        <v>6</v>
      </c>
      <c r="Z2" s="102">
        <v>13</v>
      </c>
      <c r="AA2" s="102">
        <v>2</v>
      </c>
      <c r="AB2" s="102">
        <v>10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631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149</v>
      </c>
      <c r="AQ2" s="123">
        <v>173</v>
      </c>
      <c r="AR2" s="123">
        <v>62</v>
      </c>
      <c r="AS2" s="126" t="s">
        <v>643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657</v>
      </c>
      <c r="BO2" s="122">
        <v>29384</v>
      </c>
      <c r="BP2" s="131" t="s">
        <v>256</v>
      </c>
      <c r="BQ2" s="132" t="s">
        <v>658</v>
      </c>
      <c r="BR2" s="127">
        <f ca="1">IF(BN2&lt;&gt;"",IF(BO2&lt;&gt;"",INT((TODAY()-BO2)/365),"?"),"")</f>
        <v>41</v>
      </c>
      <c r="BS2" s="336" t="s">
        <v>36</v>
      </c>
      <c r="BT2" s="104" t="s">
        <v>665</v>
      </c>
      <c r="BU2" s="103">
        <v>13</v>
      </c>
      <c r="BV2" s="104" t="str">
        <f>IFERROR(RIGHT(BT2,LEN(BT2)-SEARCH(" ",BT2)),"")</f>
        <v>Lukáš Ujhélyi</v>
      </c>
      <c r="BW2" s="102">
        <f>IF(BT2&lt;&gt;0,_xlfn.NUMBERVALUE(BU2,","),"")</f>
        <v>13</v>
      </c>
      <c r="BX2" s="335" t="s">
        <v>211</v>
      </c>
      <c r="BY2" s="103" t="s">
        <v>799</v>
      </c>
      <c r="BZ2" s="103" t="s">
        <v>942</v>
      </c>
      <c r="CA2" s="115" t="s">
        <v>1313</v>
      </c>
    </row>
    <row r="3" spans="1:79" ht="15" customHeight="1" thickTop="1" thickBot="1" x14ac:dyDescent="0.25">
      <c r="A3" s="377" t="str">
        <f ca="1">IFERROR(VLOOKUP(A1,OFFSET($AG$2,,,COUNTIF($AG$2:$AG$50,"?*"),23),18,FALSE),"")</f>
        <v/>
      </c>
      <c r="B3" s="378"/>
      <c r="C3" s="378"/>
      <c r="D3" s="379" t="str">
        <f ca="1">IFERROR(VLOOKUP(A1,OFFSET($AG$2,,,COUNTIF($AG$2:$AG$50,"?*"),23),19,FALSE),"")</f>
        <v/>
      </c>
      <c r="E3" s="379"/>
      <c r="F3" s="380"/>
      <c r="G3" s="348"/>
      <c r="H3" s="349"/>
      <c r="I3" s="349"/>
      <c r="J3" s="34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7" t="str">
        <f ca="1">IFERROR(VLOOKUP(M1,OFFSET($AG$2,,,COUNTIF($AG$2:$AG$50,"?*"),23),18,FALSE),"")</f>
        <v/>
      </c>
      <c r="N3" s="378"/>
      <c r="O3" s="378"/>
      <c r="P3" s="379" t="str">
        <f ca="1">IFERROR(VLOOKUP(M1,OFFSET($AG$2,,,COUNTIF($AG$2:$AG$50,"?*"),23),19,FALSE),"")</f>
        <v/>
      </c>
      <c r="Q3" s="379"/>
      <c r="R3" s="380"/>
      <c r="S3" s="110" t="s">
        <v>613</v>
      </c>
      <c r="U3" s="102">
        <v>7</v>
      </c>
      <c r="V3" s="102">
        <v>6</v>
      </c>
      <c r="W3" s="102">
        <v>0</v>
      </c>
      <c r="X3" s="102">
        <v>0</v>
      </c>
      <c r="Y3" s="102">
        <v>7</v>
      </c>
      <c r="Z3" s="102">
        <v>13</v>
      </c>
      <c r="AA3" s="102">
        <v>2</v>
      </c>
      <c r="AB3" s="102">
        <v>12</v>
      </c>
      <c r="AC3" s="102" t="str">
        <f t="shared" ca="1" si="0"/>
        <v>ANO</v>
      </c>
      <c r="AG3" s="121" t="s">
        <v>617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644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7 OZ, 5 (2+3), +8 ±</v>
      </c>
      <c r="AY3" s="129" t="str">
        <f t="shared" ca="1" si="2"/>
        <v>134 OZ, 31 (11+20)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659</v>
      </c>
      <c r="BO3" s="122">
        <v>31166</v>
      </c>
      <c r="BP3" s="131" t="s">
        <v>257</v>
      </c>
      <c r="BQ3" s="132" t="s">
        <v>660</v>
      </c>
      <c r="BR3" s="127">
        <f t="shared" ref="BR3:BR11" ca="1" si="12">IF(BN3&lt;&gt;"",IF(BO3&lt;&gt;"",INT((TODAY()-BO3)/365),"?"),"")</f>
        <v>36</v>
      </c>
      <c r="BS3" s="336"/>
      <c r="BT3" s="104" t="s">
        <v>666</v>
      </c>
      <c r="BU3" s="103">
        <v>13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13</v>
      </c>
      <c r="BX3" s="335"/>
      <c r="BY3" s="103" t="s">
        <v>263</v>
      </c>
      <c r="BZ3" s="103" t="s">
        <v>961</v>
      </c>
      <c r="CA3" s="115" t="s">
        <v>1314</v>
      </c>
    </row>
    <row r="4" spans="1:79" ht="15" customHeight="1" thickBot="1" x14ac:dyDescent="0.25">
      <c r="A4" s="365" t="str">
        <f ca="1">IFERROR(IF(VLOOKUP(A1,OFFSET($AG$2,,,COUNTIF($AG$2:$AG$50,"?*"),23),13,FALSE)&lt;&gt;0,VLOOKUP(A1,OFFSET($AG$2,,,COUNTIF($AG$2:$AG$50,"?*"),23),13,FALSE),"?"),"")</f>
        <v/>
      </c>
      <c r="B4" s="366"/>
      <c r="C4" s="367"/>
      <c r="D4" s="368" t="str">
        <f ca="1">IFERROR(IF(VLOOKUP(A1,OFFSET($AG$2,,,COUNTIF($AG$2:$AG$50,"?*"),23),14,FALSE)&lt;&gt;0,VLOOKUP(A1,OFFSET($AG$2,,,COUNTIF($AG$2:$AG$50,"?*"),23),14,FALSE),"?"),"")</f>
        <v/>
      </c>
      <c r="E4" s="36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1" t="str">
        <f ca="1">IFERROR(IF(VLOOKUP(G3,OFFSET($AG$2,,,COUNTIF($AG$2:$AG$50,"?*"),23),2,FALSE)&lt;&gt;0,YEAR(VLOOKUP(G3,OFFSET($AG$2,,,COUNTIF($AG$2:$AG$50,"?*"),23),2,FALSE)),""),"")</f>
        <v/>
      </c>
      <c r="I4" s="342"/>
      <c r="J4" s="117" t="str">
        <f ca="1">IFERROR(VLOOKUP(G3,OFFSET($AG$2,,,COUNTIF($AG$2:$AG$50,"?*"),23),15,FALSE),"")</f>
        <v/>
      </c>
      <c r="K4" s="343" t="str">
        <f ca="1">IFERROR(VLOOKUP(G3,OFFSET($AG$2,,,COUNTIF($AG$2:$AG$50,"?*"),23),16,FALSE),"")</f>
        <v/>
      </c>
      <c r="L4" s="344"/>
      <c r="M4" s="365" t="str">
        <f ca="1">IFERROR(IF(VLOOKUP(M1,OFFSET($AG$2,,,COUNTIF($AG$2:$AG$50,"?*"),23),13,FALSE)&lt;&gt;0,VLOOKUP(M1,OFFSET($AG$2,,,COUNTIF($AG$2:$AG$50,"?*"),23),13,FALSE),"?"),"")</f>
        <v/>
      </c>
      <c r="N4" s="366"/>
      <c r="O4" s="367"/>
      <c r="P4" s="368" t="str">
        <f ca="1">IFERROR(IF(VLOOKUP(M1,OFFSET($AG$2,,,COUNTIF($AG$2:$AG$50,"?*"),23),14,FALSE)&lt;&gt;0,VLOOKUP(M1,OFFSET($AG$2,,,COUNTIF($AG$2:$AG$50,"?*"),23),14,FALSE),"?"),"")</f>
        <v/>
      </c>
      <c r="Q4" s="36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614</v>
      </c>
      <c r="U4" s="102">
        <v>7</v>
      </c>
      <c r="V4" s="102">
        <v>6</v>
      </c>
      <c r="W4" s="102">
        <v>1</v>
      </c>
      <c r="X4" s="102">
        <v>0</v>
      </c>
      <c r="Y4" s="102">
        <v>5</v>
      </c>
      <c r="Z4" s="102">
        <v>11</v>
      </c>
      <c r="AA4" s="102">
        <v>4</v>
      </c>
      <c r="AB4" s="102">
        <v>12</v>
      </c>
      <c r="AC4" s="102" t="str">
        <f t="shared" ca="1" si="0"/>
        <v>ANO</v>
      </c>
      <c r="AG4" s="121" t="s">
        <v>395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149</v>
      </c>
      <c r="AQ4" s="123">
        <v>185</v>
      </c>
      <c r="AR4" s="123">
        <v>75</v>
      </c>
      <c r="AS4" s="126" t="s">
        <v>271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661</v>
      </c>
      <c r="BO4" s="122">
        <v>32564</v>
      </c>
      <c r="BP4" s="131" t="s">
        <v>257</v>
      </c>
      <c r="BQ4" s="132" t="s">
        <v>662</v>
      </c>
      <c r="BR4" s="127">
        <f t="shared" ca="1" si="12"/>
        <v>32</v>
      </c>
      <c r="BS4" s="336"/>
      <c r="BT4" s="104" t="s">
        <v>1316</v>
      </c>
      <c r="BU4" s="103">
        <v>11</v>
      </c>
      <c r="BV4" s="104" t="str">
        <f t="shared" si="13"/>
        <v>Mikuláš Krbec</v>
      </c>
      <c r="BW4" s="102">
        <f t="shared" si="14"/>
        <v>11</v>
      </c>
      <c r="BX4" s="335"/>
      <c r="BY4" s="103" t="s">
        <v>207</v>
      </c>
      <c r="BZ4" s="103" t="s">
        <v>911</v>
      </c>
      <c r="CA4" s="115" t="s">
        <v>838</v>
      </c>
    </row>
    <row r="5" spans="1:79" ht="15" customHeight="1" thickTop="1" thickBot="1" x14ac:dyDescent="0.25">
      <c r="A5" s="8"/>
      <c r="B5" s="8"/>
      <c r="C5" s="8"/>
      <c r="D5" s="8"/>
      <c r="G5" s="377" t="str">
        <f ca="1">IFERROR(VLOOKUP(G3,OFFSET($AG$2,,,COUNTIF($AG$2:$AG$50,"?*"),23),18,FALSE),"")</f>
        <v/>
      </c>
      <c r="H5" s="378"/>
      <c r="I5" s="378"/>
      <c r="J5" s="379" t="str">
        <f ca="1">IFERROR(VLOOKUP(G3,OFFSET($AG$2,,,COUNTIF($AG$2:$AG$50,"?*"),23),19,FALSE),"")</f>
        <v/>
      </c>
      <c r="K5" s="379"/>
      <c r="L5" s="380"/>
      <c r="S5" s="110" t="s">
        <v>616</v>
      </c>
      <c r="U5" s="102">
        <v>7</v>
      </c>
      <c r="V5" s="102">
        <v>4</v>
      </c>
      <c r="W5" s="102">
        <v>0</v>
      </c>
      <c r="X5" s="102">
        <v>0</v>
      </c>
      <c r="Y5" s="102">
        <v>5</v>
      </c>
      <c r="Z5" s="102">
        <v>9</v>
      </c>
      <c r="AA5" s="102">
        <v>2</v>
      </c>
      <c r="AB5" s="102">
        <v>5</v>
      </c>
      <c r="AC5" s="102" t="str">
        <f t="shared" ca="1" si="0"/>
        <v>ANO</v>
      </c>
      <c r="AG5" s="121" t="s">
        <v>627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645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3 V, 3 P</v>
      </c>
      <c r="AY5" s="129" t="str">
        <f t="shared" ca="1" si="2"/>
        <v>213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663</v>
      </c>
      <c r="BO5" s="122">
        <v>33689</v>
      </c>
      <c r="BP5" s="131" t="s">
        <v>442</v>
      </c>
      <c r="BQ5" s="132"/>
      <c r="BR5" s="127">
        <f t="shared" ca="1" si="12"/>
        <v>29</v>
      </c>
      <c r="BS5" s="336"/>
      <c r="BT5" s="104" t="s">
        <v>667</v>
      </c>
      <c r="BU5" s="103">
        <v>9</v>
      </c>
      <c r="BV5" s="104" t="str">
        <f t="shared" si="13"/>
        <v>Jakub Kolstrunk</v>
      </c>
      <c r="BW5" s="102">
        <f t="shared" si="14"/>
        <v>9</v>
      </c>
      <c r="BX5" s="335"/>
      <c r="BY5" s="103" t="s">
        <v>262</v>
      </c>
      <c r="BZ5" s="103" t="s">
        <v>978</v>
      </c>
      <c r="CA5" s="115" t="s">
        <v>1023</v>
      </c>
    </row>
    <row r="6" spans="1:79" ht="15" customHeight="1" thickTop="1" thickBot="1" x14ac:dyDescent="0.25">
      <c r="A6" s="348"/>
      <c r="B6" s="349"/>
      <c r="C6" s="349"/>
      <c r="D6" s="34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5" t="str">
        <f ca="1">IFERROR(IF(VLOOKUP(G3,OFFSET($AG$2,,,COUNTIF($AG$2:$AG$50,"?*"),23),13,FALSE)&lt;&gt;0,VLOOKUP(G3,OFFSET($AG$2,,,COUNTIF($AG$2:$AG$50,"?*"),23),13,FALSE),"?"),"")</f>
        <v/>
      </c>
      <c r="H6" s="366"/>
      <c r="I6" s="367"/>
      <c r="J6" s="368" t="str">
        <f ca="1">IFERROR(IF(VLOOKUP(G3,OFFSET($AG$2,,,COUNTIF($AG$2:$AG$50,"?*"),23),14,FALSE)&lt;&gt;0,VLOOKUP(G3,OFFSET($AG$2,,,COUNTIF($AG$2:$AG$50,"?*"),23),14,FALSE),"?"),"")</f>
        <v/>
      </c>
      <c r="K6" s="369"/>
      <c r="L6" s="7" t="str">
        <f ca="1">IFERROR(IF(VLOOKUP(G3,OFFSET($AG$2,,,COUNTIF($AG$2:$AG$50,"?*"),23),7,FALSE)&lt;&gt;0,VLOOKUP(G3,OFFSET($AG$2,,,COUNTIF($AG$2:$AG$50,"?*"),23),7,FALSE),"?"),"")</f>
        <v/>
      </c>
      <c r="M6" s="348"/>
      <c r="N6" s="349"/>
      <c r="O6" s="349"/>
      <c r="P6" s="34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615</v>
      </c>
      <c r="T6" s="102" t="s">
        <v>119</v>
      </c>
      <c r="U6" s="102">
        <v>7</v>
      </c>
      <c r="V6" s="102">
        <v>3</v>
      </c>
      <c r="W6" s="102">
        <v>1</v>
      </c>
      <c r="X6" s="102">
        <v>0</v>
      </c>
      <c r="Y6" s="102">
        <v>6</v>
      </c>
      <c r="Z6" s="102">
        <v>9</v>
      </c>
      <c r="AA6" s="102">
        <v>2</v>
      </c>
      <c r="AB6" s="102">
        <v>11</v>
      </c>
      <c r="AC6" s="102" t="str">
        <f t="shared" ca="1" si="0"/>
        <v>ANO</v>
      </c>
      <c r="AG6" s="121" t="s">
        <v>619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149</v>
      </c>
      <c r="AQ6" s="123">
        <v>185</v>
      </c>
      <c r="AR6" s="123">
        <v>79</v>
      </c>
      <c r="AS6" s="126" t="s">
        <v>646</v>
      </c>
      <c r="AT6" s="123"/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7 OZ, 7 (5+2), 0 ±</v>
      </c>
      <c r="AY6" s="129" t="str">
        <f t="shared" ca="1" si="2"/>
        <v>59 OZ, 53 (30+23)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664</v>
      </c>
      <c r="BO6" s="122">
        <v>35048</v>
      </c>
      <c r="BP6" s="131" t="s">
        <v>192</v>
      </c>
      <c r="BQ6" s="132" t="s">
        <v>658</v>
      </c>
      <c r="BR6" s="127">
        <f t="shared" ca="1" si="12"/>
        <v>25</v>
      </c>
      <c r="BS6" s="336"/>
      <c r="BT6" s="104" t="s">
        <v>668</v>
      </c>
      <c r="BU6" s="103">
        <v>9</v>
      </c>
      <c r="BV6" s="104" t="str">
        <f t="shared" si="13"/>
        <v>Marek Zouzal</v>
      </c>
      <c r="BW6" s="102">
        <f t="shared" si="14"/>
        <v>9</v>
      </c>
      <c r="BX6" s="335"/>
      <c r="BY6" s="103" t="s">
        <v>855</v>
      </c>
      <c r="BZ6" s="103" t="s">
        <v>944</v>
      </c>
      <c r="CA6" s="115" t="s">
        <v>810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1" t="str">
        <f ca="1">IFERROR(IF(VLOOKUP(A6,OFFSET($AG$2,,,COUNTIF($AG$2:$AG$50,"?*"),23),2,FALSE)&lt;&gt;0,YEAR(VLOOKUP(A6,OFFSET($AG$2,,,COUNTIF($AG$2:$AG$50,"?*"),23),2,FALSE)),""),"")</f>
        <v/>
      </c>
      <c r="C7" s="342"/>
      <c r="D7" s="117" t="str">
        <f ca="1">IFERROR(VLOOKUP(A6,OFFSET($AG$2,,,COUNTIF($AG$2:$AG$50,"?*"),23),15,FALSE),"")</f>
        <v/>
      </c>
      <c r="E7" s="343" t="str">
        <f ca="1">IFERROR(VLOOKUP(A6,OFFSET($AG$2,,,COUNTIF($AG$2:$AG$50,"?*"),23),16,FALSE),"")</f>
        <v/>
      </c>
      <c r="F7" s="344"/>
      <c r="M7" s="4" t="str">
        <f ca="1">IFERROR(IF(VLOOKUP(M6,OFFSET($AG$2,,,COUNTIF($AG$2:$AG$50,"?*"),23),10,FALSE)&lt;&gt;0,VLOOKUP(M6,OFFSET($AG$2,,,COUNTIF($AG$2:$AG$50,"?*"),23),10,FALSE),""),"")</f>
        <v/>
      </c>
      <c r="N7" s="341" t="str">
        <f ca="1">IFERROR(IF(VLOOKUP(M6,OFFSET($AG$2,,,COUNTIF($AG$2:$AG$50,"?*"),23),2,FALSE)&lt;&gt;0,YEAR(VLOOKUP(M6,OFFSET($AG$2,,,COUNTIF($AG$2:$AG$50,"?*"),23),2,FALSE)),""),"")</f>
        <v/>
      </c>
      <c r="O7" s="342"/>
      <c r="P7" s="117" t="str">
        <f ca="1">IFERROR(VLOOKUP(M6,OFFSET($AG$2,,,COUNTIF($AG$2:$AG$50,"?*"),23),15,FALSE),"")</f>
        <v/>
      </c>
      <c r="Q7" s="343" t="str">
        <f ca="1">IFERROR(VLOOKUP(M6,OFFSET($AG$2,,,COUNTIF($AG$2:$AG$50,"?*"),23),16,FALSE),"")</f>
        <v/>
      </c>
      <c r="R7" s="344"/>
      <c r="S7" s="110" t="s">
        <v>619</v>
      </c>
      <c r="U7" s="102">
        <v>7</v>
      </c>
      <c r="V7" s="102">
        <v>5</v>
      </c>
      <c r="W7" s="102">
        <v>0</v>
      </c>
      <c r="X7" s="102">
        <v>0</v>
      </c>
      <c r="Y7" s="102">
        <v>2</v>
      </c>
      <c r="Z7" s="102">
        <v>7</v>
      </c>
      <c r="AA7" s="102">
        <v>0</v>
      </c>
      <c r="AB7" s="102">
        <v>0</v>
      </c>
      <c r="AC7" s="102" t="str">
        <f t="shared" ca="1" si="0"/>
        <v>ANO</v>
      </c>
      <c r="AG7" s="121" t="s">
        <v>632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6" t="s">
        <v>40</v>
      </c>
      <c r="BT7" s="104" t="s">
        <v>669</v>
      </c>
      <c r="BU7" s="103" t="s">
        <v>1317</v>
      </c>
      <c r="BV7" s="104" t="str">
        <f t="shared" si="13"/>
        <v>Martin Beneš</v>
      </c>
      <c r="BW7" s="112">
        <f t="shared" si="14"/>
        <v>5.74</v>
      </c>
      <c r="BX7" s="335" t="s">
        <v>212</v>
      </c>
      <c r="BY7" s="103" t="s">
        <v>935</v>
      </c>
      <c r="BZ7" s="103" t="s">
        <v>932</v>
      </c>
      <c r="CA7" s="115" t="s">
        <v>205</v>
      </c>
    </row>
    <row r="8" spans="1:79" ht="15" customHeight="1" x14ac:dyDescent="0.2">
      <c r="A8" s="377" t="str">
        <f ca="1">IFERROR(VLOOKUP(A6,OFFSET($AG$2,,,COUNTIF($AG$2:$AG$50,"?*"),23),18,FALSE),"")</f>
        <v/>
      </c>
      <c r="B8" s="378"/>
      <c r="C8" s="378"/>
      <c r="D8" s="379" t="str">
        <f ca="1">IFERROR(VLOOKUP(A6,OFFSET($AG$2,,,COUNTIF($AG$2:$AG$50,"?*"),23),19,FALSE),"")</f>
        <v/>
      </c>
      <c r="E8" s="379"/>
      <c r="F8" s="380"/>
      <c r="H8" s="381" t="s">
        <v>101</v>
      </c>
      <c r="I8" s="381"/>
      <c r="J8" s="381"/>
      <c r="K8" s="381"/>
      <c r="M8" s="377" t="str">
        <f ca="1">IFERROR(VLOOKUP(M6,OFFSET($AG$2,,,COUNTIF($AG$2:$AG$50,"?*"),23),18,FALSE),"")</f>
        <v/>
      </c>
      <c r="N8" s="378"/>
      <c r="O8" s="378"/>
      <c r="P8" s="379" t="str">
        <f ca="1">IFERROR(VLOOKUP(M6,OFFSET($AG$2,,,COUNTIF($AG$2:$AG$50,"?*"),23),19,FALSE),"")</f>
        <v/>
      </c>
      <c r="Q8" s="379"/>
      <c r="R8" s="380"/>
      <c r="S8" s="110" t="s">
        <v>617</v>
      </c>
      <c r="T8" s="102" t="s">
        <v>64</v>
      </c>
      <c r="U8" s="102">
        <v>7</v>
      </c>
      <c r="V8" s="102">
        <v>2</v>
      </c>
      <c r="W8" s="102">
        <v>0</v>
      </c>
      <c r="X8" s="102">
        <v>0</v>
      </c>
      <c r="Y8" s="102">
        <v>3</v>
      </c>
      <c r="Z8" s="102">
        <v>5</v>
      </c>
      <c r="AA8" s="102">
        <v>2</v>
      </c>
      <c r="AB8" s="102">
        <v>8</v>
      </c>
      <c r="AC8" s="102" t="str">
        <f t="shared" ca="1" si="0"/>
        <v>ANO</v>
      </c>
      <c r="AG8" s="121" t="s">
        <v>633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647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6"/>
      <c r="BT8" s="104" t="s">
        <v>887</v>
      </c>
      <c r="BU8" s="103" t="s">
        <v>388</v>
      </c>
      <c r="BV8" s="104" t="str">
        <f t="shared" si="13"/>
        <v>Viktor Hejna</v>
      </c>
      <c r="BW8" s="112">
        <f t="shared" si="14"/>
        <v>4</v>
      </c>
      <c r="BX8" s="335"/>
      <c r="BY8" s="103" t="s">
        <v>915</v>
      </c>
      <c r="BZ8" s="103" t="s">
        <v>931</v>
      </c>
      <c r="CA8" s="115" t="s">
        <v>205</v>
      </c>
    </row>
    <row r="9" spans="1:79" ht="15" customHeight="1" thickBot="1" x14ac:dyDescent="0.25">
      <c r="A9" s="365" t="str">
        <f ca="1">IFERROR(IF(VLOOKUP(A6,OFFSET($AG$2,,,COUNTIF($AG$2:$AG$50,"?*"),23),13,FALSE)&lt;&gt;0,VLOOKUP(A6,OFFSET($AG$2,,,COUNTIF($AG$2:$AG$50,"?*"),23),13,FALSE),"?"),"")</f>
        <v/>
      </c>
      <c r="B9" s="366"/>
      <c r="C9" s="367"/>
      <c r="D9" s="368" t="str">
        <f ca="1">IFERROR(IF(VLOOKUP(A6,OFFSET($AG$2,,,COUNTIF($AG$2:$AG$50,"?*"),23),14,FALSE)&lt;&gt;0,VLOOKUP(A6,OFFSET($AG$2,,,COUNTIF($AG$2:$AG$50,"?*"),23),14,FALSE),"?"),"")</f>
        <v/>
      </c>
      <c r="E9" s="369"/>
      <c r="F9" s="7" t="str">
        <f ca="1">IFERROR(IF(VLOOKUP(A6,OFFSET($AG$2,,,COUNTIF($AG$2:$AG$50,"?*"),23),7,FALSE)&lt;&gt;0,VLOOKUP(A6,OFFSET($AG$2,,,COUNTIF($AG$2:$AG$50,"?*"),23),7,FALSE),"?"),"")</f>
        <v/>
      </c>
      <c r="H9" s="381"/>
      <c r="I9" s="381"/>
      <c r="J9" s="381"/>
      <c r="K9" s="381"/>
      <c r="M9" s="365" t="str">
        <f ca="1">IFERROR(IF(VLOOKUP(M6,OFFSET($AG$2,,,COUNTIF($AG$2:$AG$50,"?*"),23),13,FALSE)&lt;&gt;0,VLOOKUP(M6,OFFSET($AG$2,,,COUNTIF($AG$2:$AG$50,"?*"),23),13,FALSE),"?"),"")</f>
        <v/>
      </c>
      <c r="N9" s="366"/>
      <c r="O9" s="367"/>
      <c r="P9" s="368" t="str">
        <f ca="1">IFERROR(IF(VLOOKUP(M6,OFFSET($AG$2,,,COUNTIF($AG$2:$AG$50,"?*"),23),14,FALSE)&lt;&gt;0,VLOOKUP(M6,OFFSET($AG$2,,,COUNTIF($AG$2:$AG$50,"?*"),23),14,FALSE),"?"),"")</f>
        <v/>
      </c>
      <c r="Q9" s="36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628</v>
      </c>
      <c r="T9" s="102" t="s">
        <v>64</v>
      </c>
      <c r="U9" s="102">
        <v>7</v>
      </c>
      <c r="V9" s="102">
        <v>2</v>
      </c>
      <c r="W9" s="102">
        <v>0</v>
      </c>
      <c r="X9" s="102">
        <v>0</v>
      </c>
      <c r="Y9" s="102">
        <v>2</v>
      </c>
      <c r="Z9" s="102">
        <v>4</v>
      </c>
      <c r="AA9" s="102">
        <v>2</v>
      </c>
      <c r="AB9" s="102">
        <v>8</v>
      </c>
      <c r="AC9" s="102" t="str">
        <f t="shared" ca="1" si="0"/>
        <v>ANO</v>
      </c>
      <c r="AG9" s="121" t="s">
        <v>620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166</v>
      </c>
      <c r="AP9" s="125" t="s">
        <v>149</v>
      </c>
      <c r="AQ9" s="123">
        <v>180</v>
      </c>
      <c r="AR9" s="123">
        <v>81</v>
      </c>
      <c r="AS9" s="126" t="s">
        <v>82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7 OZ, 3 (2+1), -8 ±</v>
      </c>
      <c r="AY9" s="129" t="str">
        <f t="shared" ca="1" si="2"/>
        <v>295 OZ, 290 (157+133)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6"/>
      <c r="BV9" s="104" t="str">
        <f t="shared" si="13"/>
        <v/>
      </c>
      <c r="BW9" s="112" t="str">
        <f t="shared" si="14"/>
        <v/>
      </c>
      <c r="BX9" s="335"/>
      <c r="BY9" s="103" t="s">
        <v>945</v>
      </c>
      <c r="BZ9" s="103" t="s">
        <v>930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621</v>
      </c>
      <c r="T10" s="102" t="s">
        <v>119</v>
      </c>
      <c r="U10" s="102">
        <v>7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2</v>
      </c>
      <c r="AB10" s="102">
        <v>5</v>
      </c>
      <c r="AC10" s="102" t="str">
        <f t="shared" ca="1" si="0"/>
        <v>ANO</v>
      </c>
      <c r="AG10" s="121" t="s">
        <v>629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245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7 OZ, 0 (0+0), -6 ±</v>
      </c>
      <c r="AY10" s="129" t="str">
        <f t="shared" ca="1" si="2"/>
        <v>33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6"/>
      <c r="BV10" s="104" t="str">
        <f t="shared" si="13"/>
        <v/>
      </c>
      <c r="BW10" s="112" t="str">
        <f t="shared" si="14"/>
        <v/>
      </c>
      <c r="BX10" s="335"/>
      <c r="BY10" s="103" t="s">
        <v>1106</v>
      </c>
      <c r="BZ10" s="103" t="s">
        <v>910</v>
      </c>
      <c r="CA10" s="115" t="s">
        <v>205</v>
      </c>
    </row>
    <row r="11" spans="1:79" ht="15" customHeight="1" thickTop="1" thickBot="1" x14ac:dyDescent="0.25">
      <c r="R11" s="13"/>
      <c r="S11" s="110" t="s">
        <v>630</v>
      </c>
      <c r="T11" s="102" t="s">
        <v>64</v>
      </c>
      <c r="U11" s="102">
        <v>7</v>
      </c>
      <c r="V11" s="102">
        <v>2</v>
      </c>
      <c r="W11" s="102">
        <v>0</v>
      </c>
      <c r="X11" s="102">
        <v>0</v>
      </c>
      <c r="Y11" s="102">
        <v>1</v>
      </c>
      <c r="Z11" s="102">
        <v>3</v>
      </c>
      <c r="AA11" s="102">
        <v>4</v>
      </c>
      <c r="AB11" s="102">
        <v>5</v>
      </c>
      <c r="AC11" s="102" t="str">
        <f t="shared" ca="1" si="0"/>
        <v>ANO</v>
      </c>
      <c r="AG11" s="121" t="s">
        <v>613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149</v>
      </c>
      <c r="AQ11" s="123">
        <v>179</v>
      </c>
      <c r="AR11" s="123">
        <v>82</v>
      </c>
      <c r="AS11" s="126" t="s">
        <v>74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7 OZ, 13 (6+7), +12 ±</v>
      </c>
      <c r="AY11" s="129" t="str">
        <f t="shared" ca="1" si="2"/>
        <v>76 OZ, 74 (39+35)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6"/>
      <c r="BV11" s="104" t="str">
        <f t="shared" si="13"/>
        <v/>
      </c>
      <c r="BW11" s="112" t="str">
        <f t="shared" si="14"/>
        <v/>
      </c>
      <c r="BX11" s="335"/>
      <c r="BY11" s="103" t="s">
        <v>1196</v>
      </c>
      <c r="BZ11" s="103" t="s">
        <v>962</v>
      </c>
      <c r="CA11" s="115" t="s">
        <v>205</v>
      </c>
    </row>
    <row r="12" spans="1:79" ht="15" customHeight="1" thickTop="1" thickBot="1" x14ac:dyDescent="0.25">
      <c r="A12" s="348"/>
      <c r="B12" s="349"/>
      <c r="C12" s="349"/>
      <c r="D12" s="34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82" t="s">
        <v>7</v>
      </c>
      <c r="I12" s="382"/>
      <c r="J12" s="382"/>
      <c r="K12" s="382"/>
      <c r="M12" s="348"/>
      <c r="N12" s="349"/>
      <c r="O12" s="349"/>
      <c r="P12" s="34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620</v>
      </c>
      <c r="T12" s="102" t="s">
        <v>64</v>
      </c>
      <c r="U12" s="102">
        <v>7</v>
      </c>
      <c r="V12" s="102">
        <v>2</v>
      </c>
      <c r="W12" s="102">
        <v>0</v>
      </c>
      <c r="X12" s="102">
        <v>0</v>
      </c>
      <c r="Y12" s="102">
        <v>1</v>
      </c>
      <c r="Z12" s="102">
        <v>3</v>
      </c>
      <c r="AA12" s="102">
        <v>2</v>
      </c>
      <c r="AB12" s="102">
        <v>-8</v>
      </c>
      <c r="AC12" s="102" t="str">
        <f t="shared" ca="1" si="0"/>
        <v>ANO</v>
      </c>
      <c r="AG12" s="121" t="s">
        <v>624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149</v>
      </c>
      <c r="AQ12" s="123">
        <v>186</v>
      </c>
      <c r="AR12" s="123">
        <v>89</v>
      </c>
      <c r="AS12" s="126" t="s">
        <v>648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7 OZ, 2 (1+1), +1 ±</v>
      </c>
      <c r="AY12" s="129" t="str">
        <f t="shared" ca="1" si="2"/>
        <v>116 OZ, 61 (35+26)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6" t="s">
        <v>37</v>
      </c>
      <c r="BT12" s="104" t="s">
        <v>665</v>
      </c>
      <c r="BU12" s="103">
        <v>7</v>
      </c>
      <c r="BV12" s="104" t="str">
        <f t="shared" si="13"/>
        <v>Lukáš Ujhélyi</v>
      </c>
      <c r="BW12" s="102">
        <f t="shared" si="14"/>
        <v>7</v>
      </c>
      <c r="BX12" s="120" t="s">
        <v>210</v>
      </c>
      <c r="BY12" s="100" t="s">
        <v>1315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1" t="str">
        <f ca="1">IFERROR(IF(VLOOKUP(A12,OFFSET($AG$2,,,COUNTIF($AG$2:$AG$50,"?*"),23),2,FALSE)&lt;&gt;0,YEAR(VLOOKUP(A12,OFFSET($AG$2,,,COUNTIF($AG$2:$AG$50,"?*"),23),2,FALSE)),""),"")</f>
        <v/>
      </c>
      <c r="C13" s="342"/>
      <c r="D13" s="117" t="str">
        <f ca="1">IFERROR(VLOOKUP(A12,OFFSET($AG$2,,,COUNTIF($AG$2:$AG$50,"?*"),23),15,FALSE),"")</f>
        <v/>
      </c>
      <c r="E13" s="343" t="str">
        <f ca="1">IFERROR(VLOOKUP(A12,OFFSET($AG$2,,,COUNTIF($AG$2:$AG$50,"?*"),23),16,FALSE),"")</f>
        <v/>
      </c>
      <c r="F13" s="344"/>
      <c r="M13" s="4" t="str">
        <f ca="1">IFERROR(IF(VLOOKUP(M12,OFFSET($AG$2,,,COUNTIF($AG$2:$AG$50,"?*"),23),10,FALSE)&lt;&gt;0,VLOOKUP(M12,OFFSET($AG$2,,,COUNTIF($AG$2:$AG$50,"?*"),23),10,FALSE),""),"")</f>
        <v/>
      </c>
      <c r="N13" s="341" t="str">
        <f ca="1">IFERROR(IF(VLOOKUP(M12,OFFSET($AG$2,,,COUNTIF($AG$2:$AG$50,"?*"),23),2,FALSE)&lt;&gt;0,YEAR(VLOOKUP(M12,OFFSET($AG$2,,,COUNTIF($AG$2:$AG$50,"?*"),23),2,FALSE)),""),"")</f>
        <v/>
      </c>
      <c r="O13" s="342"/>
      <c r="P13" s="117" t="str">
        <f ca="1">IFERROR(VLOOKUP(M12,OFFSET($AG$2,,,COUNTIF($AG$2:$AG$50,"?*"),23),15,FALSE),"")</f>
        <v/>
      </c>
      <c r="Q13" s="343" t="str">
        <f ca="1">IFERROR(VLOOKUP(M12,OFFSET($AG$2,,,COUNTIF($AG$2:$AG$50,"?*"),23),16,FALSE),"")</f>
        <v/>
      </c>
      <c r="R13" s="344"/>
      <c r="S13" s="110" t="s">
        <v>624</v>
      </c>
      <c r="T13" s="102" t="s">
        <v>119</v>
      </c>
      <c r="U13" s="102">
        <v>7</v>
      </c>
      <c r="V13" s="102">
        <v>1</v>
      </c>
      <c r="W13" s="102">
        <v>0</v>
      </c>
      <c r="X13" s="102">
        <v>0</v>
      </c>
      <c r="Y13" s="102">
        <v>1</v>
      </c>
      <c r="Z13" s="102">
        <v>2</v>
      </c>
      <c r="AA13" s="102">
        <v>2</v>
      </c>
      <c r="AB13" s="102">
        <v>1</v>
      </c>
      <c r="AC13" s="102" t="str">
        <f t="shared" ca="1" si="0"/>
        <v>ANO</v>
      </c>
      <c r="AG13" s="121" t="s">
        <v>616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149</v>
      </c>
      <c r="AQ13" s="123">
        <v>189</v>
      </c>
      <c r="AR13" s="123">
        <v>86</v>
      </c>
      <c r="AS13" s="126" t="s">
        <v>271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7 OZ, 9 (4+5), +5 ±</v>
      </c>
      <c r="AY13" s="129" t="str">
        <f t="shared" ca="1" si="2"/>
        <v>95 OZ, 92 (64+28)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6"/>
      <c r="BT13" s="104" t="s">
        <v>666</v>
      </c>
      <c r="BU13" s="103">
        <v>6</v>
      </c>
      <c r="BV13" s="104" t="str">
        <f t="shared" si="13"/>
        <v>Josef Juha</v>
      </c>
      <c r="BW13" s="102">
        <f t="shared" si="14"/>
        <v>6</v>
      </c>
    </row>
    <row r="14" spans="1:79" ht="15" customHeight="1" thickTop="1" thickBot="1" x14ac:dyDescent="0.25">
      <c r="A14" s="377" t="str">
        <f ca="1">IFERROR(VLOOKUP(A12,OFFSET($AG$2,,,COUNTIF($AG$2:$AG$50,"?*"),23),18,FALSE),"")</f>
        <v/>
      </c>
      <c r="B14" s="378"/>
      <c r="C14" s="378"/>
      <c r="D14" s="379" t="str">
        <f ca="1">IFERROR(VLOOKUP(A12,OFFSET($AG$2,,,COUNTIF($AG$2:$AG$50,"?*"),23),19,FALSE),"")</f>
        <v/>
      </c>
      <c r="E14" s="379"/>
      <c r="F14" s="380"/>
      <c r="G14" s="348"/>
      <c r="H14" s="349"/>
      <c r="I14" s="349"/>
      <c r="J14" s="34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7" t="str">
        <f ca="1">IFERROR(VLOOKUP(M12,OFFSET($AG$2,,,COUNTIF($AG$2:$AG$50,"?*"),23),18,FALSE),"")</f>
        <v/>
      </c>
      <c r="N14" s="378"/>
      <c r="O14" s="378"/>
      <c r="P14" s="379" t="str">
        <f ca="1">IFERROR(VLOOKUP(M12,OFFSET($AG$2,,,COUNTIF($AG$2:$AG$50,"?*"),23),19,FALSE),"")</f>
        <v/>
      </c>
      <c r="Q14" s="379"/>
      <c r="R14" s="380"/>
      <c r="S14" s="110" t="s">
        <v>635</v>
      </c>
      <c r="U14" s="102">
        <v>6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2</v>
      </c>
      <c r="AB14" s="102">
        <v>-8</v>
      </c>
      <c r="AC14" s="102" t="str">
        <f t="shared" ca="1" si="0"/>
        <v>ANO</v>
      </c>
      <c r="AG14" s="121" t="s">
        <v>634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303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6"/>
      <c r="BT14" s="104" t="s">
        <v>1316</v>
      </c>
      <c r="BU14" s="103">
        <v>6</v>
      </c>
      <c r="BV14" s="104" t="str">
        <f t="shared" si="13"/>
        <v>Mikuláš Krbec</v>
      </c>
      <c r="BW14" s="102">
        <f t="shared" si="14"/>
        <v>6</v>
      </c>
    </row>
    <row r="15" spans="1:79" ht="15" customHeight="1" thickBot="1" x14ac:dyDescent="0.25">
      <c r="A15" s="365" t="str">
        <f ca="1">IFERROR(IF(VLOOKUP(A12,OFFSET($AG$2,,,COUNTIF($AG$2:$AG$50,"?*"),23),13,FALSE)&lt;&gt;0,VLOOKUP(A12,OFFSET($AG$2,,,COUNTIF($AG$2:$AG$50,"?*"),23),13,FALSE),"?"),"")</f>
        <v/>
      </c>
      <c r="B15" s="366"/>
      <c r="C15" s="367"/>
      <c r="D15" s="368" t="str">
        <f ca="1">IFERROR(IF(VLOOKUP(A12,OFFSET($AG$2,,,COUNTIF($AG$2:$AG$50,"?*"),23),14,FALSE)&lt;&gt;0,VLOOKUP(A12,OFFSET($AG$2,,,COUNTIF($AG$2:$AG$50,"?*"),23),14,FALSE),"?"),"")</f>
        <v/>
      </c>
      <c r="E15" s="36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1" t="str">
        <f ca="1">IFERROR(IF(VLOOKUP(G14,OFFSET($AG$2,,,COUNTIF($AG$2:$AG$50,"?*"),23),2,FALSE)&lt;&gt;0,YEAR(VLOOKUP(G14,OFFSET($AG$2,,,COUNTIF($AG$2:$AG$50,"?*"),23),2,FALSE)),""),"")</f>
        <v/>
      </c>
      <c r="I15" s="342"/>
      <c r="J15" s="117" t="str">
        <f ca="1">IFERROR(VLOOKUP(G14,OFFSET($AG$2,,,COUNTIF($AG$2:$AG$50,"?*"),23),15,FALSE),"")</f>
        <v/>
      </c>
      <c r="K15" s="343" t="str">
        <f ca="1">IFERROR(VLOOKUP(G14,OFFSET($AG$2,,,COUNTIF($AG$2:$AG$50,"?*"),23),16,FALSE),"")</f>
        <v/>
      </c>
      <c r="L15" s="344"/>
      <c r="M15" s="365" t="str">
        <f ca="1">IFERROR(IF(VLOOKUP(M12,OFFSET($AG$2,,,COUNTIF($AG$2:$AG$50,"?*"),23),13,FALSE)&lt;&gt;0,VLOOKUP(M12,OFFSET($AG$2,,,COUNTIF($AG$2:$AG$50,"?*"),23),13,FALSE),"?"),"")</f>
        <v/>
      </c>
      <c r="N15" s="366"/>
      <c r="O15" s="367"/>
      <c r="P15" s="368" t="str">
        <f ca="1">IFERROR(IF(VLOOKUP(M12,OFFSET($AG$2,,,COUNTIF($AG$2:$AG$50,"?*"),23),14,FALSE)&lt;&gt;0,VLOOKUP(M12,OFFSET($AG$2,,,COUNTIF($AG$2:$AG$50,"?*"),23),14,FALSE),"?"),"")</f>
        <v/>
      </c>
      <c r="Q15" s="36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623</v>
      </c>
      <c r="T15" s="102" t="s">
        <v>119</v>
      </c>
      <c r="U15" s="102">
        <v>6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2</v>
      </c>
      <c r="AB15" s="102">
        <v>-5</v>
      </c>
      <c r="AC15" s="102" t="str">
        <f t="shared" ca="1" si="0"/>
        <v>ANO</v>
      </c>
      <c r="AG15" s="121" t="s">
        <v>635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649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6 OZ, 1 (1+0), -8 ±</v>
      </c>
      <c r="AY15" s="129" t="str">
        <f t="shared" ca="1" si="2"/>
        <v>54 OZ, 11 (9+2)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6"/>
      <c r="BT15" s="104" t="s">
        <v>1318</v>
      </c>
      <c r="BU15" s="103">
        <v>5</v>
      </c>
      <c r="BV15" s="104" t="str">
        <f t="shared" si="13"/>
        <v>Matěj Čermák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77" t="str">
        <f ca="1">IFERROR(VLOOKUP(G14,OFFSET($AG$2,,,COUNTIF($AG$2:$AG$50,"?*"),23),18,FALSE),"")</f>
        <v/>
      </c>
      <c r="H16" s="378"/>
      <c r="I16" s="378"/>
      <c r="J16" s="379" t="str">
        <f ca="1">IFERROR(VLOOKUP(G14,OFFSET($AG$2,,,COUNTIF($AG$2:$AG$50,"?*"),23),19,FALSE),"")</f>
        <v/>
      </c>
      <c r="K16" s="379"/>
      <c r="L16" s="380"/>
      <c r="S16" s="110" t="s">
        <v>1022</v>
      </c>
      <c r="T16" s="102" t="s">
        <v>64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2</v>
      </c>
      <c r="AB16" s="102">
        <v>-3</v>
      </c>
      <c r="AC16" s="102" t="str">
        <f t="shared" ca="1" si="0"/>
        <v>NE</v>
      </c>
      <c r="AG16" s="121" t="s">
        <v>614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149</v>
      </c>
      <c r="AQ16" s="123">
        <v>189</v>
      </c>
      <c r="AR16" s="123">
        <v>87</v>
      </c>
      <c r="AS16" s="126" t="s">
        <v>650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7 OZ, 11 (6+5), +12 ±</v>
      </c>
      <c r="AY16" s="129" t="str">
        <f t="shared" ca="1" si="2"/>
        <v>106 OZ, 153 (61+92)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6"/>
      <c r="BT16" s="104" t="s">
        <v>1319</v>
      </c>
      <c r="BU16" s="103">
        <v>4</v>
      </c>
      <c r="BV16" s="104" t="str">
        <f t="shared" si="13"/>
        <v>Jakub Kolstrunk</v>
      </c>
      <c r="BW16" s="102">
        <f t="shared" si="14"/>
        <v>4</v>
      </c>
    </row>
    <row r="17" spans="1:75" ht="15" customHeight="1" thickTop="1" thickBot="1" x14ac:dyDescent="0.25">
      <c r="A17" s="348"/>
      <c r="B17" s="349"/>
      <c r="C17" s="349"/>
      <c r="D17" s="34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5" t="str">
        <f ca="1">IFERROR(IF(VLOOKUP(G14,OFFSET($AG$2,,,COUNTIF($AG$2:$AG$50,"?*"),23),13,FALSE)&lt;&gt;0,VLOOKUP(G14,OFFSET($AG$2,,,COUNTIF($AG$2:$AG$50,"?*"),23),13,FALSE),"?"),"")</f>
        <v/>
      </c>
      <c r="H17" s="366"/>
      <c r="I17" s="367"/>
      <c r="J17" s="368" t="str">
        <f ca="1">IFERROR(IF(VLOOKUP(G14,OFFSET($AG$2,,,COUNTIF($AG$2:$AG$50,"?*"),23),14,FALSE)&lt;&gt;0,VLOOKUP(G14,OFFSET($AG$2,,,COUNTIF($AG$2:$AG$50,"?*"),23),14,FALSE),"?"),"")</f>
        <v/>
      </c>
      <c r="K17" s="369"/>
      <c r="L17" s="7" t="str">
        <f ca="1">IFERROR(IF(VLOOKUP(G14,OFFSET($AG$2,,,COUNTIF($AG$2:$AG$50,"?*"),23),7,FALSE)&lt;&gt;0,VLOOKUP(G14,OFFSET($AG$2,,,COUNTIF($AG$2:$AG$50,"?*"),23),7,FALSE),"?"),"")</f>
        <v/>
      </c>
      <c r="M17" s="348"/>
      <c r="N17" s="349"/>
      <c r="O17" s="349"/>
      <c r="P17" s="34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618</v>
      </c>
      <c r="U17" s="102">
        <v>4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628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149</v>
      </c>
      <c r="AQ17" s="123">
        <v>184</v>
      </c>
      <c r="AR17" s="123">
        <v>74</v>
      </c>
      <c r="AS17" s="126" t="s">
        <v>315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7 OZ, 4 (2+2), +8 ±</v>
      </c>
      <c r="AY17" s="129" t="str">
        <f t="shared" ca="1" si="2"/>
        <v>348 OZ, 320 (143+177)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6" t="s">
        <v>41</v>
      </c>
      <c r="BT17" s="104" t="s">
        <v>669</v>
      </c>
      <c r="BU17" s="103">
        <v>3</v>
      </c>
      <c r="BV17" s="104" t="str">
        <f t="shared" si="13"/>
        <v>Martin Beneš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1" t="str">
        <f ca="1">IFERROR(IF(VLOOKUP(A17,OFFSET($AG$2,,,COUNTIF($AG$2:$AG$50,"?*"),23),2,FALSE)&lt;&gt;0,YEAR(VLOOKUP(A17,OFFSET($AG$2,,,COUNTIF($AG$2:$AG$50,"?*"),23),2,FALSE)),""),"")</f>
        <v/>
      </c>
      <c r="C18" s="342"/>
      <c r="D18" s="150" t="str">
        <f ca="1">IFERROR(VLOOKUP(A17,OFFSET($AG$2,,,COUNTIF($AG$2:$AG$50,"?*"),23),15,FALSE),"")</f>
        <v/>
      </c>
      <c r="E18" s="343" t="str">
        <f ca="1">IFERROR(VLOOKUP(A17,OFFSET($AG$2,,,COUNTIF($AG$2:$AG$50,"?*"),23),16,FALSE),"")</f>
        <v/>
      </c>
      <c r="F18" s="344"/>
      <c r="M18" s="4" t="str">
        <f ca="1">IFERROR(IF(VLOOKUP(M17,OFFSET($AG$2,,,COUNTIF($AG$2:$AG$50,"?*"),23),10,FALSE)&lt;&gt;0,VLOOKUP(M17,OFFSET($AG$2,,,COUNTIF($AG$2:$AG$50,"?*"),23),10,FALSE),""),"")</f>
        <v/>
      </c>
      <c r="N18" s="341" t="str">
        <f ca="1">IFERROR(IF(VLOOKUP(M17,OFFSET($AG$2,,,COUNTIF($AG$2:$AG$50,"?*"),23),2,FALSE)&lt;&gt;0,YEAR(VLOOKUP(M17,OFFSET($AG$2,,,COUNTIF($AG$2:$AG$50,"?*"),23),2,FALSE)),""),"")</f>
        <v/>
      </c>
      <c r="O18" s="342"/>
      <c r="P18" s="117" t="str">
        <f ca="1">IFERROR(VLOOKUP(M17,OFFSET($AG$2,,,COUNTIF($AG$2:$AG$50,"?*"),23),15,FALSE),"")</f>
        <v/>
      </c>
      <c r="Q18" s="343" t="str">
        <f ca="1">IFERROR(VLOOKUP(M17,OFFSET($AG$2,,,COUNTIF($AG$2:$AG$50,"?*"),23),16,FALSE),"")</f>
        <v/>
      </c>
      <c r="R18" s="344"/>
      <c r="S18" s="110" t="s">
        <v>625</v>
      </c>
      <c r="T18" s="102" t="s">
        <v>64</v>
      </c>
      <c r="U18" s="102">
        <v>5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625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149</v>
      </c>
      <c r="AQ18" s="123">
        <v>179</v>
      </c>
      <c r="AR18" s="123">
        <v>78</v>
      </c>
      <c r="AS18" s="126" t="s">
        <v>245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5 OZ, 0 (0+0), 0 ±</v>
      </c>
      <c r="AY18" s="129" t="str">
        <f t="shared" ca="1" si="2"/>
        <v>220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6"/>
      <c r="BT18" s="104" t="s">
        <v>887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377" t="str">
        <f ca="1">IFERROR(VLOOKUP(A17,OFFSET($AG$2,,,COUNTIF($AG$2:$AG$50,"?*"),23),18,FALSE),"")</f>
        <v/>
      </c>
      <c r="B19" s="378"/>
      <c r="C19" s="378"/>
      <c r="D19" s="379" t="str">
        <f ca="1">IFERROR(VLOOKUP(A17,OFFSET($AG$2,,,COUNTIF($AG$2:$AG$50,"?*"),23),19,FALSE),"")</f>
        <v/>
      </c>
      <c r="E19" s="379"/>
      <c r="F19" s="380"/>
      <c r="H19" s="381" t="str">
        <f>H$8</f>
        <v>SPA</v>
      </c>
      <c r="I19" s="381"/>
      <c r="J19" s="381"/>
      <c r="K19" s="381"/>
      <c r="M19" s="377" t="str">
        <f ca="1">IFERROR(VLOOKUP(M17,OFFSET($AG$2,,,COUNTIF($AG$2:$AG$50,"?*"),23),18,FALSE),"")</f>
        <v/>
      </c>
      <c r="N19" s="378"/>
      <c r="O19" s="378"/>
      <c r="P19" s="379" t="str">
        <f ca="1">IFERROR(VLOOKUP(M17,OFFSET($AG$2,,,COUNTIF($AG$2:$AG$50,"?*"),23),19,FALSE),"")</f>
        <v/>
      </c>
      <c r="Q19" s="379"/>
      <c r="R19" s="380"/>
      <c r="S19" s="110" t="s">
        <v>626</v>
      </c>
      <c r="U19" s="102">
        <v>7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-10</v>
      </c>
      <c r="AC19" s="102" t="str">
        <f t="shared" ca="1" si="0"/>
        <v>NE</v>
      </c>
      <c r="AG19" s="121" t="s">
        <v>636</v>
      </c>
      <c r="AH19" s="122"/>
      <c r="AI19" s="123"/>
      <c r="AJ19" s="123"/>
      <c r="AK19" s="123"/>
      <c r="AL19" s="124">
        <f>IF(AG19&lt;&gt;"",AJ19+AK19,"")</f>
        <v>0</v>
      </c>
      <c r="AM19" s="123" t="s">
        <v>303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65" t="str">
        <f ca="1">IFERROR(IF(VLOOKUP(A17,OFFSET($AG$2,,,COUNTIF($AG$2:$AG$50,"?*"),23),13,FALSE)&lt;&gt;0,VLOOKUP(A17,OFFSET($AG$2,,,COUNTIF($AG$2:$AG$50,"?*"),23),13,FALSE),"?"),"")</f>
        <v/>
      </c>
      <c r="B20" s="366"/>
      <c r="C20" s="367"/>
      <c r="D20" s="368" t="str">
        <f ca="1">IFERROR(IF(VLOOKUP(A17,OFFSET($AG$2,,,COUNTIF($AG$2:$AG$50,"?*"),23),14,FALSE)&lt;&gt;0,VLOOKUP(A17,OFFSET($AG$2,,,COUNTIF($AG$2:$AG$50,"?*"),23),14,FALSE),"?"),"")</f>
        <v/>
      </c>
      <c r="E20" s="369"/>
      <c r="F20" s="7" t="str">
        <f ca="1">IFERROR(IF(VLOOKUP(A17,OFFSET($AG$2,,,COUNTIF($AG$2:$AG$50,"?*"),23),7,FALSE)&lt;&gt;0,VLOOKUP(A17,OFFSET($AG$2,,,COUNTIF($AG$2:$AG$50,"?*"),23),7,FALSE),"?"),"")</f>
        <v/>
      </c>
      <c r="H20" s="381"/>
      <c r="I20" s="381"/>
      <c r="J20" s="381"/>
      <c r="K20" s="381"/>
      <c r="M20" s="365" t="str">
        <f ca="1">IFERROR(IF(VLOOKUP(M17,OFFSET($AG$2,,,COUNTIF($AG$2:$AG$50,"?*"),23),13,FALSE)&lt;&gt;0,VLOOKUP(M17,OFFSET($AG$2,,,COUNTIF($AG$2:$AG$50,"?*"),23),13,FALSE),"?"),"")</f>
        <v/>
      </c>
      <c r="N20" s="366"/>
      <c r="O20" s="367"/>
      <c r="P20" s="368" t="str">
        <f ca="1">IFERROR(IF(VLOOKUP(M17,OFFSET($AG$2,,,COUNTIF($AG$2:$AG$50,"?*"),23),14,FALSE)&lt;&gt;0,VLOOKUP(M17,OFFSET($AG$2,,,COUNTIF($AG$2:$AG$50,"?*"),23),14,FALSE),"?"),"")</f>
        <v/>
      </c>
      <c r="Q20" s="36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629</v>
      </c>
      <c r="U20" s="102">
        <v>7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-6</v>
      </c>
      <c r="AC20" s="102" t="str">
        <f t="shared" ca="1" si="0"/>
        <v>ANO</v>
      </c>
      <c r="AG20" s="121" t="s">
        <v>623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649</v>
      </c>
      <c r="AT20" s="123"/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6 OZ, 1 (0+1), -5 ±</v>
      </c>
      <c r="AY20" s="129" t="str">
        <f t="shared" ca="1" si="2"/>
        <v>72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622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NE</v>
      </c>
      <c r="AG21" s="121" t="s">
        <v>637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651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627</v>
      </c>
      <c r="T22" s="102" t="s">
        <v>117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621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149</v>
      </c>
      <c r="AQ22" s="123">
        <v>191</v>
      </c>
      <c r="AR22" s="123">
        <v>87</v>
      </c>
      <c r="AS22" s="126" t="s">
        <v>652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7 OZ, 4 (2+2), +5 ±</v>
      </c>
      <c r="AY22" s="129" t="str">
        <f t="shared" ca="1" si="2"/>
        <v>151 OZ, 99 (45+54)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6" t="s">
        <v>38</v>
      </c>
      <c r="BT22" s="104" t="s">
        <v>1320</v>
      </c>
      <c r="BU22" s="103">
        <v>7</v>
      </c>
      <c r="BV22" s="104" t="str">
        <f t="shared" si="13"/>
        <v>Josef Juha</v>
      </c>
      <c r="BW22" s="102">
        <f t="shared" si="14"/>
        <v>7</v>
      </c>
    </row>
    <row r="23" spans="1:75" ht="15" customHeight="1" thickTop="1" thickBot="1" x14ac:dyDescent="0.25">
      <c r="A23" s="348"/>
      <c r="B23" s="349"/>
      <c r="C23" s="349"/>
      <c r="D23" s="34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82" t="s">
        <v>13</v>
      </c>
      <c r="I23" s="382"/>
      <c r="J23" s="382"/>
      <c r="K23" s="382"/>
      <c r="M23" s="348"/>
      <c r="N23" s="349"/>
      <c r="O23" s="349"/>
      <c r="P23" s="34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638</v>
      </c>
      <c r="AH23" s="122"/>
      <c r="AI23" s="123"/>
      <c r="AJ23" s="123"/>
      <c r="AK23" s="123"/>
      <c r="AL23" s="124">
        <f>IF(AG23&lt;&gt;"",AJ23+AK23,"")</f>
        <v>0</v>
      </c>
      <c r="AM23" s="123" t="s">
        <v>303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6"/>
      <c r="BT23" s="104" t="s">
        <v>1321</v>
      </c>
      <c r="BU23" s="103">
        <v>6</v>
      </c>
      <c r="BV23" s="104" t="str">
        <f t="shared" si="13"/>
        <v>Lukáš Ujhélyi</v>
      </c>
      <c r="BW23" s="102">
        <f t="shared" si="14"/>
        <v>6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1" t="str">
        <f ca="1">IFERROR(IF(VLOOKUP(A23,OFFSET($AG$2,,,COUNTIF($AG$2:$AG$50,"?*"),23),2,FALSE)&lt;&gt;0,YEAR(VLOOKUP(A23,OFFSET($AG$2,,,COUNTIF($AG$2:$AG$50,"?*"),23),2,FALSE)),""),"")</f>
        <v/>
      </c>
      <c r="C24" s="342"/>
      <c r="D24" s="117" t="str">
        <f ca="1">IFERROR(VLOOKUP(A23,OFFSET($AG$2,,,COUNTIF($AG$2:$AG$50,"?*"),23),15,FALSE),"")</f>
        <v/>
      </c>
      <c r="E24" s="343" t="str">
        <f ca="1">IFERROR(VLOOKUP(A23,OFFSET($AG$2,,,COUNTIF($AG$2:$AG$50,"?*"),23),16,FALSE),"")</f>
        <v/>
      </c>
      <c r="F24" s="344"/>
      <c r="M24" s="4" t="str">
        <f ca="1">IFERROR(IF(VLOOKUP(M23,OFFSET($AG$2,,,COUNTIF($AG$2:$AG$50,"?*"),23),10,FALSE)&lt;&gt;0,VLOOKUP(M23,OFFSET($AG$2,,,COUNTIF($AG$2:$AG$50,"?*"),23),10,FALSE),""),"")</f>
        <v/>
      </c>
      <c r="N24" s="341" t="str">
        <f ca="1">IFERROR(IF(VLOOKUP(M23,OFFSET($AG$2,,,COUNTIF($AG$2:$AG$50,"?*"),23),2,FALSE)&lt;&gt;0,YEAR(VLOOKUP(M23,OFFSET($AG$2,,,COUNTIF($AG$2:$AG$50,"?*"),23),2,FALSE)),""),"")</f>
        <v/>
      </c>
      <c r="O24" s="342"/>
      <c r="P24" s="117" t="str">
        <f ca="1">IFERROR(VLOOKUP(M23,OFFSET($AG$2,,,COUNTIF($AG$2:$AG$50,"?*"),23),15,FALSE),"")</f>
        <v/>
      </c>
      <c r="Q24" s="343" t="str">
        <f ca="1">IFERROR(VLOOKUP(M23,OFFSET($AG$2,,,COUNTIF($AG$2:$AG$50,"?*"),23),16,FALSE),"")</f>
        <v/>
      </c>
      <c r="R24" s="344"/>
      <c r="S24" s="111"/>
      <c r="AC24" s="102" t="str">
        <f t="shared" ca="1" si="0"/>
        <v/>
      </c>
      <c r="AG24" s="121" t="s">
        <v>639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653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6"/>
      <c r="BT24" s="104" t="s">
        <v>1020</v>
      </c>
      <c r="BU24" s="103">
        <v>6</v>
      </c>
      <c r="BV24" s="104" t="str">
        <f t="shared" si="13"/>
        <v>Marek Zouzal</v>
      </c>
      <c r="BW24" s="102">
        <f t="shared" si="14"/>
        <v>6</v>
      </c>
    </row>
    <row r="25" spans="1:75" ht="15" customHeight="1" thickTop="1" thickBot="1" x14ac:dyDescent="0.25">
      <c r="A25" s="377" t="str">
        <f ca="1">IFERROR(VLOOKUP(A23,OFFSET($AG$2,,,COUNTIF($AG$2:$AG$50,"?*"),23),18,FALSE),"")</f>
        <v/>
      </c>
      <c r="B25" s="378"/>
      <c r="C25" s="378"/>
      <c r="D25" s="379" t="str">
        <f ca="1">IFERROR(VLOOKUP(A23,OFFSET($AG$2,,,COUNTIF($AG$2:$AG$50,"?*"),23),19,FALSE),"")</f>
        <v/>
      </c>
      <c r="E25" s="379"/>
      <c r="F25" s="380"/>
      <c r="G25" s="348"/>
      <c r="H25" s="349"/>
      <c r="I25" s="349"/>
      <c r="J25" s="34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7" t="str">
        <f ca="1">IFERROR(VLOOKUP(M23,OFFSET($AG$2,,,COUNTIF($AG$2:$AG$50,"?*"),23),18,FALSE),"")</f>
        <v/>
      </c>
      <c r="N25" s="378"/>
      <c r="O25" s="378"/>
      <c r="P25" s="379" t="str">
        <f ca="1">IFERROR(VLOOKUP(M23,OFFSET($AG$2,,,COUNTIF($AG$2:$AG$50,"?*"),23),19,FALSE),"")</f>
        <v/>
      </c>
      <c r="Q25" s="379"/>
      <c r="R25" s="380"/>
      <c r="S25" s="111"/>
      <c r="AC25" s="102" t="str">
        <f t="shared" ca="1" si="0"/>
        <v/>
      </c>
      <c r="AG25" s="121" t="s">
        <v>640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149</v>
      </c>
      <c r="AQ25" s="123">
        <v>181</v>
      </c>
      <c r="AR25" s="123">
        <v>76</v>
      </c>
      <c r="AS25" s="126" t="s">
        <v>654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6"/>
      <c r="BT25" s="104" t="s">
        <v>667</v>
      </c>
      <c r="BU25" s="103">
        <v>5</v>
      </c>
      <c r="BV25" s="104" t="str">
        <f t="shared" si="13"/>
        <v>Jakub Kolstrunk</v>
      </c>
      <c r="BW25" s="102">
        <f t="shared" si="14"/>
        <v>5</v>
      </c>
    </row>
    <row r="26" spans="1:75" ht="15" customHeight="1" thickBot="1" x14ac:dyDescent="0.25">
      <c r="A26" s="365" t="str">
        <f ca="1">IFERROR(IF(VLOOKUP(A23,OFFSET($AG$2,,,COUNTIF($AG$2:$AG$50,"?*"),23),13,FALSE)&lt;&gt;0,VLOOKUP(A23,OFFSET($AG$2,,,COUNTIF($AG$2:$AG$50,"?*"),23),13,FALSE),"?"),"")</f>
        <v/>
      </c>
      <c r="B26" s="366"/>
      <c r="C26" s="367"/>
      <c r="D26" s="368" t="str">
        <f ca="1">IFERROR(IF(VLOOKUP(A23,OFFSET($AG$2,,,COUNTIF($AG$2:$AG$50,"?*"),23),14,FALSE)&lt;&gt;0,VLOOKUP(A23,OFFSET($AG$2,,,COUNTIF($AG$2:$AG$50,"?*"),23),14,FALSE),"?"),"")</f>
        <v/>
      </c>
      <c r="E26" s="36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1" t="str">
        <f ca="1">IFERROR(IF(VLOOKUP(G25,OFFSET($AG$2,,,COUNTIF($AG$2:$AG$50,"?*"),23),2,FALSE)&lt;&gt;0,YEAR(VLOOKUP(G25,OFFSET($AG$2,,,COUNTIF($AG$2:$AG$50,"?*"),23),2,FALSE)),""),"")</f>
        <v/>
      </c>
      <c r="I26" s="342"/>
      <c r="J26" s="117" t="str">
        <f ca="1">IFERROR(VLOOKUP(G25,OFFSET($AG$2,,,COUNTIF($AG$2:$AG$50,"?*"),23),15,FALSE),"")</f>
        <v/>
      </c>
      <c r="K26" s="343" t="str">
        <f ca="1">IFERROR(VLOOKUP(G25,OFFSET($AG$2,,,COUNTIF($AG$2:$AG$50,"?*"),23),16,FALSE),"")</f>
        <v/>
      </c>
      <c r="L26" s="344"/>
      <c r="M26" s="365" t="str">
        <f ca="1">IFERROR(IF(VLOOKUP(M23,OFFSET($AG$2,,,COUNTIF($AG$2:$AG$50,"?*"),23),13,FALSE)&lt;&gt;0,VLOOKUP(M23,OFFSET($AG$2,,,COUNTIF($AG$2:$AG$50,"?*"),23),13,FALSE),"?"),"")</f>
        <v/>
      </c>
      <c r="N26" s="366"/>
      <c r="O26" s="367"/>
      <c r="P26" s="368" t="str">
        <f ca="1">IFERROR(IF(VLOOKUP(M23,OFFSET($AG$2,,,COUNTIF($AG$2:$AG$50,"?*"),23),14,FALSE)&lt;&gt;0,VLOOKUP(M23,OFFSET($AG$2,,,COUNTIF($AG$2:$AG$50,"?*"),23),14,FALSE),"?"),"")</f>
        <v/>
      </c>
      <c r="Q26" s="369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641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149</v>
      </c>
      <c r="AQ26" s="123">
        <v>190</v>
      </c>
      <c r="AR26" s="123">
        <v>77</v>
      </c>
      <c r="AS26" s="126" t="s">
        <v>655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6"/>
      <c r="BT26" s="104" t="s">
        <v>1021</v>
      </c>
      <c r="BU26" s="103">
        <v>5</v>
      </c>
      <c r="BV26" s="104" t="str">
        <f t="shared" si="13"/>
        <v>Mikuláš Krbec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377" t="str">
        <f ca="1">IFERROR(VLOOKUP(G25,OFFSET($AG$2,,,COUNTIF($AG$2:$AG$50,"?*"),23),18,FALSE),"")</f>
        <v/>
      </c>
      <c r="H27" s="378"/>
      <c r="I27" s="378"/>
      <c r="J27" s="379" t="str">
        <f ca="1">IFERROR(VLOOKUP(G25,OFFSET($AG$2,,,COUNTIF($AG$2:$AG$50,"?*"),23),19,FALSE),"")</f>
        <v/>
      </c>
      <c r="K27" s="379"/>
      <c r="L27" s="380"/>
      <c r="S27" s="111"/>
      <c r="AC27" s="102" t="str">
        <f t="shared" ca="1" si="0"/>
        <v/>
      </c>
      <c r="AG27" s="121" t="s">
        <v>630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149</v>
      </c>
      <c r="AQ27" s="123">
        <v>192</v>
      </c>
      <c r="AR27" s="123">
        <v>86</v>
      </c>
      <c r="AS27" s="126" t="s">
        <v>429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7 OZ, 3 (2+1), +5 ±</v>
      </c>
      <c r="AY27" s="129" t="str">
        <f t="shared" ca="1" si="16"/>
        <v>133 OZ, 40 (19+21)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6" t="s">
        <v>39</v>
      </c>
      <c r="BT27" s="104" t="s">
        <v>1322</v>
      </c>
      <c r="BU27" s="103">
        <v>4</v>
      </c>
      <c r="BV27" s="104" t="str">
        <f t="shared" si="13"/>
        <v>Michal Zeman</v>
      </c>
      <c r="BW27" s="102">
        <f t="shared" si="14"/>
        <v>4</v>
      </c>
    </row>
    <row r="28" spans="1:75" ht="15" customHeight="1" thickTop="1" thickBot="1" x14ac:dyDescent="0.25">
      <c r="A28" s="348"/>
      <c r="B28" s="349"/>
      <c r="C28" s="349"/>
      <c r="D28" s="34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5" t="str">
        <f ca="1">IFERROR(IF(VLOOKUP(G25,OFFSET($AG$2,,,COUNTIF($AG$2:$AG$50,"?*"),23),13,FALSE)&lt;&gt;0,VLOOKUP(G25,OFFSET($AG$2,,,COUNTIF($AG$2:$AG$50,"?*"),23),13,FALSE),"?"),"")</f>
        <v/>
      </c>
      <c r="H28" s="366"/>
      <c r="I28" s="367"/>
      <c r="J28" s="368" t="str">
        <f ca="1">IFERROR(IF(VLOOKUP(G25,OFFSET($AG$2,,,COUNTIF($AG$2:$AG$50,"?*"),23),14,FALSE)&lt;&gt;0,VLOOKUP(G25,OFFSET($AG$2,,,COUNTIF($AG$2:$AG$50,"?*"),23),14,FALSE),"?"),"")</f>
        <v/>
      </c>
      <c r="K28" s="369"/>
      <c r="L28" s="7" t="str">
        <f ca="1">IFERROR(IF(VLOOKUP(G25,OFFSET($AG$2,,,COUNTIF($AG$2:$AG$50,"?*"),23),7,FALSE)&lt;&gt;0,VLOOKUP(G25,OFFSET($AG$2,,,COUNTIF($AG$2:$AG$50,"?*"),23),7,FALSE),"?"),"")</f>
        <v/>
      </c>
      <c r="M28" s="348"/>
      <c r="N28" s="349"/>
      <c r="O28" s="349"/>
      <c r="P28" s="34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642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656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6"/>
      <c r="BT28" s="104" t="s">
        <v>1019</v>
      </c>
      <c r="BU28" s="103">
        <v>4</v>
      </c>
      <c r="BV28" s="104" t="str">
        <f t="shared" si="13"/>
        <v>Mikuláš Krbec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1" t="str">
        <f ca="1">IFERROR(IF(VLOOKUP(A28,OFFSET($AG$2,,,COUNTIF($AG$2:$AG$50,"?*"),23),2,FALSE)&lt;&gt;0,YEAR(VLOOKUP(A28,OFFSET($AG$2,,,COUNTIF($AG$2:$AG$50,"?*"),23),2,FALSE)),""),"")</f>
        <v/>
      </c>
      <c r="C29" s="342"/>
      <c r="D29" s="117" t="str">
        <f ca="1">IFERROR(VLOOKUP(A28,OFFSET($AG$2,,,COUNTIF($AG$2:$AG$50,"?*"),23),15,FALSE),"")</f>
        <v/>
      </c>
      <c r="E29" s="343" t="str">
        <f ca="1">IFERROR(VLOOKUP(A28,OFFSET($AG$2,,,COUNTIF($AG$2:$AG$50,"?*"),23),16,FALSE),"")</f>
        <v/>
      </c>
      <c r="F29" s="344"/>
      <c r="M29" s="4" t="str">
        <f ca="1">IFERROR(IF(VLOOKUP(M28,OFFSET($AG$2,,,COUNTIF($AG$2:$AG$50,"?*"),23),10,FALSE)&lt;&gt;0,VLOOKUP(M28,OFFSET($AG$2,,,COUNTIF($AG$2:$AG$50,"?*"),23),10,FALSE),""),"")</f>
        <v/>
      </c>
      <c r="N29" s="341" t="str">
        <f ca="1">IFERROR(IF(VLOOKUP(M28,OFFSET($AG$2,,,COUNTIF($AG$2:$AG$50,"?*"),23),2,FALSE)&lt;&gt;0,YEAR(VLOOKUP(M28,OFFSET($AG$2,,,COUNTIF($AG$2:$AG$50,"?*"),23),2,FALSE)),""),"")</f>
        <v/>
      </c>
      <c r="O29" s="342"/>
      <c r="P29" s="117" t="str">
        <f ca="1">IFERROR(VLOOKUP(M28,OFFSET($AG$2,,,COUNTIF($AG$2:$AG$50,"?*"),23),15,FALSE),"")</f>
        <v/>
      </c>
      <c r="Q29" s="343" t="str">
        <f ca="1">IFERROR(VLOOKUP(M28,OFFSET($AG$2,,,COUNTIF($AG$2:$AG$50,"?*"),23),16,FALSE),"")</f>
        <v/>
      </c>
      <c r="R29" s="344"/>
      <c r="S29" s="111"/>
      <c r="AC29" s="102" t="str">
        <f t="shared" ca="1" si="0"/>
        <v/>
      </c>
      <c r="AG29" s="121" t="s">
        <v>615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149</v>
      </c>
      <c r="AQ29" s="123">
        <v>173</v>
      </c>
      <c r="AR29" s="123">
        <v>64</v>
      </c>
      <c r="AS29" s="126" t="s">
        <v>245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7 OZ, 9 (3+6), +11 ±</v>
      </c>
      <c r="AY29" s="129" t="str">
        <f t="shared" ca="1" si="16"/>
        <v>146 OZ, 145 (66+79)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6"/>
      <c r="BT29" s="104" t="s">
        <v>1323</v>
      </c>
      <c r="BU29" s="103">
        <v>2</v>
      </c>
      <c r="BV29" s="104" t="str">
        <f t="shared" si="13"/>
        <v>Adam Kuchynka</v>
      </c>
      <c r="BW29" s="102">
        <f t="shared" si="14"/>
        <v>2</v>
      </c>
    </row>
    <row r="30" spans="1:75" ht="15" customHeight="1" x14ac:dyDescent="0.2">
      <c r="A30" s="377" t="str">
        <f ca="1">IFERROR(VLOOKUP(A28,OFFSET($AG$2,,,COUNTIF($AG$2:$AG$50,"?*"),23),18,FALSE),"")</f>
        <v/>
      </c>
      <c r="B30" s="378"/>
      <c r="C30" s="378"/>
      <c r="D30" s="379" t="str">
        <f ca="1">IFERROR(VLOOKUP(A28,OFFSET($AG$2,,,COUNTIF($AG$2:$AG$50,"?*"),23),19,FALSE),"")</f>
        <v/>
      </c>
      <c r="E30" s="379"/>
      <c r="F30" s="380"/>
      <c r="H30" s="381" t="str">
        <f>H$8</f>
        <v>SPA</v>
      </c>
      <c r="I30" s="381"/>
      <c r="J30" s="381"/>
      <c r="K30" s="381"/>
      <c r="M30" s="377" t="str">
        <f ca="1">IFERROR(VLOOKUP(M28,OFFSET($AG$2,,,COUNTIF($AG$2:$AG$50,"?*"),23),18,FALSE),"")</f>
        <v/>
      </c>
      <c r="N30" s="378"/>
      <c r="O30" s="378"/>
      <c r="P30" s="379" t="str">
        <f ca="1">IFERROR(VLOOKUP(M28,OFFSET($AG$2,,,COUNTIF($AG$2:$AG$50,"?*"),23),19,FALSE),"")</f>
        <v/>
      </c>
      <c r="Q30" s="379"/>
      <c r="R30" s="38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36"/>
      <c r="BT30" s="104" t="s">
        <v>1324</v>
      </c>
      <c r="BU30" s="103">
        <v>2</v>
      </c>
      <c r="BV30" s="104" t="str">
        <f t="shared" si="13"/>
        <v>Dominik Bartoš</v>
      </c>
      <c r="BW30" s="102">
        <f t="shared" si="14"/>
        <v>2</v>
      </c>
    </row>
    <row r="31" spans="1:75" ht="15" customHeight="1" thickBot="1" x14ac:dyDescent="0.25">
      <c r="A31" s="365" t="str">
        <f ca="1">IFERROR(IF(VLOOKUP(A28,OFFSET($AG$2,,,COUNTIF($AG$2:$AG$50,"?*"),23),13,FALSE)&lt;&gt;0,VLOOKUP(A28,OFFSET($AG$2,,,COUNTIF($AG$2:$AG$50,"?*"),23),13,FALSE),"?"),"")</f>
        <v/>
      </c>
      <c r="B31" s="366"/>
      <c r="C31" s="367"/>
      <c r="D31" s="368" t="str">
        <f ca="1">IFERROR(IF(VLOOKUP(A28,OFFSET($AG$2,,,COUNTIF($AG$2:$AG$50,"?*"),23),14,FALSE)&lt;&gt;0,VLOOKUP(A28,OFFSET($AG$2,,,COUNTIF($AG$2:$AG$50,"?*"),23),14,FALSE),"?"),"")</f>
        <v/>
      </c>
      <c r="E31" s="369"/>
      <c r="F31" s="7" t="str">
        <f ca="1">IFERROR(IF(VLOOKUP(A28,OFFSET($AG$2,,,COUNTIF($AG$2:$AG$50,"?*"),23),7,FALSE)&lt;&gt;0,VLOOKUP(A28,OFFSET($AG$2,,,COUNTIF($AG$2:$AG$50,"?*"),23),7,FALSE),"?"),"")</f>
        <v/>
      </c>
      <c r="H31" s="381"/>
      <c r="I31" s="381"/>
      <c r="J31" s="381"/>
      <c r="K31" s="381"/>
      <c r="M31" s="365" t="str">
        <f ca="1">IFERROR(IF(VLOOKUP(M28,OFFSET($AG$2,,,COUNTIF($AG$2:$AG$50,"?*"),23),13,FALSE)&lt;&gt;0,VLOOKUP(M28,OFFSET($AG$2,,,COUNTIF($AG$2:$AG$50,"?*"),23),13,FALSE),"?"),"")</f>
        <v/>
      </c>
      <c r="N31" s="366"/>
      <c r="O31" s="367"/>
      <c r="P31" s="368" t="str">
        <f ca="1">IFERROR(IF(VLOOKUP(M28,OFFSET($AG$2,,,COUNTIF($AG$2:$AG$50,"?*"),23),14,FALSE)&lt;&gt;0,VLOOKUP(M28,OFFSET($AG$2,,,COUNTIF($AG$2:$AG$50,"?*"),23),14,FALSE),"?"),"")</f>
        <v/>
      </c>
      <c r="Q31" s="36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6"/>
      <c r="BT31" s="104" t="s">
        <v>1319</v>
      </c>
      <c r="BU31" s="103">
        <v>2</v>
      </c>
      <c r="BV31" s="104" t="str">
        <f t="shared" si="13"/>
        <v>Jakub Kolstrunk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8"/>
      <c r="B34" s="349"/>
      <c r="C34" s="349"/>
      <c r="D34" s="34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6" t="s">
        <v>16</v>
      </c>
      <c r="J34" s="348"/>
      <c r="K34" s="349"/>
      <c r="L34" s="349"/>
      <c r="M34" s="349"/>
      <c r="N34" s="349"/>
      <c r="O34" s="349"/>
      <c r="P34" s="34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1" t="str">
        <f ca="1">IFERROR(IF(VLOOKUP(A34,OFFSET($AG$2,,,COUNTIF($AG$2:$AG$50,"?*"),23),2,FALSE)&lt;&gt;0,YEAR(VLOOKUP(A34,OFFSET($AG$2,,,COUNTIF($AG$2:$AG$50,"?*"),23),2,FALSE)),""),"")</f>
        <v/>
      </c>
      <c r="C35" s="342"/>
      <c r="D35" s="117" t="str">
        <f ca="1">IFERROR(VLOOKUP(A34,OFFSET($AG$2,,,COUNTIF($AG$2:$AG$50,"?*"),23),15,FALSE),"")</f>
        <v/>
      </c>
      <c r="E35" s="343" t="str">
        <f ca="1">IFERROR(VLOOKUP(A34,OFFSET($AG$2,,,COUNTIF($AG$2:$AG$50,"?*"),23),16,FALSE),"")</f>
        <v/>
      </c>
      <c r="F35" s="344"/>
      <c r="H35" s="376"/>
      <c r="J35" s="4" t="str">
        <f ca="1">IFERROR(IF(VLOOKUP(J34,OFFSET($AG$2,,,COUNTIF($AG$2:$AG$50,"?*"),23),10,FALSE)&lt;&gt;0,VLOOKUP(J34,OFFSET($AG$2,,,COUNTIF($AG$2:$AG$50,"?*"),23),10,FALSE),""),"")</f>
        <v/>
      </c>
      <c r="K35" s="342" t="str">
        <f ca="1">IFERROR(IF(VLOOKUP(J34,OFFSET($AG$2,,,COUNTIF($AG$2:$AG$50,"?*"),23),2,FALSE)&lt;&gt;0,YEAR(VLOOKUP(J34,OFFSET($AG$2,,,COUNTIF($AG$2:$AG$50,"?*"),23),2,FALSE)),""),"")</f>
        <v/>
      </c>
      <c r="L35" s="350"/>
      <c r="M35" s="118" t="str">
        <f ca="1">IFERROR(VLOOKUP(J34,OFFSET($AG$2,,,COUNTIF($AG$2:$AG$50,"?*"),23),15,FALSE),"")</f>
        <v/>
      </c>
      <c r="N35" s="350" t="str">
        <f ca="1">IFERROR(VLOOKUP(J34,OFFSET($AG$2,,,COUNTIF($AG$2:$AG$50,"?*"),23),16,FALSE),"")</f>
        <v/>
      </c>
      <c r="O35" s="350"/>
      <c r="P35" s="350" t="str">
        <f ca="1">IFERROR(VLOOKUP(J34,OFFSET($AG$2,,,COUNTIF($AG$2:$AG$50,"?*"),23),18,FALSE),"")</f>
        <v/>
      </c>
      <c r="Q35" s="350"/>
      <c r="R35" s="35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5" t="str">
        <f ca="1">IFERROR(VLOOKUP(A34,OFFSET($AG$2,,,COUNTIF($AG$2:$AG$50,"?*"),23),18,FALSE),"")</f>
        <v/>
      </c>
      <c r="C36" s="345"/>
      <c r="D36" s="346" t="str">
        <f ca="1">IFERROR(VLOOKUP(A34,OFFSET($S$45,,,COUNTIF($S$45:$S$50,"?*"),14),5,FALSE),"")</f>
        <v/>
      </c>
      <c r="E36" s="347"/>
      <c r="F36" s="17" t="str">
        <f ca="1">IFERROR(VLOOKUP(A34,OFFSET($S$45,,,COUNTIF($S$45:$S$50,"?*"),14),14,FALSE),"")</f>
        <v/>
      </c>
      <c r="H36" s="376"/>
      <c r="J36" s="18" t="str">
        <f ca="1">IFERROR(IF(VLOOKUP(J34,OFFSET($AG$2,,,COUNTIF($AG$2:$AG$50,"?*"),23),7,FALSE)&lt;&gt;0,VLOOKUP(J34,OFFSET($AG$2,,,COUNTIF($AG$2:$AG$50,"?*"),23),7,FALSE),"?"),"")</f>
        <v/>
      </c>
      <c r="K36" s="352" t="str">
        <f ca="1">IFERROR(VLOOKUP(J34,OFFSET($AG$2,,,COUNTIF($AG$2:$AG$50,"?*"),23),19,FALSE),"")</f>
        <v/>
      </c>
      <c r="L36" s="352"/>
      <c r="M36" s="352"/>
      <c r="N36" s="353" t="str">
        <f ca="1">IFERROR(IF(VLOOKUP(J34,OFFSET($AG$2,,,COUNTIF($AG$2:$AG$50,"?*"),23),13,FALSE)&lt;&gt;0,VLOOKUP(J34,OFFSET($AG$2,,,COUNTIF($AG$2:$AG$50,"?*"),23),13,FALSE),"?"),"")</f>
        <v/>
      </c>
      <c r="O36" s="353"/>
      <c r="P36" s="353"/>
      <c r="Q36" s="352" t="str">
        <f ca="1">IFERROR(IF(VLOOKUP(J34,OFFSET($AG$2,,,COUNTIF($AG$2:$AG$50,"?*"),23),14,FALSE)&lt;&gt;0,VLOOKUP(J34,OFFSET($AG$2,,,COUNTIF($AG$2:$AG$50,"?*"),23),14,FALSE),"?"),"")</f>
        <v/>
      </c>
      <c r="R36" s="35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0" t="str">
        <f ca="1">IFERROR(VLOOKUP(A34,OFFSET($S$45,,,COUNTIF($S$45:$S$50,"?*"),14),3,FALSE),"")</f>
        <v/>
      </c>
      <c r="B37" s="371"/>
      <c r="C37" s="372" t="str">
        <f ca="1">IFERROR(VLOOKUP(A34,OFFSET($S$45,,,COUNTIF($S$45:$S$50,"?*"),14),13,FALSE),"")</f>
        <v/>
      </c>
      <c r="D37" s="373"/>
      <c r="E37" s="374" t="str">
        <f ca="1">IFERROR(VLOOKUP(A34,OFFSET($AG$2,,,COUNTIF($AG$2:$AG$50,"?*"),23),19,FALSE),"")</f>
        <v/>
      </c>
      <c r="F37" s="375"/>
      <c r="H37" s="37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5" t="str">
        <f ca="1">IFERROR(IF(VLOOKUP(A34,OFFSET($AG$2,,,COUNTIF($AG$2:$AG$50,"?*"),23),13,FALSE)&lt;&gt;0,VLOOKUP(A34,OFFSET($AG$2,,,COUNTIF($AG$2:$AG$50,"?*"),23),13,FALSE),"?"),"")</f>
        <v/>
      </c>
      <c r="B38" s="366"/>
      <c r="C38" s="367"/>
      <c r="D38" s="368" t="str">
        <f ca="1">IFERROR(IF(VLOOKUP(A34,OFFSET($AG$2,,,COUNTIF($AG$2:$AG$50,"?*"),23),14,FALSE)&lt;&gt;0,VLOOKUP(A34,OFFSET($AG$2,,,COUNTIF($AG$2:$AG$50,"?*"),23),14,FALSE),"?"),"")</f>
        <v/>
      </c>
      <c r="E38" s="369"/>
      <c r="F38" s="19" t="str">
        <f ca="1">IFERROR(VLOOKUP(A34,OFFSET($S$45,,,COUNTIF($S$45:$S$50,"?*"),14),6,FALSE),"")</f>
        <v/>
      </c>
      <c r="H38" s="376"/>
      <c r="J38" s="348"/>
      <c r="K38" s="349"/>
      <c r="L38" s="349"/>
      <c r="M38" s="349"/>
      <c r="N38" s="349"/>
      <c r="O38" s="349"/>
      <c r="P38" s="34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6"/>
      <c r="J39" s="4" t="str">
        <f ca="1">IFERROR(IF(VLOOKUP(J38,OFFSET($AG$2,,,COUNTIF($AG$2:$AG$50,"?*"),23),10,FALSE)&lt;&gt;0,VLOOKUP(J38,OFFSET($AG$2,,,COUNTIF($AG$2:$AG$50,"?*"),23),10,FALSE),""),"")</f>
        <v/>
      </c>
      <c r="K39" s="342" t="str">
        <f ca="1">IFERROR(IF(VLOOKUP(J38,OFFSET($AG$2,,,COUNTIF($AG$2:$AG$50,"?*"),23),2,FALSE)&lt;&gt;0,YEAR(VLOOKUP(J38,OFFSET($AG$2,,,COUNTIF($AG$2:$AG$50,"?*"),23),2,FALSE)),""),"")</f>
        <v/>
      </c>
      <c r="L39" s="350"/>
      <c r="M39" s="151" t="str">
        <f ca="1">IFERROR(VLOOKUP(J38,OFFSET($AG$2,,,COUNTIF($AG$2:$AG$50,"?*"),23),15,FALSE),"")</f>
        <v/>
      </c>
      <c r="N39" s="350" t="str">
        <f ca="1">IFERROR(VLOOKUP(J38,OFFSET($AG$2,,,COUNTIF($AG$2:$AG$50,"?*"),23),16,FALSE),"")</f>
        <v/>
      </c>
      <c r="O39" s="350"/>
      <c r="P39" s="350" t="str">
        <f ca="1">IFERROR(VLOOKUP(J38,OFFSET($AG$2,,,COUNTIF($AG$2:$AG$50,"?*"),23),18,FALSE),"")</f>
        <v/>
      </c>
      <c r="Q39" s="350"/>
      <c r="R39" s="35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8"/>
      <c r="B40" s="349"/>
      <c r="C40" s="349"/>
      <c r="D40" s="34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6"/>
      <c r="J40" s="18" t="str">
        <f ca="1">IFERROR(IF(VLOOKUP(J38,OFFSET($AG$2,,,COUNTIF($AG$2:$AG$50,"?*"),23),7,FALSE)&lt;&gt;0,VLOOKUP(J38,OFFSET($AG$2,,,COUNTIF($AG$2:$AG$50,"?*"),23),7,FALSE),"?"),"")</f>
        <v/>
      </c>
      <c r="K40" s="352" t="str">
        <f ca="1">IFERROR(VLOOKUP(J38,OFFSET($AG$2,,,COUNTIF($AG$2:$AG$50,"?*"),23),19,FALSE),"")</f>
        <v/>
      </c>
      <c r="L40" s="352"/>
      <c r="M40" s="352"/>
      <c r="N40" s="353" t="str">
        <f ca="1">IFERROR(IF(VLOOKUP(J38,OFFSET($AG$2,,,COUNTIF($AG$2:$AG$50,"?*"),23),13,FALSE)&lt;&gt;0,VLOOKUP(J38,OFFSET($AG$2,,,COUNTIF($AG$2:$AG$50,"?*"),23),13,FALSE),"?"),"")</f>
        <v/>
      </c>
      <c r="O40" s="353"/>
      <c r="P40" s="353"/>
      <c r="Q40" s="352" t="str">
        <f ca="1">IFERROR(IF(VLOOKUP(J38,OFFSET($AG$2,,,COUNTIF($AG$2:$AG$50,"?*"),23),14,FALSE)&lt;&gt;0,VLOOKUP(J38,OFFSET($AG$2,,,COUNTIF($AG$2:$AG$50,"?*"),23),14,FALSE),"?"),"")</f>
        <v/>
      </c>
      <c r="R40" s="35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1" t="str">
        <f ca="1">IFERROR(IF(VLOOKUP(A40,OFFSET($AG$2,,,COUNTIF($AG$2:$AG$50,"?*"),23),2,FALSE)&lt;&gt;0,YEAR(VLOOKUP(A40,OFFSET($AG$2,,,COUNTIF($AG$2:$AG$50,"?*"),23),2,FALSE)),""),"")</f>
        <v/>
      </c>
      <c r="C41" s="342"/>
      <c r="D41" s="117" t="str">
        <f ca="1">IFERROR(VLOOKUP(A40,OFFSET($AG$2,,,COUNTIF($AG$2:$AG$50,"?*"),23),15,FALSE),"")</f>
        <v/>
      </c>
      <c r="E41" s="343" t="str">
        <f ca="1">IFERROR(VLOOKUP(A40,OFFSET($AG$2,,,COUNTIF($AG$2:$AG$50,"?*"),23),16,FALSE),"")</f>
        <v/>
      </c>
      <c r="F41" s="344"/>
      <c r="H41" s="37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5" t="str">
        <f ca="1">IFERROR(VLOOKUP(A40,OFFSET($AG$2,,,COUNTIF($AG$2:$AG$50,"?*"),23),18,FALSE),"")</f>
        <v/>
      </c>
      <c r="C42" s="345"/>
      <c r="D42" s="346" t="str">
        <f ca="1">IFERROR(VLOOKUP(A40,OFFSET($S$45,,,COUNTIF($S$45:$S$50,"?*"),14),5,FALSE),"")</f>
        <v/>
      </c>
      <c r="E42" s="347"/>
      <c r="F42" s="17" t="str">
        <f ca="1">IFERROR(VLOOKUP(A40,OFFSET($S$45,,,COUNTIF($S$45:$S$50,"?*"),14),14,FALSE),"")</f>
        <v/>
      </c>
      <c r="H42" s="376"/>
      <c r="J42" s="348"/>
      <c r="K42" s="349"/>
      <c r="L42" s="349"/>
      <c r="M42" s="349"/>
      <c r="N42" s="349"/>
      <c r="O42" s="349"/>
      <c r="P42" s="34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0" t="str">
        <f ca="1">IFERROR(VLOOKUP(A40,OFFSET($S$45,,,COUNTIF($S$45:$S$50,"?*"),14),3,FALSE),"")</f>
        <v/>
      </c>
      <c r="B43" s="371"/>
      <c r="C43" s="372" t="str">
        <f ca="1">IFERROR(VLOOKUP(A40,OFFSET($S$45,,,COUNTIF($S$45:$S$50,"?*"),14),13,FALSE),"")</f>
        <v/>
      </c>
      <c r="D43" s="373"/>
      <c r="E43" s="374" t="str">
        <f ca="1">IFERROR(VLOOKUP(A40,OFFSET($AG$2,,,COUNTIF($AG$2:$AG$50,"?*"),23),19,FALSE),"")</f>
        <v/>
      </c>
      <c r="F43" s="375"/>
      <c r="H43" s="376"/>
      <c r="J43" s="4" t="str">
        <f ca="1">IFERROR(IF(VLOOKUP(J42,OFFSET($AG$2,,,COUNTIF($AG$2:$AG$50,"?*"),23),10,FALSE)&lt;&gt;0,VLOOKUP(J42,OFFSET($AG$2,,,COUNTIF($AG$2:$AG$50,"?*"),23),10,FALSE),""),"")</f>
        <v/>
      </c>
      <c r="K43" s="342" t="str">
        <f ca="1">IFERROR(IF(VLOOKUP(J42,OFFSET($AG$2,,,COUNTIF($AG$2:$AG$50,"?*"),23),2,FALSE)&lt;&gt;0,YEAR(VLOOKUP(J42,OFFSET($AG$2,,,COUNTIF($AG$2:$AG$50,"?*"),23),2,FALSE)),""),"")</f>
        <v/>
      </c>
      <c r="L43" s="350"/>
      <c r="M43" s="151" t="str">
        <f ca="1">IFERROR(VLOOKUP(J42,OFFSET($AG$2,,,COUNTIF($AG$2:$AG$50,"?*"),23),15,FALSE),"")</f>
        <v/>
      </c>
      <c r="N43" s="350" t="str">
        <f ca="1">IFERROR(VLOOKUP(J42,OFFSET($AG$2,,,COUNTIF($AG$2:$AG$50,"?*"),23),16,FALSE),"")</f>
        <v/>
      </c>
      <c r="O43" s="350"/>
      <c r="P43" s="350" t="str">
        <f ca="1">IFERROR(VLOOKUP(J42,OFFSET($AG$2,,,COUNTIF($AG$2:$AG$50,"?*"),23),18,FALSE),"")</f>
        <v/>
      </c>
      <c r="Q43" s="350"/>
      <c r="R43" s="351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5" t="str">
        <f ca="1">IFERROR(IF(VLOOKUP(A40,OFFSET($AG$2,,,COUNTIF($AG$2:$AG$50,"?*"),23),13,FALSE)&lt;&gt;0,VLOOKUP(A40,OFFSET($AG$2,,,COUNTIF($AG$2:$AG$50,"?*"),23),13,FALSE),"?"),"")</f>
        <v/>
      </c>
      <c r="B44" s="366"/>
      <c r="C44" s="367"/>
      <c r="D44" s="368" t="str">
        <f ca="1">IFERROR(IF(VLOOKUP(A40,OFFSET($AG$2,,,COUNTIF($AG$2:$AG$50,"?*"),23),14,FALSE)&lt;&gt;0,VLOOKUP(A40,OFFSET($AG$2,,,COUNTIF($AG$2:$AG$50,"?*"),23),14,FALSE),"?"),"")</f>
        <v/>
      </c>
      <c r="E44" s="369"/>
      <c r="F44" s="19" t="str">
        <f ca="1">IFERROR(VLOOKUP(A40,OFFSET($S$45,,,COUNTIF($S$45:$S$50,"?*"),14),6,FALSE),"")</f>
        <v/>
      </c>
      <c r="H44" s="376"/>
      <c r="J44" s="18" t="str">
        <f ca="1">IFERROR(IF(VLOOKUP(J42,OFFSET($AG$2,,,COUNTIF($AG$2:$AG$50,"?*"),23),7,FALSE)&lt;&gt;0,VLOOKUP(J42,OFFSET($AG$2,,,COUNTIF($AG$2:$AG$50,"?*"),23),7,FALSE),"?"),"")</f>
        <v/>
      </c>
      <c r="K44" s="352" t="str">
        <f ca="1">IFERROR(VLOOKUP(J42,OFFSET($AG$2,,,COUNTIF($AG$2:$AG$50,"?*"),23),19,FALSE),"")</f>
        <v/>
      </c>
      <c r="L44" s="352"/>
      <c r="M44" s="352"/>
      <c r="N44" s="353" t="str">
        <f ca="1">IFERROR(IF(VLOOKUP(J42,OFFSET($AG$2,,,COUNTIF($AG$2:$AG$50,"?*"),23),13,FALSE)&lt;&gt;0,VLOOKUP(J42,OFFSET($AG$2,,,COUNTIF($AG$2:$AG$50,"?*"),23),13,FALSE),"?"),"")</f>
        <v/>
      </c>
      <c r="O44" s="353"/>
      <c r="P44" s="353"/>
      <c r="Q44" s="352" t="str">
        <f ca="1">IFERROR(IF(VLOOKUP(J42,OFFSET($AG$2,,,COUNTIF($AG$2:$AG$50,"?*"),23),14,FALSE)&lt;&gt;0,VLOOKUP(J42,OFFSET($AG$2,,,COUNTIF($AG$2:$AG$50,"?*"),23),14,FALSE),"?"),"")</f>
        <v/>
      </c>
      <c r="R44" s="354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627</v>
      </c>
      <c r="T45" s="102">
        <v>6</v>
      </c>
      <c r="U45" s="112">
        <v>355.68</v>
      </c>
      <c r="V45" s="102">
        <v>3</v>
      </c>
      <c r="W45" s="102">
        <v>34</v>
      </c>
      <c r="X45" s="102">
        <v>0</v>
      </c>
      <c r="Y45" s="102">
        <v>139</v>
      </c>
      <c r="Z45" s="102">
        <v>0</v>
      </c>
      <c r="AA45" s="102">
        <v>3</v>
      </c>
      <c r="AB45" s="102">
        <v>105</v>
      </c>
      <c r="AC45" s="102">
        <v>0</v>
      </c>
      <c r="AD45" s="102">
        <v>0</v>
      </c>
      <c r="AE45" s="112">
        <f>IF(S45&lt;&gt;"",IF(T45&gt;0,W45/(U45/60),0),"")</f>
        <v>5.7354925775978405</v>
      </c>
      <c r="AF45" s="112">
        <f>IF(S45&lt;&gt;"",IF(Y45&gt;0,(AB45/Y45)*100,"-"),"")</f>
        <v>75.539568345323744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622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7"/>
      <c r="B47" s="338"/>
      <c r="C47" s="338"/>
      <c r="D47" s="338"/>
      <c r="E47" s="339" t="str">
        <f ca="1">IFERROR(VLOOKUP(A47,OFFSET($BN$2,,,COUNTIF($BN$2:$BN$11,"?*"),5),3,FALSE),"")</f>
        <v/>
      </c>
      <c r="F47" s="339"/>
      <c r="G47" s="339"/>
      <c r="H47" s="339"/>
      <c r="I47" s="340"/>
      <c r="J47" s="337"/>
      <c r="K47" s="338"/>
      <c r="L47" s="338"/>
      <c r="M47" s="338"/>
      <c r="N47" s="339" t="str">
        <f ca="1">IFERROR(VLOOKUP(J47,OFFSET($BN$2,,,COUNTIF($BN$2:$BN$11,"?*"),5),3,FALSE),"")</f>
        <v/>
      </c>
      <c r="O47" s="339"/>
      <c r="P47" s="339"/>
      <c r="Q47" s="339"/>
      <c r="R47" s="340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5" t="str">
        <f ca="1">IFERROR(VLOOKUP(A47,OFFSET($BN$2,,,COUNTIF($BN$2:$BN$11,"?*"),5),5,FALSE),"")</f>
        <v/>
      </c>
      <c r="B48" s="357" t="str">
        <f ca="1">IFERROR(IF(VLOOKUP(A47,OFFSET($BN$2,,,COUNTIF($BN$2:$BN$11,"?*"),5),4,FALSE)&lt;&gt;0,VLOOKUP(A47,OFFSET($BN$2,,,COUNTIF($BN$2:$BN$11,"?*"),5),4,FALSE),"-"),"")</f>
        <v/>
      </c>
      <c r="C48" s="357"/>
      <c r="D48" s="357"/>
      <c r="E48" s="357"/>
      <c r="F48" s="357"/>
      <c r="G48" s="357"/>
      <c r="H48" s="357"/>
      <c r="I48" s="358"/>
      <c r="J48" s="119" t="str">
        <f ca="1">IFERROR(VLOOKUP(J47,OFFSET($BN$2,,,COUNTIF($BN$2:$BN$11,"?*"),5),5,FALSE),"")</f>
        <v/>
      </c>
      <c r="K48" s="361" t="str">
        <f ca="1">IFERROR(IF(VLOOKUP(J47,OFFSET($BN$2,,,COUNTIF($BN$2:$BN$11,"?*"),5),4,FALSE)&lt;&gt;0,VLOOKUP(J47,OFFSET($BN$2,,,COUNTIF($BN$2:$BN$11,"?*"),5),4,FALSE),"-"),"")</f>
        <v/>
      </c>
      <c r="L48" s="361"/>
      <c r="M48" s="361"/>
      <c r="N48" s="361"/>
      <c r="O48" s="361"/>
      <c r="P48" s="361"/>
      <c r="Q48" s="361"/>
      <c r="R48" s="362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5"/>
      <c r="B49" s="357"/>
      <c r="C49" s="357"/>
      <c r="D49" s="357"/>
      <c r="E49" s="357"/>
      <c r="F49" s="357"/>
      <c r="G49" s="357"/>
      <c r="H49" s="357"/>
      <c r="I49" s="358"/>
      <c r="J49" s="363"/>
      <c r="K49" s="364"/>
      <c r="L49" s="364"/>
      <c r="M49" s="364"/>
      <c r="N49" s="339" t="str">
        <f ca="1">IFERROR(VLOOKUP(J49,OFFSET($BN$2,,,COUNTIF($BN$2:$BN$11,"?*"),5),3,FALSE),"")</f>
        <v/>
      </c>
      <c r="O49" s="339"/>
      <c r="P49" s="339"/>
      <c r="Q49" s="339"/>
      <c r="R49" s="340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6"/>
      <c r="B50" s="359"/>
      <c r="C50" s="359"/>
      <c r="D50" s="359"/>
      <c r="E50" s="359"/>
      <c r="F50" s="359"/>
      <c r="G50" s="359"/>
      <c r="H50" s="359"/>
      <c r="I50" s="360"/>
      <c r="J50" s="119" t="str">
        <f ca="1">IFERROR(VLOOKUP(J49,OFFSET($BN$2,,,COUNTIF($BN$2:$BN$11,"?*"),5),5,FALSE),"")</f>
        <v/>
      </c>
      <c r="K50" s="361" t="str">
        <f ca="1">IFERROR(IF(VLOOKUP(J49,OFFSET($BN$2,,,COUNTIF($BN$2:$BN$11,"?*"),5),4,FALSE)&lt;&gt;0,VLOOKUP(J49,OFFSET($BN$2,,,COUNTIF($BN$2:$BN$11,"?*"),5),4,FALSE),"-"),"")</f>
        <v/>
      </c>
      <c r="L50" s="361"/>
      <c r="M50" s="361"/>
      <c r="N50" s="361"/>
      <c r="O50" s="361"/>
      <c r="P50" s="361"/>
      <c r="Q50" s="361"/>
      <c r="R50" s="362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8"/>
      <c r="B1" s="349"/>
      <c r="C1" s="349"/>
      <c r="D1" s="34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82" t="s">
        <v>1</v>
      </c>
      <c r="I1" s="382"/>
      <c r="J1" s="382"/>
      <c r="K1" s="382"/>
      <c r="M1" s="348"/>
      <c r="N1" s="349"/>
      <c r="O1" s="349"/>
      <c r="P1" s="34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1" t="str">
        <f ca="1">IFERROR(IF(VLOOKUP(A1,OFFSET($AG$2,,,COUNTIF($AG$2:$AG$50,"?*"),23),2,FALSE)&lt;&gt;0,YEAR(VLOOKUP(A1,OFFSET($AG$2,,,COUNTIF($AG$2:$AG$50,"?*"),23),2,FALSE)),""),"")</f>
        <v/>
      </c>
      <c r="C2" s="342"/>
      <c r="D2" s="117" t="str">
        <f ca="1">IFERROR(VLOOKUP(A1,OFFSET($AG$2,,,COUNTIF($AG$2:$AG$50,"?*"),23),15,FALSE),"")</f>
        <v/>
      </c>
      <c r="E2" s="343" t="str">
        <f ca="1">IFERROR(VLOOKUP(A1,OFFSET($AG$2,,,COUNTIF($AG$2:$AG$50,"?*"),23),16,FALSE),"")</f>
        <v/>
      </c>
      <c r="F2" s="344"/>
      <c r="M2" s="4" t="str">
        <f ca="1">IFERROR(IF(VLOOKUP(M1,OFFSET($AG$2,,,COUNTIF($AG$2:$AG$50,"?*"),23),10,FALSE)&lt;&gt;0,VLOOKUP(M1,OFFSET($AG$2,,,COUNTIF($AG$2:$AG$50,"?*"),23),10,FALSE),""),"")</f>
        <v/>
      </c>
      <c r="N2" s="341" t="str">
        <f ca="1">IFERROR(IF(VLOOKUP(M1,OFFSET($AG$2,,,COUNTIF($AG$2:$AG$50,"?*"),23),2,FALSE)&lt;&gt;0,YEAR(VLOOKUP(M1,OFFSET($AG$2,,,COUNTIF($AG$2:$AG$50,"?*"),23),2,FALSE)),""),"")</f>
        <v/>
      </c>
      <c r="O2" s="342"/>
      <c r="P2" s="117" t="str">
        <f ca="1">IFERROR(VLOOKUP(M1,OFFSET($AG$2,,,COUNTIF($AG$2:$AG$50,"?*"),23),15,FALSE),"")</f>
        <v/>
      </c>
      <c r="Q2" s="343" t="str">
        <f ca="1">IFERROR(VLOOKUP(M1,OFFSET($AG$2,,,COUNTIF($AG$2:$AG$50,"?*"),23),16,FALSE),"")</f>
        <v/>
      </c>
      <c r="R2" s="344"/>
      <c r="S2" s="110" t="s">
        <v>445</v>
      </c>
      <c r="U2" s="102">
        <v>6</v>
      </c>
      <c r="V2" s="102">
        <v>7</v>
      </c>
      <c r="W2" s="102">
        <v>1</v>
      </c>
      <c r="X2" s="102">
        <v>0</v>
      </c>
      <c r="Y2" s="102">
        <v>10</v>
      </c>
      <c r="Z2" s="102">
        <v>17</v>
      </c>
      <c r="AA2" s="102">
        <v>4</v>
      </c>
      <c r="AB2" s="102">
        <v>14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454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149</v>
      </c>
      <c r="AQ2" s="123">
        <v>183</v>
      </c>
      <c r="AR2" s="123">
        <v>79</v>
      </c>
      <c r="AS2" s="126" t="s">
        <v>74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6 OZ, 7 (4+3), +9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105 OZ, 91 (63+28)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486</v>
      </c>
      <c r="BO2" s="122">
        <v>29164</v>
      </c>
      <c r="BP2" s="131" t="s">
        <v>191</v>
      </c>
      <c r="BQ2" s="132" t="s">
        <v>487</v>
      </c>
      <c r="BR2" s="127">
        <f ca="1">IF(BN2&lt;&gt;"",IF(BO2&lt;&gt;"",INT((TODAY()-BO2)/365),"?"),"")</f>
        <v>41</v>
      </c>
      <c r="BS2" s="336" t="s">
        <v>36</v>
      </c>
      <c r="BT2" s="104" t="s">
        <v>492</v>
      </c>
      <c r="BU2" s="103">
        <v>17</v>
      </c>
      <c r="BV2" s="104" t="str">
        <f>IFERROR(RIGHT(BT2,LEN(BT2)-SEARCH(" ",BT2)),"")</f>
        <v>Marek Beneš</v>
      </c>
      <c r="BW2" s="102">
        <f>IF(BT2&lt;&gt;0,_xlfn.NUMBERVALUE(BU2,","),"")</f>
        <v>17</v>
      </c>
      <c r="BX2" s="335" t="s">
        <v>211</v>
      </c>
      <c r="BY2" s="103" t="s">
        <v>263</v>
      </c>
      <c r="BZ2" s="103" t="s">
        <v>928</v>
      </c>
      <c r="CA2" s="115" t="s">
        <v>1325</v>
      </c>
    </row>
    <row r="3" spans="1:79" ht="15" customHeight="1" thickTop="1" thickBot="1" x14ac:dyDescent="0.25">
      <c r="A3" s="377" t="str">
        <f ca="1">IFERROR(VLOOKUP(A1,OFFSET($AG$2,,,COUNTIF($AG$2:$AG$50,"?*"),23),18,FALSE),"")</f>
        <v/>
      </c>
      <c r="B3" s="378"/>
      <c r="C3" s="378"/>
      <c r="D3" s="379" t="str">
        <f ca="1">IFERROR(VLOOKUP(A1,OFFSET($AG$2,,,COUNTIF($AG$2:$AG$50,"?*"),23),19,FALSE),"")</f>
        <v/>
      </c>
      <c r="E3" s="379"/>
      <c r="F3" s="380"/>
      <c r="G3" s="348"/>
      <c r="H3" s="349"/>
      <c r="I3" s="349"/>
      <c r="J3" s="34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7" t="str">
        <f ca="1">IFERROR(VLOOKUP(M1,OFFSET($AG$2,,,COUNTIF($AG$2:$AG$50,"?*"),23),18,FALSE),"")</f>
        <v/>
      </c>
      <c r="N3" s="378"/>
      <c r="O3" s="378"/>
      <c r="P3" s="379" t="str">
        <f ca="1">IFERROR(VLOOKUP(M1,OFFSET($AG$2,,,COUNTIF($AG$2:$AG$50,"?*"),23),19,FALSE),"")</f>
        <v/>
      </c>
      <c r="Q3" s="379"/>
      <c r="R3" s="380"/>
      <c r="S3" s="110" t="s">
        <v>449</v>
      </c>
      <c r="U3" s="102">
        <v>6</v>
      </c>
      <c r="V3" s="102">
        <v>8</v>
      </c>
      <c r="W3" s="102">
        <v>1</v>
      </c>
      <c r="X3" s="102">
        <v>0</v>
      </c>
      <c r="Y3" s="102">
        <v>5</v>
      </c>
      <c r="Z3" s="102">
        <v>13</v>
      </c>
      <c r="AA3" s="102">
        <v>0</v>
      </c>
      <c r="AB3" s="102">
        <v>13</v>
      </c>
      <c r="AC3" s="102" t="str">
        <f t="shared" ca="1" si="0"/>
        <v>NE</v>
      </c>
      <c r="AG3" s="121" t="s">
        <v>465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477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488</v>
      </c>
      <c r="BO3" s="122">
        <v>27190</v>
      </c>
      <c r="BP3" s="131" t="s">
        <v>326</v>
      </c>
      <c r="BQ3" s="132"/>
      <c r="BR3" s="127">
        <f t="shared" ref="BR3:BR11" ca="1" si="12">IF(BN3&lt;&gt;"",IF(BO3&lt;&gt;"",INT((TODAY()-BO3)/365),"?"),"")</f>
        <v>47</v>
      </c>
      <c r="BS3" s="336"/>
      <c r="BT3" s="104" t="s">
        <v>835</v>
      </c>
      <c r="BU3" s="103">
        <v>13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13</v>
      </c>
      <c r="BX3" s="335"/>
      <c r="BY3" s="103" t="s">
        <v>207</v>
      </c>
      <c r="BZ3" s="103" t="s">
        <v>944</v>
      </c>
      <c r="CA3" s="115" t="s">
        <v>838</v>
      </c>
    </row>
    <row r="4" spans="1:79" ht="15" customHeight="1" thickBot="1" x14ac:dyDescent="0.25">
      <c r="A4" s="365" t="str">
        <f ca="1">IFERROR(IF(VLOOKUP(A1,OFFSET($AG$2,,,COUNTIF($AG$2:$AG$50,"?*"),23),13,FALSE)&lt;&gt;0,VLOOKUP(A1,OFFSET($AG$2,,,COUNTIF($AG$2:$AG$50,"?*"),23),13,FALSE),"?"),"")</f>
        <v/>
      </c>
      <c r="B4" s="366"/>
      <c r="C4" s="367"/>
      <c r="D4" s="368" t="str">
        <f ca="1">IFERROR(IF(VLOOKUP(A1,OFFSET($AG$2,,,COUNTIF($AG$2:$AG$50,"?*"),23),14,FALSE)&lt;&gt;0,VLOOKUP(A1,OFFSET($AG$2,,,COUNTIF($AG$2:$AG$50,"?*"),23),14,FALSE),"?"),"")</f>
        <v/>
      </c>
      <c r="E4" s="36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1" t="str">
        <f ca="1">IFERROR(IF(VLOOKUP(G3,OFFSET($AG$2,,,COUNTIF($AG$2:$AG$50,"?*"),23),2,FALSE)&lt;&gt;0,YEAR(VLOOKUP(G3,OFFSET($AG$2,,,COUNTIF($AG$2:$AG$50,"?*"),23),2,FALSE)),""),"")</f>
        <v/>
      </c>
      <c r="I4" s="342"/>
      <c r="J4" s="117" t="str">
        <f ca="1">IFERROR(VLOOKUP(G3,OFFSET($AG$2,,,COUNTIF($AG$2:$AG$50,"?*"),23),15,FALSE),"")</f>
        <v/>
      </c>
      <c r="K4" s="343" t="str">
        <f ca="1">IFERROR(VLOOKUP(G3,OFFSET($AG$2,,,COUNTIF($AG$2:$AG$50,"?*"),23),16,FALSE),"")</f>
        <v/>
      </c>
      <c r="L4" s="344"/>
      <c r="M4" s="365" t="str">
        <f ca="1">IFERROR(IF(VLOOKUP(M1,OFFSET($AG$2,,,COUNTIF($AG$2:$AG$50,"?*"),23),13,FALSE)&lt;&gt;0,VLOOKUP(M1,OFFSET($AG$2,,,COUNTIF($AG$2:$AG$50,"?*"),23),13,FALSE),"?"),"")</f>
        <v/>
      </c>
      <c r="N4" s="366"/>
      <c r="O4" s="367"/>
      <c r="P4" s="368" t="str">
        <f ca="1">IFERROR(IF(VLOOKUP(M1,OFFSET($AG$2,,,COUNTIF($AG$2:$AG$50,"?*"),23),14,FALSE)&lt;&gt;0,VLOOKUP(M1,OFFSET($AG$2,,,COUNTIF($AG$2:$AG$50,"?*"),23),14,FALSE),"?"),"")</f>
        <v/>
      </c>
      <c r="Q4" s="36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447</v>
      </c>
      <c r="U4" s="102">
        <v>6</v>
      </c>
      <c r="V4" s="102">
        <v>5</v>
      </c>
      <c r="W4" s="102">
        <v>3</v>
      </c>
      <c r="X4" s="102">
        <v>0</v>
      </c>
      <c r="Y4" s="102">
        <v>5</v>
      </c>
      <c r="Z4" s="102">
        <v>10</v>
      </c>
      <c r="AA4" s="102">
        <v>2</v>
      </c>
      <c r="AB4" s="102">
        <v>14</v>
      </c>
      <c r="AC4" s="102" t="str">
        <f t="shared" ca="1" si="0"/>
        <v>ANO</v>
      </c>
      <c r="AG4" s="121" t="s">
        <v>460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149</v>
      </c>
      <c r="AQ4" s="123">
        <v>181</v>
      </c>
      <c r="AR4" s="123">
        <v>66</v>
      </c>
      <c r="AS4" s="126" t="s">
        <v>70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6 OZ, 8 (4+4), +8 ±</v>
      </c>
      <c r="AY4" s="129" t="str">
        <f t="shared" ca="1" si="2"/>
        <v>30 OZ, 53 (26+27)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489</v>
      </c>
      <c r="BO4" s="122"/>
      <c r="BP4" s="131" t="s">
        <v>192</v>
      </c>
      <c r="BQ4" s="132"/>
      <c r="BR4" s="127" t="str">
        <f t="shared" ca="1" si="12"/>
        <v>?</v>
      </c>
      <c r="BS4" s="336"/>
      <c r="BT4" s="104" t="s">
        <v>888</v>
      </c>
      <c r="BU4" s="103">
        <v>10</v>
      </c>
      <c r="BV4" s="104" t="str">
        <f t="shared" si="13"/>
        <v>Ondřej Němeček</v>
      </c>
      <c r="BW4" s="102">
        <f t="shared" si="14"/>
        <v>10</v>
      </c>
      <c r="BX4" s="335"/>
      <c r="BY4" s="103" t="s">
        <v>262</v>
      </c>
      <c r="BZ4" s="103" t="s">
        <v>1004</v>
      </c>
      <c r="CA4" s="115" t="s">
        <v>1024</v>
      </c>
    </row>
    <row r="5" spans="1:79" ht="15" customHeight="1" thickTop="1" thickBot="1" x14ac:dyDescent="0.25">
      <c r="A5" s="8"/>
      <c r="B5" s="8"/>
      <c r="C5" s="8"/>
      <c r="D5" s="8"/>
      <c r="G5" s="377" t="str">
        <f ca="1">IFERROR(VLOOKUP(G3,OFFSET($AG$2,,,COUNTIF($AG$2:$AG$50,"?*"),23),18,FALSE),"")</f>
        <v/>
      </c>
      <c r="H5" s="378"/>
      <c r="I5" s="378"/>
      <c r="J5" s="379" t="str">
        <f ca="1">IFERROR(VLOOKUP(G3,OFFSET($AG$2,,,COUNTIF($AG$2:$AG$50,"?*"),23),19,FALSE),"")</f>
        <v/>
      </c>
      <c r="K5" s="379"/>
      <c r="L5" s="380"/>
      <c r="S5" s="110" t="s">
        <v>452</v>
      </c>
      <c r="T5" s="102" t="s">
        <v>119</v>
      </c>
      <c r="U5" s="102">
        <v>6</v>
      </c>
      <c r="V5" s="102">
        <v>5</v>
      </c>
      <c r="W5" s="102">
        <v>0</v>
      </c>
      <c r="X5" s="102">
        <v>0</v>
      </c>
      <c r="Y5" s="102">
        <v>4</v>
      </c>
      <c r="Z5" s="102">
        <v>9</v>
      </c>
      <c r="AA5" s="102">
        <v>0</v>
      </c>
      <c r="AB5" s="102">
        <v>13</v>
      </c>
      <c r="AC5" s="102" t="str">
        <f t="shared" ca="1" si="0"/>
        <v>ANO</v>
      </c>
      <c r="AG5" s="121" t="s">
        <v>466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478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0 OZ, 0 (0+0)</v>
      </c>
      <c r="AY5" s="129" t="str">
        <f t="shared" ca="1" si="2"/>
        <v>4 OZ, 0 (0+0)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490</v>
      </c>
      <c r="BO5" s="122"/>
      <c r="BP5" s="131" t="s">
        <v>259</v>
      </c>
      <c r="BQ5" s="132"/>
      <c r="BR5" s="127" t="str">
        <f t="shared" ca="1" si="12"/>
        <v>?</v>
      </c>
      <c r="BS5" s="336"/>
      <c r="BT5" s="104" t="s">
        <v>1025</v>
      </c>
      <c r="BU5" s="103">
        <v>9</v>
      </c>
      <c r="BV5" s="104" t="str">
        <f t="shared" si="13"/>
        <v>Jakub Kolísko</v>
      </c>
      <c r="BW5" s="102">
        <f t="shared" si="14"/>
        <v>9</v>
      </c>
      <c r="BX5" s="335"/>
      <c r="BY5" s="103" t="s">
        <v>855</v>
      </c>
      <c r="BZ5" s="103" t="s">
        <v>940</v>
      </c>
      <c r="CA5" s="115" t="s">
        <v>803</v>
      </c>
    </row>
    <row r="6" spans="1:79" ht="15" customHeight="1" thickTop="1" thickBot="1" x14ac:dyDescent="0.25">
      <c r="A6" s="348"/>
      <c r="B6" s="349"/>
      <c r="C6" s="349"/>
      <c r="D6" s="34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5" t="str">
        <f ca="1">IFERROR(IF(VLOOKUP(G3,OFFSET($AG$2,,,COUNTIF($AG$2:$AG$50,"?*"),23),13,FALSE)&lt;&gt;0,VLOOKUP(G3,OFFSET($AG$2,,,COUNTIF($AG$2:$AG$50,"?*"),23),13,FALSE),"?"),"")</f>
        <v/>
      </c>
      <c r="H6" s="366"/>
      <c r="I6" s="367"/>
      <c r="J6" s="368" t="str">
        <f ca="1">IFERROR(IF(VLOOKUP(G3,OFFSET($AG$2,,,COUNTIF($AG$2:$AG$50,"?*"),23),14,FALSE)&lt;&gt;0,VLOOKUP(G3,OFFSET($AG$2,,,COUNTIF($AG$2:$AG$50,"?*"),23),14,FALSE),"?"),"")</f>
        <v/>
      </c>
      <c r="K6" s="369"/>
      <c r="L6" s="7" t="str">
        <f ca="1">IFERROR(IF(VLOOKUP(G3,OFFSET($AG$2,,,COUNTIF($AG$2:$AG$50,"?*"),23),7,FALSE)&lt;&gt;0,VLOOKUP(G3,OFFSET($AG$2,,,COUNTIF($AG$2:$AG$50,"?*"),23),7,FALSE),"?"),"")</f>
        <v/>
      </c>
      <c r="M6" s="348"/>
      <c r="N6" s="349"/>
      <c r="O6" s="349"/>
      <c r="P6" s="34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460</v>
      </c>
      <c r="U6" s="102">
        <v>6</v>
      </c>
      <c r="V6" s="102">
        <v>4</v>
      </c>
      <c r="W6" s="102">
        <v>0</v>
      </c>
      <c r="X6" s="102">
        <v>0</v>
      </c>
      <c r="Y6" s="102">
        <v>4</v>
      </c>
      <c r="Z6" s="102">
        <v>8</v>
      </c>
      <c r="AA6" s="102">
        <v>2</v>
      </c>
      <c r="AB6" s="102">
        <v>8</v>
      </c>
      <c r="AC6" s="102" t="str">
        <f t="shared" ca="1" si="0"/>
        <v>ANO</v>
      </c>
      <c r="AG6" s="121" t="s">
        <v>467</v>
      </c>
      <c r="AH6" s="122"/>
      <c r="AI6" s="123"/>
      <c r="AJ6" s="123"/>
      <c r="AK6" s="123"/>
      <c r="AL6" s="124">
        <f>IF(AG6&lt;&gt;"",AJ6+AK6,"")</f>
        <v>0</v>
      </c>
      <c r="AM6" s="123" t="s">
        <v>303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491</v>
      </c>
      <c r="BO6" s="122"/>
      <c r="BP6" s="131" t="s">
        <v>191</v>
      </c>
      <c r="BQ6" s="132"/>
      <c r="BR6" s="127" t="str">
        <f t="shared" ca="1" si="12"/>
        <v>?</v>
      </c>
      <c r="BS6" s="336"/>
      <c r="BT6" s="104" t="s">
        <v>1327</v>
      </c>
      <c r="BU6" s="103">
        <v>8</v>
      </c>
      <c r="BV6" s="104" t="str">
        <f t="shared" si="13"/>
        <v>Matěj Havlas</v>
      </c>
      <c r="BW6" s="102">
        <f t="shared" si="14"/>
        <v>8</v>
      </c>
      <c r="BX6" s="335"/>
      <c r="BY6" s="103" t="s">
        <v>204</v>
      </c>
      <c r="BZ6" s="103" t="s">
        <v>967</v>
      </c>
      <c r="CA6" s="115" t="s">
        <v>803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1" t="str">
        <f ca="1">IFERROR(IF(VLOOKUP(A6,OFFSET($AG$2,,,COUNTIF($AG$2:$AG$50,"?*"),23),2,FALSE)&lt;&gt;0,YEAR(VLOOKUP(A6,OFFSET($AG$2,,,COUNTIF($AG$2:$AG$50,"?*"),23),2,FALSE)),""),"")</f>
        <v/>
      </c>
      <c r="C7" s="342"/>
      <c r="D7" s="117" t="str">
        <f ca="1">IFERROR(VLOOKUP(A6,OFFSET($AG$2,,,COUNTIF($AG$2:$AG$50,"?*"),23),15,FALSE),"")</f>
        <v/>
      </c>
      <c r="E7" s="343" t="str">
        <f ca="1">IFERROR(VLOOKUP(A6,OFFSET($AG$2,,,COUNTIF($AG$2:$AG$50,"?*"),23),16,FALSE),"")</f>
        <v/>
      </c>
      <c r="F7" s="344"/>
      <c r="M7" s="4" t="str">
        <f ca="1">IFERROR(IF(VLOOKUP(M6,OFFSET($AG$2,,,COUNTIF($AG$2:$AG$50,"?*"),23),10,FALSE)&lt;&gt;0,VLOOKUP(M6,OFFSET($AG$2,,,COUNTIF($AG$2:$AG$50,"?*"),23),10,FALSE),""),"")</f>
        <v/>
      </c>
      <c r="N7" s="341" t="str">
        <f ca="1">IFERROR(IF(VLOOKUP(M6,OFFSET($AG$2,,,COUNTIF($AG$2:$AG$50,"?*"),23),2,FALSE)&lt;&gt;0,YEAR(VLOOKUP(M6,OFFSET($AG$2,,,COUNTIF($AG$2:$AG$50,"?*"),23),2,FALSE)),""),"")</f>
        <v/>
      </c>
      <c r="O7" s="342"/>
      <c r="P7" s="117" t="str">
        <f ca="1">IFERROR(VLOOKUP(M6,OFFSET($AG$2,,,COUNTIF($AG$2:$AG$50,"?*"),23),15,FALSE),"")</f>
        <v/>
      </c>
      <c r="Q7" s="343" t="str">
        <f ca="1">IFERROR(VLOOKUP(M6,OFFSET($AG$2,,,COUNTIF($AG$2:$AG$50,"?*"),23),16,FALSE),"")</f>
        <v/>
      </c>
      <c r="R7" s="344"/>
      <c r="S7" s="110" t="s">
        <v>446</v>
      </c>
      <c r="T7" s="102" t="s">
        <v>119</v>
      </c>
      <c r="U7" s="102">
        <v>6</v>
      </c>
      <c r="V7" s="102">
        <v>3</v>
      </c>
      <c r="W7" s="102">
        <v>2</v>
      </c>
      <c r="X7" s="102">
        <v>0</v>
      </c>
      <c r="Y7" s="102">
        <v>5</v>
      </c>
      <c r="Z7" s="102">
        <v>8</v>
      </c>
      <c r="AA7" s="102">
        <v>2</v>
      </c>
      <c r="AB7" s="102">
        <v>-3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157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6" t="s">
        <v>40</v>
      </c>
      <c r="BT7" s="104" t="s">
        <v>493</v>
      </c>
      <c r="BU7" s="103" t="s">
        <v>1328</v>
      </c>
      <c r="BV7" s="104" t="str">
        <f t="shared" si="13"/>
        <v>Lukáš Kříž</v>
      </c>
      <c r="BW7" s="112">
        <f t="shared" si="14"/>
        <v>4.17</v>
      </c>
      <c r="BX7" s="335" t="s">
        <v>212</v>
      </c>
      <c r="BY7" s="103" t="s">
        <v>934</v>
      </c>
      <c r="BZ7" s="103" t="s">
        <v>978</v>
      </c>
      <c r="CA7" s="115" t="s">
        <v>205</v>
      </c>
    </row>
    <row r="8" spans="1:79" ht="15" customHeight="1" x14ac:dyDescent="0.2">
      <c r="A8" s="377" t="str">
        <f ca="1">IFERROR(VLOOKUP(A6,OFFSET($AG$2,,,COUNTIF($AG$2:$AG$50,"?*"),23),18,FALSE),"")</f>
        <v/>
      </c>
      <c r="B8" s="378"/>
      <c r="C8" s="378"/>
      <c r="D8" s="379" t="str">
        <f ca="1">IFERROR(VLOOKUP(A6,OFFSET($AG$2,,,COUNTIF($AG$2:$AG$50,"?*"),23),19,FALSE),"")</f>
        <v/>
      </c>
      <c r="E8" s="379"/>
      <c r="F8" s="380"/>
      <c r="H8" s="381" t="s">
        <v>94</v>
      </c>
      <c r="I8" s="381"/>
      <c r="J8" s="381"/>
      <c r="K8" s="381"/>
      <c r="M8" s="377" t="str">
        <f ca="1">IFERROR(VLOOKUP(M6,OFFSET($AG$2,,,COUNTIF($AG$2:$AG$50,"?*"),23),18,FALSE),"")</f>
        <v/>
      </c>
      <c r="N8" s="378"/>
      <c r="O8" s="378"/>
      <c r="P8" s="379" t="str">
        <f ca="1">IFERROR(VLOOKUP(M6,OFFSET($AG$2,,,COUNTIF($AG$2:$AG$50,"?*"),23),19,FALSE),"")</f>
        <v/>
      </c>
      <c r="Q8" s="379"/>
      <c r="R8" s="380"/>
      <c r="S8" s="110" t="s">
        <v>450</v>
      </c>
      <c r="T8" s="102" t="s">
        <v>119</v>
      </c>
      <c r="U8" s="102">
        <v>6</v>
      </c>
      <c r="V8" s="102">
        <v>5</v>
      </c>
      <c r="W8" s="102">
        <v>2</v>
      </c>
      <c r="X8" s="102">
        <v>0</v>
      </c>
      <c r="Y8" s="102">
        <v>2</v>
      </c>
      <c r="Z8" s="102">
        <v>7</v>
      </c>
      <c r="AA8" s="102">
        <v>2</v>
      </c>
      <c r="AB8" s="102">
        <v>2</v>
      </c>
      <c r="AC8" s="102" t="str">
        <f t="shared" ca="1" si="0"/>
        <v>ANO</v>
      </c>
      <c r="AG8" s="121" t="s">
        <v>452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70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6 OZ, 9 (5+4), +13 ±</v>
      </c>
      <c r="AY8" s="129" t="str">
        <f t="shared" ca="1" si="2"/>
        <v>126 OZ, 101 (61+40)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6"/>
      <c r="BT8" s="104" t="s">
        <v>494</v>
      </c>
      <c r="BU8" s="103" t="s">
        <v>199</v>
      </c>
      <c r="BV8" s="104" t="str">
        <f t="shared" si="13"/>
        <v>Jan Buzík</v>
      </c>
      <c r="BW8" s="112">
        <f t="shared" si="14"/>
        <v>0</v>
      </c>
      <c r="BX8" s="335"/>
      <c r="BY8" s="103" t="s">
        <v>913</v>
      </c>
      <c r="BZ8" s="103" t="s">
        <v>942</v>
      </c>
      <c r="CA8" s="115" t="s">
        <v>205</v>
      </c>
    </row>
    <row r="9" spans="1:79" ht="15" customHeight="1" thickBot="1" x14ac:dyDescent="0.25">
      <c r="A9" s="365" t="str">
        <f ca="1">IFERROR(IF(VLOOKUP(A6,OFFSET($AG$2,,,COUNTIF($AG$2:$AG$50,"?*"),23),13,FALSE)&lt;&gt;0,VLOOKUP(A6,OFFSET($AG$2,,,COUNTIF($AG$2:$AG$50,"?*"),23),13,FALSE),"?"),"")</f>
        <v/>
      </c>
      <c r="B9" s="366"/>
      <c r="C9" s="367"/>
      <c r="D9" s="368" t="str">
        <f ca="1">IFERROR(IF(VLOOKUP(A6,OFFSET($AG$2,,,COUNTIF($AG$2:$AG$50,"?*"),23),14,FALSE)&lt;&gt;0,VLOOKUP(A6,OFFSET($AG$2,,,COUNTIF($AG$2:$AG$50,"?*"),23),14,FALSE),"?"),"")</f>
        <v/>
      </c>
      <c r="E9" s="369"/>
      <c r="F9" s="7" t="str">
        <f ca="1">IFERROR(IF(VLOOKUP(A6,OFFSET($AG$2,,,COUNTIF($AG$2:$AG$50,"?*"),23),7,FALSE)&lt;&gt;0,VLOOKUP(A6,OFFSET($AG$2,,,COUNTIF($AG$2:$AG$50,"?*"),23),7,FALSE),"?"),"")</f>
        <v/>
      </c>
      <c r="H9" s="381"/>
      <c r="I9" s="381"/>
      <c r="J9" s="381"/>
      <c r="K9" s="381"/>
      <c r="M9" s="365" t="str">
        <f ca="1">IFERROR(IF(VLOOKUP(M6,OFFSET($AG$2,,,COUNTIF($AG$2:$AG$50,"?*"),23),13,FALSE)&lt;&gt;0,VLOOKUP(M6,OFFSET($AG$2,,,COUNTIF($AG$2:$AG$50,"?*"),23),13,FALSE),"?"),"")</f>
        <v/>
      </c>
      <c r="N9" s="366"/>
      <c r="O9" s="367"/>
      <c r="P9" s="368" t="str">
        <f ca="1">IFERROR(IF(VLOOKUP(M6,OFFSET($AG$2,,,COUNTIF($AG$2:$AG$50,"?*"),23),14,FALSE)&lt;&gt;0,VLOOKUP(M6,OFFSET($AG$2,,,COUNTIF($AG$2:$AG$50,"?*"),23),14,FALSE),"?"),"")</f>
        <v/>
      </c>
      <c r="Q9" s="36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448</v>
      </c>
      <c r="U9" s="102">
        <v>6</v>
      </c>
      <c r="V9" s="102">
        <v>4</v>
      </c>
      <c r="W9" s="102">
        <v>0</v>
      </c>
      <c r="X9" s="102">
        <v>0</v>
      </c>
      <c r="Y9" s="102">
        <v>3</v>
      </c>
      <c r="Z9" s="102">
        <v>7</v>
      </c>
      <c r="AA9" s="102">
        <v>2</v>
      </c>
      <c r="AB9" s="102">
        <v>-3</v>
      </c>
      <c r="AC9" s="102" t="str">
        <f t="shared" ca="1" si="0"/>
        <v>ANO</v>
      </c>
      <c r="AG9" s="121" t="s">
        <v>468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166</v>
      </c>
      <c r="AP9" s="125" t="s">
        <v>27</v>
      </c>
      <c r="AQ9" s="123">
        <v>189</v>
      </c>
      <c r="AR9" s="123">
        <v>82</v>
      </c>
      <c r="AS9" s="126" t="s">
        <v>70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6"/>
      <c r="BV9" s="104" t="str">
        <f t="shared" si="13"/>
        <v/>
      </c>
      <c r="BW9" s="112" t="str">
        <f t="shared" si="14"/>
        <v/>
      </c>
      <c r="BX9" s="335"/>
      <c r="BY9" s="103" t="s">
        <v>915</v>
      </c>
      <c r="BZ9" s="103" t="s">
        <v>933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454</v>
      </c>
      <c r="U10" s="102">
        <v>6</v>
      </c>
      <c r="V10" s="102">
        <v>4</v>
      </c>
      <c r="W10" s="102">
        <v>0</v>
      </c>
      <c r="X10" s="102">
        <v>0</v>
      </c>
      <c r="Y10" s="102">
        <v>3</v>
      </c>
      <c r="Z10" s="102">
        <v>7</v>
      </c>
      <c r="AA10" s="102">
        <v>2</v>
      </c>
      <c r="AB10" s="102">
        <v>9</v>
      </c>
      <c r="AC10" s="102" t="str">
        <f t="shared" ca="1" si="0"/>
        <v>ANO</v>
      </c>
      <c r="AG10" s="121" t="s">
        <v>448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149</v>
      </c>
      <c r="AQ10" s="123">
        <v>196</v>
      </c>
      <c r="AR10" s="123">
        <v>92</v>
      </c>
      <c r="AS10" s="126" t="s">
        <v>479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6 OZ, 7 (4+3), -3 ±</v>
      </c>
      <c r="AY10" s="129" t="str">
        <f t="shared" ca="1" si="2"/>
        <v>74 OZ, 60 (40+20)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6"/>
      <c r="BV10" s="104" t="str">
        <f t="shared" si="13"/>
        <v/>
      </c>
      <c r="BW10" s="112" t="str">
        <f t="shared" si="14"/>
        <v/>
      </c>
      <c r="BX10" s="335"/>
      <c r="BY10" s="103" t="s">
        <v>945</v>
      </c>
      <c r="BZ10" s="103" t="s">
        <v>932</v>
      </c>
      <c r="CA10" s="115" t="s">
        <v>205</v>
      </c>
    </row>
    <row r="11" spans="1:79" ht="15" customHeight="1" thickTop="1" thickBot="1" x14ac:dyDescent="0.25">
      <c r="R11" s="13"/>
      <c r="S11" s="110" t="s">
        <v>451</v>
      </c>
      <c r="T11" s="102" t="s">
        <v>64</v>
      </c>
      <c r="U11" s="102">
        <v>6</v>
      </c>
      <c r="V11" s="102">
        <v>1</v>
      </c>
      <c r="W11" s="102">
        <v>0</v>
      </c>
      <c r="X11" s="102">
        <v>1</v>
      </c>
      <c r="Y11" s="102">
        <v>2</v>
      </c>
      <c r="Z11" s="102">
        <v>3</v>
      </c>
      <c r="AA11" s="102">
        <v>0</v>
      </c>
      <c r="AB11" s="102">
        <v>10</v>
      </c>
      <c r="AC11" s="102" t="str">
        <f t="shared" ca="1" si="0"/>
        <v>ANO</v>
      </c>
      <c r="AG11" s="121" t="s">
        <v>453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480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6 V, 0 P</v>
      </c>
      <c r="AY11" s="129" t="str">
        <f t="shared" ca="1" si="2"/>
        <v>42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6"/>
      <c r="BV11" s="104" t="str">
        <f t="shared" si="13"/>
        <v/>
      </c>
      <c r="BW11" s="112" t="str">
        <f t="shared" si="14"/>
        <v/>
      </c>
      <c r="BX11" s="335"/>
      <c r="BY11" s="103" t="s">
        <v>1106</v>
      </c>
      <c r="BZ11" s="103" t="s">
        <v>931</v>
      </c>
      <c r="CA11" s="115" t="s">
        <v>205</v>
      </c>
    </row>
    <row r="12" spans="1:79" ht="15" customHeight="1" thickTop="1" thickBot="1" x14ac:dyDescent="0.25">
      <c r="A12" s="348"/>
      <c r="B12" s="349"/>
      <c r="C12" s="349"/>
      <c r="D12" s="34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82" t="s">
        <v>7</v>
      </c>
      <c r="I12" s="382"/>
      <c r="J12" s="382"/>
      <c r="K12" s="382"/>
      <c r="M12" s="348"/>
      <c r="N12" s="349"/>
      <c r="O12" s="349"/>
      <c r="P12" s="34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459</v>
      </c>
      <c r="U12" s="102">
        <v>4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3</v>
      </c>
      <c r="AC12" s="102" t="str">
        <f t="shared" ca="1" si="0"/>
        <v>ANO</v>
      </c>
      <c r="AG12" s="121" t="s">
        <v>469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149</v>
      </c>
      <c r="AQ12" s="123">
        <v>184</v>
      </c>
      <c r="AR12" s="123">
        <v>78</v>
      </c>
      <c r="AS12" s="126" t="s">
        <v>70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6" t="s">
        <v>37</v>
      </c>
      <c r="BT12" s="104" t="s">
        <v>1329</v>
      </c>
      <c r="BU12" s="103">
        <v>8</v>
      </c>
      <c r="BV12" s="104" t="str">
        <f t="shared" si="13"/>
        <v>David Šimek</v>
      </c>
      <c r="BW12" s="102">
        <f t="shared" si="14"/>
        <v>8</v>
      </c>
      <c r="BX12" s="120" t="s">
        <v>210</v>
      </c>
      <c r="BY12" s="100" t="s">
        <v>1326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1" t="str">
        <f ca="1">IFERROR(IF(VLOOKUP(A12,OFFSET($AG$2,,,COUNTIF($AG$2:$AG$50,"?*"),23),2,FALSE)&lt;&gt;0,YEAR(VLOOKUP(A12,OFFSET($AG$2,,,COUNTIF($AG$2:$AG$50,"?*"),23),2,FALSE)),""),"")</f>
        <v/>
      </c>
      <c r="C13" s="342"/>
      <c r="D13" s="117" t="str">
        <f ca="1">IFERROR(VLOOKUP(A12,OFFSET($AG$2,,,COUNTIF($AG$2:$AG$50,"?*"),23),15,FALSE),"")</f>
        <v/>
      </c>
      <c r="E13" s="343" t="str">
        <f ca="1">IFERROR(VLOOKUP(A12,OFFSET($AG$2,,,COUNTIF($AG$2:$AG$50,"?*"),23),16,FALSE),"")</f>
        <v/>
      </c>
      <c r="F13" s="344"/>
      <c r="M13" s="4" t="str">
        <f ca="1">IFERROR(IF(VLOOKUP(M12,OFFSET($AG$2,,,COUNTIF($AG$2:$AG$50,"?*"),23),10,FALSE)&lt;&gt;0,VLOOKUP(M12,OFFSET($AG$2,,,COUNTIF($AG$2:$AG$50,"?*"),23),10,FALSE),""),"")</f>
        <v/>
      </c>
      <c r="N13" s="341" t="str">
        <f ca="1">IFERROR(IF(VLOOKUP(M12,OFFSET($AG$2,,,COUNTIF($AG$2:$AG$50,"?*"),23),2,FALSE)&lt;&gt;0,YEAR(VLOOKUP(M12,OFFSET($AG$2,,,COUNTIF($AG$2:$AG$50,"?*"),23),2,FALSE)),""),"")</f>
        <v/>
      </c>
      <c r="O13" s="342"/>
      <c r="P13" s="117" t="str">
        <f ca="1">IFERROR(VLOOKUP(M12,OFFSET($AG$2,,,COUNTIF($AG$2:$AG$50,"?*"),23),15,FALSE),"")</f>
        <v/>
      </c>
      <c r="Q13" s="343" t="str">
        <f ca="1">IFERROR(VLOOKUP(M12,OFFSET($AG$2,,,COUNTIF($AG$2:$AG$50,"?*"),23),16,FALSE),"")</f>
        <v/>
      </c>
      <c r="R13" s="344"/>
      <c r="S13" s="110" t="s">
        <v>463</v>
      </c>
      <c r="U13" s="102">
        <v>6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4</v>
      </c>
      <c r="AB13" s="102">
        <v>-5</v>
      </c>
      <c r="AC13" s="102" t="str">
        <f t="shared" ca="1" si="0"/>
        <v>NE</v>
      </c>
      <c r="AG13" s="121" t="s">
        <v>450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74</v>
      </c>
      <c r="AT13" s="123">
        <v>2009</v>
      </c>
      <c r="AU13" s="127">
        <f ca="1">IF(AG13&lt;&gt;"",IF(AH13&lt;&gt;"",INT((TODAY()-AH13)/365),"?"),"")</f>
        <v>22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6 OZ, 7 (5+2), +2 ±</v>
      </c>
      <c r="AY13" s="129" t="str">
        <f t="shared" ca="1" si="2"/>
        <v>144 OZ, 174 (93+81)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6"/>
      <c r="BT13" s="104" t="s">
        <v>1330</v>
      </c>
      <c r="BU13" s="103">
        <v>7</v>
      </c>
      <c r="BV13" s="104" t="str">
        <f t="shared" si="13"/>
        <v>Marek Beneš</v>
      </c>
      <c r="BW13" s="102">
        <f t="shared" si="14"/>
        <v>7</v>
      </c>
    </row>
    <row r="14" spans="1:79" ht="15" customHeight="1" thickTop="1" thickBot="1" x14ac:dyDescent="0.25">
      <c r="A14" s="377" t="str">
        <f ca="1">IFERROR(VLOOKUP(A12,OFFSET($AG$2,,,COUNTIF($AG$2:$AG$50,"?*"),23),18,FALSE),"")</f>
        <v/>
      </c>
      <c r="B14" s="378"/>
      <c r="C14" s="378"/>
      <c r="D14" s="379" t="str">
        <f ca="1">IFERROR(VLOOKUP(A12,OFFSET($AG$2,,,COUNTIF($AG$2:$AG$50,"?*"),23),19,FALSE),"")</f>
        <v/>
      </c>
      <c r="E14" s="379"/>
      <c r="F14" s="380"/>
      <c r="G14" s="348"/>
      <c r="H14" s="349"/>
      <c r="I14" s="349"/>
      <c r="J14" s="34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7" t="str">
        <f ca="1">IFERROR(VLOOKUP(M12,OFFSET($AG$2,,,COUNTIF($AG$2:$AG$50,"?*"),23),18,FALSE),"")</f>
        <v/>
      </c>
      <c r="N14" s="378"/>
      <c r="O14" s="378"/>
      <c r="P14" s="379" t="str">
        <f ca="1">IFERROR(VLOOKUP(M12,OFFSET($AG$2,,,COUNTIF($AG$2:$AG$50,"?*"),23),19,FALSE),"")</f>
        <v/>
      </c>
      <c r="Q14" s="379"/>
      <c r="R14" s="380"/>
      <c r="S14" s="110" t="s">
        <v>464</v>
      </c>
      <c r="T14" s="102" t="s">
        <v>64</v>
      </c>
      <c r="U14" s="102">
        <v>6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10</v>
      </c>
      <c r="AC14" s="102" t="str">
        <f t="shared" ca="1" si="0"/>
        <v>ANO</v>
      </c>
      <c r="AG14" s="121" t="s">
        <v>456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149</v>
      </c>
      <c r="AQ14" s="123">
        <v>172</v>
      </c>
      <c r="AR14" s="123">
        <v>72</v>
      </c>
      <c r="AS14" s="126" t="s">
        <v>477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6 OZ, 1 (0+1), +8 ±</v>
      </c>
      <c r="AY14" s="129" t="str">
        <f t="shared" ca="1" si="2"/>
        <v>133 OZ, 29 (12+17)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6"/>
      <c r="BT14" s="104" t="s">
        <v>1331</v>
      </c>
      <c r="BU14" s="103">
        <v>5</v>
      </c>
      <c r="BV14" s="104" t="str">
        <f t="shared" si="13"/>
        <v>Jakub Kolísko</v>
      </c>
      <c r="BW14" s="102">
        <f t="shared" si="14"/>
        <v>5</v>
      </c>
    </row>
    <row r="15" spans="1:79" ht="15" customHeight="1" thickBot="1" x14ac:dyDescent="0.25">
      <c r="A15" s="365" t="str">
        <f ca="1">IFERROR(IF(VLOOKUP(A12,OFFSET($AG$2,,,COUNTIF($AG$2:$AG$50,"?*"),23),13,FALSE)&lt;&gt;0,VLOOKUP(A12,OFFSET($AG$2,,,COUNTIF($AG$2:$AG$50,"?*"),23),13,FALSE),"?"),"")</f>
        <v/>
      </c>
      <c r="B15" s="366"/>
      <c r="C15" s="367"/>
      <c r="D15" s="368" t="str">
        <f ca="1">IFERROR(IF(VLOOKUP(A12,OFFSET($AG$2,,,COUNTIF($AG$2:$AG$50,"?*"),23),14,FALSE)&lt;&gt;0,VLOOKUP(A12,OFFSET($AG$2,,,COUNTIF($AG$2:$AG$50,"?*"),23),14,FALSE),"?"),"")</f>
        <v/>
      </c>
      <c r="E15" s="36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1" t="str">
        <f ca="1">IFERROR(IF(VLOOKUP(G14,OFFSET($AG$2,,,COUNTIF($AG$2:$AG$50,"?*"),23),2,FALSE)&lt;&gt;0,YEAR(VLOOKUP(G14,OFFSET($AG$2,,,COUNTIF($AG$2:$AG$50,"?*"),23),2,FALSE)),""),"")</f>
        <v/>
      </c>
      <c r="I15" s="342"/>
      <c r="J15" s="117" t="str">
        <f ca="1">IFERROR(VLOOKUP(G14,OFFSET($AG$2,,,COUNTIF($AG$2:$AG$50,"?*"),23),15,FALSE),"")</f>
        <v/>
      </c>
      <c r="K15" s="343" t="str">
        <f ca="1">IFERROR(VLOOKUP(G14,OFFSET($AG$2,,,COUNTIF($AG$2:$AG$50,"?*"),23),16,FALSE),"")</f>
        <v/>
      </c>
      <c r="L15" s="344"/>
      <c r="M15" s="365" t="str">
        <f ca="1">IFERROR(IF(VLOOKUP(M12,OFFSET($AG$2,,,COUNTIF($AG$2:$AG$50,"?*"),23),13,FALSE)&lt;&gt;0,VLOOKUP(M12,OFFSET($AG$2,,,COUNTIF($AG$2:$AG$50,"?*"),23),13,FALSE),"?"),"")</f>
        <v/>
      </c>
      <c r="N15" s="366"/>
      <c r="O15" s="367"/>
      <c r="P15" s="368" t="str">
        <f ca="1">IFERROR(IF(VLOOKUP(M12,OFFSET($AG$2,,,COUNTIF($AG$2:$AG$50,"?*"),23),14,FALSE)&lt;&gt;0,VLOOKUP(M12,OFFSET($AG$2,,,COUNTIF($AG$2:$AG$50,"?*"),23),14,FALSE),"?"),"")</f>
        <v/>
      </c>
      <c r="Q15" s="36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455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7</v>
      </c>
      <c r="AC15" s="102" t="str">
        <f t="shared" ca="1" si="0"/>
        <v>ANO</v>
      </c>
      <c r="AG15" s="121" t="s">
        <v>470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149</v>
      </c>
      <c r="AQ15" s="123">
        <v>18</v>
      </c>
      <c r="AR15" s="123">
        <v>68</v>
      </c>
      <c r="AS15" s="126" t="s">
        <v>70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6"/>
      <c r="BT15" s="104" t="s">
        <v>1029</v>
      </c>
      <c r="BU15" s="103">
        <v>5</v>
      </c>
      <c r="BV15" s="104" t="str">
        <f t="shared" si="13"/>
        <v>Milan Meliš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77" t="str">
        <f ca="1">IFERROR(VLOOKUP(G14,OFFSET($AG$2,,,COUNTIF($AG$2:$AG$50,"?*"),23),18,FALSE),"")</f>
        <v/>
      </c>
      <c r="H16" s="378"/>
      <c r="I16" s="378"/>
      <c r="J16" s="379" t="str">
        <f ca="1">IFERROR(VLOOKUP(G14,OFFSET($AG$2,,,COUNTIF($AG$2:$AG$50,"?*"),23),19,FALSE),"")</f>
        <v/>
      </c>
      <c r="K16" s="379"/>
      <c r="L16" s="380"/>
      <c r="S16" s="110" t="s">
        <v>456</v>
      </c>
      <c r="T16" s="102" t="s">
        <v>64</v>
      </c>
      <c r="U16" s="102">
        <v>6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8</v>
      </c>
      <c r="AC16" s="102" t="str">
        <f t="shared" ca="1" si="0"/>
        <v>ANO</v>
      </c>
      <c r="AG16" s="121" t="s">
        <v>447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70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6 OZ, 10 (5+5), +14 ±</v>
      </c>
      <c r="AY16" s="129" t="str">
        <f t="shared" ca="1" si="2"/>
        <v>79 OZ, 93 (39+54)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6"/>
      <c r="BT16" s="104" t="s">
        <v>1030</v>
      </c>
      <c r="BU16" s="103">
        <v>5</v>
      </c>
      <c r="BV16" s="104" t="str">
        <f t="shared" si="13"/>
        <v>Ondřej Němeček</v>
      </c>
      <c r="BW16" s="102">
        <f t="shared" si="14"/>
        <v>5</v>
      </c>
    </row>
    <row r="17" spans="1:75" ht="15" customHeight="1" thickTop="1" thickBot="1" x14ac:dyDescent="0.25">
      <c r="A17" s="348"/>
      <c r="B17" s="349"/>
      <c r="C17" s="349"/>
      <c r="D17" s="34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5" t="str">
        <f ca="1">IFERROR(IF(VLOOKUP(G14,OFFSET($AG$2,,,COUNTIF($AG$2:$AG$50,"?*"),23),13,FALSE)&lt;&gt;0,VLOOKUP(G14,OFFSET($AG$2,,,COUNTIF($AG$2:$AG$50,"?*"),23),13,FALSE),"?"),"")</f>
        <v/>
      </c>
      <c r="H17" s="366"/>
      <c r="I17" s="367"/>
      <c r="J17" s="368" t="str">
        <f ca="1">IFERROR(IF(VLOOKUP(G14,OFFSET($AG$2,,,COUNTIF($AG$2:$AG$50,"?*"),23),14,FALSE)&lt;&gt;0,VLOOKUP(G14,OFFSET($AG$2,,,COUNTIF($AG$2:$AG$50,"?*"),23),14,FALSE),"?"),"")</f>
        <v/>
      </c>
      <c r="K17" s="369"/>
      <c r="L17" s="7" t="str">
        <f ca="1">IFERROR(IF(VLOOKUP(G14,OFFSET($AG$2,,,COUNTIF($AG$2:$AG$50,"?*"),23),7,FALSE)&lt;&gt;0,VLOOKUP(G14,OFFSET($AG$2,,,COUNTIF($AG$2:$AG$50,"?*"),23),7,FALSE),"?"),"")</f>
        <v/>
      </c>
      <c r="M17" s="348"/>
      <c r="N17" s="349"/>
      <c r="O17" s="349"/>
      <c r="P17" s="34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1032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432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149</v>
      </c>
      <c r="AQ17" s="123">
        <v>175</v>
      </c>
      <c r="AR17" s="123">
        <v>74</v>
      </c>
      <c r="AS17" s="126" t="s">
        <v>481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6" t="s">
        <v>41</v>
      </c>
      <c r="BT17" s="104" t="s">
        <v>493</v>
      </c>
      <c r="BU17" s="103">
        <v>6</v>
      </c>
      <c r="BV17" s="104" t="str">
        <f t="shared" si="13"/>
        <v>Lukáš Kříž</v>
      </c>
      <c r="BW17" s="102">
        <f t="shared" si="14"/>
        <v>6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1" t="str">
        <f ca="1">IFERROR(IF(VLOOKUP(A17,OFFSET($AG$2,,,COUNTIF($AG$2:$AG$50,"?*"),23),2,FALSE)&lt;&gt;0,YEAR(VLOOKUP(A17,OFFSET($AG$2,,,COUNTIF($AG$2:$AG$50,"?*"),23),2,FALSE)),""),"")</f>
        <v/>
      </c>
      <c r="C18" s="342"/>
      <c r="D18" s="150" t="str">
        <f ca="1">IFERROR(VLOOKUP(A17,OFFSET($AG$2,,,COUNTIF($AG$2:$AG$50,"?*"),23),15,FALSE),"")</f>
        <v/>
      </c>
      <c r="E18" s="343" t="str">
        <f ca="1">IFERROR(VLOOKUP(A17,OFFSET($AG$2,,,COUNTIF($AG$2:$AG$50,"?*"),23),16,FALSE),"")</f>
        <v/>
      </c>
      <c r="F18" s="344"/>
      <c r="M18" s="4" t="str">
        <f ca="1">IFERROR(IF(VLOOKUP(M17,OFFSET($AG$2,,,COUNTIF($AG$2:$AG$50,"?*"),23),10,FALSE)&lt;&gt;0,VLOOKUP(M17,OFFSET($AG$2,,,COUNTIF($AG$2:$AG$50,"?*"),23),10,FALSE),""),"")</f>
        <v/>
      </c>
      <c r="N18" s="341" t="str">
        <f ca="1">IFERROR(IF(VLOOKUP(M17,OFFSET($AG$2,,,COUNTIF($AG$2:$AG$50,"?*"),23),2,FALSE)&lt;&gt;0,YEAR(VLOOKUP(M17,OFFSET($AG$2,,,COUNTIF($AG$2:$AG$50,"?*"),23),2,FALSE)),""),"")</f>
        <v/>
      </c>
      <c r="O18" s="342"/>
      <c r="P18" s="117" t="str">
        <f ca="1">IFERROR(VLOOKUP(M17,OFFSET($AG$2,,,COUNTIF($AG$2:$AG$50,"?*"),23),15,FALSE),"")</f>
        <v/>
      </c>
      <c r="Q18" s="343" t="str">
        <f ca="1">IFERROR(VLOOKUP(M17,OFFSET($AG$2,,,COUNTIF($AG$2:$AG$50,"?*"),23),16,FALSE),"")</f>
        <v/>
      </c>
      <c r="R18" s="344"/>
      <c r="S18" s="110" t="s">
        <v>1033</v>
      </c>
      <c r="T18" s="102" t="s">
        <v>119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451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149</v>
      </c>
      <c r="AQ18" s="123">
        <v>178</v>
      </c>
      <c r="AR18" s="123">
        <v>65</v>
      </c>
      <c r="AS18" s="126" t="s">
        <v>313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6 OZ, 3 (1+2), +10 ±</v>
      </c>
      <c r="AY18" s="129" t="str">
        <f t="shared" ca="1" si="2"/>
        <v>94 OZ, 81 (30+51)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6"/>
      <c r="BT18" s="104" t="s">
        <v>494</v>
      </c>
      <c r="BU18" s="103">
        <v>0</v>
      </c>
      <c r="BV18" s="104" t="str">
        <f t="shared" si="13"/>
        <v>Jan Buzík</v>
      </c>
      <c r="BW18" s="102">
        <f t="shared" si="14"/>
        <v>0</v>
      </c>
    </row>
    <row r="19" spans="1:75" ht="15" customHeight="1" x14ac:dyDescent="0.2">
      <c r="A19" s="377" t="str">
        <f ca="1">IFERROR(VLOOKUP(A17,OFFSET($AG$2,,,COUNTIF($AG$2:$AG$50,"?*"),23),18,FALSE),"")</f>
        <v/>
      </c>
      <c r="B19" s="378"/>
      <c r="C19" s="378"/>
      <c r="D19" s="379" t="str">
        <f ca="1">IFERROR(VLOOKUP(A17,OFFSET($AG$2,,,COUNTIF($AG$2:$AG$50,"?*"),23),19,FALSE),"")</f>
        <v/>
      </c>
      <c r="E19" s="379"/>
      <c r="F19" s="380"/>
      <c r="H19" s="381" t="str">
        <f>H$8</f>
        <v>TAT</v>
      </c>
      <c r="I19" s="381"/>
      <c r="J19" s="381"/>
      <c r="K19" s="381"/>
      <c r="M19" s="377" t="str">
        <f ca="1">IFERROR(VLOOKUP(M17,OFFSET($AG$2,,,COUNTIF($AG$2:$AG$50,"?*"),23),18,FALSE),"")</f>
        <v/>
      </c>
      <c r="N19" s="378"/>
      <c r="O19" s="378"/>
      <c r="P19" s="379" t="str">
        <f ca="1">IFERROR(VLOOKUP(M17,OFFSET($AG$2,,,COUNTIF($AG$2:$AG$50,"?*"),23),19,FALSE),"")</f>
        <v/>
      </c>
      <c r="Q19" s="379"/>
      <c r="R19" s="380"/>
      <c r="S19" s="110" t="s">
        <v>1031</v>
      </c>
      <c r="T19" s="102" t="s">
        <v>119</v>
      </c>
      <c r="U19" s="102">
        <v>2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471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149</v>
      </c>
      <c r="AQ19" s="123">
        <v>187</v>
      </c>
      <c r="AR19" s="123">
        <v>77</v>
      </c>
      <c r="AS19" s="126" t="s">
        <v>70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6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65" t="str">
        <f ca="1">IFERROR(IF(VLOOKUP(A17,OFFSET($AG$2,,,COUNTIF($AG$2:$AG$50,"?*"),23),13,FALSE)&lt;&gt;0,VLOOKUP(A17,OFFSET($AG$2,,,COUNTIF($AG$2:$AG$50,"?*"),23),13,FALSE),"?"),"")</f>
        <v/>
      </c>
      <c r="B20" s="366"/>
      <c r="C20" s="367"/>
      <c r="D20" s="368" t="str">
        <f ca="1">IFERROR(IF(VLOOKUP(A17,OFFSET($AG$2,,,COUNTIF($AG$2:$AG$50,"?*"),23),14,FALSE)&lt;&gt;0,VLOOKUP(A17,OFFSET($AG$2,,,COUNTIF($AG$2:$AG$50,"?*"),23),14,FALSE),"?"),"")</f>
        <v/>
      </c>
      <c r="E20" s="369"/>
      <c r="F20" s="7" t="str">
        <f ca="1">IFERROR(IF(VLOOKUP(A17,OFFSET($AG$2,,,COUNTIF($AG$2:$AG$50,"?*"),23),7,FALSE)&lt;&gt;0,VLOOKUP(A17,OFFSET($AG$2,,,COUNTIF($AG$2:$AG$50,"?*"),23),7,FALSE),"?"),"")</f>
        <v/>
      </c>
      <c r="H20" s="381"/>
      <c r="I20" s="381"/>
      <c r="J20" s="381"/>
      <c r="K20" s="381"/>
      <c r="M20" s="365" t="str">
        <f ca="1">IFERROR(IF(VLOOKUP(M17,OFFSET($AG$2,,,COUNTIF($AG$2:$AG$50,"?*"),23),13,FALSE)&lt;&gt;0,VLOOKUP(M17,OFFSET($AG$2,,,COUNTIF($AG$2:$AG$50,"?*"),23),13,FALSE),"?"),"")</f>
        <v/>
      </c>
      <c r="N20" s="366"/>
      <c r="O20" s="367"/>
      <c r="P20" s="368" t="str">
        <f ca="1">IFERROR(IF(VLOOKUP(M17,OFFSET($AG$2,,,COUNTIF($AG$2:$AG$50,"?*"),23),14,FALSE)&lt;&gt;0,VLOOKUP(M17,OFFSET($AG$2,,,COUNTIF($AG$2:$AG$50,"?*"),23),14,FALSE),"?"),"")</f>
        <v/>
      </c>
      <c r="Q20" s="36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461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1</v>
      </c>
      <c r="AC20" s="102" t="str">
        <f t="shared" ca="1" si="0"/>
        <v>ANO</v>
      </c>
      <c r="AG20" s="121" t="s">
        <v>455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149</v>
      </c>
      <c r="AQ20" s="123">
        <v>181</v>
      </c>
      <c r="AR20" s="123">
        <v>66</v>
      </c>
      <c r="AS20" s="126" t="s">
        <v>70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5 OZ, 1 (0+1), +7 ±</v>
      </c>
      <c r="AY20" s="129" t="str">
        <f t="shared" ca="1" si="2"/>
        <v>21 OZ, 7 (6+1)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6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834</v>
      </c>
      <c r="U21" s="102">
        <v>4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1</v>
      </c>
      <c r="AC21" s="102" t="str">
        <f t="shared" ca="1" si="0"/>
        <v>NE</v>
      </c>
      <c r="AG21" s="121" t="s">
        <v>472</v>
      </c>
      <c r="AH21" s="122"/>
      <c r="AI21" s="123"/>
      <c r="AJ21" s="123"/>
      <c r="AK21" s="123"/>
      <c r="AL21" s="124">
        <f>IF(AG21&lt;&gt;"",AJ21+AK21,"")</f>
        <v>0</v>
      </c>
      <c r="AM21" s="123" t="s">
        <v>303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6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458</v>
      </c>
      <c r="T22" s="102" t="s">
        <v>119</v>
      </c>
      <c r="U22" s="102">
        <v>4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2</v>
      </c>
      <c r="AC22" s="102" t="str">
        <f t="shared" ca="1" si="0"/>
        <v>NE</v>
      </c>
      <c r="AG22" s="121" t="s">
        <v>473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149</v>
      </c>
      <c r="AQ22" s="123">
        <v>185</v>
      </c>
      <c r="AR22" s="123">
        <v>75</v>
      </c>
      <c r="AS22" s="126" t="s">
        <v>70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6" t="s">
        <v>38</v>
      </c>
      <c r="BT22" s="104" t="s">
        <v>492</v>
      </c>
      <c r="BU22" s="103">
        <v>10</v>
      </c>
      <c r="BV22" s="104" t="str">
        <f t="shared" si="13"/>
        <v>Marek Beneš</v>
      </c>
      <c r="BW22" s="102">
        <f t="shared" si="14"/>
        <v>10</v>
      </c>
    </row>
    <row r="23" spans="1:75" ht="15" customHeight="1" thickTop="1" thickBot="1" x14ac:dyDescent="0.25">
      <c r="A23" s="348"/>
      <c r="B23" s="349"/>
      <c r="C23" s="349"/>
      <c r="D23" s="34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82" t="s">
        <v>13</v>
      </c>
      <c r="I23" s="382"/>
      <c r="J23" s="382"/>
      <c r="K23" s="382"/>
      <c r="M23" s="348"/>
      <c r="N23" s="349"/>
      <c r="O23" s="349"/>
      <c r="P23" s="34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457</v>
      </c>
      <c r="T23" s="102" t="s">
        <v>117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NE</v>
      </c>
      <c r="AG23" s="121" t="s">
        <v>459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149</v>
      </c>
      <c r="AQ23" s="123">
        <v>183</v>
      </c>
      <c r="AR23" s="123">
        <v>82</v>
      </c>
      <c r="AS23" s="126" t="s">
        <v>70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4 OZ, 1 (1+0), +3 ±</v>
      </c>
      <c r="AY23" s="129" t="str">
        <f t="shared" ca="1" si="2"/>
        <v>62 OZ, 10 (5+5)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6"/>
      <c r="BT23" s="104" t="s">
        <v>835</v>
      </c>
      <c r="BU23" s="103">
        <v>5</v>
      </c>
      <c r="BV23" s="104" t="str">
        <f t="shared" si="13"/>
        <v>David Šimek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1" t="str">
        <f ca="1">IFERROR(IF(VLOOKUP(A23,OFFSET($AG$2,,,COUNTIF($AG$2:$AG$50,"?*"),23),2,FALSE)&lt;&gt;0,YEAR(VLOOKUP(A23,OFFSET($AG$2,,,COUNTIF($AG$2:$AG$50,"?*"),23),2,FALSE)),""),"")</f>
        <v/>
      </c>
      <c r="C24" s="342"/>
      <c r="D24" s="117" t="str">
        <f ca="1">IFERROR(VLOOKUP(A23,OFFSET($AG$2,,,COUNTIF($AG$2:$AG$50,"?*"),23),15,FALSE),"")</f>
        <v/>
      </c>
      <c r="E24" s="343" t="str">
        <f ca="1">IFERROR(VLOOKUP(A23,OFFSET($AG$2,,,COUNTIF($AG$2:$AG$50,"?*"),23),16,FALSE),"")</f>
        <v/>
      </c>
      <c r="F24" s="344"/>
      <c r="M24" s="4" t="str">
        <f ca="1">IFERROR(IF(VLOOKUP(M23,OFFSET($AG$2,,,COUNTIF($AG$2:$AG$50,"?*"),23),10,FALSE)&lt;&gt;0,VLOOKUP(M23,OFFSET($AG$2,,,COUNTIF($AG$2:$AG$50,"?*"),23),10,FALSE),""),"")</f>
        <v/>
      </c>
      <c r="N24" s="341" t="str">
        <f ca="1">IFERROR(IF(VLOOKUP(M23,OFFSET($AG$2,,,COUNTIF($AG$2:$AG$50,"?*"),23),2,FALSE)&lt;&gt;0,YEAR(VLOOKUP(M23,OFFSET($AG$2,,,COUNTIF($AG$2:$AG$50,"?*"),23),2,FALSE)),""),"")</f>
        <v/>
      </c>
      <c r="O24" s="342"/>
      <c r="P24" s="117" t="str">
        <f ca="1">IFERROR(VLOOKUP(M23,OFFSET($AG$2,,,COUNTIF($AG$2:$AG$50,"?*"),23),15,FALSE),"")</f>
        <v/>
      </c>
      <c r="Q24" s="343" t="str">
        <f ca="1">IFERROR(VLOOKUP(M23,OFFSET($AG$2,,,COUNTIF($AG$2:$AG$50,"?*"),23),16,FALSE),"")</f>
        <v/>
      </c>
      <c r="R24" s="344"/>
      <c r="S24" s="110" t="s">
        <v>453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462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149</v>
      </c>
      <c r="AQ24" s="123">
        <v>179</v>
      </c>
      <c r="AR24" s="123">
        <v>80</v>
      </c>
      <c r="AS24" s="126" t="s">
        <v>482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6 OZ, 0 (0+0), -5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98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6"/>
      <c r="BT24" s="104" t="s">
        <v>1026</v>
      </c>
      <c r="BU24" s="103">
        <v>5</v>
      </c>
      <c r="BV24" s="104" t="str">
        <f t="shared" si="13"/>
        <v>Martin Šindelář</v>
      </c>
      <c r="BW24" s="102">
        <f t="shared" si="14"/>
        <v>5</v>
      </c>
    </row>
    <row r="25" spans="1:75" ht="15" customHeight="1" thickTop="1" thickBot="1" x14ac:dyDescent="0.25">
      <c r="A25" s="377" t="str">
        <f ca="1">IFERROR(VLOOKUP(A23,OFFSET($AG$2,,,COUNTIF($AG$2:$AG$50,"?*"),23),18,FALSE),"")</f>
        <v/>
      </c>
      <c r="B25" s="378"/>
      <c r="C25" s="378"/>
      <c r="D25" s="379" t="str">
        <f ca="1">IFERROR(VLOOKUP(A23,OFFSET($AG$2,,,COUNTIF($AG$2:$AG$50,"?*"),23),19,FALSE),"")</f>
        <v/>
      </c>
      <c r="E25" s="379"/>
      <c r="F25" s="380"/>
      <c r="G25" s="348"/>
      <c r="H25" s="349"/>
      <c r="I25" s="349"/>
      <c r="J25" s="34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7" t="str">
        <f ca="1">IFERROR(VLOOKUP(M23,OFFSET($AG$2,,,COUNTIF($AG$2:$AG$50,"?*"),23),18,FALSE),"")</f>
        <v/>
      </c>
      <c r="N25" s="378"/>
      <c r="O25" s="378"/>
      <c r="P25" s="379" t="str">
        <f ca="1">IFERROR(VLOOKUP(M23,OFFSET($AG$2,,,COUNTIF($AG$2:$AG$50,"?*"),23),19,FALSE),"")</f>
        <v/>
      </c>
      <c r="Q25" s="379"/>
      <c r="R25" s="380"/>
      <c r="S25" s="110" t="s">
        <v>462</v>
      </c>
      <c r="T25" s="102" t="s">
        <v>64</v>
      </c>
      <c r="U25" s="102">
        <v>6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-5</v>
      </c>
      <c r="AC25" s="102" t="str">
        <f t="shared" ca="1" si="0"/>
        <v>ANO</v>
      </c>
      <c r="AG25" s="121" t="s">
        <v>446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149</v>
      </c>
      <c r="AQ25" s="123">
        <v>185</v>
      </c>
      <c r="AR25" s="123">
        <v>83</v>
      </c>
      <c r="AS25" s="126" t="s">
        <v>313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6 OZ, 8 (3+5), -3 ±</v>
      </c>
      <c r="AY25" s="129" t="str">
        <f t="shared" ca="1" si="16"/>
        <v>106 OZ, 141 (73+68)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6"/>
      <c r="BT25" s="104" t="s">
        <v>1027</v>
      </c>
      <c r="BU25" s="103">
        <v>5</v>
      </c>
      <c r="BV25" s="104" t="str">
        <f t="shared" si="13"/>
        <v>Ondřej Němeček</v>
      </c>
      <c r="BW25" s="102">
        <f t="shared" si="14"/>
        <v>5</v>
      </c>
    </row>
    <row r="26" spans="1:75" ht="15" customHeight="1" thickBot="1" x14ac:dyDescent="0.25">
      <c r="A26" s="365" t="str">
        <f ca="1">IFERROR(IF(VLOOKUP(A23,OFFSET($AG$2,,,COUNTIF($AG$2:$AG$50,"?*"),23),13,FALSE)&lt;&gt;0,VLOOKUP(A23,OFFSET($AG$2,,,COUNTIF($AG$2:$AG$50,"?*"),23),13,FALSE),"?"),"")</f>
        <v/>
      </c>
      <c r="B26" s="366"/>
      <c r="C26" s="367"/>
      <c r="D26" s="368" t="str">
        <f ca="1">IFERROR(IF(VLOOKUP(A23,OFFSET($AG$2,,,COUNTIF($AG$2:$AG$50,"?*"),23),14,FALSE)&lt;&gt;0,VLOOKUP(A23,OFFSET($AG$2,,,COUNTIF($AG$2:$AG$50,"?*"),23),14,FALSE),"?"),"")</f>
        <v/>
      </c>
      <c r="E26" s="36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1" t="str">
        <f ca="1">IFERROR(IF(VLOOKUP(G25,OFFSET($AG$2,,,COUNTIF($AG$2:$AG$50,"?*"),23),2,FALSE)&lt;&gt;0,YEAR(VLOOKUP(G25,OFFSET($AG$2,,,COUNTIF($AG$2:$AG$50,"?*"),23),2,FALSE)),""),"")</f>
        <v/>
      </c>
      <c r="I26" s="342"/>
      <c r="J26" s="117" t="str">
        <f ca="1">IFERROR(VLOOKUP(G25,OFFSET($AG$2,,,COUNTIF($AG$2:$AG$50,"?*"),23),15,FALSE),"")</f>
        <v/>
      </c>
      <c r="K26" s="343" t="str">
        <f ca="1">IFERROR(VLOOKUP(G25,OFFSET($AG$2,,,COUNTIF($AG$2:$AG$50,"?*"),23),16,FALSE),"")</f>
        <v/>
      </c>
      <c r="L26" s="344"/>
      <c r="M26" s="365" t="str">
        <f ca="1">IFERROR(IF(VLOOKUP(M23,OFFSET($AG$2,,,COUNTIF($AG$2:$AG$50,"?*"),23),13,FALSE)&lt;&gt;0,VLOOKUP(M23,OFFSET($AG$2,,,COUNTIF($AG$2:$AG$50,"?*"),23),13,FALSE),"?"),"")</f>
        <v/>
      </c>
      <c r="N26" s="366"/>
      <c r="O26" s="367"/>
      <c r="P26" s="368" t="str">
        <f ca="1">IFERROR(IF(VLOOKUP(M23,OFFSET($AG$2,,,COUNTIF($AG$2:$AG$50,"?*"),23),14,FALSE)&lt;&gt;0,VLOOKUP(M23,OFFSET($AG$2,,,COUNTIF($AG$2:$AG$50,"?*"),23),14,FALSE),"?"),"")</f>
        <v/>
      </c>
      <c r="Q26" s="369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474</v>
      </c>
      <c r="AH26" s="122"/>
      <c r="AI26" s="123"/>
      <c r="AJ26" s="123"/>
      <c r="AK26" s="123"/>
      <c r="AL26" s="124">
        <f>IF(AG26&lt;&gt;"",AJ26+AK26,"")</f>
        <v>0</v>
      </c>
      <c r="AM26" s="123" t="s">
        <v>303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0 OZ, 0 (0+0)</v>
      </c>
      <c r="AY26" s="129" t="str">
        <f t="shared" ca="1" si="16"/>
        <v xml:space="preserve"> OZ, 0 (+)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6"/>
      <c r="BT26" s="104" t="s">
        <v>1028</v>
      </c>
      <c r="BU26" s="103">
        <v>4</v>
      </c>
      <c r="BV26" s="104" t="str">
        <f t="shared" si="13"/>
        <v>Jakub Kolísko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377" t="str">
        <f ca="1">IFERROR(VLOOKUP(G25,OFFSET($AG$2,,,COUNTIF($AG$2:$AG$50,"?*"),23),18,FALSE),"")</f>
        <v/>
      </c>
      <c r="H27" s="378"/>
      <c r="I27" s="378"/>
      <c r="J27" s="379" t="str">
        <f ca="1">IFERROR(VLOOKUP(G25,OFFSET($AG$2,,,COUNTIF($AG$2:$AG$50,"?*"),23),19,FALSE),"")</f>
        <v/>
      </c>
      <c r="K27" s="379"/>
      <c r="L27" s="380"/>
      <c r="S27" s="111"/>
      <c r="AC27" s="102" t="str">
        <f t="shared" ca="1" si="0"/>
        <v/>
      </c>
      <c r="AG27" s="121" t="s">
        <v>461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149</v>
      </c>
      <c r="AQ27" s="123">
        <v>185</v>
      </c>
      <c r="AR27" s="123">
        <v>90</v>
      </c>
      <c r="AS27" s="126" t="s">
        <v>483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3 OZ, 0 (0+0), +1 ±</v>
      </c>
      <c r="AY27" s="129" t="str">
        <f t="shared" ca="1" si="16"/>
        <v>57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6" t="s">
        <v>39</v>
      </c>
      <c r="BT27" s="104" t="s">
        <v>492</v>
      </c>
      <c r="BU27" s="103">
        <v>4</v>
      </c>
      <c r="BV27" s="104" t="str">
        <f t="shared" si="13"/>
        <v>Marek Beneš</v>
      </c>
      <c r="BW27" s="102">
        <f t="shared" si="14"/>
        <v>4</v>
      </c>
    </row>
    <row r="28" spans="1:75" ht="15" customHeight="1" thickTop="1" thickBot="1" x14ac:dyDescent="0.25">
      <c r="A28" s="348"/>
      <c r="B28" s="349"/>
      <c r="C28" s="349"/>
      <c r="D28" s="34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5" t="str">
        <f ca="1">IFERROR(IF(VLOOKUP(G25,OFFSET($AG$2,,,COUNTIF($AG$2:$AG$50,"?*"),23),13,FALSE)&lt;&gt;0,VLOOKUP(G25,OFFSET($AG$2,,,COUNTIF($AG$2:$AG$50,"?*"),23),13,FALSE),"?"),"")</f>
        <v/>
      </c>
      <c r="H28" s="366"/>
      <c r="I28" s="367"/>
      <c r="J28" s="368" t="str">
        <f ca="1">IFERROR(IF(VLOOKUP(G25,OFFSET($AG$2,,,COUNTIF($AG$2:$AG$50,"?*"),23),14,FALSE)&lt;&gt;0,VLOOKUP(G25,OFFSET($AG$2,,,COUNTIF($AG$2:$AG$50,"?*"),23),14,FALSE),"?"),"")</f>
        <v/>
      </c>
      <c r="K28" s="369"/>
      <c r="L28" s="7" t="str">
        <f ca="1">IFERROR(IF(VLOOKUP(G25,OFFSET($AG$2,,,COUNTIF($AG$2:$AG$50,"?*"),23),7,FALSE)&lt;&gt;0,VLOOKUP(G25,OFFSET($AG$2,,,COUNTIF($AG$2:$AG$50,"?*"),23),7,FALSE),"?"),"")</f>
        <v/>
      </c>
      <c r="M28" s="348"/>
      <c r="N28" s="349"/>
      <c r="O28" s="349"/>
      <c r="P28" s="34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464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149</v>
      </c>
      <c r="AQ28" s="123">
        <v>180</v>
      </c>
      <c r="AR28" s="123">
        <v>70</v>
      </c>
      <c r="AS28" s="126" t="s">
        <v>484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6 OZ, 1 (1+0), +10 ±</v>
      </c>
      <c r="AY28" s="129" t="str">
        <f t="shared" ca="1" si="16"/>
        <v>125 OZ, 58 (26+32)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6"/>
      <c r="BT28" s="104" t="s">
        <v>1332</v>
      </c>
      <c r="BU28" s="103">
        <v>4</v>
      </c>
      <c r="BV28" s="104" t="str">
        <f t="shared" si="13"/>
        <v>Martin Čermák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1" t="str">
        <f ca="1">IFERROR(IF(VLOOKUP(A28,OFFSET($AG$2,,,COUNTIF($AG$2:$AG$50,"?*"),23),2,FALSE)&lt;&gt;0,YEAR(VLOOKUP(A28,OFFSET($AG$2,,,COUNTIF($AG$2:$AG$50,"?*"),23),2,FALSE)),""),"")</f>
        <v/>
      </c>
      <c r="C29" s="342"/>
      <c r="D29" s="117" t="str">
        <f ca="1">IFERROR(VLOOKUP(A28,OFFSET($AG$2,,,COUNTIF($AG$2:$AG$50,"?*"),23),15,FALSE),"")</f>
        <v/>
      </c>
      <c r="E29" s="343" t="str">
        <f ca="1">IFERROR(VLOOKUP(A28,OFFSET($AG$2,,,COUNTIF($AG$2:$AG$50,"?*"),23),16,FALSE),"")</f>
        <v/>
      </c>
      <c r="F29" s="344"/>
      <c r="M29" s="4" t="str">
        <f ca="1">IFERROR(IF(VLOOKUP(M28,OFFSET($AG$2,,,COUNTIF($AG$2:$AG$50,"?*"),23),10,FALSE)&lt;&gt;0,VLOOKUP(M28,OFFSET($AG$2,,,COUNTIF($AG$2:$AG$50,"?*"),23),10,FALSE),""),"")</f>
        <v/>
      </c>
      <c r="N29" s="341" t="str">
        <f ca="1">IFERROR(IF(VLOOKUP(M28,OFFSET($AG$2,,,COUNTIF($AG$2:$AG$50,"?*"),23),2,FALSE)&lt;&gt;0,YEAR(VLOOKUP(M28,OFFSET($AG$2,,,COUNTIF($AG$2:$AG$50,"?*"),23),2,FALSE)),""),"")</f>
        <v/>
      </c>
      <c r="O29" s="342"/>
      <c r="P29" s="117" t="str">
        <f ca="1">IFERROR(VLOOKUP(M28,OFFSET($AG$2,,,COUNTIF($AG$2:$AG$50,"?*"),23),15,FALSE),"")</f>
        <v/>
      </c>
      <c r="Q29" s="343" t="str">
        <f ca="1">IFERROR(VLOOKUP(M28,OFFSET($AG$2,,,COUNTIF($AG$2:$AG$50,"?*"),23),16,FALSE),"")</f>
        <v/>
      </c>
      <c r="R29" s="344"/>
      <c r="S29" s="111"/>
      <c r="AC29" s="102" t="str">
        <f t="shared" ca="1" si="0"/>
        <v/>
      </c>
      <c r="AG29" s="121" t="s">
        <v>475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303</v>
      </c>
      <c r="AN29" s="123">
        <v>50</v>
      </c>
      <c r="AO29" s="125"/>
      <c r="AP29" s="125" t="s">
        <v>149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36"/>
      <c r="BT29" s="104" t="s">
        <v>1333</v>
      </c>
      <c r="BU29" s="103">
        <v>2</v>
      </c>
      <c r="BV29" s="104" t="str">
        <f t="shared" si="13"/>
        <v>Jonáš Kreysa</v>
      </c>
      <c r="BW29" s="102">
        <f t="shared" si="14"/>
        <v>2</v>
      </c>
    </row>
    <row r="30" spans="1:75" ht="15" customHeight="1" x14ac:dyDescent="0.2">
      <c r="A30" s="377" t="str">
        <f ca="1">IFERROR(VLOOKUP(A28,OFFSET($AG$2,,,COUNTIF($AG$2:$AG$50,"?*"),23),18,FALSE),"")</f>
        <v/>
      </c>
      <c r="B30" s="378"/>
      <c r="C30" s="378"/>
      <c r="D30" s="379" t="str">
        <f ca="1">IFERROR(VLOOKUP(A28,OFFSET($AG$2,,,COUNTIF($AG$2:$AG$50,"?*"),23),19,FALSE),"")</f>
        <v/>
      </c>
      <c r="E30" s="379"/>
      <c r="F30" s="380"/>
      <c r="H30" s="381" t="str">
        <f>H$8</f>
        <v>TAT</v>
      </c>
      <c r="I30" s="381"/>
      <c r="J30" s="381"/>
      <c r="K30" s="381"/>
      <c r="M30" s="377" t="str">
        <f ca="1">IFERROR(VLOOKUP(M28,OFFSET($AG$2,,,COUNTIF($AG$2:$AG$50,"?*"),23),18,FALSE),"")</f>
        <v/>
      </c>
      <c r="N30" s="378"/>
      <c r="O30" s="378"/>
      <c r="P30" s="379" t="str">
        <f ca="1">IFERROR(VLOOKUP(M28,OFFSET($AG$2,,,COUNTIF($AG$2:$AG$50,"?*"),23),19,FALSE),"")</f>
        <v/>
      </c>
      <c r="Q30" s="379"/>
      <c r="R30" s="380"/>
      <c r="S30" s="111"/>
      <c r="AC30" s="102" t="str">
        <f t="shared" ca="1" si="0"/>
        <v/>
      </c>
      <c r="AG30" s="121" t="s">
        <v>476</v>
      </c>
      <c r="AH30" s="122"/>
      <c r="AI30" s="123"/>
      <c r="AJ30" s="123"/>
      <c r="AK30" s="123"/>
      <c r="AL30" s="124">
        <f>IF(AG30&lt;&gt;"",AJ30+AK30,"")</f>
        <v>0</v>
      </c>
      <c r="AM30" s="123" t="s">
        <v>303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36"/>
      <c r="BT30" s="104" t="s">
        <v>1334</v>
      </c>
      <c r="BU30" s="103">
        <v>2</v>
      </c>
      <c r="BV30" s="104" t="str">
        <f t="shared" si="13"/>
        <v>Martin Šindelář</v>
      </c>
      <c r="BW30" s="102">
        <f t="shared" si="14"/>
        <v>2</v>
      </c>
    </row>
    <row r="31" spans="1:75" ht="15" customHeight="1" thickBot="1" x14ac:dyDescent="0.25">
      <c r="A31" s="365" t="str">
        <f ca="1">IFERROR(IF(VLOOKUP(A28,OFFSET($AG$2,,,COUNTIF($AG$2:$AG$50,"?*"),23),13,FALSE)&lt;&gt;0,VLOOKUP(A28,OFFSET($AG$2,,,COUNTIF($AG$2:$AG$50,"?*"),23),13,FALSE),"?"),"")</f>
        <v/>
      </c>
      <c r="B31" s="366"/>
      <c r="C31" s="367"/>
      <c r="D31" s="368" t="str">
        <f ca="1">IFERROR(IF(VLOOKUP(A28,OFFSET($AG$2,,,COUNTIF($AG$2:$AG$50,"?*"),23),14,FALSE)&lt;&gt;0,VLOOKUP(A28,OFFSET($AG$2,,,COUNTIF($AG$2:$AG$50,"?*"),23),14,FALSE),"?"),"")</f>
        <v/>
      </c>
      <c r="E31" s="369"/>
      <c r="F31" s="7" t="str">
        <f ca="1">IFERROR(IF(VLOOKUP(A28,OFFSET($AG$2,,,COUNTIF($AG$2:$AG$50,"?*"),23),7,FALSE)&lt;&gt;0,VLOOKUP(A28,OFFSET($AG$2,,,COUNTIF($AG$2:$AG$50,"?*"),23),7,FALSE),"?"),"")</f>
        <v/>
      </c>
      <c r="H31" s="381"/>
      <c r="I31" s="381"/>
      <c r="J31" s="381"/>
      <c r="K31" s="381"/>
      <c r="M31" s="365" t="str">
        <f ca="1">IFERROR(IF(VLOOKUP(M28,OFFSET($AG$2,,,COUNTIF($AG$2:$AG$50,"?*"),23),13,FALSE)&lt;&gt;0,VLOOKUP(M28,OFFSET($AG$2,,,COUNTIF($AG$2:$AG$50,"?*"),23),13,FALSE),"?"),"")</f>
        <v/>
      </c>
      <c r="N31" s="366"/>
      <c r="O31" s="367"/>
      <c r="P31" s="368" t="str">
        <f ca="1">IFERROR(IF(VLOOKUP(M28,OFFSET($AG$2,,,COUNTIF($AG$2:$AG$50,"?*"),23),14,FALSE)&lt;&gt;0,VLOOKUP(M28,OFFSET($AG$2,,,COUNTIF($AG$2:$AG$50,"?*"),23),14,FALSE),"?"),"")</f>
        <v/>
      </c>
      <c r="Q31" s="36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344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149</v>
      </c>
      <c r="AQ31" s="123">
        <v>183</v>
      </c>
      <c r="AR31" s="123">
        <v>81</v>
      </c>
      <c r="AS31" s="126" t="s">
        <v>485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36"/>
      <c r="BT31" s="104" t="s">
        <v>1327</v>
      </c>
      <c r="BU31" s="103">
        <v>2</v>
      </c>
      <c r="BV31" s="104" t="str">
        <f t="shared" si="13"/>
        <v>Matěj Havlas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8"/>
      <c r="B34" s="349"/>
      <c r="C34" s="349"/>
      <c r="D34" s="34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6" t="s">
        <v>16</v>
      </c>
      <c r="J34" s="348"/>
      <c r="K34" s="349"/>
      <c r="L34" s="349"/>
      <c r="M34" s="349"/>
      <c r="N34" s="349"/>
      <c r="O34" s="349"/>
      <c r="P34" s="34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1" t="str">
        <f ca="1">IFERROR(IF(VLOOKUP(A34,OFFSET($AG$2,,,COUNTIF($AG$2:$AG$50,"?*"),23),2,FALSE)&lt;&gt;0,YEAR(VLOOKUP(A34,OFFSET($AG$2,,,COUNTIF($AG$2:$AG$50,"?*"),23),2,FALSE)),""),"")</f>
        <v/>
      </c>
      <c r="C35" s="342"/>
      <c r="D35" s="117" t="str">
        <f ca="1">IFERROR(VLOOKUP(A34,OFFSET($AG$2,,,COUNTIF($AG$2:$AG$50,"?*"),23),15,FALSE),"")</f>
        <v/>
      </c>
      <c r="E35" s="343" t="str">
        <f ca="1">IFERROR(VLOOKUP(A34,OFFSET($AG$2,,,COUNTIF($AG$2:$AG$50,"?*"),23),16,FALSE),"")</f>
        <v/>
      </c>
      <c r="F35" s="344"/>
      <c r="H35" s="376"/>
      <c r="J35" s="4" t="str">
        <f ca="1">IFERROR(IF(VLOOKUP(J34,OFFSET($AG$2,,,COUNTIF($AG$2:$AG$50,"?*"),23),10,FALSE)&lt;&gt;0,VLOOKUP(J34,OFFSET($AG$2,,,COUNTIF($AG$2:$AG$50,"?*"),23),10,FALSE),""),"")</f>
        <v/>
      </c>
      <c r="K35" s="342" t="str">
        <f ca="1">IFERROR(IF(VLOOKUP(J34,OFFSET($AG$2,,,COUNTIF($AG$2:$AG$50,"?*"),23),2,FALSE)&lt;&gt;0,YEAR(VLOOKUP(J34,OFFSET($AG$2,,,COUNTIF($AG$2:$AG$50,"?*"),23),2,FALSE)),""),"")</f>
        <v/>
      </c>
      <c r="L35" s="350"/>
      <c r="M35" s="118" t="str">
        <f ca="1">IFERROR(VLOOKUP(J34,OFFSET($AG$2,,,COUNTIF($AG$2:$AG$50,"?*"),23),15,FALSE),"")</f>
        <v/>
      </c>
      <c r="N35" s="350" t="str">
        <f ca="1">IFERROR(VLOOKUP(J34,OFFSET($AG$2,,,COUNTIF($AG$2:$AG$50,"?*"),23),16,FALSE),"")</f>
        <v/>
      </c>
      <c r="O35" s="350"/>
      <c r="P35" s="350" t="str">
        <f ca="1">IFERROR(VLOOKUP(J34,OFFSET($AG$2,,,COUNTIF($AG$2:$AG$50,"?*"),23),18,FALSE),"")</f>
        <v/>
      </c>
      <c r="Q35" s="350"/>
      <c r="R35" s="35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5" t="str">
        <f ca="1">IFERROR(VLOOKUP(A34,OFFSET($AG$2,,,COUNTIF($AG$2:$AG$50,"?*"),23),18,FALSE),"")</f>
        <v/>
      </c>
      <c r="C36" s="345"/>
      <c r="D36" s="346" t="str">
        <f ca="1">IFERROR(VLOOKUP(A34,OFFSET($S$45,,,COUNTIF($S$45:$S$50,"?*"),14),5,FALSE),"")</f>
        <v/>
      </c>
      <c r="E36" s="347"/>
      <c r="F36" s="17" t="str">
        <f ca="1">IFERROR(VLOOKUP(A34,OFFSET($S$45,,,COUNTIF($S$45:$S$50,"?*"),14),14,FALSE),"")</f>
        <v/>
      </c>
      <c r="H36" s="376"/>
      <c r="J36" s="18" t="str">
        <f ca="1">IFERROR(IF(VLOOKUP(J34,OFFSET($AG$2,,,COUNTIF($AG$2:$AG$50,"?*"),23),7,FALSE)&lt;&gt;0,VLOOKUP(J34,OFFSET($AG$2,,,COUNTIF($AG$2:$AG$50,"?*"),23),7,FALSE),"?"),"")</f>
        <v/>
      </c>
      <c r="K36" s="352" t="str">
        <f ca="1">IFERROR(VLOOKUP(J34,OFFSET($AG$2,,,COUNTIF($AG$2:$AG$50,"?*"),23),19,FALSE),"")</f>
        <v/>
      </c>
      <c r="L36" s="352"/>
      <c r="M36" s="352"/>
      <c r="N36" s="353" t="str">
        <f ca="1">IFERROR(IF(VLOOKUP(J34,OFFSET($AG$2,,,COUNTIF($AG$2:$AG$50,"?*"),23),13,FALSE)&lt;&gt;0,VLOOKUP(J34,OFFSET($AG$2,,,COUNTIF($AG$2:$AG$50,"?*"),23),13,FALSE),"?"),"")</f>
        <v/>
      </c>
      <c r="O36" s="353"/>
      <c r="P36" s="353"/>
      <c r="Q36" s="352" t="str">
        <f ca="1">IFERROR(IF(VLOOKUP(J34,OFFSET($AG$2,,,COUNTIF($AG$2:$AG$50,"?*"),23),14,FALSE)&lt;&gt;0,VLOOKUP(J34,OFFSET($AG$2,,,COUNTIF($AG$2:$AG$50,"?*"),23),14,FALSE),"?"),"")</f>
        <v/>
      </c>
      <c r="R36" s="35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0" t="str">
        <f ca="1">IFERROR(VLOOKUP(A34,OFFSET($S$45,,,COUNTIF($S$45:$S$50,"?*"),14),3,FALSE),"")</f>
        <v/>
      </c>
      <c r="B37" s="371"/>
      <c r="C37" s="372" t="str">
        <f ca="1">IFERROR(VLOOKUP(A34,OFFSET($S$45,,,COUNTIF($S$45:$S$50,"?*"),14),13,FALSE),"")</f>
        <v/>
      </c>
      <c r="D37" s="373"/>
      <c r="E37" s="374" t="str">
        <f ca="1">IFERROR(VLOOKUP(A34,OFFSET($AG$2,,,COUNTIF($AG$2:$AG$50,"?*"),23),19,FALSE),"")</f>
        <v/>
      </c>
      <c r="F37" s="375"/>
      <c r="H37" s="37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5" t="str">
        <f ca="1">IFERROR(IF(VLOOKUP(A34,OFFSET($AG$2,,,COUNTIF($AG$2:$AG$50,"?*"),23),13,FALSE)&lt;&gt;0,VLOOKUP(A34,OFFSET($AG$2,,,COUNTIF($AG$2:$AG$50,"?*"),23),13,FALSE),"?"),"")</f>
        <v/>
      </c>
      <c r="B38" s="366"/>
      <c r="C38" s="367"/>
      <c r="D38" s="368" t="str">
        <f ca="1">IFERROR(IF(VLOOKUP(A34,OFFSET($AG$2,,,COUNTIF($AG$2:$AG$50,"?*"),23),14,FALSE)&lt;&gt;0,VLOOKUP(A34,OFFSET($AG$2,,,COUNTIF($AG$2:$AG$50,"?*"),23),14,FALSE),"?"),"")</f>
        <v/>
      </c>
      <c r="E38" s="369"/>
      <c r="F38" s="19" t="str">
        <f ca="1">IFERROR(VLOOKUP(A34,OFFSET($S$45,,,COUNTIF($S$45:$S$50,"?*"),14),6,FALSE),"")</f>
        <v/>
      </c>
      <c r="H38" s="376"/>
      <c r="J38" s="348"/>
      <c r="K38" s="349"/>
      <c r="L38" s="349"/>
      <c r="M38" s="349"/>
      <c r="N38" s="349"/>
      <c r="O38" s="349"/>
      <c r="P38" s="34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6"/>
      <c r="J39" s="4" t="str">
        <f ca="1">IFERROR(IF(VLOOKUP(J38,OFFSET($AG$2,,,COUNTIF($AG$2:$AG$50,"?*"),23),10,FALSE)&lt;&gt;0,VLOOKUP(J38,OFFSET($AG$2,,,COUNTIF($AG$2:$AG$50,"?*"),23),10,FALSE),""),"")</f>
        <v/>
      </c>
      <c r="K39" s="342" t="str">
        <f ca="1">IFERROR(IF(VLOOKUP(J38,OFFSET($AG$2,,,COUNTIF($AG$2:$AG$50,"?*"),23),2,FALSE)&lt;&gt;0,YEAR(VLOOKUP(J38,OFFSET($AG$2,,,COUNTIF($AG$2:$AG$50,"?*"),23),2,FALSE)),""),"")</f>
        <v/>
      </c>
      <c r="L39" s="350"/>
      <c r="M39" s="151" t="str">
        <f ca="1">IFERROR(VLOOKUP(J38,OFFSET($AG$2,,,COUNTIF($AG$2:$AG$50,"?*"),23),15,FALSE),"")</f>
        <v/>
      </c>
      <c r="N39" s="350" t="str">
        <f ca="1">IFERROR(VLOOKUP(J38,OFFSET($AG$2,,,COUNTIF($AG$2:$AG$50,"?*"),23),16,FALSE),"")</f>
        <v/>
      </c>
      <c r="O39" s="350"/>
      <c r="P39" s="350" t="str">
        <f ca="1">IFERROR(VLOOKUP(J38,OFFSET($AG$2,,,COUNTIF($AG$2:$AG$50,"?*"),23),18,FALSE),"")</f>
        <v/>
      </c>
      <c r="Q39" s="350"/>
      <c r="R39" s="35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8"/>
      <c r="B40" s="349"/>
      <c r="C40" s="349"/>
      <c r="D40" s="34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6"/>
      <c r="J40" s="18" t="str">
        <f ca="1">IFERROR(IF(VLOOKUP(J38,OFFSET($AG$2,,,COUNTIF($AG$2:$AG$50,"?*"),23),7,FALSE)&lt;&gt;0,VLOOKUP(J38,OFFSET($AG$2,,,COUNTIF($AG$2:$AG$50,"?*"),23),7,FALSE),"?"),"")</f>
        <v/>
      </c>
      <c r="K40" s="352" t="str">
        <f ca="1">IFERROR(VLOOKUP(J38,OFFSET($AG$2,,,COUNTIF($AG$2:$AG$50,"?*"),23),19,FALSE),"")</f>
        <v/>
      </c>
      <c r="L40" s="352"/>
      <c r="M40" s="352"/>
      <c r="N40" s="353" t="str">
        <f ca="1">IFERROR(IF(VLOOKUP(J38,OFFSET($AG$2,,,COUNTIF($AG$2:$AG$50,"?*"),23),13,FALSE)&lt;&gt;0,VLOOKUP(J38,OFFSET($AG$2,,,COUNTIF($AG$2:$AG$50,"?*"),23),13,FALSE),"?"),"")</f>
        <v/>
      </c>
      <c r="O40" s="353"/>
      <c r="P40" s="353"/>
      <c r="Q40" s="352" t="str">
        <f ca="1">IFERROR(IF(VLOOKUP(J38,OFFSET($AG$2,,,COUNTIF($AG$2:$AG$50,"?*"),23),14,FALSE)&lt;&gt;0,VLOOKUP(J38,OFFSET($AG$2,,,COUNTIF($AG$2:$AG$50,"?*"),23),14,FALSE),"?"),"")</f>
        <v/>
      </c>
      <c r="R40" s="35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1" t="str">
        <f ca="1">IFERROR(IF(VLOOKUP(A40,OFFSET($AG$2,,,COUNTIF($AG$2:$AG$50,"?*"),23),2,FALSE)&lt;&gt;0,YEAR(VLOOKUP(A40,OFFSET($AG$2,,,COUNTIF($AG$2:$AG$50,"?*"),23),2,FALSE)),""),"")</f>
        <v/>
      </c>
      <c r="C41" s="342"/>
      <c r="D41" s="117" t="str">
        <f ca="1">IFERROR(VLOOKUP(A40,OFFSET($AG$2,,,COUNTIF($AG$2:$AG$50,"?*"),23),15,FALSE),"")</f>
        <v/>
      </c>
      <c r="E41" s="343" t="str">
        <f ca="1">IFERROR(VLOOKUP(A40,OFFSET($AG$2,,,COUNTIF($AG$2:$AG$50,"?*"),23),16,FALSE),"")</f>
        <v/>
      </c>
      <c r="F41" s="344"/>
      <c r="H41" s="37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5" t="str">
        <f ca="1">IFERROR(VLOOKUP(A40,OFFSET($AG$2,,,COUNTIF($AG$2:$AG$50,"?*"),23),18,FALSE),"")</f>
        <v/>
      </c>
      <c r="C42" s="345"/>
      <c r="D42" s="346" t="str">
        <f ca="1">IFERROR(VLOOKUP(A40,OFFSET($S$45,,,COUNTIF($S$45:$S$50,"?*"),14),5,FALSE),"")</f>
        <v/>
      </c>
      <c r="E42" s="347"/>
      <c r="F42" s="17" t="str">
        <f ca="1">IFERROR(VLOOKUP(A40,OFFSET($S$45,,,COUNTIF($S$45:$S$50,"?*"),14),14,FALSE),"")</f>
        <v/>
      </c>
      <c r="H42" s="376"/>
      <c r="J42" s="348"/>
      <c r="K42" s="349"/>
      <c r="L42" s="349"/>
      <c r="M42" s="349"/>
      <c r="N42" s="349"/>
      <c r="O42" s="349"/>
      <c r="P42" s="34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0" t="str">
        <f ca="1">IFERROR(VLOOKUP(A40,OFFSET($S$45,,,COUNTIF($S$45:$S$50,"?*"),14),3,FALSE),"")</f>
        <v/>
      </c>
      <c r="B43" s="371"/>
      <c r="C43" s="372" t="str">
        <f ca="1">IFERROR(VLOOKUP(A40,OFFSET($S$45,,,COUNTIF($S$45:$S$50,"?*"),14),13,FALSE),"")</f>
        <v/>
      </c>
      <c r="D43" s="373"/>
      <c r="E43" s="374" t="str">
        <f ca="1">IFERROR(VLOOKUP(A40,OFFSET($AG$2,,,COUNTIF($AG$2:$AG$50,"?*"),23),19,FALSE),"")</f>
        <v/>
      </c>
      <c r="F43" s="375"/>
      <c r="H43" s="376"/>
      <c r="J43" s="4" t="str">
        <f ca="1">IFERROR(IF(VLOOKUP(J42,OFFSET($AG$2,,,COUNTIF($AG$2:$AG$50,"?*"),23),10,FALSE)&lt;&gt;0,VLOOKUP(J42,OFFSET($AG$2,,,COUNTIF($AG$2:$AG$50,"?*"),23),10,FALSE),""),"")</f>
        <v/>
      </c>
      <c r="K43" s="342" t="str">
        <f ca="1">IFERROR(IF(VLOOKUP(J42,OFFSET($AG$2,,,COUNTIF($AG$2:$AG$50,"?*"),23),2,FALSE)&lt;&gt;0,YEAR(VLOOKUP(J42,OFFSET($AG$2,,,COUNTIF($AG$2:$AG$50,"?*"),23),2,FALSE)),""),"")</f>
        <v/>
      </c>
      <c r="L43" s="350"/>
      <c r="M43" s="151" t="str">
        <f ca="1">IFERROR(VLOOKUP(J42,OFFSET($AG$2,,,COUNTIF($AG$2:$AG$50,"?*"),23),15,FALSE),"")</f>
        <v/>
      </c>
      <c r="N43" s="350" t="str">
        <f ca="1">IFERROR(VLOOKUP(J42,OFFSET($AG$2,,,COUNTIF($AG$2:$AG$50,"?*"),23),16,FALSE),"")</f>
        <v/>
      </c>
      <c r="O43" s="350"/>
      <c r="P43" s="350" t="str">
        <f ca="1">IFERROR(VLOOKUP(J42,OFFSET($AG$2,,,COUNTIF($AG$2:$AG$50,"?*"),23),18,FALSE),"")</f>
        <v/>
      </c>
      <c r="Q43" s="350"/>
      <c r="R43" s="351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5" t="str">
        <f ca="1">IFERROR(IF(VLOOKUP(A40,OFFSET($AG$2,,,COUNTIF($AG$2:$AG$50,"?*"),23),13,FALSE)&lt;&gt;0,VLOOKUP(A40,OFFSET($AG$2,,,COUNTIF($AG$2:$AG$50,"?*"),23),13,FALSE),"?"),"")</f>
        <v/>
      </c>
      <c r="B44" s="366"/>
      <c r="C44" s="367"/>
      <c r="D44" s="368" t="str">
        <f ca="1">IFERROR(IF(VLOOKUP(A40,OFFSET($AG$2,,,COUNTIF($AG$2:$AG$50,"?*"),23),14,FALSE)&lt;&gt;0,VLOOKUP(A40,OFFSET($AG$2,,,COUNTIF($AG$2:$AG$50,"?*"),23),14,FALSE),"?"),"")</f>
        <v/>
      </c>
      <c r="E44" s="369"/>
      <c r="F44" s="19" t="str">
        <f ca="1">IFERROR(VLOOKUP(A40,OFFSET($S$45,,,COUNTIF($S$45:$S$50,"?*"),14),6,FALSE),"")</f>
        <v/>
      </c>
      <c r="H44" s="376"/>
      <c r="J44" s="18" t="str">
        <f ca="1">IFERROR(IF(VLOOKUP(J42,OFFSET($AG$2,,,COUNTIF($AG$2:$AG$50,"?*"),23),7,FALSE)&lt;&gt;0,VLOOKUP(J42,OFFSET($AG$2,,,COUNTIF($AG$2:$AG$50,"?*"),23),7,FALSE),"?"),"")</f>
        <v/>
      </c>
      <c r="K44" s="352" t="str">
        <f ca="1">IFERROR(VLOOKUP(J42,OFFSET($AG$2,,,COUNTIF($AG$2:$AG$50,"?*"),23),19,FALSE),"")</f>
        <v/>
      </c>
      <c r="L44" s="352"/>
      <c r="M44" s="352"/>
      <c r="N44" s="353" t="str">
        <f ca="1">IFERROR(IF(VLOOKUP(J42,OFFSET($AG$2,,,COUNTIF($AG$2:$AG$50,"?*"),23),13,FALSE)&lt;&gt;0,VLOOKUP(J42,OFFSET($AG$2,,,COUNTIF($AG$2:$AG$50,"?*"),23),13,FALSE),"?"),"")</f>
        <v/>
      </c>
      <c r="O44" s="353"/>
      <c r="P44" s="353"/>
      <c r="Q44" s="352" t="str">
        <f ca="1">IFERROR(IF(VLOOKUP(J42,OFFSET($AG$2,,,COUNTIF($AG$2:$AG$50,"?*"),23),14,FALSE)&lt;&gt;0,VLOOKUP(J42,OFFSET($AG$2,,,COUNTIF($AG$2:$AG$50,"?*"),23),14,FALSE),"?"),"")</f>
        <v/>
      </c>
      <c r="R44" s="354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453</v>
      </c>
      <c r="T45" s="102">
        <v>6</v>
      </c>
      <c r="U45" s="112">
        <v>360</v>
      </c>
      <c r="V45" s="102">
        <v>6</v>
      </c>
      <c r="W45" s="102">
        <v>25</v>
      </c>
      <c r="X45" s="102">
        <v>0</v>
      </c>
      <c r="Y45" s="102">
        <v>120</v>
      </c>
      <c r="Z45" s="102">
        <v>0</v>
      </c>
      <c r="AA45" s="102">
        <v>0</v>
      </c>
      <c r="AB45" s="102">
        <v>95</v>
      </c>
      <c r="AC45" s="102">
        <v>0</v>
      </c>
      <c r="AD45" s="102">
        <v>0</v>
      </c>
      <c r="AE45" s="112">
        <f>IF(S45&lt;&gt;"",IF(T45&gt;0,W45/(U45/60),0),"")</f>
        <v>4.166666666666667</v>
      </c>
      <c r="AF45" s="112">
        <f>IF(S45&lt;&gt;"",IF(Y45&gt;0,(AB45/Y45)*100,"-"),"")</f>
        <v>79.166666666666657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457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7"/>
      <c r="B47" s="338"/>
      <c r="C47" s="338"/>
      <c r="D47" s="338"/>
      <c r="E47" s="339" t="str">
        <f ca="1">IFERROR(VLOOKUP(A47,OFFSET($BN$2,,,COUNTIF($BN$2:$BN$11,"?*"),5),3,FALSE),"")</f>
        <v/>
      </c>
      <c r="F47" s="339"/>
      <c r="G47" s="339"/>
      <c r="H47" s="339"/>
      <c r="I47" s="340"/>
      <c r="J47" s="337"/>
      <c r="K47" s="338"/>
      <c r="L47" s="338"/>
      <c r="M47" s="338"/>
      <c r="N47" s="339" t="str">
        <f ca="1">IFERROR(VLOOKUP(J47,OFFSET($BN$2,,,COUNTIF($BN$2:$BN$11,"?*"),5),3,FALSE),"")</f>
        <v/>
      </c>
      <c r="O47" s="339"/>
      <c r="P47" s="339"/>
      <c r="Q47" s="339"/>
      <c r="R47" s="340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5" t="str">
        <f ca="1">IFERROR(VLOOKUP(A47,OFFSET($BN$2,,,COUNTIF($BN$2:$BN$11,"?*"),5),5,FALSE),"")</f>
        <v/>
      </c>
      <c r="B48" s="357" t="str">
        <f ca="1">IFERROR(IF(VLOOKUP(A47,OFFSET($BN$2,,,COUNTIF($BN$2:$BN$11,"?*"),5),4,FALSE)&lt;&gt;0,VLOOKUP(A47,OFFSET($BN$2,,,COUNTIF($BN$2:$BN$11,"?*"),5),4,FALSE),"-"),"")</f>
        <v/>
      </c>
      <c r="C48" s="357"/>
      <c r="D48" s="357"/>
      <c r="E48" s="357"/>
      <c r="F48" s="357"/>
      <c r="G48" s="357"/>
      <c r="H48" s="357"/>
      <c r="I48" s="358"/>
      <c r="J48" s="119" t="str">
        <f ca="1">IFERROR(VLOOKUP(J47,OFFSET($BN$2,,,COUNTIF($BN$2:$BN$11,"?*"),5),5,FALSE),"")</f>
        <v/>
      </c>
      <c r="K48" s="361" t="str">
        <f ca="1">IFERROR(IF(VLOOKUP(J47,OFFSET($BN$2,,,COUNTIF($BN$2:$BN$11,"?*"),5),4,FALSE)&lt;&gt;0,VLOOKUP(J47,OFFSET($BN$2,,,COUNTIF($BN$2:$BN$11,"?*"),5),4,FALSE),"-"),"")</f>
        <v/>
      </c>
      <c r="L48" s="361"/>
      <c r="M48" s="361"/>
      <c r="N48" s="361"/>
      <c r="O48" s="361"/>
      <c r="P48" s="361"/>
      <c r="Q48" s="361"/>
      <c r="R48" s="362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5"/>
      <c r="B49" s="357"/>
      <c r="C49" s="357"/>
      <c r="D49" s="357"/>
      <c r="E49" s="357"/>
      <c r="F49" s="357"/>
      <c r="G49" s="357"/>
      <c r="H49" s="357"/>
      <c r="I49" s="358"/>
      <c r="J49" s="363"/>
      <c r="K49" s="364"/>
      <c r="L49" s="364"/>
      <c r="M49" s="364"/>
      <c r="N49" s="339" t="str">
        <f ca="1">IFERROR(VLOOKUP(J49,OFFSET($BN$2,,,COUNTIF($BN$2:$BN$11,"?*"),5),3,FALSE),"")</f>
        <v/>
      </c>
      <c r="O49" s="339"/>
      <c r="P49" s="339"/>
      <c r="Q49" s="339"/>
      <c r="R49" s="340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6"/>
      <c r="B50" s="359"/>
      <c r="C50" s="359"/>
      <c r="D50" s="359"/>
      <c r="E50" s="359"/>
      <c r="F50" s="359"/>
      <c r="G50" s="359"/>
      <c r="H50" s="359"/>
      <c r="I50" s="360"/>
      <c r="J50" s="119" t="str">
        <f ca="1">IFERROR(VLOOKUP(J49,OFFSET($BN$2,,,COUNTIF($BN$2:$BN$11,"?*"),5),5,FALSE),"")</f>
        <v/>
      </c>
      <c r="K50" s="361" t="str">
        <f ca="1">IFERROR(IF(VLOOKUP(J49,OFFSET($BN$2,,,COUNTIF($BN$2:$BN$11,"?*"),5),4,FALSE)&lt;&gt;0,VLOOKUP(J49,OFFSET($BN$2,,,COUNTIF($BN$2:$BN$11,"?*"),5),4,FALSE),"-"),"")</f>
        <v/>
      </c>
      <c r="L50" s="361"/>
      <c r="M50" s="361"/>
      <c r="N50" s="361"/>
      <c r="O50" s="361"/>
      <c r="P50" s="361"/>
      <c r="Q50" s="361"/>
      <c r="R50" s="362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topLeftCell="A1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48"/>
      <c r="B1" s="349"/>
      <c r="C1" s="349"/>
      <c r="D1" s="349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82" t="s">
        <v>1</v>
      </c>
      <c r="I1" s="382"/>
      <c r="J1" s="382"/>
      <c r="K1" s="382"/>
      <c r="M1" s="348"/>
      <c r="N1" s="349"/>
      <c r="O1" s="349"/>
      <c r="P1" s="349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127</v>
      </c>
      <c r="T1" s="98" t="s">
        <v>128</v>
      </c>
      <c r="U1" s="98" t="s">
        <v>84</v>
      </c>
      <c r="V1" s="98" t="s">
        <v>117</v>
      </c>
      <c r="W1" s="98" t="s">
        <v>85</v>
      </c>
      <c r="X1" s="98" t="s">
        <v>59</v>
      </c>
      <c r="Y1" s="98" t="s">
        <v>129</v>
      </c>
      <c r="Z1" s="98" t="s">
        <v>44</v>
      </c>
      <c r="AA1" s="98" t="s">
        <v>31</v>
      </c>
      <c r="AB1" s="98" t="s">
        <v>130</v>
      </c>
      <c r="AC1" s="98" t="s">
        <v>270</v>
      </c>
      <c r="AG1" s="96" t="s">
        <v>127</v>
      </c>
      <c r="AH1" s="97" t="s">
        <v>136</v>
      </c>
      <c r="AI1" s="98" t="s">
        <v>137</v>
      </c>
      <c r="AJ1" s="98" t="s">
        <v>138</v>
      </c>
      <c r="AK1" s="98" t="s">
        <v>139</v>
      </c>
      <c r="AL1" s="98" t="s">
        <v>140</v>
      </c>
      <c r="AM1" s="98" t="s">
        <v>147</v>
      </c>
      <c r="AN1" s="98" t="s">
        <v>53</v>
      </c>
      <c r="AO1" s="99" t="s">
        <v>141</v>
      </c>
      <c r="AP1" s="99" t="s">
        <v>142</v>
      </c>
      <c r="AQ1" s="98" t="s">
        <v>143</v>
      </c>
      <c r="AR1" s="98" t="s">
        <v>144</v>
      </c>
      <c r="AS1" s="99" t="s">
        <v>145</v>
      </c>
      <c r="AT1" s="98" t="s">
        <v>146</v>
      </c>
      <c r="AU1" s="99" t="s">
        <v>148</v>
      </c>
      <c r="AV1" s="99" t="s">
        <v>186</v>
      </c>
      <c r="AW1" s="98" t="s">
        <v>173</v>
      </c>
      <c r="AX1" s="98" t="s">
        <v>181</v>
      </c>
      <c r="AY1" s="98" t="s">
        <v>187</v>
      </c>
      <c r="AZ1" s="85" t="s">
        <v>182</v>
      </c>
      <c r="BA1" s="85" t="s">
        <v>183</v>
      </c>
      <c r="BB1" s="63" t="s">
        <v>184</v>
      </c>
      <c r="BC1" s="63" t="s">
        <v>185</v>
      </c>
      <c r="BD1" s="63" t="s">
        <v>170</v>
      </c>
      <c r="BE1" s="85" t="s">
        <v>171</v>
      </c>
      <c r="BF1" s="63" t="s">
        <v>172</v>
      </c>
      <c r="BG1" s="63" t="s">
        <v>177</v>
      </c>
      <c r="BH1" s="63" t="s">
        <v>174</v>
      </c>
      <c r="BI1" s="63" t="s">
        <v>178</v>
      </c>
      <c r="BJ1" s="63" t="s">
        <v>175</v>
      </c>
      <c r="BK1" s="63" t="s">
        <v>179</v>
      </c>
      <c r="BL1" s="63" t="s">
        <v>176</v>
      </c>
      <c r="BM1" s="63" t="s">
        <v>180</v>
      </c>
      <c r="BN1" s="86" t="s">
        <v>127</v>
      </c>
      <c r="BO1" s="87" t="s">
        <v>136</v>
      </c>
      <c r="BP1" s="63" t="s">
        <v>188</v>
      </c>
      <c r="BQ1" s="63" t="s">
        <v>189</v>
      </c>
      <c r="BR1" s="99" t="s">
        <v>148</v>
      </c>
      <c r="BS1" s="99" t="s">
        <v>200</v>
      </c>
      <c r="BT1" s="109" t="s">
        <v>127</v>
      </c>
      <c r="BU1" s="99" t="s">
        <v>201</v>
      </c>
      <c r="BV1" s="109" t="s">
        <v>202</v>
      </c>
      <c r="BW1" s="99" t="s">
        <v>203</v>
      </c>
      <c r="BX1" s="99" t="s">
        <v>208</v>
      </c>
      <c r="BY1" s="99" t="s">
        <v>51</v>
      </c>
      <c r="BZ1" s="99" t="s">
        <v>209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41" t="str">
        <f ca="1">IFERROR(IF(VLOOKUP(A1,OFFSET($AG$2,,,COUNTIF($AG$2:$AG$50,"?*"),23),2,FALSE)&lt;&gt;0,YEAR(VLOOKUP(A1,OFFSET($AG$2,,,COUNTIF($AG$2:$AG$50,"?*"),23),2,FALSE)),""),"")</f>
        <v/>
      </c>
      <c r="C2" s="342"/>
      <c r="D2" s="117" t="str">
        <f ca="1">IFERROR(VLOOKUP(A1,OFFSET($AG$2,,,COUNTIF($AG$2:$AG$50,"?*"),23),15,FALSE),"")</f>
        <v/>
      </c>
      <c r="E2" s="343" t="str">
        <f ca="1">IFERROR(VLOOKUP(A1,OFFSET($AG$2,,,COUNTIF($AG$2:$AG$50,"?*"),23),16,FALSE),"")</f>
        <v/>
      </c>
      <c r="F2" s="344"/>
      <c r="M2" s="4" t="str">
        <f ca="1">IFERROR(IF(VLOOKUP(M1,OFFSET($AG$2,,,COUNTIF($AG$2:$AG$50,"?*"),23),10,FALSE)&lt;&gt;0,VLOOKUP(M1,OFFSET($AG$2,,,COUNTIF($AG$2:$AG$50,"?*"),23),10,FALSE),""),"")</f>
        <v/>
      </c>
      <c r="N2" s="341" t="str">
        <f ca="1">IFERROR(IF(VLOOKUP(M1,OFFSET($AG$2,,,COUNTIF($AG$2:$AG$50,"?*"),23),2,FALSE)&lt;&gt;0,YEAR(VLOOKUP(M1,OFFSET($AG$2,,,COUNTIF($AG$2:$AG$50,"?*"),23),2,FALSE)),""),"")</f>
        <v/>
      </c>
      <c r="O2" s="342"/>
      <c r="P2" s="117" t="str">
        <f ca="1">IFERROR(VLOOKUP(M1,OFFSET($AG$2,,,COUNTIF($AG$2:$AG$50,"?*"),23),15,FALSE),"")</f>
        <v/>
      </c>
      <c r="Q2" s="343" t="str">
        <f ca="1">IFERROR(VLOOKUP(M1,OFFSET($AG$2,,,COUNTIF($AG$2:$AG$50,"?*"),23),16,FALSE),"")</f>
        <v/>
      </c>
      <c r="R2" s="344"/>
      <c r="S2" s="110" t="s">
        <v>333</v>
      </c>
      <c r="T2" s="102" t="s">
        <v>119</v>
      </c>
      <c r="U2" s="102">
        <v>7</v>
      </c>
      <c r="V2" s="102">
        <v>14</v>
      </c>
      <c r="W2" s="102">
        <v>2</v>
      </c>
      <c r="X2" s="102">
        <v>0</v>
      </c>
      <c r="Y2" s="102">
        <v>6</v>
      </c>
      <c r="Z2" s="102">
        <v>20</v>
      </c>
      <c r="AA2" s="102">
        <v>0</v>
      </c>
      <c r="AB2" s="102">
        <v>13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350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149</v>
      </c>
      <c r="AQ2" s="123">
        <v>179</v>
      </c>
      <c r="AR2" s="123">
        <v>76</v>
      </c>
      <c r="AS2" s="126" t="s">
        <v>363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7 OZ, 5 (4+1), +15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134 OZ, 96 (42+54)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379</v>
      </c>
      <c r="BO2" s="122">
        <v>31830</v>
      </c>
      <c r="BP2" s="131" t="s">
        <v>256</v>
      </c>
      <c r="BQ2" s="132" t="s">
        <v>380</v>
      </c>
      <c r="BR2" s="127">
        <f ca="1">IF(BN2&lt;&gt;"",IF(BO2&lt;&gt;"",INT((TODAY()-BO2)/365),"?"),"")</f>
        <v>34</v>
      </c>
      <c r="BS2" s="336" t="s">
        <v>36</v>
      </c>
      <c r="BT2" s="104" t="s">
        <v>386</v>
      </c>
      <c r="BU2" s="103">
        <v>20</v>
      </c>
      <c r="BV2" s="104" t="str">
        <f>IFERROR(RIGHT(BT2,LEN(BT2)-SEARCH(" ",BT2)),"")</f>
        <v>Adam Delong</v>
      </c>
      <c r="BW2" s="102">
        <f>IF(BT2&lt;&gt;0,_xlfn.NUMBERVALUE(BU2,","),"")</f>
        <v>20</v>
      </c>
      <c r="BX2" s="335" t="s">
        <v>211</v>
      </c>
      <c r="BY2" s="103" t="s">
        <v>876</v>
      </c>
      <c r="BZ2" s="103" t="s">
        <v>965</v>
      </c>
      <c r="CA2" s="115" t="s">
        <v>803</v>
      </c>
    </row>
    <row r="3" spans="1:79" ht="15" customHeight="1" thickTop="1" thickBot="1" x14ac:dyDescent="0.25">
      <c r="A3" s="377" t="str">
        <f ca="1">IFERROR(VLOOKUP(A1,OFFSET($AG$2,,,COUNTIF($AG$2:$AG$50,"?*"),23),18,FALSE),"")</f>
        <v/>
      </c>
      <c r="B3" s="378"/>
      <c r="C3" s="378"/>
      <c r="D3" s="379" t="str">
        <f ca="1">IFERROR(VLOOKUP(A1,OFFSET($AG$2,,,COUNTIF($AG$2:$AG$50,"?*"),23),19,FALSE),"")</f>
        <v/>
      </c>
      <c r="E3" s="379"/>
      <c r="F3" s="380"/>
      <c r="G3" s="348"/>
      <c r="H3" s="349"/>
      <c r="I3" s="349"/>
      <c r="J3" s="349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77" t="str">
        <f ca="1">IFERROR(VLOOKUP(M1,OFFSET($AG$2,,,COUNTIF($AG$2:$AG$50,"?*"),23),18,FALSE),"")</f>
        <v/>
      </c>
      <c r="N3" s="378"/>
      <c r="O3" s="378"/>
      <c r="P3" s="379" t="str">
        <f ca="1">IFERROR(VLOOKUP(M1,OFFSET($AG$2,,,COUNTIF($AG$2:$AG$50,"?*"),23),19,FALSE),"")</f>
        <v/>
      </c>
      <c r="Q3" s="379"/>
      <c r="R3" s="380"/>
      <c r="S3" s="110" t="s">
        <v>336</v>
      </c>
      <c r="T3" s="102" t="s">
        <v>119</v>
      </c>
      <c r="U3" s="102">
        <v>7</v>
      </c>
      <c r="V3" s="102">
        <v>5</v>
      </c>
      <c r="W3" s="102">
        <v>0</v>
      </c>
      <c r="X3" s="102">
        <v>0</v>
      </c>
      <c r="Y3" s="102">
        <v>11</v>
      </c>
      <c r="Z3" s="102">
        <v>16</v>
      </c>
      <c r="AA3" s="102">
        <v>0</v>
      </c>
      <c r="AB3" s="102">
        <v>13</v>
      </c>
      <c r="AC3" s="102" t="str">
        <f t="shared" ca="1" si="0"/>
        <v>ANO</v>
      </c>
      <c r="AG3" s="121" t="s">
        <v>340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149</v>
      </c>
      <c r="AQ3" s="123">
        <v>183</v>
      </c>
      <c r="AR3" s="123">
        <v>72</v>
      </c>
      <c r="AS3" s="126" t="s">
        <v>364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7 OZ, 11 (9+2), +9 ±</v>
      </c>
      <c r="AY3" s="129" t="str">
        <f t="shared" ca="1" si="2"/>
        <v>177 OZ, 166 (131+35)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381</v>
      </c>
      <c r="BO3" s="122">
        <v>33988</v>
      </c>
      <c r="BP3" s="131" t="s">
        <v>257</v>
      </c>
      <c r="BQ3" s="132"/>
      <c r="BR3" s="127">
        <f t="shared" ref="BR3:BR11" ca="1" si="12">IF(BN3&lt;&gt;"",IF(BO3&lt;&gt;"",INT((TODAY()-BO3)/365),"?"),"")</f>
        <v>28</v>
      </c>
      <c r="BS3" s="336"/>
      <c r="BT3" s="104" t="s">
        <v>1037</v>
      </c>
      <c r="BU3" s="103">
        <v>16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16</v>
      </c>
      <c r="BX3" s="335"/>
      <c r="BY3" s="103" t="s">
        <v>1195</v>
      </c>
      <c r="BZ3" s="103" t="s">
        <v>978</v>
      </c>
      <c r="CA3" s="115" t="s">
        <v>937</v>
      </c>
    </row>
    <row r="4" spans="1:79" ht="15" customHeight="1" thickBot="1" x14ac:dyDescent="0.25">
      <c r="A4" s="365" t="str">
        <f ca="1">IFERROR(IF(VLOOKUP(A1,OFFSET($AG$2,,,COUNTIF($AG$2:$AG$50,"?*"),23),13,FALSE)&lt;&gt;0,VLOOKUP(A1,OFFSET($AG$2,,,COUNTIF($AG$2:$AG$50,"?*"),23),13,FALSE),"?"),"")</f>
        <v/>
      </c>
      <c r="B4" s="366"/>
      <c r="C4" s="367"/>
      <c r="D4" s="368" t="str">
        <f ca="1">IFERROR(IF(VLOOKUP(A1,OFFSET($AG$2,,,COUNTIF($AG$2:$AG$50,"?*"),23),14,FALSE)&lt;&gt;0,VLOOKUP(A1,OFFSET($AG$2,,,COUNTIF($AG$2:$AG$50,"?*"),23),14,FALSE),"?"),"")</f>
        <v/>
      </c>
      <c r="E4" s="369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41" t="str">
        <f ca="1">IFERROR(IF(VLOOKUP(G3,OFFSET($AG$2,,,COUNTIF($AG$2:$AG$50,"?*"),23),2,FALSE)&lt;&gt;0,YEAR(VLOOKUP(G3,OFFSET($AG$2,,,COUNTIF($AG$2:$AG$50,"?*"),23),2,FALSE)),""),"")</f>
        <v/>
      </c>
      <c r="I4" s="342"/>
      <c r="J4" s="117" t="str">
        <f ca="1">IFERROR(VLOOKUP(G3,OFFSET($AG$2,,,COUNTIF($AG$2:$AG$50,"?*"),23),15,FALSE),"")</f>
        <v/>
      </c>
      <c r="K4" s="343" t="str">
        <f ca="1">IFERROR(VLOOKUP(G3,OFFSET($AG$2,,,COUNTIF($AG$2:$AG$50,"?*"),23),16,FALSE),"")</f>
        <v/>
      </c>
      <c r="L4" s="344"/>
      <c r="M4" s="365" t="str">
        <f ca="1">IFERROR(IF(VLOOKUP(M1,OFFSET($AG$2,,,COUNTIF($AG$2:$AG$50,"?*"),23),13,FALSE)&lt;&gt;0,VLOOKUP(M1,OFFSET($AG$2,,,COUNTIF($AG$2:$AG$50,"?*"),23),13,FALSE),"?"),"")</f>
        <v/>
      </c>
      <c r="N4" s="366"/>
      <c r="O4" s="367"/>
      <c r="P4" s="368" t="str">
        <f ca="1">IFERROR(IF(VLOOKUP(M1,OFFSET($AG$2,,,COUNTIF($AG$2:$AG$50,"?*"),23),14,FALSE)&lt;&gt;0,VLOOKUP(M1,OFFSET($AG$2,,,COUNTIF($AG$2:$AG$50,"?*"),23),14,FALSE),"?"),"")</f>
        <v/>
      </c>
      <c r="Q4" s="369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337</v>
      </c>
      <c r="T4" s="102" t="s">
        <v>119</v>
      </c>
      <c r="U4" s="102">
        <v>7</v>
      </c>
      <c r="V4" s="102">
        <v>5</v>
      </c>
      <c r="W4" s="102">
        <v>0</v>
      </c>
      <c r="X4" s="102">
        <v>0</v>
      </c>
      <c r="Y4" s="102">
        <v>9</v>
      </c>
      <c r="Z4" s="102">
        <v>14</v>
      </c>
      <c r="AA4" s="102">
        <v>2</v>
      </c>
      <c r="AB4" s="102">
        <v>13</v>
      </c>
      <c r="AC4" s="102" t="str">
        <f t="shared" ca="1" si="0"/>
        <v>ANO</v>
      </c>
      <c r="AG4" s="121" t="s">
        <v>335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149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7 OZ, 6 (4+2), +9 ±</v>
      </c>
      <c r="AY4" s="129" t="str">
        <f t="shared" ca="1" si="2"/>
        <v>71 OZ, 46 (22+24)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382</v>
      </c>
      <c r="BO4" s="122">
        <v>35289</v>
      </c>
      <c r="BP4" s="131" t="s">
        <v>383</v>
      </c>
      <c r="BQ4" s="132"/>
      <c r="BR4" s="127">
        <f t="shared" ca="1" si="12"/>
        <v>25</v>
      </c>
      <c r="BS4" s="336"/>
      <c r="BT4" s="104" t="s">
        <v>1053</v>
      </c>
      <c r="BU4" s="103">
        <v>14</v>
      </c>
      <c r="BV4" s="104" t="str">
        <f t="shared" si="13"/>
        <v>Marek Matejčík</v>
      </c>
      <c r="BW4" s="102">
        <f t="shared" si="14"/>
        <v>14</v>
      </c>
      <c r="BX4" s="335"/>
      <c r="BY4" s="103" t="s">
        <v>207</v>
      </c>
      <c r="BZ4" s="103" t="s">
        <v>943</v>
      </c>
      <c r="CA4" s="115" t="s">
        <v>1035</v>
      </c>
    </row>
    <row r="5" spans="1:79" ht="15" customHeight="1" thickTop="1" thickBot="1" x14ac:dyDescent="0.25">
      <c r="A5" s="8"/>
      <c r="B5" s="8"/>
      <c r="C5" s="8"/>
      <c r="D5" s="8"/>
      <c r="G5" s="377" t="str">
        <f ca="1">IFERROR(VLOOKUP(G3,OFFSET($AG$2,,,COUNTIF($AG$2:$AG$50,"?*"),23),18,FALSE),"")</f>
        <v/>
      </c>
      <c r="H5" s="378"/>
      <c r="I5" s="378"/>
      <c r="J5" s="379" t="str">
        <f ca="1">IFERROR(VLOOKUP(G3,OFFSET($AG$2,,,COUNTIF($AG$2:$AG$50,"?*"),23),19,FALSE),"")</f>
        <v/>
      </c>
      <c r="K5" s="379"/>
      <c r="L5" s="380"/>
      <c r="S5" s="110" t="s">
        <v>334</v>
      </c>
      <c r="T5" s="102" t="s">
        <v>119</v>
      </c>
      <c r="U5" s="102">
        <v>7</v>
      </c>
      <c r="V5" s="102">
        <v>9</v>
      </c>
      <c r="W5" s="102">
        <v>1</v>
      </c>
      <c r="X5" s="102">
        <v>0</v>
      </c>
      <c r="Y5" s="102">
        <v>4</v>
      </c>
      <c r="Z5" s="102">
        <v>13</v>
      </c>
      <c r="AA5" s="102">
        <v>2</v>
      </c>
      <c r="AB5" s="102">
        <v>11</v>
      </c>
      <c r="AC5" s="102" t="str">
        <f t="shared" ca="1" si="0"/>
        <v>ANO</v>
      </c>
      <c r="AG5" s="121" t="s">
        <v>333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149</v>
      </c>
      <c r="AQ5" s="123">
        <v>183</v>
      </c>
      <c r="AR5" s="123">
        <v>75</v>
      </c>
      <c r="AS5" s="126" t="s">
        <v>365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7 OZ, 20 (14+6), +13 ±</v>
      </c>
      <c r="AY5" s="129" t="str">
        <f t="shared" ca="1" si="2"/>
        <v>148 OZ, 239 (136+103)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384</v>
      </c>
      <c r="BO5" s="122">
        <v>24331</v>
      </c>
      <c r="BP5" s="131" t="s">
        <v>383</v>
      </c>
      <c r="BQ5" s="132"/>
      <c r="BR5" s="127">
        <f t="shared" ca="1" si="12"/>
        <v>55</v>
      </c>
      <c r="BS5" s="336"/>
      <c r="BT5" s="104" t="s">
        <v>1335</v>
      </c>
      <c r="BU5" s="103">
        <v>13</v>
      </c>
      <c r="BV5" s="104" t="str">
        <f t="shared" si="13"/>
        <v>Rostislav Gattnar</v>
      </c>
      <c r="BW5" s="102">
        <f t="shared" si="14"/>
        <v>13</v>
      </c>
      <c r="BX5" s="335"/>
      <c r="BY5" s="103" t="s">
        <v>262</v>
      </c>
      <c r="BZ5" s="103" t="s">
        <v>916</v>
      </c>
      <c r="CA5" s="115" t="s">
        <v>1036</v>
      </c>
    </row>
    <row r="6" spans="1:79" ht="15" customHeight="1" thickTop="1" thickBot="1" x14ac:dyDescent="0.25">
      <c r="A6" s="348"/>
      <c r="B6" s="349"/>
      <c r="C6" s="349"/>
      <c r="D6" s="349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65" t="str">
        <f ca="1">IFERROR(IF(VLOOKUP(G3,OFFSET($AG$2,,,COUNTIF($AG$2:$AG$50,"?*"),23),13,FALSE)&lt;&gt;0,VLOOKUP(G3,OFFSET($AG$2,,,COUNTIF($AG$2:$AG$50,"?*"),23),13,FALSE),"?"),"")</f>
        <v/>
      </c>
      <c r="H6" s="366"/>
      <c r="I6" s="367"/>
      <c r="J6" s="368" t="str">
        <f ca="1">IFERROR(IF(VLOOKUP(G3,OFFSET($AG$2,,,COUNTIF($AG$2:$AG$50,"?*"),23),14,FALSE)&lt;&gt;0,VLOOKUP(G3,OFFSET($AG$2,,,COUNTIF($AG$2:$AG$50,"?*"),23),14,FALSE),"?"),"")</f>
        <v/>
      </c>
      <c r="K6" s="369"/>
      <c r="L6" s="7" t="str">
        <f ca="1">IFERROR(IF(VLOOKUP(G3,OFFSET($AG$2,,,COUNTIF($AG$2:$AG$50,"?*"),23),7,FALSE)&lt;&gt;0,VLOOKUP(G3,OFFSET($AG$2,,,COUNTIF($AG$2:$AG$50,"?*"),23),7,FALSE),"?"),"")</f>
        <v/>
      </c>
      <c r="M6" s="348"/>
      <c r="N6" s="349"/>
      <c r="O6" s="349"/>
      <c r="P6" s="349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340</v>
      </c>
      <c r="T6" s="102" t="s">
        <v>119</v>
      </c>
      <c r="U6" s="102">
        <v>7</v>
      </c>
      <c r="V6" s="102">
        <v>9</v>
      </c>
      <c r="W6" s="102">
        <v>0</v>
      </c>
      <c r="X6" s="102">
        <v>0</v>
      </c>
      <c r="Y6" s="102">
        <v>2</v>
      </c>
      <c r="Z6" s="102">
        <v>11</v>
      </c>
      <c r="AA6" s="102">
        <v>2</v>
      </c>
      <c r="AB6" s="102">
        <v>9</v>
      </c>
      <c r="AC6" s="102" t="str">
        <f t="shared" ca="1" si="0"/>
        <v>ANO</v>
      </c>
      <c r="AG6" s="121" t="s">
        <v>334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364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7 OZ, 13 (9+4), +11 ±</v>
      </c>
      <c r="AY6" s="129" t="str">
        <f t="shared" ca="1" si="2"/>
        <v>78 OZ, 86 (54+32)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385</v>
      </c>
      <c r="BO6" s="122">
        <v>31439</v>
      </c>
      <c r="BP6" s="131" t="s">
        <v>192</v>
      </c>
      <c r="BQ6" s="132"/>
      <c r="BR6" s="127">
        <f t="shared" ca="1" si="12"/>
        <v>35</v>
      </c>
      <c r="BS6" s="336"/>
      <c r="BT6" s="104" t="s">
        <v>389</v>
      </c>
      <c r="BU6" s="103">
        <v>11</v>
      </c>
      <c r="BV6" s="104" t="str">
        <f t="shared" si="13"/>
        <v>Marek Bräuer</v>
      </c>
      <c r="BW6" s="102">
        <f t="shared" si="14"/>
        <v>11</v>
      </c>
      <c r="BX6" s="335"/>
      <c r="BY6" s="103" t="s">
        <v>855</v>
      </c>
      <c r="BZ6" s="103" t="s">
        <v>910</v>
      </c>
      <c r="CA6" s="115" t="s">
        <v>890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41" t="str">
        <f ca="1">IFERROR(IF(VLOOKUP(A6,OFFSET($AG$2,,,COUNTIF($AG$2:$AG$50,"?*"),23),2,FALSE)&lt;&gt;0,YEAR(VLOOKUP(A6,OFFSET($AG$2,,,COUNTIF($AG$2:$AG$50,"?*"),23),2,FALSE)),""),"")</f>
        <v/>
      </c>
      <c r="C7" s="342"/>
      <c r="D7" s="117" t="str">
        <f ca="1">IFERROR(VLOOKUP(A6,OFFSET($AG$2,,,COUNTIF($AG$2:$AG$50,"?*"),23),15,FALSE),"")</f>
        <v/>
      </c>
      <c r="E7" s="343" t="str">
        <f ca="1">IFERROR(VLOOKUP(A6,OFFSET($AG$2,,,COUNTIF($AG$2:$AG$50,"?*"),23),16,FALSE),"")</f>
        <v/>
      </c>
      <c r="F7" s="344"/>
      <c r="M7" s="4" t="str">
        <f ca="1">IFERROR(IF(VLOOKUP(M6,OFFSET($AG$2,,,COUNTIF($AG$2:$AG$50,"?*"),23),10,FALSE)&lt;&gt;0,VLOOKUP(M6,OFFSET($AG$2,,,COUNTIF($AG$2:$AG$50,"?*"),23),10,FALSE),""),"")</f>
        <v/>
      </c>
      <c r="N7" s="341" t="str">
        <f ca="1">IFERROR(IF(VLOOKUP(M6,OFFSET($AG$2,,,COUNTIF($AG$2:$AG$50,"?*"),23),2,FALSE)&lt;&gt;0,YEAR(VLOOKUP(M6,OFFSET($AG$2,,,COUNTIF($AG$2:$AG$50,"?*"),23),2,FALSE)),""),"")</f>
        <v/>
      </c>
      <c r="O7" s="342"/>
      <c r="P7" s="117" t="str">
        <f ca="1">IFERROR(VLOOKUP(M6,OFFSET($AG$2,,,COUNTIF($AG$2:$AG$50,"?*"),23),15,FALSE),"")</f>
        <v/>
      </c>
      <c r="Q7" s="343" t="str">
        <f ca="1">IFERROR(VLOOKUP(M6,OFFSET($AG$2,,,COUNTIF($AG$2:$AG$50,"?*"),23),16,FALSE),"")</f>
        <v/>
      </c>
      <c r="R7" s="344"/>
      <c r="S7" s="110" t="s">
        <v>338</v>
      </c>
      <c r="T7" s="102" t="s">
        <v>119</v>
      </c>
      <c r="U7" s="102">
        <v>6</v>
      </c>
      <c r="V7" s="102">
        <v>3</v>
      </c>
      <c r="W7" s="102">
        <v>0</v>
      </c>
      <c r="X7" s="102">
        <v>0</v>
      </c>
      <c r="Y7" s="102">
        <v>6</v>
      </c>
      <c r="Z7" s="102">
        <v>9</v>
      </c>
      <c r="AA7" s="102">
        <v>0</v>
      </c>
      <c r="AB7" s="102">
        <v>9</v>
      </c>
      <c r="AC7" s="102" t="str">
        <f t="shared" ca="1" si="0"/>
        <v>NE</v>
      </c>
      <c r="AG7" s="121" t="s">
        <v>352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149</v>
      </c>
      <c r="AQ7" s="123">
        <v>182</v>
      </c>
      <c r="AR7" s="123">
        <v>81</v>
      </c>
      <c r="AS7" s="126" t="s">
        <v>366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36" t="s">
        <v>40</v>
      </c>
      <c r="BT7" s="104" t="s">
        <v>387</v>
      </c>
      <c r="BU7" s="103" t="s">
        <v>1336</v>
      </c>
      <c r="BV7" s="104" t="str">
        <f t="shared" si="13"/>
        <v>Denis Jasiok</v>
      </c>
      <c r="BW7" s="112">
        <f t="shared" si="14"/>
        <v>3.64</v>
      </c>
      <c r="BX7" s="335" t="s">
        <v>212</v>
      </c>
      <c r="BY7" s="103" t="s">
        <v>913</v>
      </c>
      <c r="BZ7" s="103" t="s">
        <v>962</v>
      </c>
      <c r="CA7" s="115" t="s">
        <v>205</v>
      </c>
    </row>
    <row r="8" spans="1:79" ht="15" customHeight="1" x14ac:dyDescent="0.2">
      <c r="A8" s="377" t="str">
        <f ca="1">IFERROR(VLOOKUP(A6,OFFSET($AG$2,,,COUNTIF($AG$2:$AG$50,"?*"),23),18,FALSE),"")</f>
        <v/>
      </c>
      <c r="B8" s="378"/>
      <c r="C8" s="378"/>
      <c r="D8" s="379" t="str">
        <f ca="1">IFERROR(VLOOKUP(A6,OFFSET($AG$2,,,COUNTIF($AG$2:$AG$50,"?*"),23),19,FALSE),"")</f>
        <v/>
      </c>
      <c r="E8" s="379"/>
      <c r="F8" s="380"/>
      <c r="H8" s="381" t="s">
        <v>96</v>
      </c>
      <c r="I8" s="381"/>
      <c r="J8" s="381"/>
      <c r="K8" s="381"/>
      <c r="M8" s="377" t="str">
        <f ca="1">IFERROR(VLOOKUP(M6,OFFSET($AG$2,,,COUNTIF($AG$2:$AG$50,"?*"),23),18,FALSE),"")</f>
        <v/>
      </c>
      <c r="N8" s="378"/>
      <c r="O8" s="378"/>
      <c r="P8" s="379" t="str">
        <f ca="1">IFERROR(VLOOKUP(M6,OFFSET($AG$2,,,COUNTIF($AG$2:$AG$50,"?*"),23),19,FALSE),"")</f>
        <v/>
      </c>
      <c r="Q8" s="379"/>
      <c r="R8" s="380"/>
      <c r="S8" s="110" t="s">
        <v>339</v>
      </c>
      <c r="U8" s="102">
        <v>7</v>
      </c>
      <c r="V8" s="102">
        <v>5</v>
      </c>
      <c r="W8" s="102">
        <v>0</v>
      </c>
      <c r="X8" s="102">
        <v>0</v>
      </c>
      <c r="Y8" s="102">
        <v>3</v>
      </c>
      <c r="Z8" s="102">
        <v>8</v>
      </c>
      <c r="AA8" s="102">
        <v>2</v>
      </c>
      <c r="AB8" s="102">
        <v>9</v>
      </c>
      <c r="AC8" s="102" t="str">
        <f t="shared" ca="1" si="0"/>
        <v>NE</v>
      </c>
      <c r="AG8" s="121" t="s">
        <v>343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149</v>
      </c>
      <c r="AQ8" s="123">
        <v>189</v>
      </c>
      <c r="AR8" s="123">
        <v>80</v>
      </c>
      <c r="AS8" s="126" t="s">
        <v>367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7 OZ, 3 (1+2), +6 ±</v>
      </c>
      <c r="AY8" s="129" t="str">
        <f t="shared" ca="1" si="2"/>
        <v>58 OZ, 17 (6+11)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36"/>
      <c r="BT8" s="104" t="s">
        <v>1039</v>
      </c>
      <c r="BU8" s="103" t="s">
        <v>199</v>
      </c>
      <c r="BV8" s="104" t="str">
        <f t="shared" si="13"/>
        <v>Michael Chalupecký</v>
      </c>
      <c r="BW8" s="112">
        <f t="shared" si="14"/>
        <v>0</v>
      </c>
      <c r="BX8" s="335"/>
      <c r="BY8" s="103" t="s">
        <v>915</v>
      </c>
      <c r="BZ8" s="103" t="s">
        <v>961</v>
      </c>
      <c r="CA8" s="115" t="s">
        <v>205</v>
      </c>
    </row>
    <row r="9" spans="1:79" ht="15" customHeight="1" thickBot="1" x14ac:dyDescent="0.25">
      <c r="A9" s="365" t="str">
        <f ca="1">IFERROR(IF(VLOOKUP(A6,OFFSET($AG$2,,,COUNTIF($AG$2:$AG$50,"?*"),23),13,FALSE)&lt;&gt;0,VLOOKUP(A6,OFFSET($AG$2,,,COUNTIF($AG$2:$AG$50,"?*"),23),13,FALSE),"?"),"")</f>
        <v/>
      </c>
      <c r="B9" s="366"/>
      <c r="C9" s="367"/>
      <c r="D9" s="368" t="str">
        <f ca="1">IFERROR(IF(VLOOKUP(A6,OFFSET($AG$2,,,COUNTIF($AG$2:$AG$50,"?*"),23),14,FALSE)&lt;&gt;0,VLOOKUP(A6,OFFSET($AG$2,,,COUNTIF($AG$2:$AG$50,"?*"),23),14,FALSE),"?"),"")</f>
        <v/>
      </c>
      <c r="E9" s="369"/>
      <c r="F9" s="7" t="str">
        <f ca="1">IFERROR(IF(VLOOKUP(A6,OFFSET($AG$2,,,COUNTIF($AG$2:$AG$50,"?*"),23),7,FALSE)&lt;&gt;0,VLOOKUP(A6,OFFSET($AG$2,,,COUNTIF($AG$2:$AG$50,"?*"),23),7,FALSE),"?"),"")</f>
        <v/>
      </c>
      <c r="H9" s="381"/>
      <c r="I9" s="381"/>
      <c r="J9" s="381"/>
      <c r="K9" s="381"/>
      <c r="M9" s="365" t="str">
        <f ca="1">IFERROR(IF(VLOOKUP(M6,OFFSET($AG$2,,,COUNTIF($AG$2:$AG$50,"?*"),23),13,FALSE)&lt;&gt;0,VLOOKUP(M6,OFFSET($AG$2,,,COUNTIF($AG$2:$AG$50,"?*"),23),13,FALSE),"?"),"")</f>
        <v/>
      </c>
      <c r="N9" s="366"/>
      <c r="O9" s="367"/>
      <c r="P9" s="368" t="str">
        <f ca="1">IFERROR(IF(VLOOKUP(M6,OFFSET($AG$2,,,COUNTIF($AG$2:$AG$50,"?*"),23),14,FALSE)&lt;&gt;0,VLOOKUP(M6,OFFSET($AG$2,,,COUNTIF($AG$2:$AG$50,"?*"),23),14,FALSE),"?"),"")</f>
        <v/>
      </c>
      <c r="Q9" s="369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341</v>
      </c>
      <c r="T9" s="102" t="s">
        <v>64</v>
      </c>
      <c r="U9" s="102">
        <v>6</v>
      </c>
      <c r="V9" s="102">
        <v>4</v>
      </c>
      <c r="W9" s="102">
        <v>2</v>
      </c>
      <c r="X9" s="102">
        <v>0</v>
      </c>
      <c r="Y9" s="102">
        <v>2</v>
      </c>
      <c r="Z9" s="102">
        <v>6</v>
      </c>
      <c r="AA9" s="102">
        <v>0</v>
      </c>
      <c r="AB9" s="102">
        <v>8</v>
      </c>
      <c r="AC9" s="102" t="str">
        <f t="shared" ca="1" si="0"/>
        <v>ANO</v>
      </c>
      <c r="AG9" s="121" t="s">
        <v>341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364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6 OZ, 6 (4+2), +8 ±</v>
      </c>
      <c r="AY9" s="129" t="str">
        <f t="shared" ca="1" si="2"/>
        <v>196 OZ, 167 (81+86)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36"/>
      <c r="BT9" s="104" t="s">
        <v>1040</v>
      </c>
      <c r="BU9" s="103" t="s">
        <v>199</v>
      </c>
      <c r="BV9" s="104" t="str">
        <f t="shared" si="13"/>
        <v>Michal Bartoň</v>
      </c>
      <c r="BW9" s="112">
        <f t="shared" si="14"/>
        <v>0</v>
      </c>
      <c r="BX9" s="335"/>
      <c r="BY9" s="103" t="s">
        <v>945</v>
      </c>
      <c r="BZ9" s="103" t="s">
        <v>940</v>
      </c>
      <c r="CA9" s="115" t="s">
        <v>205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335</v>
      </c>
      <c r="T10" s="102" t="s">
        <v>119</v>
      </c>
      <c r="U10" s="102">
        <v>7</v>
      </c>
      <c r="V10" s="102">
        <v>4</v>
      </c>
      <c r="W10" s="102">
        <v>0</v>
      </c>
      <c r="X10" s="102">
        <v>0</v>
      </c>
      <c r="Y10" s="102">
        <v>2</v>
      </c>
      <c r="Z10" s="102">
        <v>6</v>
      </c>
      <c r="AA10" s="102">
        <v>2</v>
      </c>
      <c r="AB10" s="102">
        <v>9</v>
      </c>
      <c r="AC10" s="102" t="str">
        <f t="shared" ca="1" si="0"/>
        <v>ANO</v>
      </c>
      <c r="AG10" s="121" t="s">
        <v>353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149</v>
      </c>
      <c r="AQ10" s="123">
        <v>178</v>
      </c>
      <c r="AR10" s="123">
        <v>70</v>
      </c>
      <c r="AS10" s="126" t="s">
        <v>308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36"/>
      <c r="BT10" s="104" t="s">
        <v>1041</v>
      </c>
      <c r="BU10" s="103" t="s">
        <v>199</v>
      </c>
      <c r="BV10" s="104" t="str">
        <f t="shared" si="13"/>
        <v>Petr Maláč</v>
      </c>
      <c r="BW10" s="112">
        <f t="shared" si="14"/>
        <v>0</v>
      </c>
      <c r="BX10" s="335"/>
      <c r="BY10" s="103" t="s">
        <v>1106</v>
      </c>
      <c r="BZ10" s="103" t="s">
        <v>1004</v>
      </c>
      <c r="CA10" s="115" t="s">
        <v>205</v>
      </c>
    </row>
    <row r="11" spans="1:79" ht="15" customHeight="1" thickTop="1" thickBot="1" x14ac:dyDescent="0.25">
      <c r="R11" s="13"/>
      <c r="S11" s="110" t="s">
        <v>344</v>
      </c>
      <c r="U11" s="102">
        <v>7</v>
      </c>
      <c r="V11" s="102">
        <v>1</v>
      </c>
      <c r="W11" s="102">
        <v>0</v>
      </c>
      <c r="X11" s="102">
        <v>1</v>
      </c>
      <c r="Y11" s="102">
        <v>5</v>
      </c>
      <c r="Z11" s="102">
        <v>6</v>
      </c>
      <c r="AA11" s="102">
        <v>0</v>
      </c>
      <c r="AB11" s="102">
        <v>9</v>
      </c>
      <c r="AC11" s="102" t="str">
        <f t="shared" ca="1" si="0"/>
        <v>NE</v>
      </c>
      <c r="AG11" s="121" t="s">
        <v>354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149</v>
      </c>
      <c r="AQ11" s="123">
        <v>193</v>
      </c>
      <c r="AR11" s="123">
        <v>89</v>
      </c>
      <c r="AS11" s="126" t="s">
        <v>368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36"/>
      <c r="BT11" s="104" t="s">
        <v>1042</v>
      </c>
      <c r="BU11" s="103" t="s">
        <v>1337</v>
      </c>
      <c r="BV11" s="104" t="str">
        <f t="shared" si="13"/>
        <v>Lukáš Souček</v>
      </c>
      <c r="BW11" s="112">
        <f t="shared" si="14"/>
        <v>3.5</v>
      </c>
      <c r="BX11" s="335"/>
      <c r="BY11" s="103" t="s">
        <v>1196</v>
      </c>
      <c r="BZ11" s="103" t="s">
        <v>944</v>
      </c>
      <c r="CA11" s="115" t="s">
        <v>205</v>
      </c>
    </row>
    <row r="12" spans="1:79" ht="15" customHeight="1" thickTop="1" thickBot="1" x14ac:dyDescent="0.25">
      <c r="A12" s="348"/>
      <c r="B12" s="349"/>
      <c r="C12" s="349"/>
      <c r="D12" s="349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82" t="s">
        <v>7</v>
      </c>
      <c r="I12" s="382"/>
      <c r="J12" s="382"/>
      <c r="K12" s="382"/>
      <c r="M12" s="348"/>
      <c r="N12" s="349"/>
      <c r="O12" s="349"/>
      <c r="P12" s="349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350</v>
      </c>
      <c r="T12" s="102" t="s">
        <v>119</v>
      </c>
      <c r="U12" s="102">
        <v>7</v>
      </c>
      <c r="V12" s="102">
        <v>4</v>
      </c>
      <c r="W12" s="102">
        <v>0</v>
      </c>
      <c r="X12" s="102">
        <v>0</v>
      </c>
      <c r="Y12" s="102">
        <v>1</v>
      </c>
      <c r="Z12" s="102">
        <v>5</v>
      </c>
      <c r="AA12" s="102">
        <v>2</v>
      </c>
      <c r="AB12" s="102">
        <v>15</v>
      </c>
      <c r="AC12" s="102" t="str">
        <f t="shared" ca="1" si="0"/>
        <v>ANO</v>
      </c>
      <c r="AG12" s="121" t="s">
        <v>347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369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4 V, 1 P</v>
      </c>
      <c r="AY12" s="129" t="str">
        <f t="shared" ca="1" si="2"/>
        <v>11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36" t="s">
        <v>37</v>
      </c>
      <c r="BT12" s="104" t="s">
        <v>386</v>
      </c>
      <c r="BU12" s="103">
        <v>14</v>
      </c>
      <c r="BV12" s="104" t="str">
        <f t="shared" si="13"/>
        <v>Adam Delong</v>
      </c>
      <c r="BW12" s="102">
        <f t="shared" si="14"/>
        <v>14</v>
      </c>
      <c r="BX12" s="120" t="s">
        <v>210</v>
      </c>
      <c r="BY12" s="100" t="s">
        <v>1341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41" t="str">
        <f ca="1">IFERROR(IF(VLOOKUP(A12,OFFSET($AG$2,,,COUNTIF($AG$2:$AG$50,"?*"),23),2,FALSE)&lt;&gt;0,YEAR(VLOOKUP(A12,OFFSET($AG$2,,,COUNTIF($AG$2:$AG$50,"?*"),23),2,FALSE)),""),"")</f>
        <v/>
      </c>
      <c r="C13" s="342"/>
      <c r="D13" s="117" t="str">
        <f ca="1">IFERROR(VLOOKUP(A12,OFFSET($AG$2,,,COUNTIF($AG$2:$AG$50,"?*"),23),15,FALSE),"")</f>
        <v/>
      </c>
      <c r="E13" s="343" t="str">
        <f ca="1">IFERROR(VLOOKUP(A12,OFFSET($AG$2,,,COUNTIF($AG$2:$AG$50,"?*"),23),16,FALSE),"")</f>
        <v/>
      </c>
      <c r="F13" s="344"/>
      <c r="M13" s="4" t="str">
        <f ca="1">IFERROR(IF(VLOOKUP(M12,OFFSET($AG$2,,,COUNTIF($AG$2:$AG$50,"?*"),23),10,FALSE)&lt;&gt;0,VLOOKUP(M12,OFFSET($AG$2,,,COUNTIF($AG$2:$AG$50,"?*"),23),10,FALSE),""),"")</f>
        <v/>
      </c>
      <c r="N13" s="341" t="str">
        <f ca="1">IFERROR(IF(VLOOKUP(M12,OFFSET($AG$2,,,COUNTIF($AG$2:$AG$50,"?*"),23),2,FALSE)&lt;&gt;0,YEAR(VLOOKUP(M12,OFFSET($AG$2,,,COUNTIF($AG$2:$AG$50,"?*"),23),2,FALSE)),""),"")</f>
        <v/>
      </c>
      <c r="O13" s="342"/>
      <c r="P13" s="117" t="str">
        <f ca="1">IFERROR(VLOOKUP(M12,OFFSET($AG$2,,,COUNTIF($AG$2:$AG$50,"?*"),23),15,FALSE),"")</f>
        <v/>
      </c>
      <c r="Q13" s="343" t="str">
        <f ca="1">IFERROR(VLOOKUP(M12,OFFSET($AG$2,,,COUNTIF($AG$2:$AG$50,"?*"),23),16,FALSE),"")</f>
        <v/>
      </c>
      <c r="R13" s="344"/>
      <c r="S13" s="110" t="s">
        <v>343</v>
      </c>
      <c r="T13" s="102" t="s">
        <v>64</v>
      </c>
      <c r="U13" s="102">
        <v>7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2</v>
      </c>
      <c r="AB13" s="102">
        <v>6</v>
      </c>
      <c r="AC13" s="102" t="str">
        <f t="shared" ca="1" si="0"/>
        <v>ANO</v>
      </c>
      <c r="AG13" s="121" t="s">
        <v>355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370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36"/>
      <c r="BT13" s="104" t="s">
        <v>1052</v>
      </c>
      <c r="BU13" s="103">
        <v>9</v>
      </c>
      <c r="BV13" s="104" t="str">
        <f t="shared" si="13"/>
        <v>Marek Bräuer</v>
      </c>
      <c r="BW13" s="102">
        <f t="shared" si="14"/>
        <v>9</v>
      </c>
    </row>
    <row r="14" spans="1:79" ht="15" customHeight="1" thickTop="1" thickBot="1" x14ac:dyDescent="0.25">
      <c r="A14" s="377" t="str">
        <f ca="1">IFERROR(VLOOKUP(A12,OFFSET($AG$2,,,COUNTIF($AG$2:$AG$50,"?*"),23),18,FALSE),"")</f>
        <v/>
      </c>
      <c r="B14" s="378"/>
      <c r="C14" s="378"/>
      <c r="D14" s="379" t="str">
        <f ca="1">IFERROR(VLOOKUP(A12,OFFSET($AG$2,,,COUNTIF($AG$2:$AG$50,"?*"),23),19,FALSE),"")</f>
        <v/>
      </c>
      <c r="E14" s="379"/>
      <c r="F14" s="380"/>
      <c r="G14" s="348"/>
      <c r="H14" s="349"/>
      <c r="I14" s="349"/>
      <c r="J14" s="349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77" t="str">
        <f ca="1">IFERROR(VLOOKUP(M12,OFFSET($AG$2,,,COUNTIF($AG$2:$AG$50,"?*"),23),18,FALSE),"")</f>
        <v/>
      </c>
      <c r="N14" s="378"/>
      <c r="O14" s="378"/>
      <c r="P14" s="379" t="str">
        <f ca="1">IFERROR(VLOOKUP(M12,OFFSET($AG$2,,,COUNTIF($AG$2:$AG$50,"?*"),23),19,FALSE),"")</f>
        <v/>
      </c>
      <c r="Q14" s="379"/>
      <c r="R14" s="380"/>
      <c r="S14" s="110" t="s">
        <v>342</v>
      </c>
      <c r="T14" s="102" t="s">
        <v>119</v>
      </c>
      <c r="U14" s="102">
        <v>7</v>
      </c>
      <c r="V14" s="102">
        <v>1</v>
      </c>
      <c r="W14" s="102">
        <v>0</v>
      </c>
      <c r="X14" s="102">
        <v>0</v>
      </c>
      <c r="Y14" s="102">
        <v>2</v>
      </c>
      <c r="Z14" s="102">
        <v>3</v>
      </c>
      <c r="AA14" s="102">
        <v>0</v>
      </c>
      <c r="AB14" s="102">
        <v>11</v>
      </c>
      <c r="AC14" s="102" t="str">
        <f t="shared" ca="1" si="0"/>
        <v>ANO</v>
      </c>
      <c r="AG14" s="121" t="s">
        <v>351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371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7 OZ, 2 (0+2), +6 ±</v>
      </c>
      <c r="AY14" s="129" t="str">
        <f t="shared" ca="1" si="2"/>
        <v>26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36"/>
      <c r="BT14" s="104" t="s">
        <v>891</v>
      </c>
      <c r="BU14" s="103">
        <v>9</v>
      </c>
      <c r="BV14" s="104" t="str">
        <f t="shared" si="13"/>
        <v>Rostislav Gattnar</v>
      </c>
      <c r="BW14" s="102">
        <f t="shared" si="14"/>
        <v>9</v>
      </c>
    </row>
    <row r="15" spans="1:79" ht="15" customHeight="1" thickBot="1" x14ac:dyDescent="0.25">
      <c r="A15" s="365" t="str">
        <f ca="1">IFERROR(IF(VLOOKUP(A12,OFFSET($AG$2,,,COUNTIF($AG$2:$AG$50,"?*"),23),13,FALSE)&lt;&gt;0,VLOOKUP(A12,OFFSET($AG$2,,,COUNTIF($AG$2:$AG$50,"?*"),23),13,FALSE),"?"),"")</f>
        <v/>
      </c>
      <c r="B15" s="366"/>
      <c r="C15" s="367"/>
      <c r="D15" s="368" t="str">
        <f ca="1">IFERROR(IF(VLOOKUP(A12,OFFSET($AG$2,,,COUNTIF($AG$2:$AG$50,"?*"),23),14,FALSE)&lt;&gt;0,VLOOKUP(A12,OFFSET($AG$2,,,COUNTIF($AG$2:$AG$50,"?*"),23),14,FALSE),"?"),"")</f>
        <v/>
      </c>
      <c r="E15" s="369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41" t="str">
        <f ca="1">IFERROR(IF(VLOOKUP(G14,OFFSET($AG$2,,,COUNTIF($AG$2:$AG$50,"?*"),23),2,FALSE)&lt;&gt;0,YEAR(VLOOKUP(G14,OFFSET($AG$2,,,COUNTIF($AG$2:$AG$50,"?*"),23),2,FALSE)),""),"")</f>
        <v/>
      </c>
      <c r="I15" s="342"/>
      <c r="J15" s="117" t="str">
        <f ca="1">IFERROR(VLOOKUP(G14,OFFSET($AG$2,,,COUNTIF($AG$2:$AG$50,"?*"),23),15,FALSE),"")</f>
        <v/>
      </c>
      <c r="K15" s="343" t="str">
        <f ca="1">IFERROR(VLOOKUP(G14,OFFSET($AG$2,,,COUNTIF($AG$2:$AG$50,"?*"),23),16,FALSE),"")</f>
        <v/>
      </c>
      <c r="L15" s="344"/>
      <c r="M15" s="365" t="str">
        <f ca="1">IFERROR(IF(VLOOKUP(M12,OFFSET($AG$2,,,COUNTIF($AG$2:$AG$50,"?*"),23),13,FALSE)&lt;&gt;0,VLOOKUP(M12,OFFSET($AG$2,,,COUNTIF($AG$2:$AG$50,"?*"),23),13,FALSE),"?"),"")</f>
        <v/>
      </c>
      <c r="N15" s="366"/>
      <c r="O15" s="367"/>
      <c r="P15" s="368" t="str">
        <f ca="1">IFERROR(IF(VLOOKUP(M12,OFFSET($AG$2,,,COUNTIF($AG$2:$AG$50,"?*"),23),14,FALSE)&lt;&gt;0,VLOOKUP(M12,OFFSET($AG$2,,,COUNTIF($AG$2:$AG$50,"?*"),23),14,FALSE),"?"),"")</f>
        <v/>
      </c>
      <c r="Q15" s="369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836</v>
      </c>
      <c r="U15" s="102">
        <v>6</v>
      </c>
      <c r="V15" s="102">
        <v>0</v>
      </c>
      <c r="W15" s="102">
        <v>0</v>
      </c>
      <c r="X15" s="102">
        <v>0</v>
      </c>
      <c r="Y15" s="102">
        <v>3</v>
      </c>
      <c r="Z15" s="102">
        <v>3</v>
      </c>
      <c r="AA15" s="102">
        <v>0</v>
      </c>
      <c r="AB15" s="102">
        <v>1</v>
      </c>
      <c r="AC15" s="102" t="str">
        <f t="shared" ca="1" si="0"/>
        <v>NE</v>
      </c>
      <c r="AG15" s="121" t="s">
        <v>356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372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36"/>
      <c r="BT15" s="104" t="s">
        <v>1038</v>
      </c>
      <c r="BU15" s="103">
        <v>5</v>
      </c>
      <c r="BV15" s="104" t="str">
        <f t="shared" si="13"/>
        <v>Marek Matejčík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77" t="str">
        <f ca="1">IFERROR(VLOOKUP(G14,OFFSET($AG$2,,,COUNTIF($AG$2:$AG$50,"?*"),23),18,FALSE),"")</f>
        <v/>
      </c>
      <c r="H16" s="378"/>
      <c r="I16" s="378"/>
      <c r="J16" s="379" t="str">
        <f ca="1">IFERROR(VLOOKUP(G14,OFFSET($AG$2,,,COUNTIF($AG$2:$AG$50,"?*"),23),19,FALSE),"")</f>
        <v/>
      </c>
      <c r="K16" s="379"/>
      <c r="L16" s="380"/>
      <c r="S16" s="110" t="s">
        <v>351</v>
      </c>
      <c r="T16" s="102" t="s">
        <v>64</v>
      </c>
      <c r="U16" s="102">
        <v>7</v>
      </c>
      <c r="V16" s="102">
        <v>0</v>
      </c>
      <c r="W16" s="102">
        <v>0</v>
      </c>
      <c r="X16" s="102">
        <v>0</v>
      </c>
      <c r="Y16" s="102">
        <v>2</v>
      </c>
      <c r="Z16" s="102">
        <v>2</v>
      </c>
      <c r="AA16" s="102">
        <v>0</v>
      </c>
      <c r="AB16" s="102">
        <v>6</v>
      </c>
      <c r="AC16" s="102" t="str">
        <f t="shared" ca="1" si="0"/>
        <v>ANO</v>
      </c>
      <c r="AG16" s="121" t="s">
        <v>357</v>
      </c>
      <c r="AH16" s="122"/>
      <c r="AI16" s="123"/>
      <c r="AJ16" s="123"/>
      <c r="AK16" s="123"/>
      <c r="AL16" s="124">
        <f>IF(AG16&lt;&gt;"",AJ16+AK16,"")</f>
        <v>0</v>
      </c>
      <c r="AM16" s="123" t="s">
        <v>303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36"/>
      <c r="BT16" s="104" t="s">
        <v>1338</v>
      </c>
      <c r="BU16" s="103">
        <v>5</v>
      </c>
      <c r="BV16" s="104" t="str">
        <f t="shared" si="13"/>
        <v>Martin Gattnar</v>
      </c>
      <c r="BW16" s="102">
        <f t="shared" si="14"/>
        <v>5</v>
      </c>
    </row>
    <row r="17" spans="1:75" ht="15" customHeight="1" thickTop="1" thickBot="1" x14ac:dyDescent="0.25">
      <c r="A17" s="348"/>
      <c r="B17" s="349"/>
      <c r="C17" s="349"/>
      <c r="D17" s="349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65" t="str">
        <f ca="1">IFERROR(IF(VLOOKUP(G14,OFFSET($AG$2,,,COUNTIF($AG$2:$AG$50,"?*"),23),13,FALSE)&lt;&gt;0,VLOOKUP(G14,OFFSET($AG$2,,,COUNTIF($AG$2:$AG$50,"?*"),23),13,FALSE),"?"),"")</f>
        <v/>
      </c>
      <c r="H17" s="366"/>
      <c r="I17" s="367"/>
      <c r="J17" s="368" t="str">
        <f ca="1">IFERROR(IF(VLOOKUP(G14,OFFSET($AG$2,,,COUNTIF($AG$2:$AG$50,"?*"),23),14,FALSE)&lt;&gt;0,VLOOKUP(G14,OFFSET($AG$2,,,COUNTIF($AG$2:$AG$50,"?*"),23),14,FALSE),"?"),"")</f>
        <v/>
      </c>
      <c r="K17" s="369"/>
      <c r="L17" s="7" t="str">
        <f ca="1">IFERROR(IF(VLOOKUP(G14,OFFSET($AG$2,,,COUNTIF($AG$2:$AG$50,"?*"),23),7,FALSE)&lt;&gt;0,VLOOKUP(G14,OFFSET($AG$2,,,COUNTIF($AG$2:$AG$50,"?*"),23),7,FALSE),"?"),"")</f>
        <v/>
      </c>
      <c r="M17" s="348"/>
      <c r="N17" s="349"/>
      <c r="O17" s="349"/>
      <c r="P17" s="349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345</v>
      </c>
      <c r="T17" s="102" t="s">
        <v>119</v>
      </c>
      <c r="U17" s="102">
        <v>4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0</v>
      </c>
      <c r="AB17" s="102">
        <v>1</v>
      </c>
      <c r="AC17" s="102" t="str">
        <f t="shared" ca="1" si="0"/>
        <v>ANO</v>
      </c>
      <c r="AG17" s="121" t="s">
        <v>348</v>
      </c>
      <c r="AH17" s="122"/>
      <c r="AI17" s="123"/>
      <c r="AJ17" s="123"/>
      <c r="AK17" s="123"/>
      <c r="AL17" s="124">
        <f>IF(AG17&lt;&gt;"",AJ17+AK17,"")</f>
        <v>0</v>
      </c>
      <c r="AM17" s="123" t="s">
        <v>303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36" t="s">
        <v>41</v>
      </c>
      <c r="BT17" s="104" t="s">
        <v>387</v>
      </c>
      <c r="BU17" s="103">
        <v>4</v>
      </c>
      <c r="BV17" s="104" t="str">
        <f t="shared" si="13"/>
        <v>Denis Jasiok</v>
      </c>
      <c r="BW17" s="102">
        <f t="shared" si="14"/>
        <v>4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41" t="str">
        <f ca="1">IFERROR(IF(VLOOKUP(A17,OFFSET($AG$2,,,COUNTIF($AG$2:$AG$50,"?*"),23),2,FALSE)&lt;&gt;0,YEAR(VLOOKUP(A17,OFFSET($AG$2,,,COUNTIF($AG$2:$AG$50,"?*"),23),2,FALSE)),""),"")</f>
        <v/>
      </c>
      <c r="C18" s="342"/>
      <c r="D18" s="150" t="str">
        <f ca="1">IFERROR(VLOOKUP(A17,OFFSET($AG$2,,,COUNTIF($AG$2:$AG$50,"?*"),23),15,FALSE),"")</f>
        <v/>
      </c>
      <c r="E18" s="343" t="str">
        <f ca="1">IFERROR(VLOOKUP(A17,OFFSET($AG$2,,,COUNTIF($AG$2:$AG$50,"?*"),23),16,FALSE),"")</f>
        <v/>
      </c>
      <c r="F18" s="344"/>
      <c r="M18" s="4" t="str">
        <f ca="1">IFERROR(IF(VLOOKUP(M17,OFFSET($AG$2,,,COUNTIF($AG$2:$AG$50,"?*"),23),10,FALSE)&lt;&gt;0,VLOOKUP(M17,OFFSET($AG$2,,,COUNTIF($AG$2:$AG$50,"?*"),23),10,FALSE),""),"")</f>
        <v/>
      </c>
      <c r="N18" s="341" t="str">
        <f ca="1">IFERROR(IF(VLOOKUP(M17,OFFSET($AG$2,,,COUNTIF($AG$2:$AG$50,"?*"),23),2,FALSE)&lt;&gt;0,YEAR(VLOOKUP(M17,OFFSET($AG$2,,,COUNTIF($AG$2:$AG$50,"?*"),23),2,FALSE)),""),"")</f>
        <v/>
      </c>
      <c r="O18" s="342"/>
      <c r="P18" s="117" t="str">
        <f ca="1">IFERROR(VLOOKUP(M17,OFFSET($AG$2,,,COUNTIF($AG$2:$AG$50,"?*"),23),15,FALSE),"")</f>
        <v/>
      </c>
      <c r="Q18" s="343" t="str">
        <f ca="1">IFERROR(VLOOKUP(M17,OFFSET($AG$2,,,COUNTIF($AG$2:$AG$50,"?*"),23),16,FALSE),"")</f>
        <v/>
      </c>
      <c r="R18" s="344"/>
      <c r="S18" s="110" t="s">
        <v>346</v>
      </c>
      <c r="T18" s="102" t="s">
        <v>64</v>
      </c>
      <c r="U18" s="102">
        <v>5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6</v>
      </c>
      <c r="AC18" s="102" t="str">
        <f t="shared" ca="1" si="0"/>
        <v>ANO</v>
      </c>
      <c r="AG18" s="121" t="s">
        <v>337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149</v>
      </c>
      <c r="AQ18" s="123">
        <v>168</v>
      </c>
      <c r="AR18" s="123">
        <v>69</v>
      </c>
      <c r="AS18" s="126" t="s">
        <v>364</v>
      </c>
      <c r="AT18" s="123">
        <v>2006</v>
      </c>
      <c r="AU18" s="127">
        <f ca="1">IF(AG18&lt;&gt;"",IF(AH18&lt;&gt;"",INT((TODAY()-AH18)/365),"?"),"")</f>
        <v>27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7 OZ, 14 (5+9), +13 ±</v>
      </c>
      <c r="AY18" s="129" t="str">
        <f t="shared" ca="1" si="2"/>
        <v>212 OZ, 245 (127+118)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36"/>
      <c r="BT18" s="104" t="s">
        <v>1044</v>
      </c>
      <c r="BU18" s="103">
        <v>2</v>
      </c>
      <c r="BV18" s="104" t="str">
        <f t="shared" si="13"/>
        <v>Lukáš Souček</v>
      </c>
      <c r="BW18" s="102">
        <f t="shared" si="14"/>
        <v>2</v>
      </c>
    </row>
    <row r="19" spans="1:75" ht="15" customHeight="1" x14ac:dyDescent="0.2">
      <c r="A19" s="377" t="str">
        <f ca="1">IFERROR(VLOOKUP(A17,OFFSET($AG$2,,,COUNTIF($AG$2:$AG$50,"?*"),23),18,FALSE),"")</f>
        <v/>
      </c>
      <c r="B19" s="378"/>
      <c r="C19" s="378"/>
      <c r="D19" s="379" t="str">
        <f ca="1">IFERROR(VLOOKUP(A17,OFFSET($AG$2,,,COUNTIF($AG$2:$AG$50,"?*"),23),19,FALSE),"")</f>
        <v/>
      </c>
      <c r="E19" s="379"/>
      <c r="F19" s="380"/>
      <c r="H19" s="381" t="str">
        <f>H$8</f>
        <v>VIT</v>
      </c>
      <c r="I19" s="381"/>
      <c r="J19" s="381"/>
      <c r="K19" s="381"/>
      <c r="M19" s="377" t="str">
        <f ca="1">IFERROR(VLOOKUP(M17,OFFSET($AG$2,,,COUNTIF($AG$2:$AG$50,"?*"),23),18,FALSE),"")</f>
        <v/>
      </c>
      <c r="N19" s="378"/>
      <c r="O19" s="378"/>
      <c r="P19" s="379" t="str">
        <f ca="1">IFERROR(VLOOKUP(M17,OFFSET($AG$2,,,COUNTIF($AG$2:$AG$50,"?*"),23),19,FALSE),"")</f>
        <v/>
      </c>
      <c r="Q19" s="379"/>
      <c r="R19" s="380"/>
      <c r="S19" s="110" t="s">
        <v>1034</v>
      </c>
      <c r="T19" s="102" t="s">
        <v>117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358</v>
      </c>
      <c r="AH19" s="122"/>
      <c r="AI19" s="123"/>
      <c r="AJ19" s="123"/>
      <c r="AK19" s="123"/>
      <c r="AL19" s="124">
        <f>IF(AG19&lt;&gt;"",AJ19+AK19,"")</f>
        <v>0</v>
      </c>
      <c r="AM19" s="123" t="s">
        <v>303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36"/>
      <c r="BT19" s="104" t="s">
        <v>1045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365" t="str">
        <f ca="1">IFERROR(IF(VLOOKUP(A17,OFFSET($AG$2,,,COUNTIF($AG$2:$AG$50,"?*"),23),13,FALSE)&lt;&gt;0,VLOOKUP(A17,OFFSET($AG$2,,,COUNTIF($AG$2:$AG$50,"?*"),23),13,FALSE),"?"),"")</f>
        <v/>
      </c>
      <c r="B20" s="366"/>
      <c r="C20" s="367"/>
      <c r="D20" s="368" t="str">
        <f ca="1">IFERROR(IF(VLOOKUP(A17,OFFSET($AG$2,,,COUNTIF($AG$2:$AG$50,"?*"),23),14,FALSE)&lt;&gt;0,VLOOKUP(A17,OFFSET($AG$2,,,COUNTIF($AG$2:$AG$50,"?*"),23),14,FALSE),"?"),"")</f>
        <v/>
      </c>
      <c r="E20" s="369"/>
      <c r="F20" s="7" t="str">
        <f ca="1">IFERROR(IF(VLOOKUP(A17,OFFSET($AG$2,,,COUNTIF($AG$2:$AG$50,"?*"),23),7,FALSE)&lt;&gt;0,VLOOKUP(A17,OFFSET($AG$2,,,COUNTIF($AG$2:$AG$50,"?*"),23),7,FALSE),"?"),"")</f>
        <v/>
      </c>
      <c r="H20" s="381"/>
      <c r="I20" s="381"/>
      <c r="J20" s="381"/>
      <c r="K20" s="381"/>
      <c r="M20" s="365" t="str">
        <f ca="1">IFERROR(IF(VLOOKUP(M17,OFFSET($AG$2,,,COUNTIF($AG$2:$AG$50,"?*"),23),13,FALSE)&lt;&gt;0,VLOOKUP(M17,OFFSET($AG$2,,,COUNTIF($AG$2:$AG$50,"?*"),23),13,FALSE),"?"),"")</f>
        <v/>
      </c>
      <c r="N20" s="366"/>
      <c r="O20" s="367"/>
      <c r="P20" s="368" t="str">
        <f ca="1">IFERROR(IF(VLOOKUP(M17,OFFSET($AG$2,,,COUNTIF($AG$2:$AG$50,"?*"),23),14,FALSE)&lt;&gt;0,VLOOKUP(M17,OFFSET($AG$2,,,COUNTIF($AG$2:$AG$50,"?*"),23),14,FALSE),"?"),"")</f>
        <v/>
      </c>
      <c r="Q20" s="369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889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346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149</v>
      </c>
      <c r="AQ20" s="123">
        <v>179</v>
      </c>
      <c r="AR20" s="123">
        <v>69</v>
      </c>
      <c r="AS20" s="126" t="s">
        <v>373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5 OZ, 1 (0+1), +6 ±</v>
      </c>
      <c r="AY20" s="129" t="str">
        <f t="shared" ca="1" si="2"/>
        <v>144 OZ, 41 (10+31)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36"/>
      <c r="BT20" s="104" t="s">
        <v>1046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348</v>
      </c>
      <c r="T21" s="102" t="s">
        <v>117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342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149</v>
      </c>
      <c r="AQ21" s="123">
        <v>186</v>
      </c>
      <c r="AR21" s="123">
        <v>70</v>
      </c>
      <c r="AS21" s="126" t="s">
        <v>374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7 OZ, 3 (1+2), +11 ±</v>
      </c>
      <c r="AY21" s="129" t="str">
        <f t="shared" ca="1" si="2"/>
        <v>49 OZ, 35 (20+15)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36"/>
      <c r="BT21" s="104" t="s">
        <v>1047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349</v>
      </c>
      <c r="T22" s="102" t="s">
        <v>119</v>
      </c>
      <c r="U22" s="102">
        <v>2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359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166</v>
      </c>
      <c r="AP22" s="125" t="s">
        <v>149</v>
      </c>
      <c r="AQ22" s="123">
        <v>186</v>
      </c>
      <c r="AR22" s="123">
        <v>80</v>
      </c>
      <c r="AS22" s="126" t="s">
        <v>364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36" t="s">
        <v>38</v>
      </c>
      <c r="BT22" s="104" t="s">
        <v>1048</v>
      </c>
      <c r="BU22" s="103">
        <v>11</v>
      </c>
      <c r="BV22" s="104" t="str">
        <f t="shared" si="13"/>
        <v>Matyáš Šindler</v>
      </c>
      <c r="BW22" s="102">
        <f t="shared" si="14"/>
        <v>11</v>
      </c>
    </row>
    <row r="23" spans="1:75" ht="15" customHeight="1" thickTop="1" thickBot="1" x14ac:dyDescent="0.25">
      <c r="A23" s="348"/>
      <c r="B23" s="349"/>
      <c r="C23" s="349"/>
      <c r="D23" s="349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82" t="s">
        <v>13</v>
      </c>
      <c r="I23" s="382"/>
      <c r="J23" s="382"/>
      <c r="K23" s="382"/>
      <c r="M23" s="348"/>
      <c r="N23" s="349"/>
      <c r="O23" s="349"/>
      <c r="P23" s="349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360</v>
      </c>
      <c r="T23" s="102" t="s">
        <v>117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360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375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2 V, 0 P</v>
      </c>
      <c r="AY23" s="129" t="str">
        <f t="shared" ca="1" si="2"/>
        <v>147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36"/>
      <c r="BT23" s="104" t="s">
        <v>837</v>
      </c>
      <c r="BU23" s="103">
        <v>9</v>
      </c>
      <c r="BV23" s="104" t="str">
        <f t="shared" si="13"/>
        <v>Marek Matejčík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41" t="str">
        <f ca="1">IFERROR(IF(VLOOKUP(A23,OFFSET($AG$2,,,COUNTIF($AG$2:$AG$50,"?*"),23),2,FALSE)&lt;&gt;0,YEAR(VLOOKUP(A23,OFFSET($AG$2,,,COUNTIF($AG$2:$AG$50,"?*"),23),2,FALSE)),""),"")</f>
        <v/>
      </c>
      <c r="C24" s="342"/>
      <c r="D24" s="117" t="str">
        <f ca="1">IFERROR(VLOOKUP(A23,OFFSET($AG$2,,,COUNTIF($AG$2:$AG$50,"?*"),23),15,FALSE),"")</f>
        <v/>
      </c>
      <c r="E24" s="343" t="str">
        <f ca="1">IFERROR(VLOOKUP(A23,OFFSET($AG$2,,,COUNTIF($AG$2:$AG$50,"?*"),23),16,FALSE),"")</f>
        <v/>
      </c>
      <c r="F24" s="344"/>
      <c r="M24" s="4" t="str">
        <f ca="1">IFERROR(IF(VLOOKUP(M23,OFFSET($AG$2,,,COUNTIF($AG$2:$AG$50,"?*"),23),10,FALSE)&lt;&gt;0,VLOOKUP(M23,OFFSET($AG$2,,,COUNTIF($AG$2:$AG$50,"?*"),23),10,FALSE),""),"")</f>
        <v/>
      </c>
      <c r="N24" s="341" t="str">
        <f ca="1">IFERROR(IF(VLOOKUP(M23,OFFSET($AG$2,,,COUNTIF($AG$2:$AG$50,"?*"),23),2,FALSE)&lt;&gt;0,YEAR(VLOOKUP(M23,OFFSET($AG$2,,,COUNTIF($AG$2:$AG$50,"?*"),23),2,FALSE)),""),"")</f>
        <v/>
      </c>
      <c r="O24" s="342"/>
      <c r="P24" s="117" t="str">
        <f ca="1">IFERROR(VLOOKUP(M23,OFFSET($AG$2,,,COUNTIF($AG$2:$AG$50,"?*"),23),15,FALSE),"")</f>
        <v/>
      </c>
      <c r="Q24" s="343" t="str">
        <f ca="1">IFERROR(VLOOKUP(M23,OFFSET($AG$2,,,COUNTIF($AG$2:$AG$50,"?*"),23),16,FALSE),"")</f>
        <v/>
      </c>
      <c r="R24" s="344"/>
      <c r="S24" s="110" t="s">
        <v>347</v>
      </c>
      <c r="T24" s="102" t="s">
        <v>117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361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376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36"/>
      <c r="BT24" s="104" t="s">
        <v>1049</v>
      </c>
      <c r="BU24" s="103">
        <v>6</v>
      </c>
      <c r="BV24" s="104" t="str">
        <f t="shared" si="13"/>
        <v>Adam Delong</v>
      </c>
      <c r="BW24" s="102">
        <f t="shared" si="14"/>
        <v>6</v>
      </c>
    </row>
    <row r="25" spans="1:75" ht="15" customHeight="1" thickTop="1" thickBot="1" x14ac:dyDescent="0.25">
      <c r="A25" s="377" t="str">
        <f ca="1">IFERROR(VLOOKUP(A23,OFFSET($AG$2,,,COUNTIF($AG$2:$AG$50,"?*"),23),18,FALSE),"")</f>
        <v/>
      </c>
      <c r="B25" s="378"/>
      <c r="C25" s="378"/>
      <c r="D25" s="379" t="str">
        <f ca="1">IFERROR(VLOOKUP(A23,OFFSET($AG$2,,,COUNTIF($AG$2:$AG$50,"?*"),23),19,FALSE),"")</f>
        <v/>
      </c>
      <c r="E25" s="379"/>
      <c r="F25" s="380"/>
      <c r="G25" s="348"/>
      <c r="H25" s="349"/>
      <c r="I25" s="349"/>
      <c r="J25" s="349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77" t="str">
        <f ca="1">IFERROR(VLOOKUP(M23,OFFSET($AG$2,,,COUNTIF($AG$2:$AG$50,"?*"),23),18,FALSE),"")</f>
        <v/>
      </c>
      <c r="N25" s="378"/>
      <c r="O25" s="378"/>
      <c r="P25" s="379" t="str">
        <f ca="1">IFERROR(VLOOKUP(M23,OFFSET($AG$2,,,COUNTIF($AG$2:$AG$50,"?*"),23),19,FALSE),"")</f>
        <v/>
      </c>
      <c r="Q25" s="379"/>
      <c r="R25" s="380"/>
      <c r="S25" s="111"/>
      <c r="AC25" s="102" t="str">
        <f t="shared" ca="1" si="0"/>
        <v/>
      </c>
      <c r="AG25" s="121" t="s">
        <v>349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149</v>
      </c>
      <c r="AQ25" s="123">
        <v>182</v>
      </c>
      <c r="AR25" s="123">
        <v>78</v>
      </c>
      <c r="AS25" s="126" t="s">
        <v>366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2 OZ, 0 (0+0), 0 ±</v>
      </c>
      <c r="AY25" s="129" t="str">
        <f t="shared" ca="1" si="16"/>
        <v>191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36"/>
      <c r="BT25" s="104" t="s">
        <v>1050</v>
      </c>
      <c r="BU25" s="103">
        <v>6</v>
      </c>
      <c r="BV25" s="104" t="str">
        <f t="shared" si="13"/>
        <v>Adam Zubek</v>
      </c>
      <c r="BW25" s="102">
        <f t="shared" si="14"/>
        <v>6</v>
      </c>
    </row>
    <row r="26" spans="1:75" ht="15" customHeight="1" thickBot="1" x14ac:dyDescent="0.25">
      <c r="A26" s="365" t="str">
        <f ca="1">IFERROR(IF(VLOOKUP(A23,OFFSET($AG$2,,,COUNTIF($AG$2:$AG$50,"?*"),23),13,FALSE)&lt;&gt;0,VLOOKUP(A23,OFFSET($AG$2,,,COUNTIF($AG$2:$AG$50,"?*"),23),13,FALSE),"?"),"")</f>
        <v/>
      </c>
      <c r="B26" s="366"/>
      <c r="C26" s="367"/>
      <c r="D26" s="368" t="str">
        <f ca="1">IFERROR(IF(VLOOKUP(A23,OFFSET($AG$2,,,COUNTIF($AG$2:$AG$50,"?*"),23),14,FALSE)&lt;&gt;0,VLOOKUP(A23,OFFSET($AG$2,,,COUNTIF($AG$2:$AG$50,"?*"),23),14,FALSE),"?"),"")</f>
        <v/>
      </c>
      <c r="E26" s="369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41" t="str">
        <f ca="1">IFERROR(IF(VLOOKUP(G25,OFFSET($AG$2,,,COUNTIF($AG$2:$AG$50,"?*"),23),2,FALSE)&lt;&gt;0,YEAR(VLOOKUP(G25,OFFSET($AG$2,,,COUNTIF($AG$2:$AG$50,"?*"),23),2,FALSE)),""),"")</f>
        <v/>
      </c>
      <c r="I26" s="342"/>
      <c r="J26" s="117" t="str">
        <f ca="1">IFERROR(VLOOKUP(G25,OFFSET($AG$2,,,COUNTIF($AG$2:$AG$50,"?*"),23),15,FALSE),"")</f>
        <v/>
      </c>
      <c r="K26" s="343" t="str">
        <f ca="1">IFERROR(VLOOKUP(G25,OFFSET($AG$2,,,COUNTIF($AG$2:$AG$50,"?*"),23),16,FALSE),"")</f>
        <v/>
      </c>
      <c r="L26" s="344"/>
      <c r="M26" s="365" t="str">
        <f ca="1">IFERROR(IF(VLOOKUP(M23,OFFSET($AG$2,,,COUNTIF($AG$2:$AG$50,"?*"),23),13,FALSE)&lt;&gt;0,VLOOKUP(M23,OFFSET($AG$2,,,COUNTIF($AG$2:$AG$50,"?*"),23),13,FALSE),"?"),"")</f>
        <v/>
      </c>
      <c r="N26" s="366"/>
      <c r="O26" s="367"/>
      <c r="P26" s="368" t="str">
        <f ca="1">IFERROR(IF(VLOOKUP(M23,OFFSET($AG$2,,,COUNTIF($AG$2:$AG$50,"?*"),23),14,FALSE)&lt;&gt;0,VLOOKUP(M23,OFFSET($AG$2,,,COUNTIF($AG$2:$AG$50,"?*"),23),14,FALSE),"?"),"")</f>
        <v/>
      </c>
      <c r="Q26" s="369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336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149</v>
      </c>
      <c r="AQ26" s="123">
        <v>186</v>
      </c>
      <c r="AR26" s="123">
        <v>81</v>
      </c>
      <c r="AS26" s="126" t="s">
        <v>377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7 OZ, 16 (5+11), +13 ±</v>
      </c>
      <c r="AY26" s="129" t="str">
        <f t="shared" ca="1" si="16"/>
        <v>91 OZ, 137 (41+96)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36"/>
      <c r="BT26" s="104" t="s">
        <v>1051</v>
      </c>
      <c r="BU26" s="103">
        <v>5</v>
      </c>
      <c r="BV26" s="104" t="str">
        <f t="shared" si="13"/>
        <v>Ondřej Vítovec</v>
      </c>
      <c r="BW26" s="102">
        <f t="shared" si="14"/>
        <v>5</v>
      </c>
    </row>
    <row r="27" spans="1:75" ht="15" customHeight="1" thickTop="1" thickBot="1" x14ac:dyDescent="0.25">
      <c r="A27" s="8"/>
      <c r="B27" s="8"/>
      <c r="C27" s="8"/>
      <c r="D27" s="8"/>
      <c r="G27" s="377" t="str">
        <f ca="1">IFERROR(VLOOKUP(G25,OFFSET($AG$2,,,COUNTIF($AG$2:$AG$50,"?*"),23),18,FALSE),"")</f>
        <v/>
      </c>
      <c r="H27" s="378"/>
      <c r="I27" s="378"/>
      <c r="J27" s="379" t="str">
        <f ca="1">IFERROR(VLOOKUP(G25,OFFSET($AG$2,,,COUNTIF($AG$2:$AG$50,"?*"),23),19,FALSE),"")</f>
        <v/>
      </c>
      <c r="K27" s="379"/>
      <c r="L27" s="380"/>
      <c r="S27" s="111"/>
      <c r="AC27" s="102" t="str">
        <f t="shared" ca="1" si="0"/>
        <v/>
      </c>
      <c r="AG27" s="121" t="s">
        <v>345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149</v>
      </c>
      <c r="AQ27" s="123">
        <v>179</v>
      </c>
      <c r="AR27" s="123">
        <v>76</v>
      </c>
      <c r="AS27" s="126" t="s">
        <v>308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4 OZ, 1 (0+1), +1 ±</v>
      </c>
      <c r="AY27" s="129" t="str">
        <f t="shared" ca="1" si="16"/>
        <v>183 OZ, 119 (36+83)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36" t="s">
        <v>39</v>
      </c>
      <c r="BT27" s="104" t="s">
        <v>1339</v>
      </c>
      <c r="BU27" s="103">
        <v>2</v>
      </c>
      <c r="BV27" s="104" t="str">
        <f t="shared" si="13"/>
        <v>Filip Čonka-Skyba</v>
      </c>
      <c r="BW27" s="102">
        <f t="shared" si="14"/>
        <v>2</v>
      </c>
    </row>
    <row r="28" spans="1:75" ht="15" customHeight="1" thickTop="1" thickBot="1" x14ac:dyDescent="0.25">
      <c r="A28" s="348"/>
      <c r="B28" s="349"/>
      <c r="C28" s="349"/>
      <c r="D28" s="349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65" t="str">
        <f ca="1">IFERROR(IF(VLOOKUP(G25,OFFSET($AG$2,,,COUNTIF($AG$2:$AG$50,"?*"),23),13,FALSE)&lt;&gt;0,VLOOKUP(G25,OFFSET($AG$2,,,COUNTIF($AG$2:$AG$50,"?*"),23),13,FALSE),"?"),"")</f>
        <v/>
      </c>
      <c r="H28" s="366"/>
      <c r="I28" s="367"/>
      <c r="J28" s="368" t="str">
        <f ca="1">IFERROR(IF(VLOOKUP(G25,OFFSET($AG$2,,,COUNTIF($AG$2:$AG$50,"?*"),23),14,FALSE)&lt;&gt;0,VLOOKUP(G25,OFFSET($AG$2,,,COUNTIF($AG$2:$AG$50,"?*"),23),14,FALSE),"?"),"")</f>
        <v/>
      </c>
      <c r="K28" s="369"/>
      <c r="L28" s="7" t="str">
        <f ca="1">IFERROR(IF(VLOOKUP(G25,OFFSET($AG$2,,,COUNTIF($AG$2:$AG$50,"?*"),23),7,FALSE)&lt;&gt;0,VLOOKUP(G25,OFFSET($AG$2,,,COUNTIF($AG$2:$AG$50,"?*"),23),7,FALSE),"?"),"")</f>
        <v/>
      </c>
      <c r="M28" s="348"/>
      <c r="N28" s="349"/>
      <c r="O28" s="349"/>
      <c r="P28" s="349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362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149</v>
      </c>
      <c r="AQ28" s="123"/>
      <c r="AR28" s="123"/>
      <c r="AS28" s="126" t="s">
        <v>378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36"/>
      <c r="BT28" s="104" t="s">
        <v>1340</v>
      </c>
      <c r="BU28" s="103">
        <v>2</v>
      </c>
      <c r="BV28" s="104" t="str">
        <f t="shared" si="13"/>
        <v>Jiří Besta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41" t="str">
        <f ca="1">IFERROR(IF(VLOOKUP(A28,OFFSET($AG$2,,,COUNTIF($AG$2:$AG$50,"?*"),23),2,FALSE)&lt;&gt;0,YEAR(VLOOKUP(A28,OFFSET($AG$2,,,COUNTIF($AG$2:$AG$50,"?*"),23),2,FALSE)),""),"")</f>
        <v/>
      </c>
      <c r="C29" s="342"/>
      <c r="D29" s="117" t="str">
        <f ca="1">IFERROR(VLOOKUP(A28,OFFSET($AG$2,,,COUNTIF($AG$2:$AG$50,"?*"),23),15,FALSE),"")</f>
        <v/>
      </c>
      <c r="E29" s="343" t="str">
        <f ca="1">IFERROR(VLOOKUP(A28,OFFSET($AG$2,,,COUNTIF($AG$2:$AG$50,"?*"),23),16,FALSE),"")</f>
        <v/>
      </c>
      <c r="F29" s="344"/>
      <c r="M29" s="4" t="str">
        <f ca="1">IFERROR(IF(VLOOKUP(M28,OFFSET($AG$2,,,COUNTIF($AG$2:$AG$50,"?*"),23),10,FALSE)&lt;&gt;0,VLOOKUP(M28,OFFSET($AG$2,,,COUNTIF($AG$2:$AG$50,"?*"),23),10,FALSE),""),"")</f>
        <v/>
      </c>
      <c r="N29" s="341" t="str">
        <f ca="1">IFERROR(IF(VLOOKUP(M28,OFFSET($AG$2,,,COUNTIF($AG$2:$AG$50,"?*"),23),2,FALSE)&lt;&gt;0,YEAR(VLOOKUP(M28,OFFSET($AG$2,,,COUNTIF($AG$2:$AG$50,"?*"),23),2,FALSE)),""),"")</f>
        <v/>
      </c>
      <c r="O29" s="342"/>
      <c r="P29" s="117" t="str">
        <f ca="1">IFERROR(VLOOKUP(M28,OFFSET($AG$2,,,COUNTIF($AG$2:$AG$50,"?*"),23),15,FALSE),"")</f>
        <v/>
      </c>
      <c r="Q29" s="343" t="str">
        <f ca="1">IFERROR(VLOOKUP(M28,OFFSET($AG$2,,,COUNTIF($AG$2:$AG$50,"?*"),23),16,FALSE),"")</f>
        <v/>
      </c>
      <c r="R29" s="344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36"/>
      <c r="BT29" s="104" t="s">
        <v>1043</v>
      </c>
      <c r="BU29" s="103">
        <v>2</v>
      </c>
      <c r="BV29" s="104" t="str">
        <f t="shared" si="13"/>
        <v>Marek Bräuer</v>
      </c>
      <c r="BW29" s="102">
        <f t="shared" si="14"/>
        <v>2</v>
      </c>
    </row>
    <row r="30" spans="1:75" ht="15" customHeight="1" x14ac:dyDescent="0.2">
      <c r="A30" s="377" t="str">
        <f ca="1">IFERROR(VLOOKUP(A28,OFFSET($AG$2,,,COUNTIF($AG$2:$AG$50,"?*"),23),18,FALSE),"")</f>
        <v/>
      </c>
      <c r="B30" s="378"/>
      <c r="C30" s="378"/>
      <c r="D30" s="379" t="str">
        <f ca="1">IFERROR(VLOOKUP(A28,OFFSET($AG$2,,,COUNTIF($AG$2:$AG$50,"?*"),23),19,FALSE),"")</f>
        <v/>
      </c>
      <c r="E30" s="379"/>
      <c r="F30" s="380"/>
      <c r="H30" s="381" t="str">
        <f>H$8</f>
        <v>VIT</v>
      </c>
      <c r="I30" s="381"/>
      <c r="J30" s="381"/>
      <c r="K30" s="381"/>
      <c r="M30" s="377" t="str">
        <f ca="1">IFERROR(VLOOKUP(M28,OFFSET($AG$2,,,COUNTIF($AG$2:$AG$50,"?*"),23),18,FALSE),"")</f>
        <v/>
      </c>
      <c r="N30" s="378"/>
      <c r="O30" s="378"/>
      <c r="P30" s="379" t="str">
        <f ca="1">IFERROR(VLOOKUP(M28,OFFSET($AG$2,,,COUNTIF($AG$2:$AG$50,"?*"),23),19,FALSE),"")</f>
        <v/>
      </c>
      <c r="Q30" s="379"/>
      <c r="R30" s="380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36"/>
      <c r="BT30" s="104" t="s">
        <v>1038</v>
      </c>
      <c r="BU30" s="103">
        <v>2</v>
      </c>
      <c r="BV30" s="104" t="str">
        <f t="shared" si="13"/>
        <v>Marek Matejčík</v>
      </c>
      <c r="BW30" s="102">
        <f t="shared" si="14"/>
        <v>2</v>
      </c>
    </row>
    <row r="31" spans="1:75" ht="15" customHeight="1" thickBot="1" x14ac:dyDescent="0.25">
      <c r="A31" s="365" t="str">
        <f ca="1">IFERROR(IF(VLOOKUP(A28,OFFSET($AG$2,,,COUNTIF($AG$2:$AG$50,"?*"),23),13,FALSE)&lt;&gt;0,VLOOKUP(A28,OFFSET($AG$2,,,COUNTIF($AG$2:$AG$50,"?*"),23),13,FALSE),"?"),"")</f>
        <v/>
      </c>
      <c r="B31" s="366"/>
      <c r="C31" s="367"/>
      <c r="D31" s="368" t="str">
        <f ca="1">IFERROR(IF(VLOOKUP(A28,OFFSET($AG$2,,,COUNTIF($AG$2:$AG$50,"?*"),23),14,FALSE)&lt;&gt;0,VLOOKUP(A28,OFFSET($AG$2,,,COUNTIF($AG$2:$AG$50,"?*"),23),14,FALSE),"?"),"")</f>
        <v/>
      </c>
      <c r="E31" s="369"/>
      <c r="F31" s="7" t="str">
        <f ca="1">IFERROR(IF(VLOOKUP(A28,OFFSET($AG$2,,,COUNTIF($AG$2:$AG$50,"?*"),23),7,FALSE)&lt;&gt;0,VLOOKUP(A28,OFFSET($AG$2,,,COUNTIF($AG$2:$AG$50,"?*"),23),7,FALSE),"?"),"")</f>
        <v/>
      </c>
      <c r="H31" s="381"/>
      <c r="I31" s="381"/>
      <c r="J31" s="381"/>
      <c r="K31" s="381"/>
      <c r="M31" s="365" t="str">
        <f ca="1">IFERROR(IF(VLOOKUP(M28,OFFSET($AG$2,,,COUNTIF($AG$2:$AG$50,"?*"),23),13,FALSE)&lt;&gt;0,VLOOKUP(M28,OFFSET($AG$2,,,COUNTIF($AG$2:$AG$50,"?*"),23),13,FALSE),"?"),"")</f>
        <v/>
      </c>
      <c r="N31" s="366"/>
      <c r="O31" s="367"/>
      <c r="P31" s="368" t="str">
        <f ca="1">IFERROR(IF(VLOOKUP(M28,OFFSET($AG$2,,,COUNTIF($AG$2:$AG$50,"?*"),23),14,FALSE)&lt;&gt;0,VLOOKUP(M28,OFFSET($AG$2,,,COUNTIF($AG$2:$AG$50,"?*"),23),14,FALSE),"?"),"")</f>
        <v/>
      </c>
      <c r="Q31" s="369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36"/>
      <c r="BT31" s="104" t="s">
        <v>1338</v>
      </c>
      <c r="BU31" s="103">
        <v>2</v>
      </c>
      <c r="BV31" s="104" t="str">
        <f t="shared" si="13"/>
        <v>Martin Gattnar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48"/>
      <c r="B34" s="349"/>
      <c r="C34" s="349"/>
      <c r="D34" s="349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76" t="s">
        <v>16</v>
      </c>
      <c r="J34" s="348"/>
      <c r="K34" s="349"/>
      <c r="L34" s="349"/>
      <c r="M34" s="349"/>
      <c r="N34" s="349"/>
      <c r="O34" s="349"/>
      <c r="P34" s="349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41" t="str">
        <f ca="1">IFERROR(IF(VLOOKUP(A34,OFFSET($AG$2,,,COUNTIF($AG$2:$AG$50,"?*"),23),2,FALSE)&lt;&gt;0,YEAR(VLOOKUP(A34,OFFSET($AG$2,,,COUNTIF($AG$2:$AG$50,"?*"),23),2,FALSE)),""),"")</f>
        <v/>
      </c>
      <c r="C35" s="342"/>
      <c r="D35" s="117" t="str">
        <f ca="1">IFERROR(VLOOKUP(A34,OFFSET($AG$2,,,COUNTIF($AG$2:$AG$50,"?*"),23),15,FALSE),"")</f>
        <v/>
      </c>
      <c r="E35" s="343" t="str">
        <f ca="1">IFERROR(VLOOKUP(A34,OFFSET($AG$2,,,COUNTIF($AG$2:$AG$50,"?*"),23),16,FALSE),"")</f>
        <v/>
      </c>
      <c r="F35" s="344"/>
      <c r="H35" s="376"/>
      <c r="J35" s="4" t="str">
        <f ca="1">IFERROR(IF(VLOOKUP(J34,OFFSET($AG$2,,,COUNTIF($AG$2:$AG$50,"?*"),23),10,FALSE)&lt;&gt;0,VLOOKUP(J34,OFFSET($AG$2,,,COUNTIF($AG$2:$AG$50,"?*"),23),10,FALSE),""),"")</f>
        <v/>
      </c>
      <c r="K35" s="342" t="str">
        <f ca="1">IFERROR(IF(VLOOKUP(J34,OFFSET($AG$2,,,COUNTIF($AG$2:$AG$50,"?*"),23),2,FALSE)&lt;&gt;0,YEAR(VLOOKUP(J34,OFFSET($AG$2,,,COUNTIF($AG$2:$AG$50,"?*"),23),2,FALSE)),""),"")</f>
        <v/>
      </c>
      <c r="L35" s="350"/>
      <c r="M35" s="118" t="str">
        <f ca="1">IFERROR(VLOOKUP(J34,OFFSET($AG$2,,,COUNTIF($AG$2:$AG$50,"?*"),23),15,FALSE),"")</f>
        <v/>
      </c>
      <c r="N35" s="350" t="str">
        <f ca="1">IFERROR(VLOOKUP(J34,OFFSET($AG$2,,,COUNTIF($AG$2:$AG$50,"?*"),23),16,FALSE),"")</f>
        <v/>
      </c>
      <c r="O35" s="350"/>
      <c r="P35" s="350" t="str">
        <f ca="1">IFERROR(VLOOKUP(J34,OFFSET($AG$2,,,COUNTIF($AG$2:$AG$50,"?*"),23),18,FALSE),"")</f>
        <v/>
      </c>
      <c r="Q35" s="350"/>
      <c r="R35" s="351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45" t="str">
        <f ca="1">IFERROR(VLOOKUP(A34,OFFSET($AG$2,,,COUNTIF($AG$2:$AG$50,"?*"),23),18,FALSE),"")</f>
        <v/>
      </c>
      <c r="C36" s="345"/>
      <c r="D36" s="346" t="str">
        <f ca="1">IFERROR(VLOOKUP(A34,OFFSET($S$45,,,COUNTIF($S$45:$S$50,"?*"),14),5,FALSE),"")</f>
        <v/>
      </c>
      <c r="E36" s="347"/>
      <c r="F36" s="17" t="str">
        <f ca="1">IFERROR(VLOOKUP(A34,OFFSET($S$45,,,COUNTIF($S$45:$S$50,"?*"),14),14,FALSE),"")</f>
        <v/>
      </c>
      <c r="H36" s="376"/>
      <c r="J36" s="18" t="str">
        <f ca="1">IFERROR(IF(VLOOKUP(J34,OFFSET($AG$2,,,COUNTIF($AG$2:$AG$50,"?*"),23),7,FALSE)&lt;&gt;0,VLOOKUP(J34,OFFSET($AG$2,,,COUNTIF($AG$2:$AG$50,"?*"),23),7,FALSE),"?"),"")</f>
        <v/>
      </c>
      <c r="K36" s="352" t="str">
        <f ca="1">IFERROR(VLOOKUP(J34,OFFSET($AG$2,,,COUNTIF($AG$2:$AG$50,"?*"),23),19,FALSE),"")</f>
        <v/>
      </c>
      <c r="L36" s="352"/>
      <c r="M36" s="352"/>
      <c r="N36" s="353" t="str">
        <f ca="1">IFERROR(IF(VLOOKUP(J34,OFFSET($AG$2,,,COUNTIF($AG$2:$AG$50,"?*"),23),13,FALSE)&lt;&gt;0,VLOOKUP(J34,OFFSET($AG$2,,,COUNTIF($AG$2:$AG$50,"?*"),23),13,FALSE),"?"),"")</f>
        <v/>
      </c>
      <c r="O36" s="353"/>
      <c r="P36" s="353"/>
      <c r="Q36" s="352" t="str">
        <f ca="1">IFERROR(IF(VLOOKUP(J34,OFFSET($AG$2,,,COUNTIF($AG$2:$AG$50,"?*"),23),14,FALSE)&lt;&gt;0,VLOOKUP(J34,OFFSET($AG$2,,,COUNTIF($AG$2:$AG$50,"?*"),23),14,FALSE),"?"),"")</f>
        <v/>
      </c>
      <c r="R36" s="354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70" t="str">
        <f ca="1">IFERROR(VLOOKUP(A34,OFFSET($S$45,,,COUNTIF($S$45:$S$50,"?*"),14),3,FALSE),"")</f>
        <v/>
      </c>
      <c r="B37" s="371"/>
      <c r="C37" s="372" t="str">
        <f ca="1">IFERROR(VLOOKUP(A34,OFFSET($S$45,,,COUNTIF($S$45:$S$50,"?*"),14),13,FALSE),"")</f>
        <v/>
      </c>
      <c r="D37" s="373"/>
      <c r="E37" s="374" t="str">
        <f ca="1">IFERROR(VLOOKUP(A34,OFFSET($AG$2,,,COUNTIF($AG$2:$AG$50,"?*"),23),19,FALSE),"")</f>
        <v/>
      </c>
      <c r="F37" s="375"/>
      <c r="H37" s="376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65" t="str">
        <f ca="1">IFERROR(IF(VLOOKUP(A34,OFFSET($AG$2,,,COUNTIF($AG$2:$AG$50,"?*"),23),13,FALSE)&lt;&gt;0,VLOOKUP(A34,OFFSET($AG$2,,,COUNTIF($AG$2:$AG$50,"?*"),23),13,FALSE),"?"),"")</f>
        <v/>
      </c>
      <c r="B38" s="366"/>
      <c r="C38" s="367"/>
      <c r="D38" s="368" t="str">
        <f ca="1">IFERROR(IF(VLOOKUP(A34,OFFSET($AG$2,,,COUNTIF($AG$2:$AG$50,"?*"),23),14,FALSE)&lt;&gt;0,VLOOKUP(A34,OFFSET($AG$2,,,COUNTIF($AG$2:$AG$50,"?*"),23),14,FALSE),"?"),"")</f>
        <v/>
      </c>
      <c r="E38" s="369"/>
      <c r="F38" s="19" t="str">
        <f ca="1">IFERROR(VLOOKUP(A34,OFFSET($S$45,,,COUNTIF($S$45:$S$50,"?*"),14),6,FALSE),"")</f>
        <v/>
      </c>
      <c r="H38" s="376"/>
      <c r="J38" s="348"/>
      <c r="K38" s="349"/>
      <c r="L38" s="349"/>
      <c r="M38" s="349"/>
      <c r="N38" s="349"/>
      <c r="O38" s="349"/>
      <c r="P38" s="349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76"/>
      <c r="J39" s="4" t="str">
        <f ca="1">IFERROR(IF(VLOOKUP(J38,OFFSET($AG$2,,,COUNTIF($AG$2:$AG$50,"?*"),23),10,FALSE)&lt;&gt;0,VLOOKUP(J38,OFFSET($AG$2,,,COUNTIF($AG$2:$AG$50,"?*"),23),10,FALSE),""),"")</f>
        <v/>
      </c>
      <c r="K39" s="342" t="str">
        <f ca="1">IFERROR(IF(VLOOKUP(J38,OFFSET($AG$2,,,COUNTIF($AG$2:$AG$50,"?*"),23),2,FALSE)&lt;&gt;0,YEAR(VLOOKUP(J38,OFFSET($AG$2,,,COUNTIF($AG$2:$AG$50,"?*"),23),2,FALSE)),""),"")</f>
        <v/>
      </c>
      <c r="L39" s="350"/>
      <c r="M39" s="151" t="str">
        <f ca="1">IFERROR(VLOOKUP(J38,OFFSET($AG$2,,,COUNTIF($AG$2:$AG$50,"?*"),23),15,FALSE),"")</f>
        <v/>
      </c>
      <c r="N39" s="350" t="str">
        <f ca="1">IFERROR(VLOOKUP(J38,OFFSET($AG$2,,,COUNTIF($AG$2:$AG$50,"?*"),23),16,FALSE),"")</f>
        <v/>
      </c>
      <c r="O39" s="350"/>
      <c r="P39" s="350" t="str">
        <f ca="1">IFERROR(VLOOKUP(J38,OFFSET($AG$2,,,COUNTIF($AG$2:$AG$50,"?*"),23),18,FALSE),"")</f>
        <v/>
      </c>
      <c r="Q39" s="350"/>
      <c r="R39" s="351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48"/>
      <c r="B40" s="349"/>
      <c r="C40" s="349"/>
      <c r="D40" s="349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76"/>
      <c r="J40" s="18" t="str">
        <f ca="1">IFERROR(IF(VLOOKUP(J38,OFFSET($AG$2,,,COUNTIF($AG$2:$AG$50,"?*"),23),7,FALSE)&lt;&gt;0,VLOOKUP(J38,OFFSET($AG$2,,,COUNTIF($AG$2:$AG$50,"?*"),23),7,FALSE),"?"),"")</f>
        <v/>
      </c>
      <c r="K40" s="352" t="str">
        <f ca="1">IFERROR(VLOOKUP(J38,OFFSET($AG$2,,,COUNTIF($AG$2:$AG$50,"?*"),23),19,FALSE),"")</f>
        <v/>
      </c>
      <c r="L40" s="352"/>
      <c r="M40" s="352"/>
      <c r="N40" s="353" t="str">
        <f ca="1">IFERROR(IF(VLOOKUP(J38,OFFSET($AG$2,,,COUNTIF($AG$2:$AG$50,"?*"),23),13,FALSE)&lt;&gt;0,VLOOKUP(J38,OFFSET($AG$2,,,COUNTIF($AG$2:$AG$50,"?*"),23),13,FALSE),"?"),"")</f>
        <v/>
      </c>
      <c r="O40" s="353"/>
      <c r="P40" s="353"/>
      <c r="Q40" s="352" t="str">
        <f ca="1">IFERROR(IF(VLOOKUP(J38,OFFSET($AG$2,,,COUNTIF($AG$2:$AG$50,"?*"),23),14,FALSE)&lt;&gt;0,VLOOKUP(J38,OFFSET($AG$2,,,COUNTIF($AG$2:$AG$50,"?*"),23),14,FALSE),"?"),"")</f>
        <v/>
      </c>
      <c r="R40" s="354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41" t="str">
        <f ca="1">IFERROR(IF(VLOOKUP(A40,OFFSET($AG$2,,,COUNTIF($AG$2:$AG$50,"?*"),23),2,FALSE)&lt;&gt;0,YEAR(VLOOKUP(A40,OFFSET($AG$2,,,COUNTIF($AG$2:$AG$50,"?*"),23),2,FALSE)),""),"")</f>
        <v/>
      </c>
      <c r="C41" s="342"/>
      <c r="D41" s="117" t="str">
        <f ca="1">IFERROR(VLOOKUP(A40,OFFSET($AG$2,,,COUNTIF($AG$2:$AG$50,"?*"),23),15,FALSE),"")</f>
        <v/>
      </c>
      <c r="E41" s="343" t="str">
        <f ca="1">IFERROR(VLOOKUP(A40,OFFSET($AG$2,,,COUNTIF($AG$2:$AG$50,"?*"),23),16,FALSE),"")</f>
        <v/>
      </c>
      <c r="F41" s="344"/>
      <c r="H41" s="376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45" t="str">
        <f ca="1">IFERROR(VLOOKUP(A40,OFFSET($AG$2,,,COUNTIF($AG$2:$AG$50,"?*"),23),18,FALSE),"")</f>
        <v/>
      </c>
      <c r="C42" s="345"/>
      <c r="D42" s="346" t="str">
        <f ca="1">IFERROR(VLOOKUP(A40,OFFSET($S$45,,,COUNTIF($S$45:$S$50,"?*"),14),5,FALSE),"")</f>
        <v/>
      </c>
      <c r="E42" s="347"/>
      <c r="F42" s="17" t="str">
        <f ca="1">IFERROR(VLOOKUP(A40,OFFSET($S$45,,,COUNTIF($S$45:$S$50,"?*"),14),14,FALSE),"")</f>
        <v/>
      </c>
      <c r="H42" s="376"/>
      <c r="J42" s="348"/>
      <c r="K42" s="349"/>
      <c r="L42" s="349"/>
      <c r="M42" s="349"/>
      <c r="N42" s="349"/>
      <c r="O42" s="349"/>
      <c r="P42" s="349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70" t="str">
        <f ca="1">IFERROR(VLOOKUP(A40,OFFSET($S$45,,,COUNTIF($S$45:$S$50,"?*"),14),3,FALSE),"")</f>
        <v/>
      </c>
      <c r="B43" s="371"/>
      <c r="C43" s="372" t="str">
        <f ca="1">IFERROR(VLOOKUP(A40,OFFSET($S$45,,,COUNTIF($S$45:$S$50,"?*"),14),13,FALSE),"")</f>
        <v/>
      </c>
      <c r="D43" s="373"/>
      <c r="E43" s="374" t="str">
        <f ca="1">IFERROR(VLOOKUP(A40,OFFSET($AG$2,,,COUNTIF($AG$2:$AG$50,"?*"),23),19,FALSE),"")</f>
        <v/>
      </c>
      <c r="F43" s="375"/>
      <c r="H43" s="376"/>
      <c r="J43" s="4" t="str">
        <f ca="1">IFERROR(IF(VLOOKUP(J42,OFFSET($AG$2,,,COUNTIF($AG$2:$AG$50,"?*"),23),10,FALSE)&lt;&gt;0,VLOOKUP(J42,OFFSET($AG$2,,,COUNTIF($AG$2:$AG$50,"?*"),23),10,FALSE),""),"")</f>
        <v/>
      </c>
      <c r="K43" s="342" t="str">
        <f ca="1">IFERROR(IF(VLOOKUP(J42,OFFSET($AG$2,,,COUNTIF($AG$2:$AG$50,"?*"),23),2,FALSE)&lt;&gt;0,YEAR(VLOOKUP(J42,OFFSET($AG$2,,,COUNTIF($AG$2:$AG$50,"?*"),23),2,FALSE)),""),"")</f>
        <v/>
      </c>
      <c r="L43" s="350"/>
      <c r="M43" s="151" t="str">
        <f ca="1">IFERROR(VLOOKUP(J42,OFFSET($AG$2,,,COUNTIF($AG$2:$AG$50,"?*"),23),15,FALSE),"")</f>
        <v/>
      </c>
      <c r="N43" s="350" t="str">
        <f ca="1">IFERROR(VLOOKUP(J42,OFFSET($AG$2,,,COUNTIF($AG$2:$AG$50,"?*"),23),16,FALSE),"")</f>
        <v/>
      </c>
      <c r="O43" s="350"/>
      <c r="P43" s="350" t="str">
        <f ca="1">IFERROR(VLOOKUP(J42,OFFSET($AG$2,,,COUNTIF($AG$2:$AG$50,"?*"),23),18,FALSE),"")</f>
        <v/>
      </c>
      <c r="Q43" s="350"/>
      <c r="R43" s="351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65" t="str">
        <f ca="1">IFERROR(IF(VLOOKUP(A40,OFFSET($AG$2,,,COUNTIF($AG$2:$AG$50,"?*"),23),13,FALSE)&lt;&gt;0,VLOOKUP(A40,OFFSET($AG$2,,,COUNTIF($AG$2:$AG$50,"?*"),23),13,FALSE),"?"),"")</f>
        <v/>
      </c>
      <c r="B44" s="366"/>
      <c r="C44" s="367"/>
      <c r="D44" s="368" t="str">
        <f ca="1">IFERROR(IF(VLOOKUP(A40,OFFSET($AG$2,,,COUNTIF($AG$2:$AG$50,"?*"),23),14,FALSE)&lt;&gt;0,VLOOKUP(A40,OFFSET($AG$2,,,COUNTIF($AG$2:$AG$50,"?*"),23),14,FALSE),"?"),"")</f>
        <v/>
      </c>
      <c r="E44" s="369"/>
      <c r="F44" s="19" t="str">
        <f ca="1">IFERROR(VLOOKUP(A40,OFFSET($S$45,,,COUNTIF($S$45:$S$50,"?*"),14),6,FALSE),"")</f>
        <v/>
      </c>
      <c r="H44" s="376"/>
      <c r="J44" s="18" t="str">
        <f ca="1">IFERROR(IF(VLOOKUP(J42,OFFSET($AG$2,,,COUNTIF($AG$2:$AG$50,"?*"),23),7,FALSE)&lt;&gt;0,VLOOKUP(J42,OFFSET($AG$2,,,COUNTIF($AG$2:$AG$50,"?*"),23),7,FALSE),"?"),"")</f>
        <v/>
      </c>
      <c r="K44" s="352" t="str">
        <f ca="1">IFERROR(VLOOKUP(J42,OFFSET($AG$2,,,COUNTIF($AG$2:$AG$50,"?*"),23),19,FALSE),"")</f>
        <v/>
      </c>
      <c r="L44" s="352"/>
      <c r="M44" s="352"/>
      <c r="N44" s="353" t="str">
        <f ca="1">IFERROR(IF(VLOOKUP(J42,OFFSET($AG$2,,,COUNTIF($AG$2:$AG$50,"?*"),23),13,FALSE)&lt;&gt;0,VLOOKUP(J42,OFFSET($AG$2,,,COUNTIF($AG$2:$AG$50,"?*"),23),13,FALSE),"?"),"")</f>
        <v/>
      </c>
      <c r="O44" s="353"/>
      <c r="P44" s="353"/>
      <c r="Q44" s="352" t="str">
        <f ca="1">IFERROR(IF(VLOOKUP(J42,OFFSET($AG$2,,,COUNTIF($AG$2:$AG$50,"?*"),23),14,FALSE)&lt;&gt;0,VLOOKUP(J42,OFFSET($AG$2,,,COUNTIF($AG$2:$AG$50,"?*"),23),14,FALSE),"?"),"")</f>
        <v/>
      </c>
      <c r="R44" s="354"/>
      <c r="S44" s="109" t="s">
        <v>127</v>
      </c>
      <c r="T44" s="98" t="s">
        <v>84</v>
      </c>
      <c r="U44" s="98" t="s">
        <v>131</v>
      </c>
      <c r="V44" s="98" t="s">
        <v>26</v>
      </c>
      <c r="W44" s="98" t="s">
        <v>133</v>
      </c>
      <c r="X44" s="98" t="s">
        <v>132</v>
      </c>
      <c r="Y44" s="98" t="s">
        <v>68</v>
      </c>
      <c r="Z44" s="98" t="s">
        <v>134</v>
      </c>
      <c r="AA44" s="98" t="s">
        <v>27</v>
      </c>
      <c r="AB44" s="98" t="s">
        <v>55</v>
      </c>
      <c r="AC44" s="98" t="s">
        <v>129</v>
      </c>
      <c r="AD44" s="98" t="s">
        <v>31</v>
      </c>
      <c r="AE44" s="99" t="s">
        <v>40</v>
      </c>
      <c r="AF44" s="99" t="s">
        <v>135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347</v>
      </c>
      <c r="T45" s="102">
        <v>5</v>
      </c>
      <c r="U45" s="112">
        <v>296.5</v>
      </c>
      <c r="V45" s="102">
        <v>4</v>
      </c>
      <c r="W45" s="102">
        <v>18</v>
      </c>
      <c r="X45" s="102">
        <v>0</v>
      </c>
      <c r="Y45" s="102">
        <v>100</v>
      </c>
      <c r="Z45" s="102">
        <v>0</v>
      </c>
      <c r="AA45" s="102">
        <v>1</v>
      </c>
      <c r="AB45" s="102">
        <v>82</v>
      </c>
      <c r="AC45" s="102">
        <v>0</v>
      </c>
      <c r="AD45" s="102">
        <v>0</v>
      </c>
      <c r="AE45" s="112">
        <f>IF(S45&lt;&gt;"",IF(T45&gt;0,W45/(U45/60),0),"")</f>
        <v>3.642495784148398</v>
      </c>
      <c r="AF45" s="112">
        <f>IF(S45&lt;&gt;"",IF(Y45&gt;0,(AB45/Y45)*100,"-"),"")</f>
        <v>82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360</v>
      </c>
      <c r="T46" s="102">
        <v>2</v>
      </c>
      <c r="U46" s="112">
        <v>120</v>
      </c>
      <c r="V46" s="102">
        <v>2</v>
      </c>
      <c r="W46" s="102">
        <v>7</v>
      </c>
      <c r="X46" s="102">
        <v>0</v>
      </c>
      <c r="Y46" s="102">
        <v>38</v>
      </c>
      <c r="Z46" s="102">
        <v>0</v>
      </c>
      <c r="AA46" s="102">
        <v>0</v>
      </c>
      <c r="AB46" s="102">
        <v>31</v>
      </c>
      <c r="AC46" s="102">
        <v>0</v>
      </c>
      <c r="AD46" s="102">
        <v>0</v>
      </c>
      <c r="AE46" s="112">
        <f t="shared" ref="AE46:AE50" si="23">IF(S46&lt;&gt;"",IF(T46&gt;0,W46/(U46/60),0),"")</f>
        <v>3.5</v>
      </c>
      <c r="AF46" s="112">
        <f t="shared" ref="AF46:AF50" si="24">IF(S46&lt;&gt;"",IF(Y46&gt;0,(AB46/Y46)*100,"-"),"")</f>
        <v>81.578947368421055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37"/>
      <c r="B47" s="338"/>
      <c r="C47" s="338"/>
      <c r="D47" s="338"/>
      <c r="E47" s="339" t="str">
        <f ca="1">IFERROR(VLOOKUP(A47,OFFSET($BN$2,,,COUNTIF($BN$2:$BN$11,"?*"),5),3,FALSE),"")</f>
        <v/>
      </c>
      <c r="F47" s="339"/>
      <c r="G47" s="339"/>
      <c r="H47" s="339"/>
      <c r="I47" s="340"/>
      <c r="J47" s="337"/>
      <c r="K47" s="338"/>
      <c r="L47" s="338"/>
      <c r="M47" s="338"/>
      <c r="N47" s="339" t="str">
        <f ca="1">IFERROR(VLOOKUP(J47,OFFSET($BN$2,,,COUNTIF($BN$2:$BN$11,"?*"),5),3,FALSE),"")</f>
        <v/>
      </c>
      <c r="O47" s="339"/>
      <c r="P47" s="339"/>
      <c r="Q47" s="339"/>
      <c r="R47" s="340"/>
      <c r="S47" s="111" t="s">
        <v>348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55" t="str">
        <f ca="1">IFERROR(VLOOKUP(A47,OFFSET($BN$2,,,COUNTIF($BN$2:$BN$11,"?*"),5),5,FALSE),"")</f>
        <v/>
      </c>
      <c r="B48" s="357" t="str">
        <f ca="1">IFERROR(IF(VLOOKUP(A47,OFFSET($BN$2,,,COUNTIF($BN$2:$BN$11,"?*"),5),4,FALSE)&lt;&gt;0,VLOOKUP(A47,OFFSET($BN$2,,,COUNTIF($BN$2:$BN$11,"?*"),5),4,FALSE),"-"),"")</f>
        <v/>
      </c>
      <c r="C48" s="357"/>
      <c r="D48" s="357"/>
      <c r="E48" s="357"/>
      <c r="F48" s="357"/>
      <c r="G48" s="357"/>
      <c r="H48" s="357"/>
      <c r="I48" s="358"/>
      <c r="J48" s="119" t="str">
        <f ca="1">IFERROR(VLOOKUP(J47,OFFSET($BN$2,,,COUNTIF($BN$2:$BN$11,"?*"),5),5,FALSE),"")</f>
        <v/>
      </c>
      <c r="K48" s="361" t="str">
        <f ca="1">IFERROR(IF(VLOOKUP(J47,OFFSET($BN$2,,,COUNTIF($BN$2:$BN$11,"?*"),5),4,FALSE)&lt;&gt;0,VLOOKUP(J47,OFFSET($BN$2,,,COUNTIF($BN$2:$BN$11,"?*"),5),4,FALSE),"-"),"")</f>
        <v/>
      </c>
      <c r="L48" s="361"/>
      <c r="M48" s="361"/>
      <c r="N48" s="361"/>
      <c r="O48" s="361"/>
      <c r="P48" s="361"/>
      <c r="Q48" s="361"/>
      <c r="R48" s="362"/>
      <c r="S48" s="111" t="s">
        <v>889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55"/>
      <c r="B49" s="357"/>
      <c r="C49" s="357"/>
      <c r="D49" s="357"/>
      <c r="E49" s="357"/>
      <c r="F49" s="357"/>
      <c r="G49" s="357"/>
      <c r="H49" s="357"/>
      <c r="I49" s="358"/>
      <c r="J49" s="363"/>
      <c r="K49" s="364"/>
      <c r="L49" s="364"/>
      <c r="M49" s="364"/>
      <c r="N49" s="339" t="str">
        <f ca="1">IFERROR(VLOOKUP(J49,OFFSET($BN$2,,,COUNTIF($BN$2:$BN$11,"?*"),5),3,FALSE),"")</f>
        <v/>
      </c>
      <c r="O49" s="339"/>
      <c r="P49" s="339"/>
      <c r="Q49" s="339"/>
      <c r="R49" s="340"/>
      <c r="S49" s="111" t="s">
        <v>1034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56"/>
      <c r="B50" s="359"/>
      <c r="C50" s="359"/>
      <c r="D50" s="359"/>
      <c r="E50" s="359"/>
      <c r="F50" s="359"/>
      <c r="G50" s="359"/>
      <c r="H50" s="359"/>
      <c r="I50" s="360"/>
      <c r="J50" s="119" t="str">
        <f ca="1">IFERROR(VLOOKUP(J49,OFFSET($BN$2,,,COUNTIF($BN$2:$BN$11,"?*"),5),5,FALSE),"")</f>
        <v/>
      </c>
      <c r="K50" s="361" t="str">
        <f ca="1">IFERROR(IF(VLOOKUP(J49,OFFSET($BN$2,,,COUNTIF($BN$2:$BN$11,"?*"),5),4,FALSE)&lt;&gt;0,VLOOKUP(J49,OFFSET($BN$2,,,COUNTIF($BN$2:$BN$11,"?*"),5),4,FALSE),"-"),"")</f>
        <v/>
      </c>
      <c r="L50" s="361"/>
      <c r="M50" s="361"/>
      <c r="N50" s="361"/>
      <c r="O50" s="361"/>
      <c r="P50" s="361"/>
      <c r="Q50" s="361"/>
      <c r="R50" s="362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2021-10-02T11:06:36Z</cp:lastPrinted>
  <dcterms:created xsi:type="dcterms:W3CDTF">2021-09-13T20:56:50Z</dcterms:created>
  <dcterms:modified xsi:type="dcterms:W3CDTF">2021-10-10T09:46:36Z</dcterms:modified>
</cp:coreProperties>
</file>