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Uživatel\Downloads\"/>
    </mc:Choice>
  </mc:AlternateContent>
  <xr:revisionPtr revIDLastSave="0" documentId="13_ncr:1_{169DDF22-13BB-4BE1-9C80-7F6A70C0D2E1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priprava_BA!$S$2:$AB$27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priprava_BOH!$S$2:$AB$29</definedName>
    <definedName name="CLP_bestof" localSheetId="9">priprava_CLP!$BT$2:$BU$31</definedName>
    <definedName name="CLP_goalies" localSheetId="9">priprava_CLP!$S$45:$AD$48</definedName>
    <definedName name="CLP_matches" localSheetId="9">priprava_CLP!$BY$2:$CA$12</definedName>
    <definedName name="CLP_players" localSheetId="9">priprava_CLP!$S$2:$AB$27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priprava_HAT!$S$2:$AB$28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priprava_LIB!$S$45:$AD$50</definedName>
    <definedName name="LIB_matches" localSheetId="12">priprava_LIB!$BY$2:$CA$12</definedName>
    <definedName name="LIB_players" localSheetId="12">priprava_LIB!$S$2:$AB$29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priprava_OST!$BY$2:$BZ$11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priprava_OTR!$S$2:$AB$26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priprava_PAR!$S$2:$AB$23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priprava_SKV!$S$45:$AD$47</definedName>
    <definedName name="SKV_matches" localSheetId="6">priprava_SKV!$BY$2:$CA$12</definedName>
    <definedName name="SKV_players" localSheetId="6">priprava_SKV!$S$2:$AB$27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2" i="6" l="1"/>
  <c r="BR3" i="6"/>
  <c r="BR4" i="6"/>
  <c r="BR5" i="6"/>
  <c r="AG50" i="8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J40" i="6"/>
  <c r="K39" i="6"/>
  <c r="J39" i="6"/>
  <c r="Q36" i="6"/>
  <c r="N36" i="6"/>
  <c r="J36" i="6"/>
  <c r="R34" i="6"/>
  <c r="Q34" i="6"/>
  <c r="F20" i="6"/>
  <c r="D20" i="6"/>
  <c r="A20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J36" i="16"/>
  <c r="R34" i="16"/>
  <c r="Q34" i="16"/>
  <c r="F20" i="16"/>
  <c r="D20" i="16"/>
  <c r="A20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J44" i="15"/>
  <c r="K43" i="15"/>
  <c r="J43" i="15"/>
  <c r="Q40" i="15"/>
  <c r="N40" i="15"/>
  <c r="J40" i="15"/>
  <c r="K39" i="15"/>
  <c r="J39" i="15"/>
  <c r="Q36" i="15"/>
  <c r="N36" i="15"/>
  <c r="J36" i="15"/>
  <c r="R34" i="15"/>
  <c r="Q34" i="15"/>
  <c r="F20" i="15"/>
  <c r="D20" i="15"/>
  <c r="A20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E13" i="19"/>
  <c r="A11" i="19"/>
  <c r="A9" i="19"/>
  <c r="A27" i="19"/>
  <c r="A8" i="19"/>
  <c r="G13" i="19"/>
  <c r="G8" i="19"/>
  <c r="A22" i="19"/>
  <c r="G18" i="19"/>
  <c r="G26" i="19"/>
  <c r="G23" i="19"/>
  <c r="G30" i="19"/>
  <c r="G11" i="19"/>
  <c r="G22" i="19"/>
  <c r="G20" i="19"/>
  <c r="A21" i="19"/>
  <c r="G17" i="19"/>
  <c r="J9" i="19"/>
  <c r="A18" i="19"/>
  <c r="A24" i="19"/>
  <c r="H9" i="19"/>
  <c r="A14" i="19"/>
  <c r="A15" i="19"/>
  <c r="A29" i="19"/>
  <c r="A25" i="19"/>
  <c r="G12" i="19"/>
  <c r="A31" i="19"/>
  <c r="A10" i="19"/>
  <c r="A30" i="19"/>
  <c r="D13" i="19"/>
  <c r="G16" i="19"/>
  <c r="C13" i="19"/>
  <c r="G10" i="19"/>
  <c r="A17" i="19"/>
  <c r="G24" i="19"/>
  <c r="F13" i="19"/>
  <c r="G14" i="19"/>
  <c r="B13" i="19"/>
  <c r="L9" i="19"/>
  <c r="G27" i="19"/>
  <c r="G25" i="19"/>
  <c r="G29" i="19"/>
  <c r="G21" i="19"/>
  <c r="G19" i="19"/>
  <c r="A26" i="19"/>
  <c r="A20" i="19"/>
  <c r="A23" i="19"/>
  <c r="A16" i="19"/>
  <c r="K9" i="19"/>
  <c r="I9" i="19"/>
  <c r="G31" i="19"/>
  <c r="A12" i="19"/>
  <c r="A19" i="19"/>
  <c r="G15" i="19"/>
  <c r="K45" i="3" l="1"/>
  <c r="O45" i="3"/>
  <c r="P45" i="3"/>
  <c r="K46" i="3"/>
  <c r="O46" i="3"/>
  <c r="P46" i="3"/>
  <c r="K47" i="3"/>
  <c r="O47" i="3"/>
  <c r="P47" i="3"/>
  <c r="K48" i="3"/>
  <c r="O48" i="3"/>
  <c r="P48" i="3"/>
  <c r="B11" i="19"/>
  <c r="C9" i="19"/>
  <c r="D29" i="19"/>
  <c r="I8" i="19"/>
  <c r="E31" i="19"/>
  <c r="C29" i="19"/>
  <c r="D27" i="19"/>
  <c r="D9" i="19"/>
  <c r="H21" i="19"/>
  <c r="D23" i="19"/>
  <c r="D26" i="19"/>
  <c r="H17" i="19"/>
  <c r="F15" i="19"/>
  <c r="H30" i="19"/>
  <c r="E8" i="19"/>
  <c r="K8" i="19"/>
  <c r="B20" i="19"/>
  <c r="B21" i="19"/>
  <c r="L15" i="19"/>
  <c r="J23" i="19"/>
  <c r="L23" i="19"/>
  <c r="H22" i="19"/>
  <c r="B19" i="19"/>
  <c r="C10" i="19"/>
  <c r="K23" i="19"/>
  <c r="K10" i="19"/>
  <c r="K24" i="19"/>
  <c r="I16" i="19"/>
  <c r="E26" i="19"/>
  <c r="D31" i="19"/>
  <c r="D15" i="19"/>
  <c r="J25" i="19"/>
  <c r="L18" i="19"/>
  <c r="D14" i="19"/>
  <c r="C18" i="19"/>
  <c r="I14" i="19"/>
  <c r="F10" i="19"/>
  <c r="B29" i="19"/>
  <c r="I11" i="19"/>
  <c r="E21" i="19"/>
  <c r="J19" i="19"/>
  <c r="E22" i="19"/>
  <c r="L19" i="19"/>
  <c r="E27" i="19"/>
  <c r="E10" i="19"/>
  <c r="H24" i="19"/>
  <c r="C21" i="19"/>
  <c r="J13" i="19"/>
  <c r="C24" i="19"/>
  <c r="I22" i="19"/>
  <c r="K16" i="19"/>
  <c r="J31" i="19"/>
  <c r="L10" i="19"/>
  <c r="B9" i="19"/>
  <c r="D17" i="19"/>
  <c r="K31" i="19"/>
  <c r="K14" i="19"/>
  <c r="E29" i="19"/>
  <c r="B10" i="19"/>
  <c r="I29" i="19"/>
  <c r="K13" i="19"/>
  <c r="E16" i="19"/>
  <c r="D12" i="19"/>
  <c r="C26" i="19"/>
  <c r="F16" i="19"/>
  <c r="D8" i="19"/>
  <c r="K29" i="19"/>
  <c r="B25" i="19"/>
  <c r="F19" i="19"/>
  <c r="B17" i="19"/>
  <c r="E30" i="19"/>
  <c r="C14" i="19"/>
  <c r="F21" i="19"/>
  <c r="H26" i="19"/>
  <c r="H27" i="19"/>
  <c r="D10" i="19"/>
  <c r="I30" i="19"/>
  <c r="K11" i="19"/>
  <c r="I26" i="19"/>
  <c r="L12" i="19"/>
  <c r="E12" i="19"/>
  <c r="C27" i="19"/>
  <c r="J24" i="19"/>
  <c r="F30" i="19"/>
  <c r="D16" i="19"/>
  <c r="F9" i="19"/>
  <c r="E11" i="19"/>
  <c r="I13" i="19"/>
  <c r="B22" i="19"/>
  <c r="I15" i="19"/>
  <c r="I27" i="19"/>
  <c r="F20" i="19"/>
  <c r="L27" i="19"/>
  <c r="I18" i="19"/>
  <c r="D24" i="19"/>
  <c r="K21" i="19"/>
  <c r="I24" i="19"/>
  <c r="J15" i="19"/>
  <c r="K20" i="19"/>
  <c r="C22" i="19"/>
  <c r="E9" i="19"/>
  <c r="C16" i="19"/>
  <c r="K12" i="19"/>
  <c r="H12" i="19"/>
  <c r="F24" i="19"/>
  <c r="I20" i="19"/>
  <c r="D25" i="19"/>
  <c r="J18" i="19"/>
  <c r="L21" i="19"/>
  <c r="F18" i="19"/>
  <c r="F8" i="19"/>
  <c r="E14" i="19"/>
  <c r="J17" i="19"/>
  <c r="E17" i="19"/>
  <c r="C17" i="19"/>
  <c r="C30" i="19"/>
  <c r="L20" i="19"/>
  <c r="J30" i="19"/>
  <c r="H19" i="19"/>
  <c r="F12" i="19"/>
  <c r="F31" i="19"/>
  <c r="B15" i="19"/>
  <c r="F22" i="19"/>
  <c r="I19" i="19"/>
  <c r="J8" i="19"/>
  <c r="C19" i="19"/>
  <c r="D11" i="19"/>
  <c r="I21" i="19"/>
  <c r="E20" i="19"/>
  <c r="J12" i="19"/>
  <c r="L8" i="19"/>
  <c r="L24" i="19"/>
  <c r="E18" i="19"/>
  <c r="E24" i="19"/>
  <c r="H31" i="19"/>
  <c r="B12" i="19"/>
  <c r="L25" i="19"/>
  <c r="F26" i="19"/>
  <c r="L26" i="19"/>
  <c r="C31" i="19"/>
  <c r="I17" i="19"/>
  <c r="K19" i="19"/>
  <c r="E19" i="19"/>
  <c r="L22" i="19"/>
  <c r="B8" i="19"/>
  <c r="D22" i="19"/>
  <c r="C25" i="19"/>
  <c r="K18" i="19"/>
  <c r="L17" i="19"/>
  <c r="K30" i="19"/>
  <c r="K17" i="19"/>
  <c r="K22" i="19"/>
  <c r="L14" i="19"/>
  <c r="H16" i="19"/>
  <c r="H13" i="19"/>
  <c r="L29" i="19"/>
  <c r="J26" i="19"/>
  <c r="B24" i="19"/>
  <c r="D30" i="19"/>
  <c r="B27" i="19"/>
  <c r="B14" i="19"/>
  <c r="L11" i="19"/>
  <c r="K27" i="19"/>
  <c r="K26" i="19"/>
  <c r="B23" i="19"/>
  <c r="B26" i="19"/>
  <c r="C8" i="19"/>
  <c r="H14" i="19"/>
  <c r="C12" i="19"/>
  <c r="B31" i="19"/>
  <c r="E15" i="19"/>
  <c r="J16" i="19"/>
  <c r="I23" i="19"/>
  <c r="C15" i="19"/>
  <c r="K25" i="19"/>
  <c r="L16" i="19"/>
  <c r="B18" i="19"/>
  <c r="H23" i="19"/>
  <c r="B16" i="19"/>
  <c r="J10" i="19"/>
  <c r="D21" i="19"/>
  <c r="J21" i="19"/>
  <c r="I10" i="19"/>
  <c r="J20" i="19"/>
  <c r="F23" i="19"/>
  <c r="H20" i="19"/>
  <c r="J11" i="19"/>
  <c r="K15" i="19"/>
  <c r="H10" i="19"/>
  <c r="D20" i="19"/>
  <c r="H18" i="19"/>
  <c r="L30" i="19"/>
  <c r="H15" i="19"/>
  <c r="C20" i="19"/>
  <c r="H11" i="19"/>
  <c r="I12" i="19"/>
  <c r="I31" i="19"/>
  <c r="J22" i="19"/>
  <c r="F29" i="19"/>
  <c r="F25" i="19"/>
  <c r="I25" i="19"/>
  <c r="L31" i="19"/>
  <c r="C23" i="19"/>
  <c r="F27" i="19"/>
  <c r="J29" i="19"/>
  <c r="F14" i="19"/>
  <c r="F11" i="19"/>
  <c r="C11" i="19"/>
  <c r="E23" i="19"/>
  <c r="F17" i="19"/>
  <c r="L13" i="19"/>
  <c r="B30" i="19"/>
  <c r="D19" i="19"/>
  <c r="H25" i="19"/>
  <c r="H29" i="19"/>
  <c r="J27" i="19"/>
  <c r="D18" i="19"/>
  <c r="E25" i="19"/>
  <c r="J14" i="19"/>
  <c r="H8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X44" i="18"/>
  <c r="AW44" i="18"/>
  <c r="AV44" i="18"/>
  <c r="AU44" i="18"/>
  <c r="AL44" i="18"/>
  <c r="AY44" i="18" s="1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X43" i="18"/>
  <c r="AW43" i="18"/>
  <c r="AV43" i="18"/>
  <c r="AU43" i="18"/>
  <c r="AL43" i="18"/>
  <c r="AY43" i="18" s="1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X42" i="18"/>
  <c r="AW42" i="18"/>
  <c r="AV42" i="18"/>
  <c r="AU42" i="18"/>
  <c r="AL42" i="18"/>
  <c r="AY42" i="18" s="1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B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F42" i="16" s="1"/>
  <c r="AE47" i="16"/>
  <c r="C43" i="16" s="1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C37" i="16" s="1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D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A37" i="16"/>
  <c r="BF36" i="16"/>
  <c r="BD36" i="16"/>
  <c r="AX36" i="16"/>
  <c r="AV36" i="16"/>
  <c r="AU36" i="16"/>
  <c r="AL36" i="16"/>
  <c r="AY36" i="16" s="1"/>
  <c r="AC36" i="16"/>
  <c r="F36" i="16"/>
  <c r="D36" i="16"/>
  <c r="A36" i="16"/>
  <c r="BF35" i="16"/>
  <c r="BD35" i="16"/>
  <c r="AX35" i="16"/>
  <c r="AV35" i="16"/>
  <c r="AU35" i="16"/>
  <c r="AL35" i="16"/>
  <c r="AY35" i="16" s="1"/>
  <c r="AC35" i="16"/>
  <c r="K35" i="16"/>
  <c r="J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H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N29" i="16"/>
  <c r="M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H26" i="16"/>
  <c r="G26" i="16"/>
  <c r="F26" i="16"/>
  <c r="D26" i="16"/>
  <c r="A26" i="16"/>
  <c r="BW25" i="16"/>
  <c r="BV25" i="16"/>
  <c r="BF25" i="16"/>
  <c r="BD25" i="16"/>
  <c r="AX25" i="16"/>
  <c r="G5" i="16" s="1"/>
  <c r="AV20" i="16"/>
  <c r="E35" i="16" s="1"/>
  <c r="AU20" i="16"/>
  <c r="D35" i="16" s="1"/>
  <c r="AL20" i="16"/>
  <c r="AC25" i="16"/>
  <c r="L25" i="16"/>
  <c r="K25" i="16"/>
  <c r="BW24" i="16"/>
  <c r="BV24" i="16"/>
  <c r="BF24" i="16"/>
  <c r="BD24" i="16"/>
  <c r="AX24" i="16"/>
  <c r="AV18" i="16"/>
  <c r="AU18" i="16"/>
  <c r="AL18" i="16"/>
  <c r="AC24" i="16"/>
  <c r="N24" i="16"/>
  <c r="M24" i="16"/>
  <c r="B24" i="16"/>
  <c r="A24" i="16"/>
  <c r="BW23" i="16"/>
  <c r="BV23" i="16"/>
  <c r="BF23" i="16"/>
  <c r="BD23" i="16"/>
  <c r="AX23" i="16"/>
  <c r="M30" i="16" s="1"/>
  <c r="AV6" i="16"/>
  <c r="E29" i="16" s="1"/>
  <c r="AU6" i="16"/>
  <c r="D29" i="16" s="1"/>
  <c r="AL6" i="16"/>
  <c r="AC23" i="16"/>
  <c r="R23" i="16"/>
  <c r="Q23" i="16"/>
  <c r="F23" i="16"/>
  <c r="E23" i="16"/>
  <c r="BW22" i="16"/>
  <c r="BV22" i="16"/>
  <c r="BF22" i="16"/>
  <c r="BD22" i="16"/>
  <c r="AX22" i="16"/>
  <c r="P35" i="16" s="1"/>
  <c r="AV26" i="16"/>
  <c r="AU26" i="16"/>
  <c r="AL26" i="16"/>
  <c r="AC22" i="16"/>
  <c r="BW21" i="16"/>
  <c r="BV21" i="16"/>
  <c r="BF21" i="16"/>
  <c r="BD21" i="16"/>
  <c r="AX21" i="16"/>
  <c r="M8" i="16" s="1"/>
  <c r="AV24" i="16"/>
  <c r="AU24" i="16"/>
  <c r="AL24" i="16"/>
  <c r="AC21" i="16"/>
  <c r="BW20" i="16"/>
  <c r="BV20" i="16"/>
  <c r="BF20" i="16"/>
  <c r="BD20" i="16"/>
  <c r="AX20" i="16"/>
  <c r="B36" i="16" s="1"/>
  <c r="AV8" i="16"/>
  <c r="Q24" i="16" s="1"/>
  <c r="AU8" i="16"/>
  <c r="P24" i="16" s="1"/>
  <c r="AL8" i="16"/>
  <c r="AC20" i="16"/>
  <c r="R20" i="16"/>
  <c r="P20" i="16"/>
  <c r="M20" i="16"/>
  <c r="BW19" i="16"/>
  <c r="BV19" i="16"/>
  <c r="BF19" i="16"/>
  <c r="BD19" i="16"/>
  <c r="AX19" i="16"/>
  <c r="M14" i="16" s="1"/>
  <c r="AV21" i="16"/>
  <c r="Q7" i="16" s="1"/>
  <c r="AU21" i="16"/>
  <c r="P7" i="16" s="1"/>
  <c r="AL21" i="16"/>
  <c r="AC19" i="16"/>
  <c r="H19" i="16"/>
  <c r="BW18" i="16"/>
  <c r="BV18" i="16"/>
  <c r="BF18" i="16"/>
  <c r="BD18" i="16"/>
  <c r="AX18" i="16"/>
  <c r="AV12" i="16"/>
  <c r="K26" i="16" s="1"/>
  <c r="AU12" i="16"/>
  <c r="J26" i="16" s="1"/>
  <c r="AL12" i="16"/>
  <c r="AC18" i="16"/>
  <c r="N18" i="16"/>
  <c r="M18" i="16"/>
  <c r="B18" i="16"/>
  <c r="A18" i="16"/>
  <c r="BW17" i="16"/>
  <c r="BV17" i="16"/>
  <c r="BF17" i="16"/>
  <c r="BD17" i="16"/>
  <c r="AX17" i="16"/>
  <c r="A19" i="16" s="1"/>
  <c r="AV22" i="16"/>
  <c r="N35" i="16" s="1"/>
  <c r="AU22" i="16"/>
  <c r="M35" i="16" s="1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E41" i="16" s="1"/>
  <c r="AU11" i="16"/>
  <c r="D41" i="16" s="1"/>
  <c r="AL11" i="16"/>
  <c r="AC16" i="16"/>
  <c r="BW15" i="16"/>
  <c r="BV15" i="16"/>
  <c r="BF15" i="16"/>
  <c r="BD15" i="16"/>
  <c r="AX15" i="16"/>
  <c r="AV14" i="16"/>
  <c r="K15" i="16" s="1"/>
  <c r="AU14" i="16"/>
  <c r="J15" i="16" s="1"/>
  <c r="AL14" i="16"/>
  <c r="AY14" i="16" s="1"/>
  <c r="J16" i="16" s="1"/>
  <c r="AC15" i="16"/>
  <c r="R15" i="16"/>
  <c r="P15" i="16"/>
  <c r="M15" i="16"/>
  <c r="H15" i="16"/>
  <c r="G15" i="16"/>
  <c r="F15" i="16"/>
  <c r="D15" i="16"/>
  <c r="A15" i="16"/>
  <c r="BW14" i="16"/>
  <c r="BV14" i="16"/>
  <c r="BF14" i="16"/>
  <c r="BD14" i="16"/>
  <c r="AX14" i="16"/>
  <c r="G16" i="16" s="1"/>
  <c r="AV4" i="16"/>
  <c r="E13" i="16" s="1"/>
  <c r="AU4" i="16"/>
  <c r="D13" i="16" s="1"/>
  <c r="AL4" i="16"/>
  <c r="AY4" i="16" s="1"/>
  <c r="D14" i="16" s="1"/>
  <c r="AC14" i="16"/>
  <c r="L14" i="16"/>
  <c r="K14" i="16"/>
  <c r="BW13" i="16"/>
  <c r="BV13" i="16"/>
  <c r="BF13" i="16"/>
  <c r="BD13" i="16"/>
  <c r="AX13" i="16"/>
  <c r="AV10" i="16"/>
  <c r="Q18" i="16" s="1"/>
  <c r="AU10" i="16"/>
  <c r="P18" i="16" s="1"/>
  <c r="AL10" i="16"/>
  <c r="AC13" i="16"/>
  <c r="N13" i="16"/>
  <c r="M13" i="16"/>
  <c r="B13" i="16"/>
  <c r="A13" i="16"/>
  <c r="BW12" i="16"/>
  <c r="BV12" i="16"/>
  <c r="BF12" i="16"/>
  <c r="BD12" i="16"/>
  <c r="AX12" i="16"/>
  <c r="G27" i="16" s="1"/>
  <c r="AV19" i="16"/>
  <c r="Q13" i="16" s="1"/>
  <c r="AU19" i="16"/>
  <c r="P13" i="16" s="1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B42" i="16" s="1"/>
  <c r="AV23" i="16"/>
  <c r="Q29" i="16" s="1"/>
  <c r="AU23" i="16"/>
  <c r="P29" i="16" s="1"/>
  <c r="AL23" i="16"/>
  <c r="AC11" i="16"/>
  <c r="BW10" i="16"/>
  <c r="BV10" i="16"/>
  <c r="BR10" i="16"/>
  <c r="BF10" i="16"/>
  <c r="BD10" i="16"/>
  <c r="AX10" i="16"/>
  <c r="M19" i="16" s="1"/>
  <c r="AV7" i="16"/>
  <c r="Q2" i="16" s="1"/>
  <c r="AU7" i="16"/>
  <c r="P2" i="16" s="1"/>
  <c r="AL7" i="16"/>
  <c r="AC10" i="16"/>
  <c r="BW9" i="16"/>
  <c r="BV9" i="16"/>
  <c r="BR9" i="16"/>
  <c r="BF9" i="16"/>
  <c r="BD9" i="16"/>
  <c r="AX9" i="16"/>
  <c r="A8" i="16" s="1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M25" i="16" s="1"/>
  <c r="AV2" i="16"/>
  <c r="E24" i="16" s="1"/>
  <c r="AU2" i="16"/>
  <c r="D24" i="16" s="1"/>
  <c r="AL2" i="16"/>
  <c r="AC8" i="16"/>
  <c r="BW7" i="16"/>
  <c r="BV7" i="16"/>
  <c r="BR7" i="16"/>
  <c r="BF7" i="16"/>
  <c r="BD7" i="16"/>
  <c r="AX7" i="16"/>
  <c r="M3" i="16" s="1"/>
  <c r="AV3" i="16"/>
  <c r="E2" i="16" s="1"/>
  <c r="AU3" i="16"/>
  <c r="D2" i="16" s="1"/>
  <c r="AL3" i="16"/>
  <c r="AC7" i="16"/>
  <c r="N7" i="16"/>
  <c r="M7" i="16"/>
  <c r="B7" i="16"/>
  <c r="A7" i="16"/>
  <c r="BW6" i="16"/>
  <c r="BV6" i="16"/>
  <c r="BR6" i="16"/>
  <c r="BF6" i="16"/>
  <c r="BD6" i="16"/>
  <c r="AX6" i="16"/>
  <c r="A30" i="16" s="1"/>
  <c r="AV17" i="16"/>
  <c r="E18" i="16" s="1"/>
  <c r="AU17" i="16"/>
  <c r="D18" i="16" s="1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K4" i="16" s="1"/>
  <c r="AU25" i="16"/>
  <c r="J4" i="16" s="1"/>
  <c r="AL25" i="16"/>
  <c r="AC5" i="16"/>
  <c r="BW4" i="16"/>
  <c r="BV4" i="16"/>
  <c r="BR4" i="16"/>
  <c r="BF4" i="16"/>
  <c r="BD4" i="16"/>
  <c r="AX4" i="16"/>
  <c r="A14" i="16" s="1"/>
  <c r="AV16" i="16"/>
  <c r="AU16" i="16"/>
  <c r="AL16" i="16"/>
  <c r="AC4" i="16"/>
  <c r="R4" i="16"/>
  <c r="P4" i="16"/>
  <c r="M4" i="16"/>
  <c r="H4" i="16"/>
  <c r="G4" i="16"/>
  <c r="F4" i="16"/>
  <c r="D4" i="16"/>
  <c r="A4" i="16"/>
  <c r="BW3" i="16"/>
  <c r="BV3" i="16"/>
  <c r="BR3" i="16"/>
  <c r="J48" i="16" s="1"/>
  <c r="BF3" i="16"/>
  <c r="BD3" i="16"/>
  <c r="AX3" i="16"/>
  <c r="A3" i="16" s="1"/>
  <c r="AV9" i="16"/>
  <c r="E7" i="16" s="1"/>
  <c r="AU9" i="16"/>
  <c r="D7" i="16" s="1"/>
  <c r="AL9" i="16"/>
  <c r="AC3" i="16"/>
  <c r="L3" i="16"/>
  <c r="K3" i="16"/>
  <c r="BW2" i="16"/>
  <c r="BV2" i="16"/>
  <c r="BR2" i="16"/>
  <c r="A48" i="16" s="1"/>
  <c r="BF2" i="16"/>
  <c r="BD2" i="16"/>
  <c r="BE34" i="16" s="1"/>
  <c r="AX2" i="16"/>
  <c r="A25" i="16" s="1"/>
  <c r="AV5" i="16"/>
  <c r="AU5" i="16"/>
  <c r="AL5" i="16"/>
  <c r="AC2" i="16"/>
  <c r="N2" i="16"/>
  <c r="M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B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F42" i="15" s="1"/>
  <c r="AE46" i="15"/>
  <c r="C43" i="15" s="1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C37" i="15" s="1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D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K35" i="15"/>
  <c r="J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H30" i="15"/>
  <c r="BW29" i="15"/>
  <c r="BV29" i="15"/>
  <c r="BF29" i="15"/>
  <c r="BD29" i="15"/>
  <c r="AX29" i="15"/>
  <c r="AV29" i="15"/>
  <c r="AU29" i="15"/>
  <c r="AL29" i="15"/>
  <c r="AY29" i="15" s="1"/>
  <c r="AC29" i="15"/>
  <c r="N29" i="15"/>
  <c r="M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BW26" i="15"/>
  <c r="BV26" i="15"/>
  <c r="BF26" i="15"/>
  <c r="BD26" i="15"/>
  <c r="AX26" i="15"/>
  <c r="M30" i="15" s="1"/>
  <c r="AV26" i="15"/>
  <c r="Q29" i="15" s="1"/>
  <c r="AU26" i="15"/>
  <c r="P29" i="15" s="1"/>
  <c r="AL26" i="15"/>
  <c r="AY26" i="15" s="1"/>
  <c r="P30" i="15" s="1"/>
  <c r="AC26" i="15"/>
  <c r="R26" i="15"/>
  <c r="P26" i="15"/>
  <c r="M26" i="15"/>
  <c r="H26" i="15"/>
  <c r="G26" i="15"/>
  <c r="F26" i="15"/>
  <c r="D26" i="15"/>
  <c r="A26" i="15"/>
  <c r="BW25" i="15"/>
  <c r="BV25" i="15"/>
  <c r="BF25" i="15"/>
  <c r="BD25" i="15"/>
  <c r="AX25" i="15"/>
  <c r="P35" i="15" s="1"/>
  <c r="AV13" i="15"/>
  <c r="AU13" i="15"/>
  <c r="AL13" i="15"/>
  <c r="AY25" i="15" s="1"/>
  <c r="K36" i="15" s="1"/>
  <c r="AC25" i="15"/>
  <c r="L25" i="15"/>
  <c r="K25" i="15"/>
  <c r="BW24" i="15"/>
  <c r="BV24" i="15"/>
  <c r="BF24" i="15"/>
  <c r="BD24" i="15"/>
  <c r="AX24" i="15"/>
  <c r="A25" i="15" s="1"/>
  <c r="AV16" i="15"/>
  <c r="AU16" i="15"/>
  <c r="AL16" i="15"/>
  <c r="AY24" i="15" s="1"/>
  <c r="D25" i="15" s="1"/>
  <c r="AC24" i="15"/>
  <c r="N24" i="15"/>
  <c r="M24" i="15"/>
  <c r="B24" i="15"/>
  <c r="A24" i="15"/>
  <c r="BW23" i="15"/>
  <c r="BV23" i="15"/>
  <c r="BF23" i="15"/>
  <c r="BD23" i="15"/>
  <c r="AX23" i="15"/>
  <c r="M19" i="15" s="1"/>
  <c r="AV3" i="15"/>
  <c r="AU3" i="15"/>
  <c r="AL3" i="15"/>
  <c r="AY23" i="15" s="1"/>
  <c r="P19" i="15" s="1"/>
  <c r="AC23" i="15"/>
  <c r="R23" i="15"/>
  <c r="Q23" i="15"/>
  <c r="F23" i="15"/>
  <c r="E23" i="15"/>
  <c r="BW22" i="15"/>
  <c r="BV22" i="15"/>
  <c r="BF22" i="15"/>
  <c r="BD22" i="15"/>
  <c r="AX22" i="15"/>
  <c r="M8" i="15" s="1"/>
  <c r="AV21" i="15"/>
  <c r="E29" i="15" s="1"/>
  <c r="AU21" i="15"/>
  <c r="D29" i="15" s="1"/>
  <c r="AY22" i="15"/>
  <c r="P8" i="15" s="1"/>
  <c r="AC22" i="15"/>
  <c r="BW21" i="15"/>
  <c r="BV21" i="15"/>
  <c r="BF21" i="15"/>
  <c r="BD21" i="15"/>
  <c r="AX21" i="15"/>
  <c r="A30" i="15" s="1"/>
  <c r="AV25" i="15"/>
  <c r="N35" i="15" s="1"/>
  <c r="AU25" i="15"/>
  <c r="M35" i="15" s="1"/>
  <c r="AY21" i="15"/>
  <c r="D30" i="15" s="1"/>
  <c r="AC21" i="15"/>
  <c r="BW20" i="15"/>
  <c r="BV20" i="15"/>
  <c r="BF20" i="15"/>
  <c r="BD20" i="15"/>
  <c r="AX20" i="15"/>
  <c r="AV14" i="15"/>
  <c r="Q24" i="15" s="1"/>
  <c r="AU14" i="15"/>
  <c r="P24" i="15" s="1"/>
  <c r="AC20" i="15"/>
  <c r="R20" i="15"/>
  <c r="P20" i="15"/>
  <c r="M20" i="15"/>
  <c r="BW19" i="15"/>
  <c r="BV19" i="15"/>
  <c r="BF19" i="15"/>
  <c r="BD19" i="15"/>
  <c r="AX19" i="15"/>
  <c r="AV9" i="15"/>
  <c r="N39" i="15" s="1"/>
  <c r="AU9" i="15"/>
  <c r="M39" i="15" s="1"/>
  <c r="AC19" i="15"/>
  <c r="H19" i="15"/>
  <c r="BW18" i="15"/>
  <c r="BV18" i="15"/>
  <c r="BF18" i="15"/>
  <c r="BD18" i="15"/>
  <c r="AX18" i="15"/>
  <c r="B36" i="15" s="1"/>
  <c r="AV23" i="15"/>
  <c r="Q18" i="15" s="1"/>
  <c r="AU23" i="15"/>
  <c r="P18" i="15" s="1"/>
  <c r="AC18" i="15"/>
  <c r="N18" i="15"/>
  <c r="M18" i="15"/>
  <c r="B18" i="15"/>
  <c r="A18" i="15"/>
  <c r="BW17" i="15"/>
  <c r="BV17" i="15"/>
  <c r="BF17" i="15"/>
  <c r="BD17" i="15"/>
  <c r="AX17" i="15"/>
  <c r="A8" i="15" s="1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Q7" i="15" s="1"/>
  <c r="AU22" i="15"/>
  <c r="P7" i="15" s="1"/>
  <c r="AC16" i="15"/>
  <c r="BW15" i="15"/>
  <c r="BV15" i="15"/>
  <c r="BF15" i="15"/>
  <c r="BD15" i="15"/>
  <c r="AX15" i="15"/>
  <c r="B42" i="15" s="1"/>
  <c r="AV12" i="15"/>
  <c r="Q2" i="15" s="1"/>
  <c r="AU12" i="15"/>
  <c r="P2" i="15" s="1"/>
  <c r="AC15" i="15"/>
  <c r="R15" i="15"/>
  <c r="P15" i="15"/>
  <c r="M15" i="15"/>
  <c r="H15" i="15"/>
  <c r="G15" i="15"/>
  <c r="F15" i="15"/>
  <c r="D15" i="15"/>
  <c r="A15" i="15"/>
  <c r="BW14" i="15"/>
  <c r="BV14" i="15"/>
  <c r="BF14" i="15"/>
  <c r="BD14" i="15"/>
  <c r="AX14" i="15"/>
  <c r="M25" i="15" s="1"/>
  <c r="AV7" i="15"/>
  <c r="E13" i="15" s="1"/>
  <c r="AU7" i="15"/>
  <c r="D13" i="15" s="1"/>
  <c r="AC14" i="15"/>
  <c r="L14" i="15"/>
  <c r="K14" i="15"/>
  <c r="BW13" i="15"/>
  <c r="BV13" i="15"/>
  <c r="BF13" i="15"/>
  <c r="BD13" i="15"/>
  <c r="AX13" i="15"/>
  <c r="AV8" i="15"/>
  <c r="N43" i="15" s="1"/>
  <c r="AU8" i="15"/>
  <c r="M43" i="15" s="1"/>
  <c r="AC13" i="15"/>
  <c r="N13" i="15"/>
  <c r="M13" i="15"/>
  <c r="B13" i="15"/>
  <c r="A13" i="15"/>
  <c r="BW12" i="15"/>
  <c r="BV12" i="15"/>
  <c r="BF12" i="15"/>
  <c r="BD12" i="15"/>
  <c r="AX12" i="15"/>
  <c r="M3" i="15" s="1"/>
  <c r="AV11" i="15"/>
  <c r="K15" i="15" s="1"/>
  <c r="AU11" i="15"/>
  <c r="J15" i="15" s="1"/>
  <c r="AC12" i="15"/>
  <c r="R12" i="15"/>
  <c r="Q12" i="15"/>
  <c r="F12" i="15"/>
  <c r="E12" i="15"/>
  <c r="BW11" i="15"/>
  <c r="BV11" i="15"/>
  <c r="BR11" i="15"/>
  <c r="BF11" i="15"/>
  <c r="BD11" i="15"/>
  <c r="AX11" i="15"/>
  <c r="G16" i="15" s="1"/>
  <c r="AV10" i="15"/>
  <c r="Q13" i="15" s="1"/>
  <c r="AU10" i="15"/>
  <c r="P13" i="15" s="1"/>
  <c r="AC11" i="15"/>
  <c r="BW10" i="15"/>
  <c r="BV10" i="15"/>
  <c r="BR10" i="15"/>
  <c r="BF10" i="15"/>
  <c r="BD10" i="15"/>
  <c r="AX10" i="15"/>
  <c r="M14" i="15" s="1"/>
  <c r="AV18" i="15"/>
  <c r="E35" i="15" s="1"/>
  <c r="AU18" i="15"/>
  <c r="D35" i="15" s="1"/>
  <c r="AC10" i="15"/>
  <c r="BW9" i="15"/>
  <c r="BV9" i="15"/>
  <c r="BR9" i="15"/>
  <c r="BF9" i="15"/>
  <c r="BD9" i="15"/>
  <c r="AX9" i="15"/>
  <c r="P39" i="15" s="1"/>
  <c r="AV15" i="15"/>
  <c r="E41" i="15" s="1"/>
  <c r="AU15" i="15"/>
  <c r="D41" i="15" s="1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P43" i="15" s="1"/>
  <c r="AV19" i="15"/>
  <c r="AU19" i="15"/>
  <c r="AY8" i="15"/>
  <c r="K44" i="15" s="1"/>
  <c r="AC8" i="15"/>
  <c r="BW7" i="15"/>
  <c r="BV7" i="15"/>
  <c r="BR7" i="15"/>
  <c r="BF7" i="15"/>
  <c r="BD7" i="15"/>
  <c r="AX7" i="15"/>
  <c r="A14" i="15" s="1"/>
  <c r="AV17" i="15"/>
  <c r="E7" i="15" s="1"/>
  <c r="AU17" i="15"/>
  <c r="D7" i="15" s="1"/>
  <c r="AC7" i="15"/>
  <c r="N7" i="15"/>
  <c r="M7" i="15"/>
  <c r="B7" i="15"/>
  <c r="A7" i="15"/>
  <c r="BW6" i="15"/>
  <c r="BV6" i="15"/>
  <c r="BR6" i="15"/>
  <c r="BF6" i="15"/>
  <c r="BD6" i="15"/>
  <c r="AX6" i="15"/>
  <c r="G27" i="15" s="1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E24" i="15" s="1"/>
  <c r="AU24" i="15"/>
  <c r="D24" i="15" s="1"/>
  <c r="AC5" i="15"/>
  <c r="BW4" i="15"/>
  <c r="BV4" i="15"/>
  <c r="BR4" i="15"/>
  <c r="BF4" i="15"/>
  <c r="BD4" i="15"/>
  <c r="AX4" i="15"/>
  <c r="G5" i="15" s="1"/>
  <c r="AV4" i="15"/>
  <c r="K4" i="15" s="1"/>
  <c r="AU4" i="15"/>
  <c r="J4" i="15" s="1"/>
  <c r="AC4" i="15"/>
  <c r="R4" i="15"/>
  <c r="P4" i="15"/>
  <c r="M4" i="15"/>
  <c r="H4" i="15"/>
  <c r="G4" i="15"/>
  <c r="F4" i="15"/>
  <c r="D4" i="15"/>
  <c r="A4" i="15"/>
  <c r="BW3" i="15"/>
  <c r="BV3" i="15"/>
  <c r="BR3" i="15"/>
  <c r="J48" i="15" s="1"/>
  <c r="BF3" i="15"/>
  <c r="BD3" i="15"/>
  <c r="AX3" i="15"/>
  <c r="AV6" i="15"/>
  <c r="K26" i="15" s="1"/>
  <c r="AU6" i="15"/>
  <c r="J26" i="15" s="1"/>
  <c r="AY2" i="15"/>
  <c r="D19" i="15" s="1"/>
  <c r="AC3" i="15"/>
  <c r="L3" i="15"/>
  <c r="K3" i="15"/>
  <c r="BW2" i="15"/>
  <c r="BV2" i="15"/>
  <c r="BR2" i="15"/>
  <c r="A48" i="15" s="1"/>
  <c r="BF2" i="15"/>
  <c r="BD2" i="15"/>
  <c r="BE31" i="15" s="1"/>
  <c r="AX2" i="15"/>
  <c r="A19" i="15" s="1"/>
  <c r="AV2" i="15"/>
  <c r="E18" i="15" s="1"/>
  <c r="AU2" i="15"/>
  <c r="D18" i="15" s="1"/>
  <c r="AC2" i="15"/>
  <c r="N2" i="15"/>
  <c r="M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Y2" i="14" s="1"/>
  <c r="K40" i="14" s="1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C2" i="14"/>
  <c r="N2" i="14"/>
  <c r="M2" i="14"/>
  <c r="B2" i="14"/>
  <c r="A2" i="14"/>
  <c r="R1" i="14"/>
  <c r="Q1" i="14"/>
  <c r="F1" i="14"/>
  <c r="E1" i="14"/>
  <c r="C37" i="14" l="1"/>
  <c r="E2" i="15"/>
  <c r="AY13" i="15"/>
  <c r="AY10" i="18"/>
  <c r="AY10" i="16"/>
  <c r="P19" i="16" s="1"/>
  <c r="AY2" i="16"/>
  <c r="D25" i="16" s="1"/>
  <c r="AY21" i="16"/>
  <c r="P8" i="16" s="1"/>
  <c r="J50" i="16"/>
  <c r="J50" i="15"/>
  <c r="D2" i="15"/>
  <c r="A3" i="15"/>
  <c r="AY12" i="15"/>
  <c r="AY14" i="15"/>
  <c r="P25" i="15" s="1"/>
  <c r="AY23" i="16"/>
  <c r="P30" i="16" s="1"/>
  <c r="BE23" i="16"/>
  <c r="BG23" i="16" s="1"/>
  <c r="BH23" i="16" s="1"/>
  <c r="BI23" i="16" s="1"/>
  <c r="BJ23" i="16" s="1"/>
  <c r="BK23" i="16" s="1"/>
  <c r="BL23" i="16" s="1"/>
  <c r="BM23" i="16" s="1"/>
  <c r="AY25" i="16"/>
  <c r="J5" i="16" s="1"/>
  <c r="AY24" i="16"/>
  <c r="AY22" i="16"/>
  <c r="K36" i="16" s="1"/>
  <c r="AY26" i="16"/>
  <c r="F36" i="14"/>
  <c r="F42" i="14"/>
  <c r="AY3" i="18"/>
  <c r="AY7" i="15"/>
  <c r="D14" i="15" s="1"/>
  <c r="A8" i="14"/>
  <c r="P35" i="14"/>
  <c r="M8" i="14"/>
  <c r="A14" i="14"/>
  <c r="D29" i="14"/>
  <c r="A30" i="14"/>
  <c r="AY9" i="14"/>
  <c r="AY11" i="15"/>
  <c r="J16" i="15" s="1"/>
  <c r="AY6" i="17"/>
  <c r="AY19" i="17"/>
  <c r="AY17" i="17"/>
  <c r="AY7" i="16"/>
  <c r="P3" i="16" s="1"/>
  <c r="AY12" i="14"/>
  <c r="J16" i="14" s="1"/>
  <c r="AY20" i="14"/>
  <c r="D19" i="14" s="1"/>
  <c r="AY12" i="16"/>
  <c r="J27" i="16" s="1"/>
  <c r="AY11" i="17"/>
  <c r="AY4" i="14"/>
  <c r="AY18" i="14"/>
  <c r="AY41" i="14"/>
  <c r="AY9" i="17"/>
  <c r="AY17" i="16"/>
  <c r="D19" i="16" s="1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AY6" i="16"/>
  <c r="D30" i="16" s="1"/>
  <c r="AY11" i="16"/>
  <c r="E43" i="16" s="1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J5" i="15" s="1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P14" i="16" s="1"/>
  <c r="AY15" i="16"/>
  <c r="AY9" i="16"/>
  <c r="D8" i="16" s="1"/>
  <c r="AY18" i="16"/>
  <c r="AY20" i="16"/>
  <c r="E37" i="16" s="1"/>
  <c r="AY8" i="16"/>
  <c r="P25" i="16" s="1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E43" i="15" s="1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E37" i="15" s="1"/>
  <c r="AY6" i="15"/>
  <c r="J27" i="15" s="1"/>
  <c r="AY9" i="15"/>
  <c r="K40" i="15" s="1"/>
  <c r="AY16" i="15"/>
  <c r="AY17" i="15"/>
  <c r="D8" i="15" s="1"/>
  <c r="BE15" i="15"/>
  <c r="BG15" i="15" s="1"/>
  <c r="AY10" i="15"/>
  <c r="P14" i="15" s="1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C43" i="11" s="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K15" i="11" s="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Y4" i="6"/>
  <c r="AY6" i="6"/>
  <c r="AY8" i="6"/>
  <c r="AY9" i="6"/>
  <c r="AY10" i="6"/>
  <c r="AY12" i="6"/>
  <c r="AY14" i="6"/>
  <c r="D19" i="6" s="1"/>
  <c r="AY16" i="6"/>
  <c r="AY17" i="6"/>
  <c r="AY20" i="6"/>
  <c r="AY22" i="6"/>
  <c r="AY24" i="6"/>
  <c r="K36" i="6" s="1"/>
  <c r="AY25" i="6"/>
  <c r="AY28" i="6"/>
  <c r="AY30" i="6"/>
  <c r="AY33" i="6"/>
  <c r="AY34" i="6"/>
  <c r="AY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Y3" i="7" s="1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Y28" i="7" s="1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Y6" i="9" s="1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Y14" i="9" s="1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Y22" i="9" s="1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Y30" i="9" s="1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Y45" i="9" s="1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Y2" i="7" s="1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Q18" i="8" s="1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E13" i="8" s="1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B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C37" i="6"/>
  <c r="A37" i="6"/>
  <c r="BF36" i="6"/>
  <c r="BD36" i="6"/>
  <c r="AX36" i="6"/>
  <c r="AV36" i="6"/>
  <c r="AU36" i="6"/>
  <c r="AC36" i="6"/>
  <c r="F36" i="6"/>
  <c r="D36" i="6"/>
  <c r="A36" i="6"/>
  <c r="BF35" i="6"/>
  <c r="BD35" i="6"/>
  <c r="AX35" i="6"/>
  <c r="AV35" i="6"/>
  <c r="AU35" i="6"/>
  <c r="AC35" i="6"/>
  <c r="A35" i="6"/>
  <c r="BF34" i="6"/>
  <c r="BD34" i="6"/>
  <c r="AX34" i="6"/>
  <c r="AV34" i="6"/>
  <c r="AU34" i="6"/>
  <c r="AC34" i="6"/>
  <c r="E34" i="6"/>
  <c r="BF33" i="6"/>
  <c r="BD33" i="6"/>
  <c r="AX33" i="6"/>
  <c r="AV33" i="6"/>
  <c r="AU33" i="6"/>
  <c r="AC33" i="6"/>
  <c r="BF32" i="6"/>
  <c r="BD32" i="6"/>
  <c r="AY32" i="6"/>
  <c r="AX32" i="6"/>
  <c r="AV32" i="6"/>
  <c r="AU32" i="6"/>
  <c r="AC32" i="6"/>
  <c r="BW31" i="6"/>
  <c r="BV31" i="6"/>
  <c r="BF31" i="6"/>
  <c r="BD31" i="6"/>
  <c r="AX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G16" i="6" s="1"/>
  <c r="AV28" i="6"/>
  <c r="AU28" i="6"/>
  <c r="AY29" i="6"/>
  <c r="J16" i="6" s="1"/>
  <c r="AC29" i="6"/>
  <c r="Q29" i="6"/>
  <c r="P29" i="6"/>
  <c r="E29" i="6"/>
  <c r="D29" i="6"/>
  <c r="BW28" i="6"/>
  <c r="BV28" i="6"/>
  <c r="BF28" i="6"/>
  <c r="BD28" i="6"/>
  <c r="AX28" i="6"/>
  <c r="AV25" i="6"/>
  <c r="AU25" i="6"/>
  <c r="AC28" i="6"/>
  <c r="Q28" i="6"/>
  <c r="L28" i="6"/>
  <c r="J28" i="6"/>
  <c r="G28" i="6"/>
  <c r="E28" i="6"/>
  <c r="BW27" i="6"/>
  <c r="BV27" i="6"/>
  <c r="BF27" i="6"/>
  <c r="BD27" i="6"/>
  <c r="AX27" i="6"/>
  <c r="G5" i="6" s="1"/>
  <c r="AV16" i="6"/>
  <c r="AU16" i="6"/>
  <c r="D13" i="6" s="1"/>
  <c r="AY27" i="6"/>
  <c r="J5" i="6" s="1"/>
  <c r="AC27" i="6"/>
  <c r="J27" i="6"/>
  <c r="BW26" i="6"/>
  <c r="BV26" i="6"/>
  <c r="BF26" i="6"/>
  <c r="BD26" i="6"/>
  <c r="AX26" i="6"/>
  <c r="AV4" i="6"/>
  <c r="Q18" i="6" s="1"/>
  <c r="AU4" i="6"/>
  <c r="P18" i="6" s="1"/>
  <c r="AY26" i="6"/>
  <c r="AC26" i="6"/>
  <c r="R26" i="6"/>
  <c r="P26" i="6"/>
  <c r="M26" i="6"/>
  <c r="F26" i="6"/>
  <c r="D26" i="6"/>
  <c r="A26" i="6"/>
  <c r="BW25" i="6"/>
  <c r="BV25" i="6"/>
  <c r="BF25" i="6"/>
  <c r="BD25" i="6"/>
  <c r="AX25" i="6"/>
  <c r="AV23" i="6"/>
  <c r="N39" i="6" s="1"/>
  <c r="AU23" i="6"/>
  <c r="M39" i="6" s="1"/>
  <c r="AC25" i="6"/>
  <c r="K25" i="6"/>
  <c r="BW24" i="6"/>
  <c r="BV24" i="6"/>
  <c r="BF24" i="6"/>
  <c r="BD24" i="6"/>
  <c r="AX24" i="6"/>
  <c r="P35" i="6" s="1"/>
  <c r="AV12" i="6"/>
  <c r="AU12" i="6"/>
  <c r="AC24" i="6"/>
  <c r="Q24" i="6"/>
  <c r="BW23" i="6"/>
  <c r="BV23" i="6"/>
  <c r="BF23" i="6"/>
  <c r="BD23" i="6"/>
  <c r="AY23" i="6"/>
  <c r="K40" i="6" s="1"/>
  <c r="AX23" i="6"/>
  <c r="P39" i="6" s="1"/>
  <c r="AV29" i="6"/>
  <c r="AU29" i="6"/>
  <c r="J15" i="6" s="1"/>
  <c r="AC23" i="6"/>
  <c r="Q23" i="6"/>
  <c r="E23" i="6"/>
  <c r="BW22" i="6"/>
  <c r="BV22" i="6"/>
  <c r="BF22" i="6"/>
  <c r="BD22" i="6"/>
  <c r="AX22" i="6"/>
  <c r="G27" i="6" s="1"/>
  <c r="AV18" i="6"/>
  <c r="AU18" i="6"/>
  <c r="AC22" i="6"/>
  <c r="BW21" i="6"/>
  <c r="BV21" i="6"/>
  <c r="BF21" i="6"/>
  <c r="BD21" i="6"/>
  <c r="AX21" i="6"/>
  <c r="AV26" i="6"/>
  <c r="AU26" i="6"/>
  <c r="AY21" i="6"/>
  <c r="P8" i="6" s="1"/>
  <c r="AC21" i="6"/>
  <c r="BW20" i="6"/>
  <c r="BV20" i="6"/>
  <c r="BF20" i="6"/>
  <c r="BD20" i="6"/>
  <c r="AX20" i="6"/>
  <c r="AV11" i="6"/>
  <c r="AU11" i="6"/>
  <c r="P24" i="6" s="1"/>
  <c r="AC20" i="6"/>
  <c r="R20" i="6"/>
  <c r="P20" i="6"/>
  <c r="M20" i="6"/>
  <c r="BW19" i="6"/>
  <c r="BV19" i="6"/>
  <c r="BF19" i="6"/>
  <c r="BD19" i="6"/>
  <c r="AX19" i="6"/>
  <c r="AV24" i="6"/>
  <c r="N35" i="6" s="1"/>
  <c r="AU24" i="6"/>
  <c r="M35" i="6" s="1"/>
  <c r="AY19" i="6"/>
  <c r="P19" i="6"/>
  <c r="H19" i="6"/>
  <c r="BW18" i="6"/>
  <c r="BV18" i="6"/>
  <c r="BF18" i="6"/>
  <c r="BD18" i="6"/>
  <c r="AY18" i="6"/>
  <c r="AX18" i="6"/>
  <c r="AV19" i="6"/>
  <c r="AU19" i="6"/>
  <c r="BW17" i="6"/>
  <c r="BV17" i="6"/>
  <c r="BF17" i="6"/>
  <c r="BD17" i="6"/>
  <c r="AX17" i="6"/>
  <c r="B42" i="6" s="1"/>
  <c r="AV22" i="6"/>
  <c r="K26" i="6" s="1"/>
  <c r="AU22" i="6"/>
  <c r="J26" i="6" s="1"/>
  <c r="Q17" i="6"/>
  <c r="L17" i="6"/>
  <c r="J17" i="6"/>
  <c r="G17" i="6"/>
  <c r="E17" i="6"/>
  <c r="BW16" i="6"/>
  <c r="BV16" i="6"/>
  <c r="BF16" i="6"/>
  <c r="BD16" i="6"/>
  <c r="AX16" i="6"/>
  <c r="A14" i="6" s="1"/>
  <c r="AV21" i="6"/>
  <c r="AU21" i="6"/>
  <c r="BW15" i="6"/>
  <c r="BV15" i="6"/>
  <c r="BF15" i="6"/>
  <c r="BD15" i="6"/>
  <c r="AX15" i="6"/>
  <c r="M14" i="6" s="1"/>
  <c r="AV9" i="6"/>
  <c r="AU9" i="6"/>
  <c r="AY15" i="6"/>
  <c r="P14" i="6" s="1"/>
  <c r="R15" i="6"/>
  <c r="P15" i="6"/>
  <c r="M15" i="6"/>
  <c r="K15" i="6"/>
  <c r="F15" i="6"/>
  <c r="D15" i="6"/>
  <c r="A15" i="6"/>
  <c r="BW14" i="6"/>
  <c r="BV14" i="6"/>
  <c r="BF14" i="6"/>
  <c r="BD14" i="6"/>
  <c r="AX14" i="6"/>
  <c r="A19" i="6" s="1"/>
  <c r="AV27" i="6"/>
  <c r="AU27" i="6"/>
  <c r="J4" i="6" s="1"/>
  <c r="K14" i="6"/>
  <c r="D14" i="6"/>
  <c r="BW13" i="6"/>
  <c r="BV13" i="6"/>
  <c r="BF13" i="6"/>
  <c r="BD13" i="6"/>
  <c r="AX13" i="6"/>
  <c r="AV17" i="6"/>
  <c r="E41" i="6" s="1"/>
  <c r="AU17" i="6"/>
  <c r="D41" i="6" s="1"/>
  <c r="AY13" i="6"/>
  <c r="E13" i="6"/>
  <c r="BW12" i="6"/>
  <c r="BV12" i="6"/>
  <c r="BF12" i="6"/>
  <c r="BD12" i="6"/>
  <c r="AX12" i="6"/>
  <c r="AV7" i="6"/>
  <c r="E35" i="6" s="1"/>
  <c r="AU7" i="6"/>
  <c r="D35" i="6" s="1"/>
  <c r="Q12" i="6"/>
  <c r="E12" i="6"/>
  <c r="BW11" i="6"/>
  <c r="BV11" i="6"/>
  <c r="BF11" i="6"/>
  <c r="BD11" i="6"/>
  <c r="AX11" i="6"/>
  <c r="M25" i="6" s="1"/>
  <c r="AV15" i="6"/>
  <c r="Q13" i="6" s="1"/>
  <c r="AU15" i="6"/>
  <c r="P13" i="6" s="1"/>
  <c r="AY11" i="6"/>
  <c r="P25" i="6" s="1"/>
  <c r="BW10" i="6"/>
  <c r="BV10" i="6"/>
  <c r="BR10" i="6"/>
  <c r="BF10" i="6"/>
  <c r="BD10" i="6"/>
  <c r="AX10" i="6"/>
  <c r="AV3" i="6"/>
  <c r="AU3" i="6"/>
  <c r="BW9" i="6"/>
  <c r="BV9" i="6"/>
  <c r="BR9" i="6"/>
  <c r="BF9" i="6"/>
  <c r="BD9" i="6"/>
  <c r="AX9" i="6"/>
  <c r="AV5" i="6"/>
  <c r="AU5" i="6"/>
  <c r="R9" i="6"/>
  <c r="P9" i="6"/>
  <c r="M9" i="6"/>
  <c r="F9" i="6"/>
  <c r="D9" i="6"/>
  <c r="A9" i="6"/>
  <c r="BW8" i="6"/>
  <c r="BV8" i="6"/>
  <c r="BR8" i="6"/>
  <c r="BF8" i="6"/>
  <c r="BD8" i="6"/>
  <c r="AX8" i="6"/>
  <c r="AV13" i="6"/>
  <c r="AU13" i="6"/>
  <c r="BW7" i="6"/>
  <c r="BV7" i="6"/>
  <c r="BR7" i="6"/>
  <c r="BF7" i="6"/>
  <c r="BD7" i="6"/>
  <c r="AY7" i="6"/>
  <c r="E37" i="6" s="1"/>
  <c r="AX7" i="6"/>
  <c r="B36" i="6" s="1"/>
  <c r="AV8" i="6"/>
  <c r="AU8" i="6"/>
  <c r="Q7" i="6"/>
  <c r="E7" i="6"/>
  <c r="BW6" i="6"/>
  <c r="BV6" i="6"/>
  <c r="BR6" i="6"/>
  <c r="BF6" i="6"/>
  <c r="BD6" i="6"/>
  <c r="AX6" i="6"/>
  <c r="M3" i="6" s="1"/>
  <c r="AV14" i="6"/>
  <c r="E18" i="6" s="1"/>
  <c r="AU14" i="6"/>
  <c r="D18" i="6" s="1"/>
  <c r="Q6" i="6"/>
  <c r="L6" i="6"/>
  <c r="J6" i="6"/>
  <c r="G6" i="6"/>
  <c r="E6" i="6"/>
  <c r="BW5" i="6"/>
  <c r="BV5" i="6"/>
  <c r="J50" i="6"/>
  <c r="BF5" i="6"/>
  <c r="BD5" i="6"/>
  <c r="AY5" i="6"/>
  <c r="AX5" i="6"/>
  <c r="AV6" i="6"/>
  <c r="AU6" i="6"/>
  <c r="P2" i="6" s="1"/>
  <c r="BW4" i="6"/>
  <c r="BV4" i="6"/>
  <c r="BF4" i="6"/>
  <c r="BD4" i="6"/>
  <c r="AX4" i="6"/>
  <c r="M19" i="6" s="1"/>
  <c r="AV20" i="6"/>
  <c r="AU20" i="6"/>
  <c r="R4" i="6"/>
  <c r="P4" i="6"/>
  <c r="M4" i="6"/>
  <c r="K4" i="6"/>
  <c r="F4" i="6"/>
  <c r="D4" i="6"/>
  <c r="A4" i="6"/>
  <c r="BW3" i="6"/>
  <c r="BV3" i="6"/>
  <c r="J48" i="6"/>
  <c r="BF3" i="6"/>
  <c r="BD3" i="6"/>
  <c r="AX3" i="6"/>
  <c r="AV10" i="6"/>
  <c r="AU10" i="6"/>
  <c r="AY3" i="6"/>
  <c r="P3" i="6"/>
  <c r="K3" i="6"/>
  <c r="D3" i="6"/>
  <c r="BW2" i="6"/>
  <c r="BV2" i="6"/>
  <c r="A48" i="6"/>
  <c r="BF2" i="6"/>
  <c r="BD2" i="6"/>
  <c r="AX2" i="6"/>
  <c r="AV2" i="6"/>
  <c r="E24" i="6" s="1"/>
  <c r="AU2" i="6"/>
  <c r="AY2" i="6"/>
  <c r="D25" i="6" s="1"/>
  <c r="Q2" i="6"/>
  <c r="E2" i="6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C8" i="5"/>
  <c r="D8" i="5"/>
  <c r="E8" i="5"/>
  <c r="B3" i="5"/>
  <c r="N8" i="5"/>
  <c r="H8" i="5"/>
  <c r="I8" i="5"/>
  <c r="L8" i="5"/>
  <c r="M8" i="5"/>
  <c r="O8" i="5"/>
  <c r="J8" i="5"/>
  <c r="G8" i="5"/>
  <c r="F8" i="5"/>
  <c r="K8" i="5"/>
  <c r="B8" i="5"/>
  <c r="D7" i="6" l="1"/>
  <c r="M8" i="6"/>
  <c r="P7" i="6"/>
  <c r="A8" i="6"/>
  <c r="D8" i="6"/>
  <c r="A25" i="6"/>
  <c r="D24" i="6"/>
  <c r="A3" i="6"/>
  <c r="D2" i="6"/>
  <c r="AY3" i="11"/>
  <c r="P19" i="11" s="1"/>
  <c r="BE33" i="6"/>
  <c r="BG33" i="6" s="1"/>
  <c r="BH33" i="6" s="1"/>
  <c r="BI33" i="6" s="1"/>
  <c r="BJ33" i="6" s="1"/>
  <c r="BK33" i="6" s="1"/>
  <c r="BL33" i="6" s="1"/>
  <c r="BM33" i="6" s="1"/>
  <c r="BE36" i="6"/>
  <c r="BG36" i="6" s="1"/>
  <c r="BE35" i="6"/>
  <c r="BG35" i="6" s="1"/>
  <c r="P43" i="11"/>
  <c r="BE34" i="6"/>
  <c r="BE32" i="6"/>
  <c r="BE31" i="6"/>
  <c r="BG31" i="6" s="1"/>
  <c r="BH31" i="6" s="1"/>
  <c r="BI31" i="6" s="1"/>
  <c r="BJ31" i="6" s="1"/>
  <c r="BK31" i="6" s="1"/>
  <c r="BL31" i="6" s="1"/>
  <c r="BM31" i="6" s="1"/>
  <c r="D3" i="16"/>
  <c r="D3" i="15"/>
  <c r="P3" i="15"/>
  <c r="BE50" i="8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BE30" i="6"/>
  <c r="BG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BE20" i="6"/>
  <c r="BE29" i="6"/>
  <c r="BE15" i="6"/>
  <c r="BE18" i="6"/>
  <c r="BG18" i="6" s="1"/>
  <c r="BE13" i="6"/>
  <c r="BG13" i="6" s="1"/>
  <c r="BE4" i="6"/>
  <c r="BE28" i="6"/>
  <c r="BE14" i="6"/>
  <c r="BG14" i="6" s="1"/>
  <c r="BE19" i="6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AW24" i="6" l="1"/>
  <c r="AW11" i="6"/>
  <c r="AW14" i="6"/>
  <c r="AW20" i="6"/>
  <c r="AW33" i="6"/>
  <c r="BG34" i="6"/>
  <c r="BH34" i="6" s="1"/>
  <c r="BI34" i="6" s="1"/>
  <c r="BJ34" i="6" s="1"/>
  <c r="BK34" i="6" s="1"/>
  <c r="BL34" i="6" s="1"/>
  <c r="BM34" i="6" s="1"/>
  <c r="AW31" i="6"/>
  <c r="BG32" i="6"/>
  <c r="BH32" i="6" s="1"/>
  <c r="BI32" i="6" s="1"/>
  <c r="BJ32" i="6" s="1"/>
  <c r="BK32" i="6" s="1"/>
  <c r="BL32" i="6" s="1"/>
  <c r="BM32" i="6" s="1"/>
  <c r="BI50" i="8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G14" i="9"/>
  <c r="BH14" i="9" s="1"/>
  <c r="BI14" i="9" s="1"/>
  <c r="BJ14" i="9" s="1"/>
  <c r="BK14" i="9" s="1"/>
  <c r="BL14" i="9" s="1"/>
  <c r="BM14" i="9" s="1"/>
  <c r="AW31" i="9"/>
  <c r="AW4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BG28" i="6"/>
  <c r="BG25" i="6"/>
  <c r="BH25" i="6" s="1"/>
  <c r="BI25" i="6" s="1"/>
  <c r="BJ25" i="6" s="1"/>
  <c r="BK25" i="6" s="1"/>
  <c r="BL25" i="6" s="1"/>
  <c r="BM25" i="6" s="1"/>
  <c r="BG4" i="6"/>
  <c r="BH4" i="6" s="1"/>
  <c r="BI4" i="6" s="1"/>
  <c r="BJ4" i="6" s="1"/>
  <c r="BK4" i="6" s="1"/>
  <c r="BL4" i="6" s="1"/>
  <c r="BM4" i="6" s="1"/>
  <c r="BG24" i="6"/>
  <c r="BH24" i="6" s="1"/>
  <c r="BI24" i="6" s="1"/>
  <c r="BJ24" i="6" s="1"/>
  <c r="BK24" i="6" s="1"/>
  <c r="BL24" i="6" s="1"/>
  <c r="BM24" i="6" s="1"/>
  <c r="AW12" i="6"/>
  <c r="BG29" i="6"/>
  <c r="BG23" i="6"/>
  <c r="BG17" i="6"/>
  <c r="BG3" i="6"/>
  <c r="BH3" i="6" s="1"/>
  <c r="BI3" i="6" s="1"/>
  <c r="BJ3" i="6" s="1"/>
  <c r="BK3" i="6" s="1"/>
  <c r="BL3" i="6" s="1"/>
  <c r="BM3" i="6" s="1"/>
  <c r="AW10" i="6"/>
  <c r="BG12" i="6"/>
  <c r="BG21" i="6"/>
  <c r="BG11" i="6"/>
  <c r="AW21" i="6"/>
  <c r="BG16" i="6"/>
  <c r="BH16" i="6" s="1"/>
  <c r="BI16" i="6" s="1"/>
  <c r="BJ16" i="6" s="1"/>
  <c r="BK16" i="6" s="1"/>
  <c r="BL16" i="6" s="1"/>
  <c r="BM16" i="6" s="1"/>
  <c r="AW6" i="6"/>
  <c r="BG5" i="6"/>
  <c r="BH5" i="6" s="1"/>
  <c r="BI5" i="6" s="1"/>
  <c r="BJ5" i="6" s="1"/>
  <c r="BK5" i="6" s="1"/>
  <c r="BL5" i="6" s="1"/>
  <c r="BM5" i="6" s="1"/>
  <c r="AW18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BG8" i="6"/>
  <c r="BG9" i="6"/>
  <c r="BG7" i="6"/>
  <c r="BH27" i="6" l="1"/>
  <c r="BI27" i="6" s="1"/>
  <c r="BJ27" i="6" s="1"/>
  <c r="BK27" i="6" s="1"/>
  <c r="BL27" i="6" s="1"/>
  <c r="BM27" i="6" s="1"/>
  <c r="BH21" i="6"/>
  <c r="BH30" i="6"/>
  <c r="AW32" i="6"/>
  <c r="AW34" i="6"/>
  <c r="BH36" i="6"/>
  <c r="BH13" i="6"/>
  <c r="BH8" i="6"/>
  <c r="BH15" i="6"/>
  <c r="BH14" i="6"/>
  <c r="BH7" i="6"/>
  <c r="BI7" i="6" s="1"/>
  <c r="BJ7" i="6" s="1"/>
  <c r="BK7" i="6" s="1"/>
  <c r="BL7" i="6" s="1"/>
  <c r="BM7" i="6" s="1"/>
  <c r="BH35" i="6"/>
  <c r="AW23" i="6"/>
  <c r="AW16" i="6"/>
  <c r="BH9" i="6"/>
  <c r="BI9" i="6" s="1"/>
  <c r="BJ9" i="6" s="1"/>
  <c r="BK9" i="6" s="1"/>
  <c r="BL9" i="6" s="1"/>
  <c r="BM9" i="6" s="1"/>
  <c r="BH23" i="6"/>
  <c r="BH12" i="6"/>
  <c r="AW50" i="8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30" i="6" l="1"/>
  <c r="BI21" i="6"/>
  <c r="BI36" i="6"/>
  <c r="BI14" i="6"/>
  <c r="BJ14" i="6" s="1"/>
  <c r="BK14" i="6" s="1"/>
  <c r="BL14" i="6" s="1"/>
  <c r="BM14" i="6" s="1"/>
  <c r="AW27" i="6"/>
  <c r="BI8" i="6"/>
  <c r="BJ8" i="6" s="1"/>
  <c r="BK8" i="6" s="1"/>
  <c r="BL8" i="6" s="1"/>
  <c r="BM8" i="6" s="1"/>
  <c r="AW13" i="6"/>
  <c r="BI15" i="6"/>
  <c r="BJ15" i="6" s="1"/>
  <c r="BK15" i="6" s="1"/>
  <c r="BL15" i="6" s="1"/>
  <c r="BM15" i="6" s="1"/>
  <c r="AW9" i="6"/>
  <c r="BI13" i="6"/>
  <c r="AW8" i="6"/>
  <c r="BI35" i="6"/>
  <c r="AW5" i="6"/>
  <c r="BI12" i="6"/>
  <c r="BJ12" i="6" s="1"/>
  <c r="BK12" i="6" s="1"/>
  <c r="BL12" i="6" s="1"/>
  <c r="BM12" i="6" s="1"/>
  <c r="AW7" i="6"/>
  <c r="BI23" i="6"/>
  <c r="BJ23" i="6" s="1"/>
  <c r="BK23" i="6" s="1"/>
  <c r="BL23" i="6" s="1"/>
  <c r="BM23" i="6" s="1"/>
  <c r="AW29" i="6"/>
  <c r="BJ6" i="15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3" i="6"/>
  <c r="BI17" i="6"/>
  <c r="BJ17" i="6" s="1"/>
  <c r="BK17" i="6" s="1"/>
  <c r="BL17" i="6" s="1"/>
  <c r="BM17" i="6" s="1"/>
  <c r="AW22" i="6"/>
  <c r="BI11" i="6"/>
  <c r="BJ11" i="6" s="1"/>
  <c r="BK11" i="6" s="1"/>
  <c r="BL11" i="6" s="1"/>
  <c r="BM11" i="6" s="1"/>
  <c r="AW15" i="6"/>
  <c r="BI28" i="6"/>
  <c r="BJ28" i="6" s="1"/>
  <c r="BK28" i="6" s="1"/>
  <c r="BL28" i="6" s="1"/>
  <c r="BM28" i="6" s="1"/>
  <c r="BI18" i="6"/>
  <c r="BJ18" i="6" s="1"/>
  <c r="BK18" i="6" s="1"/>
  <c r="BL18" i="6" s="1"/>
  <c r="BM18" i="6" s="1"/>
  <c r="AW19" i="6"/>
  <c r="BI29" i="6"/>
  <c r="BJ29" i="6" s="1"/>
  <c r="BK29" i="6" s="1"/>
  <c r="BL29" i="6" s="1"/>
  <c r="BM29" i="6" s="1"/>
  <c r="BJ21" i="6" l="1"/>
  <c r="BJ30" i="6"/>
  <c r="BJ36" i="6"/>
  <c r="BJ13" i="6"/>
  <c r="BJ35" i="6"/>
  <c r="AW25" i="6"/>
  <c r="AW28" i="6"/>
  <c r="BK2" i="15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30" i="6" l="1"/>
  <c r="BK21" i="6"/>
  <c r="BK36" i="6"/>
  <c r="BK35" i="6"/>
  <c r="BK13" i="6"/>
  <c r="BL13" i="6" s="1"/>
  <c r="BM13" i="6" s="1"/>
  <c r="AW17" i="15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1" i="6" l="1"/>
  <c r="BL30" i="6"/>
  <c r="BL36" i="6"/>
  <c r="AW17" i="6"/>
  <c r="BL35" i="6"/>
  <c r="BM2" i="15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O6" i="5"/>
  <c r="K6" i="5"/>
  <c r="B4" i="5"/>
  <c r="I6" i="5"/>
  <c r="J6" i="5"/>
  <c r="E6" i="5"/>
  <c r="L6" i="5"/>
  <c r="M6" i="5"/>
  <c r="G6" i="5"/>
  <c r="F4" i="5"/>
  <c r="H4" i="5"/>
  <c r="L4" i="5"/>
  <c r="I4" i="5"/>
  <c r="M4" i="5"/>
  <c r="O4" i="5"/>
  <c r="C4" i="5"/>
  <c r="H6" i="5"/>
  <c r="B6" i="5"/>
  <c r="N6" i="5"/>
  <c r="E4" i="5"/>
  <c r="J4" i="5"/>
  <c r="G4" i="5"/>
  <c r="N4" i="5"/>
  <c r="D6" i="5"/>
  <c r="F6" i="5"/>
  <c r="D4" i="5"/>
  <c r="K4" i="5"/>
  <c r="C6" i="5"/>
  <c r="BM30" i="6" l="1"/>
  <c r="AW30" i="6"/>
  <c r="BM21" i="6"/>
  <c r="AW26" i="6"/>
  <c r="BM36" i="6"/>
  <c r="AW36" i="6" s="1"/>
  <c r="BM35" i="6"/>
  <c r="AW35" i="6" s="1"/>
  <c r="BM24" i="8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F42" i="4" s="1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O7" i="5"/>
  <c r="O2" i="5"/>
  <c r="K5" i="5"/>
  <c r="M7" i="5"/>
  <c r="D2" i="5"/>
  <c r="O5" i="5"/>
  <c r="B7" i="5"/>
  <c r="M5" i="5"/>
  <c r="H7" i="5"/>
  <c r="C3" i="5"/>
  <c r="J5" i="5"/>
  <c r="F3" i="5"/>
  <c r="G5" i="5"/>
  <c r="L3" i="5"/>
  <c r="J2" i="5"/>
  <c r="D3" i="5"/>
  <c r="H5" i="5"/>
  <c r="E7" i="5"/>
  <c r="C5" i="5"/>
  <c r="C7" i="5"/>
  <c r="N5" i="5"/>
  <c r="J3" i="5"/>
  <c r="M3" i="5"/>
  <c r="I2" i="5"/>
  <c r="E5" i="5"/>
  <c r="F2" i="5"/>
  <c r="F5" i="5"/>
  <c r="N2" i="5"/>
  <c r="I3" i="5"/>
  <c r="L5" i="5"/>
  <c r="E3" i="5"/>
  <c r="C2" i="5"/>
  <c r="K3" i="5"/>
  <c r="I5" i="5"/>
  <c r="I7" i="5"/>
  <c r="G2" i="5"/>
  <c r="G7" i="5"/>
  <c r="N3" i="5"/>
  <c r="B2" i="5"/>
  <c r="B5" i="5"/>
  <c r="L2" i="5"/>
  <c r="K7" i="5"/>
  <c r="H2" i="5"/>
  <c r="F7" i="5"/>
  <c r="N7" i="5"/>
  <c r="K2" i="5"/>
  <c r="L7" i="5"/>
  <c r="M2" i="5"/>
  <c r="G3" i="5"/>
  <c r="O3" i="5"/>
  <c r="D5" i="5"/>
  <c r="H3" i="5"/>
  <c r="D7" i="5"/>
  <c r="E2" i="5"/>
  <c r="J7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N14" i="3"/>
  <c r="E12" i="3"/>
  <c r="A11" i="3"/>
  <c r="E13" i="3"/>
  <c r="M30" i="3"/>
  <c r="G29" i="3"/>
  <c r="E14" i="3"/>
  <c r="D29" i="3"/>
  <c r="A12" i="3"/>
  <c r="A13" i="3"/>
  <c r="N12" i="3"/>
  <c r="C8" i="3"/>
  <c r="J12" i="3"/>
  <c r="J14" i="3"/>
  <c r="L8" i="3"/>
  <c r="N13" i="3"/>
  <c r="D30" i="3"/>
  <c r="E11" i="3"/>
  <c r="J13" i="3"/>
  <c r="J15" i="3"/>
  <c r="N11" i="3"/>
  <c r="A15" i="3"/>
  <c r="A14" i="3"/>
  <c r="N15" i="3"/>
  <c r="M29" i="3"/>
  <c r="J11" i="3"/>
  <c r="G30" i="3"/>
  <c r="P30" i="3"/>
  <c r="P29" i="3"/>
  <c r="E15" i="3"/>
  <c r="Q2" i="1" l="1"/>
  <c r="N39" i="1"/>
  <c r="AW50" i="4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9" i="3"/>
  <c r="I30" i="3"/>
  <c r="O29" i="3"/>
  <c r="R29" i="3"/>
  <c r="O30" i="3"/>
  <c r="R30" i="3"/>
  <c r="F30" i="3"/>
  <c r="F29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P15" i="3"/>
  <c r="L12" i="3"/>
  <c r="G14" i="3"/>
  <c r="L15" i="3"/>
  <c r="P12" i="3"/>
  <c r="G11" i="3"/>
  <c r="L14" i="3"/>
  <c r="C11" i="3"/>
  <c r="J30" i="3"/>
  <c r="P11" i="3"/>
  <c r="P23" i="3"/>
  <c r="C14" i="3"/>
  <c r="L13" i="3"/>
  <c r="J28" i="3"/>
  <c r="L11" i="3"/>
  <c r="G12" i="3"/>
  <c r="M23" i="3"/>
  <c r="M22" i="3"/>
  <c r="G15" i="3"/>
  <c r="G13" i="3"/>
  <c r="C12" i="3"/>
  <c r="M26" i="3"/>
  <c r="J23" i="3"/>
  <c r="P22" i="3"/>
  <c r="P26" i="3"/>
  <c r="P13" i="3"/>
  <c r="C13" i="3"/>
  <c r="P14" i="3"/>
  <c r="C15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L30" i="3"/>
  <c r="R22" i="3"/>
  <c r="O22" i="3"/>
  <c r="R26" i="3"/>
  <c r="A30" i="3"/>
  <c r="L28" i="3"/>
  <c r="G19" i="3"/>
  <c r="L23" i="3"/>
  <c r="O23" i="3"/>
  <c r="O26" i="3"/>
  <c r="R23" i="3"/>
  <c r="D28" i="3"/>
  <c r="G28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A21" i="3"/>
  <c r="J21" i="3"/>
  <c r="I28" i="3"/>
  <c r="J22" i="3"/>
  <c r="J19" i="3"/>
  <c r="G23" i="3"/>
  <c r="J29" i="3"/>
  <c r="M21" i="3"/>
  <c r="M20" i="3"/>
  <c r="G20" i="3"/>
  <c r="D21" i="3"/>
  <c r="A22" i="3"/>
  <c r="J27" i="3"/>
  <c r="D20" i="3"/>
  <c r="F28" i="3"/>
  <c r="P19" i="3"/>
  <c r="J20" i="3"/>
  <c r="P21" i="3"/>
  <c r="A20" i="3"/>
  <c r="M19" i="3"/>
  <c r="J26" i="3"/>
  <c r="P20" i="3"/>
  <c r="C30" i="3"/>
  <c r="I19" i="3"/>
  <c r="R6" i="3" l="1"/>
  <c r="G6" i="3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D26" i="3"/>
  <c r="L19" i="3"/>
  <c r="F20" i="3"/>
  <c r="O21" i="3"/>
  <c r="L21" i="3"/>
  <c r="L26" i="3"/>
  <c r="C20" i="3"/>
  <c r="G22" i="3"/>
  <c r="O19" i="3"/>
  <c r="A26" i="3"/>
  <c r="R21" i="3"/>
  <c r="G21" i="3"/>
  <c r="L29" i="3"/>
  <c r="C21" i="3"/>
  <c r="A28" i="3"/>
  <c r="A19" i="3"/>
  <c r="R20" i="3"/>
  <c r="O20" i="3"/>
  <c r="I20" i="3"/>
  <c r="L20" i="3"/>
  <c r="I23" i="3"/>
  <c r="F21" i="3"/>
  <c r="L27" i="3"/>
  <c r="C22" i="3"/>
  <c r="R19" i="3"/>
  <c r="G26" i="3"/>
  <c r="D22" i="3"/>
  <c r="D19" i="3"/>
  <c r="L22" i="3"/>
  <c r="A23" i="3"/>
  <c r="A27" i="3"/>
  <c r="D23" i="3"/>
  <c r="A29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8" i="3"/>
  <c r="C27" i="3"/>
  <c r="I26" i="3"/>
  <c r="F26" i="3"/>
  <c r="I22" i="3"/>
  <c r="F22" i="3"/>
  <c r="C23" i="3"/>
  <c r="F23" i="3"/>
  <c r="C19" i="3"/>
  <c r="F19" i="3"/>
  <c r="C29" i="3"/>
  <c r="I21" i="3"/>
  <c r="C26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P28" i="3"/>
  <c r="M27" i="3"/>
  <c r="M28" i="3"/>
  <c r="P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7" i="3"/>
  <c r="O28" i="3"/>
  <c r="O27" i="3"/>
  <c r="R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<sst xmlns="http://schemas.openxmlformats.org/spreadsheetml/2006/main" count="4570" uniqueCount="1511">
  <si>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</si>
  <si>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</si>
  <si>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</si>
  <si>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</si>
  <si>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</si>
  <si>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</si>
  <si>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</si>
  <si>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</si>
  <si>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</si>
  <si>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</si>
  <si>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</si>
  <si>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</si>
  <si>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</si>
  <si>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</si>
  <si>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</si>
  <si>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</si>
  <si>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</si>
  <si>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</si>
  <si>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</si>
  <si>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</si>
  <si>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</si>
  <si>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</si>
  <si>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</si>
  <si>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</si>
  <si>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</si>
  <si>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</si>
  <si>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</si>
  <si>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</si>
  <si>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</si>
  <si>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</si>
  <si>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</si>
  <si>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</si>
  <si>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</si>
  <si>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</si>
  <si>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</si>
  <si>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</si>
  <si>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</si>
  <si>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</si>
  <si>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</si>
  <si>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</si>
  <si>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</si>
  <si>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</si>
  <si>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</si>
  <si>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</si>
  <si>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</si>
  <si>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</si>
  <si>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</si>
  <si>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</si>
  <si>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</si>
  <si>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</si>
  <si>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</si>
  <si>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</si>
  <si>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</si>
  <si>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</si>
  <si>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</si>
  <si>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</si>
  <si>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</si>
  <si>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</si>
  <si>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</si>
  <si>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</si>
  <si>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</si>
  <si>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</si>
  <si>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</si>
  <si>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</si>
  <si>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</si>
  <si>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</si>
  <si>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</si>
  <si>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</si>
  <si>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</si>
  <si>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</si>
  <si>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</si>
  <si>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</si>
  <si>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</si>
  <si>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</si>
  <si>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</si>
  <si>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</si>
  <si>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</si>
  <si>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</si>
  <si>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</si>
  <si>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</si>
  <si>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</si>
  <si>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</si>
  <si>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</si>
  <si>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</si>
  <si>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</si>
  <si>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</si>
  <si>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</si>
  <si>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</si>
  <si>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</si>
  <si>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</si>
  <si>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</si>
  <si>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</si>
  <si>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</si>
  <si>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</si>
  <si>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</si>
  <si>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</si>
  <si>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</si>
  <si>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</si>
  <si>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</si>
  <si>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</si>
  <si>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</si>
  <si>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</si>
  <si>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</si>
  <si>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</si>
  <si>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</si>
  <si>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</si>
  <si>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</si>
  <si>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</si>
  <si>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</si>
  <si>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</si>
  <si>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</si>
  <si>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</si>
  <si>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</si>
  <si>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</si>
  <si>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</si>
  <si>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</si>
  <si>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</si>
  <si>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</si>
  <si>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</si>
  <si>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</si>
  <si>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</si>
  <si>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</si>
  <si>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</si>
  <si>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</si>
  <si>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</si>
  <si>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</si>
  <si>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</si>
  <si>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</si>
  <si>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</si>
  <si>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</si>
  <si>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</si>
  <si>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</si>
  <si>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</si>
  <si>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</si>
  <si>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</si>
  <si>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</si>
  <si>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</si>
  <si>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</si>
  <si>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</si>
  <si>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</si>
  <si>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</si>
  <si>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</si>
  <si>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</si>
  <si>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</si>
  <si>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</si>
  <si>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</si>
  <si>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</si>
  <si>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</si>
  <si>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</si>
  <si>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</si>
  <si>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</si>
  <si>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</si>
  <si>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</si>
  <si>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</si>
  <si>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</si>
  <si>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</si>
  <si>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</si>
  <si>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</si>
  <si>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</si>
  <si>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</si>
  <si>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</si>
  <si>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</si>
  <si>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</si>
  <si>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</si>
  <si>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</si>
  <si>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</si>
  <si>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</si>
  <si>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</si>
  <si>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</si>
  <si>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</si>
  <si>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</si>
  <si>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</si>
  <si>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</si>
  <si>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</si>
  <si>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</si>
  <si>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</si>
  <si>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</si>
  <si>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</si>
  <si>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</si>
  <si>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</si>
  <si>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</si>
  <si>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</si>
  <si>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</si>
  <si>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</si>
  <si>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</si>
  <si>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</si>
  <si>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</si>
  <si>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</si>
  <si>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</si>
  <si>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</si>
  <si>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</si>
  <si>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</si>
  <si>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</si>
  <si>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</si>
  <si>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</si>
  <si>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</si>
  <si>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</si>
  <si>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</si>
  <si>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</si>
  <si>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</si>
  <si>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</si>
  <si>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</si>
  <si>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</si>
  <si>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</si>
  <si>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</si>
  <si>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</si>
  <si>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</si>
  <si>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</si>
  <si>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</si>
  <si>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</si>
  <si>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</si>
  <si>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</si>
  <si>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</si>
  <si>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</si>
  <si>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</si>
  <si>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</si>
  <si>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</si>
  <si>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</si>
  <si>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</si>
  <si>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</si>
  <si>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</si>
  <si>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</si>
  <si>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</si>
  <si>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</si>
  <si>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</si>
  <si>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</si>
  <si>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</si>
  <si>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</si>
  <si>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</si>
  <si>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</si>
  <si>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</si>
  <si>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</si>
  <si>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</si>
  <si>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</si>
  <si>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</si>
  <si>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</si>
  <si>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</si>
  <si>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</si>
  <si>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</si>
  <si>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</si>
  <si>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</si>
  <si>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</si>
  <si>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</si>
  <si>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</si>
  <si>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</si>
  <si>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</si>
  <si>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</si>
  <si>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</si>
  <si>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</si>
  <si>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</si>
  <si>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</si>
  <si>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</si>
  <si>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</si>
  <si>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</si>
  <si>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</si>
  <si>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</si>
  <si>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</si>
  <si>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</si>
  <si>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</si>
  <si>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</si>
  <si>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</si>
  <si>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</si>
  <si>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</si>
  <si>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</si>
  <si>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</si>
  <si>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</si>
  <si>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</si>
  <si>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</si>
  <si>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</si>
  <si>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</si>
  <si>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</si>
  <si>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</si>
  <si>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</si>
  <si>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</si>
  <si>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</si>
  <si>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</si>
  <si>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</si>
  <si>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</si>
  <si>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</si>
  <si>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</si>
  <si>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</si>
  <si>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</si>
  <si>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</si>
  <si>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</si>
  <si>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</si>
  <si>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</si>
  <si>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</si>
  <si>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</si>
  <si>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</si>
  <si>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</si>
  <si>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</si>
  <si>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</si>
  <si>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Milan Šindelář</t>
  </si>
  <si>
    <t>Karel Myšák</t>
  </si>
  <si>
    <t>vedoucí týmu</t>
  </si>
  <si>
    <t>manažer týmu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</si>
  <si>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</si>
  <si>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</si>
  <si>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</si>
  <si>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</si>
  <si>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</si>
  <si>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</si>
  <si>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</si>
  <si>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</si>
  <si>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</si>
  <si>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</si>
  <si>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</si>
  <si>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</si>
  <si>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</si>
  <si>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</si>
  <si>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</si>
  <si>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</si>
  <si>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</si>
  <si>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</si>
  <si>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</si>
  <si>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</si>
  <si>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</si>
  <si>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</si>
  <si>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</si>
  <si>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</si>
  <si>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</si>
  <si>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</si>
  <si>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</si>
  <si>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</si>
  <si>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</si>
  <si>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</si>
  <si>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</si>
  <si>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</si>
  <si>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</si>
  <si>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</si>
  <si>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</si>
  <si>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</si>
  <si>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</si>
  <si>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</si>
  <si>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</si>
  <si>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</si>
  <si>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</si>
  <si>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</si>
  <si>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</si>
  <si>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</si>
  <si>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</si>
  <si>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</si>
  <si>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</si>
  <si>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</si>
  <si>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</si>
  <si>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</si>
  <si>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</si>
  <si>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</si>
  <si>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</si>
  <si>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</si>
  <si>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</si>
  <si>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</si>
  <si>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</si>
  <si>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</si>
  <si>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</si>
  <si>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</si>
  <si>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</si>
  <si>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</si>
  <si>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</si>
  <si>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</si>
  <si>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</si>
  <si>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</si>
  <si>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</si>
  <si>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</si>
  <si>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</si>
  <si>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</si>
  <si>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</si>
  <si>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</si>
  <si>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</si>
  <si>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</si>
  <si>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</si>
  <si>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</si>
  <si>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</si>
  <si>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</si>
  <si>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</si>
  <si>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</si>
  <si>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</si>
  <si>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</si>
  <si>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</si>
  <si>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</si>
  <si>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</si>
  <si>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</si>
  <si>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</si>
  <si>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</si>
  <si>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</si>
  <si>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</si>
  <si>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</si>
  <si>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</si>
  <si>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</si>
  <si>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</si>
  <si>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</si>
  <si>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</si>
  <si>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</si>
  <si>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</si>
  <si>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</si>
  <si>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</si>
  <si>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</si>
  <si>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</si>
  <si>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</si>
  <si>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</si>
  <si>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</si>
  <si>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</si>
  <si>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</si>
  <si>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</si>
  <si>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</si>
  <si>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</si>
  <si>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</si>
  <si>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</si>
  <si>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</si>
  <si>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</si>
  <si>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</si>
  <si>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</si>
  <si>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</si>
  <si>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</si>
  <si>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</si>
  <si>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</si>
  <si>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</si>
  <si>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</si>
  <si>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</si>
  <si>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</si>
  <si>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</si>
  <si>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</si>
  <si>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</si>
  <si>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</si>
  <si>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</si>
  <si>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</si>
  <si>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</si>
  <si>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</si>
  <si>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</si>
  <si>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</si>
  <si>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</si>
  <si>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</si>
  <si>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</si>
  <si>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</si>
  <si>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</si>
  <si>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</si>
  <si>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</si>
  <si>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</si>
  <si>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</si>
  <si>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</si>
  <si>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</si>
  <si>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</si>
  <si>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</si>
  <si>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</si>
  <si>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</si>
  <si>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</si>
  <si>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</si>
  <si>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</si>
  <si>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</si>
  <si>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</si>
  <si>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</si>
  <si>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</si>
  <si>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</si>
  <si>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</si>
  <si>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</si>
  <si>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</si>
  <si>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</si>
  <si>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</si>
  <si>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</si>
  <si>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</si>
  <si>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</si>
  <si>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</si>
  <si>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</si>
  <si>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</si>
  <si>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</si>
  <si>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</si>
  <si>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</si>
  <si>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</si>
  <si>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</si>
  <si>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</si>
  <si>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</si>
  <si>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</si>
  <si>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</si>
  <si>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</si>
  <si>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</si>
  <si>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</si>
  <si>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</si>
  <si>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</si>
  <si>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</si>
  <si>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</si>
  <si>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</si>
  <si>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</si>
  <si>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</si>
  <si>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</si>
  <si>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</si>
  <si>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</si>
  <si>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</si>
  <si>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</si>
  <si>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</si>
  <si>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</si>
  <si>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</si>
  <si>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</si>
  <si>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</si>
  <si>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</si>
  <si>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</si>
  <si>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</si>
  <si>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</si>
  <si>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</si>
  <si>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</si>
  <si>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</si>
  <si>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</si>
  <si>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</si>
  <si>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</si>
  <si>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</si>
  <si>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</si>
  <si>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</si>
  <si>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</si>
  <si>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</si>
  <si>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</si>
  <si>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</si>
  <si>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</si>
  <si>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</si>
  <si>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</si>
  <si>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</si>
  <si>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</si>
  <si>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</si>
  <si>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</si>
  <si>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</si>
  <si>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</si>
  <si>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</si>
  <si>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</si>
  <si>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</si>
  <si>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</si>
  <si>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</si>
  <si>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</si>
  <si>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</si>
  <si>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</si>
  <si>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</si>
  <si>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</si>
  <si>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</si>
  <si>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</si>
  <si>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</si>
  <si>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</si>
  <si>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</si>
  <si>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</si>
  <si>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</si>
  <si>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</si>
  <si>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</si>
  <si>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</si>
  <si>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</si>
  <si>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</si>
  <si>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</si>
  <si>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</si>
  <si>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</si>
  <si>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</si>
  <si>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</si>
  <si>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</si>
  <si>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</si>
  <si>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</si>
  <si>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</si>
  <si>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</si>
  <si>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</si>
  <si>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</si>
  <si>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</si>
  <si>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</si>
  <si>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</si>
  <si>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</si>
  <si>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</si>
  <si>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</si>
  <si>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</si>
  <si>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</si>
  <si>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</si>
  <si>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</si>
  <si>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</si>
  <si>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</si>
  <si>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</si>
  <si>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</si>
  <si>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</si>
  <si>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</si>
  <si>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</si>
  <si>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</si>
  <si>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</si>
  <si>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</si>
  <si>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</si>
  <si>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</si>
  <si>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</si>
  <si>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</si>
  <si>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</si>
  <si>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</si>
  <si>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</si>
  <si>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</si>
  <si>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</si>
  <si>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</si>
  <si>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</si>
  <si>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</si>
  <si>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</si>
  <si>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</si>
  <si>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</si>
  <si>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</si>
  <si>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</si>
  <si>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</si>
  <si>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</si>
  <si>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</si>
  <si>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</si>
  <si>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</si>
  <si>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</si>
  <si>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</si>
  <si>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</si>
  <si>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</si>
  <si>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</si>
  <si>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</si>
  <si>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</si>
  <si>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</si>
  <si>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</si>
  <si>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</si>
  <si>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</si>
  <si>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</si>
  <si>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</si>
  <si>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</si>
  <si>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</si>
  <si>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</si>
  <si>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</si>
  <si>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</si>
  <si>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</si>
  <si>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</si>
  <si>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Martin Beneš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</si>
  <si>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</si>
  <si>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</si>
  <si>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</si>
  <si>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</si>
  <si>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</si>
  <si>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</si>
  <si>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</si>
  <si>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</si>
  <si>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</si>
  <si>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</si>
  <si>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</si>
  <si>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</si>
  <si>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</si>
  <si>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</si>
  <si>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</si>
  <si>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</si>
  <si>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</si>
  <si>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</si>
  <si>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</si>
  <si>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</si>
  <si>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</si>
  <si>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</si>
  <si>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</si>
  <si>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</si>
  <si>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</si>
  <si>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</si>
  <si>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</si>
  <si>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</si>
  <si>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</si>
  <si>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</si>
  <si>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</si>
  <si>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</si>
  <si>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</si>
  <si>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</si>
  <si>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</si>
  <si>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</si>
  <si>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</si>
  <si>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</si>
  <si>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</si>
  <si>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</si>
  <si>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</si>
  <si>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</si>
  <si>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</si>
  <si>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</si>
  <si>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</si>
  <si>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</si>
  <si>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</si>
  <si>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</si>
  <si>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</si>
  <si>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</si>
  <si>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</si>
  <si>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</si>
  <si>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</si>
  <si>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</si>
  <si>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</si>
  <si>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</si>
  <si>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</si>
  <si>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</si>
  <si>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</si>
  <si>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</si>
  <si>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</si>
  <si>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</si>
  <si>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</si>
  <si>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</si>
  <si>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</si>
  <si>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</si>
  <si>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</si>
  <si>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</si>
  <si>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</si>
  <si>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</si>
  <si>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</si>
  <si>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</si>
  <si>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</si>
  <si>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</si>
  <si>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</si>
  <si>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</si>
  <si>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</si>
  <si>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</si>
  <si>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</si>
  <si>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</si>
  <si>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</si>
  <si>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</si>
  <si>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</si>
  <si>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</si>
  <si>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</si>
  <si>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</si>
  <si>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</si>
  <si>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</si>
  <si>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</si>
  <si>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</si>
  <si>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</si>
  <si>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</si>
  <si>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</si>
  <si>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</si>
  <si>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</si>
  <si>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</si>
  <si>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</si>
  <si>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</si>
  <si>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</si>
  <si>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</si>
  <si>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</si>
  <si>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</si>
  <si>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</si>
  <si>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</si>
  <si>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</si>
  <si>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</si>
  <si>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</si>
  <si>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</si>
  <si>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</si>
  <si>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</si>
  <si>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</si>
  <si>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</si>
  <si>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</si>
  <si>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</si>
  <si>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</si>
  <si>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</si>
  <si>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</si>
  <si>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</si>
  <si>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</si>
  <si>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</si>
  <si>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</si>
  <si>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1. Karel Šantora</t>
  </si>
  <si>
    <t>2. Petr Musil</t>
  </si>
  <si>
    <t>6:4</t>
  </si>
  <si>
    <t>Jan Pícha</t>
  </si>
  <si>
    <t>Tomáš Čáslava</t>
  </si>
  <si>
    <t>Jan Beránek</t>
  </si>
  <si>
    <t>Lukáš Vašíček</t>
  </si>
  <si>
    <t>Ondřej Valenta</t>
  </si>
  <si>
    <t>4:6</t>
  </si>
  <si>
    <t>1. Marek Vávra</t>
  </si>
  <si>
    <t>Lukáš Kafka</t>
  </si>
  <si>
    <t>Jakub Levínský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</si>
  <si>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</si>
  <si>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</si>
  <si>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</si>
  <si>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</si>
  <si>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</si>
  <si>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</si>
  <si>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</si>
  <si>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</si>
  <si>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</si>
  <si>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</si>
  <si>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</si>
  <si>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Adam Palčinský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</si>
  <si>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</si>
  <si>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</si>
  <si>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</si>
  <si>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</si>
  <si>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</si>
  <si>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</si>
  <si>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</si>
  <si>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</si>
  <si>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</si>
  <si>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</si>
  <si>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</si>
  <si>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</si>
  <si>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</si>
  <si>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</si>
  <si>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6:9</t>
  </si>
  <si>
    <t>7:2</t>
  </si>
  <si>
    <t>Michal Fišera</t>
  </si>
  <si>
    <t>4. Martin Tokoš</t>
  </si>
  <si>
    <t>4. Přemek Pakosta</t>
  </si>
  <si>
    <t>2. Viktor Hejna</t>
  </si>
  <si>
    <t>Michal Bartoň</t>
  </si>
  <si>
    <t>8:5</t>
  </si>
  <si>
    <t>Taifun Moskva</t>
  </si>
  <si>
    <t>Pitbulls Kolín</t>
  </si>
  <si>
    <t>Polsko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</si>
  <si>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</si>
  <si>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</si>
  <si>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</si>
  <si>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</si>
  <si>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</si>
  <si>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</si>
  <si>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</si>
  <si>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</si>
  <si>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VIT (h)</t>
  </si>
  <si>
    <t>HAT (d)</t>
  </si>
  <si>
    <t>4. Matěj Boček</t>
  </si>
  <si>
    <t>SKV (h)</t>
  </si>
  <si>
    <t>SPA (d)</t>
  </si>
  <si>
    <t>MB (h)</t>
  </si>
  <si>
    <t>OTR (d)</t>
  </si>
  <si>
    <t>HAT (h)</t>
  </si>
  <si>
    <t>VIT (d)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</si>
  <si>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</si>
  <si>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</si>
  <si>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</si>
  <si>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</si>
  <si>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</si>
  <si>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</si>
  <si>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</si>
  <si>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4. Jaromír Ekl</t>
  </si>
  <si>
    <t>1. Tomáš Novák</t>
  </si>
  <si>
    <t>PAR (h)</t>
  </si>
  <si>
    <t>2. Tomáš Brom</t>
  </si>
  <si>
    <t>TAT (h)</t>
  </si>
  <si>
    <t>SKV (d)</t>
  </si>
  <si>
    <t>SPA (h)</t>
  </si>
  <si>
    <t>MB (d)</t>
  </si>
  <si>
    <t>CLP (h)</t>
  </si>
  <si>
    <t>2. Petr Majer</t>
  </si>
  <si>
    <t>5,64</t>
  </si>
  <si>
    <t>Marek Matoušek</t>
  </si>
  <si>
    <t>Matěj Netrefa</t>
  </si>
  <si>
    <t>BA (h)</t>
  </si>
  <si>
    <t>1. Jiří Curney</t>
  </si>
  <si>
    <t>2. Matěj Pěnička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</si>
  <si>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</si>
  <si>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</si>
  <si>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</si>
  <si>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</si>
  <si>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</si>
  <si>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</si>
  <si>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</si>
  <si>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</si>
  <si>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3. Matěj Denemark</t>
  </si>
  <si>
    <t>Matěj Denemark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</si>
  <si>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</si>
  <si>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</si>
  <si>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</si>
  <si>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</si>
  <si>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</si>
  <si>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</si>
  <si>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</si>
  <si>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</si>
  <si>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</si>
  <si>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</si>
  <si>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</si>
  <si>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</si>
  <si>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</si>
  <si>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</si>
  <si>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</si>
  <si>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</si>
  <si>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</si>
  <si>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</si>
  <si>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</si>
  <si>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</si>
  <si>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</si>
  <si>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</si>
  <si>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</si>
  <si>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</si>
  <si>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</si>
  <si>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</si>
  <si>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</si>
  <si>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</si>
  <si>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</si>
  <si>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</si>
  <si>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</si>
  <si>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</si>
  <si>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</si>
  <si>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</si>
  <si>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</si>
  <si>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</si>
  <si>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</si>
  <si>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</si>
  <si>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</si>
  <si>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</si>
  <si>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</si>
  <si>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</si>
  <si>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</si>
  <si>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</si>
  <si>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</si>
  <si>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</si>
  <si>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</si>
  <si>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</si>
  <si>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</si>
  <si>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</si>
  <si>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</si>
  <si>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</si>
  <si>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</si>
  <si>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</si>
  <si>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</si>
  <si>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</si>
  <si>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</si>
  <si>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</si>
  <si>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</si>
  <si>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</si>
  <si>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</si>
  <si>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</si>
  <si>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</si>
  <si>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</si>
  <si>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</si>
  <si>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v sezóně 06/07 poprvé v extralize</t>
  </si>
  <si>
    <t>Lukáš Staněk</t>
  </si>
  <si>
    <t>1. Ondřej Kopič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</si>
  <si>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</si>
  <si>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</si>
  <si>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</si>
  <si>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</si>
  <si>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</si>
  <si>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</si>
  <si>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</si>
  <si>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</si>
  <si>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</si>
  <si>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</si>
  <si>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</si>
  <si>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</si>
  <si>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</si>
  <si>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</si>
  <si>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</si>
  <si>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</si>
  <si>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</si>
  <si>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</si>
  <si>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</si>
  <si>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</si>
  <si>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</si>
  <si>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</si>
  <si>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</si>
  <si>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</si>
  <si>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</si>
  <si>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</si>
  <si>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</si>
  <si>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</si>
  <si>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</si>
  <si>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</si>
  <si>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</si>
  <si>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</si>
  <si>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</si>
  <si>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</si>
  <si>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</si>
  <si>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</si>
  <si>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</si>
  <si>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</si>
  <si>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</si>
  <si>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</si>
  <si>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</si>
  <si>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</si>
  <si>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</si>
  <si>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</si>
  <si>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</si>
  <si>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</si>
  <si>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</si>
  <si>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</si>
  <si>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</si>
  <si>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</si>
  <si>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</si>
  <si>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</si>
  <si>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</si>
  <si>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</si>
  <si>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</si>
  <si>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</si>
  <si>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</si>
  <si>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</si>
  <si>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</si>
  <si>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</si>
  <si>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</si>
  <si>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</si>
  <si>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</si>
  <si>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</si>
  <si>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</si>
  <si>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</si>
  <si>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</si>
  <si>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</si>
  <si>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</si>
  <si>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</si>
  <si>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</si>
  <si>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</si>
  <si>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</si>
  <si>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</si>
  <si>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</si>
  <si>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7. 11.</t>
  </si>
  <si>
    <t>4. Jan Fiala</t>
  </si>
  <si>
    <t>4. Ivan Pergler</t>
  </si>
  <si>
    <t>Lukáš Blaszczyk</t>
  </si>
  <si>
    <t>3. Milan Tichý</t>
  </si>
  <si>
    <t>6. 11.</t>
  </si>
  <si>
    <t>7,42</t>
  </si>
  <si>
    <t>Adam Pospíchal</t>
  </si>
  <si>
    <t>7:3</t>
  </si>
  <si>
    <t>1. Karel Hodík</t>
  </si>
  <si>
    <t>4. Mikuláš Komárek</t>
  </si>
  <si>
    <t>5. Vojtěch Wiener</t>
  </si>
  <si>
    <t>3:7</t>
  </si>
  <si>
    <t>2. Patrik Suchánek</t>
  </si>
  <si>
    <t>3. Jiří Curney</t>
  </si>
  <si>
    <t>3. Michal Sládek</t>
  </si>
  <si>
    <t>5. Lukáš Pešat</t>
  </si>
  <si>
    <t>Richard Pum</t>
  </si>
  <si>
    <t>8. 11.</t>
  </si>
  <si>
    <t>Jakub Grich</t>
  </si>
  <si>
    <t>5:6</t>
  </si>
  <si>
    <t>5. Jan Savický</t>
  </si>
  <si>
    <t>5:8</t>
  </si>
  <si>
    <t>3. Mikuláš Krbec</t>
  </si>
  <si>
    <t>5. Jakub Kolstrunk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</si>
  <si>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</si>
  <si>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</si>
  <si>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</si>
  <si>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</si>
  <si>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</si>
  <si>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</si>
  <si>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</si>
  <si>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</si>
  <si>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</si>
  <si>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</si>
  <si>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</si>
  <si>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</si>
  <si>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</si>
  <si>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</si>
  <si>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</si>
  <si>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</si>
  <si>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</si>
  <si>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</si>
  <si>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</si>
  <si>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</si>
  <si>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</si>
  <si>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</si>
  <si>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</si>
  <si>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</si>
  <si>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</si>
  <si>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</si>
  <si>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</si>
  <si>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</si>
  <si>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</si>
  <si>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</si>
  <si>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20/21 77 přesilovek, 36 gólů</t>
  </si>
  <si>
    <t>odchody Pěnička, Šárka, Krebner</t>
  </si>
  <si>
    <t>odchody Kopecký, M. Forman</t>
  </si>
  <si>
    <t>Jozef Grega asistent trenéra (SVK)</t>
  </si>
  <si>
    <t>15. 11.</t>
  </si>
  <si>
    <t>17. 11.</t>
  </si>
  <si>
    <t>21. 11.</t>
  </si>
  <si>
    <t>2. Jan Fiala</t>
  </si>
  <si>
    <t>3. Vojtěch Klápa</t>
  </si>
  <si>
    <t>2. Vojtěch Klápa</t>
  </si>
  <si>
    <t>1. Ondřej Stuchlík</t>
  </si>
  <si>
    <t>Štěpán Kostrhún</t>
  </si>
  <si>
    <t>Jakub Kocourek</t>
  </si>
  <si>
    <t>8:7p</t>
  </si>
  <si>
    <t>20. 11.</t>
  </si>
  <si>
    <t>22. 11.</t>
  </si>
  <si>
    <t>2. Tomáš Hanák</t>
  </si>
  <si>
    <t>5. Radek Hanák</t>
  </si>
  <si>
    <t>3. Jakub Hromada</t>
  </si>
  <si>
    <t>Peter Hrabčák</t>
  </si>
  <si>
    <t>6:3</t>
  </si>
  <si>
    <t>3. Karel Petrák</t>
  </si>
  <si>
    <t>5. Patrik Šebek</t>
  </si>
  <si>
    <t>2. Jakub Zavřel</t>
  </si>
  <si>
    <t>3. Tomáš Hyršl</t>
  </si>
  <si>
    <t>5,62</t>
  </si>
  <si>
    <t>Daniel Jukl</t>
  </si>
  <si>
    <t>Jaroslav Jaroš</t>
  </si>
  <si>
    <t>3. Štěpán Slaný</t>
  </si>
  <si>
    <t>4. Radek Krajcigr</t>
  </si>
  <si>
    <t>15,00</t>
  </si>
  <si>
    <t>1. Zdeněk Raška</t>
  </si>
  <si>
    <t>2. Filip Létal</t>
  </si>
  <si>
    <t>3. Ondřej Kolajta</t>
  </si>
  <si>
    <t>4. Lukáš Jalový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</si>
  <si>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</si>
  <si>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</si>
  <si>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</si>
  <si>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</si>
  <si>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</si>
  <si>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</si>
  <si>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</si>
  <si>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</si>
  <si>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</si>
  <si>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3. Tom Ondrušek</t>
  </si>
  <si>
    <t>4. Daniel Eremiáš</t>
  </si>
  <si>
    <t>1. Šimon Stránský</t>
  </si>
  <si>
    <t>3. Radek Valeš</t>
  </si>
  <si>
    <t>4. Filip Smutný</t>
  </si>
  <si>
    <t>2. Daniel Mück</t>
  </si>
  <si>
    <t>2. Jan Světlík</t>
  </si>
  <si>
    <t>Jakub Mádlo</t>
  </si>
  <si>
    <t>Lukáš Macháč</t>
  </si>
  <si>
    <t>Dominik Hanuš</t>
  </si>
  <si>
    <t>5. Daniel Šebek</t>
  </si>
  <si>
    <t>2. Dominik Hanuš</t>
  </si>
  <si>
    <t>3. Ondřej Tomšík</t>
  </si>
  <si>
    <t>1,00</t>
  </si>
  <si>
    <t>3. Dominik Hanuš</t>
  </si>
  <si>
    <t>2. Dominik Beneš</t>
  </si>
  <si>
    <t>3. Patrik Suchánek</t>
  </si>
  <si>
    <t>1. Martin Tokoš</t>
  </si>
  <si>
    <t>Jiří Šebesta</t>
  </si>
  <si>
    <t>Lukáš Svačinka</t>
  </si>
  <si>
    <t>3:6</t>
  </si>
  <si>
    <t>1. Michal Sládek</t>
  </si>
  <si>
    <t>2. Lukáš Pešat</t>
  </si>
  <si>
    <t>4,37</t>
  </si>
  <si>
    <t>1. Lukáš Pešat</t>
  </si>
  <si>
    <t>1. Daniel Chatrný</t>
  </si>
  <si>
    <t>3. Peter Nehila</t>
  </si>
  <si>
    <t>2. Tomáš Sovják</t>
  </si>
  <si>
    <t>4:5p</t>
  </si>
  <si>
    <t>2:13</t>
  </si>
  <si>
    <t>1. Adam Šmíd</t>
  </si>
  <si>
    <t>7,32</t>
  </si>
  <si>
    <t>3. Ivo Teichman</t>
  </si>
  <si>
    <t>Roman Nový</t>
  </si>
  <si>
    <t>Adam Šimek</t>
  </si>
  <si>
    <t>5:4p</t>
  </si>
  <si>
    <t>4. Marek Zouzal</t>
  </si>
  <si>
    <t>2. Roman Nový</t>
  </si>
  <si>
    <t>3. Viktor Hejna</t>
  </si>
  <si>
    <t>3. Roman Nový</t>
  </si>
  <si>
    <t>1. Marek Zouzal</t>
  </si>
  <si>
    <t>4. Josef Juha</t>
  </si>
  <si>
    <t>3. Josef Juha</t>
  </si>
  <si>
    <t>Adam Kučera</t>
  </si>
  <si>
    <t>Filip Eliáš</t>
  </si>
  <si>
    <t>5:2</t>
  </si>
  <si>
    <t>1,50</t>
  </si>
  <si>
    <t>3. Tomáš Jurco</t>
  </si>
  <si>
    <t>3. Matěj Havlas</t>
  </si>
  <si>
    <t>Jan Slaběňák</t>
  </si>
  <si>
    <t>2. Rostislav Gattnar</t>
  </si>
  <si>
    <t>4. Matyáš Šindler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</si>
  <si>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</si>
  <si>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</si>
  <si>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</si>
  <si>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</si>
  <si>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</si>
  <si>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</si>
  <si>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</si>
  <si>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</si>
  <si>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</si>
  <si>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</si>
  <si>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</si>
  <si>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</si>
  <si>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</si>
  <si>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</si>
  <si>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</si>
  <si>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</si>
  <si>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</si>
  <si>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</si>
  <si>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</si>
  <si>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</si>
  <si>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</si>
  <si>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</si>
  <si>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</si>
  <si>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</si>
  <si>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</si>
  <si>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</si>
  <si>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</si>
  <si>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</si>
  <si>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</si>
  <si>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</si>
  <si>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</si>
  <si>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</si>
  <si>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</si>
  <si>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</si>
  <si>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</si>
  <si>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</si>
  <si>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</si>
  <si>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</si>
  <si>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</si>
  <si>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</si>
  <si>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</si>
  <si>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</si>
  <si>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</si>
  <si>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</si>
  <si>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</si>
  <si>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</si>
  <si>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</si>
  <si>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</si>
  <si>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</si>
  <si>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</si>
  <si>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</si>
  <si>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</si>
  <si>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</si>
  <si>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</si>
  <si>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</si>
  <si>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</si>
  <si>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</si>
  <si>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</si>
  <si>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</si>
  <si>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</si>
  <si>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</si>
  <si>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</si>
  <si>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</si>
  <si>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</si>
  <si>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</si>
  <si>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</si>
  <si>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</si>
  <si>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</si>
  <si>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</si>
  <si>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</si>
  <si>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</si>
  <si>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2021/2022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</si>
  <si>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</si>
  <si>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</si>
  <si>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</si>
  <si>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</si>
  <si>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</si>
  <si>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</si>
  <si>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</si>
  <si>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</si>
  <si>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</si>
  <si>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</si>
  <si>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</si>
  <si>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</si>
  <si>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</si>
  <si>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</si>
  <si>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</si>
  <si>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</si>
  <si>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</si>
  <si>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</si>
  <si>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</si>
  <si>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</si>
  <si>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</si>
  <si>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</si>
  <si>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</si>
  <si>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</si>
  <si>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</si>
  <si>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</si>
  <si>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</si>
  <si>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</si>
  <si>
    <t>1:13</t>
  </si>
  <si>
    <t>31. 10.</t>
  </si>
  <si>
    <t>17. 12.</t>
  </si>
  <si>
    <t>5. Ondřej Stuchlík</t>
  </si>
  <si>
    <t>4. Jakub Renčín</t>
  </si>
  <si>
    <t>9:8p</t>
  </si>
  <si>
    <t>19. 12.</t>
  </si>
  <si>
    <t>3. Ondřej Kopič</t>
  </si>
  <si>
    <t>5. Daniel Štěrba</t>
  </si>
  <si>
    <t>3. Jan Dvořák</t>
  </si>
  <si>
    <t>4. Daniel Jukl</t>
  </si>
  <si>
    <t>1. Daniel Štěrba</t>
  </si>
  <si>
    <t>2. Jakub Jirsa</t>
  </si>
  <si>
    <t>5. Štěpán Slaný</t>
  </si>
  <si>
    <t>2. Karel Pergler</t>
  </si>
  <si>
    <t>3,33</t>
  </si>
  <si>
    <t>3. Vojtěch Šimůnek</t>
  </si>
  <si>
    <t>4. Matěj Netrefa</t>
  </si>
  <si>
    <t>5. Michal Podhráský</t>
  </si>
  <si>
    <t>Jakub Horník</t>
  </si>
  <si>
    <t>18. 11.</t>
  </si>
  <si>
    <t>3. Jakub Levínský</t>
  </si>
  <si>
    <t>1. Filip Smutný</t>
  </si>
  <si>
    <t>4. Vojtěch Wiener</t>
  </si>
  <si>
    <t>3. Vojtěch Wiener</t>
  </si>
  <si>
    <t>2:3</t>
  </si>
  <si>
    <t>V - V - V - P - V - V - V - V - V - P</t>
  </si>
  <si>
    <t>1. Jakub Bína</t>
  </si>
  <si>
    <t>3. Adam Hemerka</t>
  </si>
  <si>
    <t>4. Miroslav Fořt</t>
  </si>
  <si>
    <t>4,68</t>
  </si>
  <si>
    <t>2. Ladislav Gál</t>
  </si>
  <si>
    <t>2. František Vykopal</t>
  </si>
  <si>
    <t>9,57</t>
  </si>
  <si>
    <t>4. Martin Ležatka</t>
  </si>
  <si>
    <t>5. Jakub Grich</t>
  </si>
  <si>
    <t>1. Tomáš Sovják</t>
  </si>
  <si>
    <t>8:6</t>
  </si>
  <si>
    <t>3:8</t>
  </si>
  <si>
    <t>8:9p</t>
  </si>
  <si>
    <t>2. Vojtěch Klein</t>
  </si>
  <si>
    <t>3. Marek Zouzal</t>
  </si>
  <si>
    <t>2. Lukáš Ujhélyi</t>
  </si>
  <si>
    <t>4. Jakub Kolstrunk</t>
  </si>
  <si>
    <t>13:1</t>
  </si>
  <si>
    <t>3:2</t>
  </si>
  <si>
    <t>8:3</t>
  </si>
  <si>
    <t>2. Martin Šindelář</t>
  </si>
  <si>
    <t>3. David Šimek</t>
  </si>
  <si>
    <t>1. Petr Brautferger</t>
  </si>
  <si>
    <t>1. Rostislav Gattnar</t>
  </si>
  <si>
    <t>Jakub Galia</t>
  </si>
  <si>
    <t>Jáchym Kuběna</t>
  </si>
  <si>
    <t>13:7</t>
  </si>
  <si>
    <t>12:3</t>
  </si>
  <si>
    <t>2:10</t>
  </si>
  <si>
    <t>13:4</t>
  </si>
  <si>
    <t>2018/2019</t>
  </si>
  <si>
    <t>10:7</t>
  </si>
  <si>
    <t>2015/2016</t>
  </si>
  <si>
    <t>2:14</t>
  </si>
  <si>
    <t>7:5</t>
  </si>
  <si>
    <t>2014/2015</t>
  </si>
  <si>
    <t>3:1</t>
  </si>
  <si>
    <t>2006/2007</t>
  </si>
  <si>
    <t>0:8</t>
  </si>
  <si>
    <t>13 zápasů, 0 - 1 - 0 - 0 - 12, skóre 53:120</t>
  </si>
  <si>
    <t>Florbal Jablonec</t>
  </si>
  <si>
    <t>mistr ligy, stříbrný medailista z MSU19</t>
  </si>
  <si>
    <t>2x mistr ligy</t>
  </si>
  <si>
    <t>mistr ČR s Tatranem, účast v Superfinále, vítězství v Poháru s Tatranem i Chodovem (hráč), 2x mistr ČR a medaile s mládežnickými týmy Tatranu a Chodova (trenér)</t>
  </si>
  <si>
    <t>2x titul s Tatranem Střešovice (hráč), 2x titul s Tatranem Střešovice (trenér), 2x titul s Florbal Chodov (asistent trenéra), 1x titul s Tatranem Střešovice (trenér juniorů)</t>
  </si>
  <si>
    <t>Martin Pala</t>
  </si>
  <si>
    <t>FBC ČPP Bystroň Group Ostrava</t>
  </si>
  <si>
    <t>ERROR: Wrong team abbreviation (d)</t>
  </si>
  <si>
    <t>7:8</t>
  </si>
  <si>
    <t>2. 1.</t>
  </si>
  <si>
    <t>7. 1.</t>
  </si>
  <si>
    <t>V - P - P - P - V - P - P - P - P - P</t>
  </si>
  <si>
    <t>6,70</t>
  </si>
  <si>
    <t>3. Matyáš Lorenc</t>
  </si>
  <si>
    <t>3. Jan Fiala</t>
  </si>
  <si>
    <t>4. Jan Procházka</t>
  </si>
  <si>
    <t>5. Ivan Pergler</t>
  </si>
  <si>
    <t>3. Ondřej Stuchlík</t>
  </si>
  <si>
    <t>5. Petr Hartman</t>
  </si>
  <si>
    <t>2. Zbyněk Stuchlík</t>
  </si>
  <si>
    <t>3. Štěpán Čuda</t>
  </si>
  <si>
    <t>5. Oliver Gold</t>
  </si>
  <si>
    <t>3. Matěj Boček</t>
  </si>
  <si>
    <t>4. Jakub Hromada</t>
  </si>
  <si>
    <t>4,80</t>
  </si>
  <si>
    <t>6,57</t>
  </si>
  <si>
    <t>2. Matěj Boček</t>
  </si>
  <si>
    <t>3. Tomáš Hanák</t>
  </si>
  <si>
    <t>1. Radek Hanák</t>
  </si>
  <si>
    <t>2. Vojtěch Novotný</t>
  </si>
  <si>
    <t>5. Matouš Burian</t>
  </si>
  <si>
    <t>Matyáš Metoděj Krahulec</t>
  </si>
  <si>
    <t>6:5p</t>
  </si>
  <si>
    <t>7:8sn</t>
  </si>
  <si>
    <t>14. 11.</t>
  </si>
  <si>
    <t>11:5</t>
  </si>
  <si>
    <t>22. 12.</t>
  </si>
  <si>
    <t>P - P - V - VP - V - V - V - PP - P - VP</t>
  </si>
  <si>
    <t>5:6p</t>
  </si>
  <si>
    <t>10:6</t>
  </si>
  <si>
    <t>7:1</t>
  </si>
  <si>
    <t>V - V - P - V - P - PP - V - V - V - PP</t>
  </si>
  <si>
    <t>4. Patrik Šebek</t>
  </si>
  <si>
    <t>5. Jan Malič</t>
  </si>
  <si>
    <t>5,71</t>
  </si>
  <si>
    <t>2. Karel Petrák</t>
  </si>
  <si>
    <t>5. Matúš Gajdoš</t>
  </si>
  <si>
    <t>2. Tomáš Hyršl</t>
  </si>
  <si>
    <t>3. Jakub Zavřel</t>
  </si>
  <si>
    <t>3. Jan Malič</t>
  </si>
  <si>
    <t>1:7</t>
  </si>
  <si>
    <t>ERROR: Wrong team abbreviation (h)</t>
  </si>
  <si>
    <t>P - V - P - P - P - P - VP - P - P - P</t>
  </si>
  <si>
    <t>2. Jaromír Ekl</t>
  </si>
  <si>
    <t>4. Štěpán Slaný</t>
  </si>
  <si>
    <t>1. Ivan Ponomarev</t>
  </si>
  <si>
    <t>8,56</t>
  </si>
  <si>
    <t>2. Jan Dvořák</t>
  </si>
  <si>
    <t>6,68</t>
  </si>
  <si>
    <t>3. Lukáš Chyna</t>
  </si>
  <si>
    <t>7,61</t>
  </si>
  <si>
    <t>2. Lukáš Chyna</t>
  </si>
  <si>
    <t>2. Lukáš Mlejnek</t>
  </si>
  <si>
    <t>5. Milan Tichý</t>
  </si>
  <si>
    <t>Tadeáš Gryc</t>
  </si>
  <si>
    <t>David Tretina</t>
  </si>
  <si>
    <t>6:10</t>
  </si>
  <si>
    <t>5:11</t>
  </si>
  <si>
    <t>P - P - P - V - P - V - PP - P - V - P</t>
  </si>
  <si>
    <t>3. Šimon Hronek</t>
  </si>
  <si>
    <t>4. René Slezák</t>
  </si>
  <si>
    <t>5. Marek Fuchs</t>
  </si>
  <si>
    <t>6,43</t>
  </si>
  <si>
    <t>9,14</t>
  </si>
  <si>
    <t>3. Lukáš Jalový</t>
  </si>
  <si>
    <t>4. Šimon Hronek</t>
  </si>
  <si>
    <t>3. Jonáš Kůra</t>
  </si>
  <si>
    <t>4. David Sládeček</t>
  </si>
  <si>
    <t>5. Lukáš Vlach</t>
  </si>
  <si>
    <t>1. David Sládeček</t>
  </si>
  <si>
    <t>2. Matěj Hronek</t>
  </si>
  <si>
    <t>3. Jakub Procházka</t>
  </si>
  <si>
    <t>5. René Slezák</t>
  </si>
  <si>
    <t>7:10</t>
  </si>
  <si>
    <t>9. 1.</t>
  </si>
  <si>
    <t>V - V - V - PP - V - VP - P - V - P - V</t>
  </si>
  <si>
    <t>5. Mikuláš Komárek</t>
  </si>
  <si>
    <t>5,27</t>
  </si>
  <si>
    <t>3. Daniel Eremiáš</t>
  </si>
  <si>
    <t>5. Ondřej Vošta</t>
  </si>
  <si>
    <t>5. Martin Skřivánek</t>
  </si>
  <si>
    <t>1. Mikuláš Komárek</t>
  </si>
  <si>
    <t>2. Jiří Bauer</t>
  </si>
  <si>
    <t>3. Michal Strnad</t>
  </si>
  <si>
    <t>Mikuláš Futschik</t>
  </si>
  <si>
    <t>Daniel Kupec</t>
  </si>
  <si>
    <t>25. 11.</t>
  </si>
  <si>
    <t>V - P - P - V - V - P - VP - P - P - V</t>
  </si>
  <si>
    <t>2. Prokop Ferdan</t>
  </si>
  <si>
    <t>3. Filip Smutný</t>
  </si>
  <si>
    <t>4. Radek Valeš</t>
  </si>
  <si>
    <t>2. Daniel Kupec</t>
  </si>
  <si>
    <t>3. Jan Král</t>
  </si>
  <si>
    <t>4. Mikuláš Futschik</t>
  </si>
  <si>
    <t>5. Jakub Levínský</t>
  </si>
  <si>
    <t>4. Prokop Ferdan</t>
  </si>
  <si>
    <t>4. Daniel Kupec</t>
  </si>
  <si>
    <t>5. Jan Král</t>
  </si>
  <si>
    <t>5. Radek Valeš</t>
  </si>
  <si>
    <t>3. Vojtěch Janeček</t>
  </si>
  <si>
    <t>5. Jan Baudisch</t>
  </si>
  <si>
    <t>9:6</t>
  </si>
  <si>
    <t>P - V - V - V - V - V - P - V - V - V</t>
  </si>
  <si>
    <t>2. Martin Tokoš</t>
  </si>
  <si>
    <t>3. Dominik Beneš</t>
  </si>
  <si>
    <t>4. Patrik Suchánek</t>
  </si>
  <si>
    <t>5. Jakub Bína</t>
  </si>
  <si>
    <t>3,46</t>
  </si>
  <si>
    <t>4. Milan Tomašík</t>
  </si>
  <si>
    <t>3. Daniel Chatrný</t>
  </si>
  <si>
    <t>5. Ladislav Gál</t>
  </si>
  <si>
    <t>5,05</t>
  </si>
  <si>
    <t>2. Michal Sládek</t>
  </si>
  <si>
    <t>3. Šimon Kuczera</t>
  </si>
  <si>
    <t>5. Dominik Klimscha</t>
  </si>
  <si>
    <t>1. Ladislav Gál</t>
  </si>
  <si>
    <t>2. Marcel Jakubec</t>
  </si>
  <si>
    <t>4. Denis Zimmer</t>
  </si>
  <si>
    <t>8:7sn</t>
  </si>
  <si>
    <t>P - V - P - PP - P - P - V - P - VP - V</t>
  </si>
  <si>
    <t>5. Lukáš Petřík</t>
  </si>
  <si>
    <t>6,21</t>
  </si>
  <si>
    <t>2. Ronald Gašparík</t>
  </si>
  <si>
    <t>4. František Vykopal</t>
  </si>
  <si>
    <t>2. Jiří Halama</t>
  </si>
  <si>
    <t>3. Martin Ležatka</t>
  </si>
  <si>
    <t>4. Ronald Gašparík</t>
  </si>
  <si>
    <t>5. Josef Štourač</t>
  </si>
  <si>
    <t>Vojtěch Kaluža</t>
  </si>
  <si>
    <t>1:8</t>
  </si>
  <si>
    <t>P - P - V - P - P - P - PP - P - P - P</t>
  </si>
  <si>
    <t>2. Ivo Teichman</t>
  </si>
  <si>
    <t>3. Matyáš Velc</t>
  </si>
  <si>
    <t>5. Vojtěch Rusin</t>
  </si>
  <si>
    <t>7,79</t>
  </si>
  <si>
    <t>9,42</t>
  </si>
  <si>
    <t>4. Vojtěch Rusin</t>
  </si>
  <si>
    <t>1. Přemek Pakosta</t>
  </si>
  <si>
    <t>2. Adam Šmíd</t>
  </si>
  <si>
    <t>4. Matyáš Velc</t>
  </si>
  <si>
    <t>4. Lukáš Prix</t>
  </si>
  <si>
    <t>5. Patrik Petr</t>
  </si>
  <si>
    <t>1. Mikuláš Krbec</t>
  </si>
  <si>
    <t>5. Dominik Bartoš</t>
  </si>
  <si>
    <t>1. Radim Křenek</t>
  </si>
  <si>
    <t>3. Michal Zeman</t>
  </si>
  <si>
    <t>4. Kristián Kozák</t>
  </si>
  <si>
    <t>5. Mikuláš Krbec</t>
  </si>
  <si>
    <t>3:4sn</t>
  </si>
  <si>
    <t>P - V - V - VP - P - V - V - PP - V - P</t>
  </si>
  <si>
    <t>14:2</t>
  </si>
  <si>
    <t>2. David Šimek</t>
  </si>
  <si>
    <t>4. Matěj Havlas</t>
  </si>
  <si>
    <t>3,81</t>
  </si>
  <si>
    <t>3,10</t>
  </si>
  <si>
    <t>5. Jakub Kolísko</t>
  </si>
  <si>
    <t>2. Tomáš Jurco</t>
  </si>
  <si>
    <t>3. Jan Buzík</t>
  </si>
  <si>
    <t>2. Jakub Kolísko</t>
  </si>
  <si>
    <t>4. Jonáš Kreysa</t>
  </si>
  <si>
    <t>5. Marek Beneš</t>
  </si>
  <si>
    <t>8:1</t>
  </si>
  <si>
    <t>V - P - V - V - P - V - V - V - P - V</t>
  </si>
  <si>
    <t>3. Matyáš Šindler</t>
  </si>
  <si>
    <t>5. Marek Matejčík</t>
  </si>
  <si>
    <t>3,80</t>
  </si>
  <si>
    <t>4,29</t>
  </si>
  <si>
    <t>5. Martin Gattnar</t>
  </si>
  <si>
    <t>2. Marek Matejčík</t>
  </si>
  <si>
    <t>3. Adam Delong</t>
  </si>
  <si>
    <t>2. Filip Čonka-Skyba</t>
  </si>
  <si>
    <t>3. Jiří Besta</t>
  </si>
  <si>
    <t>4. Marek Bräuer</t>
  </si>
  <si>
    <t>5. Šimon Hatala</t>
  </si>
  <si>
    <t>FAT PIPE Florbal Chodov</t>
  </si>
  <si>
    <t>v Otrokovicích 8 bodů (5+3)</t>
  </si>
  <si>
    <t>od 2013 Chodov</t>
  </si>
  <si>
    <t>předtím Bulldogs a Tatran</t>
  </si>
  <si>
    <t>meta 500 bodů v LS</t>
  </si>
  <si>
    <t>4x MS (2014 bronz)</t>
  </si>
  <si>
    <t>3x titul a 3x bronz v LS</t>
  </si>
  <si>
    <t>bronzový tým z minulé sezony</t>
  </si>
  <si>
    <t>v ZČ 20/21 50 b. (33+17)</t>
  </si>
  <si>
    <t>5. nejlepší přesilovka</t>
  </si>
  <si>
    <t>4. nejhorší oslabení</t>
  </si>
  <si>
    <t>4 branky v oslabení (1.)</t>
  </si>
  <si>
    <t>Tomáš Vávra skončil</t>
  </si>
  <si>
    <t>úplně nejhorší v oslabení</t>
  </si>
  <si>
    <t>nejhorší úspěšnost střelby</t>
  </si>
  <si>
    <t>Skřivánek, Komárek, Balatka posily</t>
  </si>
  <si>
    <t>Koutní, Mikeš, Pergler odchdody</t>
  </si>
  <si>
    <t>Kafka, Netrefa, Šmíd, Pergler, Josefovič</t>
  </si>
  <si>
    <t>Ivan Pergler proti svým</t>
  </si>
  <si>
    <t>Jiří Bauer zraněn</t>
  </si>
  <si>
    <t>Ondrušek kapitán repre</t>
  </si>
  <si>
    <t>5 proher v řadě</t>
  </si>
  <si>
    <t>těžký los</t>
  </si>
  <si>
    <t>4x titul a 1x stříbro</t>
  </si>
  <si>
    <t>z toho 1x s Chodovem a 3x s Tatranem</t>
  </si>
  <si>
    <t>jediná výhra proti Chodovu 19/20</t>
  </si>
  <si>
    <t>Skřivánek proti bývalému týmu</t>
  </si>
  <si>
    <t>zraněný Lukáš Lanc</t>
  </si>
  <si>
    <t>28. 10. poslední výhra</t>
  </si>
  <si>
    <t>Petr Musil po absenci zpět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</si>
</sst>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  <font>
      <b/>
      <sz val="13"/>
      <color theme="0"/>
      <name val="Bahnschrift SemiLight Condensed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70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14" fontId="2" fillId="0" borderId="0" xfId="1" applyNumberFormat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left" vertical="center" shrinkToFit="1"/>
      <protection locked="0"/>
    </xf>
    <xf numFmtId="0" fontId="1" fillId="0" borderId="0" xfId="1" applyFont="1" applyAlignment="1" applyProtection="1">
      <alignment vertical="center"/>
      <protection locked="0"/>
    </xf>
    <xf numFmtId="14" fontId="2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left" vertical="center" shrinkToFit="1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 applyProtection="1">
      <alignment horizontal="center" vertical="center"/>
    </xf>
    <xf numFmtId="0" fontId="11" fillId="0" borderId="0" xfId="1" applyFont="1" applyAlignment="1" applyProtection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16" fillId="5" borderId="0" xfId="1" applyFont="1" applyFill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 shrinkToFit="1"/>
    </xf>
    <xf numFmtId="0" fontId="2" fillId="0" borderId="0" xfId="1" applyFont="1" applyBorder="1" applyAlignment="1">
      <alignment vertical="center" shrinkToFit="1"/>
    </xf>
  </cellXfs>
  <cellStyles count="2">
    <cellStyle name="Normální" xfId="0" builtinId="0"/>
    <cellStyle name="Normální 2" xfId="1" xr:uid="{00000000-0005-0000-0000-000001000000}"/>
  </cellStyles>
  <dxfs count="941"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3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1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4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8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7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6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E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0D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10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F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4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3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2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1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7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6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5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8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9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C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B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A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2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1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4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3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8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7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6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5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B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A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9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C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D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30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2F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E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6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5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8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7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90</v>
      </c>
      <c r="D1" s="63" t="s">
        <v>91</v>
      </c>
      <c r="E1" s="63" t="s">
        <v>95</v>
      </c>
      <c r="F1" s="63" t="s">
        <v>96</v>
      </c>
      <c r="G1" s="63" t="s">
        <v>23</v>
      </c>
      <c r="H1" s="63" t="s">
        <v>98</v>
      </c>
      <c r="I1" s="63" t="s">
        <v>22</v>
      </c>
      <c r="J1" s="63" t="s">
        <v>92</v>
      </c>
      <c r="K1" s="63" t="s">
        <v>93</v>
      </c>
      <c r="L1" s="63" t="s">
        <v>97</v>
      </c>
      <c r="M1" s="63" t="s">
        <v>94</v>
      </c>
      <c r="N1" s="63" t="s">
        <v>87</v>
      </c>
      <c r="O1" s="63" t="s">
        <v>89</v>
      </c>
    </row>
    <row r="2" spans="1:15" s="71" customFormat="1" x14ac:dyDescent="0.25">
      <c r="A2" s="108" t="s">
        <v>241</v>
      </c>
      <c r="B2" s="71">
        <f ca="1">IFERROR(COUNTIF(INDIRECT("priprava_" &amp; B$1 &amp; "!$S$2:$S$42"),"?*"),"")</f>
        <v>26</v>
      </c>
      <c r="C2" s="71">
        <f ca="1">IFERROR(COUNTIF(INDIRECT("priprava_" &amp; C$1 &amp; "!$S$2:$S$42"),"?*"),"")</f>
        <v>26</v>
      </c>
      <c r="D2" s="71">
        <f t="shared" ref="D2:O2" ca="1" si="0">IFERROR(COUNTIF(INDIRECT("priprava_" &amp; D$1 &amp; "!$S$2:$S$42"),"?*"),"")</f>
        <v>28</v>
      </c>
      <c r="E2" s="71">
        <f t="shared" ca="1" si="0"/>
        <v>26</v>
      </c>
      <c r="F2" s="71">
        <f t="shared" ca="1" si="0"/>
        <v>27</v>
      </c>
      <c r="G2" s="71">
        <f t="shared" ca="1" si="0"/>
        <v>28</v>
      </c>
      <c r="H2" s="71">
        <f t="shared" ca="1" si="0"/>
        <v>28</v>
      </c>
      <c r="I2" s="71">
        <f t="shared" ca="1" si="0"/>
        <v>22</v>
      </c>
      <c r="J2" s="71">
        <f t="shared" ca="1" si="0"/>
        <v>25</v>
      </c>
      <c r="K2" s="71">
        <f t="shared" ca="1" si="0"/>
        <v>25</v>
      </c>
      <c r="L2" s="71">
        <f t="shared" ca="1" si="0"/>
        <v>22</v>
      </c>
      <c r="M2" s="71">
        <f t="shared" ca="1" si="0"/>
        <v>23</v>
      </c>
      <c r="N2" s="71">
        <f t="shared" ca="1" si="0"/>
        <v>28</v>
      </c>
      <c r="O2" s="71">
        <f t="shared" ca="1" si="0"/>
        <v>27</v>
      </c>
    </row>
    <row r="3" spans="1:15" s="71" customFormat="1" x14ac:dyDescent="0.25">
      <c r="A3" s="108" t="s">
        <v>246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242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2</v>
      </c>
      <c r="D4" s="71">
        <f t="shared" ca="1" si="2"/>
        <v>3</v>
      </c>
      <c r="E4" s="71">
        <f t="shared" ca="1" si="2"/>
        <v>2</v>
      </c>
      <c r="F4" s="71">
        <f t="shared" ca="1" si="2"/>
        <v>2</v>
      </c>
      <c r="G4" s="71">
        <f t="shared" ca="1" si="2"/>
        <v>0</v>
      </c>
      <c r="H4" s="71">
        <f t="shared" ca="1" si="2"/>
        <v>5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4</v>
      </c>
      <c r="M4" s="71">
        <f t="shared" ca="1" si="2"/>
        <v>7</v>
      </c>
      <c r="N4" s="71">
        <f t="shared" ca="1" si="2"/>
        <v>11</v>
      </c>
      <c r="O4" s="71">
        <f t="shared" ca="1" si="2"/>
        <v>9</v>
      </c>
    </row>
    <row r="5" spans="1:15" s="71" customFormat="1" x14ac:dyDescent="0.25">
      <c r="A5" s="108" t="s">
        <v>243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4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2</v>
      </c>
      <c r="H5" s="71">
        <f t="shared" ca="1" si="3"/>
        <v>0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244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4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0</v>
      </c>
      <c r="H6" s="106">
        <f t="shared" ca="1" si="4"/>
        <v>1</v>
      </c>
      <c r="I6" s="106">
        <f t="shared" ca="1" si="4"/>
        <v>1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245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4.5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5</v>
      </c>
      <c r="F7" s="106">
        <f t="shared" ca="1" si="5"/>
        <v>7</v>
      </c>
      <c r="G7" s="106">
        <f t="shared" ca="1" si="5"/>
        <v>2</v>
      </c>
      <c r="H7" s="106">
        <f t="shared" ca="1" si="5"/>
        <v>0</v>
      </c>
      <c r="I7" s="106">
        <f t="shared" ca="1" si="5"/>
        <v>1.5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518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40" priority="14" stopIfTrue="1" operator="greaterThan">
      <formula>40</formula>
    </cfRule>
    <cfRule type="cellIs" dxfId="939" priority="15" stopIfTrue="1" operator="between">
      <formula>35</formula>
      <formula>40</formula>
    </cfRule>
    <cfRule type="cellIs" dxfId="938" priority="16" operator="lessThan">
      <formula>35</formula>
    </cfRule>
  </conditionalFormatting>
  <conditionalFormatting sqref="B3:O3">
    <cfRule type="cellIs" dxfId="937" priority="1" stopIfTrue="1" operator="greaterThan">
      <formula>9</formula>
    </cfRule>
    <cfRule type="cellIs" dxfId="936" priority="11" stopIfTrue="1" operator="between">
      <formula>7</formula>
      <formula>9</formula>
    </cfRule>
    <cfRule type="cellIs" dxfId="935" priority="12" stopIfTrue="1" operator="equal">
      <formula>0</formula>
    </cfRule>
    <cfRule type="cellIs" dxfId="934" priority="13" operator="lessThan">
      <formula>7</formula>
    </cfRule>
  </conditionalFormatting>
  <conditionalFormatting sqref="B5:O7">
    <cfRule type="cellIs" dxfId="933" priority="7" stopIfTrue="1" operator="greaterThan">
      <formula>6</formula>
    </cfRule>
    <cfRule type="cellIs" dxfId="932" priority="8" stopIfTrue="1" operator="between">
      <formula>4</formula>
      <formula>6</formula>
    </cfRule>
    <cfRule type="cellIs" dxfId="931" priority="9" stopIfTrue="1" operator="between">
      <formula>1</formula>
      <formula>3</formula>
    </cfRule>
    <cfRule type="cellIs" dxfId="930" priority="10" operator="lessThan">
      <formula>1</formula>
    </cfRule>
  </conditionalFormatting>
  <conditionalFormatting sqref="B4:O4">
    <cfRule type="cellIs" dxfId="929" priority="4" stopIfTrue="1" operator="greaterThan">
      <formula>2</formula>
    </cfRule>
    <cfRule type="cellIs" dxfId="928" priority="5" stopIfTrue="1" operator="between">
      <formula>1</formula>
      <formula>2</formula>
    </cfRule>
    <cfRule type="cellIs" dxfId="927" priority="6" operator="lessThan">
      <formula>1</formula>
    </cfRule>
  </conditionalFormatting>
  <conditionalFormatting sqref="B8:O8">
    <cfRule type="cellIs" dxfId="926" priority="2" stopIfTrue="1" operator="greaterThan">
      <formula>0</formula>
    </cfRule>
    <cfRule type="cellIs" dxfId="925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>
      <selection activeCell="B11" sqref="B11"/>
    </sheetView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46</v>
      </c>
      <c r="B1" s="66" t="s">
        <v>47</v>
      </c>
      <c r="C1" s="75" t="s">
        <v>48</v>
      </c>
      <c r="D1" s="75" t="s">
        <v>25</v>
      </c>
      <c r="E1" s="75" t="s">
        <v>49</v>
      </c>
      <c r="F1" s="75" t="s">
        <v>50</v>
      </c>
      <c r="G1" s="75" t="s">
        <v>26</v>
      </c>
      <c r="H1" s="77" t="s">
        <v>41</v>
      </c>
      <c r="I1" s="75" t="s">
        <v>51</v>
      </c>
      <c r="J1" s="75" t="s">
        <v>52</v>
      </c>
      <c r="K1" s="75" t="s">
        <v>53</v>
      </c>
      <c r="L1" s="75" t="s">
        <v>50</v>
      </c>
      <c r="M1" s="75" t="s">
        <v>54</v>
      </c>
      <c r="N1" s="75" t="s">
        <v>55</v>
      </c>
      <c r="O1" s="74" t="s">
        <v>56</v>
      </c>
      <c r="P1" s="75" t="s">
        <v>57</v>
      </c>
      <c r="Q1" s="75" t="s">
        <v>58</v>
      </c>
      <c r="R1" s="75" t="s">
        <v>59</v>
      </c>
      <c r="S1" s="74" t="s">
        <v>60</v>
      </c>
      <c r="T1" s="75" t="s">
        <v>30</v>
      </c>
      <c r="U1" s="75" t="s">
        <v>61</v>
      </c>
      <c r="V1" s="73" t="s">
        <v>62</v>
      </c>
      <c r="W1" s="69" t="s">
        <v>85</v>
      </c>
      <c r="X1" s="71" t="s">
        <v>77</v>
      </c>
      <c r="Y1" s="71" t="s">
        <v>25</v>
      </c>
      <c r="Z1" s="71" t="s">
        <v>49</v>
      </c>
      <c r="AA1" s="71" t="s">
        <v>50</v>
      </c>
      <c r="AB1" s="71" t="s">
        <v>26</v>
      </c>
      <c r="AC1" s="71" t="s">
        <v>41</v>
      </c>
      <c r="AD1" s="71" t="s">
        <v>51</v>
      </c>
      <c r="AE1" s="71" t="s">
        <v>52</v>
      </c>
      <c r="AF1" s="71" t="s">
        <v>53</v>
      </c>
      <c r="AG1" s="71" t="s">
        <v>50</v>
      </c>
      <c r="AH1" s="71" t="s">
        <v>54</v>
      </c>
      <c r="AI1" s="71" t="s">
        <v>55</v>
      </c>
      <c r="AJ1" s="70" t="s">
        <v>56</v>
      </c>
      <c r="AK1" s="71" t="s">
        <v>57</v>
      </c>
      <c r="AL1" s="71" t="s">
        <v>58</v>
      </c>
      <c r="AM1" s="71" t="s">
        <v>59</v>
      </c>
      <c r="AN1" s="70" t="s">
        <v>60</v>
      </c>
      <c r="AO1" s="71">
        <v>2</v>
      </c>
      <c r="AP1" s="71">
        <v>5</v>
      </c>
      <c r="AQ1" s="71">
        <v>10</v>
      </c>
      <c r="AR1" s="71" t="s">
        <v>79</v>
      </c>
      <c r="AS1" s="71" t="s">
        <v>80</v>
      </c>
      <c r="AT1" s="71" t="s">
        <v>81</v>
      </c>
      <c r="AU1" s="71" t="s">
        <v>30</v>
      </c>
      <c r="AV1" s="71" t="s">
        <v>61</v>
      </c>
      <c r="AW1" s="70" t="s">
        <v>62</v>
      </c>
      <c r="AX1" s="71" t="s">
        <v>82</v>
      </c>
      <c r="AY1" s="71" t="s">
        <v>83</v>
      </c>
      <c r="AZ1" s="71" t="s">
        <v>84</v>
      </c>
      <c r="BA1" s="3" t="s">
        <v>85</v>
      </c>
      <c r="BB1" s="62" t="s">
        <v>86</v>
      </c>
      <c r="BC1" s="62" t="s">
        <v>1130</v>
      </c>
      <c r="BD1" s="62" t="s">
        <v>1131</v>
      </c>
      <c r="BE1" s="62" t="s">
        <v>1132</v>
      </c>
      <c r="BF1" s="62" t="s">
        <v>1133</v>
      </c>
      <c r="BG1" s="62" t="s">
        <v>99</v>
      </c>
      <c r="BH1" s="62" t="s">
        <v>100</v>
      </c>
      <c r="BI1" s="62" t="s">
        <v>101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16</v>
      </c>
      <c r="D2" s="76">
        <f t="shared" si="0"/>
        <v>14</v>
      </c>
      <c r="E2" s="76">
        <f t="shared" si="0"/>
        <v>0</v>
      </c>
      <c r="F2" s="76">
        <f t="shared" si="0"/>
        <v>0</v>
      </c>
      <c r="G2" s="76">
        <f t="shared" si="0"/>
        <v>2</v>
      </c>
      <c r="H2" s="78">
        <f t="shared" si="0"/>
        <v>42</v>
      </c>
      <c r="I2" s="76">
        <f t="shared" si="0"/>
        <v>121</v>
      </c>
      <c r="J2" s="76">
        <f t="shared" si="0"/>
        <v>60</v>
      </c>
      <c r="K2" s="76">
        <f t="shared" si="0"/>
        <v>61</v>
      </c>
      <c r="L2" s="76">
        <f t="shared" si="0"/>
        <v>34</v>
      </c>
      <c r="M2" s="76">
        <f t="shared" si="0"/>
        <v>20</v>
      </c>
      <c r="N2" s="76">
        <f t="shared" si="0"/>
        <v>1</v>
      </c>
      <c r="O2" s="67">
        <f t="shared" si="0"/>
        <v>58.82</v>
      </c>
      <c r="P2" s="76">
        <f t="shared" si="0"/>
        <v>25</v>
      </c>
      <c r="Q2" s="76">
        <f t="shared" si="0"/>
        <v>6</v>
      </c>
      <c r="R2" s="76">
        <f t="shared" si="0"/>
        <v>3</v>
      </c>
      <c r="S2" s="67">
        <f t="shared" si="0"/>
        <v>76</v>
      </c>
      <c r="T2" s="76">
        <f>AU2</f>
        <v>64</v>
      </c>
      <c r="U2" s="76">
        <f t="shared" ref="U2:V2" si="1">AV2</f>
        <v>446</v>
      </c>
      <c r="V2" s="68">
        <f t="shared" si="1"/>
        <v>27.13</v>
      </c>
      <c r="W2" s="72" t="s">
        <v>63</v>
      </c>
      <c r="X2" s="71">
        <v>16</v>
      </c>
      <c r="Y2" s="71">
        <v>14</v>
      </c>
      <c r="Z2" s="71">
        <v>0</v>
      </c>
      <c r="AA2" s="71">
        <v>0</v>
      </c>
      <c r="AB2" s="71">
        <v>2</v>
      </c>
      <c r="AC2" s="71">
        <v>42</v>
      </c>
      <c r="AD2" s="71">
        <v>121</v>
      </c>
      <c r="AE2" s="71">
        <v>60</v>
      </c>
      <c r="AF2" s="71">
        <v>61</v>
      </c>
      <c r="AG2" s="71">
        <v>34</v>
      </c>
      <c r="AH2" s="71">
        <v>20</v>
      </c>
      <c r="AI2" s="71">
        <v>1</v>
      </c>
      <c r="AJ2" s="70">
        <v>58.82</v>
      </c>
      <c r="AK2" s="71">
        <v>25</v>
      </c>
      <c r="AL2" s="71">
        <v>6</v>
      </c>
      <c r="AM2" s="71">
        <v>3</v>
      </c>
      <c r="AN2" s="70">
        <v>76</v>
      </c>
      <c r="AO2" s="71">
        <v>27</v>
      </c>
      <c r="AP2" s="71">
        <v>0</v>
      </c>
      <c r="AQ2" s="71">
        <v>1</v>
      </c>
      <c r="AR2" s="71">
        <v>0</v>
      </c>
      <c r="AS2" s="71">
        <v>0</v>
      </c>
      <c r="AT2" s="71">
        <v>0</v>
      </c>
      <c r="AU2" s="71">
        <v>64</v>
      </c>
      <c r="AV2" s="71">
        <v>446</v>
      </c>
      <c r="AW2" s="70">
        <v>27.13</v>
      </c>
      <c r="AX2" s="71">
        <v>1111</v>
      </c>
      <c r="AY2" s="71">
        <v>1558</v>
      </c>
      <c r="AZ2" s="71">
        <v>167</v>
      </c>
      <c r="BA2" s="3" t="s">
        <v>65</v>
      </c>
      <c r="BB2" s="62" t="s">
        <v>89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3.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5.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3</v>
      </c>
      <c r="BH2" s="62">
        <f>_xlfn.RANK.EQ(VLOOKUP(BA2,$B$2:$V$15,18,FALSE),$S$2:$S$15,0)</f>
        <v>5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16</v>
      </c>
      <c r="D3" s="76">
        <f t="shared" ref="D3:D15" si="5">Y3</f>
        <v>12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2</v>
      </c>
      <c r="H3" s="78">
        <f t="shared" ref="H3:H15" si="9">AC3</f>
        <v>40</v>
      </c>
      <c r="I3" s="76">
        <f t="shared" ref="I3:I15" si="10">AD3</f>
        <v>117</v>
      </c>
      <c r="J3" s="76">
        <f t="shared" ref="J3:J15" si="11">AE3</f>
        <v>54</v>
      </c>
      <c r="K3" s="76">
        <f t="shared" ref="K3:K15" si="12">AF3</f>
        <v>63</v>
      </c>
      <c r="L3" s="76">
        <f t="shared" ref="L3:L15" si="13">AG3</f>
        <v>21</v>
      </c>
      <c r="M3" s="76">
        <f t="shared" ref="M3:M15" si="14">AH3</f>
        <v>10</v>
      </c>
      <c r="N3" s="76">
        <f t="shared" ref="N3:N15" si="15">AI3</f>
        <v>1</v>
      </c>
      <c r="O3" s="67">
        <f t="shared" ref="O3:O15" si="16">AJ3</f>
        <v>47.62</v>
      </c>
      <c r="P3" s="76">
        <f t="shared" ref="P3:P15" si="17">AK3</f>
        <v>23</v>
      </c>
      <c r="Q3" s="76">
        <f t="shared" ref="Q3:Q15" si="18">AL3</f>
        <v>6</v>
      </c>
      <c r="R3" s="76">
        <f t="shared" ref="R3:R15" si="19">AM3</f>
        <v>1</v>
      </c>
      <c r="S3" s="67">
        <f t="shared" ref="S3:S15" si="20">AN3</f>
        <v>73.91</v>
      </c>
      <c r="T3" s="76">
        <f t="shared" ref="T3:T15" si="21">AU3</f>
        <v>56</v>
      </c>
      <c r="U3" s="76">
        <f t="shared" ref="U3:U15" si="22">AV3</f>
        <v>424</v>
      </c>
      <c r="V3" s="68">
        <f t="shared" ref="V3:V15" si="23">AW3</f>
        <v>27.59</v>
      </c>
      <c r="W3" s="72" t="s">
        <v>64</v>
      </c>
      <c r="X3" s="71">
        <v>16</v>
      </c>
      <c r="Y3" s="71">
        <v>12</v>
      </c>
      <c r="Z3" s="71">
        <v>2</v>
      </c>
      <c r="AA3" s="71">
        <v>0</v>
      </c>
      <c r="AB3" s="71">
        <v>2</v>
      </c>
      <c r="AC3" s="71">
        <v>40</v>
      </c>
      <c r="AD3" s="71">
        <v>117</v>
      </c>
      <c r="AE3" s="71">
        <v>54</v>
      </c>
      <c r="AF3" s="71">
        <v>63</v>
      </c>
      <c r="AG3" s="71">
        <v>21</v>
      </c>
      <c r="AH3" s="71">
        <v>10</v>
      </c>
      <c r="AI3" s="71">
        <v>1</v>
      </c>
      <c r="AJ3" s="70">
        <v>47.62</v>
      </c>
      <c r="AK3" s="71">
        <v>23</v>
      </c>
      <c r="AL3" s="71">
        <v>6</v>
      </c>
      <c r="AM3" s="71">
        <v>1</v>
      </c>
      <c r="AN3" s="70">
        <v>73.91</v>
      </c>
      <c r="AO3" s="71">
        <v>28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56</v>
      </c>
      <c r="AV3" s="71">
        <v>424</v>
      </c>
      <c r="AW3" s="70">
        <v>27.59</v>
      </c>
      <c r="AX3" s="71">
        <v>2245</v>
      </c>
      <c r="AY3" s="71">
        <v>971</v>
      </c>
      <c r="AZ3" s="71">
        <v>201</v>
      </c>
      <c r="BA3" s="3" t="s">
        <v>71</v>
      </c>
      <c r="BB3" s="62" t="s">
        <v>94</v>
      </c>
      <c r="BC3" s="62">
        <f t="shared" ref="BC3:BC15" si="24">MATCH(BA3,$B$2:$B$15,0)</f>
        <v>6</v>
      </c>
      <c r="BD3" s="62" t="str">
        <f t="shared" si="2"/>
        <v>7.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6.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12.</v>
      </c>
      <c r="BG3" s="62">
        <f t="shared" ref="BG3:BG15" si="27">_xlfn.RANK.EQ(VLOOKUP(BA3,$B$2:$V$15,14,FALSE),$O$2:$O$15,0)</f>
        <v>7</v>
      </c>
      <c r="BH3" s="62">
        <f t="shared" ref="BH3:BH15" si="28">_xlfn.RANK.EQ(VLOOKUP(BA3,$B$2:$V$15,18,FALSE),$S$2:$S$15,0)</f>
        <v>6</v>
      </c>
      <c r="BI3" s="62">
        <f>_xlfn.RANK.EQ(VLOOKUP(BA3,$B$2:$V$16,19,FALSE),$T$2:$T$15,1)</f>
        <v>12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16</v>
      </c>
      <c r="D4" s="76">
        <f t="shared" si="5"/>
        <v>12</v>
      </c>
      <c r="E4" s="76">
        <f t="shared" si="6"/>
        <v>0</v>
      </c>
      <c r="F4" s="76">
        <f t="shared" si="7"/>
        <v>0</v>
      </c>
      <c r="G4" s="76">
        <f t="shared" si="8"/>
        <v>4</v>
      </c>
      <c r="H4" s="78">
        <f t="shared" si="9"/>
        <v>36</v>
      </c>
      <c r="I4" s="76">
        <f t="shared" si="10"/>
        <v>120</v>
      </c>
      <c r="J4" s="76">
        <f t="shared" si="11"/>
        <v>67</v>
      </c>
      <c r="K4" s="76">
        <f t="shared" si="12"/>
        <v>53</v>
      </c>
      <c r="L4" s="76">
        <f t="shared" si="13"/>
        <v>21</v>
      </c>
      <c r="M4" s="76">
        <f t="shared" si="14"/>
        <v>11</v>
      </c>
      <c r="N4" s="76">
        <f t="shared" si="15"/>
        <v>0</v>
      </c>
      <c r="O4" s="67">
        <f t="shared" si="16"/>
        <v>52.38</v>
      </c>
      <c r="P4" s="76">
        <f t="shared" si="17"/>
        <v>15</v>
      </c>
      <c r="Q4" s="76">
        <f t="shared" si="18"/>
        <v>5</v>
      </c>
      <c r="R4" s="76">
        <f t="shared" si="19"/>
        <v>1</v>
      </c>
      <c r="S4" s="67">
        <f t="shared" si="20"/>
        <v>66.67</v>
      </c>
      <c r="T4" s="76">
        <f t="shared" si="21"/>
        <v>34</v>
      </c>
      <c r="U4" s="76">
        <f t="shared" si="22"/>
        <v>412</v>
      </c>
      <c r="V4" s="68">
        <f t="shared" si="23"/>
        <v>29.13</v>
      </c>
      <c r="W4" s="72" t="s">
        <v>65</v>
      </c>
      <c r="X4" s="71">
        <v>16</v>
      </c>
      <c r="Y4" s="71">
        <v>12</v>
      </c>
      <c r="Z4" s="71">
        <v>0</v>
      </c>
      <c r="AA4" s="71">
        <v>0</v>
      </c>
      <c r="AB4" s="71">
        <v>4</v>
      </c>
      <c r="AC4" s="71">
        <v>36</v>
      </c>
      <c r="AD4" s="71">
        <v>120</v>
      </c>
      <c r="AE4" s="71">
        <v>67</v>
      </c>
      <c r="AF4" s="71">
        <v>53</v>
      </c>
      <c r="AG4" s="71">
        <v>21</v>
      </c>
      <c r="AH4" s="71">
        <v>11</v>
      </c>
      <c r="AI4" s="71">
        <v>0</v>
      </c>
      <c r="AJ4" s="70">
        <v>52.38</v>
      </c>
      <c r="AK4" s="71">
        <v>15</v>
      </c>
      <c r="AL4" s="71">
        <v>5</v>
      </c>
      <c r="AM4" s="71">
        <v>1</v>
      </c>
      <c r="AN4" s="70">
        <v>66.67</v>
      </c>
      <c r="AO4" s="71">
        <v>17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34</v>
      </c>
      <c r="AV4" s="71">
        <v>412</v>
      </c>
      <c r="AW4" s="70">
        <v>29.13</v>
      </c>
      <c r="AX4" s="71">
        <v>1115</v>
      </c>
      <c r="AY4" s="71">
        <v>1791</v>
      </c>
      <c r="AZ4" s="71">
        <v>182</v>
      </c>
      <c r="BA4" s="3" t="s">
        <v>66</v>
      </c>
      <c r="BB4" s="62" t="s">
        <v>90</v>
      </c>
      <c r="BC4" s="62">
        <f t="shared" si="24"/>
        <v>7</v>
      </c>
      <c r="BD4" s="62" t="str">
        <f t="shared" si="2"/>
        <v>6.</v>
      </c>
      <c r="BE4" s="62" t="str">
        <f t="shared" si="25"/>
        <v>8.</v>
      </c>
      <c r="BF4" s="62" t="str">
        <f t="shared" si="26"/>
        <v>11.</v>
      </c>
      <c r="BG4" s="62">
        <f t="shared" si="27"/>
        <v>6</v>
      </c>
      <c r="BH4" s="62">
        <f t="shared" si="28"/>
        <v>8</v>
      </c>
      <c r="BI4" s="62">
        <f t="shared" ref="BI4:BI15" si="29">_xlfn.RANK.EQ(VLOOKUP(BA4,$B$2:$V$16,19,FALSE),$T$2:$T$15,1)</f>
        <v>11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16</v>
      </c>
      <c r="D5" s="76">
        <f t="shared" si="5"/>
        <v>11</v>
      </c>
      <c r="E5" s="76">
        <f t="shared" si="6"/>
        <v>0</v>
      </c>
      <c r="F5" s="76">
        <f t="shared" si="7"/>
        <v>2</v>
      </c>
      <c r="G5" s="76">
        <f t="shared" si="8"/>
        <v>3</v>
      </c>
      <c r="H5" s="78">
        <f t="shared" si="9"/>
        <v>35</v>
      </c>
      <c r="I5" s="76">
        <f t="shared" si="10"/>
        <v>100</v>
      </c>
      <c r="J5" s="76">
        <f t="shared" si="11"/>
        <v>74</v>
      </c>
      <c r="K5" s="76">
        <f t="shared" si="12"/>
        <v>26</v>
      </c>
      <c r="L5" s="76">
        <f t="shared" si="13"/>
        <v>50</v>
      </c>
      <c r="M5" s="76">
        <f t="shared" si="14"/>
        <v>17</v>
      </c>
      <c r="N5" s="76">
        <f t="shared" si="15"/>
        <v>2</v>
      </c>
      <c r="O5" s="67">
        <f t="shared" si="16"/>
        <v>34</v>
      </c>
      <c r="P5" s="76">
        <f t="shared" si="17"/>
        <v>23</v>
      </c>
      <c r="Q5" s="76">
        <f t="shared" si="18"/>
        <v>4</v>
      </c>
      <c r="R5" s="76">
        <f t="shared" si="19"/>
        <v>3</v>
      </c>
      <c r="S5" s="67">
        <f t="shared" si="20"/>
        <v>82.61</v>
      </c>
      <c r="T5" s="76">
        <f t="shared" si="21"/>
        <v>50</v>
      </c>
      <c r="U5" s="76">
        <f t="shared" si="22"/>
        <v>439</v>
      </c>
      <c r="V5" s="68">
        <f t="shared" si="23"/>
        <v>22.78</v>
      </c>
      <c r="W5" s="72" t="s">
        <v>67</v>
      </c>
      <c r="X5" s="71">
        <v>16</v>
      </c>
      <c r="Y5" s="71">
        <v>11</v>
      </c>
      <c r="Z5" s="71">
        <v>0</v>
      </c>
      <c r="AA5" s="71">
        <v>2</v>
      </c>
      <c r="AB5" s="71">
        <v>3</v>
      </c>
      <c r="AC5" s="71">
        <v>35</v>
      </c>
      <c r="AD5" s="71">
        <v>100</v>
      </c>
      <c r="AE5" s="71">
        <v>74</v>
      </c>
      <c r="AF5" s="71">
        <v>26</v>
      </c>
      <c r="AG5" s="71">
        <v>50</v>
      </c>
      <c r="AH5" s="71">
        <v>17</v>
      </c>
      <c r="AI5" s="71">
        <v>2</v>
      </c>
      <c r="AJ5" s="70">
        <v>34</v>
      </c>
      <c r="AK5" s="71">
        <v>23</v>
      </c>
      <c r="AL5" s="71">
        <v>4</v>
      </c>
      <c r="AM5" s="71">
        <v>3</v>
      </c>
      <c r="AN5" s="70">
        <v>82.61</v>
      </c>
      <c r="AO5" s="71">
        <v>25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50</v>
      </c>
      <c r="AV5" s="71">
        <v>439</v>
      </c>
      <c r="AW5" s="70">
        <v>22.78</v>
      </c>
      <c r="AX5" s="71">
        <v>1461</v>
      </c>
      <c r="AY5" s="71">
        <v>1152</v>
      </c>
      <c r="AZ5" s="71">
        <v>163</v>
      </c>
      <c r="BA5" s="3" t="s">
        <v>69</v>
      </c>
      <c r="BB5" s="62" t="s">
        <v>23</v>
      </c>
      <c r="BC5" s="62">
        <f t="shared" si="24"/>
        <v>5</v>
      </c>
      <c r="BD5" s="62" t="str">
        <f t="shared" si="2"/>
        <v>5.</v>
      </c>
      <c r="BE5" s="62" t="str">
        <f t="shared" si="25"/>
        <v>11.</v>
      </c>
      <c r="BF5" s="62" t="str">
        <f t="shared" si="26"/>
        <v>9.</v>
      </c>
      <c r="BG5" s="62">
        <f t="shared" si="27"/>
        <v>5</v>
      </c>
      <c r="BH5" s="62">
        <f t="shared" si="28"/>
        <v>11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16</v>
      </c>
      <c r="D6" s="76">
        <f t="shared" si="5"/>
        <v>9</v>
      </c>
      <c r="E6" s="76">
        <f t="shared" si="6"/>
        <v>1</v>
      </c>
      <c r="F6" s="76">
        <f t="shared" si="7"/>
        <v>2</v>
      </c>
      <c r="G6" s="76">
        <f t="shared" si="8"/>
        <v>4</v>
      </c>
      <c r="H6" s="78">
        <f t="shared" si="9"/>
        <v>31</v>
      </c>
      <c r="I6" s="76">
        <f t="shared" si="10"/>
        <v>117</v>
      </c>
      <c r="J6" s="76">
        <f t="shared" si="11"/>
        <v>94</v>
      </c>
      <c r="K6" s="76">
        <f t="shared" si="12"/>
        <v>23</v>
      </c>
      <c r="L6" s="76">
        <f t="shared" si="13"/>
        <v>28</v>
      </c>
      <c r="M6" s="76">
        <f t="shared" si="14"/>
        <v>13</v>
      </c>
      <c r="N6" s="76">
        <f t="shared" si="15"/>
        <v>0</v>
      </c>
      <c r="O6" s="67">
        <f t="shared" si="16"/>
        <v>46.43</v>
      </c>
      <c r="P6" s="76">
        <f t="shared" si="17"/>
        <v>34</v>
      </c>
      <c r="Q6" s="76">
        <f t="shared" si="18"/>
        <v>16</v>
      </c>
      <c r="R6" s="76">
        <f t="shared" si="19"/>
        <v>4</v>
      </c>
      <c r="S6" s="67">
        <f t="shared" si="20"/>
        <v>52.94</v>
      </c>
      <c r="T6" s="76">
        <f t="shared" si="21"/>
        <v>68</v>
      </c>
      <c r="U6" s="76">
        <f t="shared" si="22"/>
        <v>438</v>
      </c>
      <c r="V6" s="68">
        <f t="shared" si="23"/>
        <v>26.71</v>
      </c>
      <c r="W6" s="72" t="s">
        <v>69</v>
      </c>
      <c r="X6" s="71">
        <v>16</v>
      </c>
      <c r="Y6" s="71">
        <v>9</v>
      </c>
      <c r="Z6" s="71">
        <v>1</v>
      </c>
      <c r="AA6" s="71">
        <v>2</v>
      </c>
      <c r="AB6" s="71">
        <v>4</v>
      </c>
      <c r="AC6" s="71">
        <v>31</v>
      </c>
      <c r="AD6" s="71">
        <v>117</v>
      </c>
      <c r="AE6" s="71">
        <v>94</v>
      </c>
      <c r="AF6" s="71">
        <v>23</v>
      </c>
      <c r="AG6" s="71">
        <v>28</v>
      </c>
      <c r="AH6" s="71">
        <v>13</v>
      </c>
      <c r="AI6" s="71">
        <v>0</v>
      </c>
      <c r="AJ6" s="70">
        <v>46.43</v>
      </c>
      <c r="AK6" s="71">
        <v>34</v>
      </c>
      <c r="AL6" s="71">
        <v>16</v>
      </c>
      <c r="AM6" s="71">
        <v>4</v>
      </c>
      <c r="AN6" s="70">
        <v>52.94</v>
      </c>
      <c r="AO6" s="71">
        <v>34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68</v>
      </c>
      <c r="AV6" s="71">
        <v>438</v>
      </c>
      <c r="AW6" s="70">
        <v>26.71</v>
      </c>
      <c r="AX6" s="71">
        <v>1230</v>
      </c>
      <c r="AY6" s="71">
        <v>1428</v>
      </c>
      <c r="AZ6" s="71">
        <v>166</v>
      </c>
      <c r="BA6" s="3" t="s">
        <v>72</v>
      </c>
      <c r="BB6" s="62" t="s">
        <v>95</v>
      </c>
      <c r="BC6" s="62">
        <f t="shared" si="24"/>
        <v>13</v>
      </c>
      <c r="BD6" s="62" t="str">
        <f t="shared" si="2"/>
        <v>14.</v>
      </c>
      <c r="BE6" s="62" t="str">
        <f t="shared" si="25"/>
        <v>13.</v>
      </c>
      <c r="BF6" s="62" t="str">
        <f t="shared" si="26"/>
        <v>14.</v>
      </c>
      <c r="BG6" s="62">
        <f t="shared" si="27"/>
        <v>14</v>
      </c>
      <c r="BH6" s="62">
        <f t="shared" si="28"/>
        <v>13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16</v>
      </c>
      <c r="D7" s="76">
        <f t="shared" si="5"/>
        <v>9</v>
      </c>
      <c r="E7" s="76">
        <f t="shared" si="6"/>
        <v>1</v>
      </c>
      <c r="F7" s="76">
        <f t="shared" si="7"/>
        <v>1</v>
      </c>
      <c r="G7" s="76">
        <f t="shared" si="8"/>
        <v>5</v>
      </c>
      <c r="H7" s="78">
        <f t="shared" si="9"/>
        <v>30</v>
      </c>
      <c r="I7" s="76">
        <f t="shared" si="10"/>
        <v>100</v>
      </c>
      <c r="J7" s="76">
        <f t="shared" si="11"/>
        <v>78</v>
      </c>
      <c r="K7" s="76">
        <f t="shared" si="12"/>
        <v>22</v>
      </c>
      <c r="L7" s="76">
        <f t="shared" si="13"/>
        <v>22</v>
      </c>
      <c r="M7" s="76">
        <f t="shared" si="14"/>
        <v>9</v>
      </c>
      <c r="N7" s="76">
        <f t="shared" si="15"/>
        <v>1</v>
      </c>
      <c r="O7" s="67">
        <f t="shared" si="16"/>
        <v>40.909999999999997</v>
      </c>
      <c r="P7" s="76">
        <f t="shared" si="17"/>
        <v>29</v>
      </c>
      <c r="Q7" s="76">
        <f t="shared" si="18"/>
        <v>11</v>
      </c>
      <c r="R7" s="76">
        <f t="shared" si="19"/>
        <v>3</v>
      </c>
      <c r="S7" s="67">
        <f t="shared" si="20"/>
        <v>62.07</v>
      </c>
      <c r="T7" s="76">
        <f t="shared" si="21"/>
        <v>85</v>
      </c>
      <c r="U7" s="76">
        <f t="shared" si="22"/>
        <v>396</v>
      </c>
      <c r="V7" s="68">
        <f t="shared" si="23"/>
        <v>25.25</v>
      </c>
      <c r="W7" s="72" t="s">
        <v>71</v>
      </c>
      <c r="X7" s="71">
        <v>16</v>
      </c>
      <c r="Y7" s="71">
        <v>9</v>
      </c>
      <c r="Z7" s="71">
        <v>1</v>
      </c>
      <c r="AA7" s="71">
        <v>1</v>
      </c>
      <c r="AB7" s="71">
        <v>5</v>
      </c>
      <c r="AC7" s="71">
        <v>30</v>
      </c>
      <c r="AD7" s="71">
        <v>100</v>
      </c>
      <c r="AE7" s="71">
        <v>78</v>
      </c>
      <c r="AF7" s="71">
        <v>22</v>
      </c>
      <c r="AG7" s="71">
        <v>22</v>
      </c>
      <c r="AH7" s="71">
        <v>9</v>
      </c>
      <c r="AI7" s="71">
        <v>1</v>
      </c>
      <c r="AJ7" s="70">
        <v>40.909999999999997</v>
      </c>
      <c r="AK7" s="71">
        <v>29</v>
      </c>
      <c r="AL7" s="71">
        <v>11</v>
      </c>
      <c r="AM7" s="71">
        <v>3</v>
      </c>
      <c r="AN7" s="70">
        <v>62.07</v>
      </c>
      <c r="AO7" s="71">
        <v>30</v>
      </c>
      <c r="AP7" s="71">
        <v>1</v>
      </c>
      <c r="AQ7" s="71">
        <v>0</v>
      </c>
      <c r="AR7" s="71">
        <v>1</v>
      </c>
      <c r="AS7" s="71">
        <v>0</v>
      </c>
      <c r="AT7" s="71">
        <v>0</v>
      </c>
      <c r="AU7" s="71">
        <v>85</v>
      </c>
      <c r="AV7" s="71">
        <v>396</v>
      </c>
      <c r="AW7" s="70">
        <v>25.25</v>
      </c>
      <c r="AX7" s="71">
        <v>2058</v>
      </c>
      <c r="AY7" s="71">
        <v>1490</v>
      </c>
      <c r="AZ7" s="71">
        <v>222</v>
      </c>
      <c r="BA7" s="3" t="s">
        <v>68</v>
      </c>
      <c r="BB7" s="62" t="s">
        <v>92</v>
      </c>
      <c r="BC7" s="62" t="e">
        <f t="shared" si="24"/>
        <v>#N/A</v>
      </c>
      <c r="BD7" s="62" t="e">
        <f t="shared" si="2"/>
        <v>#N/A</v>
      </c>
      <c r="BE7" s="62" t="e">
        <f t="shared" si="25"/>
        <v>#N/A</v>
      </c>
      <c r="BF7" s="62" t="e">
        <f t="shared" si="26"/>
        <v>#N/A</v>
      </c>
      <c r="BG7" s="62" t="e">
        <f t="shared" si="27"/>
        <v>#N/A</v>
      </c>
      <c r="BH7" s="62" t="e">
        <f t="shared" si="28"/>
        <v>#N/A</v>
      </c>
      <c r="BI7" s="62" t="e">
        <f t="shared" si="29"/>
        <v>#N/A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16</v>
      </c>
      <c r="D8" s="76">
        <f t="shared" si="5"/>
        <v>7</v>
      </c>
      <c r="E8" s="76">
        <f t="shared" si="6"/>
        <v>2</v>
      </c>
      <c r="F8" s="76">
        <f t="shared" si="7"/>
        <v>2</v>
      </c>
      <c r="G8" s="76">
        <f t="shared" si="8"/>
        <v>5</v>
      </c>
      <c r="H8" s="78">
        <f t="shared" si="9"/>
        <v>27</v>
      </c>
      <c r="I8" s="76">
        <f t="shared" si="10"/>
        <v>102</v>
      </c>
      <c r="J8" s="76">
        <f t="shared" si="11"/>
        <v>93</v>
      </c>
      <c r="K8" s="76">
        <f t="shared" si="12"/>
        <v>9</v>
      </c>
      <c r="L8" s="76">
        <f t="shared" si="13"/>
        <v>34</v>
      </c>
      <c r="M8" s="76">
        <f t="shared" si="14"/>
        <v>15</v>
      </c>
      <c r="N8" s="76">
        <f t="shared" si="15"/>
        <v>1</v>
      </c>
      <c r="O8" s="67">
        <f t="shared" si="16"/>
        <v>44.12</v>
      </c>
      <c r="P8" s="76">
        <f t="shared" si="17"/>
        <v>35</v>
      </c>
      <c r="Q8" s="76">
        <f t="shared" si="18"/>
        <v>15</v>
      </c>
      <c r="R8" s="76">
        <f t="shared" si="19"/>
        <v>0</v>
      </c>
      <c r="S8" s="67">
        <f t="shared" si="20"/>
        <v>57.14</v>
      </c>
      <c r="T8" s="76">
        <f t="shared" si="21"/>
        <v>84</v>
      </c>
      <c r="U8" s="76">
        <f t="shared" si="22"/>
        <v>359</v>
      </c>
      <c r="V8" s="68">
        <f t="shared" si="23"/>
        <v>28.41</v>
      </c>
      <c r="W8" s="72" t="s">
        <v>66</v>
      </c>
      <c r="X8" s="71">
        <v>16</v>
      </c>
      <c r="Y8" s="71">
        <v>7</v>
      </c>
      <c r="Z8" s="71">
        <v>2</v>
      </c>
      <c r="AA8" s="71">
        <v>2</v>
      </c>
      <c r="AB8" s="71">
        <v>5</v>
      </c>
      <c r="AC8" s="71">
        <v>27</v>
      </c>
      <c r="AD8" s="71">
        <v>102</v>
      </c>
      <c r="AE8" s="71">
        <v>93</v>
      </c>
      <c r="AF8" s="71">
        <v>9</v>
      </c>
      <c r="AG8" s="71">
        <v>34</v>
      </c>
      <c r="AH8" s="71">
        <v>15</v>
      </c>
      <c r="AI8" s="71">
        <v>1</v>
      </c>
      <c r="AJ8" s="70">
        <v>44.12</v>
      </c>
      <c r="AK8" s="71">
        <v>35</v>
      </c>
      <c r="AL8" s="71">
        <v>15</v>
      </c>
      <c r="AM8" s="71">
        <v>0</v>
      </c>
      <c r="AN8" s="70">
        <v>57.14</v>
      </c>
      <c r="AO8" s="71">
        <v>42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84</v>
      </c>
      <c r="AV8" s="71">
        <v>359</v>
      </c>
      <c r="AW8" s="70">
        <v>28.41</v>
      </c>
      <c r="AX8" s="71">
        <v>955</v>
      </c>
      <c r="AY8" s="71">
        <v>1398</v>
      </c>
      <c r="AZ8" s="71">
        <v>147</v>
      </c>
      <c r="BA8" s="3" t="s">
        <v>75</v>
      </c>
      <c r="BB8" s="62" t="s">
        <v>98</v>
      </c>
      <c r="BC8" s="62">
        <f t="shared" si="24"/>
        <v>9</v>
      </c>
      <c r="BD8" s="62" t="str">
        <f t="shared" si="2"/>
        <v>8.</v>
      </c>
      <c r="BE8" s="62" t="str">
        <f t="shared" si="25"/>
        <v>7.</v>
      </c>
      <c r="BF8" s="62" t="str">
        <f t="shared" si="26"/>
        <v>3.</v>
      </c>
      <c r="BG8" s="62">
        <f t="shared" si="27"/>
        <v>8</v>
      </c>
      <c r="BH8" s="62">
        <f t="shared" si="28"/>
        <v>7</v>
      </c>
      <c r="BI8" s="62">
        <f t="shared" si="29"/>
        <v>3</v>
      </c>
    </row>
    <row r="9" spans="1:61" ht="24" customHeight="1" x14ac:dyDescent="0.25">
      <c r="A9" s="138">
        <v>8</v>
      </c>
      <c r="B9" s="25" t="str">
        <f t="shared" si="3"/>
        <v>FBC ČPP Bystroň Group Ostrava</v>
      </c>
      <c r="C9" s="76">
        <f t="shared" si="4"/>
        <v>16</v>
      </c>
      <c r="D9" s="76">
        <f t="shared" si="5"/>
        <v>7</v>
      </c>
      <c r="E9" s="76">
        <f t="shared" si="6"/>
        <v>1</v>
      </c>
      <c r="F9" s="76">
        <f t="shared" si="7"/>
        <v>1</v>
      </c>
      <c r="G9" s="76">
        <f t="shared" si="8"/>
        <v>7</v>
      </c>
      <c r="H9" s="78">
        <f t="shared" si="9"/>
        <v>24</v>
      </c>
      <c r="I9" s="76">
        <f t="shared" si="10"/>
        <v>92</v>
      </c>
      <c r="J9" s="76">
        <f t="shared" si="11"/>
        <v>85</v>
      </c>
      <c r="K9" s="76">
        <f t="shared" si="12"/>
        <v>7</v>
      </c>
      <c r="L9" s="76">
        <f t="shared" si="13"/>
        <v>27</v>
      </c>
      <c r="M9" s="76">
        <f t="shared" si="14"/>
        <v>15</v>
      </c>
      <c r="N9" s="76">
        <f t="shared" si="15"/>
        <v>0</v>
      </c>
      <c r="O9" s="67">
        <f t="shared" si="16"/>
        <v>55.56</v>
      </c>
      <c r="P9" s="76">
        <f t="shared" si="17"/>
        <v>21</v>
      </c>
      <c r="Q9" s="76">
        <f t="shared" si="18"/>
        <v>5</v>
      </c>
      <c r="R9" s="76">
        <f t="shared" si="19"/>
        <v>0</v>
      </c>
      <c r="S9" s="67">
        <f t="shared" si="20"/>
        <v>76.19</v>
      </c>
      <c r="T9" s="76">
        <f t="shared" si="21"/>
        <v>48</v>
      </c>
      <c r="U9" s="76">
        <f t="shared" si="22"/>
        <v>349</v>
      </c>
      <c r="V9" s="68">
        <f t="shared" si="23"/>
        <v>26.36</v>
      </c>
      <c r="W9" s="72" t="s">
        <v>1303</v>
      </c>
      <c r="X9" s="71">
        <v>16</v>
      </c>
      <c r="Y9" s="71">
        <v>7</v>
      </c>
      <c r="Z9" s="71">
        <v>1</v>
      </c>
      <c r="AA9" s="71">
        <v>1</v>
      </c>
      <c r="AB9" s="71">
        <v>7</v>
      </c>
      <c r="AC9" s="71">
        <v>24</v>
      </c>
      <c r="AD9" s="71">
        <v>92</v>
      </c>
      <c r="AE9" s="71">
        <v>85</v>
      </c>
      <c r="AF9" s="71">
        <v>7</v>
      </c>
      <c r="AG9" s="71">
        <v>27</v>
      </c>
      <c r="AH9" s="71">
        <v>15</v>
      </c>
      <c r="AI9" s="71">
        <v>0</v>
      </c>
      <c r="AJ9" s="70">
        <v>55.56</v>
      </c>
      <c r="AK9" s="71">
        <v>21</v>
      </c>
      <c r="AL9" s="71">
        <v>5</v>
      </c>
      <c r="AM9" s="71">
        <v>0</v>
      </c>
      <c r="AN9" s="70">
        <v>76.19</v>
      </c>
      <c r="AO9" s="71">
        <v>24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48</v>
      </c>
      <c r="AV9" s="71">
        <v>349</v>
      </c>
      <c r="AW9" s="70">
        <v>26.36</v>
      </c>
      <c r="AX9" s="71">
        <v>910</v>
      </c>
      <c r="AY9" s="71">
        <v>1598</v>
      </c>
      <c r="AZ9" s="71">
        <v>157</v>
      </c>
      <c r="BA9" s="3" t="s">
        <v>67</v>
      </c>
      <c r="BB9" s="62" t="s">
        <v>91</v>
      </c>
      <c r="BC9" s="62">
        <f t="shared" si="24"/>
        <v>4</v>
      </c>
      <c r="BD9" s="62" t="str">
        <f t="shared" si="2"/>
        <v>10.</v>
      </c>
      <c r="BE9" s="62" t="str">
        <f t="shared" si="25"/>
        <v>1.</v>
      </c>
      <c r="BF9" s="62" t="str">
        <f t="shared" si="26"/>
        <v>5.</v>
      </c>
      <c r="BG9" s="62">
        <f t="shared" si="27"/>
        <v>10</v>
      </c>
      <c r="BH9" s="62">
        <f t="shared" si="28"/>
        <v>1</v>
      </c>
      <c r="BI9" s="62">
        <f t="shared" si="29"/>
        <v>5</v>
      </c>
    </row>
    <row r="10" spans="1:61" ht="24" customHeight="1" x14ac:dyDescent="0.25">
      <c r="A10" s="138">
        <v>9</v>
      </c>
      <c r="B10" s="25" t="str">
        <f t="shared" si="3"/>
        <v>FBC Liberec</v>
      </c>
      <c r="C10" s="76">
        <f t="shared" si="4"/>
        <v>16</v>
      </c>
      <c r="D10" s="76">
        <f t="shared" si="5"/>
        <v>6</v>
      </c>
      <c r="E10" s="76">
        <f t="shared" si="6"/>
        <v>2</v>
      </c>
      <c r="F10" s="76">
        <f t="shared" si="7"/>
        <v>0</v>
      </c>
      <c r="G10" s="76">
        <f t="shared" si="8"/>
        <v>8</v>
      </c>
      <c r="H10" s="78">
        <f t="shared" si="9"/>
        <v>22</v>
      </c>
      <c r="I10" s="76">
        <f t="shared" si="10"/>
        <v>92</v>
      </c>
      <c r="J10" s="76">
        <f t="shared" si="11"/>
        <v>96</v>
      </c>
      <c r="K10" s="76">
        <f t="shared" si="12"/>
        <v>-4</v>
      </c>
      <c r="L10" s="76">
        <f t="shared" si="13"/>
        <v>20</v>
      </c>
      <c r="M10" s="76">
        <f t="shared" si="14"/>
        <v>8</v>
      </c>
      <c r="N10" s="76">
        <f t="shared" si="15"/>
        <v>1</v>
      </c>
      <c r="O10" s="67">
        <f t="shared" si="16"/>
        <v>40</v>
      </c>
      <c r="P10" s="76">
        <f t="shared" si="17"/>
        <v>24</v>
      </c>
      <c r="Q10" s="76">
        <f t="shared" si="18"/>
        <v>10</v>
      </c>
      <c r="R10" s="76">
        <f t="shared" si="19"/>
        <v>1</v>
      </c>
      <c r="S10" s="67">
        <f t="shared" si="20"/>
        <v>58.33</v>
      </c>
      <c r="T10" s="76">
        <f t="shared" si="21"/>
        <v>48</v>
      </c>
      <c r="U10" s="76">
        <f t="shared" si="22"/>
        <v>307</v>
      </c>
      <c r="V10" s="68">
        <f t="shared" si="23"/>
        <v>29.97</v>
      </c>
      <c r="W10" s="72" t="s">
        <v>75</v>
      </c>
      <c r="X10" s="71">
        <v>16</v>
      </c>
      <c r="Y10" s="71">
        <v>6</v>
      </c>
      <c r="Z10" s="71">
        <v>2</v>
      </c>
      <c r="AA10" s="71">
        <v>0</v>
      </c>
      <c r="AB10" s="71">
        <v>8</v>
      </c>
      <c r="AC10" s="71">
        <v>22</v>
      </c>
      <c r="AD10" s="71">
        <v>92</v>
      </c>
      <c r="AE10" s="71">
        <v>96</v>
      </c>
      <c r="AF10" s="71">
        <v>-4</v>
      </c>
      <c r="AG10" s="71">
        <v>20</v>
      </c>
      <c r="AH10" s="71">
        <v>8</v>
      </c>
      <c r="AI10" s="71">
        <v>1</v>
      </c>
      <c r="AJ10" s="70">
        <v>40</v>
      </c>
      <c r="AK10" s="71">
        <v>24</v>
      </c>
      <c r="AL10" s="71">
        <v>10</v>
      </c>
      <c r="AM10" s="71">
        <v>1</v>
      </c>
      <c r="AN10" s="70">
        <v>58.33</v>
      </c>
      <c r="AO10" s="71">
        <v>24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48</v>
      </c>
      <c r="AV10" s="71">
        <v>307</v>
      </c>
      <c r="AW10" s="70">
        <v>29.97</v>
      </c>
      <c r="AX10" s="71">
        <v>923</v>
      </c>
      <c r="AY10" s="71">
        <v>1315</v>
      </c>
      <c r="AZ10" s="71">
        <v>140</v>
      </c>
      <c r="BA10" s="3" t="s">
        <v>73</v>
      </c>
      <c r="BB10" s="62" t="s">
        <v>96</v>
      </c>
      <c r="BC10" s="62">
        <f t="shared" si="24"/>
        <v>11</v>
      </c>
      <c r="BD10" s="62" t="str">
        <f t="shared" si="2"/>
        <v>12.</v>
      </c>
      <c r="BE10" s="62" t="str">
        <f t="shared" si="25"/>
        <v>10.</v>
      </c>
      <c r="BF10" s="62" t="str">
        <f t="shared" si="26"/>
        <v>13.</v>
      </c>
      <c r="BG10" s="62">
        <f t="shared" si="27"/>
        <v>12</v>
      </c>
      <c r="BH10" s="62">
        <f t="shared" si="28"/>
        <v>10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Navláčil PANTHERS OTROKOVICE</v>
      </c>
      <c r="C11" s="76">
        <f t="shared" si="4"/>
        <v>16</v>
      </c>
      <c r="D11" s="76">
        <f t="shared" si="5"/>
        <v>4</v>
      </c>
      <c r="E11" s="76">
        <f t="shared" si="6"/>
        <v>1</v>
      </c>
      <c r="F11" s="76">
        <f t="shared" si="7"/>
        <v>1</v>
      </c>
      <c r="G11" s="76">
        <f t="shared" si="8"/>
        <v>10</v>
      </c>
      <c r="H11" s="78">
        <f t="shared" si="9"/>
        <v>15</v>
      </c>
      <c r="I11" s="76">
        <f t="shared" si="10"/>
        <v>97</v>
      </c>
      <c r="J11" s="76">
        <f t="shared" si="11"/>
        <v>112</v>
      </c>
      <c r="K11" s="76">
        <f t="shared" si="12"/>
        <v>-15</v>
      </c>
      <c r="L11" s="76">
        <f t="shared" si="13"/>
        <v>32</v>
      </c>
      <c r="M11" s="76">
        <f t="shared" si="14"/>
        <v>10</v>
      </c>
      <c r="N11" s="76">
        <f t="shared" si="15"/>
        <v>0</v>
      </c>
      <c r="O11" s="67">
        <f t="shared" si="16"/>
        <v>31.25</v>
      </c>
      <c r="P11" s="76">
        <f t="shared" si="17"/>
        <v>23</v>
      </c>
      <c r="Q11" s="76">
        <f t="shared" si="18"/>
        <v>11</v>
      </c>
      <c r="R11" s="76">
        <f t="shared" si="19"/>
        <v>1</v>
      </c>
      <c r="S11" s="67">
        <f t="shared" si="20"/>
        <v>52.17</v>
      </c>
      <c r="T11" s="76">
        <f t="shared" si="21"/>
        <v>46</v>
      </c>
      <c r="U11" s="76">
        <f t="shared" si="22"/>
        <v>348</v>
      </c>
      <c r="V11" s="68">
        <f t="shared" si="23"/>
        <v>27.87</v>
      </c>
      <c r="W11" s="72" t="s">
        <v>70</v>
      </c>
      <c r="X11" s="71">
        <v>16</v>
      </c>
      <c r="Y11" s="71">
        <v>4</v>
      </c>
      <c r="Z11" s="71">
        <v>1</v>
      </c>
      <c r="AA11" s="71">
        <v>1</v>
      </c>
      <c r="AB11" s="71">
        <v>10</v>
      </c>
      <c r="AC11" s="71">
        <v>15</v>
      </c>
      <c r="AD11" s="71">
        <v>97</v>
      </c>
      <c r="AE11" s="71">
        <v>112</v>
      </c>
      <c r="AF11" s="71">
        <v>-15</v>
      </c>
      <c r="AG11" s="71">
        <v>32</v>
      </c>
      <c r="AH11" s="71">
        <v>10</v>
      </c>
      <c r="AI11" s="71">
        <v>0</v>
      </c>
      <c r="AJ11" s="70">
        <v>31.25</v>
      </c>
      <c r="AK11" s="71">
        <v>23</v>
      </c>
      <c r="AL11" s="71">
        <v>11</v>
      </c>
      <c r="AM11" s="71">
        <v>1</v>
      </c>
      <c r="AN11" s="70">
        <v>52.17</v>
      </c>
      <c r="AO11" s="71">
        <v>23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46</v>
      </c>
      <c r="AV11" s="71">
        <v>348</v>
      </c>
      <c r="AW11" s="70">
        <v>27.87</v>
      </c>
      <c r="AX11" s="71">
        <v>1489</v>
      </c>
      <c r="AY11" s="71">
        <v>1265</v>
      </c>
      <c r="AZ11" s="71">
        <v>172</v>
      </c>
      <c r="BA11" s="3" t="s">
        <v>70</v>
      </c>
      <c r="BB11" s="62" t="s">
        <v>93</v>
      </c>
      <c r="BC11" s="62">
        <f t="shared" si="24"/>
        <v>10</v>
      </c>
      <c r="BD11" s="62" t="str">
        <f t="shared" si="2"/>
        <v>13.</v>
      </c>
      <c r="BE11" s="62" t="str">
        <f t="shared" si="25"/>
        <v>12.</v>
      </c>
      <c r="BF11" s="62" t="str">
        <f t="shared" si="26"/>
        <v>2.</v>
      </c>
      <c r="BG11" s="62">
        <f t="shared" si="27"/>
        <v>13</v>
      </c>
      <c r="BH11" s="62">
        <f t="shared" si="28"/>
        <v>12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FBŠ Hummel Hattrick Brno</v>
      </c>
      <c r="C12" s="76">
        <f t="shared" si="4"/>
        <v>16</v>
      </c>
      <c r="D12" s="76">
        <f t="shared" si="5"/>
        <v>3</v>
      </c>
      <c r="E12" s="76">
        <f t="shared" si="6"/>
        <v>0</v>
      </c>
      <c r="F12" s="76">
        <f t="shared" si="7"/>
        <v>2</v>
      </c>
      <c r="G12" s="76">
        <f t="shared" si="8"/>
        <v>11</v>
      </c>
      <c r="H12" s="78">
        <f t="shared" si="9"/>
        <v>11</v>
      </c>
      <c r="I12" s="76">
        <f t="shared" si="10"/>
        <v>64</v>
      </c>
      <c r="J12" s="76">
        <f t="shared" si="11"/>
        <v>119</v>
      </c>
      <c r="K12" s="76">
        <f t="shared" si="12"/>
        <v>-55</v>
      </c>
      <c r="L12" s="76">
        <f t="shared" si="13"/>
        <v>22</v>
      </c>
      <c r="M12" s="76">
        <f t="shared" si="14"/>
        <v>7</v>
      </c>
      <c r="N12" s="76">
        <f t="shared" si="15"/>
        <v>5</v>
      </c>
      <c r="O12" s="67">
        <f t="shared" si="16"/>
        <v>31.82</v>
      </c>
      <c r="P12" s="76">
        <f t="shared" si="17"/>
        <v>33</v>
      </c>
      <c r="Q12" s="76">
        <f t="shared" si="18"/>
        <v>15</v>
      </c>
      <c r="R12" s="76">
        <f t="shared" si="19"/>
        <v>0</v>
      </c>
      <c r="S12" s="67">
        <f t="shared" si="20"/>
        <v>54.55</v>
      </c>
      <c r="T12" s="76">
        <f t="shared" si="21"/>
        <v>89</v>
      </c>
      <c r="U12" s="76">
        <f t="shared" si="22"/>
        <v>298</v>
      </c>
      <c r="V12" s="68">
        <f t="shared" si="23"/>
        <v>21.48</v>
      </c>
      <c r="W12" s="72" t="s">
        <v>73</v>
      </c>
      <c r="X12" s="71">
        <v>16</v>
      </c>
      <c r="Y12" s="71">
        <v>3</v>
      </c>
      <c r="Z12" s="71">
        <v>0</v>
      </c>
      <c r="AA12" s="71">
        <v>2</v>
      </c>
      <c r="AB12" s="71">
        <v>11</v>
      </c>
      <c r="AC12" s="71">
        <v>11</v>
      </c>
      <c r="AD12" s="71">
        <v>64</v>
      </c>
      <c r="AE12" s="71">
        <v>119</v>
      </c>
      <c r="AF12" s="71">
        <v>-55</v>
      </c>
      <c r="AG12" s="71">
        <v>22</v>
      </c>
      <c r="AH12" s="71">
        <v>7</v>
      </c>
      <c r="AI12" s="71">
        <v>5</v>
      </c>
      <c r="AJ12" s="70">
        <v>31.82</v>
      </c>
      <c r="AK12" s="71">
        <v>33</v>
      </c>
      <c r="AL12" s="71">
        <v>15</v>
      </c>
      <c r="AM12" s="71">
        <v>0</v>
      </c>
      <c r="AN12" s="70">
        <v>54.55</v>
      </c>
      <c r="AO12" s="71">
        <v>37</v>
      </c>
      <c r="AP12" s="71">
        <v>1</v>
      </c>
      <c r="AQ12" s="71">
        <v>1</v>
      </c>
      <c r="AR12" s="71">
        <v>0</v>
      </c>
      <c r="AS12" s="71">
        <v>0</v>
      </c>
      <c r="AT12" s="71">
        <v>0</v>
      </c>
      <c r="AU12" s="71">
        <v>89</v>
      </c>
      <c r="AV12" s="71">
        <v>298</v>
      </c>
      <c r="AW12" s="70">
        <v>21.48</v>
      </c>
      <c r="AX12" s="71">
        <v>1218</v>
      </c>
      <c r="AY12" s="71">
        <v>837</v>
      </c>
      <c r="AZ12" s="71">
        <v>128</v>
      </c>
      <c r="BA12" s="3" t="s">
        <v>64</v>
      </c>
      <c r="BB12" s="62" t="s">
        <v>22</v>
      </c>
      <c r="BC12" s="62">
        <f t="shared" si="24"/>
        <v>2</v>
      </c>
      <c r="BD12" s="62" t="str">
        <f t="shared" si="2"/>
        <v>4.</v>
      </c>
      <c r="BE12" s="62" t="str">
        <f t="shared" si="25"/>
        <v>4.</v>
      </c>
      <c r="BF12" s="62" t="str">
        <f t="shared" si="26"/>
        <v>6.</v>
      </c>
      <c r="BG12" s="62">
        <f t="shared" si="27"/>
        <v>4</v>
      </c>
      <c r="BH12" s="62">
        <f t="shared" si="28"/>
        <v>4</v>
      </c>
      <c r="BI12" s="62">
        <f t="shared" si="29"/>
        <v>6</v>
      </c>
    </row>
    <row r="13" spans="1:61" ht="24" customHeight="1" x14ac:dyDescent="0.25">
      <c r="A13" s="138">
        <v>12</v>
      </c>
      <c r="B13" s="25" t="str">
        <f t="shared" si="3"/>
        <v>TJ Sokol Královské Vinohrady</v>
      </c>
      <c r="C13" s="76">
        <f t="shared" si="4"/>
        <v>16</v>
      </c>
      <c r="D13" s="76">
        <f t="shared" si="5"/>
        <v>3</v>
      </c>
      <c r="E13" s="76">
        <f t="shared" si="6"/>
        <v>0</v>
      </c>
      <c r="F13" s="76">
        <f t="shared" si="7"/>
        <v>0</v>
      </c>
      <c r="G13" s="76">
        <f t="shared" si="8"/>
        <v>13</v>
      </c>
      <c r="H13" s="78">
        <f t="shared" si="9"/>
        <v>9</v>
      </c>
      <c r="I13" s="76">
        <f t="shared" si="10"/>
        <v>64</v>
      </c>
      <c r="J13" s="76">
        <f t="shared" si="11"/>
        <v>120</v>
      </c>
      <c r="K13" s="76">
        <f t="shared" si="12"/>
        <v>-56</v>
      </c>
      <c r="L13" s="76">
        <f t="shared" si="13"/>
        <v>31</v>
      </c>
      <c r="M13" s="76">
        <f t="shared" si="14"/>
        <v>12</v>
      </c>
      <c r="N13" s="76">
        <f t="shared" si="15"/>
        <v>3</v>
      </c>
      <c r="O13" s="67">
        <f t="shared" si="16"/>
        <v>38.71</v>
      </c>
      <c r="P13" s="76">
        <f t="shared" si="17"/>
        <v>27</v>
      </c>
      <c r="Q13" s="76">
        <f t="shared" si="18"/>
        <v>17</v>
      </c>
      <c r="R13" s="76">
        <f t="shared" si="19"/>
        <v>0</v>
      </c>
      <c r="S13" s="67">
        <f t="shared" si="20"/>
        <v>37.04</v>
      </c>
      <c r="T13" s="76">
        <f t="shared" si="21"/>
        <v>66</v>
      </c>
      <c r="U13" s="76">
        <f t="shared" si="22"/>
        <v>333</v>
      </c>
      <c r="V13" s="68">
        <f t="shared" si="23"/>
        <v>19.22</v>
      </c>
      <c r="W13" s="72" t="s">
        <v>76</v>
      </c>
      <c r="X13" s="71">
        <v>16</v>
      </c>
      <c r="Y13" s="71">
        <v>3</v>
      </c>
      <c r="Z13" s="71">
        <v>0</v>
      </c>
      <c r="AA13" s="71">
        <v>0</v>
      </c>
      <c r="AB13" s="71">
        <v>13</v>
      </c>
      <c r="AC13" s="71">
        <v>9</v>
      </c>
      <c r="AD13" s="71">
        <v>64</v>
      </c>
      <c r="AE13" s="71">
        <v>120</v>
      </c>
      <c r="AF13" s="71">
        <v>-56</v>
      </c>
      <c r="AG13" s="71">
        <v>31</v>
      </c>
      <c r="AH13" s="71">
        <v>12</v>
      </c>
      <c r="AI13" s="71">
        <v>3</v>
      </c>
      <c r="AJ13" s="70">
        <v>38.71</v>
      </c>
      <c r="AK13" s="71">
        <v>27</v>
      </c>
      <c r="AL13" s="71">
        <v>17</v>
      </c>
      <c r="AM13" s="71">
        <v>0</v>
      </c>
      <c r="AN13" s="70">
        <v>37.04</v>
      </c>
      <c r="AO13" s="71">
        <v>28</v>
      </c>
      <c r="AP13" s="71">
        <v>0</v>
      </c>
      <c r="AQ13" s="71">
        <v>1</v>
      </c>
      <c r="AR13" s="71">
        <v>0</v>
      </c>
      <c r="AS13" s="71">
        <v>0</v>
      </c>
      <c r="AT13" s="71">
        <v>0</v>
      </c>
      <c r="AU13" s="71">
        <v>66</v>
      </c>
      <c r="AV13" s="71">
        <v>333</v>
      </c>
      <c r="AW13" s="70">
        <v>19.22</v>
      </c>
      <c r="AX13" s="71">
        <v>836</v>
      </c>
      <c r="AY13" s="71">
        <v>908</v>
      </c>
      <c r="AZ13" s="71">
        <v>109</v>
      </c>
      <c r="BA13" s="3" t="s">
        <v>74</v>
      </c>
      <c r="BB13" s="62" t="s">
        <v>97</v>
      </c>
      <c r="BC13" s="62">
        <f t="shared" si="24"/>
        <v>14</v>
      </c>
      <c r="BD13" s="62" t="str">
        <f t="shared" si="2"/>
        <v>11.</v>
      </c>
      <c r="BE13" s="62" t="str">
        <f t="shared" si="25"/>
        <v>9.</v>
      </c>
      <c r="BF13" s="62" t="str">
        <f t="shared" si="26"/>
        <v>10.</v>
      </c>
      <c r="BG13" s="62">
        <f t="shared" si="27"/>
        <v>11</v>
      </c>
      <c r="BH13" s="62">
        <f t="shared" si="28"/>
        <v>9</v>
      </c>
      <c r="BI13" s="62">
        <f t="shared" si="29"/>
        <v>10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16</v>
      </c>
      <c r="D14" s="76">
        <f t="shared" si="5"/>
        <v>1</v>
      </c>
      <c r="E14" s="76">
        <f t="shared" si="6"/>
        <v>2</v>
      </c>
      <c r="F14" s="76">
        <f t="shared" si="7"/>
        <v>0</v>
      </c>
      <c r="G14" s="76">
        <f t="shared" si="8"/>
        <v>13</v>
      </c>
      <c r="H14" s="78">
        <f t="shared" si="9"/>
        <v>7</v>
      </c>
      <c r="I14" s="76">
        <f t="shared" si="10"/>
        <v>76</v>
      </c>
      <c r="J14" s="76">
        <f t="shared" si="11"/>
        <v>138</v>
      </c>
      <c r="K14" s="76">
        <f t="shared" si="12"/>
        <v>-62</v>
      </c>
      <c r="L14" s="76">
        <f t="shared" si="13"/>
        <v>21</v>
      </c>
      <c r="M14" s="76">
        <f t="shared" si="14"/>
        <v>6</v>
      </c>
      <c r="N14" s="76">
        <f t="shared" si="15"/>
        <v>1</v>
      </c>
      <c r="O14" s="67">
        <f t="shared" si="16"/>
        <v>28.57</v>
      </c>
      <c r="P14" s="76">
        <f t="shared" si="17"/>
        <v>45</v>
      </c>
      <c r="Q14" s="76">
        <f t="shared" si="18"/>
        <v>27</v>
      </c>
      <c r="R14" s="76">
        <f t="shared" si="19"/>
        <v>1</v>
      </c>
      <c r="S14" s="67">
        <f t="shared" si="20"/>
        <v>40</v>
      </c>
      <c r="T14" s="76">
        <f t="shared" si="21"/>
        <v>126</v>
      </c>
      <c r="U14" s="76">
        <f t="shared" si="22"/>
        <v>386</v>
      </c>
      <c r="V14" s="68">
        <f t="shared" si="23"/>
        <v>19.690000000000001</v>
      </c>
      <c r="W14" s="72" t="s">
        <v>72</v>
      </c>
      <c r="X14" s="71">
        <v>16</v>
      </c>
      <c r="Y14" s="71">
        <v>1</v>
      </c>
      <c r="Z14" s="71">
        <v>2</v>
      </c>
      <c r="AA14" s="71">
        <v>0</v>
      </c>
      <c r="AB14" s="71">
        <v>13</v>
      </c>
      <c r="AC14" s="71">
        <v>7</v>
      </c>
      <c r="AD14" s="71">
        <v>76</v>
      </c>
      <c r="AE14" s="71">
        <v>138</v>
      </c>
      <c r="AF14" s="71">
        <v>-62</v>
      </c>
      <c r="AG14" s="71">
        <v>21</v>
      </c>
      <c r="AH14" s="71">
        <v>6</v>
      </c>
      <c r="AI14" s="71">
        <v>1</v>
      </c>
      <c r="AJ14" s="70">
        <v>28.57</v>
      </c>
      <c r="AK14" s="71">
        <v>45</v>
      </c>
      <c r="AL14" s="71">
        <v>27</v>
      </c>
      <c r="AM14" s="71">
        <v>1</v>
      </c>
      <c r="AN14" s="70">
        <v>40</v>
      </c>
      <c r="AO14" s="71">
        <v>43</v>
      </c>
      <c r="AP14" s="71">
        <v>2</v>
      </c>
      <c r="AQ14" s="71">
        <v>1</v>
      </c>
      <c r="AR14" s="71">
        <v>1</v>
      </c>
      <c r="AS14" s="71">
        <v>0</v>
      </c>
      <c r="AT14" s="71">
        <v>0</v>
      </c>
      <c r="AU14" s="71">
        <v>126</v>
      </c>
      <c r="AV14" s="71">
        <v>386</v>
      </c>
      <c r="AW14" s="70">
        <v>19.690000000000001</v>
      </c>
      <c r="AX14" s="71">
        <v>1442</v>
      </c>
      <c r="AY14" s="71">
        <v>1066</v>
      </c>
      <c r="AZ14" s="71">
        <v>157</v>
      </c>
      <c r="BA14" s="3" t="s">
        <v>63</v>
      </c>
      <c r="BB14" s="62" t="s">
        <v>87</v>
      </c>
      <c r="BC14" s="62">
        <f t="shared" si="24"/>
        <v>1</v>
      </c>
      <c r="BD14" s="62" t="str">
        <f t="shared" si="2"/>
        <v>1.</v>
      </c>
      <c r="BE14" s="62" t="str">
        <f t="shared" si="25"/>
        <v>3.</v>
      </c>
      <c r="BF14" s="62" t="str">
        <f t="shared" si="26"/>
        <v>7.</v>
      </c>
      <c r="BG14" s="62">
        <f t="shared" si="27"/>
        <v>1</v>
      </c>
      <c r="BH14" s="62">
        <f t="shared" si="28"/>
        <v>3</v>
      </c>
      <c r="BI14" s="62">
        <f t="shared" si="29"/>
        <v>7</v>
      </c>
    </row>
    <row r="15" spans="1:61" ht="24" customHeight="1" thickBot="1" x14ac:dyDescent="0.3">
      <c r="A15" s="139">
        <v>14</v>
      </c>
      <c r="B15" s="134" t="str">
        <f t="shared" si="3"/>
        <v>SOKOLI Pardubice</v>
      </c>
      <c r="C15" s="135">
        <f t="shared" si="4"/>
        <v>16</v>
      </c>
      <c r="D15" s="135">
        <f t="shared" si="5"/>
        <v>2</v>
      </c>
      <c r="E15" s="135">
        <f t="shared" si="6"/>
        <v>0</v>
      </c>
      <c r="F15" s="135">
        <f t="shared" si="7"/>
        <v>1</v>
      </c>
      <c r="G15" s="135">
        <f t="shared" si="8"/>
        <v>13</v>
      </c>
      <c r="H15" s="79">
        <f t="shared" si="9"/>
        <v>7</v>
      </c>
      <c r="I15" s="135">
        <f t="shared" si="10"/>
        <v>61</v>
      </c>
      <c r="J15" s="135">
        <f t="shared" si="11"/>
        <v>133</v>
      </c>
      <c r="K15" s="135">
        <f t="shared" si="12"/>
        <v>-72</v>
      </c>
      <c r="L15" s="135">
        <f t="shared" si="13"/>
        <v>21</v>
      </c>
      <c r="M15" s="135">
        <f t="shared" si="14"/>
        <v>7</v>
      </c>
      <c r="N15" s="135">
        <f t="shared" si="15"/>
        <v>2</v>
      </c>
      <c r="O15" s="136">
        <f t="shared" si="16"/>
        <v>33.33</v>
      </c>
      <c r="P15" s="135">
        <f t="shared" si="17"/>
        <v>27</v>
      </c>
      <c r="Q15" s="135">
        <f t="shared" si="18"/>
        <v>12</v>
      </c>
      <c r="R15" s="135">
        <f t="shared" si="19"/>
        <v>0</v>
      </c>
      <c r="S15" s="136">
        <f t="shared" si="20"/>
        <v>55.56</v>
      </c>
      <c r="T15" s="135">
        <f t="shared" si="21"/>
        <v>79</v>
      </c>
      <c r="U15" s="135">
        <f t="shared" si="22"/>
        <v>309</v>
      </c>
      <c r="V15" s="137">
        <f t="shared" si="23"/>
        <v>19.739999999999998</v>
      </c>
      <c r="W15" s="72" t="s">
        <v>74</v>
      </c>
      <c r="X15" s="71">
        <v>16</v>
      </c>
      <c r="Y15" s="71">
        <v>2</v>
      </c>
      <c r="Z15" s="71">
        <v>0</v>
      </c>
      <c r="AA15" s="71">
        <v>1</v>
      </c>
      <c r="AB15" s="71">
        <v>13</v>
      </c>
      <c r="AC15" s="71">
        <v>7</v>
      </c>
      <c r="AD15" s="71">
        <v>61</v>
      </c>
      <c r="AE15" s="71">
        <v>133</v>
      </c>
      <c r="AF15" s="71">
        <v>-72</v>
      </c>
      <c r="AG15" s="71">
        <v>21</v>
      </c>
      <c r="AH15" s="71">
        <v>7</v>
      </c>
      <c r="AI15" s="71">
        <v>2</v>
      </c>
      <c r="AJ15" s="70">
        <v>33.33</v>
      </c>
      <c r="AK15" s="71">
        <v>27</v>
      </c>
      <c r="AL15" s="71">
        <v>12</v>
      </c>
      <c r="AM15" s="71">
        <v>0</v>
      </c>
      <c r="AN15" s="70">
        <v>55.56</v>
      </c>
      <c r="AO15" s="71">
        <v>27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79</v>
      </c>
      <c r="AV15" s="71">
        <v>309</v>
      </c>
      <c r="AW15" s="70">
        <v>19.739999999999998</v>
      </c>
      <c r="AX15" s="71">
        <v>1356</v>
      </c>
      <c r="AY15" s="71">
        <v>1572</v>
      </c>
      <c r="AZ15" s="71">
        <v>183</v>
      </c>
      <c r="BA15" s="3" t="s">
        <v>76</v>
      </c>
      <c r="BB15" s="62" t="s">
        <v>5</v>
      </c>
      <c r="BC15" s="62">
        <f t="shared" si="24"/>
        <v>12</v>
      </c>
      <c r="BD15" s="62" t="str">
        <f t="shared" si="2"/>
        <v>9.</v>
      </c>
      <c r="BE15" s="62" t="str">
        <f t="shared" si="25"/>
        <v>14.</v>
      </c>
      <c r="BF15" s="62" t="str">
        <f t="shared" si="26"/>
        <v>8.</v>
      </c>
      <c r="BG15" s="62">
        <f t="shared" si="27"/>
        <v>9</v>
      </c>
      <c r="BH15" s="62">
        <f t="shared" si="28"/>
        <v>14</v>
      </c>
      <c r="BI15" s="62">
        <f t="shared" si="29"/>
        <v>8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24" priority="20">
      <formula>MOD(ROW($A2),2)=1</formula>
    </cfRule>
  </conditionalFormatting>
  <conditionalFormatting sqref="A2:A15">
    <cfRule type="cellIs" dxfId="923" priority="1" operator="between">
      <formula>1</formula>
      <formula>6</formula>
    </cfRule>
    <cfRule type="cellIs" dxfId="922" priority="18" operator="between">
      <formula>7</formula>
      <formula>10</formula>
    </cfRule>
    <cfRule type="cellIs" dxfId="921" priority="19" operator="greaterThanOrEqual">
      <formula>11</formula>
    </cfRule>
  </conditionalFormatting>
  <conditionalFormatting sqref="I2:I15">
    <cfRule type="top10" dxfId="920" priority="16" bottom="1" rank="1"/>
    <cfRule type="top10" dxfId="919" priority="17" rank="1"/>
  </conditionalFormatting>
  <conditionalFormatting sqref="J2:J15">
    <cfRule type="top10" dxfId="918" priority="14" bottom="1" rank="1"/>
    <cfRule type="top10" dxfId="917" priority="15" rank="1"/>
  </conditionalFormatting>
  <conditionalFormatting sqref="K2:K15">
    <cfRule type="top10" dxfId="916" priority="12" bottom="1" rank="1"/>
    <cfRule type="top10" dxfId="915" priority="13" rank="1"/>
  </conditionalFormatting>
  <conditionalFormatting sqref="O2:O15">
    <cfRule type="top10" dxfId="914" priority="10" bottom="1" rank="1"/>
    <cfRule type="top10" dxfId="913" priority="11" rank="1"/>
  </conditionalFormatting>
  <conditionalFormatting sqref="S2:S15">
    <cfRule type="top10" dxfId="912" priority="8" bottom="1" rank="1"/>
    <cfRule type="top10" dxfId="911" priority="9" rank="1"/>
  </conditionalFormatting>
  <conditionalFormatting sqref="T2:T15">
    <cfRule type="top10" dxfId="910" priority="6" bottom="1" rank="1"/>
    <cfRule type="top10" dxfId="909" priority="7" rank="1"/>
  </conditionalFormatting>
  <conditionalFormatting sqref="U2:U15">
    <cfRule type="top10" dxfId="908" priority="4" bottom="1" rank="1"/>
    <cfRule type="top10" dxfId="907" priority="5" rank="1"/>
  </conditionalFormatting>
  <conditionalFormatting sqref="V2:V15">
    <cfRule type="top10" dxfId="906" priority="2" bottom="1" rank="1"/>
    <cfRule type="top10" dxfId="905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topLeftCell="A15" zoomScaleNormal="100" zoomScaleSheetLayoutView="100" workbookViewId="0">
      <selection sqref="A1:R50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71" t="s">
        <v>5</v>
      </c>
      <c r="B1" s="271"/>
      <c r="C1" s="271"/>
      <c r="D1" s="271"/>
      <c r="E1" s="271"/>
      <c r="F1" s="271"/>
      <c r="G1" s="271"/>
      <c r="H1" s="271"/>
      <c r="I1" s="271"/>
      <c r="J1" s="271" t="s">
        <v>23</v>
      </c>
      <c r="K1" s="271"/>
      <c r="L1" s="271"/>
      <c r="M1" s="271"/>
      <c r="N1" s="271"/>
      <c r="O1" s="271"/>
      <c r="P1" s="271"/>
      <c r="Q1" s="271"/>
      <c r="R1" s="271"/>
      <c r="S1" s="337" t="s">
        <v>1193</v>
      </c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9"/>
    </row>
    <row r="2" spans="1:31" ht="15" customHeight="1" thickBot="1" x14ac:dyDescent="0.3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19" t="s">
        <v>1194</v>
      </c>
      <c r="T2" s="220" t="s">
        <v>1195</v>
      </c>
      <c r="U2" s="220" t="s">
        <v>1190</v>
      </c>
      <c r="V2" s="221" t="s">
        <v>1196</v>
      </c>
      <c r="W2" s="222" t="s">
        <v>1186</v>
      </c>
      <c r="X2" s="340" t="s">
        <v>44</v>
      </c>
      <c r="Y2" s="341"/>
      <c r="Z2" s="341"/>
      <c r="AA2" s="341"/>
      <c r="AB2" s="64" t="s">
        <v>27</v>
      </c>
      <c r="AC2" s="341" t="s">
        <v>1197</v>
      </c>
      <c r="AD2" s="341"/>
      <c r="AE2" s="342"/>
    </row>
    <row r="3" spans="1:31" ht="15" customHeight="1" thickTop="1" thickBot="1" x14ac:dyDescent="0.3">
      <c r="A3" s="277" t="str">
        <f>INDEX(tabulka!$BA$2:$BA$15,MATCH($A$1,tabulka!$BB$2:$BB$15,0))</f>
        <v>TJ Sokol Královské Vinohrady</v>
      </c>
      <c r="B3" s="277"/>
      <c r="C3" s="277"/>
      <c r="D3" s="277"/>
      <c r="E3" s="277"/>
      <c r="F3" s="277"/>
      <c r="G3" s="277"/>
      <c r="H3" s="277"/>
      <c r="I3" s="277"/>
      <c r="J3" s="277" t="str">
        <f>INDEX(tabulka!$BA$2:$BA$15,MATCH($J$1,tabulka!$BB$2:$BB$15,0))</f>
        <v>FAT PIPE FLORBAL CHODOV</v>
      </c>
      <c r="K3" s="277"/>
      <c r="L3" s="277"/>
      <c r="M3" s="277"/>
      <c r="N3" s="277"/>
      <c r="O3" s="277"/>
      <c r="P3" s="277"/>
      <c r="Q3" s="277"/>
      <c r="R3" s="277"/>
      <c r="S3" s="154" t="s">
        <v>23</v>
      </c>
      <c r="T3" s="155" t="s">
        <v>5</v>
      </c>
      <c r="U3" s="200" t="s">
        <v>1283</v>
      </c>
      <c r="V3" s="156" t="s">
        <v>1201</v>
      </c>
      <c r="W3" s="157" t="s">
        <v>1189</v>
      </c>
      <c r="X3" s="343" t="str">
        <f>IF(S3&lt;&gt;"",CONCATENATE(S3, " - ",T3),"")</f>
        <v>CHO - SKV</v>
      </c>
      <c r="Y3" s="343"/>
      <c r="Z3" s="343"/>
      <c r="AA3" s="344"/>
      <c r="AB3" s="203" t="str">
        <f>IF(U3&lt;&gt;"",U3,"")</f>
        <v>13:7</v>
      </c>
      <c r="AC3" s="358" t="str">
        <f>IF(AND(V3&lt;&gt;"",W3&lt;&gt;""),CONCATENATE(V3," (",W3,")"),IF(V3&lt;&gt;"",V3,""))</f>
        <v>2021/2022 (ZČ)</v>
      </c>
      <c r="AD3" s="343"/>
      <c r="AE3" s="359"/>
    </row>
    <row r="4" spans="1:31" ht="15" customHeight="1" thickTop="1" thickBot="1" x14ac:dyDescent="0.3">
      <c r="A4" s="273" t="s">
        <v>24</v>
      </c>
      <c r="B4" s="274"/>
      <c r="C4" s="28" t="s">
        <v>25</v>
      </c>
      <c r="D4" s="28" t="s">
        <v>26</v>
      </c>
      <c r="E4" s="274" t="s">
        <v>27</v>
      </c>
      <c r="F4" s="274"/>
      <c r="G4" s="28" t="s">
        <v>28</v>
      </c>
      <c r="H4" s="28" t="s">
        <v>29</v>
      </c>
      <c r="I4" s="29" t="s">
        <v>30</v>
      </c>
      <c r="J4" s="275" t="s">
        <v>24</v>
      </c>
      <c r="K4" s="276"/>
      <c r="L4" s="30" t="s">
        <v>25</v>
      </c>
      <c r="M4" s="30" t="s">
        <v>26</v>
      </c>
      <c r="N4" s="276" t="s">
        <v>27</v>
      </c>
      <c r="O4" s="276"/>
      <c r="P4" s="30" t="s">
        <v>28</v>
      </c>
      <c r="Q4" s="30" t="s">
        <v>29</v>
      </c>
      <c r="R4" s="169" t="s">
        <v>30</v>
      </c>
      <c r="S4" s="158" t="s">
        <v>5</v>
      </c>
      <c r="T4" s="159" t="s">
        <v>23</v>
      </c>
      <c r="U4" s="201" t="s">
        <v>1001</v>
      </c>
      <c r="V4" s="160" t="s">
        <v>1191</v>
      </c>
      <c r="W4" s="161" t="s">
        <v>1189</v>
      </c>
      <c r="X4" s="252" t="str">
        <f t="shared" ref="X4:X14" si="0">IF(S4&lt;&gt;"",CONCATENATE(S4, " - ",T4),"")</f>
        <v>SKV - CHO</v>
      </c>
      <c r="Y4" s="252"/>
      <c r="Z4" s="252"/>
      <c r="AA4" s="253"/>
      <c r="AB4" s="204" t="str">
        <f t="shared" ref="AB4:AB14" si="1">IF(U4&lt;&gt;"",U4,"")</f>
        <v>5:8</v>
      </c>
      <c r="AC4" s="254" t="str">
        <f t="shared" ref="AC4:AC14" si="2">IF(AND(V4&lt;&gt;"",W4&lt;&gt;""),CONCATENATE(V4," (",W4,")"),IF(V4&lt;&gt;"",V4,""))</f>
        <v>2020/2021 (ZČ)</v>
      </c>
      <c r="AD4" s="252"/>
      <c r="AE4" s="255"/>
    </row>
    <row r="5" spans="1:31" ht="15" customHeight="1" thickBot="1" x14ac:dyDescent="0.3">
      <c r="A5" s="281" t="str">
        <f>IFERROR(CONCATENATE(VLOOKUP($A$1,tabulka!$BB$2:$BF$15,2,FALSE),". místo"),"")</f>
        <v>12. místo</v>
      </c>
      <c r="B5" s="282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13</v>
      </c>
      <c r="E5" s="282" t="str">
        <f>IFERROR(CONCATENATE(VLOOKUP($A$3,tabulka!$B$2:$V$15,8,FALSE),":",VLOOKUP($A$3,tabulka!$B$2:$V$15,9,FALSE)),"")</f>
        <v>64:120</v>
      </c>
      <c r="F5" s="282"/>
      <c r="G5" s="82">
        <f>IFERROR(VLOOKUP($A$3,tabulka!$B$2:$V$15,14,FALSE),"")</f>
        <v>38.71</v>
      </c>
      <c r="H5" s="82">
        <f>IFERROR(VLOOKUP($A$3,tabulka!$B$2:$V$15,18,FALSE),"")</f>
        <v>37.04</v>
      </c>
      <c r="I5" s="33">
        <f>IFERROR(VLOOKUP($A$3,tabulka!$B$2:$V$15,19,FALSE),"")</f>
        <v>66</v>
      </c>
      <c r="J5" s="283" t="str">
        <f>IFERROR(CONCATENATE(VLOOKUP($J$1,tabulka!$BB$2:$BF$15,2,FALSE),". místo"),"")</f>
        <v>5. místo</v>
      </c>
      <c r="K5" s="284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6</v>
      </c>
      <c r="N5" s="284" t="str">
        <f>IFERROR(CONCATENATE(VLOOKUP($J$3,tabulka!$B$2:$V$15,8,FALSE),":",VLOOKUP($J$3,tabulka!$B$2:$V$15,9,FALSE)),"")</f>
        <v>117:94</v>
      </c>
      <c r="O5" s="284"/>
      <c r="P5" s="83">
        <f>IFERROR(VLOOKUP($J$3,tabulka!$B$2:$V$15,14,FALSE),"")</f>
        <v>46.43</v>
      </c>
      <c r="Q5" s="83">
        <f>IFERROR(VLOOKUP($J$3,tabulka!$B$2:$V$15,18,FALSE),"")</f>
        <v>52.94</v>
      </c>
      <c r="R5" s="170">
        <f>IFERROR(VLOOKUP($J$3,tabulka!$B$2:$V$15,19,FALSE),"")</f>
        <v>68</v>
      </c>
      <c r="S5" s="158" t="s">
        <v>23</v>
      </c>
      <c r="T5" s="159" t="s">
        <v>5</v>
      </c>
      <c r="U5" s="201" t="s">
        <v>1284</v>
      </c>
      <c r="V5" s="160" t="s">
        <v>1191</v>
      </c>
      <c r="W5" s="161" t="s">
        <v>1189</v>
      </c>
      <c r="X5" s="252" t="str">
        <f t="shared" si="0"/>
        <v>CHO - SKV</v>
      </c>
      <c r="Y5" s="252"/>
      <c r="Z5" s="252"/>
      <c r="AA5" s="253"/>
      <c r="AB5" s="204" t="str">
        <f t="shared" si="1"/>
        <v>12:3</v>
      </c>
      <c r="AC5" s="254" t="str">
        <f t="shared" si="2"/>
        <v>2020/2021 (ZČ)</v>
      </c>
      <c r="AD5" s="252"/>
      <c r="AE5" s="255"/>
    </row>
    <row r="6" spans="1:31" ht="15" customHeight="1" thickTop="1" x14ac:dyDescent="0.25">
      <c r="A6" s="26"/>
      <c r="B6" s="26"/>
      <c r="C6" s="26"/>
      <c r="D6" s="26"/>
      <c r="E6" s="280" t="s">
        <v>102</v>
      </c>
      <c r="F6" s="280"/>
      <c r="G6" s="36" t="str">
        <f>IFERROR(VLOOKUP($A$1,tabulka!$BB$2:$BF$15,3,FALSE),"")</f>
        <v>9.</v>
      </c>
      <c r="H6" s="36" t="str">
        <f>IFERROR(VLOOKUP($A$1,tabulka!$BB$2:$BF$15,4,FALSE),"")</f>
        <v>14.</v>
      </c>
      <c r="I6" s="36" t="str">
        <f>IFERROR(VLOOKUP($A$1,tabulka!$BB$2:$BF$15,5,FALSE),"")</f>
        <v>8.</v>
      </c>
      <c r="J6" s="26"/>
      <c r="K6" s="26"/>
      <c r="L6" s="26"/>
      <c r="N6" s="280" t="s">
        <v>102</v>
      </c>
      <c r="O6" s="280"/>
      <c r="P6" s="36" t="str">
        <f>IFERROR(VLOOKUP($J$1,tabulka!$BB$2:$BF$15,3,FALSE),"")</f>
        <v>5.</v>
      </c>
      <c r="Q6" s="36" t="str">
        <f>IFERROR(VLOOKUP($J$1,tabulka!$BB$2:$BF$15,4,FALSE),"")</f>
        <v>11.</v>
      </c>
      <c r="R6" s="36" t="str">
        <f>IFERROR(VLOOKUP($J$1,tabulka!$BB$2:$BF$15,5,FALSE),"")</f>
        <v>9.</v>
      </c>
      <c r="S6" s="158" t="s">
        <v>5</v>
      </c>
      <c r="T6" s="159" t="s">
        <v>23</v>
      </c>
      <c r="U6" s="201" t="s">
        <v>1285</v>
      </c>
      <c r="V6" s="160" t="s">
        <v>1192</v>
      </c>
      <c r="W6" s="161" t="s">
        <v>1189</v>
      </c>
      <c r="X6" s="252" t="str">
        <f t="shared" si="0"/>
        <v>SKV - CHO</v>
      </c>
      <c r="Y6" s="252"/>
      <c r="Z6" s="252"/>
      <c r="AA6" s="253"/>
      <c r="AB6" s="204" t="str">
        <f t="shared" si="1"/>
        <v>2:10</v>
      </c>
      <c r="AC6" s="254" t="str">
        <f t="shared" si="2"/>
        <v>2019/2020 (ZČ)</v>
      </c>
      <c r="AD6" s="252"/>
      <c r="AE6" s="255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23</v>
      </c>
      <c r="T7" s="159" t="s">
        <v>5</v>
      </c>
      <c r="U7" s="201" t="s">
        <v>1077</v>
      </c>
      <c r="V7" s="160" t="s">
        <v>1192</v>
      </c>
      <c r="W7" s="161" t="s">
        <v>1189</v>
      </c>
      <c r="X7" s="252" t="str">
        <f t="shared" si="0"/>
        <v>CHO - SKV</v>
      </c>
      <c r="Y7" s="252"/>
      <c r="Z7" s="252"/>
      <c r="AA7" s="253"/>
      <c r="AB7" s="204" t="str">
        <f t="shared" si="1"/>
        <v>7:8p</v>
      </c>
      <c r="AC7" s="254" t="str">
        <f t="shared" si="2"/>
        <v>2019/2020 (ZČ)</v>
      </c>
      <c r="AD7" s="252"/>
      <c r="AE7" s="255"/>
    </row>
    <row r="8" spans="1:31" ht="15" customHeight="1" thickTop="1" thickBot="1" x14ac:dyDescent="0.3">
      <c r="A8" s="285" t="s">
        <v>31</v>
      </c>
      <c r="B8" s="286"/>
      <c r="C8" s="287" t="str">
        <f ca="1">IFERROR(IF(INDIRECT("priprava_" &amp; A1 &amp; "!BY12")&lt;&gt;0,INDIRECT("priprava_" &amp; A1 &amp; "!BY12"),""),"")</f>
        <v>V - P - P - P - V - P - P - P - P - P</v>
      </c>
      <c r="D8" s="287"/>
      <c r="E8" s="287"/>
      <c r="F8" s="287"/>
      <c r="G8" s="287"/>
      <c r="H8" s="288"/>
      <c r="I8" s="25"/>
      <c r="J8" s="289" t="s">
        <v>31</v>
      </c>
      <c r="K8" s="290"/>
      <c r="L8" s="291" t="str">
        <f ca="1">IFERROR(IF(INDIRECT("priprava_" &amp; J1 &amp; "!BY12")&lt;&gt;0,INDIRECT("priprava_" &amp; J1 &amp; "!BY12"),""),"")</f>
        <v>V - V - V - PP - V - VP - P - V - P - V</v>
      </c>
      <c r="M8" s="291"/>
      <c r="N8" s="291"/>
      <c r="O8" s="291"/>
      <c r="P8" s="291"/>
      <c r="Q8" s="292"/>
      <c r="R8" s="25"/>
      <c r="S8" s="158" t="s">
        <v>23</v>
      </c>
      <c r="T8" s="159" t="s">
        <v>5</v>
      </c>
      <c r="U8" s="201" t="s">
        <v>1286</v>
      </c>
      <c r="V8" s="160" t="s">
        <v>1287</v>
      </c>
      <c r="W8" s="161" t="s">
        <v>1189</v>
      </c>
      <c r="X8" s="252" t="str">
        <f t="shared" si="0"/>
        <v>CHO - SKV</v>
      </c>
      <c r="Y8" s="252"/>
      <c r="Z8" s="252"/>
      <c r="AA8" s="253"/>
      <c r="AB8" s="204" t="str">
        <f t="shared" si="1"/>
        <v>13:4</v>
      </c>
      <c r="AC8" s="254" t="str">
        <f t="shared" si="2"/>
        <v>2018/2019 (ZČ)</v>
      </c>
      <c r="AD8" s="252"/>
      <c r="AE8" s="255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 t="s">
        <v>5</v>
      </c>
      <c r="T9" s="159" t="s">
        <v>23</v>
      </c>
      <c r="U9" s="201" t="s">
        <v>999</v>
      </c>
      <c r="V9" s="160" t="s">
        <v>1287</v>
      </c>
      <c r="W9" s="161" t="s">
        <v>1189</v>
      </c>
      <c r="X9" s="252" t="str">
        <f t="shared" si="0"/>
        <v>SKV - CHO</v>
      </c>
      <c r="Y9" s="252"/>
      <c r="Z9" s="252"/>
      <c r="AA9" s="253"/>
      <c r="AB9" s="204" t="str">
        <f t="shared" si="1"/>
        <v>5:6</v>
      </c>
      <c r="AC9" s="254" t="str">
        <f t="shared" si="2"/>
        <v>2018/2019 (ZČ)</v>
      </c>
      <c r="AD9" s="252"/>
      <c r="AE9" s="255"/>
    </row>
    <row r="10" spans="1:31" ht="15" customHeight="1" thickTop="1" thickBot="1" x14ac:dyDescent="0.3">
      <c r="A10" s="273" t="s">
        <v>32</v>
      </c>
      <c r="B10" s="274"/>
      <c r="C10" s="274"/>
      <c r="D10" s="278"/>
      <c r="E10" s="279" t="s">
        <v>33</v>
      </c>
      <c r="F10" s="274"/>
      <c r="G10" s="274"/>
      <c r="H10" s="278"/>
      <c r="I10" s="25"/>
      <c r="J10" s="273" t="s">
        <v>32</v>
      </c>
      <c r="K10" s="274"/>
      <c r="L10" s="274"/>
      <c r="M10" s="278"/>
      <c r="N10" s="279" t="s">
        <v>33</v>
      </c>
      <c r="O10" s="274"/>
      <c r="P10" s="274"/>
      <c r="Q10" s="278"/>
      <c r="R10" s="37"/>
      <c r="S10" s="158" t="s">
        <v>23</v>
      </c>
      <c r="T10" s="159" t="s">
        <v>5</v>
      </c>
      <c r="U10" s="201" t="s">
        <v>1288</v>
      </c>
      <c r="V10" s="160" t="s">
        <v>1289</v>
      </c>
      <c r="W10" s="161" t="s">
        <v>1189</v>
      </c>
      <c r="X10" s="252" t="str">
        <f t="shared" si="0"/>
        <v>CHO - SKV</v>
      </c>
      <c r="Y10" s="252"/>
      <c r="Z10" s="252"/>
      <c r="AA10" s="253"/>
      <c r="AB10" s="204" t="str">
        <f t="shared" si="1"/>
        <v>10:7</v>
      </c>
      <c r="AC10" s="254" t="str">
        <f t="shared" si="2"/>
        <v>2015/2016 (ZČ)</v>
      </c>
      <c r="AD10" s="252"/>
      <c r="AE10" s="255"/>
    </row>
    <row r="11" spans="1:31" ht="15" customHeight="1" x14ac:dyDescent="0.25">
      <c r="A11" s="245" t="str">
        <f ca="1">IFERROR(IF(INDIRECT("priprava_" &amp; A$1 &amp; "!BZ2")&lt;&gt;"",INDIRECT("priprava_" &amp; A$1 &amp; "!BZ2"),""),"")</f>
        <v>LIB (h)</v>
      </c>
      <c r="B11" s="246"/>
      <c r="C11" s="247" t="str">
        <f ca="1">IFERROR(IF(A11&lt;&gt;"",INDIRECT("priprava_" &amp; A$1 &amp; "!CA2"),""),"")</f>
        <v>2:7</v>
      </c>
      <c r="D11" s="248"/>
      <c r="E11" s="249" t="str">
        <f ca="1">IFERROR(IF(INDIRECT("priprava_" &amp; A$1 &amp; "!BZ7")&lt;&gt;"",INDIRECT("priprava_" &amp; A$1 &amp; "!BZ7"),""),"")</f>
        <v>CHO (d)</v>
      </c>
      <c r="F11" s="246"/>
      <c r="G11" s="247" t="str">
        <f ca="1">IFERROR(IF(E11&lt;&gt;"",INDIRECT("priprava_" &amp; A$1 &amp; "!BY7"),""),"")</f>
        <v>26. 11.</v>
      </c>
      <c r="H11" s="248"/>
      <c r="I11" s="25"/>
      <c r="J11" s="245" t="str">
        <f ca="1">IFERROR(IF(INDIRECT("priprava_" &amp; J$1 &amp; "!BZ2")&lt;&gt;"",INDIRECT("priprava_" &amp; J$1 &amp; "!BZ2"),""),"")</f>
        <v>SPA (d)</v>
      </c>
      <c r="K11" s="246"/>
      <c r="L11" s="247" t="str">
        <f ca="1">IFERROR(IF(J11&lt;&gt;"",INDIRECT("priprava_" &amp; J$1 &amp; "!CA2"),""),"")</f>
        <v>7:6</v>
      </c>
      <c r="M11" s="248"/>
      <c r="N11" s="249" t="str">
        <f ca="1">IFERROR(IF(INDIRECT("priprava_" &amp; J$1 &amp; "!BZ7")&lt;&gt;"",INDIRECT("priprava_" &amp; J$1 &amp; "!BZ7"),""),"")</f>
        <v>SKV (h)</v>
      </c>
      <c r="O11" s="246"/>
      <c r="P11" s="247" t="str">
        <f ca="1">IFERROR(IF(N11&lt;&gt;"",INDIRECT("priprava_" &amp; J$1 &amp; "!BY7"),""),"")</f>
        <v>26. 11.</v>
      </c>
      <c r="Q11" s="248"/>
      <c r="R11" s="38"/>
      <c r="S11" s="158" t="s">
        <v>5</v>
      </c>
      <c r="T11" s="159" t="s">
        <v>23</v>
      </c>
      <c r="U11" s="201" t="s">
        <v>1290</v>
      </c>
      <c r="V11" s="160" t="s">
        <v>1289</v>
      </c>
      <c r="W11" s="161" t="s">
        <v>1189</v>
      </c>
      <c r="X11" s="252" t="str">
        <f t="shared" si="0"/>
        <v>SKV - CHO</v>
      </c>
      <c r="Y11" s="252"/>
      <c r="Z11" s="252"/>
      <c r="AA11" s="253"/>
      <c r="AB11" s="204" t="str">
        <f t="shared" si="1"/>
        <v>2:14</v>
      </c>
      <c r="AC11" s="254" t="str">
        <f t="shared" si="2"/>
        <v>2015/2016 (ZČ)</v>
      </c>
      <c r="AD11" s="252"/>
      <c r="AE11" s="255"/>
    </row>
    <row r="12" spans="1:31" ht="15" customHeight="1" x14ac:dyDescent="0.25">
      <c r="A12" s="260" t="str">
        <f ca="1">IFERROR(IF(INDIRECT("priprava_" &amp; A$1 &amp; "!BZ3")&lt;&gt;"",INDIRECT("priprava_" &amp; A$1 &amp; "!BZ3"),""),"")</f>
        <v>OST (d)</v>
      </c>
      <c r="B12" s="261"/>
      <c r="C12" s="294" t="str">
        <f ca="1">IFERROR(IF(A12&lt;&gt;"",INDIRECT("priprava_" &amp; A$1 &amp; "!CA3"),""),"")</f>
        <v>7:8</v>
      </c>
      <c r="D12" s="295"/>
      <c r="E12" s="253" t="str">
        <f ca="1">IFERROR(IF(INDIRECT("priprava_" &amp; A$1 &amp; "!BZ8")&lt;&gt;"",INDIRECT("priprava_" &amp; A$1 &amp; "!BZ8"),""),"")</f>
        <v>BA (h)</v>
      </c>
      <c r="F12" s="261"/>
      <c r="G12" s="294" t="str">
        <f ca="1">IFERROR(IF(E12&lt;&gt;"",INDIRECT("priprava_" &amp; A$1 &amp; "!BY8"),""),"")</f>
        <v>17. 12.</v>
      </c>
      <c r="H12" s="295"/>
      <c r="I12" s="26"/>
      <c r="J12" s="260" t="str">
        <f ca="1">IFERROR(IF(INDIRECT("priprava_" &amp; J$1 &amp; "!BZ3")&lt;&gt;"",INDIRECT("priprava_" &amp; J$1 &amp; "!BZ3"),""),"")</f>
        <v>MB (h)</v>
      </c>
      <c r="K12" s="261"/>
      <c r="L12" s="294" t="str">
        <f ca="1">IFERROR(IF(J12&lt;&gt;"",INDIRECT("priprava_" &amp; J$1 &amp; "!CA3"),""),"")</f>
        <v>7:10</v>
      </c>
      <c r="M12" s="295"/>
      <c r="N12" s="253" t="str">
        <f ca="1">IFERROR(IF(INDIRECT("priprava_" &amp; J$1 &amp; "!BZ8")&lt;&gt;"",INDIRECT("priprava_" &amp; J$1 &amp; "!BZ8"),""),"")</f>
        <v>TAT (d)</v>
      </c>
      <c r="O12" s="261"/>
      <c r="P12" s="294" t="str">
        <f ca="1">IFERROR(IF(N12&lt;&gt;"",INDIRECT("priprava_" &amp; J$1 &amp; "!BY8"),""),"")</f>
        <v>17. 12.</v>
      </c>
      <c r="Q12" s="295"/>
      <c r="R12" s="25"/>
      <c r="S12" s="158" t="s">
        <v>23</v>
      </c>
      <c r="T12" s="159" t="s">
        <v>5</v>
      </c>
      <c r="U12" s="201" t="s">
        <v>1291</v>
      </c>
      <c r="V12" s="160" t="s">
        <v>1292</v>
      </c>
      <c r="W12" s="161" t="s">
        <v>1189</v>
      </c>
      <c r="X12" s="252" t="str">
        <f t="shared" si="0"/>
        <v>CHO - SKV</v>
      </c>
      <c r="Y12" s="252"/>
      <c r="Z12" s="252"/>
      <c r="AA12" s="253"/>
      <c r="AB12" s="204" t="str">
        <f t="shared" si="1"/>
        <v>7:5</v>
      </c>
      <c r="AC12" s="254" t="str">
        <f t="shared" si="2"/>
        <v>2014/2015 (ZČ)</v>
      </c>
      <c r="AD12" s="252"/>
      <c r="AE12" s="255"/>
    </row>
    <row r="13" spans="1:31" ht="15" customHeight="1" x14ac:dyDescent="0.25">
      <c r="A13" s="264" t="str">
        <f ca="1">IFERROR(IF(INDIRECT("priprava_" &amp; A$1 &amp; "!BZ4")&lt;&gt;"",INDIRECT("priprava_" &amp; A$1 &amp; "!BZ4"),""),"")</f>
        <v>TAT (h)</v>
      </c>
      <c r="B13" s="265"/>
      <c r="C13" s="262" t="str">
        <f ca="1">IFERROR(IF(A13&lt;&gt;"",INDIRECT("priprava_" &amp; A$1 &amp; "!CA4"),""),"")</f>
        <v>2:5</v>
      </c>
      <c r="D13" s="263"/>
      <c r="E13" s="296" t="str">
        <f ca="1">IFERROR(IF(INDIRECT("priprava_" &amp; A$1 &amp; "!BZ9")&lt;&gt;"",INDIRECT("priprava_" &amp; A$1 &amp; "!BZ9"),""),"")</f>
        <v>PAR (h)</v>
      </c>
      <c r="F13" s="265"/>
      <c r="G13" s="262" t="str">
        <f ca="1">IFERROR(IF(E13&lt;&gt;"",INDIRECT("priprava_" &amp; A$1 &amp; "!BY9"),""),"")</f>
        <v>19. 12.</v>
      </c>
      <c r="H13" s="263"/>
      <c r="I13" s="25"/>
      <c r="J13" s="264" t="str">
        <f ca="1">IFERROR(IF(INDIRECT("priprava_" &amp; J$1 &amp; "!BZ4")&lt;&gt;"",INDIRECT("priprava_" &amp; J$1 &amp; "!BZ4"),""),"")</f>
        <v>OTR (d)</v>
      </c>
      <c r="K13" s="265"/>
      <c r="L13" s="262" t="str">
        <f ca="1">IFERROR(IF(J13&lt;&gt;"",INDIRECT("priprava_" &amp; J$1 &amp; "!CA4"),""),"")</f>
        <v>10:7</v>
      </c>
      <c r="M13" s="263"/>
      <c r="N13" s="296" t="str">
        <f ca="1">IFERROR(IF(INDIRECT("priprava_" &amp; J$1 &amp; "!BZ9")&lt;&gt;"",INDIRECT("priprava_" &amp; J$1 &amp; "!BZ9"),""),"")</f>
        <v>OST (h)</v>
      </c>
      <c r="O13" s="265"/>
      <c r="P13" s="262" t="str">
        <f ca="1">IFERROR(IF(N13&lt;&gt;"",INDIRECT("priprava_" &amp; J$1 &amp; "!BY9"),""),"")</f>
        <v>19. 12.</v>
      </c>
      <c r="Q13" s="263"/>
      <c r="R13" s="27"/>
      <c r="S13" s="158" t="s">
        <v>5</v>
      </c>
      <c r="T13" s="159" t="s">
        <v>23</v>
      </c>
      <c r="U13" s="201" t="s">
        <v>803</v>
      </c>
      <c r="V13" s="160" t="s">
        <v>1292</v>
      </c>
      <c r="W13" s="161" t="s">
        <v>1189</v>
      </c>
      <c r="X13" s="252" t="str">
        <f t="shared" si="0"/>
        <v>SKV - CHO</v>
      </c>
      <c r="Y13" s="252"/>
      <c r="Z13" s="252"/>
      <c r="AA13" s="253"/>
      <c r="AB13" s="204" t="str">
        <f t="shared" si="1"/>
        <v>4:9</v>
      </c>
      <c r="AC13" s="254" t="str">
        <f t="shared" si="2"/>
        <v>2014/2015 (ZČ)</v>
      </c>
      <c r="AD13" s="252"/>
      <c r="AE13" s="255"/>
    </row>
    <row r="14" spans="1:31" ht="15" customHeight="1" x14ac:dyDescent="0.25">
      <c r="A14" s="260" t="str">
        <f ca="1">IFERROR(IF(INDIRECT("priprava_" &amp; A$1 &amp; "!BZ5")&lt;&gt;"",INDIRECT("priprava_" &amp; A$1 &amp; "!BZ5"),""),"")</f>
        <v>SPA (h)</v>
      </c>
      <c r="B14" s="261"/>
      <c r="C14" s="294" t="str">
        <f ca="1">IFERROR(IF(A14&lt;&gt;"",INDIRECT("priprava_" &amp; A$1 &amp; "!CA5"),""),"")</f>
        <v>1:13</v>
      </c>
      <c r="D14" s="295"/>
      <c r="E14" s="253" t="str">
        <f ca="1">IFERROR(IF(INDIRECT("priprava_" &amp; A$1 &amp; "!BZ10")&lt;&gt;"",INDIRECT("priprava_" &amp; A$1 &amp; "!BZ10"),""),"")</f>
        <v>BOH (h)</v>
      </c>
      <c r="F14" s="261"/>
      <c r="G14" s="294" t="str">
        <f ca="1">IFERROR(IF(E14&lt;&gt;"",INDIRECT("priprava_" &amp; A$1 &amp; "!BY10"),""),"")</f>
        <v>2. 1.</v>
      </c>
      <c r="H14" s="295"/>
      <c r="I14" s="26"/>
      <c r="J14" s="260" t="str">
        <f ca="1">IFERROR(IF(INDIRECT("priprava_" &amp; J$1 &amp; "!BZ5")&lt;&gt;"",INDIRECT("priprava_" &amp; J$1 &amp; "!BZ5"),""),"")</f>
        <v>VIT (h)</v>
      </c>
      <c r="K14" s="261"/>
      <c r="L14" s="294" t="str">
        <f ca="1">IFERROR(IF(J14&lt;&gt;"",INDIRECT("priprava_" &amp; J$1 &amp; "!CA5"),""),"")</f>
        <v>4:6</v>
      </c>
      <c r="M14" s="295"/>
      <c r="N14" s="253" t="str">
        <f ca="1">IFERROR(IF(INDIRECT("priprava_" &amp; J$1 &amp; "!BZ10")&lt;&gt;"",INDIRECT("priprava_" &amp; J$1 &amp; "!BZ10"),""),"")</f>
        <v>CLP (d)</v>
      </c>
      <c r="O14" s="261"/>
      <c r="P14" s="294" t="str">
        <f ca="1">IFERROR(IF(N14&lt;&gt;"",INDIRECT("priprava_" &amp; J$1 &amp; "!BY10"),""),"")</f>
        <v>7. 1.</v>
      </c>
      <c r="Q14" s="295"/>
      <c r="R14" s="25"/>
      <c r="S14" s="158" t="s">
        <v>23</v>
      </c>
      <c r="T14" s="159" t="s">
        <v>5</v>
      </c>
      <c r="U14" s="201" t="s">
        <v>1293</v>
      </c>
      <c r="V14" s="160" t="s">
        <v>1294</v>
      </c>
      <c r="W14" s="161" t="s">
        <v>1189</v>
      </c>
      <c r="X14" s="252" t="str">
        <f t="shared" si="0"/>
        <v>CHO - SKV</v>
      </c>
      <c r="Y14" s="252"/>
      <c r="Z14" s="252"/>
      <c r="AA14" s="253"/>
      <c r="AB14" s="204" t="str">
        <f t="shared" si="1"/>
        <v>3:1</v>
      </c>
      <c r="AC14" s="254" t="str">
        <f t="shared" si="2"/>
        <v>2006/2007 (ZČ)</v>
      </c>
      <c r="AD14" s="252"/>
      <c r="AE14" s="255"/>
    </row>
    <row r="15" spans="1:31" ht="15" customHeight="1" thickBot="1" x14ac:dyDescent="0.3">
      <c r="A15" s="353" t="str">
        <f ca="1">IFERROR(IF(INDIRECT("priprava_" &amp; A$1 &amp; "!BZ6")&lt;&gt;"",INDIRECT("priprava_" &amp; A$1 &amp; "!BZ6"),""),"")</f>
        <v>MB (d)</v>
      </c>
      <c r="B15" s="349"/>
      <c r="C15" s="350" t="str">
        <f ca="1">IFERROR(IF(A15&lt;&gt;"",INDIRECT("priprava_" &amp; A$1 &amp; "!CA6"),""),"")</f>
        <v>2:6</v>
      </c>
      <c r="D15" s="351"/>
      <c r="E15" s="348" t="str">
        <f ca="1">IFERROR(IF(INDIRECT("priprava_" &amp; A$1 &amp; "!BZ11")&lt;&gt;"",INDIRECT("priprava_" &amp; A$1 &amp; "!BZ11"),""),"")</f>
        <v>VIT (d)</v>
      </c>
      <c r="F15" s="349"/>
      <c r="G15" s="350" t="str">
        <f ca="1">IFERROR(IF(E15&lt;&gt;"",INDIRECT("priprava_" &amp; A$1 &amp; "!BY11"),""),"")</f>
        <v>7. 1.</v>
      </c>
      <c r="H15" s="351"/>
      <c r="I15" s="25"/>
      <c r="J15" s="353" t="str">
        <f ca="1">IFERROR(IF(INDIRECT("priprava_" &amp; J$1 &amp; "!BZ6")&lt;&gt;"",INDIRECT("priprava_" &amp; J$1 &amp; "!BZ6"),""),"")</f>
        <v>BOH (d)</v>
      </c>
      <c r="K15" s="349"/>
      <c r="L15" s="350" t="str">
        <f ca="1">IFERROR(IF(J15&lt;&gt;"",INDIRECT("priprava_" &amp; J$1 &amp; "!CA6"),""),"")</f>
        <v>5:4p</v>
      </c>
      <c r="M15" s="351"/>
      <c r="N15" s="348" t="str">
        <f ca="1">IFERROR(IF(INDIRECT("priprava_" &amp; J$1 &amp; "!BZ11")&lt;&gt;"",INDIRECT("priprava_" &amp; J$1 &amp; "!BZ11"),""),"")</f>
        <v>BA (h)</v>
      </c>
      <c r="O15" s="349"/>
      <c r="P15" s="350" t="str">
        <f ca="1">IFERROR(IF(N15&lt;&gt;"",INDIRECT("priprava_" &amp; J$1 &amp; "!BY11"),""),"")</f>
        <v>9. 1.</v>
      </c>
      <c r="Q15" s="351"/>
      <c r="R15" s="25"/>
      <c r="S15" s="158" t="s">
        <v>5</v>
      </c>
      <c r="T15" s="159" t="s">
        <v>23</v>
      </c>
      <c r="U15" s="201" t="s">
        <v>1295</v>
      </c>
      <c r="V15" s="160" t="s">
        <v>1294</v>
      </c>
      <c r="W15" s="161" t="s">
        <v>1189</v>
      </c>
      <c r="X15" s="252" t="str">
        <f t="shared" ref="X15:X18" si="3">IF(S15&lt;&gt;"",CONCATENATE(S15, " - ",T15),"")</f>
        <v>SKV - CHO</v>
      </c>
      <c r="Y15" s="252"/>
      <c r="Z15" s="252"/>
      <c r="AA15" s="253"/>
      <c r="AB15" s="204" t="str">
        <f t="shared" ref="AB15:AB18" si="4">IF(U15&lt;&gt;"",U15,"")</f>
        <v>0:8</v>
      </c>
      <c r="AC15" s="254" t="str">
        <f t="shared" ref="AC15:AC18" si="5">IF(AND(V15&lt;&gt;"",W15&lt;&gt;""),CONCATENATE(V15," (",W15,")"),IF(V15&lt;&gt;"",V15,""))</f>
        <v>2006/2007 (ZČ)</v>
      </c>
      <c r="AD15" s="252"/>
      <c r="AE15" s="255"/>
    </row>
    <row r="16" spans="1:31" ht="15" customHeight="1" thickTop="1" x14ac:dyDescent="0.25">
      <c r="R16" s="37"/>
      <c r="S16" s="158"/>
      <c r="T16" s="159"/>
      <c r="U16" s="201"/>
      <c r="V16" s="160"/>
      <c r="W16" s="161"/>
      <c r="X16" s="252" t="str">
        <f t="shared" si="3"/>
        <v/>
      </c>
      <c r="Y16" s="252"/>
      <c r="Z16" s="252"/>
      <c r="AA16" s="253"/>
      <c r="AB16" s="204" t="str">
        <f t="shared" si="4"/>
        <v/>
      </c>
      <c r="AC16" s="254" t="str">
        <f t="shared" si="5"/>
        <v/>
      </c>
      <c r="AD16" s="252"/>
      <c r="AE16" s="255"/>
    </row>
    <row r="17" spans="1:31" ht="15" customHeight="1" thickBot="1" x14ac:dyDescent="0.3">
      <c r="A17" s="352" t="s">
        <v>34</v>
      </c>
      <c r="B17" s="352"/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158"/>
      <c r="T17" s="159"/>
      <c r="U17" s="201"/>
      <c r="V17" s="160"/>
      <c r="W17" s="161"/>
      <c r="X17" s="252" t="str">
        <f t="shared" si="3"/>
        <v/>
      </c>
      <c r="Y17" s="252"/>
      <c r="Z17" s="252"/>
      <c r="AA17" s="253"/>
      <c r="AB17" s="204" t="str">
        <f t="shared" si="4"/>
        <v/>
      </c>
      <c r="AC17" s="254" t="str">
        <f t="shared" si="5"/>
        <v/>
      </c>
      <c r="AD17" s="252"/>
      <c r="AE17" s="255"/>
    </row>
    <row r="18" spans="1:31" ht="15" customHeight="1" thickTop="1" thickBot="1" x14ac:dyDescent="0.3">
      <c r="A18" s="273" t="s">
        <v>35</v>
      </c>
      <c r="B18" s="274"/>
      <c r="C18" s="313"/>
      <c r="D18" s="314" t="s">
        <v>36</v>
      </c>
      <c r="E18" s="274"/>
      <c r="F18" s="315"/>
      <c r="G18" s="279" t="s">
        <v>37</v>
      </c>
      <c r="H18" s="274"/>
      <c r="I18" s="278"/>
      <c r="J18" s="275" t="s">
        <v>35</v>
      </c>
      <c r="K18" s="276"/>
      <c r="L18" s="316"/>
      <c r="M18" s="317" t="s">
        <v>36</v>
      </c>
      <c r="N18" s="276"/>
      <c r="O18" s="318"/>
      <c r="P18" s="319" t="s">
        <v>37</v>
      </c>
      <c r="Q18" s="276"/>
      <c r="R18" s="320"/>
      <c r="S18" s="162"/>
      <c r="T18" s="163"/>
      <c r="U18" s="202"/>
      <c r="V18" s="164"/>
      <c r="W18" s="165"/>
      <c r="X18" s="256" t="str">
        <f t="shared" si="3"/>
        <v/>
      </c>
      <c r="Y18" s="256"/>
      <c r="Z18" s="256"/>
      <c r="AA18" s="257"/>
      <c r="AB18" s="205" t="str">
        <f t="shared" si="4"/>
        <v/>
      </c>
      <c r="AC18" s="258" t="str">
        <f t="shared" si="5"/>
        <v/>
      </c>
      <c r="AD18" s="256"/>
      <c r="AE18" s="259"/>
    </row>
    <row r="19" spans="1:31" ht="15" customHeight="1" thickBot="1" x14ac:dyDescent="0.3">
      <c r="A19" s="266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67"/>
      <c r="C19" s="39">
        <f ca="1">IFERROR(IF(A19&lt;&gt;"",INDIRECT("priprava_" &amp; A$1 &amp; "!BW2"),""),"")</f>
        <v>26</v>
      </c>
      <c r="D19" s="268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67"/>
      <c r="F19" s="39">
        <f ca="1">IFERROR(IF(D19&lt;&gt;"",INDIRECT("priprava_" &amp; A$1 &amp; "!BW12"),""),"")</f>
        <v>13</v>
      </c>
      <c r="G19" s="268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267"/>
      <c r="I19" s="39">
        <f ca="1">IFERROR(IF(G19&lt;&gt;"",INDIRECT("priprava_" &amp; A$1 &amp; "!BW22"),""),"")</f>
        <v>13</v>
      </c>
      <c r="J19" s="269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Vávra M.</v>
      </c>
      <c r="K19" s="270"/>
      <c r="L19" s="40">
        <f ca="1">IFERROR(IF(J19&lt;&gt;"",INDIRECT("priprava_" &amp; J$1 &amp; "!BW2"),""),"")</f>
        <v>37</v>
      </c>
      <c r="M19" s="293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Vávra M.</v>
      </c>
      <c r="N19" s="270"/>
      <c r="O19" s="40">
        <f ca="1">IFERROR(IF(M19&lt;&gt;"",INDIRECT("priprava_" &amp; J$1 &amp; "!BW12"),""),"")</f>
        <v>19</v>
      </c>
      <c r="P19" s="293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Vávra M.</v>
      </c>
      <c r="Q19" s="270"/>
      <c r="R19" s="41">
        <f ca="1">IFERROR(IF(P19&lt;&gt;"",INDIRECT("priprava_" &amp; J$1 &amp; "!BW22"),""),"")</f>
        <v>18</v>
      </c>
    </row>
    <row r="20" spans="1:31" ht="15" customHeight="1" thickTop="1" thickBot="1" x14ac:dyDescent="0.3">
      <c r="A20" s="297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298"/>
      <c r="C20" s="42">
        <f ca="1">IFERROR(IF(A20&lt;&gt;"",INDIRECT("priprava_" &amp; A$1 &amp; "!BW3"),""),"")</f>
        <v>16</v>
      </c>
      <c r="D20" s="299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98"/>
      <c r="F20" s="43">
        <f ca="1">IFERROR(IF(D20&lt;&gt;"",INDIRECT("priprava_" &amp; A$1 &amp; "!BW13"),""),"")</f>
        <v>11</v>
      </c>
      <c r="G20" s="300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98"/>
      <c r="I20" s="44">
        <f ca="1">IFERROR(IF(G20&lt;&gt;"",INDIRECT("priprava_" &amp; A$1 &amp; "!BW23"),""),"")</f>
        <v>9</v>
      </c>
      <c r="J20" s="301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Majer</v>
      </c>
      <c r="K20" s="302"/>
      <c r="L20" s="45">
        <f ca="1">IFERROR(IF(J20&lt;&gt;"",INDIRECT("priprava_" &amp; J$1 &amp; "!BW3"),""),"")</f>
        <v>36</v>
      </c>
      <c r="M20" s="303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Majer</v>
      </c>
      <c r="N20" s="302"/>
      <c r="O20" s="46">
        <f ca="1">IFERROR(IF(M20&lt;&gt;"",INDIRECT("priprava_" &amp; J$1 &amp; "!BW13"),""),"")</f>
        <v>18</v>
      </c>
      <c r="P20" s="304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Majer</v>
      </c>
      <c r="Q20" s="302"/>
      <c r="R20" s="47">
        <f ca="1">IFERROR(IF(P20&lt;&gt;"",INDIRECT("priprava_" &amp; J$1 &amp; "!BW23"),""),"")</f>
        <v>18</v>
      </c>
      <c r="Y20" s="370" t="s">
        <v>1015</v>
      </c>
      <c r="Z20" s="371"/>
      <c r="AA20" s="371"/>
      <c r="AB20" s="371"/>
      <c r="AC20" s="371"/>
      <c r="AD20" s="371"/>
      <c r="AE20" s="372"/>
    </row>
    <row r="21" spans="1:31" ht="15" customHeight="1" thickBot="1" x14ac:dyDescent="0.3">
      <c r="A21" s="297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98"/>
      <c r="C21" s="42">
        <f ca="1">IFERROR(IF(A21&lt;&gt;"",INDIRECT("priprava_" &amp; A$1 &amp; "!BW4"),""),"")</f>
        <v>15</v>
      </c>
      <c r="D21" s="299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Fiala</v>
      </c>
      <c r="E21" s="298"/>
      <c r="F21" s="43">
        <f ca="1">IFERROR(IF(D21&lt;&gt;"",INDIRECT("priprava_" &amp; A$1 &amp; "!BW14"),""),"")</f>
        <v>7</v>
      </c>
      <c r="G21" s="300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Stuchlík O.</v>
      </c>
      <c r="H21" s="298"/>
      <c r="I21" s="44">
        <f ca="1">IFERROR(IF(G21&lt;&gt;"",INDIRECT("priprava_" &amp; A$1 &amp; "!BW24"),""),"")</f>
        <v>7</v>
      </c>
      <c r="J21" s="301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Ondrušek</v>
      </c>
      <c r="K21" s="302"/>
      <c r="L21" s="45">
        <f ca="1">IFERROR(IF(J21&lt;&gt;"",INDIRECT("priprava_" &amp; J$1 &amp; "!BW4"),""),"")</f>
        <v>22</v>
      </c>
      <c r="M21" s="303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Eremiáš</v>
      </c>
      <c r="N21" s="302"/>
      <c r="O21" s="46">
        <f ca="1">IFERROR(IF(M21&lt;&gt;"",INDIRECT("priprava_" &amp; J$1 &amp; "!BW14"),""),"")</f>
        <v>12</v>
      </c>
      <c r="P21" s="304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Ondrušek</v>
      </c>
      <c r="Q21" s="302"/>
      <c r="R21" s="47">
        <f ca="1">IFERROR(IF(P21&lt;&gt;"",INDIRECT("priprava_" &amp; J$1 &amp; "!BW24"),""),"")</f>
        <v>12</v>
      </c>
      <c r="Y21" s="223" t="s">
        <v>1014</v>
      </c>
      <c r="Z21" s="224" t="s">
        <v>77</v>
      </c>
      <c r="AA21" s="225" t="s">
        <v>1011</v>
      </c>
      <c r="AB21" s="225" t="s">
        <v>121</v>
      </c>
      <c r="AC21" s="225" t="s">
        <v>1012</v>
      </c>
      <c r="AD21" s="225" t="s">
        <v>41</v>
      </c>
      <c r="AE21" s="226" t="s">
        <v>1013</v>
      </c>
    </row>
    <row r="22" spans="1:31" ht="15" customHeight="1" x14ac:dyDescent="0.25">
      <c r="A22" s="297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298"/>
      <c r="C22" s="42">
        <f ca="1">IFERROR(IF(A22&lt;&gt;"",INDIRECT("priprava_" &amp; A$1 &amp; "!BW5"),""),"")</f>
        <v>12</v>
      </c>
      <c r="D22" s="299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Procházka</v>
      </c>
      <c r="E22" s="298"/>
      <c r="F22" s="43">
        <f ca="1">IFERROR(IF(D22&lt;&gt;"",INDIRECT("priprava_" &amp; A$1 &amp; "!BW15"),""),"")</f>
        <v>7</v>
      </c>
      <c r="G22" s="300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298"/>
      <c r="I22" s="44">
        <f ca="1">IFERROR(IF(G22&lt;&gt;"",INDIRECT("priprava_" &amp; A$1 &amp; "!BW25"),""),"")</f>
        <v>6</v>
      </c>
      <c r="J22" s="301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Eremiáš</v>
      </c>
      <c r="K22" s="302"/>
      <c r="L22" s="45">
        <f ca="1">IFERROR(IF(J22&lt;&gt;"",INDIRECT("priprava_" &amp; J$1 &amp; "!BW5"),""),"")</f>
        <v>19</v>
      </c>
      <c r="M22" s="303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Komárek</v>
      </c>
      <c r="N22" s="302"/>
      <c r="O22" s="46">
        <f ca="1">IFERROR(IF(M22&lt;&gt;"",INDIRECT("priprava_" &amp; J$1 &amp; "!BW15"),""),"")</f>
        <v>12</v>
      </c>
      <c r="P22" s="304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Eremiáš</v>
      </c>
      <c r="Q22" s="302"/>
      <c r="R22" s="47">
        <f ca="1">IFERROR(IF(P22&lt;&gt;"",INDIRECT("priprava_" &amp; J$1 &amp; "!BW25"),""),"")</f>
        <v>7</v>
      </c>
      <c r="Y22" s="187" t="s">
        <v>5</v>
      </c>
      <c r="Z22" s="188">
        <v>160</v>
      </c>
      <c r="AA22" s="189">
        <v>34</v>
      </c>
      <c r="AB22" s="189">
        <v>1</v>
      </c>
      <c r="AC22" s="189">
        <v>125</v>
      </c>
      <c r="AD22" s="189">
        <v>103</v>
      </c>
      <c r="AE22" s="190">
        <v>21</v>
      </c>
    </row>
    <row r="23" spans="1:31" ht="15" customHeight="1" thickBot="1" x14ac:dyDescent="0.3">
      <c r="A23" s="305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O.</v>
      </c>
      <c r="B23" s="306"/>
      <c r="C23" s="48">
        <f ca="1">IFERROR(IF(A23&lt;&gt;"",INDIRECT("priprava_" &amp; A$1 &amp; "!BW6"),""),"")</f>
        <v>10</v>
      </c>
      <c r="D23" s="307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Pergler</v>
      </c>
      <c r="E23" s="306"/>
      <c r="F23" s="49">
        <f ca="1">IFERROR(IF(D23&lt;&gt;"",INDIRECT("priprava_" &amp; A$1 &amp; "!BW16"),""),"")</f>
        <v>6</v>
      </c>
      <c r="G23" s="308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Hartman</v>
      </c>
      <c r="H23" s="306"/>
      <c r="I23" s="50">
        <f ca="1">IFERROR(IF(G23&lt;&gt;"",INDIRECT("priprava_" &amp; A$1 &amp; "!BW26"),""),"")</f>
        <v>4</v>
      </c>
      <c r="J23" s="309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Komárek</v>
      </c>
      <c r="K23" s="310"/>
      <c r="L23" s="51">
        <f ca="1">IFERROR(IF(J23&lt;&gt;"",INDIRECT("priprava_" &amp; J$1 &amp; "!BW6"),""),"")</f>
        <v>19</v>
      </c>
      <c r="M23" s="311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Vošta</v>
      </c>
      <c r="N23" s="310"/>
      <c r="O23" s="52">
        <f ca="1">IFERROR(IF(M23&lt;&gt;"",INDIRECT("priprava_" &amp; J$1 &amp; "!BW16"),""),"")</f>
        <v>10</v>
      </c>
      <c r="P23" s="312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Skřivánek</v>
      </c>
      <c r="Q23" s="310"/>
      <c r="R23" s="53">
        <f ca="1">IFERROR(IF(P23&lt;&gt;"",INDIRECT("priprava_" &amp; J$1 &amp; "!BW26"),""),"")</f>
        <v>7</v>
      </c>
      <c r="Y23" s="191" t="s">
        <v>23</v>
      </c>
      <c r="Z23" s="192">
        <v>644</v>
      </c>
      <c r="AA23" s="193">
        <v>370</v>
      </c>
      <c r="AB23" s="193">
        <v>42</v>
      </c>
      <c r="AC23" s="193">
        <v>232</v>
      </c>
      <c r="AD23" s="193">
        <v>1056</v>
      </c>
      <c r="AE23" s="194">
        <v>57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73" t="s">
        <v>38</v>
      </c>
      <c r="B25" s="274"/>
      <c r="C25" s="313"/>
      <c r="D25" s="314" t="s">
        <v>39</v>
      </c>
      <c r="E25" s="274"/>
      <c r="F25" s="315"/>
      <c r="G25" s="279" t="s">
        <v>40</v>
      </c>
      <c r="H25" s="274"/>
      <c r="I25" s="278"/>
      <c r="J25" s="275" t="s">
        <v>38</v>
      </c>
      <c r="K25" s="276"/>
      <c r="L25" s="316"/>
      <c r="M25" s="317" t="s">
        <v>39</v>
      </c>
      <c r="N25" s="276"/>
      <c r="O25" s="318"/>
      <c r="P25" s="319" t="s">
        <v>40</v>
      </c>
      <c r="Q25" s="276"/>
      <c r="R25" s="320"/>
      <c r="S25" s="400" t="s">
        <v>1198</v>
      </c>
      <c r="T25" s="401"/>
      <c r="U25" s="401"/>
      <c r="V25" s="401"/>
      <c r="W25" s="401"/>
      <c r="X25" s="401"/>
      <c r="Y25" s="401"/>
      <c r="Z25" s="401"/>
      <c r="AA25" s="401"/>
      <c r="AB25" s="401"/>
      <c r="AC25" s="401"/>
      <c r="AD25" s="401"/>
      <c r="AE25" s="402"/>
    </row>
    <row r="26" spans="1:31" ht="15" customHeight="1" thickBot="1" x14ac:dyDescent="0.3">
      <c r="A26" s="266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267"/>
      <c r="C26" s="39">
        <f ca="1">IFERROR(IF(A26&lt;&gt;"",INDIRECT("priprava_" &amp; A$1 &amp; "!BW27"),""),"")</f>
        <v>20</v>
      </c>
      <c r="D26" s="268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67"/>
      <c r="F26" s="54">
        <f ca="1">IFERROR(IF(D26&lt;&gt;"",INDIRECT("priprava_" &amp; A$1 &amp; "!BW7"),""),"")</f>
        <v>6.7</v>
      </c>
      <c r="G26" s="268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67"/>
      <c r="I26" s="39">
        <f ca="1">IFERROR(IF(G26&lt;&gt;"",INDIRECT("priprava_" &amp; A$1 &amp; "!BW17"),""),"")</f>
        <v>2</v>
      </c>
      <c r="J26" s="269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Komárek</v>
      </c>
      <c r="K26" s="270"/>
      <c r="L26" s="40">
        <f ca="1">IFERROR(IF(J26&lt;&gt;"",INDIRECT("priprava_" &amp; J$1 &amp; "!BW27"),""),"")</f>
        <v>10</v>
      </c>
      <c r="M26" s="293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Hodík</v>
      </c>
      <c r="N26" s="270"/>
      <c r="O26" s="55">
        <f ca="1">IFERROR(IF(M26&lt;&gt;"",INDIRECT("priprava_" &amp; J$1 &amp; "!BW7"),""),"")</f>
        <v>5.27</v>
      </c>
      <c r="P26" s="293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Hodík</v>
      </c>
      <c r="Q26" s="270"/>
      <c r="R26" s="41">
        <f ca="1">IFERROR(IF(P26&lt;&gt;"",INDIRECT("priprava_" &amp; J$1 &amp; "!BW17"),""),"")</f>
        <v>9</v>
      </c>
      <c r="S26" s="227" t="s">
        <v>1186</v>
      </c>
      <c r="T26" s="393" t="s">
        <v>1187</v>
      </c>
      <c r="U26" s="394"/>
      <c r="V26" s="394"/>
      <c r="W26" s="395"/>
      <c r="X26" s="403" t="s">
        <v>188</v>
      </c>
      <c r="Y26" s="404"/>
      <c r="Z26" s="405" t="s">
        <v>1199</v>
      </c>
      <c r="AA26" s="405"/>
      <c r="AB26" s="405"/>
      <c r="AC26" s="405"/>
      <c r="AD26" s="405"/>
      <c r="AE26" s="406"/>
    </row>
    <row r="27" spans="1:31" ht="15" customHeight="1" x14ac:dyDescent="0.25">
      <c r="A27" s="297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Stuchlík Z.</v>
      </c>
      <c r="B27" s="298"/>
      <c r="C27" s="42">
        <f ca="1">IFERROR(IF(A27&lt;&gt;"",INDIRECT("priprava_" &amp; A$1 &amp; "!BW28"),""),"")</f>
        <v>8</v>
      </c>
      <c r="D27" s="299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98"/>
      <c r="F27" s="56">
        <f ca="1">IFERROR(IF(D27&lt;&gt;"",INDIRECT("priprava_" &amp; A$1 &amp; "!BW8"),""),"")</f>
        <v>8.09</v>
      </c>
      <c r="G27" s="300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98"/>
      <c r="I27" s="44">
        <f ca="1">IFERROR(IF(G27&lt;&gt;"",INDIRECT("priprava_" &amp; A$1 &amp; "!BW18"),""),"")</f>
        <v>1</v>
      </c>
      <c r="J27" s="301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Bauer</v>
      </c>
      <c r="K27" s="302"/>
      <c r="L27" s="45">
        <f ca="1">IFERROR(IF(J27&lt;&gt;"",INDIRECT("priprava_" &amp; J$1 &amp; "!BW28"),""),"")</f>
        <v>8</v>
      </c>
      <c r="M27" s="303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Pergler</v>
      </c>
      <c r="N27" s="302"/>
      <c r="O27" s="57">
        <f ca="1">IFERROR(IF(M27&lt;&gt;"",INDIRECT("priprava_" &amp; J$1 &amp; "!BW8"),""),"")</f>
        <v>3.33</v>
      </c>
      <c r="P27" s="304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Pergler</v>
      </c>
      <c r="Q27" s="302"/>
      <c r="R27" s="47">
        <f ca="1">IFERROR(IF(P27&lt;&gt;"",INDIRECT("priprava_" &amp; J$1 &amp; "!BW18"),""),"")</f>
        <v>1</v>
      </c>
      <c r="S27" s="206" t="s">
        <v>1188</v>
      </c>
      <c r="T27" s="207" t="s">
        <v>1296</v>
      </c>
      <c r="U27" s="212"/>
      <c r="V27" s="212"/>
      <c r="W27" s="213"/>
      <c r="X27" s="407" t="str">
        <f>IF(AND(S27&lt;&gt;"",LEFT(T27,1)&lt;&gt;" "),S27,"")</f>
        <v>celkem</v>
      </c>
      <c r="Y27" s="344"/>
      <c r="Z27" s="408" t="str">
        <f>IF(AND(T27&lt;&gt;"",LEFT(T27,1)&lt;&gt;" "),T27,"")</f>
        <v>13 zápasů, 0 - 1 - 0 - 0 - 12, skóre 53:120</v>
      </c>
      <c r="AA27" s="408"/>
      <c r="AB27" s="408"/>
      <c r="AC27" s="408"/>
      <c r="AD27" s="408"/>
      <c r="AE27" s="409"/>
    </row>
    <row r="28" spans="1:31" ht="15" customHeight="1" x14ac:dyDescent="0.25">
      <c r="A28" s="297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298"/>
      <c r="C28" s="42">
        <f ca="1">IFERROR(IF(A28&lt;&gt;"",INDIRECT("priprava_" &amp; A$1 &amp; "!BW29"),""),"")</f>
        <v>8</v>
      </c>
      <c r="D28" s="299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>Lorenc</v>
      </c>
      <c r="E28" s="298"/>
      <c r="F28" s="56">
        <f ca="1">IFERROR(IF(D28&lt;&gt;"",INDIRECT("priprava_" &amp; A$1 &amp; "!BW9"),""),"")</f>
        <v>0</v>
      </c>
      <c r="G28" s="300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>Lorenc</v>
      </c>
      <c r="H28" s="298"/>
      <c r="I28" s="44">
        <f ca="1">IFERROR(IF(G28&lt;&gt;"",INDIRECT("priprava_" &amp; A$1 &amp; "!BW19"),""),"")</f>
        <v>0</v>
      </c>
      <c r="J28" s="301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Strnad</v>
      </c>
      <c r="K28" s="302"/>
      <c r="L28" s="45">
        <f ca="1">IFERROR(IF(J28&lt;&gt;"",INDIRECT("priprava_" &amp; J$1 &amp; "!BW29"),""),"")</f>
        <v>8</v>
      </c>
      <c r="M28" s="303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Šimůnek</v>
      </c>
      <c r="N28" s="302"/>
      <c r="O28" s="57">
        <f ca="1">IFERROR(IF(M28&lt;&gt;"",INDIRECT("priprava_" &amp; J$1 &amp; "!BW9"),""),"")</f>
        <v>6.43</v>
      </c>
      <c r="P28" s="304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Šimůnek</v>
      </c>
      <c r="Q28" s="302"/>
      <c r="R28" s="47">
        <f ca="1">IFERROR(IF(P28&lt;&gt;"",INDIRECT("priprava_" &amp; J$1 &amp; "!BW19"),""),"")</f>
        <v>1</v>
      </c>
      <c r="S28" s="208" t="s">
        <v>1189</v>
      </c>
      <c r="T28" s="209" t="s">
        <v>1296</v>
      </c>
      <c r="U28" s="214"/>
      <c r="V28" s="214"/>
      <c r="W28" s="215"/>
      <c r="X28" s="390" t="str">
        <f>IF(S28&lt;&gt;"",S28,"")</f>
        <v>ZČ</v>
      </c>
      <c r="Y28" s="253"/>
      <c r="Z28" s="398" t="str">
        <f t="shared" ref="Z28:Z34" si="6">IF(T28&lt;&gt;"",T28,"")</f>
        <v>13 zápasů, 0 - 1 - 0 - 0 - 12, skóre 53:120</v>
      </c>
      <c r="AA28" s="398"/>
      <c r="AB28" s="398"/>
      <c r="AC28" s="398"/>
      <c r="AD28" s="398"/>
      <c r="AE28" s="399"/>
    </row>
    <row r="29" spans="1:31" ht="15" customHeight="1" x14ac:dyDescent="0.25">
      <c r="A29" s="297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Fiala</v>
      </c>
      <c r="B29" s="298"/>
      <c r="C29" s="42">
        <f ca="1">IFERROR(IF(A29&lt;&gt;"",INDIRECT("priprava_" &amp; A$1 &amp; "!BW30"),""),"")</f>
        <v>6</v>
      </c>
      <c r="D29" s="299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98"/>
      <c r="F29" s="56" t="str">
        <f ca="1">IFERROR(IF(D29&lt;&gt;"",INDIRECT("priprava_" &amp; A$1 &amp; "!BW10"),""),"")</f>
        <v/>
      </c>
      <c r="G29" s="300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98"/>
      <c r="I29" s="44" t="str">
        <f ca="1">IFERROR(IF(G29&lt;&gt;"",INDIRECT("priprava_" &amp; A$1 &amp; "!BW20"),""),"")</f>
        <v/>
      </c>
      <c r="J29" s="301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Netrefa</v>
      </c>
      <c r="K29" s="302"/>
      <c r="L29" s="45">
        <f ca="1">IFERROR(IF(J29&lt;&gt;"",INDIRECT("priprava_" &amp; J$1 &amp; "!BW30"),""),"")</f>
        <v>6</v>
      </c>
      <c r="M29" s="303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02"/>
      <c r="O29" s="57" t="str">
        <f ca="1">IFERROR(IF(M29&lt;&gt;"",INDIRECT("priprava_" &amp; J$1 &amp; "!BW10"),""),"")</f>
        <v/>
      </c>
      <c r="P29" s="304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02"/>
      <c r="R29" s="47" t="str">
        <f ca="1">IFERROR(IF(P29&lt;&gt;"",INDIRECT("priprava_" &amp; J$1 &amp; "!BW20"),""),"")</f>
        <v/>
      </c>
      <c r="S29" s="208"/>
      <c r="T29" s="209"/>
      <c r="U29" s="214"/>
      <c r="V29" s="214"/>
      <c r="W29" s="215"/>
      <c r="X29" s="390" t="str">
        <f t="shared" ref="X29:X34" si="7">IF(S29&lt;&gt;"",S29,"")</f>
        <v/>
      </c>
      <c r="Y29" s="253"/>
      <c r="Z29" s="398" t="str">
        <f t="shared" si="6"/>
        <v/>
      </c>
      <c r="AA29" s="398"/>
      <c r="AB29" s="398"/>
      <c r="AC29" s="398"/>
      <c r="AD29" s="398"/>
      <c r="AE29" s="399"/>
    </row>
    <row r="30" spans="1:31" ht="15" customHeight="1" thickBot="1" x14ac:dyDescent="0.3">
      <c r="A30" s="305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Gold</v>
      </c>
      <c r="B30" s="306"/>
      <c r="C30" s="48">
        <f ca="1">IFERROR(IF(A30&lt;&gt;"",INDIRECT("priprava_" &amp; A$1 &amp; "!BW31"),""),"")</f>
        <v>4</v>
      </c>
      <c r="D30" s="307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6"/>
      <c r="F30" s="58" t="str">
        <f ca="1">IFERROR(IF(D30&lt;&gt;"",INDIRECT("priprava_" &amp; A$1 &amp; "!BW11"),""),"")</f>
        <v/>
      </c>
      <c r="G30" s="308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6"/>
      <c r="I30" s="50" t="str">
        <f ca="1">IFERROR(IF(G30&lt;&gt;"",INDIRECT("priprava_" &amp; A$1 &amp; "!BW21"),""),"")</f>
        <v/>
      </c>
      <c r="J30" s="309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Podhráský</v>
      </c>
      <c r="K30" s="310"/>
      <c r="L30" s="51">
        <f ca="1">IFERROR(IF(J30&lt;&gt;"",INDIRECT("priprava_" &amp; J$1 &amp; "!BW31"),""),"")</f>
        <v>6</v>
      </c>
      <c r="M30" s="311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10"/>
      <c r="O30" s="59" t="str">
        <f ca="1">IFERROR(IF(M30&lt;&gt;"",INDIRECT("priprava_" &amp; J$1 &amp; "!BW11"),""),"")</f>
        <v/>
      </c>
      <c r="P30" s="312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10"/>
      <c r="R30" s="53" t="str">
        <f ca="1">IFERROR(IF(P30&lt;&gt;"",INDIRECT("priprava_" &amp; J$1 &amp; "!BW21"),""),"")</f>
        <v/>
      </c>
      <c r="S30" s="208"/>
      <c r="T30" s="209"/>
      <c r="U30" s="214"/>
      <c r="V30" s="214"/>
      <c r="W30" s="215"/>
      <c r="X30" s="390" t="str">
        <f t="shared" si="7"/>
        <v/>
      </c>
      <c r="Y30" s="253"/>
      <c r="Z30" s="398" t="str">
        <f t="shared" si="6"/>
        <v/>
      </c>
      <c r="AA30" s="398"/>
      <c r="AB30" s="398"/>
      <c r="AC30" s="398"/>
      <c r="AD30" s="398"/>
      <c r="AE30" s="399"/>
    </row>
    <row r="31" spans="1:31" ht="15" customHeight="1" thickTop="1" thickBot="1" x14ac:dyDescent="0.3">
      <c r="S31" s="208"/>
      <c r="T31" s="209"/>
      <c r="U31" s="214"/>
      <c r="V31" s="214"/>
      <c r="W31" s="215"/>
      <c r="X31" s="390" t="str">
        <f t="shared" si="7"/>
        <v/>
      </c>
      <c r="Y31" s="253"/>
      <c r="Z31" s="398" t="str">
        <f t="shared" si="6"/>
        <v/>
      </c>
      <c r="AA31" s="398"/>
      <c r="AB31" s="398"/>
      <c r="AC31" s="398"/>
      <c r="AD31" s="398"/>
      <c r="AE31" s="399"/>
    </row>
    <row r="32" spans="1:31" ht="15" customHeight="1" thickTop="1" thickBot="1" x14ac:dyDescent="0.3">
      <c r="I32" s="140"/>
      <c r="J32" s="140"/>
      <c r="K32" s="345" t="s">
        <v>43</v>
      </c>
      <c r="L32" s="346"/>
      <c r="M32" s="346"/>
      <c r="N32" s="346"/>
      <c r="O32" s="346"/>
      <c r="P32" s="346"/>
      <c r="Q32" s="346"/>
      <c r="R32" s="347"/>
      <c r="S32" s="210"/>
      <c r="T32" s="209"/>
      <c r="U32" s="214"/>
      <c r="V32" s="214"/>
      <c r="W32" s="215"/>
      <c r="X32" s="390" t="str">
        <f t="shared" si="7"/>
        <v/>
      </c>
      <c r="Y32" s="253"/>
      <c r="Z32" s="398" t="str">
        <f t="shared" si="6"/>
        <v/>
      </c>
      <c r="AA32" s="398"/>
      <c r="AB32" s="398"/>
      <c r="AC32" s="398"/>
      <c r="AD32" s="398"/>
      <c r="AE32" s="399"/>
    </row>
    <row r="33" spans="1:31" ht="15" customHeight="1" thickTop="1" thickBot="1" x14ac:dyDescent="0.3">
      <c r="B33" s="384" t="s">
        <v>42</v>
      </c>
      <c r="C33" s="385"/>
      <c r="D33" s="385"/>
      <c r="E33" s="385"/>
      <c r="F33" s="385"/>
      <c r="G33" s="385"/>
      <c r="H33" s="385"/>
      <c r="I33" s="386"/>
      <c r="J33" s="141"/>
      <c r="K33" s="383" t="str">
        <f t="shared" ref="K33:K48" si="8">X3</f>
        <v>CHO - SKV</v>
      </c>
      <c r="L33" s="361"/>
      <c r="M33" s="361"/>
      <c r="N33" s="361"/>
      <c r="O33" s="142" t="str">
        <f t="shared" ref="O33:O48" si="9">AB3</f>
        <v>13:7</v>
      </c>
      <c r="P33" s="360" t="str">
        <f t="shared" ref="P33:P48" si="10">AC3</f>
        <v>2021/2022 (ZČ)</v>
      </c>
      <c r="Q33" s="361"/>
      <c r="R33" s="362"/>
      <c r="S33" s="208"/>
      <c r="T33" s="209"/>
      <c r="U33" s="214"/>
      <c r="V33" s="214"/>
      <c r="W33" s="215"/>
      <c r="X33" s="390" t="str">
        <f t="shared" si="7"/>
        <v/>
      </c>
      <c r="Y33" s="253"/>
      <c r="Z33" s="398" t="str">
        <f t="shared" si="6"/>
        <v/>
      </c>
      <c r="AA33" s="398"/>
      <c r="AB33" s="398"/>
      <c r="AC33" s="398"/>
      <c r="AD33" s="398"/>
      <c r="AE33" s="399"/>
    </row>
    <row r="34" spans="1:31" ht="15" customHeight="1" x14ac:dyDescent="0.25">
      <c r="B34" s="377" t="str">
        <f>$A$1</f>
        <v>SKV</v>
      </c>
      <c r="C34" s="378"/>
      <c r="D34" s="378"/>
      <c r="E34" s="379"/>
      <c r="F34" s="380" t="str">
        <f>$J$1</f>
        <v>CHO</v>
      </c>
      <c r="G34" s="381"/>
      <c r="H34" s="381"/>
      <c r="I34" s="382"/>
      <c r="J34" s="141"/>
      <c r="K34" s="387" t="str">
        <f t="shared" si="8"/>
        <v>SKV - CHO</v>
      </c>
      <c r="L34" s="364"/>
      <c r="M34" s="364"/>
      <c r="N34" s="364"/>
      <c r="O34" s="143" t="str">
        <f t="shared" si="9"/>
        <v>5:8</v>
      </c>
      <c r="P34" s="363" t="str">
        <f t="shared" si="10"/>
        <v>2020/2021 (ZČ)</v>
      </c>
      <c r="Q34" s="364"/>
      <c r="R34" s="365"/>
      <c r="S34" s="210"/>
      <c r="T34" s="216"/>
      <c r="U34" s="217"/>
      <c r="V34" s="217"/>
      <c r="W34" s="218"/>
      <c r="X34" s="391" t="str">
        <f t="shared" si="7"/>
        <v/>
      </c>
      <c r="Y34" s="392"/>
      <c r="Z34" s="250" t="str">
        <f t="shared" si="6"/>
        <v/>
      </c>
      <c r="AA34" s="250"/>
      <c r="AB34" s="250"/>
      <c r="AC34" s="250"/>
      <c r="AD34" s="250"/>
      <c r="AE34" s="251"/>
    </row>
    <row r="35" spans="1:31" ht="15" customHeight="1" x14ac:dyDescent="0.25">
      <c r="B35" s="323" t="str">
        <f>X27</f>
        <v>celkem</v>
      </c>
      <c r="C35" s="324" t="s">
        <v>1188</v>
      </c>
      <c r="D35" s="331" t="str">
        <f>Z27</f>
        <v>13 zápasů, 0 - 1 - 0 - 0 - 12, skóre 53:120</v>
      </c>
      <c r="E35" s="331"/>
      <c r="F35" s="331"/>
      <c r="G35" s="331"/>
      <c r="H35" s="331"/>
      <c r="I35" s="332"/>
      <c r="J35" s="144"/>
      <c r="K35" s="387" t="str">
        <f t="shared" si="8"/>
        <v>CHO - SKV</v>
      </c>
      <c r="L35" s="364"/>
      <c r="M35" s="364"/>
      <c r="N35" s="364"/>
      <c r="O35" s="143" t="str">
        <f t="shared" si="9"/>
        <v>12:3</v>
      </c>
      <c r="P35" s="363" t="str">
        <f t="shared" si="10"/>
        <v>2020/2021 (ZČ)</v>
      </c>
      <c r="Q35" s="364"/>
      <c r="R35" s="365"/>
      <c r="S35" s="208"/>
      <c r="T35" s="228"/>
      <c r="U35" s="230"/>
      <c r="V35" s="230"/>
      <c r="W35" s="231"/>
      <c r="X35" s="391"/>
      <c r="Y35" s="392"/>
      <c r="Z35" s="250"/>
      <c r="AA35" s="250"/>
      <c r="AB35" s="250"/>
      <c r="AC35" s="250"/>
      <c r="AD35" s="250"/>
      <c r="AE35" s="251"/>
    </row>
    <row r="36" spans="1:31" ht="15" customHeight="1" x14ac:dyDescent="0.25">
      <c r="B36" s="323" t="str">
        <f t="shared" ref="B36:B42" si="11">X28</f>
        <v>ZČ</v>
      </c>
      <c r="C36" s="324" t="s">
        <v>1188</v>
      </c>
      <c r="D36" s="331" t="str">
        <f t="shared" ref="D36:D42" si="12">Z28</f>
        <v>13 zápasů, 0 - 1 - 0 - 0 - 12, skóre 53:120</v>
      </c>
      <c r="E36" s="331"/>
      <c r="F36" s="331"/>
      <c r="G36" s="331"/>
      <c r="H36" s="331"/>
      <c r="I36" s="332"/>
      <c r="J36" s="144"/>
      <c r="K36" s="323" t="str">
        <f t="shared" si="8"/>
        <v>SKV - CHO</v>
      </c>
      <c r="L36" s="324"/>
      <c r="M36" s="324"/>
      <c r="N36" s="324"/>
      <c r="O36" s="145" t="str">
        <f t="shared" si="9"/>
        <v>2:10</v>
      </c>
      <c r="P36" s="325" t="str">
        <f t="shared" si="10"/>
        <v>2019/2020 (ZČ)</v>
      </c>
      <c r="Q36" s="324"/>
      <c r="R36" s="326"/>
      <c r="S36" s="208"/>
      <c r="T36" s="228"/>
      <c r="U36" s="230"/>
      <c r="V36" s="230"/>
      <c r="W36" s="231"/>
      <c r="X36" s="391"/>
      <c r="Y36" s="392"/>
      <c r="Z36" s="250"/>
      <c r="AA36" s="250"/>
      <c r="AB36" s="250"/>
      <c r="AC36" s="250"/>
      <c r="AD36" s="250"/>
      <c r="AE36" s="251"/>
    </row>
    <row r="37" spans="1:31" ht="15" customHeight="1" x14ac:dyDescent="0.25">
      <c r="B37" s="323" t="str">
        <f t="shared" si="11"/>
        <v/>
      </c>
      <c r="C37" s="324" t="s">
        <v>1188</v>
      </c>
      <c r="D37" s="331" t="str">
        <f t="shared" si="12"/>
        <v/>
      </c>
      <c r="E37" s="331"/>
      <c r="F37" s="331"/>
      <c r="G37" s="331"/>
      <c r="H37" s="331"/>
      <c r="I37" s="332"/>
      <c r="J37" s="144"/>
      <c r="K37" s="323" t="str">
        <f t="shared" si="8"/>
        <v>CHO - SKV</v>
      </c>
      <c r="L37" s="324"/>
      <c r="M37" s="324"/>
      <c r="N37" s="324"/>
      <c r="O37" s="145" t="str">
        <f t="shared" si="9"/>
        <v>7:8p</v>
      </c>
      <c r="P37" s="325" t="str">
        <f t="shared" si="10"/>
        <v>2019/2020 (ZČ)</v>
      </c>
      <c r="Q37" s="324"/>
      <c r="R37" s="326"/>
      <c r="S37" s="208"/>
      <c r="T37" s="228"/>
      <c r="U37" s="230"/>
      <c r="V37" s="230"/>
      <c r="W37" s="231"/>
      <c r="X37" s="391"/>
      <c r="Y37" s="392"/>
      <c r="Z37" s="250"/>
      <c r="AA37" s="250"/>
      <c r="AB37" s="250"/>
      <c r="AC37" s="250"/>
      <c r="AD37" s="250"/>
      <c r="AE37" s="251"/>
    </row>
    <row r="38" spans="1:31" ht="15" customHeight="1" x14ac:dyDescent="0.25">
      <c r="B38" s="323" t="str">
        <f t="shared" si="11"/>
        <v/>
      </c>
      <c r="C38" s="324" t="s">
        <v>1188</v>
      </c>
      <c r="D38" s="331" t="str">
        <f t="shared" si="12"/>
        <v/>
      </c>
      <c r="E38" s="331"/>
      <c r="F38" s="331"/>
      <c r="G38" s="331"/>
      <c r="H38" s="331"/>
      <c r="I38" s="332"/>
      <c r="J38" s="146"/>
      <c r="K38" s="327" t="str">
        <f t="shared" si="8"/>
        <v>CHO - SKV</v>
      </c>
      <c r="L38" s="328"/>
      <c r="M38" s="328"/>
      <c r="N38" s="328"/>
      <c r="O38" s="147" t="str">
        <f t="shared" si="9"/>
        <v>13:4</v>
      </c>
      <c r="P38" s="329" t="str">
        <f t="shared" si="10"/>
        <v>2018/2019 (ZČ)</v>
      </c>
      <c r="Q38" s="328"/>
      <c r="R38" s="330"/>
      <c r="S38" s="208"/>
      <c r="T38" s="228"/>
      <c r="U38" s="230"/>
      <c r="V38" s="230"/>
      <c r="W38" s="231"/>
      <c r="X38" s="391"/>
      <c r="Y38" s="392"/>
      <c r="Z38" s="250"/>
      <c r="AA38" s="250"/>
      <c r="AB38" s="250"/>
      <c r="AC38" s="250"/>
      <c r="AD38" s="250"/>
      <c r="AE38" s="251"/>
    </row>
    <row r="39" spans="1:31" ht="15" customHeight="1" x14ac:dyDescent="0.25">
      <c r="B39" s="323" t="str">
        <f t="shared" si="11"/>
        <v/>
      </c>
      <c r="C39" s="324" t="s">
        <v>1188</v>
      </c>
      <c r="D39" s="331" t="str">
        <f t="shared" si="12"/>
        <v/>
      </c>
      <c r="E39" s="331"/>
      <c r="F39" s="331"/>
      <c r="G39" s="331"/>
      <c r="H39" s="331"/>
      <c r="I39" s="332"/>
      <c r="J39" s="146"/>
      <c r="K39" s="323" t="str">
        <f t="shared" si="8"/>
        <v>SKV - CHO</v>
      </c>
      <c r="L39" s="324"/>
      <c r="M39" s="324"/>
      <c r="N39" s="324"/>
      <c r="O39" s="145" t="str">
        <f t="shared" si="9"/>
        <v>5:6</v>
      </c>
      <c r="P39" s="325" t="str">
        <f t="shared" si="10"/>
        <v>2018/2019 (ZČ)</v>
      </c>
      <c r="Q39" s="324"/>
      <c r="R39" s="326"/>
      <c r="S39" s="208"/>
      <c r="T39" s="228"/>
      <c r="U39" s="230"/>
      <c r="V39" s="230"/>
      <c r="W39" s="231"/>
      <c r="X39" s="391"/>
      <c r="Y39" s="392"/>
      <c r="Z39" s="250"/>
      <c r="AA39" s="250"/>
      <c r="AB39" s="250"/>
      <c r="AC39" s="250"/>
      <c r="AD39" s="250"/>
      <c r="AE39" s="251"/>
    </row>
    <row r="40" spans="1:31" ht="15" customHeight="1" thickBot="1" x14ac:dyDescent="0.3">
      <c r="B40" s="373" t="str">
        <f t="shared" si="11"/>
        <v/>
      </c>
      <c r="C40" s="374" t="s">
        <v>1188</v>
      </c>
      <c r="D40" s="333" t="str">
        <f t="shared" si="12"/>
        <v/>
      </c>
      <c r="E40" s="333"/>
      <c r="F40" s="333"/>
      <c r="G40" s="333"/>
      <c r="H40" s="333"/>
      <c r="I40" s="334"/>
      <c r="J40" s="144"/>
      <c r="K40" s="323" t="str">
        <f t="shared" si="8"/>
        <v>CHO - SKV</v>
      </c>
      <c r="L40" s="324"/>
      <c r="M40" s="324"/>
      <c r="N40" s="324"/>
      <c r="O40" s="145" t="str">
        <f t="shared" si="9"/>
        <v>10:7</v>
      </c>
      <c r="P40" s="325" t="str">
        <f t="shared" si="10"/>
        <v>2015/2016 (ZČ)</v>
      </c>
      <c r="Q40" s="324"/>
      <c r="R40" s="326"/>
      <c r="S40" s="211"/>
      <c r="T40" s="229"/>
      <c r="U40" s="232"/>
      <c r="V40" s="232"/>
      <c r="W40" s="233"/>
      <c r="X40" s="396"/>
      <c r="Y40" s="397"/>
      <c r="Z40" s="410"/>
      <c r="AA40" s="410"/>
      <c r="AB40" s="410"/>
      <c r="AC40" s="410"/>
      <c r="AD40" s="410"/>
      <c r="AE40" s="411"/>
    </row>
    <row r="41" spans="1:31" ht="15" customHeight="1" thickTop="1" x14ac:dyDescent="0.25">
      <c r="B41" s="323" t="str">
        <f t="shared" si="11"/>
        <v/>
      </c>
      <c r="C41" s="324" t="s">
        <v>1188</v>
      </c>
      <c r="D41" s="331" t="str">
        <f t="shared" si="12"/>
        <v/>
      </c>
      <c r="E41" s="331"/>
      <c r="F41" s="331"/>
      <c r="G41" s="331"/>
      <c r="H41" s="331"/>
      <c r="I41" s="332"/>
      <c r="J41" s="144"/>
      <c r="K41" s="327" t="str">
        <f t="shared" si="8"/>
        <v>SKV - CHO</v>
      </c>
      <c r="L41" s="328"/>
      <c r="M41" s="328"/>
      <c r="N41" s="328"/>
      <c r="O41" s="147" t="str">
        <f t="shared" si="9"/>
        <v>2:14</v>
      </c>
      <c r="P41" s="329" t="str">
        <f t="shared" si="10"/>
        <v>2015/2016 (ZČ)</v>
      </c>
      <c r="Q41" s="328"/>
      <c r="R41" s="330"/>
    </row>
    <row r="42" spans="1:31" ht="15" customHeight="1" thickBot="1" x14ac:dyDescent="0.3">
      <c r="B42" s="375" t="str">
        <f t="shared" si="11"/>
        <v/>
      </c>
      <c r="C42" s="376" t="s">
        <v>1188</v>
      </c>
      <c r="D42" s="335" t="str">
        <f t="shared" si="12"/>
        <v/>
      </c>
      <c r="E42" s="335"/>
      <c r="F42" s="335"/>
      <c r="G42" s="335"/>
      <c r="H42" s="335"/>
      <c r="I42" s="336"/>
      <c r="J42" s="144"/>
      <c r="K42" s="323" t="str">
        <f t="shared" si="8"/>
        <v>CHO - SKV</v>
      </c>
      <c r="L42" s="324"/>
      <c r="M42" s="324"/>
      <c r="N42" s="324"/>
      <c r="O42" s="145" t="str">
        <f t="shared" si="9"/>
        <v>7:5</v>
      </c>
      <c r="P42" s="325" t="str">
        <f t="shared" si="10"/>
        <v>2014/2015 (ZČ)</v>
      </c>
      <c r="Q42" s="324"/>
      <c r="R42" s="326"/>
    </row>
    <row r="43" spans="1:31" ht="15" customHeight="1" thickTop="1" thickBot="1" x14ac:dyDescent="0.3">
      <c r="I43" s="144"/>
      <c r="J43" s="144"/>
      <c r="K43" s="323" t="str">
        <f t="shared" si="8"/>
        <v>SKV - CHO</v>
      </c>
      <c r="L43" s="324"/>
      <c r="M43" s="324"/>
      <c r="N43" s="324"/>
      <c r="O43" s="145" t="str">
        <f t="shared" si="9"/>
        <v>4:9</v>
      </c>
      <c r="P43" s="325" t="str">
        <f t="shared" si="10"/>
        <v>2014/2015 (ZČ)</v>
      </c>
      <c r="Q43" s="324"/>
      <c r="R43" s="326"/>
    </row>
    <row r="44" spans="1:31" ht="15" customHeight="1" thickTop="1" thickBot="1" x14ac:dyDescent="0.3">
      <c r="B44" s="337" t="s">
        <v>1010</v>
      </c>
      <c r="C44" s="338"/>
      <c r="D44" s="338"/>
      <c r="E44" s="338"/>
      <c r="F44" s="338"/>
      <c r="G44" s="338"/>
      <c r="H44" s="338"/>
      <c r="I44" s="339"/>
      <c r="J44" s="144"/>
      <c r="K44" s="323" t="str">
        <f t="shared" si="8"/>
        <v>CHO - SKV</v>
      </c>
      <c r="L44" s="324"/>
      <c r="M44" s="324"/>
      <c r="N44" s="324"/>
      <c r="O44" s="145" t="str">
        <f t="shared" si="9"/>
        <v>3:1</v>
      </c>
      <c r="P44" s="325" t="str">
        <f t="shared" si="10"/>
        <v>2006/2007 (ZČ)</v>
      </c>
      <c r="Q44" s="324"/>
      <c r="R44" s="326"/>
    </row>
    <row r="45" spans="1:31" ht="15" customHeight="1" thickBot="1" x14ac:dyDescent="0.3">
      <c r="A45" s="144"/>
      <c r="B45" s="368" t="s">
        <v>85</v>
      </c>
      <c r="C45" s="369"/>
      <c r="D45" s="184" t="s">
        <v>77</v>
      </c>
      <c r="E45" s="182" t="s">
        <v>1011</v>
      </c>
      <c r="F45" s="182" t="s">
        <v>121</v>
      </c>
      <c r="G45" s="182" t="s">
        <v>1012</v>
      </c>
      <c r="H45" s="182" t="s">
        <v>41</v>
      </c>
      <c r="I45" s="183" t="s">
        <v>1013</v>
      </c>
      <c r="J45" s="144"/>
      <c r="K45" s="323" t="str">
        <f t="shared" si="8"/>
        <v>SKV - CHO</v>
      </c>
      <c r="L45" s="324"/>
      <c r="M45" s="324"/>
      <c r="N45" s="324"/>
      <c r="O45" s="145" t="str">
        <f t="shared" si="9"/>
        <v>0:8</v>
      </c>
      <c r="P45" s="325" t="str">
        <f t="shared" si="10"/>
        <v>2006/2007 (ZČ)</v>
      </c>
      <c r="Q45" s="324"/>
      <c r="R45" s="326"/>
    </row>
    <row r="46" spans="1:31" ht="15" customHeight="1" x14ac:dyDescent="0.25">
      <c r="A46" s="140"/>
      <c r="B46" s="388" t="str">
        <f>$A$1</f>
        <v>SKV</v>
      </c>
      <c r="C46" s="389"/>
      <c r="D46" s="185">
        <f>IFERROR(VLOOKUP($B46,$Y$22:$AE$23,2,FALSE),"")</f>
        <v>160</v>
      </c>
      <c r="E46" s="180">
        <f>IFERROR(VLOOKUP($B46,$Y$22:$AE$23,3,FALSE),"")</f>
        <v>34</v>
      </c>
      <c r="F46" s="181">
        <f>IFERROR(VLOOKUP($B46,$Y$22:$AE$23,4,FALSE),"")</f>
        <v>1</v>
      </c>
      <c r="G46" s="181">
        <f>IFERROR(VLOOKUP($B46,$Y$22:$AE$23,5,FALSE),"")</f>
        <v>125</v>
      </c>
      <c r="H46" s="196">
        <f>IFERROR(VLOOKUP($B46,$Y$22:$AE$23,6,FALSE),"")</f>
        <v>103</v>
      </c>
      <c r="I46" s="198">
        <f>IFERROR(VLOOKUP($B46,$Y$22:$AE$23,7,FALSE),"")</f>
        <v>21</v>
      </c>
      <c r="J46" s="144"/>
      <c r="K46" s="323" t="str">
        <f t="shared" si="8"/>
        <v/>
      </c>
      <c r="L46" s="324"/>
      <c r="M46" s="324"/>
      <c r="N46" s="324"/>
      <c r="O46" s="145" t="str">
        <f t="shared" si="9"/>
        <v/>
      </c>
      <c r="P46" s="325" t="str">
        <f t="shared" si="10"/>
        <v/>
      </c>
      <c r="Q46" s="324"/>
      <c r="R46" s="326"/>
    </row>
    <row r="47" spans="1:31" ht="15" customHeight="1" thickBot="1" x14ac:dyDescent="0.3">
      <c r="A47" s="140"/>
      <c r="B47" s="366" t="str">
        <f>$J$1</f>
        <v>CHO</v>
      </c>
      <c r="C47" s="367"/>
      <c r="D47" s="186">
        <f>IFERROR(VLOOKUP($B47,$Y$22:$AE$23,2,FALSE),"")</f>
        <v>644</v>
      </c>
      <c r="E47" s="178">
        <f>IFERROR(VLOOKUP($B47,$Y$22:$AE$23,3,FALSE),"")</f>
        <v>370</v>
      </c>
      <c r="F47" s="179">
        <f>IFERROR(VLOOKUP($B47,$Y$22:$AE$23,4,FALSE),"")</f>
        <v>42</v>
      </c>
      <c r="G47" s="179">
        <f>IFERROR(VLOOKUP($B47,$Y$22:$AE$23,5,FALSE),"")</f>
        <v>232</v>
      </c>
      <c r="H47" s="197">
        <f>IFERROR(VLOOKUP($B47,$Y$22:$AE$23,6,FALSE),"")</f>
        <v>1056</v>
      </c>
      <c r="I47" s="199">
        <f>IFERROR(VLOOKUP($B47,$Y$22:$AE$23,7,FALSE),"")</f>
        <v>57</v>
      </c>
      <c r="J47" s="144"/>
      <c r="K47" s="323" t="str">
        <f t="shared" si="8"/>
        <v/>
      </c>
      <c r="L47" s="324"/>
      <c r="M47" s="324"/>
      <c r="N47" s="324"/>
      <c r="O47" s="145" t="str">
        <f t="shared" si="9"/>
        <v/>
      </c>
      <c r="P47" s="325" t="str">
        <f t="shared" si="10"/>
        <v/>
      </c>
      <c r="Q47" s="324"/>
      <c r="R47" s="326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54" t="str">
        <f t="shared" si="8"/>
        <v/>
      </c>
      <c r="L48" s="355"/>
      <c r="M48" s="355"/>
      <c r="N48" s="355"/>
      <c r="O48" s="148" t="str">
        <f t="shared" si="9"/>
        <v/>
      </c>
      <c r="P48" s="356" t="str">
        <f t="shared" si="10"/>
        <v/>
      </c>
      <c r="Q48" s="355"/>
      <c r="R48" s="357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1">
        <f ca="1">TODAY()</f>
        <v>44526</v>
      </c>
      <c r="H50" s="322"/>
      <c r="I50" s="322"/>
      <c r="J50" s="322"/>
      <c r="K50" s="322"/>
      <c r="L50" s="322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12:B12"/>
    <mergeCell ref="G13:H13"/>
    <mergeCell ref="J13:K13"/>
    <mergeCell ref="L13:M13"/>
    <mergeCell ref="A19:B19"/>
    <mergeCell ref="D19:E19"/>
    <mergeCell ref="G19:H19"/>
    <mergeCell ref="J19:K19"/>
  </mergeCells>
  <conditionalFormatting sqref="A1:R2">
    <cfRule type="cellIs" dxfId="904" priority="29" stopIfTrue="1" operator="equal">
      <formula>"OTR"</formula>
    </cfRule>
  </conditionalFormatting>
  <conditionalFormatting sqref="A1:R2 B34 F34">
    <cfRule type="cellIs" dxfId="903" priority="30" stopIfTrue="1" operator="equal">
      <formula>"PAR"</formula>
    </cfRule>
    <cfRule type="cellIs" dxfId="902" priority="31" stopIfTrue="1" operator="equal">
      <formula>"CLP"</formula>
    </cfRule>
    <cfRule type="cellIs" dxfId="901" priority="32" stopIfTrue="1" operator="equal">
      <formula>"HAT"</formula>
    </cfRule>
    <cfRule type="cellIs" dxfId="900" priority="33" stopIfTrue="1" operator="equal">
      <formula>"LIB"</formula>
    </cfRule>
    <cfRule type="cellIs" dxfId="899" priority="34" stopIfTrue="1" operator="equal">
      <formula>"BA"</formula>
    </cfRule>
    <cfRule type="cellIs" dxfId="898" priority="35" stopIfTrue="1" operator="equal">
      <formula>"SPA"</formula>
    </cfRule>
    <cfRule type="cellIs" dxfId="897" priority="36" stopIfTrue="1" operator="equal">
      <formula>"OST"</formula>
    </cfRule>
    <cfRule type="cellIs" dxfId="896" priority="37" stopIfTrue="1" operator="equal">
      <formula>"BOH"</formula>
    </cfRule>
    <cfRule type="cellIs" dxfId="895" priority="38" stopIfTrue="1" operator="equal">
      <formula>"TAT"</formula>
    </cfRule>
    <cfRule type="cellIs" dxfId="894" priority="39" stopIfTrue="1" operator="equal">
      <formula>"MB"</formula>
    </cfRule>
    <cfRule type="cellIs" dxfId="893" priority="40" stopIfTrue="1" operator="equal">
      <formula>"VIT"</formula>
    </cfRule>
    <cfRule type="cellIs" dxfId="892" priority="41" stopIfTrue="1" operator="equal">
      <formula>"CHO"</formula>
    </cfRule>
    <cfRule type="cellIs" dxfId="891" priority="42" stopIfTrue="1" operator="equal">
      <formula>"SKV"</formula>
    </cfRule>
  </conditionalFormatting>
  <conditionalFormatting sqref="K33:R48">
    <cfRule type="expression" dxfId="890" priority="28">
      <formula>AND($K33&lt;&gt;"", MOD(ROW($K33),2)=0)</formula>
    </cfRule>
  </conditionalFormatting>
  <conditionalFormatting sqref="B35:I42">
    <cfRule type="expression" dxfId="889" priority="111">
      <formula>AND($B35&lt;&gt;"",MOD(ROW($B35),2)=0)</formula>
    </cfRule>
  </conditionalFormatting>
  <conditionalFormatting sqref="B46:B47">
    <cfRule type="cellIs" dxfId="888" priority="14" stopIfTrue="1" operator="equal">
      <formula>"PAR"</formula>
    </cfRule>
    <cfRule type="cellIs" dxfId="887" priority="15" stopIfTrue="1" operator="equal">
      <formula>"CLP"</formula>
    </cfRule>
    <cfRule type="cellIs" dxfId="886" priority="16" stopIfTrue="1" operator="equal">
      <formula>"HAT"</formula>
    </cfRule>
    <cfRule type="cellIs" dxfId="885" priority="17" stopIfTrue="1" operator="equal">
      <formula>"LIB"</formula>
    </cfRule>
    <cfRule type="cellIs" dxfId="884" priority="18" stopIfTrue="1" operator="equal">
      <formula>"BA"</formula>
    </cfRule>
    <cfRule type="cellIs" dxfId="883" priority="19" stopIfTrue="1" operator="equal">
      <formula>"SPA"</formula>
    </cfRule>
    <cfRule type="cellIs" dxfId="882" priority="20" stopIfTrue="1" operator="equal">
      <formula>"OST"</formula>
    </cfRule>
    <cfRule type="cellIs" dxfId="881" priority="21" stopIfTrue="1" operator="equal">
      <formula>"BOH"</formula>
    </cfRule>
    <cfRule type="cellIs" dxfId="880" priority="22" stopIfTrue="1" operator="equal">
      <formula>"TAT"</formula>
    </cfRule>
    <cfRule type="cellIs" dxfId="879" priority="23" stopIfTrue="1" operator="equal">
      <formula>"MB"</formula>
    </cfRule>
    <cfRule type="cellIs" dxfId="878" priority="24" stopIfTrue="1" operator="equal">
      <formula>"VIT"</formula>
    </cfRule>
    <cfRule type="cellIs" dxfId="877" priority="25" stopIfTrue="1" operator="equal">
      <formula>"CHO"</formula>
    </cfRule>
    <cfRule type="cellIs" dxfId="876" priority="26" stopIfTrue="1" operator="equal">
      <formula>"SKV"</formula>
    </cfRule>
  </conditionalFormatting>
  <conditionalFormatting sqref="Y22:Y23">
    <cfRule type="cellIs" dxfId="875" priority="1" stopIfTrue="1" operator="equal">
      <formula>"PAR"</formula>
    </cfRule>
    <cfRule type="cellIs" dxfId="874" priority="2" stopIfTrue="1" operator="equal">
      <formula>"CLP"</formula>
    </cfRule>
    <cfRule type="cellIs" dxfId="873" priority="3" stopIfTrue="1" operator="equal">
      <formula>"HAT"</formula>
    </cfRule>
    <cfRule type="cellIs" dxfId="872" priority="4" stopIfTrue="1" operator="equal">
      <formula>"LIB"</formula>
    </cfRule>
    <cfRule type="cellIs" dxfId="871" priority="5" stopIfTrue="1" operator="equal">
      <formula>"BA"</formula>
    </cfRule>
    <cfRule type="cellIs" dxfId="870" priority="6" stopIfTrue="1" operator="equal">
      <formula>"SPA"</formula>
    </cfRule>
    <cfRule type="cellIs" dxfId="869" priority="7" stopIfTrue="1" operator="equal">
      <formula>"OST"</formula>
    </cfRule>
    <cfRule type="cellIs" dxfId="868" priority="8" stopIfTrue="1" operator="equal">
      <formula>"BOH"</formula>
    </cfRule>
    <cfRule type="cellIs" dxfId="867" priority="9" stopIfTrue="1" operator="equal">
      <formula>"TAT"</formula>
    </cfRule>
    <cfRule type="cellIs" dxfId="866" priority="10" stopIfTrue="1" operator="equal">
      <formula>"MB"</formula>
    </cfRule>
    <cfRule type="cellIs" dxfId="865" priority="11" stopIfTrue="1" operator="equal">
      <formula>"VIT"</formula>
    </cfRule>
    <cfRule type="cellIs" dxfId="864" priority="12" stopIfTrue="1" operator="equal">
      <formula>"CHO"</formula>
    </cfRule>
    <cfRule type="cellIs" dxfId="863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topLeftCell="C1" zoomScaleNormal="100" workbookViewId="0">
      <selection sqref="A1:R50"/>
    </sheetView>
  </sheetViews>
  <sheetFormatPr defaultColWidth="9.140625" defaultRowHeight="14.25" x14ac:dyDescent="0.25"/>
  <cols>
    <col min="1" max="1" width="21.28515625" style="3" customWidth="1"/>
    <col min="2" max="6" width="21.28515625" style="172" customWidth="1"/>
    <col min="7" max="7" width="21.28515625" style="3" customWidth="1"/>
    <col min="8" max="12" width="21.28515625" style="172" customWidth="1"/>
    <col min="13" max="16384" width="9.140625" style="3"/>
  </cols>
  <sheetData>
    <row r="1" spans="1:12" x14ac:dyDescent="0.25">
      <c r="A1" s="412" t="str">
        <f>prehled!A1</f>
        <v>SKV</v>
      </c>
      <c r="B1" s="412"/>
      <c r="C1" s="412"/>
      <c r="D1" s="412"/>
      <c r="E1" s="412"/>
      <c r="F1" s="412"/>
      <c r="G1" s="412" t="str">
        <f>prehled!J1</f>
        <v>CHO</v>
      </c>
      <c r="H1" s="412"/>
      <c r="I1" s="412"/>
      <c r="J1" s="412"/>
      <c r="K1" s="412"/>
      <c r="L1" s="412"/>
    </row>
    <row r="2" spans="1:12" x14ac:dyDescent="0.2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</row>
    <row r="3" spans="1:12" s="152" customFormat="1" ht="19.5" x14ac:dyDescent="0.25">
      <c r="A3" s="413" t="s">
        <v>85</v>
      </c>
      <c r="B3" s="413"/>
      <c r="C3" s="413"/>
      <c r="D3" s="413"/>
      <c r="E3" s="413"/>
      <c r="F3" s="413"/>
      <c r="G3" s="413" t="s">
        <v>85</v>
      </c>
      <c r="H3" s="413"/>
      <c r="I3" s="413"/>
      <c r="J3" s="413"/>
      <c r="K3" s="413"/>
      <c r="L3" s="413"/>
    </row>
    <row r="4" spans="1:12" ht="14.25" customHeight="1" x14ac:dyDescent="0.25">
      <c r="A4" s="412" t="str">
        <f>A1</f>
        <v>SKV</v>
      </c>
      <c r="B4" s="174" t="str">
        <f ca="1">IF($A$4&lt;&gt;0,IFERROR(INDEX(zajimavosti_tymy!B:B,MATCH(prehled!$A$3,OFFSET(zajimavosti_tymy!$A$2,,,(COUNTA(zajimavosti_tymy!$A:$A)-1)*3),0)+1),""),"")</f>
        <v>28. 10. poslední výhra</v>
      </c>
      <c r="C4" s="175" t="str">
        <f ca="1">IF($A$4&lt;&gt;0,IFERROR(INDEX(zajimavosti_tymy!C:C,MATCH(prehled!$A$3,OFFSET(zajimavosti_tymy!$A$2,,,(COUNTA(zajimavosti_tymy!$A:$A)-1)*3),0)+1),""),"")</f>
        <v>5 proher v řadě</v>
      </c>
      <c r="D4" s="175" t="str">
        <f ca="1">IF($A$4&lt;&gt;0,IFERROR(INDEX(zajimavosti_tymy!D:D,MATCH(prehled!$A$3,OFFSET(zajimavosti_tymy!$A$2,,,(COUNTA(zajimavosti_tymy!$A:$A)-1)*3),0)+1),""),"")</f>
        <v>těžký los</v>
      </c>
      <c r="E4" s="175" t="str">
        <f ca="1">IF($A$4&lt;&gt;0,IFERROR(INDEX(zajimavosti_tymy!E:E,MATCH(prehled!$A$3,OFFSET(zajimavosti_tymy!$A$2,,,(COUNTA(zajimavosti_tymy!$A:$A)-1)*3),0)+1),""),"")</f>
        <v>v sezóně 06/07 poprvé v extralize</v>
      </c>
      <c r="F4" s="176" t="str">
        <f ca="1">IF($A$4&lt;&gt;0,IFERROR(INDEX(zajimavosti_tymy!F:F,MATCH(prehled!$A$3,OFFSET(zajimavosti_tymy!$A$2,,,(COUNTA(zajimavosti_tymy!$A:$A)-1)*3),0)+1),""),"")</f>
        <v>jediná účast v PO (19/20)</v>
      </c>
      <c r="G4" s="412" t="str">
        <f>G1</f>
        <v>CHO</v>
      </c>
      <c r="H4" s="174" t="str">
        <f ca="1">IF($G$4&lt;&gt;0,IFERROR(INDEX(zajimavosti_tymy!B:B,MATCH(prehled!$J$3,OFFSET(zajimavosti_tymy!$A$2,,,(COUNTA(zajimavosti_tymy!$A:$A)-1)*3),0)+1),""),"")</f>
        <v>bronzový tým z minulé sezony</v>
      </c>
      <c r="I4" s="175" t="str">
        <f ca="1">IF($G$4&lt;&gt;0,IFERROR(INDEX(zajimavosti_tymy!C:C,MATCH(prehled!$J$3,OFFSET(zajimavosti_tymy!$A$2,,,(COUNTA(zajimavosti_tymy!$A:$A)-1)*3),0)+1),""),"")</f>
        <v>5. nejlepší přesilovka</v>
      </c>
      <c r="J4" s="175" t="str">
        <f ca="1">IF($G$4&lt;&gt;0,IFERROR(INDEX(zajimavosti_tymy!D:D,MATCH(prehled!$J$3,OFFSET(zajimavosti_tymy!$A$2,,,(COUNTA(zajimavosti_tymy!$A:$A)-1)*3),0)+1),""),"")</f>
        <v>4. nejhorší oslabení</v>
      </c>
      <c r="K4" s="175" t="str">
        <f ca="1">IF($G$4&lt;&gt;0,IFERROR(INDEX(zajimavosti_tymy!E:E,MATCH(prehled!$J$3,OFFSET(zajimavosti_tymy!$A$2,,,(COUNTA(zajimavosti_tymy!$A:$A)-1)*3),0)+1),""),"")</f>
        <v>4 branky v oslabení (1.)</v>
      </c>
      <c r="L4" s="176" t="str">
        <f ca="1">IF($G$4&lt;&gt;0,IFERROR(INDEX(zajimavosti_tymy!F:F,MATCH(prehled!$J$3,OFFSET(zajimavosti_tymy!$A$2,,,(COUNTA(zajimavosti_tymy!$A:$A)-1)*3),0)+1),""),"")</f>
        <v>Jiří Bauer zraněn</v>
      </c>
    </row>
    <row r="5" spans="1:12" ht="14.25" customHeight="1" x14ac:dyDescent="0.25">
      <c r="A5" s="412"/>
      <c r="B5" s="174" t="str">
        <f ca="1">IF($A$4&lt;&gt;0,IFERROR(INDEX(zajimavosti_tymy!B:B,MATCH(prehled!$A$3,OFFSET(zajimavosti_tymy!$A$2,,,(COUNTA(zajimavosti_tymy!$A:$A)-1)*3),0)+2),""),"")</f>
        <v>úplně nejhorší v oslabení</v>
      </c>
      <c r="C5" s="175" t="str">
        <f ca="1">IF($A$4&lt;&gt;0,IFERROR(INDEX(zajimavosti_tymy!C:C,MATCH(prehled!$A$3,OFFSET(zajimavosti_tymy!$A$2,,,(COUNTA(zajimavosti_tymy!$A:$A)-1)*3),0)+2),""),"")</f>
        <v>nejhorší úspěšnost střelby</v>
      </c>
      <c r="D5" s="175" t="str">
        <f ca="1">IF($A$4&lt;&gt;0,IFERROR(INDEX(zajimavosti_tymy!D:D,MATCH(prehled!$A$3,OFFSET(zajimavosti_tymy!$A$2,,,(COUNTA(zajimavosti_tymy!$A:$A)-1)*3),0)+2),""),"")</f>
        <v>Ivan Pergler proti svým</v>
      </c>
      <c r="E5" s="175" t="str">
        <f ca="1">IF($A$4&lt;&gt;0,IFERROR(INDEX(zajimavosti_tymy!E:E,MATCH(prehled!$A$3,OFFSET(zajimavosti_tymy!$A$2,,,(COUNTA(zajimavosti_tymy!$A:$A)-1)*3),0)+2),""),"")</f>
        <v>zraněný Lukáš Lanc</v>
      </c>
      <c r="F5" s="176" t="str">
        <f ca="1">IF($A$4&lt;&gt;0,IFERROR(INDEX(zajimavosti_tymy!F:F,MATCH(prehled!$A$3,OFFSET(zajimavosti_tymy!$A$2,,,(COUNTA(zajimavosti_tymy!$A:$A)-1)*3),0)+2),""),"")</f>
        <v>Petr Musil po absenci zpět</v>
      </c>
      <c r="G5" s="412"/>
      <c r="H5" s="174" t="str">
        <f ca="1">IF($G$4&lt;&gt;0,IFERROR(INDEX(zajimavosti_tymy!B:B,MATCH(prehled!$J$3,OFFSET(zajimavosti_tymy!$A$2,,,(COUNTA(zajimavosti_tymy!$A:$A)-1)*3),0)+2),""),"")</f>
        <v>Tomáš Vávra skončil</v>
      </c>
      <c r="I5" s="175" t="str">
        <f ca="1">IF($G$4&lt;&gt;0,IFERROR(INDEX(zajimavosti_tymy!C:C,MATCH(prehled!$J$3,OFFSET(zajimavosti_tymy!$A$2,,,(COUNTA(zajimavosti_tymy!$A:$A)-1)*3),0)+2),""),"")</f>
        <v>Skřivánek, Komárek, Balatka posily</v>
      </c>
      <c r="J5" s="175" t="str">
        <f ca="1">IF($G$4&lt;&gt;0,IFERROR(INDEX(zajimavosti_tymy!D:D,MATCH(prehled!$J$3,OFFSET(zajimavosti_tymy!$A$2,,,(COUNTA(zajimavosti_tymy!$A:$A)-1)*3),0)+2),""),"")</f>
        <v>Koutní, Mikeš, Pergler odchdody</v>
      </c>
      <c r="K5" s="175" t="str">
        <f ca="1">IF($G$4&lt;&gt;0,IFERROR(INDEX(zajimavosti_tymy!E:E,MATCH(prehled!$J$3,OFFSET(zajimavosti_tymy!$A$2,,,(COUNTA(zajimavosti_tymy!$A:$A)-1)*3),0)+2),""),"")</f>
        <v>Kafka, Netrefa, Šmíd, Pergler, Josefovič</v>
      </c>
      <c r="L5" s="176" t="str">
        <f ca="1">IF($G$4&lt;&gt;0,IFERROR(INDEX(zajimavosti_tymy!F:F,MATCH(prehled!$J$3,OFFSET(zajimavosti_tymy!$A$2,,,(COUNTA(zajimavosti_tymy!$A:$A)-1)*3),0)+2),""),"")</f>
        <v>Ondrušek kapitán repre</v>
      </c>
    </row>
    <row r="6" spans="1:12" x14ac:dyDescent="0.25">
      <c r="A6" s="412"/>
      <c r="B6" s="174" t="str">
        <f ca="1">IF($A$4&lt;&gt;0,IFERROR(INDEX(zajimavosti_tymy!B:B,MATCH(prehled!$A$3,OFFSET(zajimavosti_tymy!$A$2,,,(COUNTA(zajimavosti_tymy!$A:$A)-1)*3),0)+3),""),"")</f>
        <v>jediná výhra proti Chodovu 19/20</v>
      </c>
      <c r="C6" s="175">
        <f ca="1">IF($A$4&lt;&gt;0,IFERROR(INDEX(zajimavosti_tymy!C:C,MATCH(prehled!$A$3,OFFSET(zajimavosti_tymy!$A$2,,,(COUNTA(zajimavosti_tymy!$A:$A)-1)*3),0)+3),""),"")</f>
        <v>0</v>
      </c>
      <c r="D6" s="175">
        <f ca="1">IF($A$4&lt;&gt;0,IFERROR(INDEX(zajimavosti_tymy!D:D,MATCH(prehled!$A$3,OFFSET(zajimavosti_tymy!$A$2,,,(COUNTA(zajimavosti_tymy!$A:$A)-1)*3),0)+3),""),"")</f>
        <v>0</v>
      </c>
      <c r="E6" s="175">
        <f ca="1">IF($A$4&lt;&gt;0,IFERROR(INDEX(zajimavosti_tymy!E:E,MATCH(prehled!$A$3,OFFSET(zajimavosti_tymy!$A$2,,,(COUNTA(zajimavosti_tymy!$A:$A)-1)*3),0)+3),""),"")</f>
        <v>0</v>
      </c>
      <c r="F6" s="176">
        <f ca="1">IF($A$4&lt;&gt;0,IFERROR(INDEX(zajimavosti_tymy!F:F,MATCH(prehled!$A$3,OFFSET(zajimavosti_tymy!$A$2,,,(COUNTA(zajimavosti_tymy!$A:$A)-1)*3),0)+3),""),"")</f>
        <v>0</v>
      </c>
      <c r="G6" s="412"/>
      <c r="H6" s="174" t="str">
        <f ca="1">IF($G$4&lt;&gt;0,IFERROR(INDEX(zajimavosti_tymy!B:B,MATCH(prehled!$J$3,OFFSET(zajimavosti_tymy!$A$2,,,(COUNTA(zajimavosti_tymy!$A:$A)-1)*3),0)+3),""),"")</f>
        <v>Skřivánek proti bývalému týmu</v>
      </c>
      <c r="I6" s="175">
        <f ca="1">IF($G$4&lt;&gt;0,IFERROR(INDEX(zajimavosti_tymy!C:C,MATCH(prehled!$J$3,OFFSET(zajimavosti_tymy!$A$2,,,(COUNTA(zajimavosti_tymy!$A:$A)-1)*3),0)+3),""),"")</f>
        <v>0</v>
      </c>
      <c r="J6" s="175">
        <f ca="1">IF($G$4&lt;&gt;0,IFERROR(INDEX(zajimavosti_tymy!D:D,MATCH(prehled!$J$3,OFFSET(zajimavosti_tymy!$A$2,,,(COUNTA(zajimavosti_tymy!$A:$A)-1)*3),0)+3),""),"")</f>
        <v>0</v>
      </c>
      <c r="K6" s="175">
        <f ca="1">IF($G$4&lt;&gt;0,IFERROR(INDEX(zajimavosti_tymy!E:E,MATCH(prehled!$J$3,OFFSET(zajimavosti_tymy!$A$2,,,(COUNTA(zajimavosti_tymy!$A:$A)-1)*3),0)+3),""),"")</f>
        <v>0</v>
      </c>
      <c r="L6" s="176">
        <f ca="1">IF($G$4&lt;&gt;0,IFERROR(INDEX(zajimavosti_tymy!F:F,MATCH(prehled!$J$3,OFFSET(zajimavosti_tymy!$A$2,,,(COUNTA(zajimavosti_tymy!$A:$A)-1)*3),0)+3),""),"")</f>
        <v>0</v>
      </c>
    </row>
    <row r="7" spans="1:12" s="152" customFormat="1" ht="19.5" x14ac:dyDescent="0.25">
      <c r="A7" s="413" t="s">
        <v>761</v>
      </c>
      <c r="B7" s="413"/>
      <c r="C7" s="413"/>
      <c r="D7" s="413"/>
      <c r="E7" s="413"/>
      <c r="F7" s="413"/>
      <c r="G7" s="413" t="s">
        <v>761</v>
      </c>
      <c r="H7" s="413"/>
      <c r="I7" s="413"/>
      <c r="J7" s="413"/>
      <c r="K7" s="413"/>
      <c r="L7" s="413"/>
    </row>
    <row r="8" spans="1:12" x14ac:dyDescent="0.25">
      <c r="A8" s="177" t="str">
        <f ca="1">IF(INDIRECT("priprava_" &amp; A$1 &amp; "!A1")&lt;&gt;0,INDIRECT("priprava_" &amp; A$1 &amp; "!A1"),"")</f>
        <v>Jan Fiala</v>
      </c>
      <c r="B8" s="174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75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75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75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76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77" t="str">
        <f ca="1">IF(INDIRECT("priprava_" &amp; G$1 &amp; "!A1")&lt;&gt;0,INDIRECT("priprava_" &amp; G$1 &amp; "!A1"),"")</f>
        <v>Petr Majer</v>
      </c>
      <c r="H8" s="175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juniorský mistr světa (2021)</v>
      </c>
      <c r="I8" s="175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v ZČ 20/21 50 b. (33+17)</v>
      </c>
      <c r="J8" s="175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8" s="175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8" s="176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9" spans="1:12" x14ac:dyDescent="0.25">
      <c r="A9" s="177" t="str">
        <f ca="1">IF(INDIRECT("priprava_" &amp; A$1 &amp; "!M1")&lt;&gt;0,INDIRECT("priprava_" &amp; A$1 &amp; "!M1"),"")</f>
        <v>Viktor Kopecký</v>
      </c>
      <c r="B9" s="174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9" s="175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v Otrokovicích 8 bodů (5+3)</v>
      </c>
      <c r="D9" s="175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9" s="175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76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77" t="str">
        <f ca="1">IF(INDIRECT("priprava_" &amp; G$1 &amp; "!M1")&lt;&gt;0,INDIRECT("priprava_" &amp; G$1 &amp; "!M1"),"")</f>
        <v>Daniel Eremiáš</v>
      </c>
      <c r="H9" s="175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75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75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75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76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77" t="str">
        <f ca="1">IF(INDIRECT("priprava_" &amp; A$1 &amp; "!G3")&lt;&gt;0,INDIRECT("priprava_" &amp; A$1 &amp; "!G3"),"")</f>
        <v>Zbyněk Stuchlík</v>
      </c>
      <c r="B10" s="174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75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75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75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76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77" t="str">
        <f ca="1">IF(INDIRECT("priprava_" &amp; G$1 &amp; "!G3")&lt;&gt;0,INDIRECT("priprava_" &amp; G$1 &amp; "!G3"),"")</f>
        <v>Marek Vávra</v>
      </c>
      <c r="H10" s="175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4x titul a 1x stříbro</v>
      </c>
      <c r="I10" s="175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z toho 1x s Chodovem a 3x s Tatranem</v>
      </c>
      <c r="J10" s="175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10" s="175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0" s="176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1" spans="1:12" x14ac:dyDescent="0.25">
      <c r="A11" s="177" t="str">
        <f ca="1">IF(INDIRECT("priprava_" &amp; A$1 &amp; "!A6")&lt;&gt;0,INDIRECT("priprava_" &amp; A$1 &amp; "!A6"),"")</f>
        <v>Ondřej Stuchlík</v>
      </c>
      <c r="B11" s="174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75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75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75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76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77" t="str">
        <f ca="1">IF(INDIRECT("priprava_" &amp; G$1 &amp; "!A6")&lt;&gt;0,INDIRECT("priprava_" &amp; G$1 &amp; "!A6"),"")</f>
        <v>Martin Řezáč</v>
      </c>
      <c r="H11" s="175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75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75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75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76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77" t="str">
        <f ca="1">IF(INDIRECT("priprava_" &amp; A$1 &amp; "!M6")&lt;&gt;0,INDIRECT("priprava_" &amp; A$1 &amp; "!M6"),"")</f>
        <v>Štěpán Čuda</v>
      </c>
      <c r="B12" s="174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75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75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75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76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77" t="str">
        <f ca="1">IF(INDIRECT("priprava_" &amp; G$1 &amp; "!M6")&lt;&gt;0,INDIRECT("priprava_" &amp; G$1 &amp; "!M6"),"")</f>
        <v>David Horký</v>
      </c>
      <c r="H12" s="175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75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75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75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76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77" t="str">
        <f ca="1">IF(INDIRECT("priprava_" &amp; A$1 &amp; "!A12")&lt;&gt;0,INDIRECT("priprava_" &amp; A$1 &amp; "!A12"),"")</f>
        <v>Vojtěch Klápa</v>
      </c>
      <c r="B13" s="174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3" s="175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3" s="175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3" s="175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76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77" t="str">
        <f ca="1">IF(INDIRECT("priprava_" &amp; G$1 &amp; "!A12")&lt;&gt;0,INDIRECT("priprava_" &amp; G$1 &amp; "!A12"),"")</f>
        <v>Tom Ondrušek</v>
      </c>
      <c r="H13" s="175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od 2013 Chodov</v>
      </c>
      <c r="I13" s="175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předtím Bulldogs a Tatran</v>
      </c>
      <c r="J13" s="175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meta 500 bodů v LS</v>
      </c>
      <c r="K13" s="175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3x titul a 3x bronz v LS</v>
      </c>
      <c r="L13" s="176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4x MS (2014 bronz)</v>
      </c>
    </row>
    <row r="14" spans="1:12" x14ac:dyDescent="0.25">
      <c r="A14" s="177" t="str">
        <f ca="1">IF(INDIRECT("priprava_" &amp; A$1 &amp; "!M12")&lt;&gt;0,INDIRECT("priprava_" &amp; A$1 &amp; "!M12"),"")</f>
        <v>Jan Procházka</v>
      </c>
      <c r="B14" s="174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14" s="175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14" s="175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14" s="175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76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77" t="str">
        <f ca="1">IF(INDIRECT("priprava_" &amp; G$1 &amp; "!M12")&lt;&gt;0,INDIRECT("priprava_" &amp; G$1 &amp; "!M12"),"")</f>
        <v>Matěj Netrefa</v>
      </c>
      <c r="H14" s="175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75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75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75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76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77" t="str">
        <f ca="1">IF(INDIRECT("priprava_" &amp; A$1 &amp; "!G14")&lt;&gt;0,INDIRECT("priprava_" &amp; A$1 &amp; "!G14"),"")</f>
        <v>Vojtěch Máca</v>
      </c>
      <c r="B15" s="174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5" s="175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5" s="175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5" s="175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76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77" t="str">
        <f ca="1">IF(INDIRECT("priprava_" &amp; G$1 &amp; "!G14")&lt;&gt;0,INDIRECT("priprava_" &amp; G$1 &amp; "!G14"),"")</f>
        <v>Ondřej Vošta</v>
      </c>
      <c r="H15" s="175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75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75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75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76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77" t="str">
        <f ca="1">IF(INDIRECT("priprava_" &amp; A$1 &amp; "!A17")&lt;&gt;0,INDIRECT("priprava_" &amp; A$1 &amp; "!A17"),"")</f>
        <v>Matěj Horák</v>
      </c>
      <c r="B16" s="174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75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75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75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76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77" t="str">
        <f ca="1">IF(INDIRECT("priprava_" &amp; G$1 &amp; "!A17")&lt;&gt;0,INDIRECT("priprava_" &amp; G$1 &amp; "!A17"),"")</f>
        <v>Daniel Maxa</v>
      </c>
      <c r="H16" s="175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75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75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75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76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77" t="str">
        <f ca="1">IF(INDIRECT("priprava_" &amp; A$1 &amp; "!M17")&lt;&gt;0,INDIRECT("priprava_" &amp; A$1 &amp; "!M17"),"")</f>
        <v>Petr Hartman</v>
      </c>
      <c r="B17" s="174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75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75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75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76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77" t="str">
        <f ca="1">IF(INDIRECT("priprava_" &amp; G$1 &amp; "!M17")&lt;&gt;0,INDIRECT("priprava_" &amp; G$1 &amp; "!M17"),"")</f>
        <v>Šimon Doubek</v>
      </c>
      <c r="H17" s="175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75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75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75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76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77" t="str">
        <f ca="1">IF(INDIRECT("priprava_" &amp; A$1 &amp; "!A23")&lt;&gt;0,INDIRECT("priprava_" &amp; A$1 &amp; "!A23"),"")</f>
        <v>Štepán Švejda</v>
      </c>
      <c r="B18" s="174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75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75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75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76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77" t="str">
        <f ca="1">IF(INDIRECT("priprava_" &amp; G$1 &amp; "!A23")&lt;&gt;0,INDIRECT("priprava_" &amp; G$1 &amp; "!A23"),"")</f>
        <v>Adam Balatka</v>
      </c>
      <c r="H18" s="175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75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75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75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76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77" t="str">
        <f ca="1">IF(INDIRECT("priprava_" &amp; A$1 &amp; "!M23")&lt;&gt;0,INDIRECT("priprava_" &amp; A$1 &amp; "!M23"),"")</f>
        <v>Pavel Hájek</v>
      </c>
      <c r="B19" s="174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9" s="175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9" s="175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9" s="175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76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77" t="str">
        <f ca="1">IF(INDIRECT("priprava_" &amp; G$1 &amp; "!M23")&lt;&gt;0,INDIRECT("priprava_" &amp; G$1 &amp; "!M23"),"")</f>
        <v>Mikuláš Komárek</v>
      </c>
      <c r="H19" s="175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75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75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75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76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77" t="str">
        <f ca="1">IF(INDIRECT("priprava_" &amp; A$1 &amp; "!G25")&lt;&gt;0,INDIRECT("priprava_" &amp; A$1 &amp; "!G25"),"")</f>
        <v>Jan Pinkas</v>
      </c>
      <c r="B20" s="174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75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75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75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76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77" t="str">
        <f ca="1">IF(INDIRECT("priprava_" &amp; G$1 &amp; "!G25")&lt;&gt;0,INDIRECT("priprava_" &amp; G$1 &amp; "!G25"),"")</f>
        <v>Martin Skřivánek</v>
      </c>
      <c r="H20" s="175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75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75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75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76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77" t="str">
        <f ca="1">IF(INDIRECT("priprava_" &amp; A$1 &amp; "!A28")&lt;&gt;0,INDIRECT("priprava_" &amp; A$1 &amp; "!A28"),"")</f>
        <v>David Ježek</v>
      </c>
      <c r="B21" s="174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75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75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75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76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77" t="str">
        <f ca="1">IF(INDIRECT("priprava_" &amp; G$1 &amp; "!A28")&lt;&gt;0,INDIRECT("priprava_" &amp; G$1 &amp; "!A28"),"")</f>
        <v/>
      </c>
      <c r="H21" s="175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75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75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75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76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77" t="str">
        <f ca="1">IF(INDIRECT("priprava_" &amp; A$1 &amp; "!M28")&lt;&gt;0,INDIRECT("priprava_" &amp; A$1 &amp; "!M28"),"")</f>
        <v>Oliver Gold</v>
      </c>
      <c r="B22" s="174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22" s="175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22" s="175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2" s="175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76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77" t="str">
        <f ca="1">IF(INDIRECT("priprava_" &amp; G$1 &amp; "!M28")&lt;&gt;0,INDIRECT("priprava_" &amp; G$1 &amp; "!M28"),"")</f>
        <v/>
      </c>
      <c r="H22" s="175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75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75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75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76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77" t="str">
        <f ca="1">IF(INDIRECT("priprava_" &amp; A$1 &amp; "!J34")&lt;&gt;0,INDIRECT("priprava_" &amp; A$1 &amp; "!J34"),"")</f>
        <v>Lukáš Gregor</v>
      </c>
      <c r="B23" s="174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3" s="175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3" s="175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3" s="175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76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77" t="str">
        <f ca="1">IF(INDIRECT("priprava_" &amp; G$1 &amp; "!J34")&lt;&gt;0,INDIRECT("priprava_" &amp; G$1 &amp; "!J34"),"")</f>
        <v>Michal Strnad</v>
      </c>
      <c r="H23" s="175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75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75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75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76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77" t="str">
        <f ca="1">IF(INDIRECT("priprava_" &amp; A$1 &amp; "!J38")&lt;&gt;0,INDIRECT("priprava_" &amp; A$1 &amp; "!J38"),"")</f>
        <v>Marek Paštika</v>
      </c>
      <c r="B24" s="174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4" s="175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4" s="175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4" s="175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4" s="176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4" s="177" t="str">
        <f ca="1">IF(INDIRECT("priprava_" &amp; G$1 &amp; "!J38")&lt;&gt;0,INDIRECT("priprava_" &amp; G$1 &amp; "!J38"),"")</f>
        <v>Radim Slunečko</v>
      </c>
      <c r="H24" s="175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75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75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75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76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77" t="str">
        <f ca="1">IF(INDIRECT("priprava_" &amp; A$1 &amp; "!J42")&lt;&gt;0,INDIRECT("priprava_" &amp; A$1 &amp; "!J42"),"")</f>
        <v/>
      </c>
      <c r="B25" s="174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75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75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75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76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77" t="str">
        <f ca="1">IF(INDIRECT("priprava_" &amp; G$1 &amp; "!J42")&lt;&gt;0,INDIRECT("priprava_" &amp; G$1 &amp; "!J42"),"")</f>
        <v/>
      </c>
      <c r="H25" s="175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75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75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75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76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77" t="str">
        <f ca="1">IF(INDIRECT("priprava_" &amp; A$1 &amp; "!A34")&lt;&gt;0,INDIRECT("priprava_" &amp; A$1 &amp; "!A34"),"")</f>
        <v>Petr Musil</v>
      </c>
      <c r="B26" s="174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75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75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75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76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77" t="str">
        <f ca="1">IF(INDIRECT("priprava_" &amp; G$1 &amp; "!A34")&lt;&gt;0,INDIRECT("priprava_" &amp; G$1 &amp; "!A34"),"")</f>
        <v>Karel Hodík</v>
      </c>
      <c r="H26" s="175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juniorský mistr světa (2021)</v>
      </c>
      <c r="I26" s="175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J26" s="175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6" s="175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6" s="176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7" spans="1:12" x14ac:dyDescent="0.25">
      <c r="A27" s="177" t="str">
        <f ca="1">IF(INDIRECT("priprava_" &amp; A$1 &amp; "!A40")&lt;&gt;0,INDIRECT("priprava_" &amp; A$1 &amp; "!A40"),"")</f>
        <v>Karel Šantora</v>
      </c>
      <c r="B27" s="174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75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75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75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76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77" t="str">
        <f ca="1">IF(INDIRECT("priprava_" &amp; G$1 &amp; "!A40")&lt;&gt;0,INDIRECT("priprava_" &amp; G$1 &amp; "!A40"),"")</f>
        <v>Karel Pergler</v>
      </c>
      <c r="H27" s="175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75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75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75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76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3" t="s">
        <v>762</v>
      </c>
      <c r="B28" s="413"/>
      <c r="C28" s="413"/>
      <c r="D28" s="413"/>
      <c r="E28" s="413"/>
      <c r="F28" s="413"/>
      <c r="G28" s="413" t="s">
        <v>762</v>
      </c>
      <c r="H28" s="413"/>
      <c r="I28" s="413"/>
      <c r="J28" s="413"/>
      <c r="K28" s="413"/>
      <c r="L28" s="413"/>
    </row>
    <row r="29" spans="1:12" x14ac:dyDescent="0.25">
      <c r="A29" s="177" t="str">
        <f ca="1">IF(INDIRECT("priprava_" &amp; A$1 &amp; "!A47")&lt;&gt;0,INDIRECT("priprava_" &amp; A$1 &amp; "!A47"),"")</f>
        <v>Michal Kotlas</v>
      </c>
      <c r="B29" s="175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75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75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75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76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77" t="str">
        <f ca="1">IF(INDIRECT("priprava_" &amp; G$1 &amp; "!A47")&lt;&gt;0,INDIRECT("priprava_" &amp; G$1 &amp; "!A47"),"")</f>
        <v>David Podhráský</v>
      </c>
      <c r="H29" s="175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75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75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75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76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77" t="str">
        <f ca="1">IF(INDIRECT("priprava_" &amp; A$1 &amp; "!J47")&lt;&gt;0,INDIRECT("priprava_" &amp; A$1 &amp; "!J47"),"")</f>
        <v>David Bouša</v>
      </c>
      <c r="B30" s="175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75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75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75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76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77" t="str">
        <f ca="1">IF(INDIRECT("priprava_" &amp; G$1 &amp; "!J47")&lt;&gt;0,INDIRECT("priprava_" &amp; G$1 &amp; "!J47"),"")</f>
        <v>Milan Šindelář</v>
      </c>
      <c r="H30" s="175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75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75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75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76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77" t="str">
        <f ca="1">IF(INDIRECT("priprava_" &amp; A$1 &amp; "!J49")&lt;&gt;0,INDIRECT("priprava_" &amp; A$1 &amp; "!J49"),"")</f>
        <v>Boleslav Kytka</v>
      </c>
      <c r="B31" s="175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75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75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75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76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77" t="str">
        <f ca="1">IF(INDIRECT("priprava_" &amp; G$1 &amp; "!J49")&lt;&gt;0,INDIRECT("priprava_" &amp; G$1 &amp; "!J49"),"")</f>
        <v>Karel Myšák</v>
      </c>
      <c r="H31" s="175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75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75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75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76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62" priority="70" stopIfTrue="1" operator="equal">
      <formula>"OTR"</formula>
    </cfRule>
  </conditionalFormatting>
  <conditionalFormatting sqref="A1:F2">
    <cfRule type="cellIs" dxfId="861" priority="71" stopIfTrue="1" operator="equal">
      <formula>"PAR"</formula>
    </cfRule>
    <cfRule type="cellIs" dxfId="860" priority="72" stopIfTrue="1" operator="equal">
      <formula>"CLP"</formula>
    </cfRule>
    <cfRule type="cellIs" dxfId="859" priority="73" stopIfTrue="1" operator="equal">
      <formula>"HAT"</formula>
    </cfRule>
    <cfRule type="cellIs" dxfId="858" priority="74" stopIfTrue="1" operator="equal">
      <formula>"LIB"</formula>
    </cfRule>
    <cfRule type="cellIs" dxfId="857" priority="75" stopIfTrue="1" operator="equal">
      <formula>"BA"</formula>
    </cfRule>
    <cfRule type="cellIs" dxfId="856" priority="76" stopIfTrue="1" operator="equal">
      <formula>"SPA"</formula>
    </cfRule>
    <cfRule type="cellIs" dxfId="855" priority="77" stopIfTrue="1" operator="equal">
      <formula>"OST"</formula>
    </cfRule>
    <cfRule type="cellIs" dxfId="854" priority="78" stopIfTrue="1" operator="equal">
      <formula>"BOH"</formula>
    </cfRule>
    <cfRule type="cellIs" dxfId="853" priority="79" stopIfTrue="1" operator="equal">
      <formula>"TAT"</formula>
    </cfRule>
    <cfRule type="cellIs" dxfId="852" priority="80" stopIfTrue="1" operator="equal">
      <formula>"MB"</formula>
    </cfRule>
    <cfRule type="cellIs" dxfId="851" priority="81" stopIfTrue="1" operator="equal">
      <formula>"VIT"</formula>
    </cfRule>
    <cfRule type="cellIs" dxfId="850" priority="82" stopIfTrue="1" operator="equal">
      <formula>"CHO"</formula>
    </cfRule>
    <cfRule type="cellIs" dxfId="849" priority="83" stopIfTrue="1" operator="equal">
      <formula>"SKV"</formula>
    </cfRule>
  </conditionalFormatting>
  <conditionalFormatting sqref="G1:L2">
    <cfRule type="cellIs" dxfId="848" priority="56" stopIfTrue="1" operator="equal">
      <formula>"OTR"</formula>
    </cfRule>
  </conditionalFormatting>
  <conditionalFormatting sqref="G1:L2">
    <cfRule type="cellIs" dxfId="847" priority="57" stopIfTrue="1" operator="equal">
      <formula>"PAR"</formula>
    </cfRule>
    <cfRule type="cellIs" dxfId="846" priority="58" stopIfTrue="1" operator="equal">
      <formula>"CLP"</formula>
    </cfRule>
    <cfRule type="cellIs" dxfId="845" priority="59" stopIfTrue="1" operator="equal">
      <formula>"HAT"</formula>
    </cfRule>
    <cfRule type="cellIs" dxfId="844" priority="60" stopIfTrue="1" operator="equal">
      <formula>"LIB"</formula>
    </cfRule>
    <cfRule type="cellIs" dxfId="843" priority="61" stopIfTrue="1" operator="equal">
      <formula>"BA"</formula>
    </cfRule>
    <cfRule type="cellIs" dxfId="842" priority="62" stopIfTrue="1" operator="equal">
      <formula>"SPA"</formula>
    </cfRule>
    <cfRule type="cellIs" dxfId="841" priority="63" stopIfTrue="1" operator="equal">
      <formula>"OST"</formula>
    </cfRule>
    <cfRule type="cellIs" dxfId="840" priority="64" stopIfTrue="1" operator="equal">
      <formula>"BOH"</formula>
    </cfRule>
    <cfRule type="cellIs" dxfId="839" priority="65" stopIfTrue="1" operator="equal">
      <formula>"TAT"</formula>
    </cfRule>
    <cfRule type="cellIs" dxfId="838" priority="66" stopIfTrue="1" operator="equal">
      <formula>"MB"</formula>
    </cfRule>
    <cfRule type="cellIs" dxfId="837" priority="67" stopIfTrue="1" operator="equal">
      <formula>"VIT"</formula>
    </cfRule>
    <cfRule type="cellIs" dxfId="836" priority="68" stopIfTrue="1" operator="equal">
      <formula>"CHO"</formula>
    </cfRule>
    <cfRule type="cellIs" dxfId="835" priority="69" stopIfTrue="1" operator="equal">
      <formula>"SKV"</formula>
    </cfRule>
  </conditionalFormatting>
  <conditionalFormatting sqref="B4:F6">
    <cfRule type="expression" dxfId="834" priority="3">
      <formula>AND($B4&lt;&gt;"",MOD(ROW($B4),2)=0,B4=0)</formula>
    </cfRule>
    <cfRule type="expression" dxfId="833" priority="4">
      <formula>AND($B4&lt;&gt;"",MOD(ROW($B4),2)=1,B4=0)</formula>
    </cfRule>
    <cfRule type="expression" dxfId="832" priority="18">
      <formula>AND($B4&lt;&gt;"",MOD(ROW($B4),2)=0)</formula>
    </cfRule>
    <cfRule type="expression" dxfId="831" priority="55">
      <formula>AND($B4&lt;&gt;"",MOD(ROW($B4),2)=1)</formula>
    </cfRule>
  </conditionalFormatting>
  <conditionalFormatting sqref="A8:F27">
    <cfRule type="expression" dxfId="830" priority="17">
      <formula>AND($A8&lt;&gt;"",MOD(ROW($A8),2)=0)</formula>
    </cfRule>
    <cfRule type="expression" dxfId="829" priority="54">
      <formula>AND($A8&lt;&gt;"",MOD(ROW($A8),2)=1)</formula>
    </cfRule>
  </conditionalFormatting>
  <conditionalFormatting sqref="A29:F31">
    <cfRule type="expression" dxfId="828" priority="16">
      <formula>AND($A29&lt;&gt;"",MOD(ROW($A29),2)=1)</formula>
    </cfRule>
    <cfRule type="expression" dxfId="827" priority="53">
      <formula>AND($A29&lt;&gt;"",MOD(ROW($A29),2)=0)</formula>
    </cfRule>
  </conditionalFormatting>
  <conditionalFormatting sqref="H4:L6">
    <cfRule type="expression" dxfId="826" priority="1">
      <formula>AND($H4&lt;&gt;"",MOD(ROW($H4),2)=0,H4=0)</formula>
    </cfRule>
    <cfRule type="expression" dxfId="825" priority="2">
      <formula>AND($H4&lt;&gt;"",MOD(ROW($H4),2)=1,H4=0)</formula>
    </cfRule>
    <cfRule type="expression" dxfId="824" priority="15">
      <formula>AND($H4&lt;&gt;"",MOD(ROW($H4),2)=0)</formula>
    </cfRule>
    <cfRule type="expression" dxfId="823" priority="52">
      <formula>AND($H4&lt;&gt;"",MOD(ROW($H4),2)=1)</formula>
    </cfRule>
  </conditionalFormatting>
  <conditionalFormatting sqref="G8:L27">
    <cfRule type="expression" dxfId="822" priority="14">
      <formula>AND($G8&lt;&gt;"",MOD(ROW($G8),2)=0)</formula>
    </cfRule>
    <cfRule type="expression" dxfId="821" priority="51">
      <formula>AND($G8&lt;&gt;"",MOD(ROW($G8),2)=1)</formula>
    </cfRule>
  </conditionalFormatting>
  <conditionalFormatting sqref="G29:L31">
    <cfRule type="expression" dxfId="820" priority="13">
      <formula>AND($G29&lt;&gt;"",MOD(ROW($G29),2)=1)</formula>
    </cfRule>
    <cfRule type="expression" dxfId="819" priority="50">
      <formula>AND($G29&lt;&gt;"",MOD(ROW($G29),2)=0)</formula>
    </cfRule>
  </conditionalFormatting>
  <conditionalFormatting sqref="A4">
    <cfRule type="cellIs" dxfId="818" priority="36" stopIfTrue="1" operator="equal">
      <formula>"OTR"</formula>
    </cfRule>
  </conditionalFormatting>
  <conditionalFormatting sqref="A4">
    <cfRule type="cellIs" dxfId="817" priority="37" stopIfTrue="1" operator="equal">
      <formula>"PAR"</formula>
    </cfRule>
    <cfRule type="cellIs" dxfId="816" priority="38" stopIfTrue="1" operator="equal">
      <formula>"CLP"</formula>
    </cfRule>
    <cfRule type="cellIs" dxfId="815" priority="39" stopIfTrue="1" operator="equal">
      <formula>"HAT"</formula>
    </cfRule>
    <cfRule type="cellIs" dxfId="814" priority="40" stopIfTrue="1" operator="equal">
      <formula>"LIB"</formula>
    </cfRule>
    <cfRule type="cellIs" dxfId="813" priority="41" stopIfTrue="1" operator="equal">
      <formula>"BA"</formula>
    </cfRule>
    <cfRule type="cellIs" dxfId="812" priority="42" stopIfTrue="1" operator="equal">
      <formula>"SPA"</formula>
    </cfRule>
    <cfRule type="cellIs" dxfId="811" priority="43" stopIfTrue="1" operator="equal">
      <formula>"OST"</formula>
    </cfRule>
    <cfRule type="cellIs" dxfId="810" priority="44" stopIfTrue="1" operator="equal">
      <formula>"BOH"</formula>
    </cfRule>
    <cfRule type="cellIs" dxfId="809" priority="45" stopIfTrue="1" operator="equal">
      <formula>"TAT"</formula>
    </cfRule>
    <cfRule type="cellIs" dxfId="808" priority="46" stopIfTrue="1" operator="equal">
      <formula>"MB"</formula>
    </cfRule>
    <cfRule type="cellIs" dxfId="807" priority="47" stopIfTrue="1" operator="equal">
      <formula>"VIT"</formula>
    </cfRule>
    <cfRule type="cellIs" dxfId="806" priority="48" stopIfTrue="1" operator="equal">
      <formula>"CHO"</formula>
    </cfRule>
    <cfRule type="cellIs" dxfId="805" priority="49" stopIfTrue="1" operator="equal">
      <formula>"SKV"</formula>
    </cfRule>
  </conditionalFormatting>
  <conditionalFormatting sqref="G4">
    <cfRule type="cellIs" dxfId="804" priority="22" stopIfTrue="1" operator="equal">
      <formula>"OTR"</formula>
    </cfRule>
  </conditionalFormatting>
  <conditionalFormatting sqref="G4">
    <cfRule type="cellIs" dxfId="803" priority="23" stopIfTrue="1" operator="equal">
      <formula>"PAR"</formula>
    </cfRule>
    <cfRule type="cellIs" dxfId="802" priority="24" stopIfTrue="1" operator="equal">
      <formula>"CLP"</formula>
    </cfRule>
    <cfRule type="cellIs" dxfId="801" priority="25" stopIfTrue="1" operator="equal">
      <formula>"HAT"</formula>
    </cfRule>
    <cfRule type="cellIs" dxfId="800" priority="26" stopIfTrue="1" operator="equal">
      <formula>"LIB"</formula>
    </cfRule>
    <cfRule type="cellIs" dxfId="799" priority="27" stopIfTrue="1" operator="equal">
      <formula>"BA"</formula>
    </cfRule>
    <cfRule type="cellIs" dxfId="798" priority="28" stopIfTrue="1" operator="equal">
      <formula>"SPA"</formula>
    </cfRule>
    <cfRule type="cellIs" dxfId="797" priority="29" stopIfTrue="1" operator="equal">
      <formula>"OST"</formula>
    </cfRule>
    <cfRule type="cellIs" dxfId="796" priority="30" stopIfTrue="1" operator="equal">
      <formula>"BOH"</formula>
    </cfRule>
    <cfRule type="cellIs" dxfId="795" priority="31" stopIfTrue="1" operator="equal">
      <formula>"TAT"</formula>
    </cfRule>
    <cfRule type="cellIs" dxfId="794" priority="32" stopIfTrue="1" operator="equal">
      <formula>"MB"</formula>
    </cfRule>
    <cfRule type="cellIs" dxfId="793" priority="33" stopIfTrue="1" operator="equal">
      <formula>"VIT"</formula>
    </cfRule>
    <cfRule type="cellIs" dxfId="792" priority="34" stopIfTrue="1" operator="equal">
      <formula>"CHO"</formula>
    </cfRule>
    <cfRule type="cellIs" dxfId="791" priority="35" stopIfTrue="1" operator="equal">
      <formula>"SKV"</formula>
    </cfRule>
  </conditionalFormatting>
  <conditionalFormatting sqref="I8:L27">
    <cfRule type="expression" dxfId="790" priority="11">
      <formula>AND($G8&lt;&gt;"",MOD(ROW($G8),2)=0,I8=0)</formula>
    </cfRule>
    <cfRule type="expression" dxfId="789" priority="12">
      <formula>AND($G8&lt;&gt;"",MOD(ROW($G8),2)=1,I8=0)</formula>
    </cfRule>
  </conditionalFormatting>
  <conditionalFormatting sqref="I29:L31">
    <cfRule type="expression" dxfId="788" priority="9">
      <formula>AND($G29&lt;&gt;"",MOD(ROW($G29),2)=1,I29=0)</formula>
    </cfRule>
    <cfRule type="expression" dxfId="787" priority="10">
      <formula>AND($G29&lt;&gt;"",MOD(ROW($G29),2)=0,I29=0)</formula>
    </cfRule>
  </conditionalFormatting>
  <conditionalFormatting sqref="C8:F27">
    <cfRule type="expression" dxfId="786" priority="7">
      <formula>AND($A8&lt;&gt;"",MOD(ROW($A8),2)=0,C8=0)</formula>
    </cfRule>
    <cfRule type="expression" dxfId="785" priority="8">
      <formula>AND($A8&lt;&gt;"",MOD(ROW($A8),2)=1,C8=0)</formula>
    </cfRule>
  </conditionalFormatting>
  <conditionalFormatting sqref="C29:F31">
    <cfRule type="expression" dxfId="784" priority="5">
      <formula>AND($A29&lt;&gt;"",MOD(ROW($A29),2)=1,C29)</formula>
    </cfRule>
    <cfRule type="expression" dxfId="783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topLeftCell="A50" zoomScaleNormal="100" workbookViewId="0">
      <selection sqref="A1:R50"/>
    </sheetView>
  </sheetViews>
  <sheetFormatPr defaultColWidth="9.140625" defaultRowHeight="14.25" x14ac:dyDescent="0.25"/>
  <cols>
    <col min="1" max="1" width="21.28515625" style="240" customWidth="1"/>
    <col min="2" max="2" width="8.7109375" style="243" customWidth="1"/>
    <col min="3" max="7" width="21.28515625" style="242" customWidth="1"/>
    <col min="8" max="8" width="17.5703125" style="166" hidden="1" customWidth="1"/>
    <col min="9" max="16384" width="9.140625" style="166"/>
  </cols>
  <sheetData>
    <row r="1" spans="1:8" s="244" customFormat="1" ht="19.5" x14ac:dyDescent="0.25">
      <c r="A1" s="414" t="s">
        <v>773</v>
      </c>
      <c r="B1" s="414"/>
      <c r="C1" s="415" t="s">
        <v>772</v>
      </c>
      <c r="D1" s="415"/>
      <c r="E1" s="415"/>
      <c r="F1" s="415"/>
      <c r="G1" s="415"/>
      <c r="H1" s="244" t="s">
        <v>771</v>
      </c>
    </row>
    <row r="2" spans="1:8" x14ac:dyDescent="0.25">
      <c r="A2" s="237" t="s">
        <v>209</v>
      </c>
      <c r="B2" s="238">
        <v>37276</v>
      </c>
      <c r="C2" s="239" t="s">
        <v>768</v>
      </c>
      <c r="D2" s="239"/>
      <c r="E2" s="239"/>
      <c r="F2" s="239"/>
      <c r="G2" s="239"/>
      <c r="H2" s="166" t="str">
        <f t="shared" ref="H2:H33" si="0">IF(A2&lt;&gt;"",CONCATENATE(A2," (",B2,")"),"")</f>
        <v>Jakub Pařízek (37276)</v>
      </c>
    </row>
    <row r="3" spans="1:8" x14ac:dyDescent="0.25">
      <c r="A3" s="237" t="s">
        <v>145</v>
      </c>
      <c r="B3" s="238">
        <v>32379</v>
      </c>
      <c r="C3" s="239" t="s">
        <v>767</v>
      </c>
      <c r="D3" s="239" t="s">
        <v>853</v>
      </c>
      <c r="E3" s="239" t="s">
        <v>854</v>
      </c>
      <c r="F3" s="239"/>
      <c r="G3" s="239"/>
      <c r="H3" s="166" t="str">
        <f t="shared" si="0"/>
        <v>Lukáš Lanc (32379)</v>
      </c>
    </row>
    <row r="4" spans="1:8" x14ac:dyDescent="0.25">
      <c r="A4" s="237" t="s">
        <v>200</v>
      </c>
      <c r="B4" s="238">
        <v>37818</v>
      </c>
      <c r="C4" s="239" t="s">
        <v>770</v>
      </c>
      <c r="D4" s="239"/>
      <c r="E4" s="239"/>
      <c r="F4" s="239"/>
      <c r="G4" s="239"/>
      <c r="H4" s="166" t="str">
        <f t="shared" si="0"/>
        <v>Šimon Stránský (37818)</v>
      </c>
    </row>
    <row r="5" spans="1:8" x14ac:dyDescent="0.25">
      <c r="A5" s="237" t="s">
        <v>230</v>
      </c>
      <c r="B5" s="238">
        <v>24850</v>
      </c>
      <c r="C5" s="239" t="s">
        <v>769</v>
      </c>
      <c r="D5" s="239"/>
      <c r="E5" s="239"/>
      <c r="F5" s="239"/>
      <c r="G5" s="239"/>
      <c r="H5" s="166" t="str">
        <f t="shared" si="0"/>
        <v>Zdeněk Skružný (24850)</v>
      </c>
    </row>
    <row r="6" spans="1:8" x14ac:dyDescent="0.25">
      <c r="A6" s="237" t="s">
        <v>11</v>
      </c>
      <c r="B6" s="238">
        <v>37000</v>
      </c>
      <c r="C6" s="239" t="s">
        <v>855</v>
      </c>
      <c r="D6" s="239" t="s">
        <v>856</v>
      </c>
      <c r="E6" s="239"/>
      <c r="F6" s="239"/>
      <c r="G6" s="239"/>
      <c r="H6" s="166" t="str">
        <f t="shared" si="0"/>
        <v>Oliver Gold (37000)</v>
      </c>
    </row>
    <row r="7" spans="1:8" x14ac:dyDescent="0.25">
      <c r="A7" s="237" t="s">
        <v>112</v>
      </c>
      <c r="B7" s="238">
        <v>36658</v>
      </c>
      <c r="C7" s="239" t="s">
        <v>898</v>
      </c>
      <c r="D7" s="239" t="s">
        <v>899</v>
      </c>
      <c r="E7" s="239" t="s">
        <v>900</v>
      </c>
      <c r="F7" s="239"/>
      <c r="G7" s="239"/>
      <c r="H7" s="166" t="str">
        <f t="shared" si="0"/>
        <v>Jan Procházka (36658)</v>
      </c>
    </row>
    <row r="8" spans="1:8" x14ac:dyDescent="0.25">
      <c r="A8" s="237" t="s">
        <v>17</v>
      </c>
      <c r="B8" s="238">
        <v>37561</v>
      </c>
      <c r="C8" s="239" t="s">
        <v>857</v>
      </c>
      <c r="D8" s="239" t="s">
        <v>858</v>
      </c>
      <c r="E8" s="239"/>
      <c r="F8" s="239"/>
      <c r="G8" s="239"/>
      <c r="H8" s="166" t="str">
        <f t="shared" si="0"/>
        <v>Matyáš Lorenc (37561)</v>
      </c>
    </row>
    <row r="9" spans="1:8" x14ac:dyDescent="0.25">
      <c r="A9" s="237" t="s">
        <v>4</v>
      </c>
      <c r="B9" s="238">
        <v>36364</v>
      </c>
      <c r="C9" s="239" t="s">
        <v>859</v>
      </c>
      <c r="D9" s="239" t="s">
        <v>860</v>
      </c>
      <c r="E9" s="239" t="s">
        <v>861</v>
      </c>
      <c r="F9" s="239" t="s">
        <v>862</v>
      </c>
      <c r="G9" s="239"/>
      <c r="H9" s="166" t="str">
        <f t="shared" si="0"/>
        <v>Štěpán Čuda (36364)</v>
      </c>
    </row>
    <row r="10" spans="1:8" x14ac:dyDescent="0.25">
      <c r="A10" s="237" t="s">
        <v>14</v>
      </c>
      <c r="B10" s="238">
        <v>35171</v>
      </c>
      <c r="C10" s="239" t="s">
        <v>863</v>
      </c>
      <c r="D10" s="239" t="s">
        <v>864</v>
      </c>
      <c r="E10" s="239" t="s">
        <v>861</v>
      </c>
      <c r="F10" s="239" t="s">
        <v>865</v>
      </c>
      <c r="G10" s="239"/>
      <c r="H10" s="166" t="str">
        <f t="shared" si="0"/>
        <v>Karel Šantora (35171)</v>
      </c>
    </row>
    <row r="11" spans="1:8" x14ac:dyDescent="0.25">
      <c r="A11" s="237" t="s">
        <v>10</v>
      </c>
      <c r="B11" s="238">
        <v>34200</v>
      </c>
      <c r="C11" s="239" t="s">
        <v>866</v>
      </c>
      <c r="D11" s="239"/>
      <c r="E11" s="239"/>
      <c r="F11" s="239"/>
      <c r="G11" s="239"/>
      <c r="H11" s="166" t="str">
        <f t="shared" si="0"/>
        <v>Ondřej Stuchlík (34200)</v>
      </c>
    </row>
    <row r="12" spans="1:8" x14ac:dyDescent="0.25">
      <c r="A12" s="237" t="s">
        <v>108</v>
      </c>
      <c r="B12" s="238">
        <v>36650</v>
      </c>
      <c r="C12" s="239" t="s">
        <v>867</v>
      </c>
      <c r="D12" s="239"/>
      <c r="E12" s="239"/>
      <c r="F12" s="239"/>
      <c r="G12" s="239"/>
      <c r="H12" s="166" t="str">
        <f t="shared" si="0"/>
        <v>Vojtěch Máca (36650)</v>
      </c>
    </row>
    <row r="13" spans="1:8" x14ac:dyDescent="0.25">
      <c r="A13" s="237" t="s">
        <v>18</v>
      </c>
      <c r="B13" s="238">
        <v>37455</v>
      </c>
      <c r="C13" s="239" t="s">
        <v>868</v>
      </c>
      <c r="D13" s="239" t="s">
        <v>869</v>
      </c>
      <c r="E13" s="239" t="s">
        <v>870</v>
      </c>
      <c r="F13" s="239"/>
      <c r="G13" s="239"/>
      <c r="H13" s="166" t="str">
        <f t="shared" si="0"/>
        <v>Marek Paštika (37455)</v>
      </c>
    </row>
    <row r="14" spans="1:8" x14ac:dyDescent="0.25">
      <c r="A14" s="237" t="s">
        <v>103</v>
      </c>
      <c r="B14" s="238">
        <v>34883</v>
      </c>
      <c r="C14" s="239" t="s">
        <v>871</v>
      </c>
      <c r="D14" s="239" t="s">
        <v>1482</v>
      </c>
      <c r="E14" s="239" t="s">
        <v>890</v>
      </c>
      <c r="F14" s="239"/>
      <c r="G14" s="239"/>
      <c r="H14" s="166" t="str">
        <f t="shared" si="0"/>
        <v>Viktor Kopecký (34883)</v>
      </c>
    </row>
    <row r="15" spans="1:8" x14ac:dyDescent="0.25">
      <c r="A15" s="237" t="s">
        <v>13</v>
      </c>
      <c r="B15" s="238">
        <v>33357</v>
      </c>
      <c r="C15" s="239" t="s">
        <v>872</v>
      </c>
      <c r="D15" s="239" t="s">
        <v>873</v>
      </c>
      <c r="E15" s="239" t="s">
        <v>874</v>
      </c>
      <c r="F15" s="239"/>
      <c r="G15" s="239"/>
      <c r="H15" s="166" t="str">
        <f t="shared" si="0"/>
        <v>Petr Hartman (33357)</v>
      </c>
    </row>
    <row r="16" spans="1:8" x14ac:dyDescent="0.25">
      <c r="A16" s="237" t="s">
        <v>16</v>
      </c>
      <c r="B16" s="238">
        <v>37402</v>
      </c>
      <c r="C16" s="239" t="s">
        <v>868</v>
      </c>
      <c r="D16" s="239" t="s">
        <v>870</v>
      </c>
      <c r="E16" s="239" t="s">
        <v>875</v>
      </c>
      <c r="F16" s="239" t="s">
        <v>876</v>
      </c>
      <c r="G16" s="239"/>
      <c r="H16" s="166" t="str">
        <f t="shared" si="0"/>
        <v>Jan Pinkas (37402)</v>
      </c>
    </row>
    <row r="17" spans="1:8" x14ac:dyDescent="0.25">
      <c r="A17" s="237" t="s">
        <v>8</v>
      </c>
      <c r="B17" s="238">
        <v>34105</v>
      </c>
      <c r="C17" s="239" t="s">
        <v>877</v>
      </c>
      <c r="D17" s="239" t="s">
        <v>878</v>
      </c>
      <c r="E17" s="239" t="s">
        <v>879</v>
      </c>
      <c r="F17" s="239"/>
      <c r="G17" s="239"/>
      <c r="H17" s="166" t="str">
        <f t="shared" si="0"/>
        <v>Lukáš Gregor (34105)</v>
      </c>
    </row>
    <row r="18" spans="1:8" x14ac:dyDescent="0.25">
      <c r="A18" s="237" t="s">
        <v>6</v>
      </c>
      <c r="B18" s="238">
        <v>34880</v>
      </c>
      <c r="C18" s="239" t="s">
        <v>863</v>
      </c>
      <c r="D18" s="239" t="s">
        <v>880</v>
      </c>
      <c r="E18" s="239" t="s">
        <v>881</v>
      </c>
      <c r="F18" s="239"/>
      <c r="G18" s="239"/>
      <c r="H18" s="166" t="str">
        <f t="shared" si="0"/>
        <v>Jan Fiala (34880)</v>
      </c>
    </row>
    <row r="19" spans="1:8" x14ac:dyDescent="0.25">
      <c r="A19" s="237" t="s">
        <v>142</v>
      </c>
      <c r="B19" s="238">
        <v>36825</v>
      </c>
      <c r="C19" s="239" t="s">
        <v>882</v>
      </c>
      <c r="D19" s="239" t="s">
        <v>883</v>
      </c>
      <c r="E19" s="239" t="s">
        <v>884</v>
      </c>
      <c r="F19" s="239"/>
      <c r="G19" s="239"/>
      <c r="H19" s="166" t="str">
        <f t="shared" si="0"/>
        <v>Pavel Hájek (36825)</v>
      </c>
    </row>
    <row r="20" spans="1:8" x14ac:dyDescent="0.25">
      <c r="A20" s="240" t="s">
        <v>105</v>
      </c>
      <c r="B20" s="241">
        <v>37297</v>
      </c>
      <c r="C20" s="242" t="s">
        <v>885</v>
      </c>
      <c r="D20" s="242" t="s">
        <v>886</v>
      </c>
      <c r="E20" s="242" t="s">
        <v>887</v>
      </c>
      <c r="H20" s="166" t="str">
        <f t="shared" si="0"/>
        <v>Štepán Švejda (37297)</v>
      </c>
    </row>
    <row r="21" spans="1:8" x14ac:dyDescent="0.25">
      <c r="A21" s="240" t="s">
        <v>9</v>
      </c>
      <c r="B21" s="241">
        <v>34200</v>
      </c>
      <c r="C21" s="242" t="s">
        <v>888</v>
      </c>
      <c r="D21" s="242" t="s">
        <v>889</v>
      </c>
      <c r="E21" s="242" t="s">
        <v>890</v>
      </c>
      <c r="H21" s="166" t="str">
        <f t="shared" si="0"/>
        <v>Zbyněk Stuchlík (34200)</v>
      </c>
    </row>
    <row r="22" spans="1:8" x14ac:dyDescent="0.25">
      <c r="A22" s="240" t="s">
        <v>107</v>
      </c>
      <c r="B22" s="241">
        <v>36551</v>
      </c>
      <c r="C22" s="242" t="s">
        <v>891</v>
      </c>
      <c r="D22" s="242" t="s">
        <v>892</v>
      </c>
      <c r="E22" s="242" t="s">
        <v>893</v>
      </c>
      <c r="F22" s="242" t="s">
        <v>894</v>
      </c>
      <c r="H22" s="166" t="str">
        <f t="shared" si="0"/>
        <v>Ivan Pergler (36551)</v>
      </c>
    </row>
    <row r="23" spans="1:8" x14ac:dyDescent="0.25">
      <c r="A23" s="240" t="s">
        <v>0</v>
      </c>
      <c r="B23" s="241">
        <v>37777</v>
      </c>
      <c r="C23" s="242" t="s">
        <v>895</v>
      </c>
      <c r="D23" s="242" t="s">
        <v>896</v>
      </c>
      <c r="E23" s="242" t="s">
        <v>897</v>
      </c>
      <c r="H23" s="166" t="str">
        <f t="shared" si="0"/>
        <v>Vojtěch Klápa (37777)</v>
      </c>
    </row>
    <row r="24" spans="1:8" x14ac:dyDescent="0.25">
      <c r="A24" s="240" t="s">
        <v>623</v>
      </c>
      <c r="B24" s="241">
        <v>30929</v>
      </c>
      <c r="C24" s="242" t="s">
        <v>906</v>
      </c>
      <c r="D24" s="242" t="s">
        <v>907</v>
      </c>
      <c r="H24" s="166" t="str">
        <f t="shared" si="0"/>
        <v>Ivan Ponomarev (30929)</v>
      </c>
    </row>
    <row r="25" spans="1:8" x14ac:dyDescent="0.25">
      <c r="A25" s="240" t="s">
        <v>632</v>
      </c>
      <c r="B25" s="241">
        <v>35663</v>
      </c>
      <c r="C25" s="242" t="s">
        <v>908</v>
      </c>
      <c r="D25" s="242" t="s">
        <v>909</v>
      </c>
      <c r="H25" s="166" t="str">
        <f t="shared" si="0"/>
        <v>Lukáš Chyna (35663)</v>
      </c>
    </row>
    <row r="26" spans="1:8" x14ac:dyDescent="0.25">
      <c r="A26" s="240" t="s">
        <v>376</v>
      </c>
      <c r="B26" s="241">
        <v>33976</v>
      </c>
      <c r="C26" s="242" t="s">
        <v>910</v>
      </c>
      <c r="D26" s="242" t="s">
        <v>911</v>
      </c>
      <c r="E26" s="242" t="s">
        <v>912</v>
      </c>
      <c r="F26" s="242" t="s">
        <v>913</v>
      </c>
      <c r="H26" s="166" t="str">
        <f t="shared" si="0"/>
        <v>Milan Tichý (33976)</v>
      </c>
    </row>
    <row r="27" spans="1:8" x14ac:dyDescent="0.25">
      <c r="A27" s="240" t="s">
        <v>627</v>
      </c>
      <c r="B27" s="241">
        <v>31959</v>
      </c>
      <c r="C27" s="242" t="s">
        <v>914</v>
      </c>
      <c r="D27" s="242" t="s">
        <v>915</v>
      </c>
      <c r="E27" s="242" t="s">
        <v>916</v>
      </c>
      <c r="F27" s="242" t="s">
        <v>917</v>
      </c>
      <c r="H27" s="166" t="str">
        <f t="shared" si="0"/>
        <v>Lukáš Mlejnek (31959)</v>
      </c>
    </row>
    <row r="28" spans="1:8" x14ac:dyDescent="0.25">
      <c r="A28" s="240" t="s">
        <v>641</v>
      </c>
      <c r="B28" s="241">
        <v>36660</v>
      </c>
      <c r="C28" s="242" t="s">
        <v>918</v>
      </c>
      <c r="D28" s="242" t="s">
        <v>919</v>
      </c>
      <c r="E28" s="242" t="s">
        <v>920</v>
      </c>
      <c r="H28" s="166" t="str">
        <f t="shared" si="0"/>
        <v>Jan Spilka (36660)</v>
      </c>
    </row>
    <row r="29" spans="1:8" x14ac:dyDescent="0.25">
      <c r="A29" s="240" t="s">
        <v>637</v>
      </c>
      <c r="B29" s="241">
        <v>33176</v>
      </c>
      <c r="C29" s="242" t="s">
        <v>921</v>
      </c>
      <c r="D29" s="242" t="s">
        <v>922</v>
      </c>
      <c r="E29" s="242" t="s">
        <v>923</v>
      </c>
      <c r="H29" s="166" t="str">
        <f t="shared" si="0"/>
        <v>Tomáš Kadlec (33176)</v>
      </c>
    </row>
    <row r="30" spans="1:8" x14ac:dyDescent="0.25">
      <c r="A30" s="240" t="s">
        <v>622</v>
      </c>
      <c r="B30" s="241">
        <v>30346</v>
      </c>
      <c r="C30" s="242" t="s">
        <v>924</v>
      </c>
      <c r="D30" s="242" t="s">
        <v>925</v>
      </c>
      <c r="E30" s="242" t="s">
        <v>295</v>
      </c>
      <c r="H30" s="166" t="str">
        <f t="shared" si="0"/>
        <v>Štěpán Slaný (30346)</v>
      </c>
    </row>
    <row r="31" spans="1:8" x14ac:dyDescent="0.25">
      <c r="A31" s="240" t="s">
        <v>620</v>
      </c>
      <c r="B31" s="241">
        <v>35199</v>
      </c>
      <c r="C31" s="242" t="s">
        <v>926</v>
      </c>
      <c r="D31" s="242" t="s">
        <v>927</v>
      </c>
      <c r="H31" s="166" t="str">
        <f t="shared" si="0"/>
        <v>Daniel Štěrba (35199)</v>
      </c>
    </row>
    <row r="32" spans="1:8" x14ac:dyDescent="0.25">
      <c r="A32" s="240" t="s">
        <v>928</v>
      </c>
      <c r="B32" s="241">
        <v>35852</v>
      </c>
      <c r="C32" s="242" t="s">
        <v>929</v>
      </c>
      <c r="D32" s="242" t="s">
        <v>930</v>
      </c>
      <c r="H32" s="166" t="str">
        <f t="shared" si="0"/>
        <v>Vojtěch Hrůza (35852)</v>
      </c>
    </row>
    <row r="33" spans="1:8" x14ac:dyDescent="0.25">
      <c r="A33" s="240" t="s">
        <v>638</v>
      </c>
      <c r="B33" s="241">
        <v>34046</v>
      </c>
      <c r="C33" s="242" t="s">
        <v>931</v>
      </c>
      <c r="D33" s="242" t="s">
        <v>932</v>
      </c>
      <c r="E33" s="242" t="s">
        <v>913</v>
      </c>
      <c r="H33" s="166" t="str">
        <f t="shared" si="0"/>
        <v>Tomáš Novák (34046)</v>
      </c>
    </row>
    <row r="34" spans="1:8" x14ac:dyDescent="0.25">
      <c r="A34" s="240" t="s">
        <v>626</v>
      </c>
      <c r="B34" s="241">
        <v>37722</v>
      </c>
      <c r="C34" s="242" t="s">
        <v>933</v>
      </c>
      <c r="D34" s="242" t="s">
        <v>934</v>
      </c>
      <c r="E34" s="242" t="s">
        <v>935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240" t="s">
        <v>628</v>
      </c>
      <c r="B35" s="241">
        <v>37697</v>
      </c>
      <c r="C35" s="242" t="s">
        <v>936</v>
      </c>
      <c r="D35" s="242" t="s">
        <v>937</v>
      </c>
      <c r="H35" s="166" t="str">
        <f t="shared" si="1"/>
        <v>Oliver Brodský (37697)</v>
      </c>
    </row>
    <row r="36" spans="1:8" x14ac:dyDescent="0.25">
      <c r="A36" s="240" t="s">
        <v>624</v>
      </c>
      <c r="B36" s="241">
        <v>35758</v>
      </c>
      <c r="C36" s="242" t="s">
        <v>938</v>
      </c>
      <c r="D36" s="242" t="s">
        <v>939</v>
      </c>
      <c r="E36" s="242" t="s">
        <v>940</v>
      </c>
      <c r="H36" s="166" t="str">
        <f t="shared" si="1"/>
        <v>Jiří Vlček (35758)</v>
      </c>
    </row>
    <row r="37" spans="1:8" x14ac:dyDescent="0.25">
      <c r="A37" s="240" t="s">
        <v>619</v>
      </c>
      <c r="B37" s="241">
        <v>31655</v>
      </c>
      <c r="C37" s="242" t="s">
        <v>941</v>
      </c>
      <c r="D37" s="242" t="s">
        <v>942</v>
      </c>
      <c r="E37" s="242" t="s">
        <v>943</v>
      </c>
      <c r="F37" s="242" t="s">
        <v>944</v>
      </c>
      <c r="H37" s="166" t="str">
        <f t="shared" si="1"/>
        <v>Marek Dzierža (31655)</v>
      </c>
    </row>
    <row r="38" spans="1:8" x14ac:dyDescent="0.25">
      <c r="A38" s="240" t="s">
        <v>625</v>
      </c>
      <c r="B38" s="241">
        <v>37944</v>
      </c>
      <c r="C38" s="242" t="s">
        <v>945</v>
      </c>
      <c r="D38" s="242" t="s">
        <v>946</v>
      </c>
      <c r="E38" s="242" t="s">
        <v>947</v>
      </c>
      <c r="H38" s="166" t="str">
        <f t="shared" si="1"/>
        <v>Albert Kouba (37944)</v>
      </c>
    </row>
    <row r="39" spans="1:8" x14ac:dyDescent="0.25">
      <c r="A39" s="240" t="s">
        <v>621</v>
      </c>
      <c r="B39" s="241">
        <v>33030</v>
      </c>
      <c r="C39" s="242" t="s">
        <v>948</v>
      </c>
      <c r="D39" s="242" t="s">
        <v>949</v>
      </c>
      <c r="E39" s="242" t="s">
        <v>950</v>
      </c>
      <c r="H39" s="166" t="str">
        <f t="shared" si="1"/>
        <v>Jakub Karel (33030)</v>
      </c>
    </row>
    <row r="40" spans="1:8" x14ac:dyDescent="0.25">
      <c r="A40" s="240" t="s">
        <v>617</v>
      </c>
      <c r="B40" s="241">
        <v>37951</v>
      </c>
      <c r="C40" s="242" t="s">
        <v>951</v>
      </c>
      <c r="D40" s="242" t="s">
        <v>952</v>
      </c>
      <c r="E40" s="242" t="s">
        <v>953</v>
      </c>
      <c r="F40" s="242" t="s">
        <v>954</v>
      </c>
      <c r="H40" s="166" t="str">
        <f t="shared" si="1"/>
        <v>Ondřej Kopič (37951)</v>
      </c>
    </row>
    <row r="41" spans="1:8" x14ac:dyDescent="0.25">
      <c r="A41" s="240" t="s">
        <v>390</v>
      </c>
      <c r="B41" s="241">
        <v>34592</v>
      </c>
      <c r="C41" s="242" t="s">
        <v>955</v>
      </c>
      <c r="D41" s="242" t="s">
        <v>956</v>
      </c>
      <c r="E41" s="242" t="s">
        <v>957</v>
      </c>
      <c r="F41" s="242" t="s">
        <v>958</v>
      </c>
      <c r="H41" s="166" t="str">
        <f t="shared" si="1"/>
        <v>Petr Novotný (34592)</v>
      </c>
    </row>
    <row r="42" spans="1:8" x14ac:dyDescent="0.25">
      <c r="A42" s="240" t="s">
        <v>629</v>
      </c>
      <c r="B42" s="241">
        <v>33522</v>
      </c>
      <c r="C42" s="242" t="s">
        <v>959</v>
      </c>
      <c r="D42" s="242" t="s">
        <v>960</v>
      </c>
      <c r="E42" s="242" t="s">
        <v>961</v>
      </c>
      <c r="F42" s="242" t="s">
        <v>962</v>
      </c>
      <c r="H42" s="166" t="str">
        <f t="shared" si="1"/>
        <v>Jakub Jirsa (33522)</v>
      </c>
    </row>
    <row r="43" spans="1:8" x14ac:dyDescent="0.25">
      <c r="A43" s="240" t="s">
        <v>616</v>
      </c>
      <c r="B43" s="241">
        <v>33970</v>
      </c>
      <c r="C43" s="242" t="s">
        <v>963</v>
      </c>
      <c r="D43" s="242" t="s">
        <v>964</v>
      </c>
      <c r="E43" s="242" t="s">
        <v>965</v>
      </c>
      <c r="H43" s="166" t="str">
        <f t="shared" si="1"/>
        <v>Radek Krajcigr (33970)</v>
      </c>
    </row>
    <row r="44" spans="1:8" x14ac:dyDescent="0.25">
      <c r="A44" s="240" t="s">
        <v>618</v>
      </c>
      <c r="B44" s="241">
        <v>32150</v>
      </c>
      <c r="C44" s="242" t="s">
        <v>966</v>
      </c>
      <c r="D44" s="242" t="s">
        <v>967</v>
      </c>
      <c r="E44" s="242" t="s">
        <v>968</v>
      </c>
      <c r="F44" s="242" t="s">
        <v>913</v>
      </c>
      <c r="H44" s="166" t="str">
        <f t="shared" si="1"/>
        <v>Jaromír Ekl (32150)</v>
      </c>
    </row>
    <row r="45" spans="1:8" x14ac:dyDescent="0.25">
      <c r="A45" s="240" t="s">
        <v>653</v>
      </c>
      <c r="B45" s="241">
        <v>31211</v>
      </c>
      <c r="C45" s="242" t="s">
        <v>969</v>
      </c>
      <c r="D45" s="242" t="s">
        <v>970</v>
      </c>
      <c r="E45" s="242" t="s">
        <v>971</v>
      </c>
      <c r="H45" s="166" t="str">
        <f t="shared" si="1"/>
        <v>David Derka (31211)</v>
      </c>
    </row>
    <row r="46" spans="1:8" x14ac:dyDescent="0.25">
      <c r="A46" s="240" t="s">
        <v>527</v>
      </c>
      <c r="B46" s="241">
        <v>33195</v>
      </c>
      <c r="C46" s="242" t="s">
        <v>1016</v>
      </c>
      <c r="D46" s="242" t="s">
        <v>1017</v>
      </c>
      <c r="E46" s="242" t="s">
        <v>1018</v>
      </c>
      <c r="H46" s="166" t="str">
        <f t="shared" si="1"/>
        <v>Vojtěch Zezulka (33195)</v>
      </c>
    </row>
    <row r="47" spans="1:8" x14ac:dyDescent="0.25">
      <c r="A47" s="240" t="s">
        <v>532</v>
      </c>
      <c r="B47" s="241">
        <v>33767</v>
      </c>
      <c r="C47" s="242" t="s">
        <v>1019</v>
      </c>
      <c r="D47" s="242" t="s">
        <v>1020</v>
      </c>
      <c r="H47" s="166" t="str">
        <f t="shared" si="1"/>
        <v>Pavel Čihák (33767)</v>
      </c>
    </row>
    <row r="48" spans="1:8" x14ac:dyDescent="0.25">
      <c r="A48" s="240" t="s">
        <v>531</v>
      </c>
      <c r="B48" s="241">
        <v>34316</v>
      </c>
      <c r="C48" s="242" t="s">
        <v>1021</v>
      </c>
      <c r="H48" s="166" t="str">
        <f t="shared" si="1"/>
        <v>Marek Ďopan (34316)</v>
      </c>
    </row>
    <row r="49" spans="1:8" x14ac:dyDescent="0.25">
      <c r="A49" s="240" t="s">
        <v>534</v>
      </c>
      <c r="B49" s="241">
        <v>38057</v>
      </c>
      <c r="C49" s="242" t="s">
        <v>1022</v>
      </c>
      <c r="H49" s="166" t="str">
        <f t="shared" si="1"/>
        <v>Vojtěch Bílek (38057)</v>
      </c>
    </row>
    <row r="50" spans="1:8" x14ac:dyDescent="0.25">
      <c r="A50" s="240" t="s">
        <v>525</v>
      </c>
      <c r="B50" s="241">
        <v>37455</v>
      </c>
      <c r="C50" s="242" t="s">
        <v>1023</v>
      </c>
      <c r="D50" s="242" t="s">
        <v>1024</v>
      </c>
      <c r="E50" s="242" t="s">
        <v>1025</v>
      </c>
      <c r="H50" s="166" t="str">
        <f t="shared" si="1"/>
        <v>Matúš Gajdoš (37455)</v>
      </c>
    </row>
    <row r="51" spans="1:8" x14ac:dyDescent="0.25">
      <c r="A51" s="240" t="s">
        <v>536</v>
      </c>
      <c r="B51" s="241">
        <v>36370</v>
      </c>
      <c r="C51" s="242" t="s">
        <v>1026</v>
      </c>
      <c r="H51" s="166" t="str">
        <f t="shared" si="1"/>
        <v>Jan Dobisík (36370)</v>
      </c>
    </row>
    <row r="52" spans="1:8" x14ac:dyDescent="0.25">
      <c r="A52" s="240" t="s">
        <v>520</v>
      </c>
      <c r="B52" s="241">
        <v>36990</v>
      </c>
      <c r="C52" s="242" t="s">
        <v>1027</v>
      </c>
      <c r="D52" s="242" t="s">
        <v>1028</v>
      </c>
      <c r="H52" s="166" t="str">
        <f t="shared" si="1"/>
        <v>Jakub Buršík (36990)</v>
      </c>
    </row>
    <row r="53" spans="1:8" x14ac:dyDescent="0.25">
      <c r="A53" s="240" t="s">
        <v>524</v>
      </c>
      <c r="B53" s="241">
        <v>33400</v>
      </c>
      <c r="C53" s="242" t="s">
        <v>1029</v>
      </c>
      <c r="D53" s="242" t="s">
        <v>1030</v>
      </c>
      <c r="H53" s="166" t="str">
        <f t="shared" si="1"/>
        <v>Adam Růžek (33400)</v>
      </c>
    </row>
    <row r="54" spans="1:8" x14ac:dyDescent="0.25">
      <c r="A54" s="240" t="s">
        <v>519</v>
      </c>
      <c r="B54" s="241">
        <v>37353</v>
      </c>
      <c r="C54" s="242" t="s">
        <v>1031</v>
      </c>
      <c r="H54" s="166" t="str">
        <f t="shared" si="1"/>
        <v>Karel Petrák (37353)</v>
      </c>
    </row>
    <row r="55" spans="1:8" x14ac:dyDescent="0.25">
      <c r="A55" s="240" t="s">
        <v>552</v>
      </c>
      <c r="B55" s="241">
        <v>29350</v>
      </c>
      <c r="C55" s="242" t="s">
        <v>1032</v>
      </c>
      <c r="D55" s="242" t="s">
        <v>1033</v>
      </c>
      <c r="H55" s="166" t="str">
        <f t="shared" si="1"/>
        <v>Michal Jedlička (29350)</v>
      </c>
    </row>
    <row r="56" spans="1:8" x14ac:dyDescent="0.25">
      <c r="A56" s="240" t="s">
        <v>366</v>
      </c>
      <c r="B56" s="241">
        <v>33335</v>
      </c>
      <c r="C56" s="242" t="s">
        <v>1135</v>
      </c>
      <c r="D56" s="242" t="s">
        <v>1136</v>
      </c>
      <c r="E56" s="242" t="s">
        <v>1137</v>
      </c>
      <c r="F56" s="242" t="s">
        <v>1138</v>
      </c>
      <c r="H56" s="166" t="str">
        <f t="shared" si="1"/>
        <v>Lukáš Bauer (33335)</v>
      </c>
    </row>
    <row r="57" spans="1:8" x14ac:dyDescent="0.25">
      <c r="A57" s="240" t="s">
        <v>363</v>
      </c>
      <c r="B57" s="241">
        <v>33193</v>
      </c>
      <c r="C57" s="242" t="s">
        <v>1139</v>
      </c>
      <c r="D57" s="242" t="s">
        <v>1140</v>
      </c>
      <c r="E57" s="242" t="s">
        <v>1141</v>
      </c>
      <c r="F57" s="242" t="s">
        <v>1142</v>
      </c>
      <c r="G57" s="242" t="s">
        <v>1143</v>
      </c>
      <c r="H57" s="166" t="str">
        <f t="shared" si="1"/>
        <v>Patrik Suchánek (33193)</v>
      </c>
    </row>
    <row r="58" spans="1:8" x14ac:dyDescent="0.25">
      <c r="A58" s="240" t="s">
        <v>357</v>
      </c>
      <c r="B58" s="241">
        <v>34602</v>
      </c>
      <c r="C58" s="242" t="s">
        <v>1144</v>
      </c>
      <c r="D58" s="242" t="s">
        <v>1145</v>
      </c>
      <c r="E58" s="242" t="s">
        <v>1146</v>
      </c>
      <c r="F58" s="242" t="s">
        <v>1147</v>
      </c>
      <c r="G58" s="242" t="s">
        <v>1148</v>
      </c>
      <c r="H58" s="166" t="str">
        <f t="shared" si="1"/>
        <v>Jakub Gruber (34602)</v>
      </c>
    </row>
    <row r="59" spans="1:8" x14ac:dyDescent="0.25">
      <c r="A59" s="240" t="s">
        <v>364</v>
      </c>
      <c r="B59" s="241">
        <v>36648</v>
      </c>
      <c r="C59" s="242" t="s">
        <v>930</v>
      </c>
      <c r="D59" s="242" t="s">
        <v>1149</v>
      </c>
      <c r="E59" s="242" t="s">
        <v>1150</v>
      </c>
      <c r="H59" s="166" t="str">
        <f t="shared" si="1"/>
        <v>Petr Koláčný (36648)</v>
      </c>
    </row>
    <row r="60" spans="1:8" x14ac:dyDescent="0.25">
      <c r="A60" s="240" t="s">
        <v>367</v>
      </c>
      <c r="B60" s="241">
        <v>37578</v>
      </c>
      <c r="C60" s="242" t="s">
        <v>930</v>
      </c>
      <c r="D60" s="242" t="s">
        <v>1151</v>
      </c>
      <c r="E60" s="242" t="s">
        <v>1152</v>
      </c>
      <c r="F60" s="242" t="s">
        <v>1153</v>
      </c>
      <c r="H60" s="166" t="str">
        <f t="shared" si="1"/>
        <v>Lukáš Punčochář (37578)</v>
      </c>
    </row>
    <row r="61" spans="1:8" x14ac:dyDescent="0.25">
      <c r="A61" s="240" t="s">
        <v>373</v>
      </c>
      <c r="B61" s="241">
        <v>37407</v>
      </c>
      <c r="C61" s="242" t="s">
        <v>1154</v>
      </c>
      <c r="D61" s="242" t="s">
        <v>1155</v>
      </c>
      <c r="E61" s="242" t="s">
        <v>1152</v>
      </c>
      <c r="F61" s="242" t="s">
        <v>1156</v>
      </c>
      <c r="H61" s="166" t="str">
        <f t="shared" si="1"/>
        <v>Adam Hemerka (37407)</v>
      </c>
    </row>
    <row r="62" spans="1:8" x14ac:dyDescent="0.25">
      <c r="A62" s="240" t="s">
        <v>370</v>
      </c>
      <c r="B62" s="241">
        <v>37122</v>
      </c>
      <c r="C62" s="242" t="s">
        <v>930</v>
      </c>
      <c r="H62" s="166" t="str">
        <f t="shared" si="1"/>
        <v>Miroslav Fořt (37122)</v>
      </c>
    </row>
    <row r="63" spans="1:8" x14ac:dyDescent="0.25">
      <c r="A63" s="240" t="s">
        <v>365</v>
      </c>
      <c r="B63" s="241">
        <v>32590</v>
      </c>
      <c r="C63" s="242" t="s">
        <v>1143</v>
      </c>
      <c r="D63" s="242" t="s">
        <v>1157</v>
      </c>
      <c r="E63" s="242" t="s">
        <v>1140</v>
      </c>
      <c r="F63" s="242" t="s">
        <v>1158</v>
      </c>
      <c r="G63" s="242" t="s">
        <v>148</v>
      </c>
      <c r="H63" s="166" t="str">
        <f t="shared" si="1"/>
        <v>Daniel Šebek (32590)</v>
      </c>
    </row>
    <row r="64" spans="1:8" x14ac:dyDescent="0.25">
      <c r="A64" s="240" t="s">
        <v>362</v>
      </c>
      <c r="B64" s="241">
        <v>32329</v>
      </c>
      <c r="C64" s="242" t="s">
        <v>1159</v>
      </c>
      <c r="D64" s="242" t="s">
        <v>1157</v>
      </c>
      <c r="E64" s="242" t="s">
        <v>1160</v>
      </c>
      <c r="F64" s="242" t="s">
        <v>1161</v>
      </c>
      <c r="G64" s="242" t="s">
        <v>1162</v>
      </c>
      <c r="H64" s="166" t="str">
        <f t="shared" si="1"/>
        <v>Milan Tomašík (32329)</v>
      </c>
    </row>
    <row r="65" spans="1:8" x14ac:dyDescent="0.25">
      <c r="A65" s="240" t="s">
        <v>359</v>
      </c>
      <c r="B65" s="241">
        <v>34634</v>
      </c>
      <c r="C65" s="242" t="s">
        <v>1163</v>
      </c>
      <c r="D65" s="242" t="s">
        <v>1164</v>
      </c>
      <c r="E65" s="242" t="s">
        <v>1165</v>
      </c>
      <c r="F65" s="242" t="s">
        <v>1166</v>
      </c>
      <c r="H65" s="166" t="str">
        <f t="shared" si="1"/>
        <v>Tadeáš Chroust (34634)</v>
      </c>
    </row>
    <row r="66" spans="1:8" x14ac:dyDescent="0.25">
      <c r="A66" s="240" t="s">
        <v>361</v>
      </c>
      <c r="B66" s="241">
        <v>35871</v>
      </c>
      <c r="C66" s="242" t="s">
        <v>1163</v>
      </c>
      <c r="D66" s="242" t="s">
        <v>1167</v>
      </c>
      <c r="E66" s="242" t="s">
        <v>1168</v>
      </c>
      <c r="H66" s="166" t="str">
        <f t="shared" ref="H66:H97" si="2">IF(A66&lt;&gt;"",CONCATENATE(A66," (",B66,")"),"")</f>
        <v>Jakub Bína (35871)</v>
      </c>
    </row>
    <row r="67" spans="1:8" x14ac:dyDescent="0.25">
      <c r="A67" s="240" t="s">
        <v>355</v>
      </c>
      <c r="B67" s="241">
        <v>33157</v>
      </c>
      <c r="C67" s="242" t="s">
        <v>1169</v>
      </c>
      <c r="D67" s="242" t="s">
        <v>1170</v>
      </c>
      <c r="E67" s="242" t="s">
        <v>1171</v>
      </c>
      <c r="F67" s="242" t="s">
        <v>1139</v>
      </c>
      <c r="G67" s="242" t="s">
        <v>1172</v>
      </c>
      <c r="H67" s="166" t="str">
        <f t="shared" si="2"/>
        <v>Martin Tokoš (33157)</v>
      </c>
    </row>
    <row r="68" spans="1:8" x14ac:dyDescent="0.25">
      <c r="A68" s="240" t="s">
        <v>358</v>
      </c>
      <c r="B68" s="241">
        <v>37103</v>
      </c>
      <c r="C68" s="242" t="s">
        <v>930</v>
      </c>
      <c r="D68" s="242" t="s">
        <v>1173</v>
      </c>
      <c r="E68" s="242" t="s">
        <v>1150</v>
      </c>
      <c r="F68" s="242" t="s">
        <v>1174</v>
      </c>
      <c r="H68" s="166" t="str">
        <f t="shared" si="2"/>
        <v>Dominik Beneš (37103)</v>
      </c>
    </row>
    <row r="69" spans="1:8" x14ac:dyDescent="0.25">
      <c r="A69" s="240" t="s">
        <v>353</v>
      </c>
      <c r="B69" s="241">
        <v>32786</v>
      </c>
      <c r="C69" s="242" t="s">
        <v>1163</v>
      </c>
      <c r="D69" s="242" t="s">
        <v>1175</v>
      </c>
      <c r="E69" s="242" t="s">
        <v>1160</v>
      </c>
      <c r="F69" s="242" t="s">
        <v>1161</v>
      </c>
      <c r="G69" s="242" t="s">
        <v>1176</v>
      </c>
      <c r="H69" s="166" t="str">
        <f t="shared" si="2"/>
        <v>Jiří Curney (32786)</v>
      </c>
    </row>
    <row r="70" spans="1:8" x14ac:dyDescent="0.25">
      <c r="A70" s="240" t="s">
        <v>354</v>
      </c>
      <c r="B70" s="241">
        <v>37358</v>
      </c>
      <c r="C70" s="242" t="s">
        <v>930</v>
      </c>
      <c r="D70" s="242" t="s">
        <v>1177</v>
      </c>
      <c r="E70" s="242" t="s">
        <v>1152</v>
      </c>
      <c r="H70" s="166" t="str">
        <f t="shared" si="2"/>
        <v>Matěj Pěnička (37358)</v>
      </c>
    </row>
    <row r="71" spans="1:8" x14ac:dyDescent="0.25">
      <c r="A71" s="240" t="s">
        <v>356</v>
      </c>
      <c r="B71" s="241">
        <v>33919</v>
      </c>
      <c r="C71" s="242" t="s">
        <v>1178</v>
      </c>
      <c r="D71" s="242" t="s">
        <v>1179</v>
      </c>
      <c r="E71" s="242" t="s">
        <v>1180</v>
      </c>
      <c r="H71" s="166" t="str">
        <f t="shared" si="2"/>
        <v>Jan Natov (33919)</v>
      </c>
    </row>
    <row r="72" spans="1:8" x14ac:dyDescent="0.25">
      <c r="A72" s="240" t="s">
        <v>390</v>
      </c>
      <c r="B72" s="241">
        <v>30091</v>
      </c>
      <c r="C72" s="242" t="s">
        <v>1181</v>
      </c>
      <c r="D72" s="242" t="s">
        <v>1182</v>
      </c>
      <c r="E72" s="242" t="s">
        <v>1183</v>
      </c>
      <c r="F72" s="242" t="s">
        <v>1184</v>
      </c>
      <c r="H72" s="166" t="str">
        <f t="shared" si="2"/>
        <v>Petr Novotný (30091)</v>
      </c>
    </row>
    <row r="73" spans="1:8" x14ac:dyDescent="0.25">
      <c r="A73" s="240" t="s">
        <v>270</v>
      </c>
      <c r="B73" s="241">
        <v>37727</v>
      </c>
      <c r="C73" s="242" t="s">
        <v>770</v>
      </c>
      <c r="H73" s="166" t="str">
        <f t="shared" si="2"/>
        <v>Karel Hodík (37727)</v>
      </c>
    </row>
    <row r="74" spans="1:8" x14ac:dyDescent="0.25">
      <c r="A74" s="240" t="s">
        <v>254</v>
      </c>
      <c r="B74" s="241">
        <v>37610</v>
      </c>
      <c r="C74" s="242" t="s">
        <v>770</v>
      </c>
      <c r="D74" s="242" t="s">
        <v>1489</v>
      </c>
      <c r="H74" s="166" t="str">
        <f t="shared" si="2"/>
        <v>Petr Majer (37610)</v>
      </c>
    </row>
    <row r="75" spans="1:8" x14ac:dyDescent="0.25">
      <c r="A75" s="240" t="s">
        <v>257</v>
      </c>
      <c r="B75" s="241">
        <v>33775</v>
      </c>
      <c r="C75" s="242" t="s">
        <v>1483</v>
      </c>
      <c r="D75" s="242" t="s">
        <v>1484</v>
      </c>
      <c r="E75" s="242" t="s">
        <v>1485</v>
      </c>
      <c r="F75" s="242" t="s">
        <v>1487</v>
      </c>
      <c r="G75" s="242" t="s">
        <v>1486</v>
      </c>
      <c r="H75" s="166" t="str">
        <f t="shared" si="2"/>
        <v>Tom Ondrušek (33775)</v>
      </c>
    </row>
    <row r="76" spans="1:8" x14ac:dyDescent="0.25">
      <c r="A76" s="240" t="s">
        <v>251</v>
      </c>
      <c r="B76" s="241">
        <v>34094</v>
      </c>
      <c r="C76" s="242" t="s">
        <v>1504</v>
      </c>
      <c r="D76" s="242" t="s">
        <v>1505</v>
      </c>
      <c r="H76" s="166" t="str">
        <f t="shared" si="2"/>
        <v>Marek Vávra (34094)</v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82" priority="2">
      <formula>LEN(TRIM(C2))&gt;0</formula>
    </cfRule>
  </conditionalFormatting>
  <conditionalFormatting sqref="A2:G1048576">
    <cfRule type="expression" dxfId="781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8"/>
  <sheetViews>
    <sheetView view="pageLayout" zoomScaleNormal="100" workbookViewId="0">
      <selection sqref="A1:R50"/>
    </sheetView>
  </sheetViews>
  <sheetFormatPr defaultRowHeight="16.5" x14ac:dyDescent="0.25"/>
  <cols>
    <col min="1" max="1" width="21.28515625" style="167" customWidth="1"/>
    <col min="2" max="6" width="21.28515625" style="173" customWidth="1"/>
    <col min="7" max="16384" width="9.140625" style="166"/>
  </cols>
  <sheetData>
    <row r="1" spans="1:6" ht="19.5" x14ac:dyDescent="0.25">
      <c r="A1" s="168" t="s">
        <v>85</v>
      </c>
      <c r="B1" s="417" t="s">
        <v>772</v>
      </c>
      <c r="C1" s="417"/>
      <c r="D1" s="417"/>
      <c r="E1" s="417"/>
      <c r="F1" s="417"/>
    </row>
    <row r="2" spans="1:6" ht="14.25" customHeight="1" x14ac:dyDescent="0.25">
      <c r="A2" s="418" t="s">
        <v>76</v>
      </c>
      <c r="B2" s="468" t="s">
        <v>1509</v>
      </c>
      <c r="C2" s="468" t="s">
        <v>1502</v>
      </c>
      <c r="D2" s="468" t="s">
        <v>1503</v>
      </c>
      <c r="E2" s="468" t="s">
        <v>901</v>
      </c>
      <c r="F2" s="468" t="s">
        <v>977</v>
      </c>
    </row>
    <row r="3" spans="1:6" ht="14.25" x14ac:dyDescent="0.25">
      <c r="A3" s="418"/>
      <c r="B3" s="468" t="s">
        <v>1494</v>
      </c>
      <c r="C3" s="468" t="s">
        <v>1495</v>
      </c>
      <c r="D3" s="468" t="s">
        <v>1499</v>
      </c>
      <c r="E3" s="468" t="s">
        <v>1508</v>
      </c>
      <c r="F3" s="468" t="s">
        <v>1510</v>
      </c>
    </row>
    <row r="4" spans="1:6" ht="14.25" x14ac:dyDescent="0.25">
      <c r="A4" s="418"/>
      <c r="B4" s="468" t="s">
        <v>1506</v>
      </c>
      <c r="C4" s="468"/>
      <c r="D4" s="468"/>
      <c r="E4" s="468"/>
      <c r="F4" s="468"/>
    </row>
    <row r="5" spans="1:6" ht="14.25" customHeight="1" x14ac:dyDescent="0.25">
      <c r="A5" s="467" t="s">
        <v>1481</v>
      </c>
      <c r="B5" s="468" t="s">
        <v>1488</v>
      </c>
      <c r="C5" s="468" t="s">
        <v>1490</v>
      </c>
      <c r="D5" s="468" t="s">
        <v>1491</v>
      </c>
      <c r="E5" s="468" t="s">
        <v>1492</v>
      </c>
      <c r="F5" s="468" t="s">
        <v>1500</v>
      </c>
    </row>
    <row r="6" spans="1:6" ht="14.25" customHeight="1" x14ac:dyDescent="0.25">
      <c r="A6" s="467"/>
      <c r="B6" s="468" t="s">
        <v>1493</v>
      </c>
      <c r="C6" s="468" t="s">
        <v>1496</v>
      </c>
      <c r="D6" s="468" t="s">
        <v>1497</v>
      </c>
      <c r="E6" s="468" t="s">
        <v>1498</v>
      </c>
      <c r="F6" s="468" t="s">
        <v>1501</v>
      </c>
    </row>
    <row r="7" spans="1:6" ht="14.25" customHeight="1" x14ac:dyDescent="0.25">
      <c r="A7" s="467"/>
      <c r="B7" s="468" t="s">
        <v>1507</v>
      </c>
      <c r="C7" s="468"/>
      <c r="D7" s="468"/>
      <c r="E7" s="468"/>
      <c r="F7" s="468"/>
    </row>
    <row r="8" spans="1:6" ht="14.25" x14ac:dyDescent="0.25">
      <c r="A8" s="416" t="s">
        <v>72</v>
      </c>
      <c r="B8" s="468" t="s">
        <v>972</v>
      </c>
      <c r="C8" s="468" t="s">
        <v>973</v>
      </c>
      <c r="D8" s="468" t="s">
        <v>974</v>
      </c>
      <c r="E8" s="468" t="s">
        <v>975</v>
      </c>
      <c r="F8" s="468" t="s">
        <v>976</v>
      </c>
    </row>
    <row r="9" spans="1:6" ht="14.25" x14ac:dyDescent="0.25">
      <c r="A9" s="416"/>
      <c r="B9" s="468"/>
      <c r="C9" s="468"/>
      <c r="D9" s="468"/>
      <c r="E9" s="468"/>
      <c r="F9" s="468"/>
    </row>
    <row r="10" spans="1:6" ht="14.25" x14ac:dyDescent="0.25">
      <c r="A10" s="416"/>
      <c r="B10" s="468"/>
      <c r="C10" s="468"/>
      <c r="D10" s="468"/>
      <c r="E10" s="468"/>
      <c r="F10" s="468"/>
    </row>
    <row r="11" spans="1:6" ht="16.5" customHeight="1" x14ac:dyDescent="0.25">
      <c r="A11" s="416" t="s">
        <v>67</v>
      </c>
      <c r="B11" s="468" t="s">
        <v>1037</v>
      </c>
      <c r="C11" s="468" t="s">
        <v>1035</v>
      </c>
      <c r="D11" s="468" t="s">
        <v>1036</v>
      </c>
      <c r="E11" s="468" t="s">
        <v>1034</v>
      </c>
      <c r="F11" s="468"/>
    </row>
    <row r="12" spans="1:6" ht="16.5" customHeight="1" x14ac:dyDescent="0.25">
      <c r="A12" s="416"/>
      <c r="B12" s="468" t="s">
        <v>1035</v>
      </c>
      <c r="C12" s="468" t="s">
        <v>1034</v>
      </c>
      <c r="D12" s="468"/>
      <c r="E12" s="468"/>
    </row>
    <row r="13" spans="1:6" ht="16.5" customHeight="1" x14ac:dyDescent="0.25">
      <c r="A13" s="416"/>
      <c r="B13" s="468"/>
      <c r="C13" s="468" t="s">
        <v>1037</v>
      </c>
      <c r="D13" s="468"/>
      <c r="E13" s="468"/>
      <c r="F13" s="468"/>
    </row>
    <row r="14" spans="1:6" ht="16.5" customHeight="1" x14ac:dyDescent="0.25">
      <c r="A14" s="416" t="s">
        <v>64</v>
      </c>
      <c r="B14" s="468" t="s">
        <v>1185</v>
      </c>
      <c r="C14" s="468"/>
      <c r="D14" s="468"/>
      <c r="E14" s="468"/>
      <c r="F14" s="468"/>
    </row>
    <row r="15" spans="1:6" ht="16.5" customHeight="1" x14ac:dyDescent="0.25">
      <c r="A15" s="416"/>
      <c r="B15" s="468"/>
      <c r="C15" s="468"/>
      <c r="D15" s="468"/>
      <c r="E15" s="468"/>
      <c r="F15" s="468"/>
    </row>
    <row r="16" spans="1:6" ht="16.5" customHeight="1" x14ac:dyDescent="0.25">
      <c r="A16" s="416"/>
      <c r="B16" s="468"/>
      <c r="C16" s="468"/>
      <c r="D16" s="468"/>
      <c r="E16" s="468"/>
      <c r="F16" s="468"/>
    </row>
    <row r="17" spans="2:6" x14ac:dyDescent="0.25">
      <c r="B17" s="469"/>
      <c r="C17" s="469"/>
      <c r="D17" s="469"/>
      <c r="E17" s="469"/>
      <c r="F17" s="469"/>
    </row>
    <row r="18" spans="2:6" x14ac:dyDescent="0.25">
      <c r="B18" s="469"/>
      <c r="C18" s="469"/>
      <c r="D18" s="469"/>
      <c r="E18" s="469"/>
      <c r="F18" s="469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 B11:C11 E11:F11 B14:F1048576 B12:E12">
    <cfRule type="expression" dxfId="7" priority="40">
      <formula>AND($B2&lt;&gt;"",MOD(ROW($B2),2)=1)</formula>
    </cfRule>
  </conditionalFormatting>
  <conditionalFormatting sqref="A5:F10 A14:F14 B15:F16 C13:F13 B11:C11 E11:F11 A17:F1048576 B12:E12">
    <cfRule type="expression" dxfId="6" priority="39">
      <formula>AND($A5&lt;&gt;"",MOD(ROW($A5),3)=2)</formula>
    </cfRule>
  </conditionalFormatting>
  <conditionalFormatting sqref="A1:A10 A14 A17:A1048576">
    <cfRule type="cellIs" dxfId="780" priority="25" stopIfTrue="1" operator="equal">
      <formula>"OTR"</formula>
    </cfRule>
    <cfRule type="cellIs" dxfId="779" priority="26" stopIfTrue="1" operator="equal">
      <formula>"PAR"</formula>
    </cfRule>
    <cfRule type="cellIs" dxfId="778" priority="27" stopIfTrue="1" operator="equal">
      <formula>"FBC 4CLEAN Česká Lípa"</formula>
    </cfRule>
    <cfRule type="cellIs" dxfId="777" priority="28" stopIfTrue="1" operator="equal">
      <formula>"HAT"</formula>
    </cfRule>
    <cfRule type="cellIs" dxfId="776" priority="29" stopIfTrue="1" operator="equal">
      <formula>"FBC Liberec"</formula>
    </cfRule>
    <cfRule type="cellIs" dxfId="775" priority="30" stopIfTrue="1" operator="equal">
      <formula>"BA"</formula>
    </cfRule>
    <cfRule type="cellIs" dxfId="774" priority="31" stopIfTrue="1" operator="equal">
      <formula>"SPA"</formula>
    </cfRule>
    <cfRule type="cellIs" dxfId="773" priority="32" stopIfTrue="1" operator="equal">
      <formula>"OST"</formula>
    </cfRule>
    <cfRule type="cellIs" dxfId="772" priority="33" stopIfTrue="1" operator="equal">
      <formula>"BOH"</formula>
    </cfRule>
    <cfRule type="cellIs" dxfId="771" priority="34" stopIfTrue="1" operator="equal">
      <formula>"TAT"</formula>
    </cfRule>
    <cfRule type="cellIs" dxfId="770" priority="35" stopIfTrue="1" operator="equal">
      <formula>"Předvýběr.CZ Florbal MB"</formula>
    </cfRule>
    <cfRule type="cellIs" dxfId="769" priority="36" stopIfTrue="1" operator="equal">
      <formula>"VIT"</formula>
    </cfRule>
    <cfRule type="cellIs" dxfId="768" priority="37" stopIfTrue="1" operator="equal">
      <formula>"CHO"</formula>
    </cfRule>
    <cfRule type="cellIs" dxfId="767" priority="38" stopIfTrue="1" operator="equal">
      <formula>"TJ Sokol Královské Vinohrady"</formula>
    </cfRule>
  </conditionalFormatting>
  <conditionalFormatting sqref="C13:F1048576 C12:E12 C2:F11">
    <cfRule type="notContainsBlanks" dxfId="766" priority="41">
      <formula>LEN(TRIM(C2))&gt;0</formula>
    </cfRule>
  </conditionalFormatting>
  <conditionalFormatting sqref="A2:A10 A14 A17:A1048567">
    <cfRule type="notContainsBlanks" dxfId="765" priority="24">
      <formula>LEN(TRIM(A2))&gt;0</formula>
    </cfRule>
  </conditionalFormatting>
  <conditionalFormatting sqref="A11:A13">
    <cfRule type="expression" dxfId="764" priority="23">
      <formula>AND($A11&lt;&gt;"",MOD(ROW($A11),3)=2)</formula>
    </cfRule>
  </conditionalFormatting>
  <conditionalFormatting sqref="A11:A13">
    <cfRule type="cellIs" dxfId="763" priority="9" stopIfTrue="1" operator="equal">
      <formula>"OTR"</formula>
    </cfRule>
    <cfRule type="cellIs" dxfId="762" priority="10" stopIfTrue="1" operator="equal">
      <formula>"PAR"</formula>
    </cfRule>
    <cfRule type="cellIs" dxfId="761" priority="11" stopIfTrue="1" operator="equal">
      <formula>"FBC 4CLEAN Česká Lípa"</formula>
    </cfRule>
    <cfRule type="cellIs" dxfId="760" priority="12" stopIfTrue="1" operator="equal">
      <formula>"HAT"</formula>
    </cfRule>
    <cfRule type="cellIs" dxfId="759" priority="13" stopIfTrue="1" operator="equal">
      <formula>"FBC Liberec"</formula>
    </cfRule>
    <cfRule type="cellIs" dxfId="758" priority="14" stopIfTrue="1" operator="equal">
      <formula>"BA"</formula>
    </cfRule>
    <cfRule type="cellIs" dxfId="757" priority="15" stopIfTrue="1" operator="equal">
      <formula>"SPA"</formula>
    </cfRule>
    <cfRule type="cellIs" dxfId="756" priority="16" stopIfTrue="1" operator="equal">
      <formula>"OST"</formula>
    </cfRule>
    <cfRule type="cellIs" dxfId="755" priority="17" stopIfTrue="1" operator="equal">
      <formula>"FbŠ Bohemians"</formula>
    </cfRule>
    <cfRule type="cellIs" dxfId="754" priority="18" stopIfTrue="1" operator="equal">
      <formula>"TAT"</formula>
    </cfRule>
    <cfRule type="cellIs" dxfId="753" priority="19" stopIfTrue="1" operator="equal">
      <formula>"MB"</formula>
    </cfRule>
    <cfRule type="cellIs" dxfId="752" priority="20" stopIfTrue="1" operator="equal">
      <formula>"VIT"</formula>
    </cfRule>
    <cfRule type="cellIs" dxfId="751" priority="21" stopIfTrue="1" operator="equal">
      <formula>"CHO"</formula>
    </cfRule>
    <cfRule type="cellIs" dxfId="750" priority="22" stopIfTrue="1" operator="equal">
      <formula>"TJ Sokol Královské Vinohrady"</formula>
    </cfRule>
  </conditionalFormatting>
  <conditionalFormatting sqref="A11:A13">
    <cfRule type="notContainsBlanks" dxfId="749" priority="8">
      <formula>LEN(TRIM(A11))&gt;0</formula>
    </cfRule>
  </conditionalFormatting>
  <conditionalFormatting sqref="B11">
    <cfRule type="notContainsBlanks" dxfId="748" priority="7">
      <formula>LEN(TRIM(B11))&gt;0</formula>
    </cfRule>
  </conditionalFormatting>
  <conditionalFormatting sqref="C12">
    <cfRule type="notContainsBlanks" dxfId="747" priority="6">
      <formula>LEN(TRIM(C12))&gt;0</formula>
    </cfRule>
  </conditionalFormatting>
  <conditionalFormatting sqref="B11">
    <cfRule type="notContainsBlanks" dxfId="746" priority="5">
      <formula>LEN(TRIM(B11))&gt;0</formula>
    </cfRule>
  </conditionalFormatting>
  <conditionalFormatting sqref="D11">
    <cfRule type="expression" dxfId="745" priority="130">
      <formula>AND($D11&lt;&gt;"",MOD(ROW($D11),2)=1)</formula>
    </cfRule>
  </conditionalFormatting>
  <conditionalFormatting sqref="C13:F13">
    <cfRule type="expression" dxfId="744" priority="131">
      <formula>AND($D11&lt;&gt;"",MOD(ROW($D11),2)=1)</formula>
    </cfRule>
  </conditionalFormatting>
  <conditionalFormatting sqref="D11">
    <cfRule type="expression" dxfId="743" priority="134">
      <formula>AND($A13&lt;&gt;"",MOD(ROW($A13),3)=2)</formula>
    </cfRule>
  </conditionalFormatting>
  <conditionalFormatting sqref="F11">
    <cfRule type="expression" dxfId="742" priority="137">
      <formula>AND($B12&lt;&gt;"",MOD(ROW($B12),2)=1)</formula>
    </cfRule>
  </conditionalFormatting>
  <conditionalFormatting sqref="F11">
    <cfRule type="expression" dxfId="741" priority="140">
      <formula>AND($A12&lt;&gt;"",MOD(ROW($A12),3)=2)</formula>
    </cfRule>
  </conditionalFormatting>
  <conditionalFormatting sqref="D11">
    <cfRule type="expression" dxfId="11" priority="2">
      <formula>AND($B11&lt;&gt;"",MOD(ROW($B11),2)=1)</formula>
    </cfRule>
  </conditionalFormatting>
  <conditionalFormatting sqref="D11">
    <cfRule type="expression" dxfId="10" priority="1">
      <formula>AND($A11&lt;&gt;"",MOD(ROW($A11),3)=2)</formula>
    </cfRule>
  </conditionalFormatting>
  <conditionalFormatting sqref="D11">
    <cfRule type="expression" dxfId="9" priority="3">
      <formula>AND($B12&lt;&gt;"",MOD(ROW($B12),2)=1)</formula>
    </cfRule>
  </conditionalFormatting>
  <conditionalFormatting sqref="D11">
    <cfRule type="expression" dxfId="8" priority="4">
      <formula>AND($A12&lt;&gt;"",MOD(ROW($A12),3)=2)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topLeftCell="A2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6</v>
      </c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7" t="s">
        <v>1</v>
      </c>
      <c r="I1" s="427"/>
      <c r="J1" s="427"/>
      <c r="K1" s="427"/>
      <c r="M1" s="425" t="s">
        <v>103</v>
      </c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8">
        <f ca="1">IFERROR(IF(VLOOKUP(A1,OFFSET($AG$2,,,COUNTIF($AG$2:$AG$50,"?*"),23),2,FALSE)&lt;&gt;0,YEAR(VLOOKUP(A1,OFFSET($AG$2,,,COUNTIF($AG$2:$AG$50,"?*"),23),2,FALSE)),""),"")</f>
        <v>1995</v>
      </c>
      <c r="C2" s="429"/>
      <c r="D2" s="5">
        <f ca="1">IFERROR(VLOOKUP(A1,OFFSET($AG$2,,,COUNTIF($AG$2:$AG$50,"?*"),23),15,FALSE),"")</f>
        <v>26</v>
      </c>
      <c r="E2" s="419" t="str">
        <f ca="1">IFERROR(VLOOKUP(A1,OFFSET($AG$2,,,COUNTIF($AG$2:$AG$50,"?*"),23),16,FALSE),"")</f>
        <v>183/76</v>
      </c>
      <c r="F2" s="420"/>
      <c r="M2" s="4" t="str">
        <f ca="1">IFERROR(IF(VLOOKUP(M1,OFFSET($AG$2,,,COUNTIF($AG$2:$AG$50,"?*"),23),10,FALSE)&lt;&gt;0,VLOOKUP(M1,OFFSET($AG$2,,,COUNTIF($AG$2:$AG$50,"?*"),23),10,FALSE),""),"")</f>
        <v>L</v>
      </c>
      <c r="N2" s="428">
        <f ca="1">IFERROR(IF(VLOOKUP(M1,OFFSET($AG$2,,,COUNTIF($AG$2:$AG$50,"?*"),23),2,FALSE)&lt;&gt;0,YEAR(VLOOKUP(M1,OFFSET($AG$2,,,COUNTIF($AG$2:$AG$50,"?*"),23),2,FALSE)),""),"")</f>
        <v>1995</v>
      </c>
      <c r="O2" s="429"/>
      <c r="P2" s="6">
        <f ca="1">IFERROR(VLOOKUP(M1,OFFSET($AG$2,,,COUNTIF($AG$2:$AG$50,"?*"),23),15,FALSE),"")</f>
        <v>26</v>
      </c>
      <c r="Q2" s="419" t="str">
        <f ca="1">IFERROR(VLOOKUP(M1,OFFSET($AG$2,,,COUNTIF($AG$2:$AG$50,"?*"),23),16,FALSE),"")</f>
        <v>191/78</v>
      </c>
      <c r="R2" s="420"/>
      <c r="S2" s="110" t="s">
        <v>103</v>
      </c>
      <c r="T2" s="102" t="s">
        <v>106</v>
      </c>
      <c r="U2" s="102">
        <v>15</v>
      </c>
      <c r="V2" s="102">
        <v>13</v>
      </c>
      <c r="W2" s="102">
        <v>4</v>
      </c>
      <c r="X2" s="102">
        <v>0</v>
      </c>
      <c r="Y2" s="102">
        <v>13</v>
      </c>
      <c r="Z2" s="102">
        <v>26</v>
      </c>
      <c r="AA2" s="102">
        <v>2</v>
      </c>
      <c r="AB2" s="102">
        <v>-16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136</v>
      </c>
      <c r="AQ2" s="123">
        <v>181</v>
      </c>
      <c r="AR2" s="123">
        <v>78</v>
      </c>
      <c r="AS2" s="126" t="s">
        <v>137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19</v>
      </c>
      <c r="BO2" s="122">
        <v>30490</v>
      </c>
      <c r="BP2" s="131" t="s">
        <v>174</v>
      </c>
      <c r="BQ2" s="132" t="s">
        <v>177</v>
      </c>
      <c r="BR2" s="127">
        <f ca="1">IF(BN2&lt;&gt;"",IF(BO2&lt;&gt;"",INT((TODAY()-BO2)/365),"?"),"")</f>
        <v>38</v>
      </c>
      <c r="BS2" s="464" t="s">
        <v>35</v>
      </c>
      <c r="BT2" s="104" t="s">
        <v>181</v>
      </c>
      <c r="BU2" s="103">
        <v>26</v>
      </c>
      <c r="BV2" s="104" t="str">
        <f>IFERROR(RIGHT(BT2,LEN(BT2)-SEARCH(" ",BT2)),"")</f>
        <v>Viktor Kopecký</v>
      </c>
      <c r="BW2" s="102">
        <f>IF(BT2&lt;&gt;0,_xlfn.NUMBERVALUE(BU2,","),"")</f>
        <v>26</v>
      </c>
      <c r="BX2" s="463" t="s">
        <v>191</v>
      </c>
      <c r="BY2" s="103" t="s">
        <v>1040</v>
      </c>
      <c r="BZ2" s="103" t="s">
        <v>826</v>
      </c>
      <c r="CA2" s="115" t="s">
        <v>774</v>
      </c>
    </row>
    <row r="3" spans="1:79" ht="15" customHeight="1" thickTop="1" thickBot="1" x14ac:dyDescent="0.25">
      <c r="A3" s="421" t="str">
        <f ca="1">IFERROR(VLOOKUP(A1,OFFSET($AG$2,,,COUNTIF($AG$2:$AG$50,"?*"),23),18,FALSE),"")</f>
        <v>16 OZ, 16 (7+9), -22 ±</v>
      </c>
      <c r="B3" s="422"/>
      <c r="C3" s="422"/>
      <c r="D3" s="423" t="str">
        <f ca="1">IFERROR(VLOOKUP(A1,OFFSET($AG$2,,,COUNTIF($AG$2:$AG$50,"?*"),23),19,FALSE),"")</f>
        <v>119 OZ, 56 (33+23)</v>
      </c>
      <c r="E3" s="423"/>
      <c r="F3" s="424"/>
      <c r="G3" s="425" t="s">
        <v>9</v>
      </c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21" t="str">
        <f ca="1">IFERROR(VLOOKUP(M1,OFFSET($AG$2,,,COUNTIF($AG$2:$AG$50,"?*"),23),18,FALSE),"")</f>
        <v>15 OZ, 26 (13+13), -16 ±</v>
      </c>
      <c r="N3" s="422"/>
      <c r="O3" s="422"/>
      <c r="P3" s="423" t="str">
        <f ca="1">IFERROR(VLOOKUP(M1,OFFSET($AG$2,,,COUNTIF($AG$2:$AG$50,"?*"),23),19,FALSE),"")</f>
        <v>118 OZ, 150 (97+53)</v>
      </c>
      <c r="Q3" s="423"/>
      <c r="R3" s="424"/>
      <c r="S3" s="110" t="s">
        <v>6</v>
      </c>
      <c r="T3" s="102" t="s">
        <v>57</v>
      </c>
      <c r="U3" s="102">
        <v>16</v>
      </c>
      <c r="V3" s="102">
        <v>7</v>
      </c>
      <c r="W3" s="102">
        <v>4</v>
      </c>
      <c r="X3" s="102">
        <v>0</v>
      </c>
      <c r="Y3" s="102">
        <v>9</v>
      </c>
      <c r="Z3" s="102">
        <v>16</v>
      </c>
      <c r="AA3" s="102">
        <v>6</v>
      </c>
      <c r="AB3" s="102">
        <v>-22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136</v>
      </c>
      <c r="AQ3" s="123">
        <v>184</v>
      </c>
      <c r="AR3" s="123">
        <v>81</v>
      </c>
      <c r="AS3" s="126" t="s">
        <v>138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20</v>
      </c>
      <c r="BO3" s="122">
        <v>31402</v>
      </c>
      <c r="BP3" s="131" t="s">
        <v>174</v>
      </c>
      <c r="BQ3" s="132" t="s">
        <v>178</v>
      </c>
      <c r="BR3" s="127">
        <f t="shared" ref="BR3:BR11" ca="1" si="13">IF(BN3&lt;&gt;"",IF(BO3&lt;&gt;"",INT((TODAY()-BO3)/365),"?"),"")</f>
        <v>35</v>
      </c>
      <c r="BS3" s="464"/>
      <c r="BT3" s="104" t="s">
        <v>1041</v>
      </c>
      <c r="BU3" s="103">
        <v>16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16</v>
      </c>
      <c r="BX3" s="463"/>
      <c r="BY3" s="103" t="s">
        <v>1039</v>
      </c>
      <c r="BZ3" s="103" t="s">
        <v>806</v>
      </c>
      <c r="CA3" s="115" t="s">
        <v>1305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>Chodov</v>
      </c>
      <c r="B4" s="431"/>
      <c r="C4" s="432"/>
      <c r="D4" s="433">
        <f ca="1">IFERROR(IF(VLOOKUP(A1,OFFSET($AG$2,,,COUNTIF($AG$2:$AG$50,"?*"),23),14,FALSE)&lt;&gt;0,VLOOKUP(A1,OFFSET($AG$2,,,COUNTIF($AG$2:$AG$50,"?*"),23),14,FALSE),"?"),"")</f>
        <v>2006</v>
      </c>
      <c r="E4" s="434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8">
        <f ca="1">IFERROR(IF(VLOOKUP(G3,OFFSET($AG$2,,,COUNTIF($AG$2:$AG$50,"?*"),23),2,FALSE)&lt;&gt;0,YEAR(VLOOKUP(G3,OFFSET($AG$2,,,COUNTIF($AG$2:$AG$50,"?*"),23),2,FALSE)),""),"")</f>
        <v>1993</v>
      </c>
      <c r="I4" s="429"/>
      <c r="J4" s="5">
        <f ca="1">IFERROR(VLOOKUP(G3,OFFSET($AG$2,,,COUNTIF($AG$2:$AG$50,"?*"),23),15,FALSE),"")</f>
        <v>28</v>
      </c>
      <c r="K4" s="419" t="str">
        <f ca="1">IFERROR(VLOOKUP(G3,OFFSET($AG$2,,,COUNTIF($AG$2:$AG$50,"?*"),23),16,FALSE),"")</f>
        <v>173/68</v>
      </c>
      <c r="L4" s="420"/>
      <c r="M4" s="430" t="str">
        <f ca="1">IFERROR(IF(VLOOKUP(M1,OFFSET($AG$2,,,COUNTIF($AG$2:$AG$50,"?*"),23),13,FALSE)&lt;&gt;0,VLOOKUP(M1,OFFSET($AG$2,,,COUNTIF($AG$2:$AG$50,"?*"),23),13,FALSE),"?"),"")</f>
        <v>Florbal Ústí</v>
      </c>
      <c r="N4" s="431"/>
      <c r="O4" s="432"/>
      <c r="P4" s="433">
        <f ca="1">IFERROR(IF(VLOOKUP(M1,OFFSET($AG$2,,,COUNTIF($AG$2:$AG$50,"?*"),23),14,FALSE)&lt;&gt;0,VLOOKUP(M1,OFFSET($AG$2,,,COUNTIF($AG$2:$AG$50,"?*"),23),14,FALSE),"?"),"")</f>
        <v>2008</v>
      </c>
      <c r="Q4" s="434"/>
      <c r="R4" s="7">
        <f ca="1">IFERROR(IF(VLOOKUP(M1,OFFSET($AG$2,,,COUNTIF($AG$2:$AG$50,"?*"),23),7,FALSE)&lt;&gt;0,VLOOKUP(M1,OFFSET($AG$2,,,COUNTIF($AG$2:$AG$50,"?*"),23),7,FALSE),"?"),"")</f>
        <v>8</v>
      </c>
      <c r="S4" s="110" t="s">
        <v>0</v>
      </c>
      <c r="U4" s="102">
        <v>16</v>
      </c>
      <c r="V4" s="102">
        <v>11</v>
      </c>
      <c r="W4" s="102">
        <v>2</v>
      </c>
      <c r="X4" s="102">
        <v>0</v>
      </c>
      <c r="Y4" s="102">
        <v>4</v>
      </c>
      <c r="Z4" s="102">
        <v>15</v>
      </c>
      <c r="AA4" s="102">
        <v>2</v>
      </c>
      <c r="AB4" s="102">
        <v>-15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136</v>
      </c>
      <c r="AQ4" s="123">
        <v>181</v>
      </c>
      <c r="AR4" s="123">
        <v>82</v>
      </c>
      <c r="AS4" s="126" t="s">
        <v>88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16 OZ, 4 (2+2), -12 ±</v>
      </c>
      <c r="AY4" s="129" t="str">
        <f t="shared" ca="1" si="2"/>
        <v>40 OZ, 5 (2+3)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173</v>
      </c>
      <c r="BO4" s="122">
        <v>35465</v>
      </c>
      <c r="BP4" s="131" t="s">
        <v>176</v>
      </c>
      <c r="BQ4" s="132" t="s">
        <v>179</v>
      </c>
      <c r="BR4" s="127">
        <f t="shared" ca="1" si="13"/>
        <v>24</v>
      </c>
      <c r="BS4" s="464"/>
      <c r="BT4" s="104" t="s">
        <v>1042</v>
      </c>
      <c r="BU4" s="103">
        <v>15</v>
      </c>
      <c r="BV4" s="104" t="str">
        <f t="shared" si="14"/>
        <v>Vojtěch Klápa</v>
      </c>
      <c r="BW4" s="102">
        <f t="shared" si="15"/>
        <v>15</v>
      </c>
      <c r="BX4" s="463"/>
      <c r="BY4" s="103" t="s">
        <v>1038</v>
      </c>
      <c r="BZ4" s="103" t="s">
        <v>814</v>
      </c>
      <c r="CA4" s="115" t="s">
        <v>1073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>13 OZ, 8 (4+4), -10 ±</v>
      </c>
      <c r="H5" s="422"/>
      <c r="I5" s="422"/>
      <c r="J5" s="423" t="str">
        <f ca="1">IFERROR(VLOOKUP(G3,OFFSET($AG$2,,,COUNTIF($AG$2:$AG$50,"?*"),23),19,FALSE),"")</f>
        <v>110 OZ, 94 (30+64)</v>
      </c>
      <c r="K5" s="423"/>
      <c r="L5" s="424"/>
      <c r="R5" s="13"/>
      <c r="S5" s="110" t="s">
        <v>107</v>
      </c>
      <c r="T5" s="102" t="s">
        <v>106</v>
      </c>
      <c r="U5" s="102">
        <v>15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2</v>
      </c>
      <c r="AB5" s="102">
        <v>-17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26</v>
      </c>
      <c r="AQ5" s="123">
        <v>183</v>
      </c>
      <c r="AR5" s="123">
        <v>76</v>
      </c>
      <c r="AS5" s="126" t="s">
        <v>139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16 OZ, 16 (7+9), -22 ±</v>
      </c>
      <c r="AY5" s="129" t="str">
        <f t="shared" ca="1" si="2"/>
        <v>119 OZ, 56 (33+23)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21</v>
      </c>
      <c r="BO5" s="122">
        <v>33139</v>
      </c>
      <c r="BP5" s="131" t="s">
        <v>175</v>
      </c>
      <c r="BQ5" s="132" t="s">
        <v>180</v>
      </c>
      <c r="BR5" s="127">
        <f t="shared" ca="1" si="13"/>
        <v>31</v>
      </c>
      <c r="BS5" s="464"/>
      <c r="BT5" s="104" t="s">
        <v>981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63"/>
      <c r="BY5" s="103" t="s">
        <v>979</v>
      </c>
      <c r="BZ5" s="103" t="s">
        <v>816</v>
      </c>
      <c r="CA5" s="115" t="s">
        <v>1230</v>
      </c>
    </row>
    <row r="6" spans="1:79" ht="15" customHeight="1" thickTop="1" thickBot="1" x14ac:dyDescent="0.25">
      <c r="A6" s="425" t="s">
        <v>10</v>
      </c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30" t="str">
        <f ca="1">IFERROR(IF(VLOOKUP(G3,OFFSET($AG$2,,,COUNTIF($AG$2:$AG$50,"?*"),23),13,FALSE)&lt;&gt;0,VLOOKUP(G3,OFFSET($AG$2,,,COUNTIF($AG$2:$AG$50,"?*"),23),13,FALSE),"?"),"")</f>
        <v>Future</v>
      </c>
      <c r="H6" s="431"/>
      <c r="I6" s="432"/>
      <c r="J6" s="433">
        <f ca="1">IFERROR(IF(VLOOKUP(G3,OFFSET($AG$2,,,COUNTIF($AG$2:$AG$50,"?*"),23),14,FALSE)&lt;&gt;0,VLOOKUP(G3,OFFSET($AG$2,,,COUNTIF($AG$2:$AG$50,"?*"),23),14,FALSE),"?"),"")</f>
        <v>2003</v>
      </c>
      <c r="K6" s="434"/>
      <c r="L6" s="7">
        <f ca="1">IFERROR(IF(VLOOKUP(G3,OFFSET($AG$2,,,COUNTIF($AG$2:$AG$50,"?*"),23),7,FALSE)&lt;&gt;0,VLOOKUP(G3,OFFSET($AG$2,,,COUNTIF($AG$2:$AG$50,"?*"),23),7,FALSE),"?"),"")</f>
        <v>6</v>
      </c>
      <c r="M6" s="425" t="s">
        <v>4</v>
      </c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10</v>
      </c>
      <c r="T6" s="102" t="s">
        <v>57</v>
      </c>
      <c r="U6" s="102">
        <v>15</v>
      </c>
      <c r="V6" s="102">
        <v>3</v>
      </c>
      <c r="W6" s="102">
        <v>0</v>
      </c>
      <c r="X6" s="102">
        <v>0</v>
      </c>
      <c r="Y6" s="102">
        <v>7</v>
      </c>
      <c r="Z6" s="102">
        <v>10</v>
      </c>
      <c r="AA6" s="102">
        <v>20</v>
      </c>
      <c r="AB6" s="102">
        <v>-4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136</v>
      </c>
      <c r="AQ6" s="123">
        <v>181</v>
      </c>
      <c r="AR6" s="123">
        <v>80</v>
      </c>
      <c r="AS6" s="126" t="s">
        <v>140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14 OZ, 1 (0+1), -18 ±</v>
      </c>
      <c r="AY6" s="129" t="str">
        <f t="shared" ca="1" si="2"/>
        <v>72 OZ, 17 (9+8)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735</v>
      </c>
      <c r="BO6" s="122">
        <v>32155</v>
      </c>
      <c r="BP6" s="131" t="s">
        <v>397</v>
      </c>
      <c r="BQ6" s="132" t="s">
        <v>180</v>
      </c>
      <c r="BR6" s="127">
        <f t="shared" ca="1" si="13"/>
        <v>33</v>
      </c>
      <c r="BS6" s="464"/>
      <c r="BT6" s="104" t="s">
        <v>1233</v>
      </c>
      <c r="BU6" s="103">
        <v>10</v>
      </c>
      <c r="BV6" s="104" t="str">
        <f t="shared" si="14"/>
        <v>Ondřej Stuchlík</v>
      </c>
      <c r="BW6" s="102">
        <f t="shared" si="15"/>
        <v>10</v>
      </c>
      <c r="BX6" s="463"/>
      <c r="BY6" s="103" t="s">
        <v>1231</v>
      </c>
      <c r="BZ6" s="103" t="s">
        <v>817</v>
      </c>
      <c r="CA6" s="115" t="s">
        <v>1074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8">
        <f ca="1">IFERROR(IF(VLOOKUP(A6,OFFSET($AG$2,,,COUNTIF($AG$2:$AG$50,"?*"),23),2,FALSE)&lt;&gt;0,YEAR(VLOOKUP(A6,OFFSET($AG$2,,,COUNTIF($AG$2:$AG$50,"?*"),23),2,FALSE)),""),"")</f>
        <v>1993</v>
      </c>
      <c r="C7" s="429"/>
      <c r="D7" s="5">
        <f ca="1">IFERROR(VLOOKUP(A6,OFFSET($AG$2,,,COUNTIF($AG$2:$AG$50,"?*"),23),15,FALSE),"")</f>
        <v>28</v>
      </c>
      <c r="E7" s="419" t="str">
        <f ca="1">IFERROR(VLOOKUP(A6,OFFSET($AG$2,,,COUNTIF($AG$2:$AG$50,"?*"),23),16,FALSE),"")</f>
        <v>169/65</v>
      </c>
      <c r="F7" s="420"/>
      <c r="M7" s="4" t="str">
        <f ca="1">IFERROR(IF(VLOOKUP(M6,OFFSET($AG$2,,,COUNTIF($AG$2:$AG$50,"?*"),23),10,FALSE)&lt;&gt;0,VLOOKUP(M6,OFFSET($AG$2,,,COUNTIF($AG$2:$AG$50,"?*"),23),10,FALSE),""),"")</f>
        <v>L</v>
      </c>
      <c r="N7" s="428">
        <f ca="1">IFERROR(IF(VLOOKUP(M6,OFFSET($AG$2,,,COUNTIF($AG$2:$AG$50,"?*"),23),2,FALSE)&lt;&gt;0,YEAR(VLOOKUP(M6,OFFSET($AG$2,,,COUNTIF($AG$2:$AG$50,"?*"),23),2,FALSE)),""),"")</f>
        <v>1999</v>
      </c>
      <c r="O7" s="429"/>
      <c r="P7" s="6">
        <f ca="1">IFERROR(VLOOKUP(M6,OFFSET($AG$2,,,COUNTIF($AG$2:$AG$50,"?*"),23),15,FALSE),"")</f>
        <v>22</v>
      </c>
      <c r="Q7" s="419" t="str">
        <f ca="1">IFERROR(VLOOKUP(M6,OFFSET($AG$2,,,COUNTIF($AG$2:$AG$50,"?*"),23),16,FALSE),"")</f>
        <v>181/82</v>
      </c>
      <c r="R7" s="420"/>
      <c r="S7" s="110" t="s">
        <v>9</v>
      </c>
      <c r="U7" s="102">
        <v>13</v>
      </c>
      <c r="V7" s="102">
        <v>4</v>
      </c>
      <c r="W7" s="102">
        <v>2</v>
      </c>
      <c r="X7" s="102">
        <v>0</v>
      </c>
      <c r="Y7" s="102">
        <v>4</v>
      </c>
      <c r="Z7" s="102">
        <v>8</v>
      </c>
      <c r="AA7" s="102">
        <v>8</v>
      </c>
      <c r="AB7" s="102">
        <v>-10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136</v>
      </c>
      <c r="AQ7" s="123">
        <v>180</v>
      </c>
      <c r="AR7" s="123">
        <v>78</v>
      </c>
      <c r="AS7" s="126" t="s">
        <v>141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8 OZ, 2 (1+1), -2 ±</v>
      </c>
      <c r="AY7" s="129" t="str">
        <f t="shared" ca="1" si="2"/>
        <v>169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4" t="s">
        <v>39</v>
      </c>
      <c r="BT7" s="104" t="s">
        <v>737</v>
      </c>
      <c r="BU7" s="103" t="s">
        <v>1309</v>
      </c>
      <c r="BV7" s="104" t="str">
        <f t="shared" si="14"/>
        <v>Karel Šantora</v>
      </c>
      <c r="BW7" s="112">
        <f t="shared" si="15"/>
        <v>6.7</v>
      </c>
      <c r="BX7" s="463" t="s">
        <v>192</v>
      </c>
      <c r="BY7" s="103" t="s">
        <v>1075</v>
      </c>
      <c r="BZ7" s="103" t="s">
        <v>809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>15 OZ, 10 (3+7), -4 ±</v>
      </c>
      <c r="B8" s="422"/>
      <c r="C8" s="422"/>
      <c r="D8" s="423" t="str">
        <f ca="1">IFERROR(VLOOKUP(A6,OFFSET($AG$2,,,COUNTIF($AG$2:$AG$50,"?*"),23),19,FALSE),"")</f>
        <v>124 OZ, 66 (35+31)</v>
      </c>
      <c r="E8" s="423"/>
      <c r="F8" s="424"/>
      <c r="H8" s="435" t="s">
        <v>5</v>
      </c>
      <c r="I8" s="435"/>
      <c r="J8" s="435"/>
      <c r="K8" s="435"/>
      <c r="M8" s="421" t="str">
        <f ca="1">IFERROR(VLOOKUP(M6,OFFSET($AG$2,,,COUNTIF($AG$2:$AG$50,"?*"),23),18,FALSE),"")</f>
        <v>16 OZ, 4 (2+2), -12 ±</v>
      </c>
      <c r="N8" s="422"/>
      <c r="O8" s="422"/>
      <c r="P8" s="423" t="str">
        <f ca="1">IFERROR(VLOOKUP(M6,OFFSET($AG$2,,,COUNTIF($AG$2:$AG$50,"?*"),23),19,FALSE),"")</f>
        <v>40 OZ, 5 (2+3)</v>
      </c>
      <c r="Q8" s="423"/>
      <c r="R8" s="424"/>
      <c r="S8" s="110" t="s">
        <v>112</v>
      </c>
      <c r="T8" s="102" t="s">
        <v>106</v>
      </c>
      <c r="U8" s="102">
        <v>16</v>
      </c>
      <c r="V8" s="102">
        <v>7</v>
      </c>
      <c r="W8" s="102">
        <v>0</v>
      </c>
      <c r="X8" s="102">
        <v>0</v>
      </c>
      <c r="Y8" s="102">
        <v>0</v>
      </c>
      <c r="Z8" s="102">
        <v>7</v>
      </c>
      <c r="AA8" s="102">
        <v>0</v>
      </c>
      <c r="AB8" s="102">
        <v>-19</v>
      </c>
      <c r="AC8" s="102" t="str">
        <f t="shared" ca="1" si="0"/>
        <v>ANO</v>
      </c>
      <c r="AG8" s="121" t="s">
        <v>142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136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10 OZ, 2 (0+2), -3 ±</v>
      </c>
      <c r="AY8" s="129" t="str">
        <f t="shared" ca="1" si="2"/>
        <v>64 OZ, 18 (2+16)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4"/>
      <c r="BT8" s="104" t="s">
        <v>738</v>
      </c>
      <c r="BU8" s="103" t="s">
        <v>829</v>
      </c>
      <c r="BV8" s="104" t="str">
        <f t="shared" si="14"/>
        <v>Petr Musil</v>
      </c>
      <c r="BW8" s="112">
        <f t="shared" si="15"/>
        <v>8.09</v>
      </c>
      <c r="BX8" s="463"/>
      <c r="BY8" s="103" t="s">
        <v>1232</v>
      </c>
      <c r="BZ8" s="103" t="s">
        <v>823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>Lhokamo</v>
      </c>
      <c r="B9" s="431"/>
      <c r="C9" s="432"/>
      <c r="D9" s="433">
        <f ca="1">IFERROR(IF(VLOOKUP(A6,OFFSET($AG$2,,,COUNTIF($AG$2:$AG$50,"?*"),23),14,FALSE)&lt;&gt;0,VLOOKUP(A6,OFFSET($AG$2,,,COUNTIF($AG$2:$AG$50,"?*"),23),14,FALSE),"?"),"")</f>
        <v>2004</v>
      </c>
      <c r="E9" s="434"/>
      <c r="F9" s="7">
        <f ca="1">IFERROR(IF(VLOOKUP(A6,OFFSET($AG$2,,,COUNTIF($AG$2:$AG$50,"?*"),23),7,FALSE)&lt;&gt;0,VLOOKUP(A6,OFFSET($AG$2,,,COUNTIF($AG$2:$AG$50,"?*"),23),7,FALSE),"?"),"")</f>
        <v>7</v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>Bohemians</v>
      </c>
      <c r="N9" s="431"/>
      <c r="O9" s="432"/>
      <c r="P9" s="433">
        <f ca="1">IFERROR(IF(VLOOKUP(M6,OFFSET($AG$2,,,COUNTIF($AG$2:$AG$50,"?*"),23),14,FALSE)&lt;&gt;0,VLOOKUP(M6,OFFSET($AG$2,,,COUNTIF($AG$2:$AG$50,"?*"),23),14,FALSE),"?"),"")</f>
        <v>2009</v>
      </c>
      <c r="Q9" s="434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13</v>
      </c>
      <c r="T9" s="102" t="s">
        <v>106</v>
      </c>
      <c r="U9" s="102">
        <v>12</v>
      </c>
      <c r="V9" s="102">
        <v>1</v>
      </c>
      <c r="W9" s="102">
        <v>0</v>
      </c>
      <c r="X9" s="102">
        <v>0</v>
      </c>
      <c r="Y9" s="102">
        <v>4</v>
      </c>
      <c r="Z9" s="102">
        <v>5</v>
      </c>
      <c r="AA9" s="102">
        <v>2</v>
      </c>
      <c r="AB9" s="102">
        <v>-13</v>
      </c>
      <c r="AC9" s="102" t="str">
        <f t="shared" ca="1" si="0"/>
        <v>ANO</v>
      </c>
      <c r="AG9" s="121" t="s">
        <v>13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136</v>
      </c>
      <c r="AQ9" s="123">
        <v>180</v>
      </c>
      <c r="AR9" s="123">
        <v>78</v>
      </c>
      <c r="AS9" s="126" t="s">
        <v>143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12 OZ, 5 (1+4), -13 ±</v>
      </c>
      <c r="AY9" s="129" t="str">
        <f t="shared" ca="1" si="2"/>
        <v>94 OZ, 72 (46+26)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4"/>
      <c r="BT9" s="104" t="s">
        <v>1310</v>
      </c>
      <c r="BU9" s="103" t="s">
        <v>182</v>
      </c>
      <c r="BV9" s="104" t="str">
        <f t="shared" si="14"/>
        <v>Matyáš Lorenc</v>
      </c>
      <c r="BW9" s="112">
        <f t="shared" si="15"/>
        <v>0</v>
      </c>
      <c r="BX9" s="463"/>
      <c r="BY9" s="103" t="s">
        <v>1236</v>
      </c>
      <c r="BZ9" s="103" t="s">
        <v>812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</v>
      </c>
      <c r="T10" s="102" t="s">
        <v>57</v>
      </c>
      <c r="U10" s="102">
        <v>16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8</v>
      </c>
      <c r="AB10" s="102">
        <v>-12</v>
      </c>
      <c r="AC10" s="102" t="str">
        <f t="shared" ca="1" si="0"/>
        <v>ANO</v>
      </c>
      <c r="AG10" s="121" t="s">
        <v>111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 t="s">
        <v>26</v>
      </c>
      <c r="AQ10" s="123"/>
      <c r="AR10" s="123"/>
      <c r="AS10" s="126" t="s">
        <v>63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13 OZ, 0 (0+0), -6 ±</v>
      </c>
      <c r="AY10" s="129" t="str">
        <f t="shared" ca="1" si="2"/>
        <v>13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4"/>
      <c r="BV10" s="104" t="str">
        <f t="shared" si="14"/>
        <v/>
      </c>
      <c r="BW10" s="112" t="str">
        <f t="shared" si="15"/>
        <v/>
      </c>
      <c r="BX10" s="463"/>
      <c r="BY10" s="103" t="s">
        <v>1306</v>
      </c>
      <c r="BZ10" s="103" t="s">
        <v>807</v>
      </c>
      <c r="CA10" s="115" t="s">
        <v>187</v>
      </c>
    </row>
    <row r="11" spans="1:79" ht="15" customHeight="1" thickTop="1" thickBot="1" x14ac:dyDescent="0.25">
      <c r="R11" s="13"/>
      <c r="S11" s="110" t="s">
        <v>145</v>
      </c>
      <c r="U11" s="102">
        <v>12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0</v>
      </c>
      <c r="AB11" s="102">
        <v>-13</v>
      </c>
      <c r="AC11" s="102" t="str">
        <f t="shared" ca="1" si="0"/>
        <v>ANO</v>
      </c>
      <c r="AG11" s="121" t="s">
        <v>110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136</v>
      </c>
      <c r="AQ11" s="123">
        <v>169</v>
      </c>
      <c r="AR11" s="123">
        <v>70</v>
      </c>
      <c r="AS11" s="126" t="s">
        <v>734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16 OZ, 1 (1+0), -20 ±</v>
      </c>
      <c r="AY11" s="129" t="str">
        <f t="shared" ca="1" si="2"/>
        <v>218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4"/>
      <c r="BV11" s="104" t="str">
        <f t="shared" si="14"/>
        <v/>
      </c>
      <c r="BW11" s="112" t="str">
        <f t="shared" si="15"/>
        <v/>
      </c>
      <c r="BX11" s="463"/>
      <c r="BY11" s="103" t="s">
        <v>1307</v>
      </c>
      <c r="BZ11" s="103" t="s">
        <v>802</v>
      </c>
      <c r="CA11" s="115" t="s">
        <v>187</v>
      </c>
    </row>
    <row r="12" spans="1:79" ht="15" customHeight="1" thickTop="1" thickBot="1" x14ac:dyDescent="0.25">
      <c r="A12" s="425" t="s">
        <v>0</v>
      </c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27" t="s">
        <v>7</v>
      </c>
      <c r="I12" s="427"/>
      <c r="J12" s="427"/>
      <c r="K12" s="427"/>
      <c r="M12" s="425" t="s">
        <v>112</v>
      </c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99</v>
      </c>
      <c r="S12" s="110" t="s">
        <v>105</v>
      </c>
      <c r="T12" s="102" t="s">
        <v>106</v>
      </c>
      <c r="U12" s="102">
        <v>14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113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26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4" t="s">
        <v>36</v>
      </c>
      <c r="BT12" s="104" t="s">
        <v>181</v>
      </c>
      <c r="BU12" s="103">
        <v>13</v>
      </c>
      <c r="BV12" s="104" t="str">
        <f t="shared" si="14"/>
        <v>Viktor Kopecký</v>
      </c>
      <c r="BW12" s="102">
        <f t="shared" si="15"/>
        <v>13</v>
      </c>
      <c r="BX12" s="116" t="s">
        <v>190</v>
      </c>
      <c r="BY12" s="100" t="s">
        <v>1308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8">
        <f ca="1">IFERROR(IF(VLOOKUP(A12,OFFSET($AG$2,,,COUNTIF($AG$2:$AG$50,"?*"),23),2,FALSE)&lt;&gt;0,YEAR(VLOOKUP(A12,OFFSET($AG$2,,,COUNTIF($AG$2:$AG$50,"?*"),23),2,FALSE)),""),"")</f>
        <v>2003</v>
      </c>
      <c r="C13" s="429"/>
      <c r="D13" s="5">
        <f ca="1">IFERROR(VLOOKUP(A12,OFFSET($AG$2,,,COUNTIF($AG$2:$AG$50,"?*"),23),15,FALSE),"")</f>
        <v>18</v>
      </c>
      <c r="E13" s="419" t="str">
        <f ca="1">IFERROR(VLOOKUP(A12,OFFSET($AG$2,,,COUNTIF($AG$2:$AG$50,"?*"),23),16,FALSE),"")</f>
        <v>185/71</v>
      </c>
      <c r="F13" s="420"/>
      <c r="M13" s="4" t="str">
        <f ca="1">IFERROR(IF(VLOOKUP(M12,OFFSET($AG$2,,,COUNTIF($AG$2:$AG$50,"?*"),23),10,FALSE)&lt;&gt;0,VLOOKUP(M12,OFFSET($AG$2,,,COUNTIF($AG$2:$AG$50,"?*"),23),10,FALSE),""),"")</f>
        <v>L</v>
      </c>
      <c r="N13" s="428">
        <f ca="1">IFERROR(IF(VLOOKUP(M12,OFFSET($AG$2,,,COUNTIF($AG$2:$AG$50,"?*"),23),2,FALSE)&lt;&gt;0,YEAR(VLOOKUP(M12,OFFSET($AG$2,,,COUNTIF($AG$2:$AG$50,"?*"),23),2,FALSE)),""),"")</f>
        <v>2000</v>
      </c>
      <c r="O13" s="429"/>
      <c r="P13" s="6">
        <f ca="1">IFERROR(VLOOKUP(M12,OFFSET($AG$2,,,COUNTIF($AG$2:$AG$50,"?*"),23),15,FALSE),"")</f>
        <v>21</v>
      </c>
      <c r="Q13" s="419" t="str">
        <f ca="1">IFERROR(VLOOKUP(M12,OFFSET($AG$2,,,COUNTIF($AG$2:$AG$50,"?*"),23),16,FALSE),"")</f>
        <v>186/80</v>
      </c>
      <c r="R13" s="420"/>
      <c r="S13" s="110" t="s">
        <v>108</v>
      </c>
      <c r="T13" s="102" t="s">
        <v>106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2</v>
      </c>
      <c r="AB13" s="102">
        <v>-14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136</v>
      </c>
      <c r="AQ13" s="123">
        <v>185</v>
      </c>
      <c r="AR13" s="123">
        <v>71</v>
      </c>
      <c r="AS13" s="126" t="s">
        <v>144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16 OZ, 15 (11+4), -15 ±</v>
      </c>
      <c r="AY13" s="129" t="str">
        <f t="shared" ca="1" si="2"/>
        <v>36 OZ, 20 (15+5)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4"/>
      <c r="BT13" s="104" t="s">
        <v>1043</v>
      </c>
      <c r="BU13" s="103">
        <v>11</v>
      </c>
      <c r="BV13" s="104" t="str">
        <f t="shared" si="14"/>
        <v>Vojtěch Klápa</v>
      </c>
      <c r="BW13" s="102">
        <f t="shared" si="15"/>
        <v>11</v>
      </c>
    </row>
    <row r="14" spans="1:79" ht="15" customHeight="1" thickTop="1" thickBot="1" x14ac:dyDescent="0.25">
      <c r="A14" s="421" t="str">
        <f ca="1">IFERROR(VLOOKUP(A12,OFFSET($AG$2,,,COUNTIF($AG$2:$AG$50,"?*"),23),18,FALSE),"")</f>
        <v>16 OZ, 15 (11+4), -15 ±</v>
      </c>
      <c r="B14" s="422"/>
      <c r="C14" s="422"/>
      <c r="D14" s="423" t="str">
        <f ca="1">IFERROR(VLOOKUP(A12,OFFSET($AG$2,,,COUNTIF($AG$2:$AG$50,"?*"),23),19,FALSE),"")</f>
        <v>36 OZ, 20 (15+5)</v>
      </c>
      <c r="E14" s="423"/>
      <c r="F14" s="424"/>
      <c r="G14" s="425" t="s">
        <v>108</v>
      </c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21" t="str">
        <f ca="1">IFERROR(VLOOKUP(M12,OFFSET($AG$2,,,COUNTIF($AG$2:$AG$50,"?*"),23),18,FALSE),"")</f>
        <v>16 OZ, 7 (7+0), -19 ±</v>
      </c>
      <c r="N14" s="422"/>
      <c r="O14" s="422"/>
      <c r="P14" s="423" t="str">
        <f ca="1">IFERROR(VLOOKUP(M12,OFFSET($AG$2,,,COUNTIF($AG$2:$AG$50,"?*"),23),19,FALSE),"")</f>
        <v>37 OZ, 20 (11+9)</v>
      </c>
      <c r="Q14" s="423"/>
      <c r="R14" s="424"/>
      <c r="S14" s="110" t="s">
        <v>8</v>
      </c>
      <c r="T14" s="102" t="s">
        <v>106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-2</v>
      </c>
      <c r="AC14" s="102" t="str">
        <f t="shared" ca="1" si="0"/>
        <v>ANO</v>
      </c>
      <c r="AG14" s="121" t="s">
        <v>103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136</v>
      </c>
      <c r="AQ14" s="123">
        <v>191</v>
      </c>
      <c r="AR14" s="123">
        <v>78</v>
      </c>
      <c r="AS14" s="126" t="s">
        <v>248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15 OZ, 26 (13+13), -16 ±</v>
      </c>
      <c r="AY14" s="129" t="str">
        <f t="shared" ca="1" si="2"/>
        <v>118 OZ, 150 (97+53)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4"/>
      <c r="BT14" s="104" t="s">
        <v>1311</v>
      </c>
      <c r="BU14" s="103">
        <v>7</v>
      </c>
      <c r="BV14" s="104" t="str">
        <f t="shared" si="14"/>
        <v>Jan Fiala</v>
      </c>
      <c r="BW14" s="102">
        <f t="shared" si="15"/>
        <v>7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>SK Florbal Benešov</v>
      </c>
      <c r="B15" s="431"/>
      <c r="C15" s="432"/>
      <c r="D15" s="433">
        <f ca="1">IFERROR(IF(VLOOKUP(A12,OFFSET($AG$2,,,COUNTIF($AG$2:$AG$50,"?*"),23),14,FALSE)&lt;&gt;0,VLOOKUP(A12,OFFSET($AG$2,,,COUNTIF($AG$2:$AG$50,"?*"),23),14,FALSE),"?"),"")</f>
        <v>2009</v>
      </c>
      <c r="E15" s="434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8">
        <f ca="1">IFERROR(IF(VLOOKUP(G14,OFFSET($AG$2,,,COUNTIF($AG$2:$AG$50,"?*"),23),2,FALSE)&lt;&gt;0,YEAR(VLOOKUP(G14,OFFSET($AG$2,,,COUNTIF($AG$2:$AG$50,"?*"),23),2,FALSE)),""),"")</f>
        <v>2000</v>
      </c>
      <c r="I15" s="429"/>
      <c r="J15" s="5">
        <f ca="1">IFERROR(VLOOKUP(G14,OFFSET($AG$2,,,COUNTIF($AG$2:$AG$50,"?*"),23),15,FALSE),"")</f>
        <v>21</v>
      </c>
      <c r="K15" s="419" t="str">
        <f ca="1">IFERROR(VLOOKUP(G14,OFFSET($AG$2,,,COUNTIF($AG$2:$AG$50,"?*"),23),16,FALSE),"")</f>
        <v>191/86</v>
      </c>
      <c r="L15" s="420"/>
      <c r="M15" s="430" t="str">
        <f ca="1">IFERROR(IF(VLOOKUP(M12,OFFSET($AG$2,,,COUNTIF($AG$2:$AG$50,"?*"),23),13,FALSE)&lt;&gt;0,VLOOKUP(M12,OFFSET($AG$2,,,COUNTIF($AG$2:$AG$50,"?*"),23),13,FALSE),"?"),"")</f>
        <v>Slovan J. Hradec</v>
      </c>
      <c r="N15" s="431"/>
      <c r="O15" s="432"/>
      <c r="P15" s="433">
        <f ca="1">IFERROR(IF(VLOOKUP(M12,OFFSET($AG$2,,,COUNTIF($AG$2:$AG$50,"?*"),23),14,FALSE)&lt;&gt;0,VLOOKUP(M12,OFFSET($AG$2,,,COUNTIF($AG$2:$AG$50,"?*"),23),14,FALSE),"?"),"")</f>
        <v>2014</v>
      </c>
      <c r="Q15" s="434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142</v>
      </c>
      <c r="U15" s="102">
        <v>10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-3</v>
      </c>
      <c r="AC15" s="102" t="str">
        <f t="shared" ca="1" si="0"/>
        <v>ANO</v>
      </c>
      <c r="AG15" s="121" t="s">
        <v>145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149</v>
      </c>
      <c r="AP15" s="125" t="s">
        <v>26</v>
      </c>
      <c r="AQ15" s="123">
        <v>187</v>
      </c>
      <c r="AR15" s="123">
        <v>92</v>
      </c>
      <c r="AS15" s="126" t="s">
        <v>146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12 OZ, 3 (3+0), -13 ±</v>
      </c>
      <c r="AY15" s="129" t="str">
        <f t="shared" ca="1" si="2"/>
        <v>108 OZ, 21 (13+8)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4"/>
      <c r="BT15" s="104" t="s">
        <v>1312</v>
      </c>
      <c r="BU15" s="103">
        <v>7</v>
      </c>
      <c r="BV15" s="104" t="str">
        <f t="shared" si="14"/>
        <v>Jan Procházka</v>
      </c>
      <c r="BW15" s="102">
        <f t="shared" si="15"/>
        <v>7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>13 OZ, 3 (1+2), -14 ±</v>
      </c>
      <c r="H16" s="422"/>
      <c r="I16" s="422"/>
      <c r="J16" s="423" t="str">
        <f ca="1">IFERROR(VLOOKUP(G14,OFFSET($AG$2,,,COUNTIF($AG$2:$AG$50,"?*"),23),19,FALSE),"")</f>
        <v>26 OZ, 4 (1+3)</v>
      </c>
      <c r="K16" s="423"/>
      <c r="L16" s="424"/>
      <c r="R16" s="13"/>
      <c r="S16" s="110" t="s">
        <v>110</v>
      </c>
      <c r="T16" s="102" t="s">
        <v>57</v>
      </c>
      <c r="U16" s="102">
        <v>16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-20</v>
      </c>
      <c r="AC16" s="102" t="str">
        <f t="shared" ca="1" si="0"/>
        <v>ANO</v>
      </c>
      <c r="AG16" s="121" t="s">
        <v>17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V, 0 P</v>
      </c>
      <c r="AY16" s="129" t="str">
        <f t="shared" ca="1" si="2"/>
        <v>1 OZ, 0 A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4"/>
      <c r="BT16" s="104" t="s">
        <v>1313</v>
      </c>
      <c r="BU16" s="103">
        <v>6</v>
      </c>
      <c r="BV16" s="104" t="str">
        <f t="shared" si="14"/>
        <v>Ivan Pergler</v>
      </c>
      <c r="BW16" s="102">
        <f t="shared" si="15"/>
        <v>6</v>
      </c>
    </row>
    <row r="17" spans="1:75" ht="15" customHeight="1" thickTop="1" thickBot="1" x14ac:dyDescent="0.25">
      <c r="A17" s="425" t="s">
        <v>111</v>
      </c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30" t="str">
        <f ca="1">IFERROR(IF(VLOOKUP(G14,OFFSET($AG$2,,,COUNTIF($AG$2:$AG$50,"?*"),23),13,FALSE)&lt;&gt;0,VLOOKUP(G14,OFFSET($AG$2,,,COUNTIF($AG$2:$AG$50,"?*"),23),13,FALSE),"?"),"")</f>
        <v>SKV</v>
      </c>
      <c r="H17" s="431"/>
      <c r="I17" s="432"/>
      <c r="J17" s="433">
        <f ca="1">IFERROR(IF(VLOOKUP(G14,OFFSET($AG$2,,,COUNTIF($AG$2:$AG$50,"?*"),23),14,FALSE)&lt;&gt;0,VLOOKUP(G14,OFFSET($AG$2,,,COUNTIF($AG$2:$AG$50,"?*"),23),14,FALSE),"?"),"")</f>
        <v>2014</v>
      </c>
      <c r="K17" s="434"/>
      <c r="L17" s="7">
        <f ca="1">IFERROR(IF(VLOOKUP(G14,OFFSET($AG$2,,,COUNTIF($AG$2:$AG$50,"?*"),23),7,FALSE)&lt;&gt;0,VLOOKUP(G14,OFFSET($AG$2,,,COUNTIF($AG$2:$AG$50,"?*"),23),7,FALSE),"?"),"")</f>
        <v>3</v>
      </c>
      <c r="M17" s="425" t="s">
        <v>13</v>
      </c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16</v>
      </c>
      <c r="U17" s="102">
        <v>16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-13</v>
      </c>
      <c r="AC17" s="102" t="str">
        <f t="shared" ca="1" si="0"/>
        <v>ANO</v>
      </c>
      <c r="AG17" s="121" t="s">
        <v>108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136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13 OZ, 3 (1+2), -14 ±</v>
      </c>
      <c r="AY17" s="129" t="str">
        <f t="shared" ca="1" si="2"/>
        <v>26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4" t="s">
        <v>40</v>
      </c>
      <c r="BT17" s="104" t="s">
        <v>737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8">
        <f ca="1">IFERROR(IF(VLOOKUP(A17,OFFSET($AG$2,,,COUNTIF($AG$2:$AG$50,"?*"),23),2,FALSE)&lt;&gt;0,YEAR(VLOOKUP(A17,OFFSET($AG$2,,,COUNTIF($AG$2:$AG$50,"?*"),23),2,FALSE)),""),"")</f>
        <v>2002</v>
      </c>
      <c r="C18" s="429"/>
      <c r="D18" s="149">
        <f ca="1">IFERROR(VLOOKUP(A17,OFFSET($AG$2,,,COUNTIF($AG$2:$AG$50,"?*"),23),15,FALSE),"")</f>
        <v>19</v>
      </c>
      <c r="E18" s="419" t="str">
        <f ca="1">IFERROR(VLOOKUP(A17,OFFSET($AG$2,,,COUNTIF($AG$2:$AG$50,"?*"),23),16,FALSE),"")</f>
        <v>? / ?</v>
      </c>
      <c r="F18" s="420"/>
      <c r="M18" s="4" t="str">
        <f ca="1">IFERROR(IF(VLOOKUP(M17,OFFSET($AG$2,,,COUNTIF($AG$2:$AG$50,"?*"),23),10,FALSE)&lt;&gt;0,VLOOKUP(M17,OFFSET($AG$2,,,COUNTIF($AG$2:$AG$50,"?*"),23),10,FALSE),""),"")</f>
        <v>L</v>
      </c>
      <c r="N18" s="428">
        <f ca="1">IFERROR(IF(VLOOKUP(M17,OFFSET($AG$2,,,COUNTIF($AG$2:$AG$50,"?*"),23),2,FALSE)&lt;&gt;0,YEAR(VLOOKUP(M17,OFFSET($AG$2,,,COUNTIF($AG$2:$AG$50,"?*"),23),2,FALSE)),""),"")</f>
        <v>1991</v>
      </c>
      <c r="O18" s="429"/>
      <c r="P18" s="6">
        <f ca="1">IFERROR(VLOOKUP(M17,OFFSET($AG$2,,,COUNTIF($AG$2:$AG$50,"?*"),23),15,FALSE),"")</f>
        <v>30</v>
      </c>
      <c r="Q18" s="419" t="str">
        <f ca="1">IFERROR(VLOOKUP(M17,OFFSET($AG$2,,,COUNTIF($AG$2:$AG$50,"?*"),23),16,FALSE),"")</f>
        <v>180/78</v>
      </c>
      <c r="R18" s="420"/>
      <c r="S18" s="110" t="s">
        <v>3</v>
      </c>
      <c r="T18" s="102" t="s">
        <v>57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2</v>
      </c>
      <c r="AB18" s="102">
        <v>-5</v>
      </c>
      <c r="AC18" s="102" t="str">
        <f t="shared" ca="1" si="0"/>
        <v>ANO</v>
      </c>
      <c r="AG18" s="121" t="s">
        <v>109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249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8 P</v>
      </c>
      <c r="AY18" s="129" t="str">
        <f t="shared" ca="1" si="2"/>
        <v>46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4"/>
      <c r="BT18" s="104" t="s">
        <v>738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21" t="str">
        <f ca="1">IFERROR(VLOOKUP(A17,OFFSET($AG$2,,,COUNTIF($AG$2:$AG$50,"?*"),23),18,FALSE),"")</f>
        <v>13 OZ, 0 (0+0), -6 ±</v>
      </c>
      <c r="B19" s="422"/>
      <c r="C19" s="422"/>
      <c r="D19" s="423" t="str">
        <f ca="1">IFERROR(VLOOKUP(A17,OFFSET($AG$2,,,COUNTIF($AG$2:$AG$50,"?*"),23),19,FALSE),"")</f>
        <v>13 OZ, 0 (0+0)</v>
      </c>
      <c r="E19" s="423"/>
      <c r="F19" s="424"/>
      <c r="H19" s="435" t="str">
        <f>H$8</f>
        <v>SKV</v>
      </c>
      <c r="I19" s="435"/>
      <c r="J19" s="435"/>
      <c r="K19" s="435"/>
      <c r="M19" s="421" t="str">
        <f ca="1">IFERROR(VLOOKUP(M17,OFFSET($AG$2,,,COUNTIF($AG$2:$AG$50,"?*"),23),18,FALSE),"")</f>
        <v>12 OZ, 5 (1+4), -13 ±</v>
      </c>
      <c r="N19" s="422"/>
      <c r="O19" s="422"/>
      <c r="P19" s="423" t="str">
        <f ca="1">IFERROR(VLOOKUP(M17,OFFSET($AG$2,,,COUNTIF($AG$2:$AG$50,"?*"),23),19,FALSE),"")</f>
        <v>94 OZ, 72 (46+26)</v>
      </c>
      <c r="Q19" s="423"/>
      <c r="R19" s="424"/>
      <c r="S19" s="110" t="s">
        <v>113</v>
      </c>
      <c r="U19" s="102">
        <v>3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-3</v>
      </c>
      <c r="AC19" s="102" t="str">
        <f t="shared" ca="1" si="0"/>
        <v>ANO</v>
      </c>
      <c r="AG19" s="121" t="s">
        <v>18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136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14 OZ, 0 (0+0), -3 ±</v>
      </c>
      <c r="AY19" s="129" t="str">
        <f t="shared" ca="1" si="2"/>
        <v>32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4"/>
      <c r="BT19" s="104" t="s">
        <v>1310</v>
      </c>
      <c r="BU19" s="103">
        <v>0</v>
      </c>
      <c r="BV19" s="104" t="str">
        <f t="shared" si="14"/>
        <v>Matyáš Lorenc</v>
      </c>
      <c r="BW19" s="102">
        <f t="shared" si="15"/>
        <v>0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>Tatran Střešovice</v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>?</v>
      </c>
      <c r="E20" s="434"/>
      <c r="F20" s="7">
        <f ca="1">IFERROR(IF(VLOOKUP(A17,OFFSET($AG$2,,,COUNTIF($AG$2:$AG$50,"?*"),23),7,FALSE)&lt;&gt;0,VLOOKUP(A17,OFFSET($AG$2,,,COUNTIF($AG$2:$AG$50,"?*"),23),7,FALSE),"?"),"")</f>
        <v>1</v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>FBK Kunovští Orli</v>
      </c>
      <c r="N20" s="431"/>
      <c r="O20" s="432"/>
      <c r="P20" s="433">
        <f ca="1">IFERROR(IF(VLOOKUP(M17,OFFSET($AG$2,,,COUNTIF($AG$2:$AG$50,"?*"),23),14,FALSE)&lt;&gt;0,VLOOKUP(M17,OFFSET($AG$2,,,COUNTIF($AG$2:$AG$50,"?*"),23),14,FALSE),"?"),"")</f>
        <v>2008</v>
      </c>
      <c r="Q20" s="434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11</v>
      </c>
      <c r="T20" s="102" t="s">
        <v>57</v>
      </c>
      <c r="U20" s="102">
        <v>14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4</v>
      </c>
      <c r="AB20" s="102">
        <v>-18</v>
      </c>
      <c r="AC20" s="102" t="str">
        <f t="shared" ca="1" si="0"/>
        <v>ANO</v>
      </c>
      <c r="AG20" s="121" t="s">
        <v>107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26</v>
      </c>
      <c r="AQ20" s="123">
        <v>180</v>
      </c>
      <c r="AR20" s="123">
        <v>72</v>
      </c>
      <c r="AS20" s="126" t="s">
        <v>383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15 OZ, 12 (6+6), -17 ±</v>
      </c>
      <c r="AY20" s="129" t="str">
        <f t="shared" ca="1" si="2"/>
        <v>27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4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2</v>
      </c>
      <c r="T21" s="102" t="s">
        <v>106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16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136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16 OZ, 1 (1+0), -13 ±</v>
      </c>
      <c r="AY21" s="129" t="str">
        <f t="shared" ca="1" si="2"/>
        <v>39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4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17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112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136</v>
      </c>
      <c r="AQ22" s="123">
        <v>186</v>
      </c>
      <c r="AR22" s="123">
        <v>80</v>
      </c>
      <c r="AS22" s="126" t="s">
        <v>147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16 OZ, 7 (7+0), -19 ±</v>
      </c>
      <c r="AY22" s="129" t="str">
        <f t="shared" ca="1" si="2"/>
        <v>37 OZ, 20 (11+9)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4" t="s">
        <v>37</v>
      </c>
      <c r="BT22" s="104" t="s">
        <v>181</v>
      </c>
      <c r="BU22" s="103">
        <v>13</v>
      </c>
      <c r="BV22" s="104" t="str">
        <f t="shared" si="14"/>
        <v>Viktor Kopecký</v>
      </c>
      <c r="BW22" s="102">
        <f t="shared" si="15"/>
        <v>13</v>
      </c>
    </row>
    <row r="23" spans="1:75" ht="15" customHeight="1" thickTop="1" thickBot="1" x14ac:dyDescent="0.25">
      <c r="A23" s="425" t="s">
        <v>105</v>
      </c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27" t="s">
        <v>12</v>
      </c>
      <c r="I23" s="427"/>
      <c r="J23" s="427"/>
      <c r="K23" s="427"/>
      <c r="M23" s="425" t="s">
        <v>142</v>
      </c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152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26</v>
      </c>
      <c r="AQ23" s="123">
        <v>169</v>
      </c>
      <c r="AR23" s="123">
        <v>65</v>
      </c>
      <c r="AS23" s="126" t="s">
        <v>150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15 OZ, 10 (3+7), -4 ±</v>
      </c>
      <c r="AY23" s="129" t="str">
        <f t="shared" ca="1" si="2"/>
        <v>124 OZ, 66 (35+31)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4"/>
      <c r="BT23" s="104" t="s">
        <v>1041</v>
      </c>
      <c r="BU23" s="103">
        <v>9</v>
      </c>
      <c r="BV23" s="104" t="str">
        <f t="shared" si="14"/>
        <v>Jan Fiala</v>
      </c>
      <c r="BW23" s="102">
        <f t="shared" si="15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8">
        <f ca="1">IFERROR(IF(VLOOKUP(A23,OFFSET($AG$2,,,COUNTIF($AG$2:$AG$50,"?*"),23),2,FALSE)&lt;&gt;0,YEAR(VLOOKUP(A23,OFFSET($AG$2,,,COUNTIF($AG$2:$AG$50,"?*"),23),2,FALSE)),""),"")</f>
        <v>2002</v>
      </c>
      <c r="C24" s="429"/>
      <c r="D24" s="5">
        <f ca="1">IFERROR(VLOOKUP(A23,OFFSET($AG$2,,,COUNTIF($AG$2:$AG$50,"?*"),23),15,FALSE),"")</f>
        <v>19</v>
      </c>
      <c r="E24" s="419" t="str">
        <f ca="1">IFERROR(VLOOKUP(A23,OFFSET($AG$2,,,COUNTIF($AG$2:$AG$50,"?*"),23),16,FALSE),"")</f>
        <v>182/75</v>
      </c>
      <c r="F24" s="420"/>
      <c r="M24" s="4" t="str">
        <f ca="1">IFERROR(IF(VLOOKUP(M23,OFFSET($AG$2,,,COUNTIF($AG$2:$AG$50,"?*"),23),10,FALSE)&lt;&gt;0,VLOOKUP(M23,OFFSET($AG$2,,,COUNTIF($AG$2:$AG$50,"?*"),23),10,FALSE),""),"")</f>
        <v>L</v>
      </c>
      <c r="N24" s="428">
        <f ca="1">IFERROR(IF(VLOOKUP(M23,OFFSET($AG$2,,,COUNTIF($AG$2:$AG$50,"?*"),23),2,FALSE)&lt;&gt;0,YEAR(VLOOKUP(M23,OFFSET($AG$2,,,COUNTIF($AG$2:$AG$50,"?*"),23),2,FALSE)),""),"")</f>
        <v>2000</v>
      </c>
      <c r="O24" s="429"/>
      <c r="P24" s="6">
        <f ca="1">IFERROR(VLOOKUP(M23,OFFSET($AG$2,,,COUNTIF($AG$2:$AG$50,"?*"),23),15,FALSE),"")</f>
        <v>21</v>
      </c>
      <c r="Q24" s="419" t="str">
        <f ca="1">IFERROR(VLOOKUP(M23,OFFSET($AG$2,,,COUNTIF($AG$2:$AG$50,"?*"),23),16,FALSE),"")</f>
        <v>175/70</v>
      </c>
      <c r="R24" s="420"/>
      <c r="S24" s="110" t="s">
        <v>111</v>
      </c>
      <c r="T24" s="102" t="s">
        <v>57</v>
      </c>
      <c r="U24" s="102">
        <v>13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136</v>
      </c>
      <c r="AQ24" s="123">
        <v>173</v>
      </c>
      <c r="AR24" s="123">
        <v>68</v>
      </c>
      <c r="AS24" s="126" t="s">
        <v>148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13 OZ, 8 (4+4), -10 ±</v>
      </c>
      <c r="AY24" s="129" t="str">
        <f t="shared" ca="1" si="2"/>
        <v>110 OZ, 94 (30+64)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4"/>
      <c r="BT24" s="104" t="s">
        <v>1314</v>
      </c>
      <c r="BU24" s="103">
        <v>7</v>
      </c>
      <c r="BV24" s="104" t="str">
        <f t="shared" si="14"/>
        <v>Ondřej Stuchlík</v>
      </c>
      <c r="BW24" s="102">
        <f t="shared" si="15"/>
        <v>7</v>
      </c>
    </row>
    <row r="25" spans="1:75" ht="15" customHeight="1" thickTop="1" thickBot="1" x14ac:dyDescent="0.25">
      <c r="A25" s="421" t="str">
        <f ca="1">IFERROR(VLOOKUP(A23,OFFSET($AG$2,,,COUNTIF($AG$2:$AG$50,"?*"),23),18,FALSE),"")</f>
        <v>14 OZ, 3 (3+0), -6 ±</v>
      </c>
      <c r="B25" s="422"/>
      <c r="C25" s="422"/>
      <c r="D25" s="423" t="str">
        <f ca="1">IFERROR(VLOOKUP(A23,OFFSET($AG$2,,,COUNTIF($AG$2:$AG$50,"?*"),23),19,FALSE),"")</f>
        <v>31 OZ, 5 (4+1)</v>
      </c>
      <c r="E25" s="423"/>
      <c r="F25" s="424"/>
      <c r="G25" s="425" t="s">
        <v>16</v>
      </c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1" t="str">
        <f ca="1">IFERROR(VLOOKUP(M23,OFFSET($AG$2,,,COUNTIF($AG$2:$AG$50,"?*"),23),18,FALSE),"")</f>
        <v>10 OZ, 2 (0+2), -3 ±</v>
      </c>
      <c r="N25" s="422"/>
      <c r="O25" s="422"/>
      <c r="P25" s="423" t="str">
        <f ca="1">IFERROR(VLOOKUP(M23,OFFSET($AG$2,,,COUNTIF($AG$2:$AG$50,"?*"),23),19,FALSE),"")</f>
        <v>64 OZ, 18 (2+16)</v>
      </c>
      <c r="Q25" s="423"/>
      <c r="R25" s="424"/>
      <c r="S25" s="110" t="s">
        <v>109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14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139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7 P</v>
      </c>
      <c r="AY25" s="129" t="str">
        <f t="shared" ca="1" si="2"/>
        <v>49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4"/>
      <c r="BT25" s="104" t="s">
        <v>981</v>
      </c>
      <c r="BU25" s="103">
        <v>6</v>
      </c>
      <c r="BV25" s="104" t="str">
        <f t="shared" si="14"/>
        <v>Ivan Pergler</v>
      </c>
      <c r="BW25" s="102">
        <f t="shared" si="15"/>
        <v>6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>FA Mladá Boleslav</v>
      </c>
      <c r="B26" s="431"/>
      <c r="C26" s="432"/>
      <c r="D26" s="433">
        <f ca="1">IFERROR(IF(VLOOKUP(A23,OFFSET($AG$2,,,COUNTIF($AG$2:$AG$50,"?*"),23),14,FALSE)&lt;&gt;0,VLOOKUP(A23,OFFSET($AG$2,,,COUNTIF($AG$2:$AG$50,"?*"),23),14,FALSE),"?"),"")</f>
        <v>2010</v>
      </c>
      <c r="E26" s="434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8">
        <f ca="1">IFERROR(IF(VLOOKUP(G25,OFFSET($AG$2,,,COUNTIF($AG$2:$AG$50,"?*"),23),2,FALSE)&lt;&gt;0,YEAR(VLOOKUP(G25,OFFSET($AG$2,,,COUNTIF($AG$2:$AG$50,"?*"),23),2,FALSE)),""),"")</f>
        <v>2002</v>
      </c>
      <c r="I26" s="429"/>
      <c r="J26" s="5">
        <f ca="1">IFERROR(VLOOKUP(G25,OFFSET($AG$2,,,COUNTIF($AG$2:$AG$50,"?*"),23),15,FALSE),"")</f>
        <v>19</v>
      </c>
      <c r="K26" s="419" t="str">
        <f ca="1">IFERROR(VLOOKUP(G25,OFFSET($AG$2,,,COUNTIF($AG$2:$AG$50,"?*"),23),16,FALSE),"")</f>
        <v>181/66</v>
      </c>
      <c r="L26" s="420"/>
      <c r="M26" s="430" t="str">
        <f ca="1">IFERROR(IF(VLOOKUP(M23,OFFSET($AG$2,,,COUNTIF($AG$2:$AG$50,"?*"),23),13,FALSE)&lt;&gt;0,VLOOKUP(M23,OFFSET($AG$2,,,COUNTIF($AG$2:$AG$50,"?*"),23),13,FALSE),"?"),"")</f>
        <v>SKV</v>
      </c>
      <c r="N26" s="431"/>
      <c r="O26" s="432"/>
      <c r="P26" s="433">
        <f ca="1">IFERROR(IF(VLOOKUP(M23,OFFSET($AG$2,,,COUNTIF($AG$2:$AG$50,"?*"),23),14,FALSE)&lt;&gt;0,VLOOKUP(M23,OFFSET($AG$2,,,COUNTIF($AG$2:$AG$50,"?*"),23),14,FALSE),"?"),"")</f>
        <v>2015</v>
      </c>
      <c r="Q26" s="434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18</v>
      </c>
      <c r="T26" s="102" t="s">
        <v>57</v>
      </c>
      <c r="U26" s="102">
        <v>14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16"/>
        <v>ANO</v>
      </c>
      <c r="AG26" s="121" t="s">
        <v>151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26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4"/>
      <c r="BT26" s="104" t="s">
        <v>1315</v>
      </c>
      <c r="BU26" s="103">
        <v>4</v>
      </c>
      <c r="BV26" s="104" t="str">
        <f t="shared" si="14"/>
        <v>Petr Hartman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>16 OZ, 1 (1+0), -13 ±</v>
      </c>
      <c r="H27" s="422"/>
      <c r="I27" s="422"/>
      <c r="J27" s="423" t="str">
        <f ca="1">IFERROR(VLOOKUP(G25,OFFSET($AG$2,,,COUNTIF($AG$2:$AG$50,"?*"),23),19,FALSE),"")</f>
        <v>39 OZ, 1 (1+0)</v>
      </c>
      <c r="K27" s="423"/>
      <c r="L27" s="424"/>
      <c r="S27" s="110" t="s">
        <v>14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16"/>
        <v>ANO</v>
      </c>
      <c r="AG27" s="121" t="s">
        <v>152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136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4 OZ, 0 (0+0), -1 ±</v>
      </c>
      <c r="AY27" s="129" t="str">
        <f t="shared" ca="1" si="2"/>
        <v>6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64" t="s">
        <v>38</v>
      </c>
      <c r="BT27" s="104" t="s">
        <v>1044</v>
      </c>
      <c r="BU27" s="103">
        <v>20</v>
      </c>
      <c r="BV27" s="104" t="str">
        <f t="shared" si="14"/>
        <v>Ondřej Stuchlík</v>
      </c>
      <c r="BW27" s="102">
        <f t="shared" si="15"/>
        <v>20</v>
      </c>
    </row>
    <row r="28" spans="1:75" ht="15" customHeight="1" thickTop="1" thickBot="1" x14ac:dyDescent="0.25">
      <c r="A28" s="425" t="s">
        <v>110</v>
      </c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30" t="str">
        <f ca="1">IFERROR(IF(VLOOKUP(G25,OFFSET($AG$2,,,COUNTIF($AG$2:$AG$50,"?*"),23),13,FALSE)&lt;&gt;0,VLOOKUP(G25,OFFSET($AG$2,,,COUNTIF($AG$2:$AG$50,"?*"),23),13,FALSE),"?"),"")</f>
        <v>SKV</v>
      </c>
      <c r="H28" s="431"/>
      <c r="I28" s="432"/>
      <c r="J28" s="433">
        <f ca="1">IFERROR(IF(VLOOKUP(G25,OFFSET($AG$2,,,COUNTIF($AG$2:$AG$50,"?*"),23),14,FALSE)&lt;&gt;0,VLOOKUP(G25,OFFSET($AG$2,,,COUNTIF($AG$2:$AG$50,"?*"),23),14,FALSE),"?"),"")</f>
        <v>2012</v>
      </c>
      <c r="K28" s="434"/>
      <c r="L28" s="7">
        <f ca="1">IFERROR(IF(VLOOKUP(G25,OFFSET($AG$2,,,COUNTIF($AG$2:$AG$50,"?*"),23),7,FALSE)&lt;&gt;0,VLOOKUP(G25,OFFSET($AG$2,,,COUNTIF($AG$2:$AG$50,"?*"),23),7,FALSE),"?"),"")</f>
        <v>2</v>
      </c>
      <c r="M28" s="425" t="s">
        <v>11</v>
      </c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11</v>
      </c>
      <c r="S28" s="111"/>
      <c r="AC28" s="102" t="str">
        <f t="shared" ca="1" si="16"/>
        <v/>
      </c>
      <c r="AG28" s="121" t="s">
        <v>105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26</v>
      </c>
      <c r="AQ28" s="123">
        <v>182</v>
      </c>
      <c r="AR28" s="123">
        <v>75</v>
      </c>
      <c r="AS28" s="126" t="s">
        <v>220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14 OZ, 3 (3+0), -6 ±</v>
      </c>
      <c r="AY28" s="129" t="str">
        <f t="shared" ca="1" si="2"/>
        <v>31 OZ, 5 (4+1)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64"/>
      <c r="BT28" s="104" t="s">
        <v>1316</v>
      </c>
      <c r="BU28" s="103">
        <v>8</v>
      </c>
      <c r="BV28" s="104" t="str">
        <f t="shared" si="14"/>
        <v>Zbyněk Stuchlík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8">
        <f ca="1">IFERROR(IF(VLOOKUP(A28,OFFSET($AG$2,,,COUNTIF($AG$2:$AG$50,"?*"),23),2,FALSE)&lt;&gt;0,YEAR(VLOOKUP(A28,OFFSET($AG$2,,,COUNTIF($AG$2:$AG$50,"?*"),23),2,FALSE)),""),"")</f>
        <v>1993</v>
      </c>
      <c r="C29" s="429"/>
      <c r="D29" s="5">
        <f ca="1">IFERROR(VLOOKUP(A28,OFFSET($AG$2,,,COUNTIF($AG$2:$AG$50,"?*"),23),15,FALSE),"")</f>
        <v>28</v>
      </c>
      <c r="E29" s="419" t="str">
        <f ca="1">IFERROR(VLOOKUP(A28,OFFSET($AG$2,,,COUNTIF($AG$2:$AG$50,"?*"),23),16,FALSE),"")</f>
        <v>169/70</v>
      </c>
      <c r="F29" s="420"/>
      <c r="M29" s="4" t="str">
        <f ca="1">IFERROR(IF(VLOOKUP(M28,OFFSET($AG$2,,,COUNTIF($AG$2:$AG$50,"?*"),23),10,FALSE)&lt;&gt;0,VLOOKUP(M28,OFFSET($AG$2,,,COUNTIF($AG$2:$AG$50,"?*"),23),10,FALSE),""),"")</f>
        <v>L</v>
      </c>
      <c r="N29" s="428">
        <f ca="1">IFERROR(IF(VLOOKUP(M28,OFFSET($AG$2,,,COUNTIF($AG$2:$AG$50,"?*"),23),2,FALSE)&lt;&gt;0,YEAR(VLOOKUP(M28,OFFSET($AG$2,,,COUNTIF($AG$2:$AG$50,"?*"),23),2,FALSE)),""),"")</f>
        <v>2001</v>
      </c>
      <c r="O29" s="429"/>
      <c r="P29" s="6">
        <f ca="1">IFERROR(VLOOKUP(M28,OFFSET($AG$2,,,COUNTIF($AG$2:$AG$50,"?*"),23),15,FALSE),"")</f>
        <v>20</v>
      </c>
      <c r="Q29" s="419" t="str">
        <f ca="1">IFERROR(VLOOKUP(M28,OFFSET($AG$2,,,COUNTIF($AG$2:$AG$50,"?*"),23),16,FALSE),"")</f>
        <v>181/80</v>
      </c>
      <c r="R29" s="420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4"/>
      <c r="BT29" s="104" t="s">
        <v>1317</v>
      </c>
      <c r="BU29" s="103">
        <v>8</v>
      </c>
      <c r="BV29" s="104" t="str">
        <f t="shared" si="14"/>
        <v>Štěpán Čuda</v>
      </c>
      <c r="BW29" s="102">
        <f t="shared" si="15"/>
        <v>8</v>
      </c>
    </row>
    <row r="30" spans="1:75" ht="15" customHeight="1" x14ac:dyDescent="0.2">
      <c r="A30" s="421" t="str">
        <f ca="1">IFERROR(VLOOKUP(A28,OFFSET($AG$2,,,COUNTIF($AG$2:$AG$50,"?*"),23),18,FALSE),"")</f>
        <v>16 OZ, 1 (1+0), -20 ±</v>
      </c>
      <c r="B30" s="422"/>
      <c r="C30" s="422"/>
      <c r="D30" s="423" t="str">
        <f ca="1">IFERROR(VLOOKUP(A28,OFFSET($AG$2,,,COUNTIF($AG$2:$AG$50,"?*"),23),19,FALSE),"")</f>
        <v>218 OZ, 68 (37+31)</v>
      </c>
      <c r="E30" s="423"/>
      <c r="F30" s="424"/>
      <c r="H30" s="435" t="str">
        <f>H$8</f>
        <v>SKV</v>
      </c>
      <c r="I30" s="435"/>
      <c r="J30" s="435"/>
      <c r="K30" s="435"/>
      <c r="M30" s="421" t="str">
        <f ca="1">IFERROR(VLOOKUP(M28,OFFSET($AG$2,,,COUNTIF($AG$2:$AG$50,"?*"),23),18,FALSE),"")</f>
        <v>14 OZ, 1 (0+1), -18 ±</v>
      </c>
      <c r="N30" s="422"/>
      <c r="O30" s="422"/>
      <c r="P30" s="423" t="str">
        <f ca="1">IFERROR(VLOOKUP(M28,OFFSET($AG$2,,,COUNTIF($AG$2:$AG$50,"?*"),23),19,FALSE),"")</f>
        <v>72 OZ, 17 (9+8)</v>
      </c>
      <c r="Q30" s="423"/>
      <c r="R30" s="424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4"/>
      <c r="BT30" s="104" t="s">
        <v>980</v>
      </c>
      <c r="BU30" s="103">
        <v>6</v>
      </c>
      <c r="BV30" s="104" t="str">
        <f t="shared" si="14"/>
        <v>Jan Fiala</v>
      </c>
      <c r="BW30" s="102">
        <f t="shared" si="15"/>
        <v>6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>SKF Draci 99 Liberec</v>
      </c>
      <c r="B31" s="431"/>
      <c r="C31" s="432"/>
      <c r="D31" s="433">
        <f ca="1">IFERROR(IF(VLOOKUP(A28,OFFSET($AG$2,,,COUNTIF($AG$2:$AG$50,"?*"),23),14,FALSE)&lt;&gt;0,VLOOKUP(A28,OFFSET($AG$2,,,COUNTIF($AG$2:$AG$50,"?*"),23),14,FALSE),"?"),"")</f>
        <v>1998</v>
      </c>
      <c r="E31" s="434"/>
      <c r="F31" s="7">
        <f ca="1">IFERROR(IF(VLOOKUP(A28,OFFSET($AG$2,,,COUNTIF($AG$2:$AG$50,"?*"),23),7,FALSE)&lt;&gt;0,VLOOKUP(A28,OFFSET($AG$2,,,COUNTIF($AG$2:$AG$50,"?*"),23),7,FALSE),"?"),"")</f>
        <v>11</v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>Bulldogs Brno</v>
      </c>
      <c r="N31" s="431"/>
      <c r="O31" s="432"/>
      <c r="P31" s="433">
        <f ca="1">IFERROR(IF(VLOOKUP(M28,OFFSET($AG$2,,,COUNTIF($AG$2:$AG$50,"?*"),23),14,FALSE)&lt;&gt;0,VLOOKUP(M28,OFFSET($AG$2,,,COUNTIF($AG$2:$AG$50,"?*"),23),14,FALSE),"?"),"")</f>
        <v>2013</v>
      </c>
      <c r="Q31" s="434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4"/>
      <c r="BT31" s="104" t="s">
        <v>1318</v>
      </c>
      <c r="BU31" s="103">
        <v>4</v>
      </c>
      <c r="BV31" s="104" t="str">
        <f t="shared" si="14"/>
        <v>Oliver Gold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5" t="s">
        <v>109</v>
      </c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6" t="s">
        <v>15</v>
      </c>
      <c r="J34" s="425" t="s">
        <v>8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8">
        <f ca="1">IFERROR(IF(VLOOKUP(A34,OFFSET($AG$2,,,COUNTIF($AG$2:$AG$50,"?*"),23),2,FALSE)&lt;&gt;0,YEAR(VLOOKUP(A34,OFFSET($AG$2,,,COUNTIF($AG$2:$AG$50,"?*"),23),2,FALSE)),""),"")</f>
        <v>1998</v>
      </c>
      <c r="C35" s="429"/>
      <c r="D35" s="5">
        <f ca="1">IFERROR(VLOOKUP(A34,OFFSET($AG$2,,,COUNTIF($AG$2:$AG$50,"?*"),23),15,FALSE),"")</f>
        <v>23</v>
      </c>
      <c r="E35" s="419" t="str">
        <f ca="1">IFERROR(VLOOKUP(A34,OFFSET($AG$2,,,COUNTIF($AG$2:$AG$50,"?*"),23),16,FALSE),"")</f>
        <v>175/69</v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>L</v>
      </c>
      <c r="K35" s="429">
        <f ca="1">IFERROR(IF(VLOOKUP(J34,OFFSET($AG$2,,,COUNTIF($AG$2:$AG$50,"?*"),23),2,FALSE)&lt;&gt;0,YEAR(VLOOKUP(J34,OFFSET($AG$2,,,COUNTIF($AG$2:$AG$50,"?*"),23),2,FALSE)),""),"")</f>
        <v>1993</v>
      </c>
      <c r="L35" s="437"/>
      <c r="M35" s="15">
        <f ca="1">IFERROR(VLOOKUP(J34,OFFSET($AG$2,,,COUNTIF($AG$2:$AG$50,"?*"),23),15,FALSE),"")</f>
        <v>28</v>
      </c>
      <c r="N35" s="437" t="str">
        <f ca="1">IFERROR(VLOOKUP(J34,OFFSET($AG$2,,,COUNTIF($AG$2:$AG$50,"?*"),23),16,FALSE),"")</f>
        <v>180/78</v>
      </c>
      <c r="O35" s="437"/>
      <c r="P35" s="437" t="str">
        <f ca="1">IFERROR(VLOOKUP(J34,OFFSET($AG$2,,,COUNTIF($AG$2:$AG$50,"?*"),23),18,FALSE),"")</f>
        <v>8 OZ, 2 (1+1), -2 ±</v>
      </c>
      <c r="Q35" s="437"/>
      <c r="R35" s="444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45" t="str">
        <f ca="1">IFERROR(VLOOKUP(A34,OFFSET($AG$2,,,COUNTIF($AG$2:$AG$50,"?*"),23),18,FALSE),"")</f>
        <v>1 V, 8 P</v>
      </c>
      <c r="C36" s="445"/>
      <c r="D36" s="446">
        <f ca="1">IFERROR(VLOOKUP(A34,OFFSET($S$45,,,COUNTIF($S$45:$S$50,"?*"),14),5,FALSE),"")</f>
        <v>63</v>
      </c>
      <c r="E36" s="447"/>
      <c r="F36" s="17">
        <f ca="1">IFERROR(VLOOKUP(A34,OFFSET($S$45,,,COUNTIF($S$45:$S$50,"?*"),14),14,FALSE),"")</f>
        <v>76.579925650557627</v>
      </c>
      <c r="H36" s="436"/>
      <c r="J36" s="18">
        <f ca="1">IFERROR(IF(VLOOKUP(J34,OFFSET($AG$2,,,COUNTIF($AG$2:$AG$50,"?*"),23),7,FALSE)&lt;&gt;0,VLOOKUP(J34,OFFSET($AG$2,,,COUNTIF($AG$2:$AG$50,"?*"),23),7,FALSE),"?"),"")</f>
        <v>8</v>
      </c>
      <c r="K36" s="448" t="str">
        <f ca="1">IFERROR(VLOOKUP(J34,OFFSET($AG$2,,,COUNTIF($AG$2:$AG$50,"?*"),23),19,FALSE),"")</f>
        <v>169 OZ, 141 (93+48)</v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>ASP Hr. Králové</v>
      </c>
      <c r="O36" s="449"/>
      <c r="P36" s="449"/>
      <c r="Q36" s="448">
        <f ca="1">IFERROR(IF(VLOOKUP(J34,OFFSET($AG$2,,,COUNTIF($AG$2:$AG$50,"?*"),23),14,FALSE)&lt;&gt;0,VLOOKUP(J34,OFFSET($AG$2,,,COUNTIF($AG$2:$AG$50,"?*"),23),14,FALSE),"?"),"")</f>
        <v>2007</v>
      </c>
      <c r="R36" s="450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38">
        <f ca="1">IFERROR(VLOOKUP(A34,OFFSET($S$45,,,COUNTIF($S$45:$S$50,"?*"),14),3,FALSE),"")</f>
        <v>467.04</v>
      </c>
      <c r="B37" s="439"/>
      <c r="C37" s="440">
        <f ca="1">IFERROR(VLOOKUP(A34,OFFSET($S$45,,,COUNTIF($S$45:$S$50,"?*"),14),13,FALSE),"")</f>
        <v>8.0935251798561136</v>
      </c>
      <c r="D37" s="441"/>
      <c r="E37" s="442" t="str">
        <f ca="1">IFERROR(VLOOKUP(A34,OFFSET($AG$2,,,COUNTIF($AG$2:$AG$50,"?*"),23),19,FALSE),"")</f>
        <v>46 OZ, 0 A</v>
      </c>
      <c r="F37" s="443"/>
      <c r="H37" s="436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>FTC Vysoké Mýto</v>
      </c>
      <c r="B38" s="431"/>
      <c r="C38" s="432"/>
      <c r="D38" s="433">
        <f ca="1">IFERROR(IF(VLOOKUP(A34,OFFSET($AG$2,,,COUNTIF($AG$2:$AG$50,"?*"),23),14,FALSE)&lt;&gt;0,VLOOKUP(A34,OFFSET($AG$2,,,COUNTIF($AG$2:$AG$50,"?*"),23),14,FALSE),"?"),"")</f>
        <v>2012</v>
      </c>
      <c r="E38" s="434"/>
      <c r="F38" s="19">
        <f ca="1">IFERROR(VLOOKUP(A34,OFFSET($S$45,,,COUNTIF($S$45:$S$50,"?*"),14),6,FALSE),"")</f>
        <v>0</v>
      </c>
      <c r="H38" s="436"/>
      <c r="J38" s="425" t="s">
        <v>18</v>
      </c>
      <c r="K38" s="426"/>
      <c r="L38" s="426"/>
      <c r="M38" s="426"/>
      <c r="N38" s="426"/>
      <c r="O38" s="426"/>
      <c r="P38" s="426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81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>L</v>
      </c>
      <c r="K39" s="429">
        <f ca="1">IFERROR(IF(VLOOKUP(J38,OFFSET($AG$2,,,COUNTIF($AG$2:$AG$50,"?*"),23),2,FALSE)&lt;&gt;0,YEAR(VLOOKUP(J38,OFFSET($AG$2,,,COUNTIF($AG$2:$AG$50,"?*"),23),2,FALSE)),""),"")</f>
        <v>2002</v>
      </c>
      <c r="L39" s="437"/>
      <c r="M39" s="150">
        <f ca="1">IFERROR(VLOOKUP(J38,OFFSET($AG$2,,,COUNTIF($AG$2:$AG$50,"?*"),23),15,FALSE),"")</f>
        <v>19</v>
      </c>
      <c r="N39" s="437" t="str">
        <f ca="1">IFERROR(VLOOKUP(J38,OFFSET($AG$2,,,COUNTIF($AG$2:$AG$50,"?*"),23),16,FALSE),"")</f>
        <v>187/61</v>
      </c>
      <c r="O39" s="437"/>
      <c r="P39" s="437" t="str">
        <f ca="1">IFERROR(VLOOKUP(J38,OFFSET($AG$2,,,COUNTIF($AG$2:$AG$50,"?*"),23),18,FALSE),"")</f>
        <v>14 OZ, 0 (0+0), -3 ±</v>
      </c>
      <c r="Q39" s="437"/>
      <c r="R39" s="444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5" t="s">
        <v>14</v>
      </c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6"/>
      <c r="J40" s="18">
        <f ca="1">IFERROR(IF(VLOOKUP(J38,OFFSET($AG$2,,,COUNTIF($AG$2:$AG$50,"?*"),23),7,FALSE)&lt;&gt;0,VLOOKUP(J38,OFFSET($AG$2,,,COUNTIF($AG$2:$AG$50,"?*"),23),7,FALSE),"?"),"")</f>
        <v>2</v>
      </c>
      <c r="K40" s="448" t="str">
        <f ca="1">IFERROR(VLOOKUP(J38,OFFSET($AG$2,,,COUNTIF($AG$2:$AG$50,"?*"),23),19,FALSE),"")</f>
        <v>32 OZ, 3 (2+1)</v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>SKV</v>
      </c>
      <c r="O40" s="449"/>
      <c r="P40" s="449"/>
      <c r="Q40" s="448">
        <f ca="1">IFERROR(IF(VLOOKUP(J38,OFFSET($AG$2,,,COUNTIF($AG$2:$AG$50,"?*"),23),14,FALSE)&lt;&gt;0,VLOOKUP(J38,OFFSET($AG$2,,,COUNTIF($AG$2:$AG$50,"?*"),23),14,FALSE),"?"),"")</f>
        <v>2013</v>
      </c>
      <c r="R40" s="450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8">
        <f ca="1">IFERROR(IF(VLOOKUP(A40,OFFSET($AG$2,,,COUNTIF($AG$2:$AG$50,"?*"),23),2,FALSE)&lt;&gt;0,YEAR(VLOOKUP(A40,OFFSET($AG$2,,,COUNTIF($AG$2:$AG$50,"?*"),23),2,FALSE)),""),"")</f>
        <v>1996</v>
      </c>
      <c r="C41" s="429"/>
      <c r="D41" s="5">
        <f ca="1">IFERROR(VLOOKUP(A40,OFFSET($AG$2,,,COUNTIF($AG$2:$AG$50,"?*"),23),15,FALSE),"")</f>
        <v>25</v>
      </c>
      <c r="E41" s="419" t="str">
        <f ca="1">IFERROR(VLOOKUP(A40,OFFSET($AG$2,,,COUNTIF($AG$2:$AG$50,"?*"),23),16,FALSE),"")</f>
        <v>187/88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5" t="str">
        <f ca="1">IFERROR(VLOOKUP(A40,OFFSET($AG$2,,,COUNTIF($AG$2:$AG$50,"?*"),23),18,FALSE),"")</f>
        <v>2 V, 7 P</v>
      </c>
      <c r="C42" s="445"/>
      <c r="D42" s="446">
        <f ca="1">IFERROR(VLOOKUP(A40,OFFSET($S$45,,,COUNTIF($S$45:$S$50,"?*"),14),5,FALSE),"")</f>
        <v>53</v>
      </c>
      <c r="E42" s="447"/>
      <c r="F42" s="17">
        <f ca="1">IFERROR(VLOOKUP(A40,OFFSET($S$45,,,COUNTIF($S$45:$S$50,"?*"),14),14,FALSE),"")</f>
        <v>72.680412371134011</v>
      </c>
      <c r="H42" s="436"/>
      <c r="J42" s="425"/>
      <c r="K42" s="426"/>
      <c r="L42" s="426"/>
      <c r="M42" s="426"/>
      <c r="N42" s="426"/>
      <c r="O42" s="426"/>
      <c r="P42" s="426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38">
        <f ca="1">IFERROR(VLOOKUP(A40,OFFSET($S$45,,,COUNTIF($S$45:$S$50,"?*"),14),3,FALSE),"")</f>
        <v>474.71</v>
      </c>
      <c r="B43" s="439"/>
      <c r="C43" s="440">
        <f ca="1">IFERROR(VLOOKUP(A40,OFFSET($S$45,,,COUNTIF($S$45:$S$50,"?*"),14),13,FALSE),"")</f>
        <v>6.6988266520612587</v>
      </c>
      <c r="D43" s="441"/>
      <c r="E43" s="442" t="str">
        <f ca="1">IFERROR(VLOOKUP(A40,OFFSET($AG$2,,,COUNTIF($AG$2:$AG$50,"?*"),23),19,FALSE),"")</f>
        <v>49 OZ, 2 A</v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>Chodov</v>
      </c>
      <c r="B44" s="431"/>
      <c r="C44" s="432"/>
      <c r="D44" s="433">
        <f ca="1">IFERROR(IF(VLOOKUP(A40,OFFSET($AG$2,,,COUNTIF($AG$2:$AG$50,"?*"),23),14,FALSE)&lt;&gt;0,VLOOKUP(A40,OFFSET($AG$2,,,COUNTIF($AG$2:$AG$50,"?*"),23),14,FALSE),"?"),"")</f>
        <v>2008</v>
      </c>
      <c r="E44" s="434"/>
      <c r="F44" s="19">
        <f ca="1">IFERROR(VLOOKUP(A40,OFFSET($S$45,,,COUNTIF($S$45:$S$50,"?*"),14),6,FALSE),"")</f>
        <v>0</v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109</v>
      </c>
      <c r="T45" s="102">
        <v>9</v>
      </c>
      <c r="U45" s="112">
        <v>467.04</v>
      </c>
      <c r="V45" s="102">
        <v>1</v>
      </c>
      <c r="W45" s="102">
        <v>63</v>
      </c>
      <c r="X45" s="102">
        <v>0</v>
      </c>
      <c r="Y45" s="102">
        <v>269</v>
      </c>
      <c r="Z45" s="102">
        <v>0</v>
      </c>
      <c r="AA45" s="102">
        <v>8</v>
      </c>
      <c r="AB45" s="102">
        <v>206</v>
      </c>
      <c r="AC45" s="102">
        <v>0</v>
      </c>
      <c r="AD45" s="102">
        <v>0</v>
      </c>
      <c r="AE45" s="112">
        <f>IF(S45&lt;&gt;"",IF(T45&gt;0,W45/(U45/60),0),"")</f>
        <v>8.0935251798561136</v>
      </c>
      <c r="AF45" s="112">
        <f>IF(S45&lt;&gt;"",IF(Y45&gt;0,(AB45/Y45)*100,"-"),"")</f>
        <v>76.579925650557627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14</v>
      </c>
      <c r="T46" s="102">
        <v>9</v>
      </c>
      <c r="U46" s="112">
        <v>474.71</v>
      </c>
      <c r="V46" s="102">
        <v>2</v>
      </c>
      <c r="W46" s="102">
        <v>53</v>
      </c>
      <c r="X46" s="102">
        <v>0</v>
      </c>
      <c r="Y46" s="102">
        <v>194</v>
      </c>
      <c r="Z46" s="102">
        <v>0</v>
      </c>
      <c r="AA46" s="102">
        <v>7</v>
      </c>
      <c r="AB46" s="102">
        <v>141</v>
      </c>
      <c r="AC46" s="102">
        <v>0</v>
      </c>
      <c r="AD46" s="102">
        <v>0</v>
      </c>
      <c r="AE46" s="112">
        <f t="shared" ref="AE46:AE50" si="39">IF(S46&lt;&gt;"",IF(T46&gt;0,W46/(U46/60),0),"")</f>
        <v>6.6988266520612587</v>
      </c>
      <c r="AF46" s="112">
        <f t="shared" ref="AF46:AF50" si="40">IF(S46&lt;&gt;"",IF(Y46&gt;0,(AB46/Y46)*100,"-"),"")</f>
        <v>72.680412371134011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65" t="s">
        <v>19</v>
      </c>
      <c r="B47" s="466"/>
      <c r="C47" s="466"/>
      <c r="D47" s="466"/>
      <c r="E47" s="461" t="str">
        <f ca="1">IFERROR(VLOOKUP(A47,OFFSET($BN$2,,,COUNTIF($BN$2:$BN$11,"?*"),5),3,FALSE),"")</f>
        <v>trenér</v>
      </c>
      <c r="F47" s="461"/>
      <c r="G47" s="461"/>
      <c r="H47" s="461"/>
      <c r="I47" s="462"/>
      <c r="J47" s="465" t="s">
        <v>20</v>
      </c>
      <c r="K47" s="466"/>
      <c r="L47" s="466"/>
      <c r="M47" s="466"/>
      <c r="N47" s="461" t="str">
        <f ca="1">IFERROR(VLOOKUP(J47,OFFSET($BN$2,,,COUNTIF($BN$2:$BN$11,"?*"),5),3,FALSE),"")</f>
        <v>trenér</v>
      </c>
      <c r="O47" s="461"/>
      <c r="P47" s="461"/>
      <c r="Q47" s="461"/>
      <c r="R47" s="462"/>
      <c r="S47" s="111" t="s">
        <v>17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9"/>
        <v>0</v>
      </c>
      <c r="AF47" s="112" t="str">
        <f t="shared" si="40"/>
        <v>-</v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51">
        <f ca="1">IFERROR(VLOOKUP(A47,OFFSET($BN$2,,,COUNTIF($BN$2:$BN$11,"?*"),5),5,FALSE),"")</f>
        <v>38</v>
      </c>
      <c r="B48" s="453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53"/>
      <c r="D48" s="453"/>
      <c r="E48" s="453"/>
      <c r="F48" s="453"/>
      <c r="G48" s="453"/>
      <c r="H48" s="453"/>
      <c r="I48" s="454"/>
      <c r="J48" s="24">
        <f ca="1">IFERROR(VLOOKUP(J47,OFFSET($BN$2,,,COUNTIF($BN$2:$BN$11,"?*"),5),5,FALSE),"")</f>
        <v>35</v>
      </c>
      <c r="K48" s="457" t="str">
        <f ca="1">IFERROR(IF(VLOOKUP(J47,OFFSET($BN$2,,,COUNTIF($BN$2:$BN$11,"?*"),5),4,FALSE)&lt;&gt;0,VLOOKUP(J47,OFFSET($BN$2,,,COUNTIF($BN$2:$BN$11,"?*"),5),4,FALSE),"-"),"")</f>
        <v>2x mistr české ligy (Chodov)</v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 t="s">
        <v>21</v>
      </c>
      <c r="K49" s="460"/>
      <c r="L49" s="460"/>
      <c r="M49" s="460"/>
      <c r="N49" s="461" t="str">
        <f ca="1">IFERROR(VLOOKUP(J49,OFFSET($BN$2,,,COUNTIF($BN$2:$BN$11,"?*"),5),3,FALSE),"")</f>
        <v>kondiční trenér</v>
      </c>
      <c r="O49" s="461"/>
      <c r="P49" s="461"/>
      <c r="Q49" s="461"/>
      <c r="R49" s="462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24">
        <f ca="1">IFERROR(VLOOKUP(J49,OFFSET($BN$2,,,COUNTIF($BN$2:$BN$11,"?*"),5),5,FALSE),"")</f>
        <v>31</v>
      </c>
      <c r="K50" s="457" t="str">
        <f ca="1">IFERROR(IF(VLOOKUP(J49,OFFSET($BN$2,,,COUNTIF($BN$2:$BN$11,"?*"),5),4,FALSE)&lt;&gt;0,VLOOKUP(J49,OFFSET($BN$2,,,COUNTIF($BN$2:$BN$11,"?*"),5),4,FALSE),"-"),"")</f>
        <v>postup do Tipsport superligy (hráč)</v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40" priority="13" stopIfTrue="1" operator="equal">
      <formula>"OTR"</formula>
    </cfRule>
    <cfRule type="cellIs" dxfId="739" priority="14" stopIfTrue="1" operator="equal">
      <formula>"PAR"</formula>
    </cfRule>
    <cfRule type="cellIs" dxfId="738" priority="15" stopIfTrue="1" operator="equal">
      <formula>"CLP"</formula>
    </cfRule>
    <cfRule type="cellIs" dxfId="737" priority="16" stopIfTrue="1" operator="equal">
      <formula>"HAT"</formula>
    </cfRule>
    <cfRule type="cellIs" dxfId="736" priority="17" stopIfTrue="1" operator="equal">
      <formula>"LIB"</formula>
    </cfRule>
    <cfRule type="cellIs" dxfId="735" priority="18" stopIfTrue="1" operator="equal">
      <formula>"BA"</formula>
    </cfRule>
    <cfRule type="cellIs" dxfId="734" priority="19" stopIfTrue="1" operator="equal">
      <formula>"SPA"</formula>
    </cfRule>
    <cfRule type="cellIs" dxfId="733" priority="20" stopIfTrue="1" operator="equal">
      <formula>"OST"</formula>
    </cfRule>
    <cfRule type="cellIs" dxfId="732" priority="21" stopIfTrue="1" operator="equal">
      <formula>"BOH"</formula>
    </cfRule>
    <cfRule type="cellIs" dxfId="731" priority="22" stopIfTrue="1" operator="equal">
      <formula>"TAT"</formula>
    </cfRule>
    <cfRule type="cellIs" dxfId="730" priority="23" stopIfTrue="1" operator="equal">
      <formula>"MB"</formula>
    </cfRule>
    <cfRule type="cellIs" dxfId="729" priority="24" stopIfTrue="1" operator="equal">
      <formula>"VIT"</formula>
    </cfRule>
    <cfRule type="cellIs" dxfId="728" priority="25" stopIfTrue="1" operator="equal">
      <formula>"CHO"</formula>
    </cfRule>
    <cfRule type="cellIs" dxfId="727" priority="26" stopIfTrue="1" operator="equal">
      <formula>"SKV"</formula>
    </cfRule>
  </conditionalFormatting>
  <conditionalFormatting sqref="H19:K20">
    <cfRule type="cellIs" dxfId="726" priority="41" stopIfTrue="1" operator="equal">
      <formula>"OTR"</formula>
    </cfRule>
    <cfRule type="cellIs" dxfId="725" priority="42" stopIfTrue="1" operator="equal">
      <formula>"PAR"</formula>
    </cfRule>
    <cfRule type="cellIs" dxfId="724" priority="43" stopIfTrue="1" operator="equal">
      <formula>"CLP"</formula>
    </cfRule>
    <cfRule type="cellIs" dxfId="723" priority="44" stopIfTrue="1" operator="equal">
      <formula>"HAT"</formula>
    </cfRule>
    <cfRule type="cellIs" dxfId="722" priority="45" stopIfTrue="1" operator="equal">
      <formula>"LIB"</formula>
    </cfRule>
    <cfRule type="cellIs" dxfId="721" priority="46" stopIfTrue="1" operator="equal">
      <formula>"BA"</formula>
    </cfRule>
    <cfRule type="cellIs" dxfId="720" priority="47" stopIfTrue="1" operator="equal">
      <formula>"SPA"</formula>
    </cfRule>
    <cfRule type="cellIs" dxfId="719" priority="48" stopIfTrue="1" operator="equal">
      <formula>"OST"</formula>
    </cfRule>
    <cfRule type="cellIs" dxfId="718" priority="49" stopIfTrue="1" operator="equal">
      <formula>"BOH"</formula>
    </cfRule>
    <cfRule type="cellIs" dxfId="717" priority="50" stopIfTrue="1" operator="equal">
      <formula>"TAT"</formula>
    </cfRule>
    <cfRule type="cellIs" dxfId="716" priority="51" stopIfTrue="1" operator="equal">
      <formula>"MB"</formula>
    </cfRule>
    <cfRule type="cellIs" dxfId="715" priority="52" stopIfTrue="1" operator="equal">
      <formula>"VIT"</formula>
    </cfRule>
    <cfRule type="cellIs" dxfId="714" priority="53" stopIfTrue="1" operator="equal">
      <formula>"CHO"</formula>
    </cfRule>
    <cfRule type="cellIs" dxfId="713" priority="54" stopIfTrue="1" operator="equal">
      <formula>"SKV"</formula>
    </cfRule>
  </conditionalFormatting>
  <conditionalFormatting sqref="H8:K9">
    <cfRule type="cellIs" dxfId="712" priority="27" stopIfTrue="1" operator="equal">
      <formula>"OTR"</formula>
    </cfRule>
    <cfRule type="cellIs" dxfId="711" priority="28" stopIfTrue="1" operator="equal">
      <formula>"PAR"</formula>
    </cfRule>
    <cfRule type="cellIs" dxfId="710" priority="29" stopIfTrue="1" operator="equal">
      <formula>"CLP"</formula>
    </cfRule>
    <cfRule type="cellIs" dxfId="709" priority="30" stopIfTrue="1" operator="equal">
      <formula>"HAT"</formula>
    </cfRule>
    <cfRule type="cellIs" dxfId="708" priority="31" stopIfTrue="1" operator="equal">
      <formula>"LIB"</formula>
    </cfRule>
    <cfRule type="cellIs" dxfId="707" priority="32" stopIfTrue="1" operator="equal">
      <formula>"BA"</formula>
    </cfRule>
    <cfRule type="cellIs" dxfId="706" priority="33" stopIfTrue="1" operator="equal">
      <formula>"SPA"</formula>
    </cfRule>
    <cfRule type="cellIs" dxfId="705" priority="34" stopIfTrue="1" operator="equal">
      <formula>"OST"</formula>
    </cfRule>
    <cfRule type="cellIs" dxfId="704" priority="35" stopIfTrue="1" operator="equal">
      <formula>"BOH"</formula>
    </cfRule>
    <cfRule type="cellIs" dxfId="703" priority="36" stopIfTrue="1" operator="equal">
      <formula>"TAT"</formula>
    </cfRule>
    <cfRule type="cellIs" dxfId="702" priority="37" stopIfTrue="1" operator="equal">
      <formula>"MB"</formula>
    </cfRule>
    <cfRule type="cellIs" dxfId="701" priority="38" stopIfTrue="1" operator="equal">
      <formula>"VIT"</formula>
    </cfRule>
    <cfRule type="cellIs" dxfId="700" priority="39" stopIfTrue="1" operator="equal">
      <formula>"CHO"</formula>
    </cfRule>
    <cfRule type="cellIs" dxfId="699" priority="40" stopIfTrue="1" operator="equal">
      <formula>"SKV"</formula>
    </cfRule>
  </conditionalFormatting>
  <conditionalFormatting sqref="S2:S42">
    <cfRule type="expression" dxfId="698" priority="11" stopIfTrue="1">
      <formula>IFERROR(IF(VLOOKUP($S2,OFFSET($AG$2,,,COUNTIF($AG$2:$AG$50,"?*")),1,FALSE)&lt;&gt;0,1,0),0)&gt;0</formula>
    </cfRule>
  </conditionalFormatting>
  <conditionalFormatting sqref="S2:S42">
    <cfRule type="expression" dxfId="697" priority="12">
      <formula>IFERROR(IF(VLOOKUP($S2,OFFSET($AG$2,,,COUNTIF($AG$2:$AG$50,"?*")),1,FALSE)&lt;&gt;0,1,0),0)=0</formula>
    </cfRule>
  </conditionalFormatting>
  <conditionalFormatting sqref="S45:S50">
    <cfRule type="expression" dxfId="696" priority="10">
      <formula>IFERROR(IF(VLOOKUP($S45,OFFSET($AG$2,,,COUNTIF($AG$2:$AG$50,"?*")),1,FALSE)&lt;&gt;0,1,0),0)&gt;0</formula>
    </cfRule>
  </conditionalFormatting>
  <conditionalFormatting sqref="S45:S50">
    <cfRule type="expression" dxfId="695" priority="9">
      <formula>IFERROR(IF(VLOOKUP($S45,OFFSET($AG$2,,,COUNTIF($AG$2:$AG$50,"?*")),1,FALSE)&lt;&gt;0,1,0),0)=0</formula>
    </cfRule>
  </conditionalFormatting>
  <conditionalFormatting sqref="AG2:AG50">
    <cfRule type="expression" dxfId="694" priority="5" stopIfTrue="1">
      <formula>OR($AH2="",$AI2="",$AJ2="",$AK2="",$AL2="",$AM2="",$AN2="",$AQ2="",$AR2="",$AS2="",$AT2="")</formula>
    </cfRule>
    <cfRule type="expression" dxfId="693" priority="7" stopIfTrue="1">
      <formula>IFERROR(IF(VLOOKUP($AG2,OFFSET($S$2,,,COUNTIF($S$2:$S$42,"?*")),1,FALSE)&lt;&gt;0,1,0),0)=0</formula>
    </cfRule>
    <cfRule type="expression" dxfId="692" priority="8">
      <formula>IFERROR(IF(VLOOKUP($AG2,OFFSET($S$2,,,COUNTIF($S$2:$S$42,"?*")),1,FALSE)&lt;&gt;0,1,0),0)&gt;0</formula>
    </cfRule>
  </conditionalFormatting>
  <conditionalFormatting sqref="AG2:BC50">
    <cfRule type="expression" dxfId="691" priority="4">
      <formula>AND($AG2&lt;&gt;"",MOD(ROW($AG2),2)=0)</formula>
    </cfRule>
  </conditionalFormatting>
  <conditionalFormatting sqref="BN2:BR11">
    <cfRule type="expression" dxfId="690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S1" zoomScaleNormal="100" zoomScaleSheetLayoutView="100" workbookViewId="0">
      <selection activeCell="AG25" sqref="AG25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235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665</v>
      </c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71</v>
      </c>
      <c r="H1" s="427" t="s">
        <v>1</v>
      </c>
      <c r="I1" s="427"/>
      <c r="J1" s="427"/>
      <c r="K1" s="427"/>
      <c r="M1" s="425" t="s">
        <v>658</v>
      </c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55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234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8">
        <f ca="1">IFERROR(IF(VLOOKUP(A1,OFFSET($AG$2,,,COUNTIF($AG$2:$AG$50,"?*"),23),2,FALSE)&lt;&gt;0,YEAR(VLOOKUP(A1,OFFSET($AG$2,,,COUNTIF($AG$2:$AG$50,"?*"),23),2,FALSE)),""),"")</f>
        <v>2000</v>
      </c>
      <c r="C2" s="429"/>
      <c r="D2" s="117">
        <f ca="1">IFERROR(VLOOKUP(A1,OFFSET($AG$2,,,COUNTIF($AG$2:$AG$50,"?*"),23),15,FALSE),"")</f>
        <v>21</v>
      </c>
      <c r="E2" s="419" t="str">
        <f ca="1">IFERROR(VLOOKUP(A1,OFFSET($AG$2,,,COUNTIF($AG$2:$AG$50,"?*"),23),16,FALSE),"")</f>
        <v>180/72</v>
      </c>
      <c r="F2" s="420"/>
      <c r="M2" s="4" t="str">
        <f ca="1">IFERROR(IF(VLOOKUP(M1,OFFSET($AG$2,,,COUNTIF($AG$2:$AG$50,"?*"),23),10,FALSE)&lt;&gt;0,VLOOKUP(M1,OFFSET($AG$2,,,COUNTIF($AG$2:$AG$50,"?*"),23),10,FALSE),""),"")</f>
        <v>L</v>
      </c>
      <c r="N2" s="428">
        <f ca="1">IFERROR(IF(VLOOKUP(M1,OFFSET($AG$2,,,COUNTIF($AG$2:$AG$50,"?*"),23),2,FALSE)&lt;&gt;0,YEAR(VLOOKUP(M1,OFFSET($AG$2,,,COUNTIF($AG$2:$AG$50,"?*"),23),2,FALSE)),""),"")</f>
        <v>2000</v>
      </c>
      <c r="O2" s="429"/>
      <c r="P2" s="117">
        <f ca="1">IFERROR(VLOOKUP(M1,OFFSET($AG$2,,,COUNTIF($AG$2:$AG$50,"?*"),23),15,FALSE),"")</f>
        <v>21</v>
      </c>
      <c r="Q2" s="419" t="str">
        <f ca="1">IFERROR(VLOOKUP(M1,OFFSET($AG$2,,,COUNTIF($AG$2:$AG$50,"?*"),23),16,FALSE),"")</f>
        <v>194/78</v>
      </c>
      <c r="R2" s="420"/>
      <c r="S2" s="110" t="s">
        <v>665</v>
      </c>
      <c r="T2" s="102" t="s">
        <v>106</v>
      </c>
      <c r="U2" s="102">
        <v>16</v>
      </c>
      <c r="V2" s="102">
        <v>23</v>
      </c>
      <c r="W2" s="102">
        <v>4</v>
      </c>
      <c r="X2" s="102">
        <v>0</v>
      </c>
      <c r="Y2" s="102">
        <v>14</v>
      </c>
      <c r="Z2" s="102">
        <v>37</v>
      </c>
      <c r="AA2" s="102">
        <v>6</v>
      </c>
      <c r="AB2" s="102">
        <v>17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659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26</v>
      </c>
      <c r="AQ2" s="123">
        <v>175</v>
      </c>
      <c r="AR2" s="123">
        <v>79</v>
      </c>
      <c r="AS2" s="126" t="s">
        <v>63</v>
      </c>
      <c r="AT2" s="123">
        <v>2005</v>
      </c>
      <c r="AU2" s="127">
        <f ca="1">IF(AG2&lt;&gt;"",IF(AH2&lt;&gt;"",INT((TODAY()-AH2)/365),"?"),"")</f>
        <v>25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6 (4+2),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60 OZ, 14 (8+6)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1224</v>
      </c>
      <c r="BO2" s="122">
        <v>28414</v>
      </c>
      <c r="BP2" s="131" t="s">
        <v>174</v>
      </c>
      <c r="BQ2" s="132" t="s">
        <v>1225</v>
      </c>
      <c r="BR2" s="127">
        <f ca="1">IF(BN2&lt;&gt;"",IF(BO2&lt;&gt;"",INT((TODAY()-BO2)/365),"?"),"")</f>
        <v>44</v>
      </c>
      <c r="BS2" s="464" t="s">
        <v>35</v>
      </c>
      <c r="BT2" s="104" t="s">
        <v>680</v>
      </c>
      <c r="BU2" s="103">
        <v>37</v>
      </c>
      <c r="BV2" s="104" t="str">
        <f>IFERROR(RIGHT(BT2,LEN(BT2)-SEARCH(" ",BT2)),"")</f>
        <v>Jakub Boček</v>
      </c>
      <c r="BW2" s="102">
        <f>IF(BT2&lt;&gt;0,_xlfn.NUMBERVALUE(BU2,","),"")</f>
        <v>37</v>
      </c>
      <c r="BX2" s="463" t="s">
        <v>191</v>
      </c>
      <c r="BY2" s="103" t="s">
        <v>1049</v>
      </c>
      <c r="BZ2" s="103" t="s">
        <v>807</v>
      </c>
      <c r="CA2" s="115" t="s">
        <v>1329</v>
      </c>
    </row>
    <row r="3" spans="1:79" ht="15" customHeight="1" thickTop="1" thickBot="1" x14ac:dyDescent="0.25">
      <c r="A3" s="421" t="str">
        <f ca="1">IFERROR(VLOOKUP(A1,OFFSET($AG$2,,,COUNTIF($AG$2:$AG$50,"?*"),23),18,FALSE),"")</f>
        <v>16 OZ, 37 (23+14), +17 ±</v>
      </c>
      <c r="B3" s="422"/>
      <c r="C3" s="422"/>
      <c r="D3" s="423" t="str">
        <f ca="1">IFERROR(VLOOKUP(A1,OFFSET($AG$2,,,COUNTIF($AG$2:$AG$50,"?*"),23),19,FALSE),"")</f>
        <v>53 OZ, 110 (58+52)</v>
      </c>
      <c r="E3" s="423"/>
      <c r="F3" s="424"/>
      <c r="G3" s="425" t="s">
        <v>665</v>
      </c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71</v>
      </c>
      <c r="M3" s="421" t="str">
        <f ca="1">IFERROR(VLOOKUP(M1,OFFSET($AG$2,,,COUNTIF($AG$2:$AG$50,"?*"),23),18,FALSE),"")</f>
        <v>15 OZ, 20 (12+8), +14 ±</v>
      </c>
      <c r="N3" s="422"/>
      <c r="O3" s="422"/>
      <c r="P3" s="423" t="str">
        <f ca="1">IFERROR(VLOOKUP(M1,OFFSET($AG$2,,,COUNTIF($AG$2:$AG$50,"?*"),23),19,FALSE),"")</f>
        <v>61 OZ, 69 (36+33)</v>
      </c>
      <c r="Q3" s="423"/>
      <c r="R3" s="424"/>
      <c r="S3" s="110" t="s">
        <v>661</v>
      </c>
      <c r="T3" s="102" t="s">
        <v>106</v>
      </c>
      <c r="U3" s="102">
        <v>16</v>
      </c>
      <c r="V3" s="102">
        <v>16</v>
      </c>
      <c r="W3" s="102">
        <v>1</v>
      </c>
      <c r="X3" s="102">
        <v>0</v>
      </c>
      <c r="Y3" s="102">
        <v>11</v>
      </c>
      <c r="Z3" s="102">
        <v>27</v>
      </c>
      <c r="AA3" s="102">
        <v>2</v>
      </c>
      <c r="AB3" s="102">
        <v>2</v>
      </c>
      <c r="AC3" s="102" t="str">
        <f t="shared" ca="1" si="0"/>
        <v>ANO</v>
      </c>
      <c r="AG3" s="121" t="s">
        <v>742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9 OZ, 2 (1+1), -1 ±</v>
      </c>
      <c r="AY3" s="129" t="str">
        <f t="shared" ca="1" si="2"/>
        <v>9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1226</v>
      </c>
      <c r="BO3" s="122">
        <v>27741</v>
      </c>
      <c r="BP3" s="131" t="s">
        <v>236</v>
      </c>
      <c r="BQ3" s="132"/>
      <c r="BR3" s="127">
        <f t="shared" ref="BR3:BR11" ca="1" si="13">IF(BN3&lt;&gt;"",IF(BO3&lt;&gt;"",INT((TODAY()-BO3)/365),"?"),"")</f>
        <v>45</v>
      </c>
      <c r="BS3" s="464"/>
      <c r="BT3" s="104" t="s">
        <v>1050</v>
      </c>
      <c r="BU3" s="103">
        <v>27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27</v>
      </c>
      <c r="BX3" s="463"/>
      <c r="BY3" s="103" t="s">
        <v>1048</v>
      </c>
      <c r="BZ3" s="103" t="s">
        <v>817</v>
      </c>
      <c r="CA3" s="115" t="s">
        <v>745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>BLACK ANGELS</v>
      </c>
      <c r="B4" s="431"/>
      <c r="C4" s="432"/>
      <c r="D4" s="433">
        <f ca="1">IFERROR(IF(VLOOKUP(A1,OFFSET($AG$2,,,COUNTIF($AG$2:$AG$50,"?*"),23),14,FALSE)&lt;&gt;0,VLOOKUP(A1,OFFSET($AG$2,,,COUNTIF($AG$2:$AG$50,"?*"),23),14,FALSE),"?"),"")</f>
        <v>2008</v>
      </c>
      <c r="E4" s="434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8">
        <f ca="1">IFERROR(IF(VLOOKUP(G3,OFFSET($AG$2,,,COUNTIF($AG$2:$AG$50,"?*"),23),2,FALSE)&lt;&gt;0,YEAR(VLOOKUP(G3,OFFSET($AG$2,,,COUNTIF($AG$2:$AG$50,"?*"),23),2,FALSE)),""),"")</f>
        <v>2000</v>
      </c>
      <c r="I4" s="429"/>
      <c r="J4" s="117">
        <f ca="1">IFERROR(VLOOKUP(G3,OFFSET($AG$2,,,COUNTIF($AG$2:$AG$50,"?*"),23),15,FALSE),"")</f>
        <v>21</v>
      </c>
      <c r="K4" s="419" t="str">
        <f ca="1">IFERROR(VLOOKUP(G3,OFFSET($AG$2,,,COUNTIF($AG$2:$AG$50,"?*"),23),16,FALSE),"")</f>
        <v>180/72</v>
      </c>
      <c r="L4" s="420"/>
      <c r="M4" s="430" t="str">
        <f ca="1">IFERROR(IF(VLOOKUP(M1,OFFSET($AG$2,,,COUNTIF($AG$2:$AG$50,"?*"),23),13,FALSE)&lt;&gt;0,VLOOKUP(M1,OFFSET($AG$2,,,COUNTIF($AG$2:$AG$50,"?*"),23),13,FALSE),"?"),"")</f>
        <v>BLACK ANGELS</v>
      </c>
      <c r="N4" s="431"/>
      <c r="O4" s="432"/>
      <c r="P4" s="433">
        <f ca="1">IFERROR(IF(VLOOKUP(M1,OFFSET($AG$2,,,COUNTIF($AG$2:$AG$50,"?*"),23),14,FALSE)&lt;&gt;0,VLOOKUP(M1,OFFSET($AG$2,,,COUNTIF($AG$2:$AG$50,"?*"),23),14,FALSE),"?"),"")</f>
        <v>2008</v>
      </c>
      <c r="Q4" s="434"/>
      <c r="R4" s="7">
        <f ca="1">IFERROR(IF(VLOOKUP(M1,OFFSET($AG$2,,,COUNTIF($AG$2:$AG$50,"?*"),23),7,FALSE)&lt;&gt;0,VLOOKUP(M1,OFFSET($AG$2,,,COUNTIF($AG$2:$AG$50,"?*"),23),7,FALSE),"?"),"")</f>
        <v>3</v>
      </c>
      <c r="S4" s="110" t="s">
        <v>663</v>
      </c>
      <c r="T4" s="102" t="s">
        <v>106</v>
      </c>
      <c r="U4" s="102">
        <v>16</v>
      </c>
      <c r="V4" s="102">
        <v>10</v>
      </c>
      <c r="W4" s="102">
        <v>1</v>
      </c>
      <c r="X4" s="102">
        <v>0</v>
      </c>
      <c r="Y4" s="102">
        <v>11</v>
      </c>
      <c r="Z4" s="102">
        <v>21</v>
      </c>
      <c r="AA4" s="102">
        <v>8</v>
      </c>
      <c r="AB4" s="102">
        <v>20</v>
      </c>
      <c r="AC4" s="102" t="str">
        <f t="shared" ca="1" si="0"/>
        <v>ANO</v>
      </c>
      <c r="AG4" s="121" t="s">
        <v>665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136</v>
      </c>
      <c r="AQ4" s="123">
        <v>180</v>
      </c>
      <c r="AR4" s="123">
        <v>72</v>
      </c>
      <c r="AS4" s="126" t="s">
        <v>66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16 OZ, 37 (23+14), +17 ±</v>
      </c>
      <c r="AY4" s="129" t="str">
        <f t="shared" ca="1" si="2"/>
        <v>53 OZ, 110 (58+52)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1227</v>
      </c>
      <c r="BO4" s="122">
        <v>33641</v>
      </c>
      <c r="BP4" s="131" t="s">
        <v>1228</v>
      </c>
      <c r="BQ4" s="132"/>
      <c r="BR4" s="127">
        <f t="shared" ca="1" si="13"/>
        <v>29</v>
      </c>
      <c r="BS4" s="464"/>
      <c r="BT4" s="104" t="s">
        <v>1319</v>
      </c>
      <c r="BU4" s="103">
        <v>21</v>
      </c>
      <c r="BV4" s="104" t="str">
        <f t="shared" si="14"/>
        <v>Matěj Boček</v>
      </c>
      <c r="BW4" s="102">
        <f t="shared" si="15"/>
        <v>21</v>
      </c>
      <c r="BX4" s="463"/>
      <c r="BY4" s="103" t="s">
        <v>1039</v>
      </c>
      <c r="BZ4" s="103" t="s">
        <v>808</v>
      </c>
      <c r="CA4" s="115" t="s">
        <v>1330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>16 OZ, 37 (23+14), +17 ±</v>
      </c>
      <c r="H5" s="422"/>
      <c r="I5" s="422"/>
      <c r="J5" s="423" t="str">
        <f ca="1">IFERROR(VLOOKUP(G3,OFFSET($AG$2,,,COUNTIF($AG$2:$AG$50,"?*"),23),19,FALSE),"")</f>
        <v>53 OZ, 110 (58+52)</v>
      </c>
      <c r="K5" s="423"/>
      <c r="L5" s="424"/>
      <c r="R5" s="13"/>
      <c r="S5" s="110" t="s">
        <v>658</v>
      </c>
      <c r="U5" s="102">
        <v>15</v>
      </c>
      <c r="V5" s="102">
        <v>12</v>
      </c>
      <c r="W5" s="102">
        <v>4</v>
      </c>
      <c r="X5" s="102">
        <v>0</v>
      </c>
      <c r="Y5" s="102">
        <v>8</v>
      </c>
      <c r="Z5" s="102">
        <v>20</v>
      </c>
      <c r="AA5" s="102">
        <v>10</v>
      </c>
      <c r="AB5" s="102">
        <v>14</v>
      </c>
      <c r="AC5" s="102" t="str">
        <f t="shared" ca="1" si="0"/>
        <v>ANO</v>
      </c>
      <c r="AG5" s="121" t="s">
        <v>663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136</v>
      </c>
      <c r="AQ5" s="123">
        <v>179</v>
      </c>
      <c r="AR5" s="123">
        <v>75</v>
      </c>
      <c r="AS5" s="126" t="s">
        <v>66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16 OZ, 21 (10+11), +20 ±</v>
      </c>
      <c r="AY5" s="129" t="str">
        <f t="shared" ca="1" si="2"/>
        <v>54 OZ, 64 (34+30)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1229</v>
      </c>
      <c r="BO5" s="122">
        <v>21690</v>
      </c>
      <c r="BP5" s="131" t="s">
        <v>175</v>
      </c>
      <c r="BQ5" s="132"/>
      <c r="BR5" s="127">
        <f t="shared" ca="1" si="13"/>
        <v>62</v>
      </c>
      <c r="BS5" s="464"/>
      <c r="BT5" s="104" t="s">
        <v>1320</v>
      </c>
      <c r="BU5" s="103">
        <v>20</v>
      </c>
      <c r="BV5" s="104" t="str">
        <f t="shared" si="14"/>
        <v>Jakub Hromada</v>
      </c>
      <c r="BW5" s="102">
        <f t="shared" si="15"/>
        <v>20</v>
      </c>
      <c r="BX5" s="463"/>
      <c r="BY5" s="103" t="s">
        <v>1331</v>
      </c>
      <c r="BZ5" s="103" t="s">
        <v>795</v>
      </c>
      <c r="CA5" s="115" t="s">
        <v>1332</v>
      </c>
    </row>
    <row r="6" spans="1:79" ht="15" customHeight="1" thickTop="1" thickBot="1" x14ac:dyDescent="0.25">
      <c r="A6" s="425" t="s">
        <v>675</v>
      </c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26</v>
      </c>
      <c r="G6" s="430" t="str">
        <f ca="1">IFERROR(IF(VLOOKUP(G3,OFFSET($AG$2,,,COUNTIF($AG$2:$AG$50,"?*"),23),13,FALSE)&lt;&gt;0,VLOOKUP(G3,OFFSET($AG$2,,,COUNTIF($AG$2:$AG$50,"?*"),23),13,FALSE),"?"),"")</f>
        <v>BLACK ANGELS</v>
      </c>
      <c r="H6" s="431"/>
      <c r="I6" s="432"/>
      <c r="J6" s="433">
        <f ca="1">IFERROR(IF(VLOOKUP(G3,OFFSET($AG$2,,,COUNTIF($AG$2:$AG$50,"?*"),23),14,FALSE)&lt;&gt;0,VLOOKUP(G3,OFFSET($AG$2,,,COUNTIF($AG$2:$AG$50,"?*"),23),14,FALSE),"?"),"")</f>
        <v>2008</v>
      </c>
      <c r="K6" s="434"/>
      <c r="L6" s="7">
        <f ca="1">IFERROR(IF(VLOOKUP(G3,OFFSET($AG$2,,,COUNTIF($AG$2:$AG$50,"?*"),23),7,FALSE)&lt;&gt;0,VLOOKUP(G3,OFFSET($AG$2,,,COUNTIF($AG$2:$AG$50,"?*"),23),7,FALSE),"?"),"")</f>
        <v>3</v>
      </c>
      <c r="M6" s="425" t="s">
        <v>667</v>
      </c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14</v>
      </c>
      <c r="S6" s="110" t="s">
        <v>664</v>
      </c>
      <c r="T6" s="102" t="s">
        <v>106</v>
      </c>
      <c r="U6" s="102">
        <v>16</v>
      </c>
      <c r="V6" s="102">
        <v>8</v>
      </c>
      <c r="W6" s="102">
        <v>0</v>
      </c>
      <c r="X6" s="102">
        <v>0</v>
      </c>
      <c r="Y6" s="102">
        <v>10</v>
      </c>
      <c r="Z6" s="102">
        <v>18</v>
      </c>
      <c r="AA6" s="102">
        <v>12</v>
      </c>
      <c r="AB6" s="102">
        <v>1</v>
      </c>
      <c r="AC6" s="102" t="str">
        <f t="shared" ca="1" si="0"/>
        <v>ANO</v>
      </c>
      <c r="AG6" s="121" t="s">
        <v>662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136</v>
      </c>
      <c r="AQ6" s="123">
        <v>188</v>
      </c>
      <c r="AR6" s="123">
        <v>83</v>
      </c>
      <c r="AS6" s="126" t="s">
        <v>278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12 OZ, 6 (3+3), +1 ±</v>
      </c>
      <c r="AY6" s="129" t="str">
        <f t="shared" ca="1" si="2"/>
        <v>57 OZ, 14 (5+9)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64"/>
      <c r="BT6" s="104" t="s">
        <v>1051</v>
      </c>
      <c r="BU6" s="103">
        <v>18</v>
      </c>
      <c r="BV6" s="104" t="str">
        <f t="shared" si="14"/>
        <v>Radek Hanák</v>
      </c>
      <c r="BW6" s="102">
        <f t="shared" si="15"/>
        <v>18</v>
      </c>
      <c r="BX6" s="463"/>
      <c r="BY6" s="103" t="s">
        <v>1231</v>
      </c>
      <c r="BZ6" s="103" t="s">
        <v>792</v>
      </c>
      <c r="CA6" s="115" t="s">
        <v>978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8">
        <f ca="1">IFERROR(IF(VLOOKUP(A6,OFFSET($AG$2,,,COUNTIF($AG$2:$AG$50,"?*"),23),2,FALSE)&lt;&gt;0,YEAR(VLOOKUP(A6,OFFSET($AG$2,,,COUNTIF($AG$2:$AG$50,"?*"),23),2,FALSE)),""),"")</f>
        <v>1994</v>
      </c>
      <c r="C7" s="429"/>
      <c r="D7" s="117">
        <f ca="1">IFERROR(VLOOKUP(A6,OFFSET($AG$2,,,COUNTIF($AG$2:$AG$50,"?*"),23),15,FALSE),"")</f>
        <v>27</v>
      </c>
      <c r="E7" s="419" t="str">
        <f ca="1">IFERROR(VLOOKUP(A6,OFFSET($AG$2,,,COUNTIF($AG$2:$AG$50,"?*"),23),16,FALSE),"")</f>
        <v>190/77</v>
      </c>
      <c r="F7" s="420"/>
      <c r="M7" s="4" t="str">
        <f ca="1">IFERROR(IF(VLOOKUP(M6,OFFSET($AG$2,,,COUNTIF($AG$2:$AG$50,"?*"),23),10,FALSE)&lt;&gt;0,VLOOKUP(M6,OFFSET($AG$2,,,COUNTIF($AG$2:$AG$50,"?*"),23),10,FALSE),""),"")</f>
        <v>L</v>
      </c>
      <c r="N7" s="428">
        <f ca="1">IFERROR(IF(VLOOKUP(M6,OFFSET($AG$2,,,COUNTIF($AG$2:$AG$50,"?*"),23),2,FALSE)&lt;&gt;0,YEAR(VLOOKUP(M6,OFFSET($AG$2,,,COUNTIF($AG$2:$AG$50,"?*"),23),2,FALSE)),""),"")</f>
        <v>2000</v>
      </c>
      <c r="O7" s="429"/>
      <c r="P7" s="117">
        <f ca="1">IFERROR(VLOOKUP(M6,OFFSET($AG$2,,,COUNTIF($AG$2:$AG$50,"?*"),23),15,FALSE),"")</f>
        <v>21</v>
      </c>
      <c r="Q7" s="419" t="str">
        <f ca="1">IFERROR(VLOOKUP(M6,OFFSET($AG$2,,,COUNTIF($AG$2:$AG$50,"?*"),23),16,FALSE),"")</f>
        <v>190/77</v>
      </c>
      <c r="R7" s="420"/>
      <c r="S7" s="110" t="s">
        <v>669</v>
      </c>
      <c r="T7" s="102" t="s">
        <v>106</v>
      </c>
      <c r="U7" s="102">
        <v>16</v>
      </c>
      <c r="V7" s="102">
        <v>5</v>
      </c>
      <c r="W7" s="102">
        <v>0</v>
      </c>
      <c r="X7" s="102">
        <v>0</v>
      </c>
      <c r="Y7" s="102">
        <v>10</v>
      </c>
      <c r="Z7" s="102">
        <v>15</v>
      </c>
      <c r="AA7" s="102">
        <v>8</v>
      </c>
      <c r="AB7" s="102">
        <v>-5</v>
      </c>
      <c r="AC7" s="102" t="str">
        <f t="shared" ca="1" si="0"/>
        <v>ANO</v>
      </c>
      <c r="AG7" s="121" t="s">
        <v>660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26</v>
      </c>
      <c r="AQ7" s="123">
        <v>169</v>
      </c>
      <c r="AR7" s="123">
        <v>91</v>
      </c>
      <c r="AS7" s="126" t="s">
        <v>66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15 OZ, 12 (7+5), +4 ±</v>
      </c>
      <c r="AY7" s="129" t="str">
        <f t="shared" ca="1" si="2"/>
        <v>50 OZ, 34 (20+14)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4" t="s">
        <v>39</v>
      </c>
      <c r="BT7" s="104" t="s">
        <v>678</v>
      </c>
      <c r="BU7" s="103" t="s">
        <v>1321</v>
      </c>
      <c r="BV7" s="104" t="str">
        <f t="shared" si="14"/>
        <v>Ondřej Matiášek</v>
      </c>
      <c r="BW7" s="112">
        <f t="shared" si="15"/>
        <v>4.8</v>
      </c>
      <c r="BX7" s="463" t="s">
        <v>192</v>
      </c>
      <c r="BY7" s="103" t="s">
        <v>1232</v>
      </c>
      <c r="BZ7" s="103" t="s">
        <v>815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>11 OZ, 1 (0+1), -8 ±</v>
      </c>
      <c r="B8" s="422"/>
      <c r="C8" s="422"/>
      <c r="D8" s="423" t="str">
        <f ca="1">IFERROR(VLOOKUP(A6,OFFSET($AG$2,,,COUNTIF($AG$2:$AG$50,"?*"),23),19,FALSE),"")</f>
        <v>105 OZ, 42 (14+28)</v>
      </c>
      <c r="E8" s="423"/>
      <c r="F8" s="424"/>
      <c r="H8" s="435" t="s">
        <v>90</v>
      </c>
      <c r="I8" s="435"/>
      <c r="J8" s="435"/>
      <c r="K8" s="435"/>
      <c r="M8" s="421" t="str">
        <f ca="1">IFERROR(VLOOKUP(M6,OFFSET($AG$2,,,COUNTIF($AG$2:$AG$50,"?*"),23),18,FALSE),"")</f>
        <v>15 OZ, 11 (6+5), +17 ±</v>
      </c>
      <c r="N8" s="422"/>
      <c r="O8" s="422"/>
      <c r="P8" s="423" t="str">
        <f ca="1">IFERROR(VLOOKUP(M6,OFFSET($AG$2,,,COUNTIF($AG$2:$AG$50,"?*"),23),19,FALSE),"")</f>
        <v>54 OZ, 17 (8+9)</v>
      </c>
      <c r="Q8" s="423"/>
      <c r="R8" s="424"/>
      <c r="S8" s="110" t="s">
        <v>660</v>
      </c>
      <c r="T8" s="102" t="s">
        <v>106</v>
      </c>
      <c r="U8" s="102">
        <v>15</v>
      </c>
      <c r="V8" s="102">
        <v>7</v>
      </c>
      <c r="W8" s="102">
        <v>0</v>
      </c>
      <c r="X8" s="102">
        <v>0</v>
      </c>
      <c r="Y8" s="102">
        <v>5</v>
      </c>
      <c r="Z8" s="102">
        <v>12</v>
      </c>
      <c r="AA8" s="102">
        <v>8</v>
      </c>
      <c r="AB8" s="102">
        <v>4</v>
      </c>
      <c r="AC8" s="102" t="str">
        <f t="shared" ca="1" si="0"/>
        <v>ANO</v>
      </c>
      <c r="AG8" s="121" t="s">
        <v>741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136</v>
      </c>
      <c r="AQ8" s="123">
        <v>184</v>
      </c>
      <c r="AR8" s="123">
        <v>71</v>
      </c>
      <c r="AS8" s="126" t="s">
        <v>1221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12 OZ, 0 (0+0), -7 ±</v>
      </c>
      <c r="AY8" s="129" t="str">
        <f t="shared" ca="1" si="2"/>
        <v>17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4"/>
      <c r="BT8" s="104" t="s">
        <v>679</v>
      </c>
      <c r="BU8" s="103" t="s">
        <v>1322</v>
      </c>
      <c r="BV8" s="104" t="str">
        <f t="shared" si="14"/>
        <v>Daniel Körber</v>
      </c>
      <c r="BW8" s="112">
        <f t="shared" si="15"/>
        <v>6.57</v>
      </c>
      <c r="BX8" s="463"/>
      <c r="BY8" s="103" t="s">
        <v>1236</v>
      </c>
      <c r="BZ8" s="103" t="s">
        <v>814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>FbŠ Bohemians</v>
      </c>
      <c r="B9" s="431"/>
      <c r="C9" s="432"/>
      <c r="D9" s="433">
        <f ca="1">IFERROR(IF(VLOOKUP(A6,OFFSET($AG$2,,,COUNTIF($AG$2:$AG$50,"?*"),23),14,FALSE)&lt;&gt;0,VLOOKUP(A6,OFFSET($AG$2,,,COUNTIF($AG$2:$AG$50,"?*"),23),14,FALSE),"?"),"")</f>
        <v>2004</v>
      </c>
      <c r="E9" s="434"/>
      <c r="F9" s="7">
        <f ca="1">IFERROR(IF(VLOOKUP(A6,OFFSET($AG$2,,,COUNTIF($AG$2:$AG$50,"?*"),23),7,FALSE)&lt;&gt;0,VLOOKUP(A6,OFFSET($AG$2,,,COUNTIF($AG$2:$AG$50,"?*"),23),7,FALSE),"?"),"")</f>
        <v>7</v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>Vosy Praha</v>
      </c>
      <c r="N9" s="431"/>
      <c r="O9" s="432"/>
      <c r="P9" s="433">
        <f ca="1">IFERROR(IF(VLOOKUP(M6,OFFSET($AG$2,,,COUNTIF($AG$2:$AG$50,"?*"),23),14,FALSE)&lt;&gt;0,VLOOKUP(M6,OFFSET($AG$2,,,COUNTIF($AG$2:$AG$50,"?*"),23),14,FALSE),"?"),"")</f>
        <v>2009</v>
      </c>
      <c r="Q9" s="434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667</v>
      </c>
      <c r="T9" s="102" t="s">
        <v>57</v>
      </c>
      <c r="U9" s="102">
        <v>15</v>
      </c>
      <c r="V9" s="102">
        <v>6</v>
      </c>
      <c r="W9" s="102">
        <v>0</v>
      </c>
      <c r="X9" s="102">
        <v>0</v>
      </c>
      <c r="Y9" s="102">
        <v>5</v>
      </c>
      <c r="Z9" s="102">
        <v>11</v>
      </c>
      <c r="AA9" s="102">
        <v>0</v>
      </c>
      <c r="AB9" s="102">
        <v>17</v>
      </c>
      <c r="AC9" s="102" t="str">
        <f t="shared" ca="1" si="0"/>
        <v>ANO</v>
      </c>
      <c r="AG9" s="121" t="s">
        <v>671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136</v>
      </c>
      <c r="AQ9" s="123">
        <v>181</v>
      </c>
      <c r="AR9" s="123">
        <v>81</v>
      </c>
      <c r="AS9" s="126" t="s">
        <v>67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16 OZ, 3 (2+1), -16 ±</v>
      </c>
      <c r="AY9" s="129" t="str">
        <f t="shared" ca="1" si="2"/>
        <v>41 OZ, 6 (3+3)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4"/>
      <c r="BV9" s="104" t="str">
        <f t="shared" si="14"/>
        <v/>
      </c>
      <c r="BW9" s="112" t="str">
        <f t="shared" si="15"/>
        <v/>
      </c>
      <c r="BX9" s="463"/>
      <c r="BY9" s="103" t="s">
        <v>1333</v>
      </c>
      <c r="BZ9" s="103" t="s">
        <v>816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659</v>
      </c>
      <c r="T10" s="102" t="s">
        <v>57</v>
      </c>
      <c r="U10" s="102">
        <v>13</v>
      </c>
      <c r="V10" s="102">
        <v>4</v>
      </c>
      <c r="W10" s="102">
        <v>3</v>
      </c>
      <c r="X10" s="102">
        <v>0</v>
      </c>
      <c r="Y10" s="102">
        <v>2</v>
      </c>
      <c r="Z10" s="102">
        <v>6</v>
      </c>
      <c r="AA10" s="102">
        <v>0</v>
      </c>
      <c r="AB10" s="102">
        <v>1</v>
      </c>
      <c r="AC10" s="102" t="str">
        <f t="shared" ca="1" si="0"/>
        <v>ANO</v>
      </c>
      <c r="AG10" s="121" t="s">
        <v>664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136</v>
      </c>
      <c r="AQ10" s="123">
        <v>191</v>
      </c>
      <c r="AR10" s="123">
        <v>88</v>
      </c>
      <c r="AS10" s="126" t="s">
        <v>1220</v>
      </c>
      <c r="AT10" s="123">
        <v>2008</v>
      </c>
      <c r="AU10" s="127">
        <f ca="1">IF(AG10&lt;&gt;"",IF(AH10&lt;&gt;"",INT((TODAY()-AH10)/365),"?"),"")</f>
        <v>23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16 OZ, 18 (8+10), +1 ±</v>
      </c>
      <c r="AY10" s="129" t="str">
        <f t="shared" ca="1" si="2"/>
        <v>57 OZ, 68 (40+28)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4"/>
      <c r="BV10" s="104" t="str">
        <f t="shared" si="14"/>
        <v/>
      </c>
      <c r="BW10" s="112" t="str">
        <f t="shared" si="15"/>
        <v/>
      </c>
      <c r="BX10" s="463"/>
      <c r="BY10" s="103" t="s">
        <v>1306</v>
      </c>
      <c r="BZ10" s="103" t="s">
        <v>1304</v>
      </c>
      <c r="CA10" s="115" t="s">
        <v>187</v>
      </c>
    </row>
    <row r="11" spans="1:79" ht="15" customHeight="1" thickTop="1" thickBot="1" x14ac:dyDescent="0.25">
      <c r="R11" s="13"/>
      <c r="S11" s="110" t="s">
        <v>662</v>
      </c>
      <c r="T11" s="102" t="s">
        <v>57</v>
      </c>
      <c r="U11" s="102">
        <v>12</v>
      </c>
      <c r="V11" s="102">
        <v>3</v>
      </c>
      <c r="W11" s="102">
        <v>1</v>
      </c>
      <c r="X11" s="102">
        <v>0</v>
      </c>
      <c r="Y11" s="102">
        <v>3</v>
      </c>
      <c r="Z11" s="102">
        <v>6</v>
      </c>
      <c r="AA11" s="102">
        <v>0</v>
      </c>
      <c r="AB11" s="102">
        <v>1</v>
      </c>
      <c r="AC11" s="102" t="str">
        <f t="shared" ca="1" si="0"/>
        <v>ANO</v>
      </c>
      <c r="AG11" s="121" t="s">
        <v>661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136</v>
      </c>
      <c r="AQ11" s="123">
        <v>187</v>
      </c>
      <c r="AR11" s="123">
        <v>83</v>
      </c>
      <c r="AS11" s="126" t="s">
        <v>1222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16 OZ, 27 (16+11), +2 ±</v>
      </c>
      <c r="AY11" s="129" t="str">
        <f t="shared" ca="1" si="2"/>
        <v>46 OZ, 78 (47+31)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4"/>
      <c r="BV11" s="104" t="str">
        <f t="shared" si="14"/>
        <v/>
      </c>
      <c r="BW11" s="112" t="str">
        <f t="shared" si="15"/>
        <v/>
      </c>
      <c r="BX11" s="463"/>
      <c r="BY11" s="103" t="s">
        <v>1307</v>
      </c>
      <c r="BZ11" s="103" t="s">
        <v>826</v>
      </c>
      <c r="CA11" s="115" t="s">
        <v>187</v>
      </c>
    </row>
    <row r="12" spans="1:79" ht="15" customHeight="1" thickTop="1" thickBot="1" x14ac:dyDescent="0.25">
      <c r="A12" s="425" t="s">
        <v>660</v>
      </c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27" t="s">
        <v>7</v>
      </c>
      <c r="I12" s="427"/>
      <c r="J12" s="427"/>
      <c r="K12" s="427"/>
      <c r="M12" s="425" t="s">
        <v>664</v>
      </c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93</v>
      </c>
      <c r="S12" s="110" t="s">
        <v>740</v>
      </c>
      <c r="U12" s="102">
        <v>13</v>
      </c>
      <c r="V12" s="102">
        <v>3</v>
      </c>
      <c r="W12" s="102">
        <v>0</v>
      </c>
      <c r="X12" s="102">
        <v>0</v>
      </c>
      <c r="Y12" s="102">
        <v>3</v>
      </c>
      <c r="Z12" s="102">
        <v>6</v>
      </c>
      <c r="AA12" s="102">
        <v>2</v>
      </c>
      <c r="AB12" s="102">
        <v>-3</v>
      </c>
      <c r="AC12" s="102" t="str">
        <f t="shared" ca="1" si="0"/>
        <v>ANO</v>
      </c>
      <c r="AG12" s="121" t="s">
        <v>658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136</v>
      </c>
      <c r="AQ12" s="123">
        <v>194</v>
      </c>
      <c r="AR12" s="123">
        <v>78</v>
      </c>
      <c r="AS12" s="126" t="s">
        <v>66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15 OZ, 20 (12+8), +14 ±</v>
      </c>
      <c r="AY12" s="129" t="str">
        <f t="shared" ca="1" si="2"/>
        <v>61 OZ, 69 (36+33)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4" t="s">
        <v>36</v>
      </c>
      <c r="BT12" s="104" t="s">
        <v>680</v>
      </c>
      <c r="BU12" s="103">
        <v>23</v>
      </c>
      <c r="BV12" s="104" t="str">
        <f t="shared" si="14"/>
        <v>Jakub Boček</v>
      </c>
      <c r="BW12" s="102">
        <f t="shared" si="15"/>
        <v>23</v>
      </c>
      <c r="BX12" s="120" t="s">
        <v>190</v>
      </c>
      <c r="BY12" s="100" t="s">
        <v>1334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8">
        <f ca="1">IFERROR(IF(VLOOKUP(A12,OFFSET($AG$2,,,COUNTIF($AG$2:$AG$50,"?*"),23),2,FALSE)&lt;&gt;0,YEAR(VLOOKUP(A12,OFFSET($AG$2,,,COUNTIF($AG$2:$AG$50,"?*"),23),2,FALSE)),""),"")</f>
        <v>2002</v>
      </c>
      <c r="C13" s="429"/>
      <c r="D13" s="117">
        <f ca="1">IFERROR(VLOOKUP(A12,OFFSET($AG$2,,,COUNTIF($AG$2:$AG$50,"?*"),23),15,FALSE),"")</f>
        <v>19</v>
      </c>
      <c r="E13" s="419" t="str">
        <f ca="1">IFERROR(VLOOKUP(A12,OFFSET($AG$2,,,COUNTIF($AG$2:$AG$50,"?*"),23),16,FALSE),"")</f>
        <v>169/91</v>
      </c>
      <c r="F13" s="420"/>
      <c r="M13" s="4" t="str">
        <f ca="1">IFERROR(IF(VLOOKUP(M12,OFFSET($AG$2,,,COUNTIF($AG$2:$AG$50,"?*"),23),10,FALSE)&lt;&gt;0,VLOOKUP(M12,OFFSET($AG$2,,,COUNTIF($AG$2:$AG$50,"?*"),23),10,FALSE),""),"")</f>
        <v>L</v>
      </c>
      <c r="N13" s="428">
        <f ca="1">IFERROR(IF(VLOOKUP(M12,OFFSET($AG$2,,,COUNTIF($AG$2:$AG$50,"?*"),23),2,FALSE)&lt;&gt;0,YEAR(VLOOKUP(M12,OFFSET($AG$2,,,COUNTIF($AG$2:$AG$50,"?*"),23),2,FALSE)),""),"")</f>
        <v>1998</v>
      </c>
      <c r="O13" s="429"/>
      <c r="P13" s="117">
        <f ca="1">IFERROR(VLOOKUP(M12,OFFSET($AG$2,,,COUNTIF($AG$2:$AG$50,"?*"),23),15,FALSE),"")</f>
        <v>23</v>
      </c>
      <c r="Q13" s="419" t="str">
        <f ca="1">IFERROR(VLOOKUP(M12,OFFSET($AG$2,,,COUNTIF($AG$2:$AG$50,"?*"),23),16,FALSE),"")</f>
        <v>191/88</v>
      </c>
      <c r="R13" s="420"/>
      <c r="S13" s="110" t="s">
        <v>671</v>
      </c>
      <c r="T13" s="102" t="s">
        <v>106</v>
      </c>
      <c r="U13" s="102">
        <v>16</v>
      </c>
      <c r="V13" s="102">
        <v>2</v>
      </c>
      <c r="W13" s="102">
        <v>1</v>
      </c>
      <c r="X13" s="102">
        <v>0</v>
      </c>
      <c r="Y13" s="102">
        <v>1</v>
      </c>
      <c r="Z13" s="102">
        <v>3</v>
      </c>
      <c r="AA13" s="102">
        <v>0</v>
      </c>
      <c r="AB13" s="102">
        <v>-16</v>
      </c>
      <c r="AC13" s="102" t="str">
        <f t="shared" ca="1" si="0"/>
        <v>ANO</v>
      </c>
      <c r="AG13" s="121" t="s">
        <v>1046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4"/>
      <c r="BT13" s="104" t="s">
        <v>1050</v>
      </c>
      <c r="BU13" s="103">
        <v>16</v>
      </c>
      <c r="BV13" s="104" t="str">
        <f t="shared" si="14"/>
        <v>Tomáš Hanák</v>
      </c>
      <c r="BW13" s="102">
        <f t="shared" si="15"/>
        <v>16</v>
      </c>
    </row>
    <row r="14" spans="1:79" ht="15" customHeight="1" thickTop="1" thickBot="1" x14ac:dyDescent="0.25">
      <c r="A14" s="421" t="str">
        <f ca="1">IFERROR(VLOOKUP(A12,OFFSET($AG$2,,,COUNTIF($AG$2:$AG$50,"?*"),23),18,FALSE),"")</f>
        <v>15 OZ, 12 (7+5), +4 ±</v>
      </c>
      <c r="B14" s="422"/>
      <c r="C14" s="422"/>
      <c r="D14" s="423" t="str">
        <f ca="1">IFERROR(VLOOKUP(A12,OFFSET($AG$2,,,COUNTIF($AG$2:$AG$50,"?*"),23),19,FALSE),"")</f>
        <v>50 OZ, 34 (20+14)</v>
      </c>
      <c r="E14" s="423"/>
      <c r="F14" s="424"/>
      <c r="G14" s="425" t="s">
        <v>661</v>
      </c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97</v>
      </c>
      <c r="M14" s="421" t="str">
        <f ca="1">IFERROR(VLOOKUP(M12,OFFSET($AG$2,,,COUNTIF($AG$2:$AG$50,"?*"),23),18,FALSE),"")</f>
        <v>16 OZ, 18 (8+10), +1 ±</v>
      </c>
      <c r="N14" s="422"/>
      <c r="O14" s="422"/>
      <c r="P14" s="423" t="str">
        <f ca="1">IFERROR(VLOOKUP(M12,OFFSET($AG$2,,,COUNTIF($AG$2:$AG$50,"?*"),23),19,FALSE),"")</f>
        <v>57 OZ, 68 (40+28)</v>
      </c>
      <c r="Q14" s="423"/>
      <c r="R14" s="424"/>
      <c r="S14" s="110" t="s">
        <v>742</v>
      </c>
      <c r="T14" s="102" t="s">
        <v>106</v>
      </c>
      <c r="U14" s="102">
        <v>9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676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26</v>
      </c>
      <c r="AQ14" s="123">
        <v>185</v>
      </c>
      <c r="AR14" s="123">
        <v>83</v>
      </c>
      <c r="AS14" s="126" t="s">
        <v>66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14 OZ, 1 (1+0), -8 ±</v>
      </c>
      <c r="AY14" s="129" t="str">
        <f t="shared" ca="1" si="2"/>
        <v>59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4"/>
      <c r="BT14" s="104" t="s">
        <v>1052</v>
      </c>
      <c r="BU14" s="103">
        <v>12</v>
      </c>
      <c r="BV14" s="104" t="str">
        <f t="shared" si="14"/>
        <v>Jakub Hromada</v>
      </c>
      <c r="BW14" s="102">
        <f t="shared" si="15"/>
        <v>12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>BLACK ANGELS</v>
      </c>
      <c r="B15" s="431"/>
      <c r="C15" s="432"/>
      <c r="D15" s="433">
        <f ca="1">IFERROR(IF(VLOOKUP(A12,OFFSET($AG$2,,,COUNTIF($AG$2:$AG$50,"?*"),23),14,FALSE)&lt;&gt;0,VLOOKUP(A12,OFFSET($AG$2,,,COUNTIF($AG$2:$AG$50,"?*"),23),14,FALSE),"?"),"")</f>
        <v>2008</v>
      </c>
      <c r="E15" s="434"/>
      <c r="F15" s="7">
        <f ca="1">IFERROR(IF(VLOOKUP(A12,OFFSET($AG$2,,,COUNTIF($AG$2:$AG$50,"?*"),23),7,FALSE)&lt;&gt;0,VLOOKUP(A12,OFFSET($AG$2,,,COUNTIF($AG$2:$AG$50,"?*"),23),7,FALSE),"?"),"")</f>
        <v>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8">
        <f ca="1">IFERROR(IF(VLOOKUP(G14,OFFSET($AG$2,,,COUNTIF($AG$2:$AG$50,"?*"),23),2,FALSE)&lt;&gt;0,YEAR(VLOOKUP(G14,OFFSET($AG$2,,,COUNTIF($AG$2:$AG$50,"?*"),23),2,FALSE)),""),"")</f>
        <v>2002</v>
      </c>
      <c r="I15" s="429"/>
      <c r="J15" s="117">
        <f ca="1">IFERROR(VLOOKUP(G14,OFFSET($AG$2,,,COUNTIF($AG$2:$AG$50,"?*"),23),15,FALSE),"")</f>
        <v>19</v>
      </c>
      <c r="K15" s="419" t="str">
        <f ca="1">IFERROR(VLOOKUP(G14,OFFSET($AG$2,,,COUNTIF($AG$2:$AG$50,"?*"),23),16,FALSE),"")</f>
        <v>187/83</v>
      </c>
      <c r="L15" s="420"/>
      <c r="M15" s="430" t="str">
        <f ca="1">IFERROR(IF(VLOOKUP(M12,OFFSET($AG$2,,,COUNTIF($AG$2:$AG$50,"?*"),23),13,FALSE)&lt;&gt;0,VLOOKUP(M12,OFFSET($AG$2,,,COUNTIF($AG$2:$AG$50,"?*"),23),13,FALSE),"?"),"")</f>
        <v>JIP Český Krumlov</v>
      </c>
      <c r="N15" s="431"/>
      <c r="O15" s="432"/>
      <c r="P15" s="433">
        <f ca="1">IFERROR(IF(VLOOKUP(M12,OFFSET($AG$2,,,COUNTIF($AG$2:$AG$50,"?*"),23),14,FALSE)&lt;&gt;0,VLOOKUP(M12,OFFSET($AG$2,,,COUNTIF($AG$2:$AG$50,"?*"),23),14,FALSE),"?"),"")</f>
        <v>2008</v>
      </c>
      <c r="Q15" s="434"/>
      <c r="R15" s="7">
        <f ca="1">IFERROR(IF(VLOOKUP(M12,OFFSET($AG$2,,,COUNTIF($AG$2:$AG$50,"?*"),23),7,FALSE)&lt;&gt;0,VLOOKUP(M12,OFFSET($AG$2,,,COUNTIF($AG$2:$AG$50,"?*"),23),7,FALSE),"?"),"")</f>
        <v>3</v>
      </c>
      <c r="S15" s="110" t="s">
        <v>670</v>
      </c>
      <c r="T15" s="102" t="s">
        <v>106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674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1217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4 V, 5 P</v>
      </c>
      <c r="AY15" s="129" t="str">
        <f t="shared" ca="1" si="2"/>
        <v>49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4"/>
      <c r="BT15" s="104" t="s">
        <v>796</v>
      </c>
      <c r="BU15" s="103">
        <v>10</v>
      </c>
      <c r="BV15" s="104" t="str">
        <f t="shared" si="14"/>
        <v>Matěj Boček</v>
      </c>
      <c r="BW15" s="102">
        <f t="shared" si="15"/>
        <v>10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>16 OZ, 27 (16+11), +2 ±</v>
      </c>
      <c r="H16" s="422"/>
      <c r="I16" s="422"/>
      <c r="J16" s="423" t="str">
        <f ca="1">IFERROR(VLOOKUP(G14,OFFSET($AG$2,,,COUNTIF($AG$2:$AG$50,"?*"),23),19,FALSE),"")</f>
        <v>46 OZ, 78 (47+31)</v>
      </c>
      <c r="K16" s="423"/>
      <c r="L16" s="424"/>
      <c r="R16" s="13"/>
      <c r="S16" s="110" t="s">
        <v>666</v>
      </c>
      <c r="T16" s="102" t="s">
        <v>106</v>
      </c>
      <c r="U16" s="102">
        <v>14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12</v>
      </c>
      <c r="AB16" s="102">
        <v>-12</v>
      </c>
      <c r="AC16" s="102" t="str">
        <f t="shared" ca="1" si="0"/>
        <v>ANO</v>
      </c>
      <c r="AG16" s="121" t="s">
        <v>1045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3 OZ, 0 (0+0), 0 ±</v>
      </c>
      <c r="AY16" s="129" t="str">
        <f t="shared" ca="1" si="2"/>
        <v>3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4"/>
      <c r="BT16" s="104" t="s">
        <v>1051</v>
      </c>
      <c r="BU16" s="103">
        <v>8</v>
      </c>
      <c r="BV16" s="104" t="str">
        <f t="shared" si="14"/>
        <v>Radek Hanák</v>
      </c>
      <c r="BW16" s="102">
        <f t="shared" si="15"/>
        <v>8</v>
      </c>
    </row>
    <row r="17" spans="1:75" ht="15" customHeight="1" thickTop="1" thickBot="1" x14ac:dyDescent="0.25">
      <c r="A17" s="425" t="s">
        <v>659</v>
      </c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46</v>
      </c>
      <c r="G17" s="430" t="str">
        <f ca="1">IFERROR(IF(VLOOKUP(G14,OFFSET($AG$2,,,COUNTIF($AG$2:$AG$50,"?*"),23),13,FALSE)&lt;&gt;0,VLOOKUP(G14,OFFSET($AG$2,,,COUNTIF($AG$2:$AG$50,"?*"),23),13,FALSE),"?"),"")</f>
        <v>FBC Český Krumlov</v>
      </c>
      <c r="H17" s="431"/>
      <c r="I17" s="432"/>
      <c r="J17" s="433">
        <f ca="1">IFERROR(IF(VLOOKUP(G14,OFFSET($AG$2,,,COUNTIF($AG$2:$AG$50,"?*"),23),14,FALSE)&lt;&gt;0,VLOOKUP(G14,OFFSET($AG$2,,,COUNTIF($AG$2:$AG$50,"?*"),23),14,FALSE),"?"),"")</f>
        <v>2007</v>
      </c>
      <c r="K17" s="434"/>
      <c r="L17" s="7">
        <f ca="1">IFERROR(IF(VLOOKUP(G14,OFFSET($AG$2,,,COUNTIF($AG$2:$AG$50,"?*"),23),7,FALSE)&lt;&gt;0,VLOOKUP(G14,OFFSET($AG$2,,,COUNTIF($AG$2:$AG$50,"?*"),23),7,FALSE),"?"),"")</f>
        <v>3</v>
      </c>
      <c r="M17" s="425" t="s">
        <v>740</v>
      </c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52</v>
      </c>
      <c r="S17" s="110" t="s">
        <v>676</v>
      </c>
      <c r="T17" s="102" t="s">
        <v>106</v>
      </c>
      <c r="U17" s="102">
        <v>14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-8</v>
      </c>
      <c r="AC17" s="102" t="str">
        <f t="shared" ca="1" si="0"/>
        <v>ANO</v>
      </c>
      <c r="AG17" s="121" t="s">
        <v>675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136</v>
      </c>
      <c r="AQ17" s="123">
        <v>190</v>
      </c>
      <c r="AR17" s="123">
        <v>77</v>
      </c>
      <c r="AS17" s="126" t="s">
        <v>67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11 OZ, 1 (0+1), -8 ±</v>
      </c>
      <c r="AY17" s="129" t="str">
        <f t="shared" ca="1" si="2"/>
        <v>105 OZ, 42 (14+28)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4" t="s">
        <v>40</v>
      </c>
      <c r="BT17" s="104" t="s">
        <v>678</v>
      </c>
      <c r="BU17" s="103">
        <v>6</v>
      </c>
      <c r="BV17" s="104" t="str">
        <f t="shared" si="14"/>
        <v>Ondřej Matiášek</v>
      </c>
      <c r="BW17" s="102">
        <f t="shared" si="15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8">
        <f ca="1">IFERROR(IF(VLOOKUP(A17,OFFSET($AG$2,,,COUNTIF($AG$2:$AG$50,"?*"),23),2,FALSE)&lt;&gt;0,YEAR(VLOOKUP(A17,OFFSET($AG$2,,,COUNTIF($AG$2:$AG$50,"?*"),23),2,FALSE)),""),"")</f>
        <v>1995</v>
      </c>
      <c r="C18" s="429"/>
      <c r="D18" s="149">
        <f ca="1">IFERROR(VLOOKUP(A17,OFFSET($AG$2,,,COUNTIF($AG$2:$AG$50,"?*"),23),15,FALSE),"")</f>
        <v>25</v>
      </c>
      <c r="E18" s="419" t="str">
        <f ca="1">IFERROR(VLOOKUP(A17,OFFSET($AG$2,,,COUNTIF($AG$2:$AG$50,"?*"),23),16,FALSE),"")</f>
        <v>175/79</v>
      </c>
      <c r="F18" s="420"/>
      <c r="M18" s="4" t="str">
        <f ca="1">IFERROR(IF(VLOOKUP(M17,OFFSET($AG$2,,,COUNTIF($AG$2:$AG$50,"?*"),23),10,FALSE)&lt;&gt;0,VLOOKUP(M17,OFFSET($AG$2,,,COUNTIF($AG$2:$AG$50,"?*"),23),10,FALSE),""),"")</f>
        <v>L</v>
      </c>
      <c r="N18" s="428">
        <f ca="1">IFERROR(IF(VLOOKUP(M17,OFFSET($AG$2,,,COUNTIF($AG$2:$AG$50,"?*"),23),2,FALSE)&lt;&gt;0,YEAR(VLOOKUP(M17,OFFSET($AG$2,,,COUNTIF($AG$2:$AG$50,"?*"),23),2,FALSE)),""),"")</f>
        <v>1995</v>
      </c>
      <c r="O18" s="429"/>
      <c r="P18" s="117">
        <f ca="1">IFERROR(VLOOKUP(M17,OFFSET($AG$2,,,COUNTIF($AG$2:$AG$50,"?*"),23),15,FALSE),"")</f>
        <v>26</v>
      </c>
      <c r="Q18" s="419" t="str">
        <f ca="1">IFERROR(VLOOKUP(M17,OFFSET($AG$2,,,COUNTIF($AG$2:$AG$50,"?*"),23),16,FALSE),"")</f>
        <v>193/93</v>
      </c>
      <c r="R18" s="420"/>
      <c r="S18" s="110" t="s">
        <v>675</v>
      </c>
      <c r="T18" s="102" t="s">
        <v>106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-8</v>
      </c>
      <c r="AC18" s="102" t="str">
        <f t="shared" ca="1" si="0"/>
        <v>ANO</v>
      </c>
      <c r="AG18" s="121" t="s">
        <v>672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149</v>
      </c>
      <c r="AP18" s="125"/>
      <c r="AQ18" s="123">
        <v>180</v>
      </c>
      <c r="AR18" s="123">
        <v>76</v>
      </c>
      <c r="AS18" s="126" t="s">
        <v>1219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6 V, 3 P</v>
      </c>
      <c r="AY18" s="129" t="str">
        <f t="shared" ca="1" si="2"/>
        <v>48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4"/>
      <c r="BT18" s="104" t="s">
        <v>679</v>
      </c>
      <c r="BU18" s="103">
        <v>4</v>
      </c>
      <c r="BV18" s="104" t="str">
        <f t="shared" si="14"/>
        <v>Daniel Körber</v>
      </c>
      <c r="BW18" s="102">
        <f t="shared" si="15"/>
        <v>4</v>
      </c>
    </row>
    <row r="19" spans="1:75" ht="15" customHeight="1" x14ac:dyDescent="0.2">
      <c r="A19" s="421" t="str">
        <f ca="1">IFERROR(VLOOKUP(A17,OFFSET($AG$2,,,COUNTIF($AG$2:$AG$50,"?*"),23),18,FALSE),"")</f>
        <v>13 OZ, 6 (4+2), +1 ±</v>
      </c>
      <c r="B19" s="422"/>
      <c r="C19" s="422"/>
      <c r="D19" s="423" t="str">
        <f ca="1">IFERROR(VLOOKUP(A17,OFFSET($AG$2,,,COUNTIF($AG$2:$AG$50,"?*"),23),19,FALSE),"")</f>
        <v>60 OZ, 14 (8+6)</v>
      </c>
      <c r="E19" s="423"/>
      <c r="F19" s="424"/>
      <c r="H19" s="435" t="str">
        <f>H$8</f>
        <v>BA</v>
      </c>
      <c r="I19" s="435"/>
      <c r="J19" s="435"/>
      <c r="K19" s="435"/>
      <c r="M19" s="421" t="str">
        <f ca="1">IFERROR(VLOOKUP(M17,OFFSET($AG$2,,,COUNTIF($AG$2:$AG$50,"?*"),23),18,FALSE),"")</f>
        <v>13 OZ, 6 (3+3), -3 ±</v>
      </c>
      <c r="N19" s="422"/>
      <c r="O19" s="422"/>
      <c r="P19" s="423" t="str">
        <f ca="1">IFERROR(VLOOKUP(M17,OFFSET($AG$2,,,COUNTIF($AG$2:$AG$50,"?*"),23),19,FALSE),"")</f>
        <v>41 OZ, 18 (12+6)</v>
      </c>
      <c r="Q19" s="423"/>
      <c r="R19" s="424"/>
      <c r="S19" s="110" t="s">
        <v>677</v>
      </c>
      <c r="T19" s="102" t="s">
        <v>57</v>
      </c>
      <c r="U19" s="102">
        <v>14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4</v>
      </c>
      <c r="AB19" s="102">
        <v>-4</v>
      </c>
      <c r="AC19" s="102" t="str">
        <f t="shared" ca="1" si="0"/>
        <v>NE</v>
      </c>
      <c r="AG19" s="121" t="s">
        <v>673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7 OZ, 0 (0+0), -5 ±</v>
      </c>
      <c r="AY19" s="129" t="str">
        <f t="shared" ca="1" si="2"/>
        <v>7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4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>Tatran Střešovice</v>
      </c>
      <c r="B20" s="431"/>
      <c r="C20" s="432"/>
      <c r="D20" s="433">
        <f ca="1">IFERROR(IF(VLOOKUP(A17,OFFSET($AG$2,,,COUNTIF($AG$2:$AG$50,"?*"),23),14,FALSE)&lt;&gt;0,VLOOKUP(A17,OFFSET($AG$2,,,COUNTIF($AG$2:$AG$50,"?*"),23),14,FALSE),"?"),"")</f>
        <v>2005</v>
      </c>
      <c r="E20" s="434"/>
      <c r="F20" s="7">
        <f ca="1">IFERROR(IF(VLOOKUP(A17,OFFSET($AG$2,,,COUNTIF($AG$2:$AG$50,"?*"),23),7,FALSE)&lt;&gt;0,VLOOKUP(A17,OFFSET($AG$2,,,COUNTIF($AG$2:$AG$50,"?*"),23),7,FALSE),"?"),"")</f>
        <v>3</v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>Warrios</v>
      </c>
      <c r="N20" s="431"/>
      <c r="O20" s="432"/>
      <c r="P20" s="433">
        <f ca="1">IFERROR(IF(VLOOKUP(M17,OFFSET($AG$2,,,COUNTIF($AG$2:$AG$50,"?*"),23),14,FALSE)&lt;&gt;0,VLOOKUP(M17,OFFSET($AG$2,,,COUNTIF($AG$2:$AG$50,"?*"),23),14,FALSE),"?"),"")</f>
        <v>2005</v>
      </c>
      <c r="Q20" s="434"/>
      <c r="R20" s="7">
        <f ca="1">IFERROR(IF(VLOOKUP(M17,OFFSET($AG$2,,,COUNTIF($AG$2:$AG$50,"?*"),23),7,FALSE)&lt;&gt;0,VLOOKUP(M17,OFFSET($AG$2,,,COUNTIF($AG$2:$AG$50,"?*"),23),7,FALSE),"?"),"")</f>
        <v>3</v>
      </c>
      <c r="S20" s="110" t="s">
        <v>674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0</v>
      </c>
      <c r="AB20" s="102">
        <v>0</v>
      </c>
      <c r="AC20" s="102" t="str">
        <f t="shared" ca="1" si="0"/>
        <v>ANO</v>
      </c>
      <c r="AG20" s="121" t="s">
        <v>670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136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4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1046</v>
      </c>
      <c r="T21" s="102" t="s">
        <v>57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666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26</v>
      </c>
      <c r="AQ21" s="123">
        <v>190</v>
      </c>
      <c r="AR21" s="123">
        <v>75</v>
      </c>
      <c r="AS21" s="126" t="s">
        <v>1223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14 OZ, 2 (0+2), -12 ±</v>
      </c>
      <c r="AY21" s="129" t="str">
        <f t="shared" ca="1" si="2"/>
        <v>54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4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1328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ref="AC22:AC42" ca="1" si="16">IF(S22&lt;&gt;"",IFERROR(IF(VLOOKUP(S22,OFFSET($AG$2,,,COUNTIF($AG$2:$AG$50,"?*")),1,FALSE)&lt;&gt;0,"ANO","NE"),"NE"),"")</f>
        <v>NE</v>
      </c>
      <c r="AG22" s="121" t="s">
        <v>667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136</v>
      </c>
      <c r="AQ22" s="123">
        <v>190</v>
      </c>
      <c r="AR22" s="123">
        <v>77</v>
      </c>
      <c r="AS22" s="126" t="s">
        <v>383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15 OZ, 11 (6+5), +17 ±</v>
      </c>
      <c r="AY22" s="129" t="str">
        <f t="shared" ca="1" si="2"/>
        <v>54 OZ, 17 (8+9)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4" t="s">
        <v>37</v>
      </c>
      <c r="BT22" s="104" t="s">
        <v>680</v>
      </c>
      <c r="BU22" s="103">
        <v>14</v>
      </c>
      <c r="BV22" s="104" t="str">
        <f t="shared" si="14"/>
        <v>Jakub Boček</v>
      </c>
      <c r="BW22" s="102">
        <f t="shared" si="15"/>
        <v>14</v>
      </c>
    </row>
    <row r="23" spans="1:75" ht="15" customHeight="1" thickTop="1" thickBot="1" x14ac:dyDescent="0.25">
      <c r="A23" s="425" t="s">
        <v>669</v>
      </c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99</v>
      </c>
      <c r="H23" s="427" t="s">
        <v>12</v>
      </c>
      <c r="I23" s="427"/>
      <c r="J23" s="427"/>
      <c r="K23" s="427"/>
      <c r="M23" s="425" t="s">
        <v>676</v>
      </c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22</v>
      </c>
      <c r="S23" s="110" t="s">
        <v>1045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 t="s">
        <v>740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136</v>
      </c>
      <c r="AQ23" s="123">
        <v>193</v>
      </c>
      <c r="AR23" s="123">
        <v>93</v>
      </c>
      <c r="AS23" s="126" t="s">
        <v>1218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13 OZ, 6 (3+3), -3 ±</v>
      </c>
      <c r="AY23" s="129" t="str">
        <f t="shared" ca="1" si="2"/>
        <v>41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4"/>
      <c r="BT23" s="104" t="s">
        <v>1323</v>
      </c>
      <c r="BU23" s="103">
        <v>11</v>
      </c>
      <c r="BV23" s="104" t="str">
        <f t="shared" si="14"/>
        <v>Matěj Boček</v>
      </c>
      <c r="BW23" s="102">
        <f t="shared" si="15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8">
        <f ca="1">IFERROR(IF(VLOOKUP(A23,OFFSET($AG$2,,,COUNTIF($AG$2:$AG$50,"?*"),23),2,FALSE)&lt;&gt;0,YEAR(VLOOKUP(A23,OFFSET($AG$2,,,COUNTIF($AG$2:$AG$50,"?*"),23),2,FALSE)),""),"")</f>
        <v>1996</v>
      </c>
      <c r="C24" s="429"/>
      <c r="D24" s="117">
        <f ca="1">IFERROR(VLOOKUP(A23,OFFSET($AG$2,,,COUNTIF($AG$2:$AG$50,"?*"),23),15,FALSE),"")</f>
        <v>25</v>
      </c>
      <c r="E24" s="419" t="str">
        <f ca="1">IFERROR(VLOOKUP(A23,OFFSET($AG$2,,,COUNTIF($AG$2:$AG$50,"?*"),23),16,FALSE),"")</f>
        <v>184/80</v>
      </c>
      <c r="F24" s="420"/>
      <c r="M24" s="4" t="str">
        <f ca="1">IFERROR(IF(VLOOKUP(M23,OFFSET($AG$2,,,COUNTIF($AG$2:$AG$50,"?*"),23),10,FALSE)&lt;&gt;0,VLOOKUP(M23,OFFSET($AG$2,,,COUNTIF($AG$2:$AG$50,"?*"),23),10,FALSE),""),"")</f>
        <v>P</v>
      </c>
      <c r="N24" s="428">
        <f ca="1">IFERROR(IF(VLOOKUP(M23,OFFSET($AG$2,,,COUNTIF($AG$2:$AG$50,"?*"),23),2,FALSE)&lt;&gt;0,YEAR(VLOOKUP(M23,OFFSET($AG$2,,,COUNTIF($AG$2:$AG$50,"?*"),23),2,FALSE)),""),"")</f>
        <v>1997</v>
      </c>
      <c r="O24" s="429"/>
      <c r="P24" s="117">
        <f ca="1">IFERROR(VLOOKUP(M23,OFFSET($AG$2,,,COUNTIF($AG$2:$AG$50,"?*"),23),15,FALSE),"")</f>
        <v>24</v>
      </c>
      <c r="Q24" s="419" t="str">
        <f ca="1">IFERROR(VLOOKUP(M23,OFFSET($AG$2,,,COUNTIF($AG$2:$AG$50,"?*"),23),16,FALSE),"")</f>
        <v>185/83</v>
      </c>
      <c r="R24" s="420"/>
      <c r="S24" s="110" t="s">
        <v>673</v>
      </c>
      <c r="T24" s="102" t="s">
        <v>106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-5</v>
      </c>
      <c r="AC24" s="102" t="str">
        <f t="shared" ca="1" si="16"/>
        <v>ANO</v>
      </c>
      <c r="AG24" s="121" t="s">
        <v>669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26</v>
      </c>
      <c r="AQ24" s="123">
        <v>184</v>
      </c>
      <c r="AR24" s="123">
        <v>80</v>
      </c>
      <c r="AS24" s="126" t="s">
        <v>66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16 OZ, 15 (5+10), -5 ±</v>
      </c>
      <c r="AY24" s="129" t="str">
        <f t="shared" ca="1" si="2"/>
        <v>105 OZ, 128 (69+59)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4"/>
      <c r="BT24" s="104" t="s">
        <v>1324</v>
      </c>
      <c r="BU24" s="103">
        <v>11</v>
      </c>
      <c r="BV24" s="104" t="str">
        <f t="shared" si="14"/>
        <v>Tomáš Hanák</v>
      </c>
      <c r="BW24" s="102">
        <f t="shared" si="15"/>
        <v>11</v>
      </c>
    </row>
    <row r="25" spans="1:75" ht="15" customHeight="1" thickTop="1" thickBot="1" x14ac:dyDescent="0.25">
      <c r="A25" s="421" t="str">
        <f ca="1">IFERROR(VLOOKUP(A23,OFFSET($AG$2,,,COUNTIF($AG$2:$AG$50,"?*"),23),18,FALSE),"")</f>
        <v>16 OZ, 15 (5+10), -5 ±</v>
      </c>
      <c r="B25" s="422"/>
      <c r="C25" s="422"/>
      <c r="D25" s="423" t="str">
        <f ca="1">IFERROR(VLOOKUP(A23,OFFSET($AG$2,,,COUNTIF($AG$2:$AG$50,"?*"),23),19,FALSE),"")</f>
        <v>105 OZ, 128 (69+59)</v>
      </c>
      <c r="E25" s="423"/>
      <c r="F25" s="424"/>
      <c r="G25" s="425" t="s">
        <v>662</v>
      </c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86</v>
      </c>
      <c r="M25" s="421" t="str">
        <f ca="1">IFERROR(VLOOKUP(M23,OFFSET($AG$2,,,COUNTIF($AG$2:$AG$50,"?*"),23),18,FALSE),"")</f>
        <v>14 OZ, 1 (1+0), -8 ±</v>
      </c>
      <c r="N25" s="422"/>
      <c r="O25" s="422"/>
      <c r="P25" s="423" t="str">
        <f ca="1">IFERROR(VLOOKUP(M23,OFFSET($AG$2,,,COUNTIF($AG$2:$AG$50,"?*"),23),19,FALSE),"")</f>
        <v>59 OZ, 31 (19+12)</v>
      </c>
      <c r="Q25" s="423"/>
      <c r="R25" s="424"/>
      <c r="S25" s="110" t="s">
        <v>668</v>
      </c>
      <c r="T25" s="102" t="s">
        <v>57</v>
      </c>
      <c r="U25" s="102">
        <v>11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16"/>
        <v>ANO</v>
      </c>
      <c r="AG25" s="121" t="s">
        <v>668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136</v>
      </c>
      <c r="AQ25" s="123">
        <v>192</v>
      </c>
      <c r="AR25" s="123">
        <v>86</v>
      </c>
      <c r="AS25" s="126" t="s">
        <v>66</v>
      </c>
      <c r="AT25" s="123">
        <v>2010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11 OZ, 0 (0+0), 0 ±</v>
      </c>
      <c r="AY25" s="129" t="str">
        <f t="shared" ca="1" si="2"/>
        <v>58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4"/>
      <c r="BT25" s="104" t="s">
        <v>1234</v>
      </c>
      <c r="BU25" s="103">
        <v>10</v>
      </c>
      <c r="BV25" s="104" t="str">
        <f t="shared" si="14"/>
        <v>Jakub Renčín</v>
      </c>
      <c r="BW25" s="102">
        <f t="shared" si="15"/>
        <v>10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>BLACK ANGELS</v>
      </c>
      <c r="B26" s="431"/>
      <c r="C26" s="432"/>
      <c r="D26" s="433">
        <f ca="1">IFERROR(IF(VLOOKUP(A23,OFFSET($AG$2,,,COUNTIF($AG$2:$AG$50,"?*"),23),14,FALSE)&lt;&gt;0,VLOOKUP(A23,OFFSET($AG$2,,,COUNTIF($AG$2:$AG$50,"?*"),23),14,FALSE),"?"),"")</f>
        <v>2011</v>
      </c>
      <c r="E26" s="434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8">
        <f ca="1">IFERROR(IF(VLOOKUP(G25,OFFSET($AG$2,,,COUNTIF($AG$2:$AG$50,"?*"),23),2,FALSE)&lt;&gt;0,YEAR(VLOOKUP(G25,OFFSET($AG$2,,,COUNTIF($AG$2:$AG$50,"?*"),23),2,FALSE)),""),"")</f>
        <v>2001</v>
      </c>
      <c r="I26" s="429"/>
      <c r="J26" s="117">
        <f ca="1">IFERROR(VLOOKUP(G25,OFFSET($AG$2,,,COUNTIF($AG$2:$AG$50,"?*"),23),15,FALSE),"")</f>
        <v>20</v>
      </c>
      <c r="K26" s="419" t="str">
        <f ca="1">IFERROR(VLOOKUP(G25,OFFSET($AG$2,,,COUNTIF($AG$2:$AG$50,"?*"),23),16,FALSE),"")</f>
        <v>188/83</v>
      </c>
      <c r="L26" s="420"/>
      <c r="M26" s="430" t="str">
        <f ca="1">IFERROR(IF(VLOOKUP(M23,OFFSET($AG$2,,,COUNTIF($AG$2:$AG$50,"?*"),23),13,FALSE)&lt;&gt;0,VLOOKUP(M23,OFFSET($AG$2,,,COUNTIF($AG$2:$AG$50,"?*"),23),13,FALSE),"?"),"")</f>
        <v>BLACK ANGELS</v>
      </c>
      <c r="N26" s="431"/>
      <c r="O26" s="432"/>
      <c r="P26" s="433">
        <f ca="1">IFERROR(IF(VLOOKUP(M23,OFFSET($AG$2,,,COUNTIF($AG$2:$AG$50,"?*"),23),14,FALSE)&lt;&gt;0,VLOOKUP(M23,OFFSET($AG$2,,,COUNTIF($AG$2:$AG$50,"?*"),23),14,FALSE),"?"),"")</f>
        <v>2008</v>
      </c>
      <c r="Q26" s="434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741</v>
      </c>
      <c r="T26" s="102" t="s">
        <v>106</v>
      </c>
      <c r="U26" s="102">
        <v>12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-7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3" t="str">
        <f>IF(AG26&lt;&gt;"",AJ26+AK26,"")</f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ref="AU2:AU26" ca="1" si="17">IF(AG26&lt;&gt;"",IF(AH26&lt;&gt;"",INT((TODAY()-AH26)/365),"?"),"")</f>
        <v/>
      </c>
      <c r="AV26" s="127" t="str">
        <f t="shared" ref="AV2:AV26" si="18">IF(AG26&lt;&gt;"",CONCATENATE(IF(AQ26&lt;&gt;"",AQ26,"? "),"/",IF(AR26&lt;&gt;"",AR26," ?")),"")</f>
        <v/>
      </c>
      <c r="AW26" s="128" t="str">
        <f t="shared" ref="AW2:AW26" si="19">IF(AG26&lt;&gt;"",IF(BE26=1,BD26,IF(BH26=1,BG26,IF(BJ26=1,BI26,IF(BL26=1,BK26,BM26)))),"")</f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464"/>
      <c r="BT26" s="104" t="s">
        <v>1051</v>
      </c>
      <c r="BU26" s="103">
        <v>10</v>
      </c>
      <c r="BV26" s="104" t="str">
        <f t="shared" si="14"/>
        <v>Radek Hanák</v>
      </c>
      <c r="BW26" s="102">
        <f t="shared" si="15"/>
        <v>10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>12 OZ, 6 (3+3), +1 ±</v>
      </c>
      <c r="H27" s="422"/>
      <c r="I27" s="422"/>
      <c r="J27" s="423" t="str">
        <f ca="1">IFERROR(VLOOKUP(G25,OFFSET($AG$2,,,COUNTIF($AG$2:$AG$50,"?*"),23),19,FALSE),"")</f>
        <v>57 OZ, 14 (5+9)</v>
      </c>
      <c r="K27" s="423"/>
      <c r="L27" s="424"/>
      <c r="S27" s="110" t="s">
        <v>672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16"/>
        <v>ANO</v>
      </c>
      <c r="AG27" s="121"/>
      <c r="AH27" s="122"/>
      <c r="AI27" s="123"/>
      <c r="AJ27" s="123"/>
      <c r="AK27" s="123"/>
      <c r="AL27" s="123" t="str">
        <f t="shared" ref="AL27:AL50" si="20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33" ca="1" si="21">IF(AG27&lt;&gt;"",IF(AH27&lt;&gt;"",INT((TODAY()-AH27)/365),"?"),"")</f>
        <v/>
      </c>
      <c r="AV27" s="127" t="str">
        <f t="shared" ref="AV27:AV33" si="22">IF(AG27&lt;&gt;"",CONCATENATE(IF(AQ27&lt;&gt;"",AQ27,"? "),"/",IF(AR27&lt;&gt;"",AR27," ?")),"")</f>
        <v/>
      </c>
      <c r="AW27" s="128" t="str">
        <f t="shared" ref="AW27:AW33" si="23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64" t="s">
        <v>38</v>
      </c>
      <c r="BT27" s="104" t="s">
        <v>1325</v>
      </c>
      <c r="BU27" s="103">
        <v>12</v>
      </c>
      <c r="BV27" s="104" t="str">
        <f t="shared" si="14"/>
        <v>Radek Hanák</v>
      </c>
      <c r="BW27" s="102">
        <f t="shared" si="15"/>
        <v>12</v>
      </c>
    </row>
    <row r="28" spans="1:75" ht="15" customHeight="1" thickTop="1" thickBot="1" x14ac:dyDescent="0.25">
      <c r="A28" s="425" t="s">
        <v>666</v>
      </c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16</v>
      </c>
      <c r="G28" s="430" t="str">
        <f ca="1">IFERROR(IF(VLOOKUP(G25,OFFSET($AG$2,,,COUNTIF($AG$2:$AG$50,"?*"),23),13,FALSE)&lt;&gt;0,VLOOKUP(G25,OFFSET($AG$2,,,COUNTIF($AG$2:$AG$50,"?*"),23),13,FALSE),"?"),"")</f>
        <v>Florbal Benešov</v>
      </c>
      <c r="H28" s="431"/>
      <c r="I28" s="432"/>
      <c r="J28" s="433">
        <f ca="1">IFERROR(IF(VLOOKUP(G25,OFFSET($AG$2,,,COUNTIF($AG$2:$AG$50,"?*"),23),14,FALSE)&lt;&gt;0,VLOOKUP(G25,OFFSET($AG$2,,,COUNTIF($AG$2:$AG$50,"?*"),23),14,FALSE),"?"),"")</f>
        <v>2009</v>
      </c>
      <c r="K28" s="434"/>
      <c r="L28" s="7">
        <f ca="1">IFERROR(IF(VLOOKUP(G25,OFFSET($AG$2,,,COUNTIF($AG$2:$AG$50,"?*"),23),7,FALSE)&lt;&gt;0,VLOOKUP(G25,OFFSET($AG$2,,,COUNTIF($AG$2:$AG$50,"?*"),23),7,FALSE),"?"),"")</f>
        <v>3</v>
      </c>
      <c r="M28" s="425" t="s">
        <v>677</v>
      </c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20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21"/>
        <v/>
      </c>
      <c r="AV28" s="127" t="str">
        <f t="shared" si="22"/>
        <v/>
      </c>
      <c r="AW28" s="128" t="str">
        <f t="shared" si="23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64"/>
      <c r="BT28" s="104" t="s">
        <v>1326</v>
      </c>
      <c r="BU28" s="103">
        <v>12</v>
      </c>
      <c r="BV28" s="104" t="str">
        <f t="shared" si="14"/>
        <v>Vojtěch Novotný</v>
      </c>
      <c r="BW28" s="102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8">
        <f ca="1">IFERROR(IF(VLOOKUP(A28,OFFSET($AG$2,,,COUNTIF($AG$2:$AG$50,"?*"),23),2,FALSE)&lt;&gt;0,YEAR(VLOOKUP(A28,OFFSET($AG$2,,,COUNTIF($AG$2:$AG$50,"?*"),23),2,FALSE)),""),"")</f>
        <v>1997</v>
      </c>
      <c r="C29" s="429"/>
      <c r="D29" s="117">
        <f ca="1">IFERROR(VLOOKUP(A28,OFFSET($AG$2,,,COUNTIF($AG$2:$AG$50,"?*"),23),15,FALSE),"")</f>
        <v>24</v>
      </c>
      <c r="E29" s="419" t="str">
        <f ca="1">IFERROR(VLOOKUP(A28,OFFSET($AG$2,,,COUNTIF($AG$2:$AG$50,"?*"),23),16,FALSE),"")</f>
        <v>190/75</v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21"/>
        <v/>
      </c>
      <c r="AV29" s="127" t="str">
        <f t="shared" si="22"/>
        <v/>
      </c>
      <c r="AW29" s="128" t="str">
        <f t="shared" si="23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4"/>
      <c r="BT29" s="104" t="s">
        <v>1052</v>
      </c>
      <c r="BU29" s="103">
        <v>10</v>
      </c>
      <c r="BV29" s="104" t="str">
        <f t="shared" si="14"/>
        <v>Jakub Hromada</v>
      </c>
      <c r="BW29" s="102">
        <f t="shared" si="15"/>
        <v>10</v>
      </c>
    </row>
    <row r="30" spans="1:75" ht="15" customHeight="1" x14ac:dyDescent="0.2">
      <c r="A30" s="421" t="str">
        <f ca="1">IFERROR(VLOOKUP(A28,OFFSET($AG$2,,,COUNTIF($AG$2:$AG$50,"?*"),23),18,FALSE),"")</f>
        <v>14 OZ, 2 (0+2), -12 ±</v>
      </c>
      <c r="B30" s="422"/>
      <c r="C30" s="422"/>
      <c r="D30" s="423" t="str">
        <f ca="1">IFERROR(VLOOKUP(A28,OFFSET($AG$2,,,COUNTIF($AG$2:$AG$50,"?*"),23),19,FALSE),"")</f>
        <v>54 OZ, 27 (15+12)</v>
      </c>
      <c r="E30" s="423"/>
      <c r="F30" s="424"/>
      <c r="H30" s="435" t="str">
        <f>H$8</f>
        <v>BA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21"/>
        <v/>
      </c>
      <c r="AV30" s="127" t="str">
        <f t="shared" si="22"/>
        <v/>
      </c>
      <c r="AW30" s="128" t="str">
        <f t="shared" si="23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4"/>
      <c r="BT30" s="104" t="s">
        <v>1234</v>
      </c>
      <c r="BU30" s="103">
        <v>8</v>
      </c>
      <c r="BV30" s="104" t="str">
        <f t="shared" si="14"/>
        <v>Jakub Renčín</v>
      </c>
      <c r="BW30" s="102">
        <f t="shared" si="15"/>
        <v>8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>Start Praha</v>
      </c>
      <c r="B31" s="431"/>
      <c r="C31" s="432"/>
      <c r="D31" s="433">
        <f ca="1">IFERROR(IF(VLOOKUP(A28,OFFSET($AG$2,,,COUNTIF($AG$2:$AG$50,"?*"),23),14,FALSE)&lt;&gt;0,VLOOKUP(A28,OFFSET($AG$2,,,COUNTIF($AG$2:$AG$50,"?*"),23),14,FALSE),"?"),"")</f>
        <v>2004</v>
      </c>
      <c r="E31" s="434"/>
      <c r="F31" s="7">
        <f ca="1">IFERROR(IF(VLOOKUP(A28,OFFSET($AG$2,,,COUNTIF($AG$2:$AG$50,"?*"),23),7,FALSE)&lt;&gt;0,VLOOKUP(A28,OFFSET($AG$2,,,COUNTIF($AG$2:$AG$50,"?*"),23),7,FALSE),"?"),"")</f>
        <v>3</v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21"/>
        <v/>
      </c>
      <c r="AV31" s="127" t="str">
        <f t="shared" si="22"/>
        <v/>
      </c>
      <c r="AW31" s="128" t="str">
        <f t="shared" si="23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4"/>
      <c r="BT31" s="104" t="s">
        <v>1327</v>
      </c>
      <c r="BU31" s="103">
        <v>8</v>
      </c>
      <c r="BV31" s="104" t="str">
        <f t="shared" si="14"/>
        <v>Matouš Burian</v>
      </c>
      <c r="BW31" s="102">
        <f t="shared" si="15"/>
        <v>8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5" t="s">
        <v>672</v>
      </c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>C</v>
      </c>
      <c r="F34" s="2">
        <f ca="1">IFERROR(IF(VLOOKUP(A34,OFFSET($AG$2,,,COUNTIF($AG$2:$AG$50,"?*"),23),8,FALSE)&lt;&gt;0,VLOOKUP(A34,OFFSET($AG$2,,,COUNTIF($AG$2:$AG$50,"?*"),23),8,FALSE),""),"")</f>
        <v>19</v>
      </c>
      <c r="H34" s="436" t="s">
        <v>15</v>
      </c>
      <c r="J34" s="425" t="s">
        <v>668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11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4</v>
      </c>
      <c r="B35" s="428">
        <f ca="1">IFERROR(IF(VLOOKUP(A34,OFFSET($AG$2,,,COUNTIF($AG$2:$AG$50,"?*"),23),2,FALSE)&lt;&gt;0,YEAR(VLOOKUP(A34,OFFSET($AG$2,,,COUNTIF($AG$2:$AG$50,"?*"),23),2,FALSE)),""),"")</f>
        <v>1990</v>
      </c>
      <c r="C35" s="429"/>
      <c r="D35" s="117">
        <f ca="1">IFERROR(VLOOKUP(A34,OFFSET($AG$2,,,COUNTIF($AG$2:$AG$50,"?*"),23),15,FALSE),"")</f>
        <v>31</v>
      </c>
      <c r="E35" s="419" t="str">
        <f ca="1">IFERROR(VLOOKUP(A34,OFFSET($AG$2,,,COUNTIF($AG$2:$AG$50,"?*"),23),16,FALSE),"")</f>
        <v>180/76</v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>L</v>
      </c>
      <c r="K35" s="429">
        <f ca="1">IFERROR(IF(VLOOKUP(J34,OFFSET($AG$2,,,COUNTIF($AG$2:$AG$50,"?*"),23),2,FALSE)&lt;&gt;0,YEAR(VLOOKUP(J34,OFFSET($AG$2,,,COUNTIF($AG$2:$AG$50,"?*"),23),2,FALSE)),""),"")</f>
        <v>1999</v>
      </c>
      <c r="L35" s="437"/>
      <c r="M35" s="118">
        <f ca="1">IFERROR(VLOOKUP(J34,OFFSET($AG$2,,,COUNTIF($AG$2:$AG$50,"?*"),23),15,FALSE),"")</f>
        <v>21</v>
      </c>
      <c r="N35" s="437" t="str">
        <f ca="1">IFERROR(VLOOKUP(J34,OFFSET($AG$2,,,COUNTIF($AG$2:$AG$50,"?*"),23),16,FALSE),"")</f>
        <v>192/86</v>
      </c>
      <c r="O35" s="437"/>
      <c r="P35" s="437" t="str">
        <f ca="1">IFERROR(VLOOKUP(J34,OFFSET($AG$2,,,COUNTIF($AG$2:$AG$50,"?*"),23),18,FALSE),"")</f>
        <v>11 OZ, 0 (0+0), 0 ±</v>
      </c>
      <c r="Q35" s="437"/>
      <c r="R35" s="444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45" t="str">
        <f ca="1">IFERROR(VLOOKUP(A34,OFFSET($AG$2,,,COUNTIF($AG$2:$AG$50,"?*"),23),18,FALSE),"")</f>
        <v>6 V, 3 P</v>
      </c>
      <c r="C36" s="445"/>
      <c r="D36" s="446">
        <f ca="1">IFERROR(VLOOKUP(A34,OFFSET($S$45,,,COUNTIF($S$45:$S$50,"?*"),14),5,FALSE),"")</f>
        <v>39</v>
      </c>
      <c r="E36" s="447"/>
      <c r="F36" s="17">
        <f ca="1">IFERROR(VLOOKUP(A34,OFFSET($S$45,,,COUNTIF($S$45:$S$50,"?*"),14),14,FALSE),"")</f>
        <v>80.597014925373131</v>
      </c>
      <c r="H36" s="436"/>
      <c r="J36" s="18">
        <f ca="1">IFERROR(IF(VLOOKUP(J34,OFFSET($AG$2,,,COUNTIF($AG$2:$AG$50,"?*"),23),7,FALSE)&lt;&gt;0,VLOOKUP(J34,OFFSET($AG$2,,,COUNTIF($AG$2:$AG$50,"?*"),23),7,FALSE),"?"),"")</f>
        <v>3</v>
      </c>
      <c r="K36" s="448" t="str">
        <f ca="1">IFERROR(VLOOKUP(J34,OFFSET($AG$2,,,COUNTIF($AG$2:$AG$50,"?*"),23),19,FALSE),"")</f>
        <v>58 OZ, 10 (2+8)</v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>BLACK ANGELS</v>
      </c>
      <c r="O36" s="449"/>
      <c r="P36" s="449"/>
      <c r="Q36" s="448">
        <f ca="1">IFERROR(IF(VLOOKUP(J34,OFFSET($AG$2,,,COUNTIF($AG$2:$AG$50,"?*"),23),14,FALSE)&lt;&gt;0,VLOOKUP(J34,OFFSET($AG$2,,,COUNTIF($AG$2:$AG$50,"?*"),23),14,FALSE),"?"),"")</f>
        <v>2010</v>
      </c>
      <c r="R36" s="450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38">
        <f ca="1">IFERROR(VLOOKUP(A34,OFFSET($S$45,,,COUNTIF($S$45:$S$50,"?*"),14),3,FALSE),"")</f>
        <v>487.98</v>
      </c>
      <c r="B37" s="439"/>
      <c r="C37" s="440">
        <f ca="1">IFERROR(VLOOKUP(A34,OFFSET($S$45,,,COUNTIF($S$45:$S$50,"?*"),14),13,FALSE),"")</f>
        <v>4.7952784950202876</v>
      </c>
      <c r="D37" s="441"/>
      <c r="E37" s="442" t="str">
        <f ca="1">IFERROR(VLOOKUP(A34,OFFSET($AG$2,,,COUNTIF($AG$2:$AG$50,"?*"),23),19,FALSE),"")</f>
        <v>48 OZ, 2 A</v>
      </c>
      <c r="F37" s="443"/>
      <c r="H37" s="436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>Sparta Praha</v>
      </c>
      <c r="B38" s="431"/>
      <c r="C38" s="432"/>
      <c r="D38" s="433">
        <f ca="1">IFERROR(IF(VLOOKUP(A34,OFFSET($AG$2,,,COUNTIF($AG$2:$AG$50,"?*"),23),14,FALSE)&lt;&gt;0,VLOOKUP(A34,OFFSET($AG$2,,,COUNTIF($AG$2:$AG$50,"?*"),23),14,FALSE),"?"),"")</f>
        <v>1999</v>
      </c>
      <c r="E38" s="434"/>
      <c r="F38" s="19">
        <f ca="1">IFERROR(VLOOKUP(A34,OFFSET($S$45,,,COUNTIF($S$45:$S$50,"?*"),14),6,FALSE),"")</f>
        <v>0</v>
      </c>
      <c r="H38" s="436"/>
      <c r="J38" s="425" t="s">
        <v>671</v>
      </c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>L</v>
      </c>
      <c r="K39" s="429">
        <f ca="1">IFERROR(IF(VLOOKUP(J38,OFFSET($AG$2,,,COUNTIF($AG$2:$AG$50,"?*"),23),2,FALSE)&lt;&gt;0,YEAR(VLOOKUP(J38,OFFSET($AG$2,,,COUNTIF($AG$2:$AG$50,"?*"),23),2,FALSE)),""),"")</f>
        <v>2001</v>
      </c>
      <c r="L39" s="437"/>
      <c r="M39" s="150">
        <f ca="1">IFERROR(VLOOKUP(J38,OFFSET($AG$2,,,COUNTIF($AG$2:$AG$50,"?*"),23),15,FALSE),"")</f>
        <v>20</v>
      </c>
      <c r="N39" s="437" t="str">
        <f ca="1">IFERROR(VLOOKUP(J38,OFFSET($AG$2,,,COUNTIF($AG$2:$AG$50,"?*"),23),16,FALSE),"")</f>
        <v>181/81</v>
      </c>
      <c r="O39" s="437"/>
      <c r="P39" s="437" t="str">
        <f ca="1">IFERROR(VLOOKUP(J38,OFFSET($AG$2,,,COUNTIF($AG$2:$AG$50,"?*"),23),18,FALSE),"")</f>
        <v>16 OZ, 3 (2+1), -16 ±</v>
      </c>
      <c r="Q39" s="437"/>
      <c r="R39" s="444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5" t="s">
        <v>674</v>
      </c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15</v>
      </c>
      <c r="H40" s="436"/>
      <c r="J40" s="18">
        <f ca="1">IFERROR(IF(VLOOKUP(J38,OFFSET($AG$2,,,COUNTIF($AG$2:$AG$50,"?*"),23),7,FALSE)&lt;&gt;0,VLOOKUP(J38,OFFSET($AG$2,,,COUNTIF($AG$2:$AG$50,"?*"),23),7,FALSE),"?"),"")</f>
        <v>2</v>
      </c>
      <c r="K40" s="448" t="str">
        <f ca="1">IFERROR(VLOOKUP(J38,OFFSET($AG$2,,,COUNTIF($AG$2:$AG$50,"?*"),23),19,FALSE),"")</f>
        <v>41 OZ, 6 (3+3)</v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>FbŠ Bohemians</v>
      </c>
      <c r="O40" s="449"/>
      <c r="P40" s="449"/>
      <c r="Q40" s="448">
        <f ca="1">IFERROR(IF(VLOOKUP(J38,OFFSET($AG$2,,,COUNTIF($AG$2:$AG$50,"?*"),23),14,FALSE)&lt;&gt;0,VLOOKUP(J38,OFFSET($AG$2,,,COUNTIF($AG$2:$AG$50,"?*"),23),14,FALSE),"?"),"")</f>
        <v>2009</v>
      </c>
      <c r="R40" s="450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6</v>
      </c>
      <c r="B41" s="428">
        <f ca="1">IFERROR(IF(VLOOKUP(A40,OFFSET($AG$2,,,COUNTIF($AG$2:$AG$50,"?*"),23),2,FALSE)&lt;&gt;0,YEAR(VLOOKUP(A40,OFFSET($AG$2,,,COUNTIF($AG$2:$AG$50,"?*"),23),2,FALSE)),""),"")</f>
        <v>1995</v>
      </c>
      <c r="C41" s="429"/>
      <c r="D41" s="117">
        <f ca="1">IFERROR(VLOOKUP(A40,OFFSET($AG$2,,,COUNTIF($AG$2:$AG$50,"?*"),23),15,FALSE),"")</f>
        <v>26</v>
      </c>
      <c r="E41" s="419" t="str">
        <f ca="1">IFERROR(VLOOKUP(A40,OFFSET($AG$2,,,COUNTIF($AG$2:$AG$50,"?*"),23),16,FALSE),"")</f>
        <v>175/72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5" t="str">
        <f ca="1">IFERROR(VLOOKUP(A40,OFFSET($AG$2,,,COUNTIF($AG$2:$AG$50,"?*"),23),18,FALSE),"")</f>
        <v>4 V, 5 P</v>
      </c>
      <c r="C42" s="445"/>
      <c r="D42" s="446">
        <f ca="1">IFERROR(VLOOKUP(A40,OFFSET($S$45,,,COUNTIF($S$45:$S$50,"?*"),14),5,FALSE),"")</f>
        <v>52</v>
      </c>
      <c r="E42" s="447"/>
      <c r="F42" s="17">
        <f ca="1">IFERROR(VLOOKUP(A40,OFFSET($S$45,,,COUNTIF($S$45:$S$50,"?*"),14),14,FALSE),"")</f>
        <v>69.411764705882348</v>
      </c>
      <c r="H42" s="436"/>
      <c r="J42" s="425" t="s">
        <v>741</v>
      </c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38">
        <f ca="1">IFERROR(VLOOKUP(A40,OFFSET($S$45,,,COUNTIF($S$45:$S$50,"?*"),14),3,FALSE),"")</f>
        <v>475.22</v>
      </c>
      <c r="B43" s="439"/>
      <c r="C43" s="440">
        <f ca="1">IFERROR(VLOOKUP(A40,OFFSET($S$45,,,COUNTIF($S$45:$S$50,"?*"),14),13,FALSE),"")</f>
        <v>6.5653802449391856</v>
      </c>
      <c r="D43" s="441"/>
      <c r="E43" s="442" t="str">
        <f ca="1">IFERROR(VLOOKUP(A40,OFFSET($AG$2,,,COUNTIF($AG$2:$AG$50,"?*"),23),19,FALSE),"")</f>
        <v>49 OZ, 2 A</v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>L</v>
      </c>
      <c r="K43" s="429">
        <f ca="1">IFERROR(IF(VLOOKUP(J42,OFFSET($AG$2,,,COUNTIF($AG$2:$AG$50,"?*"),23),2,FALSE)&lt;&gt;0,YEAR(VLOOKUP(J42,OFFSET($AG$2,,,COUNTIF($AG$2:$AG$50,"?*"),23),2,FALSE)),""),"")</f>
        <v>2001</v>
      </c>
      <c r="L43" s="437"/>
      <c r="M43" s="150">
        <f ca="1">IFERROR(VLOOKUP(J42,OFFSET($AG$2,,,COUNTIF($AG$2:$AG$50,"?*"),23),15,FALSE),"")</f>
        <v>20</v>
      </c>
      <c r="N43" s="437" t="str">
        <f ca="1">IFERROR(VLOOKUP(J42,OFFSET($AG$2,,,COUNTIF($AG$2:$AG$50,"?*"),23),16,FALSE),"")</f>
        <v>184/71</v>
      </c>
      <c r="O43" s="437"/>
      <c r="P43" s="437" t="str">
        <f ca="1">IFERROR(VLOOKUP(J42,OFFSET($AG$2,,,COUNTIF($AG$2:$AG$50,"?*"),23),18,FALSE),"")</f>
        <v>12 OZ, 0 (0+0), -7 ±</v>
      </c>
      <c r="Q43" s="437"/>
      <c r="R43" s="444"/>
      <c r="AG43" s="121"/>
      <c r="AH43" s="122"/>
      <c r="AI43" s="123"/>
      <c r="AJ43" s="123"/>
      <c r="AK43" s="123"/>
      <c r="AL43" s="123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>Hurrican Karlovy Vary</v>
      </c>
      <c r="B44" s="431"/>
      <c r="C44" s="432"/>
      <c r="D44" s="433">
        <f ca="1">IFERROR(IF(VLOOKUP(A40,OFFSET($AG$2,,,COUNTIF($AG$2:$AG$50,"?*"),23),14,FALSE)&lt;&gt;0,VLOOKUP(A40,OFFSET($AG$2,,,COUNTIF($AG$2:$AG$50,"?*"),23),14,FALSE),"?"),"")</f>
        <v>2003</v>
      </c>
      <c r="E44" s="434"/>
      <c r="F44" s="19">
        <f ca="1">IFERROR(VLOOKUP(A40,OFFSET($S$45,,,COUNTIF($S$45:$S$50,"?*"),14),6,FALSE),"")</f>
        <v>0</v>
      </c>
      <c r="H44" s="436"/>
      <c r="J44" s="18">
        <f ca="1">IFERROR(IF(VLOOKUP(J42,OFFSET($AG$2,,,COUNTIF($AG$2:$AG$50,"?*"),23),7,FALSE)&lt;&gt;0,VLOOKUP(J42,OFFSET($AG$2,,,COUNTIF($AG$2:$AG$50,"?*"),23),7,FALSE),"?"),"")</f>
        <v>2</v>
      </c>
      <c r="K44" s="448" t="str">
        <f ca="1">IFERROR(VLOOKUP(J42,OFFSET($AG$2,,,COUNTIF($AG$2:$AG$50,"?*"),23),19,FALSE),"")</f>
        <v>17 OZ, 0 (0+0)</v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>FC Vorms Praha</v>
      </c>
      <c r="O44" s="449"/>
      <c r="P44" s="449"/>
      <c r="Q44" s="448">
        <f ca="1">IFERROR(IF(VLOOKUP(J42,OFFSET($AG$2,,,COUNTIF($AG$2:$AG$50,"?*"),23),14,FALSE)&lt;&gt;0,VLOOKUP(J42,OFFSET($AG$2,,,COUNTIF($AG$2:$AG$50,"?*"),23),14,FALSE),"?"),"")</f>
        <v>2009</v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3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672</v>
      </c>
      <c r="T45" s="102">
        <v>9</v>
      </c>
      <c r="U45" s="112">
        <v>487.98</v>
      </c>
      <c r="V45" s="102">
        <v>6</v>
      </c>
      <c r="W45" s="102">
        <v>39</v>
      </c>
      <c r="X45" s="102">
        <v>0</v>
      </c>
      <c r="Y45" s="102">
        <v>201</v>
      </c>
      <c r="Z45" s="102">
        <v>0</v>
      </c>
      <c r="AA45" s="102">
        <v>3</v>
      </c>
      <c r="AB45" s="102">
        <v>162</v>
      </c>
      <c r="AC45" s="102">
        <v>0</v>
      </c>
      <c r="AD45" s="102">
        <v>0</v>
      </c>
      <c r="AE45" s="112">
        <f>IF(S45&lt;&gt;"",IF(T45&gt;0,W45/(U45/60),0),"")</f>
        <v>4.7952784950202876</v>
      </c>
      <c r="AF45" s="112">
        <f>IF(S45&lt;&gt;"",IF(Y45&gt;0,(AB45/Y45)*100,"-"),"")</f>
        <v>80.597014925373131</v>
      </c>
      <c r="AG45" s="121"/>
      <c r="AH45" s="122"/>
      <c r="AI45" s="123"/>
      <c r="AJ45" s="123"/>
      <c r="AK45" s="123"/>
      <c r="AL45" s="123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674</v>
      </c>
      <c r="T46" s="102">
        <v>9</v>
      </c>
      <c r="U46" s="112">
        <v>475.22</v>
      </c>
      <c r="V46" s="102">
        <v>4</v>
      </c>
      <c r="W46" s="102">
        <v>52</v>
      </c>
      <c r="X46" s="102">
        <v>0</v>
      </c>
      <c r="Y46" s="102">
        <v>170</v>
      </c>
      <c r="Z46" s="102">
        <v>0</v>
      </c>
      <c r="AA46" s="102">
        <v>5</v>
      </c>
      <c r="AB46" s="102">
        <v>118</v>
      </c>
      <c r="AC46" s="102">
        <v>1</v>
      </c>
      <c r="AD46" s="102">
        <v>0</v>
      </c>
      <c r="AE46" s="112">
        <f t="shared" ref="AE46:AE50" si="29">IF(S46&lt;&gt;"",IF(T46&gt;0,W46/(U46/60),0),"")</f>
        <v>6.5653802449391856</v>
      </c>
      <c r="AF46" s="112">
        <f t="shared" ref="AF46:AF50" si="30">IF(S46&lt;&gt;"",IF(Y46&gt;0,(AB46/Y46)*100,"-"),"")</f>
        <v>69.411764705882348</v>
      </c>
      <c r="AG46" s="121"/>
      <c r="AH46" s="122"/>
      <c r="AI46" s="123"/>
      <c r="AJ46" s="123"/>
      <c r="AK46" s="123"/>
      <c r="AL46" s="123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5" t="s">
        <v>1224</v>
      </c>
      <c r="B47" s="466"/>
      <c r="C47" s="466"/>
      <c r="D47" s="466"/>
      <c r="E47" s="461" t="str">
        <f ca="1">IFERROR(VLOOKUP(A47,OFFSET($BN$2,,,COUNTIF($BN$2:$BN$11,"?*"),5),3,FALSE),"")</f>
        <v>trenér</v>
      </c>
      <c r="F47" s="461"/>
      <c r="G47" s="461"/>
      <c r="H47" s="461"/>
      <c r="I47" s="462"/>
      <c r="J47" s="465" t="s">
        <v>1226</v>
      </c>
      <c r="K47" s="466"/>
      <c r="L47" s="466"/>
      <c r="M47" s="466"/>
      <c r="N47" s="461" t="str">
        <f ca="1">IFERROR(VLOOKUP(J47,OFFSET($BN$2,,,COUNTIF($BN$2:$BN$11,"?*"),5),3,FALSE),"")</f>
        <v>asistent trenéra</v>
      </c>
      <c r="O47" s="461"/>
      <c r="P47" s="461"/>
      <c r="Q47" s="461"/>
      <c r="R47" s="462"/>
      <c r="S47" s="111"/>
      <c r="U47" s="112"/>
      <c r="AE47" s="112" t="str">
        <f t="shared" si="29"/>
        <v/>
      </c>
      <c r="AF47" s="112" t="str">
        <f t="shared" si="30"/>
        <v/>
      </c>
      <c r="AG47" s="121"/>
      <c r="AH47" s="122"/>
      <c r="AI47" s="123"/>
      <c r="AJ47" s="123"/>
      <c r="AK47" s="123"/>
      <c r="AL47" s="123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51">
        <f ca="1">IFERROR(VLOOKUP(A47,OFFSET($BN$2,,,COUNTIF($BN$2:$BN$11,"?*"),5),5,FALSE),"")</f>
        <v>44</v>
      </c>
      <c r="B48" s="453" t="str">
        <f ca="1">IFERROR(IF(VLOOKUP(A47,OFFSET($BN$2,,,COUNTIF($BN$2:$BN$11,"?*"),5),4,FALSE)&lt;&gt;0,VLOOKUP(A47,OFFSET($BN$2,,,COUNTIF($BN$2:$BN$11,"?*"),5),4,FALSE),"-"),"")</f>
        <v>postup do nejvyšší soutěže se 3 týmy (SPA, KLA, BA)</v>
      </c>
      <c r="C48" s="453"/>
      <c r="D48" s="453"/>
      <c r="E48" s="453"/>
      <c r="F48" s="453"/>
      <c r="G48" s="453"/>
      <c r="H48" s="453"/>
      <c r="I48" s="454"/>
      <c r="J48" s="119">
        <f ca="1">IFERROR(VLOOKUP(J47,OFFSET($BN$2,,,COUNTIF($BN$2:$BN$11,"?*"),5),5,FALSE),"")</f>
        <v>45</v>
      </c>
      <c r="K48" s="457" t="str">
        <f ca="1">IFERROR(IF(VLOOKUP(J47,OFFSET($BN$2,,,COUNTIF($BN$2:$BN$11,"?*"),5),4,FALSE)&lt;&gt;0,VLOOKUP(J47,OFFSET($BN$2,,,COUNTIF($BN$2:$BN$11,"?*"),5),4,FALSE),"-"),"")</f>
        <v>-</v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9"/>
        <v/>
      </c>
      <c r="AF48" s="112" t="str">
        <f t="shared" si="30"/>
        <v/>
      </c>
      <c r="AG48" s="121"/>
      <c r="AH48" s="122"/>
      <c r="AI48" s="123"/>
      <c r="AJ48" s="123"/>
      <c r="AK48" s="123"/>
      <c r="AL48" s="123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 t="s">
        <v>1227</v>
      </c>
      <c r="K49" s="460"/>
      <c r="L49" s="460"/>
      <c r="M49" s="460"/>
      <c r="N49" s="461" t="str">
        <f ca="1">IFERROR(VLOOKUP(J49,OFFSET($BN$2,,,COUNTIF($BN$2:$BN$11,"?*"),5),3,FALSE),"")</f>
        <v>fyzioterapeutka/vedoucí</v>
      </c>
      <c r="O49" s="461"/>
      <c r="P49" s="461"/>
      <c r="Q49" s="461"/>
      <c r="R49" s="462"/>
      <c r="S49" s="111"/>
      <c r="U49" s="112"/>
      <c r="AE49" s="112" t="str">
        <f t="shared" si="29"/>
        <v/>
      </c>
      <c r="AF49" s="112" t="str">
        <f t="shared" si="30"/>
        <v/>
      </c>
      <c r="AG49" s="121"/>
      <c r="AH49" s="122"/>
      <c r="AI49" s="123"/>
      <c r="AJ49" s="123"/>
      <c r="AK49" s="123"/>
      <c r="AL49" s="123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>
        <f ca="1">IFERROR(VLOOKUP(J49,OFFSET($BN$2,,,COUNTIF($BN$2:$BN$11,"?*"),5),5,FALSE),"")</f>
        <v>29</v>
      </c>
      <c r="K50" s="457" t="str">
        <f ca="1">IFERROR(IF(VLOOKUP(J49,OFFSET($BN$2,,,COUNTIF($BN$2:$BN$11,"?*"),5),4,FALSE)&lt;&gt;0,VLOOKUP(J49,OFFSET($BN$2,,,COUNTIF($BN$2:$BN$11,"?*"),5),4,FALSE),"-"),"")</f>
        <v>-</v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9"/>
        <v/>
      </c>
      <c r="AF50" s="112" t="str">
        <f t="shared" si="30"/>
        <v/>
      </c>
      <c r="AG50" s="121"/>
      <c r="AH50" s="122"/>
      <c r="AI50" s="123"/>
      <c r="AJ50" s="123"/>
      <c r="AK50" s="123"/>
      <c r="AL50" s="123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5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89" priority="10" stopIfTrue="1" operator="equal">
      <formula>"OTR"</formula>
    </cfRule>
    <cfRule type="cellIs" dxfId="688" priority="11" stopIfTrue="1" operator="equal">
      <formula>"PAR"</formula>
    </cfRule>
    <cfRule type="cellIs" dxfId="687" priority="12" stopIfTrue="1" operator="equal">
      <formula>"CLP"</formula>
    </cfRule>
    <cfRule type="cellIs" dxfId="686" priority="13" stopIfTrue="1" operator="equal">
      <formula>"HAT"</formula>
    </cfRule>
    <cfRule type="cellIs" dxfId="685" priority="14" stopIfTrue="1" operator="equal">
      <formula>"LIB"</formula>
    </cfRule>
    <cfRule type="cellIs" dxfId="684" priority="15" stopIfTrue="1" operator="equal">
      <formula>"BA"</formula>
    </cfRule>
    <cfRule type="cellIs" dxfId="683" priority="16" stopIfTrue="1" operator="equal">
      <formula>"SPA"</formula>
    </cfRule>
    <cfRule type="cellIs" dxfId="682" priority="17" stopIfTrue="1" operator="equal">
      <formula>"OST"</formula>
    </cfRule>
    <cfRule type="cellIs" dxfId="681" priority="18" stopIfTrue="1" operator="equal">
      <formula>"BOH"</formula>
    </cfRule>
    <cfRule type="cellIs" dxfId="680" priority="19" stopIfTrue="1" operator="equal">
      <formula>"TAT"</formula>
    </cfRule>
    <cfRule type="cellIs" dxfId="679" priority="20" stopIfTrue="1" operator="equal">
      <formula>"MB"</formula>
    </cfRule>
    <cfRule type="cellIs" dxfId="678" priority="21" stopIfTrue="1" operator="equal">
      <formula>"VIT"</formula>
    </cfRule>
    <cfRule type="cellIs" dxfId="677" priority="22" stopIfTrue="1" operator="equal">
      <formula>"CHO"</formula>
    </cfRule>
    <cfRule type="cellIs" dxfId="676" priority="23" stopIfTrue="1" operator="equal">
      <formula>"SKV"</formula>
    </cfRule>
  </conditionalFormatting>
  <conditionalFormatting sqref="H19:K20">
    <cfRule type="cellIs" dxfId="675" priority="38" stopIfTrue="1" operator="equal">
      <formula>"OTR"</formula>
    </cfRule>
    <cfRule type="cellIs" dxfId="674" priority="39" stopIfTrue="1" operator="equal">
      <formula>"PAR"</formula>
    </cfRule>
    <cfRule type="cellIs" dxfId="673" priority="40" stopIfTrue="1" operator="equal">
      <formula>"CLP"</formula>
    </cfRule>
    <cfRule type="cellIs" dxfId="672" priority="41" stopIfTrue="1" operator="equal">
      <formula>"HAT"</formula>
    </cfRule>
    <cfRule type="cellIs" dxfId="671" priority="42" stopIfTrue="1" operator="equal">
      <formula>"LIB"</formula>
    </cfRule>
    <cfRule type="cellIs" dxfId="670" priority="43" stopIfTrue="1" operator="equal">
      <formula>"BA"</formula>
    </cfRule>
    <cfRule type="cellIs" dxfId="669" priority="44" stopIfTrue="1" operator="equal">
      <formula>"SPA"</formula>
    </cfRule>
    <cfRule type="cellIs" dxfId="668" priority="45" stopIfTrue="1" operator="equal">
      <formula>"OST"</formula>
    </cfRule>
    <cfRule type="cellIs" dxfId="667" priority="46" stopIfTrue="1" operator="equal">
      <formula>"BOH"</formula>
    </cfRule>
    <cfRule type="cellIs" dxfId="666" priority="47" stopIfTrue="1" operator="equal">
      <formula>"TAT"</formula>
    </cfRule>
    <cfRule type="cellIs" dxfId="665" priority="48" stopIfTrue="1" operator="equal">
      <formula>"MB"</formula>
    </cfRule>
    <cfRule type="cellIs" dxfId="664" priority="49" stopIfTrue="1" operator="equal">
      <formula>"VIT"</formula>
    </cfRule>
    <cfRule type="cellIs" dxfId="663" priority="50" stopIfTrue="1" operator="equal">
      <formula>"CHO"</formula>
    </cfRule>
    <cfRule type="cellIs" dxfId="662" priority="51" stopIfTrue="1" operator="equal">
      <formula>"SKV"</formula>
    </cfRule>
  </conditionalFormatting>
  <conditionalFormatting sqref="H8:K9">
    <cfRule type="cellIs" dxfId="661" priority="24" stopIfTrue="1" operator="equal">
      <formula>"OTR"</formula>
    </cfRule>
    <cfRule type="cellIs" dxfId="660" priority="25" stopIfTrue="1" operator="equal">
      <formula>"PAR"</formula>
    </cfRule>
    <cfRule type="cellIs" dxfId="659" priority="26" stopIfTrue="1" operator="equal">
      <formula>"CLP"</formula>
    </cfRule>
    <cfRule type="cellIs" dxfId="658" priority="27" stopIfTrue="1" operator="equal">
      <formula>"HAT"</formula>
    </cfRule>
    <cfRule type="cellIs" dxfId="657" priority="28" stopIfTrue="1" operator="equal">
      <formula>"LIB"</formula>
    </cfRule>
    <cfRule type="cellIs" dxfId="656" priority="29" stopIfTrue="1" operator="equal">
      <formula>"BA"</formula>
    </cfRule>
    <cfRule type="cellIs" dxfId="655" priority="30" stopIfTrue="1" operator="equal">
      <formula>"SPA"</formula>
    </cfRule>
    <cfRule type="cellIs" dxfId="654" priority="31" stopIfTrue="1" operator="equal">
      <formula>"OST"</formula>
    </cfRule>
    <cfRule type="cellIs" dxfId="653" priority="32" stopIfTrue="1" operator="equal">
      <formula>"BOH"</formula>
    </cfRule>
    <cfRule type="cellIs" dxfId="652" priority="33" stopIfTrue="1" operator="equal">
      <formula>"TAT"</formula>
    </cfRule>
    <cfRule type="cellIs" dxfId="651" priority="34" stopIfTrue="1" operator="equal">
      <formula>"MB"</formula>
    </cfRule>
    <cfRule type="cellIs" dxfId="650" priority="35" stopIfTrue="1" operator="equal">
      <formula>"VIT"</formula>
    </cfRule>
    <cfRule type="cellIs" dxfId="649" priority="36" stopIfTrue="1" operator="equal">
      <formula>"CHO"</formula>
    </cfRule>
    <cfRule type="cellIs" dxfId="648" priority="37" stopIfTrue="1" operator="equal">
      <formula>"SKV"</formula>
    </cfRule>
  </conditionalFormatting>
  <conditionalFormatting sqref="S2:S42">
    <cfRule type="expression" dxfId="647" priority="8" stopIfTrue="1">
      <formula>IFERROR(IF(VLOOKUP($S2,OFFSET($AG$2,,,COUNTIF($AG$2:$AG$50,"?*")),1,FALSE)&lt;&gt;0,1,0),0)&gt;0</formula>
    </cfRule>
  </conditionalFormatting>
  <conditionalFormatting sqref="S2:S42">
    <cfRule type="expression" dxfId="646" priority="9">
      <formula>IFERROR(IF(VLOOKUP($S2,OFFSET($AG$2,,,COUNTIF($AG$2:$AG$50,"?*")),1,FALSE)&lt;&gt;0,1,0),0)=0</formula>
    </cfRule>
  </conditionalFormatting>
  <conditionalFormatting sqref="S45:S50">
    <cfRule type="expression" dxfId="645" priority="7">
      <formula>IFERROR(IF(VLOOKUP($S45,OFFSET($AG$2,,,COUNTIF($AG$2:$AG$50,"?*")),1,FALSE)&lt;&gt;0,1,0),0)&gt;0</formula>
    </cfRule>
  </conditionalFormatting>
  <conditionalFormatting sqref="S45:S50">
    <cfRule type="expression" dxfId="644" priority="6">
      <formula>IFERROR(IF(VLOOKUP($S45,OFFSET($AG$2,,,COUNTIF($AG$2:$AG$50,"?*")),1,FALSE)&lt;&gt;0,1,0),0)=0</formula>
    </cfRule>
  </conditionalFormatting>
  <conditionalFormatting sqref="AG2:AG50">
    <cfRule type="expression" dxfId="643" priority="3" stopIfTrue="1">
      <formula>OR($AH2="",$AI2="",$AJ2="",$AK2="",$AL2="",$AM2="",$AN2="",$AQ2="",$AR2="",$AS2="",$AT2="")</formula>
    </cfRule>
    <cfRule type="expression" dxfId="642" priority="4" stopIfTrue="1">
      <formula>IFERROR(IF(VLOOKUP($AG2,OFFSET($S$2,,,COUNTIF($S$2:$S$42,"?*")),1,FALSE)&lt;&gt;0,1,0),0)=0</formula>
    </cfRule>
    <cfRule type="expression" dxfId="641" priority="5">
      <formula>IFERROR(IF(VLOOKUP($AG2,OFFSET($S$2,,,COUNTIF($S$2:$S$42,"?*")),1,FALSE)&lt;&gt;0,1,0),0)&gt;0</formula>
    </cfRule>
  </conditionalFormatting>
  <conditionalFormatting sqref="AG2:BC50">
    <cfRule type="expression" dxfId="640" priority="2">
      <formula>AND($AG2&lt;&gt;"",MOD(ROW($AG2),2)=0)</formula>
    </cfRule>
  </conditionalFormatting>
  <conditionalFormatting sqref="BN2:BR11">
    <cfRule type="expression" dxfId="639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519</v>
      </c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7" t="s">
        <v>1</v>
      </c>
      <c r="I1" s="427"/>
      <c r="J1" s="427"/>
      <c r="K1" s="427"/>
      <c r="M1" s="425" t="s">
        <v>520</v>
      </c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8">
        <f ca="1">IFERROR(IF(VLOOKUP(A1,OFFSET($AG$2,,,COUNTIF($AG$2:$AG$50,"?*"),23),2,FALSE)&lt;&gt;0,YEAR(VLOOKUP(A1,OFFSET($AG$2,,,COUNTIF($AG$2:$AG$50,"?*"),23),2,FALSE)),""),"")</f>
        <v>2002</v>
      </c>
      <c r="C2" s="429"/>
      <c r="D2" s="117">
        <f ca="1">IFERROR(VLOOKUP(A1,OFFSET($AG$2,,,COUNTIF($AG$2:$AG$50,"?*"),23),15,FALSE),"")</f>
        <v>19</v>
      </c>
      <c r="E2" s="419" t="str">
        <f ca="1">IFERROR(VLOOKUP(A1,OFFSET($AG$2,,,COUNTIF($AG$2:$AG$50,"?*"),23),16,FALSE),"")</f>
        <v>182/77</v>
      </c>
      <c r="F2" s="420"/>
      <c r="M2" s="4" t="str">
        <f ca="1">IFERROR(IF(VLOOKUP(M1,OFFSET($AG$2,,,COUNTIF($AG$2:$AG$50,"?*"),23),10,FALSE)&lt;&gt;0,VLOOKUP(M1,OFFSET($AG$2,,,COUNTIF($AG$2:$AG$50,"?*"),23),10,FALSE),""),"")</f>
        <v>L</v>
      </c>
      <c r="N2" s="428">
        <f ca="1">IFERROR(IF(VLOOKUP(M1,OFFSET($AG$2,,,COUNTIF($AG$2:$AG$50,"?*"),23),2,FALSE)&lt;&gt;0,YEAR(VLOOKUP(M1,OFFSET($AG$2,,,COUNTIF($AG$2:$AG$50,"?*"),23),2,FALSE)),""),"")</f>
        <v>2001</v>
      </c>
      <c r="O2" s="429"/>
      <c r="P2" s="117">
        <f ca="1">IFERROR(VLOOKUP(M1,OFFSET($AG$2,,,COUNTIF($AG$2:$AG$50,"?*"),23),15,FALSE),"")</f>
        <v>20</v>
      </c>
      <c r="Q2" s="419" t="str">
        <f ca="1">IFERROR(VLOOKUP(M1,OFFSET($AG$2,,,COUNTIF($AG$2:$AG$50,"?*"),23),16,FALSE),"")</f>
        <v>183/67</v>
      </c>
      <c r="R2" s="420"/>
      <c r="S2" s="110" t="s">
        <v>521</v>
      </c>
      <c r="T2" s="102" t="s">
        <v>106</v>
      </c>
      <c r="U2" s="102">
        <v>16</v>
      </c>
      <c r="V2" s="102">
        <v>20</v>
      </c>
      <c r="W2" s="102">
        <v>7</v>
      </c>
      <c r="X2" s="102">
        <v>1</v>
      </c>
      <c r="Y2" s="102">
        <v>31</v>
      </c>
      <c r="Z2" s="102">
        <v>51</v>
      </c>
      <c r="AA2" s="102">
        <v>8</v>
      </c>
      <c r="AB2" s="102">
        <v>32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530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552</v>
      </c>
      <c r="BO2" s="122">
        <v>29350</v>
      </c>
      <c r="BP2" s="131" t="s">
        <v>235</v>
      </c>
      <c r="BQ2" s="132" t="s">
        <v>553</v>
      </c>
      <c r="BR2" s="127">
        <f ca="1">IF(BN2&lt;&gt;"",IF(BO2&lt;&gt;"",INT((TODAY()-BO2)/365),"?"),"")</f>
        <v>41</v>
      </c>
      <c r="BS2" s="464" t="s">
        <v>35</v>
      </c>
      <c r="BT2" s="104" t="s">
        <v>561</v>
      </c>
      <c r="BU2" s="103">
        <v>51</v>
      </c>
      <c r="BV2" s="104" t="str">
        <f>IFERROR(RIGHT(BT2,LEN(BT2)-SEARCH(" ",BT2)),"")</f>
        <v>Filip Forman</v>
      </c>
      <c r="BW2" s="102">
        <f>IF(BT2&lt;&gt;0,_xlfn.NUMBERVALUE(BU2,","),"")</f>
        <v>51</v>
      </c>
      <c r="BX2" s="463" t="s">
        <v>191</v>
      </c>
      <c r="BY2" s="103" t="s">
        <v>1049</v>
      </c>
      <c r="BZ2" s="103" t="s">
        <v>786</v>
      </c>
      <c r="CA2" s="115" t="s">
        <v>1335</v>
      </c>
    </row>
    <row r="3" spans="1:79" ht="15" customHeight="1" thickTop="1" thickBot="1" x14ac:dyDescent="0.25">
      <c r="A3" s="421" t="str">
        <f ca="1">IFERROR(VLOOKUP(A1,OFFSET($AG$2,,,COUNTIF($AG$2:$AG$50,"?*"),23),18,FALSE),"")</f>
        <v>15 OZ, 27 (20+7), +36 ±</v>
      </c>
      <c r="B3" s="422"/>
      <c r="C3" s="422"/>
      <c r="D3" s="423" t="str">
        <f ca="1">IFERROR(VLOOKUP(A1,OFFSET($AG$2,,,COUNTIF($AG$2:$AG$50,"?*"),23),19,FALSE),"")</f>
        <v>15 OZ, 27 (20+7)</v>
      </c>
      <c r="E3" s="423"/>
      <c r="F3" s="424"/>
      <c r="G3" s="425" t="s">
        <v>521</v>
      </c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21" t="str">
        <f ca="1">IFERROR(VLOOKUP(M1,OFFSET($AG$2,,,COUNTIF($AG$2:$AG$50,"?*"),23),18,FALSE),"")</f>
        <v>19 OZ, 37 (19+18), +26 ±</v>
      </c>
      <c r="N3" s="422"/>
      <c r="O3" s="422"/>
      <c r="P3" s="423" t="str">
        <f ca="1">IFERROR(VLOOKUP(M1,OFFSET($AG$2,,,COUNTIF($AG$2:$AG$50,"?*"),23),19,FALSE),"")</f>
        <v>91 OZ, 132 (81+51)</v>
      </c>
      <c r="Q3" s="423"/>
      <c r="R3" s="424"/>
      <c r="S3" s="110" t="s">
        <v>520</v>
      </c>
      <c r="U3" s="102">
        <v>16</v>
      </c>
      <c r="V3" s="102">
        <v>19</v>
      </c>
      <c r="W3" s="102">
        <v>0</v>
      </c>
      <c r="X3" s="102">
        <v>1</v>
      </c>
      <c r="Y3" s="102">
        <v>17</v>
      </c>
      <c r="Z3" s="102">
        <v>36</v>
      </c>
      <c r="AA3" s="102">
        <v>8</v>
      </c>
      <c r="AB3" s="102">
        <v>31</v>
      </c>
      <c r="AC3" s="102" t="str">
        <f t="shared" ca="1" si="0"/>
        <v>ANO</v>
      </c>
      <c r="AG3" s="121" t="s">
        <v>534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136</v>
      </c>
      <c r="AQ3" s="123">
        <v>186</v>
      </c>
      <c r="AR3" s="123">
        <v>77</v>
      </c>
      <c r="AS3" s="126" t="s">
        <v>67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16 OZ, 3 (3+0), -8 ±</v>
      </c>
      <c r="AY3" s="129" t="str">
        <f t="shared" ca="1" si="2"/>
        <v>16 OZ, 3 (3+0)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554</v>
      </c>
      <c r="BO3" s="122">
        <v>33849</v>
      </c>
      <c r="BP3" s="131" t="s">
        <v>236</v>
      </c>
      <c r="BQ3" s="132" t="s">
        <v>555</v>
      </c>
      <c r="BR3" s="127">
        <f t="shared" ref="BR3:BR11" ca="1" si="12">IF(BN3&lt;&gt;"",IF(BO3&lt;&gt;"",INT((TODAY()-BO3)/365),"?"),"")</f>
        <v>29</v>
      </c>
      <c r="BS3" s="464"/>
      <c r="BT3" s="104" t="s">
        <v>559</v>
      </c>
      <c r="BU3" s="103">
        <v>36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36</v>
      </c>
      <c r="BX3" s="463"/>
      <c r="BY3" s="103" t="s">
        <v>1040</v>
      </c>
      <c r="BZ3" s="103" t="s">
        <v>795</v>
      </c>
      <c r="CA3" s="115" t="s">
        <v>1336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>Panthers Praha</v>
      </c>
      <c r="B4" s="431"/>
      <c r="C4" s="432"/>
      <c r="D4" s="433">
        <f ca="1">IFERROR(IF(VLOOKUP(A1,OFFSET($AG$2,,,COUNTIF($AG$2:$AG$50,"?*"),23),14,FALSE)&lt;&gt;0,VLOOKUP(A1,OFFSET($AG$2,,,COUNTIF($AG$2:$AG$50,"?*"),23),14,FALSE),"?"),"")</f>
        <v>2009</v>
      </c>
      <c r="E4" s="434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8">
        <f ca="1">IFERROR(IF(VLOOKUP(G3,OFFSET($AG$2,,,COUNTIF($AG$2:$AG$50,"?*"),23),2,FALSE)&lt;&gt;0,YEAR(VLOOKUP(G3,OFFSET($AG$2,,,COUNTIF($AG$2:$AG$50,"?*"),23),2,FALSE)),""),"")</f>
        <v>1995</v>
      </c>
      <c r="I4" s="429"/>
      <c r="J4" s="117">
        <f ca="1">IFERROR(VLOOKUP(G3,OFFSET($AG$2,,,COUNTIF($AG$2:$AG$50,"?*"),23),15,FALSE),"")</f>
        <v>26</v>
      </c>
      <c r="K4" s="419" t="str">
        <f ca="1">IFERROR(VLOOKUP(G3,OFFSET($AG$2,,,COUNTIF($AG$2:$AG$50,"?*"),23),16,FALSE),"")</f>
        <v>175/72</v>
      </c>
      <c r="L4" s="420"/>
      <c r="M4" s="430" t="str">
        <f ca="1">IFERROR(IF(VLOOKUP(M1,OFFSET($AG$2,,,COUNTIF($AG$2:$AG$50,"?*"),23),13,FALSE)&lt;&gt;0,VLOOKUP(M1,OFFSET($AG$2,,,COUNTIF($AG$2:$AG$50,"?*"),23),13,FALSE),"?"),"")</f>
        <v>FbŠ Bohemians</v>
      </c>
      <c r="N4" s="431"/>
      <c r="O4" s="432"/>
      <c r="P4" s="433">
        <f ca="1">IFERROR(IF(VLOOKUP(M1,OFFSET($AG$2,,,COUNTIF($AG$2:$AG$50,"?*"),23),14,FALSE)&lt;&gt;0,VLOOKUP(M1,OFFSET($AG$2,,,COUNTIF($AG$2:$AG$50,"?*"),23),14,FALSE),"?"),"")</f>
        <v>2006</v>
      </c>
      <c r="Q4" s="434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519</v>
      </c>
      <c r="T4" s="102" t="s">
        <v>106</v>
      </c>
      <c r="U4" s="102">
        <v>15</v>
      </c>
      <c r="V4" s="102">
        <v>20</v>
      </c>
      <c r="W4" s="102">
        <v>5</v>
      </c>
      <c r="X4" s="102">
        <v>0</v>
      </c>
      <c r="Y4" s="102">
        <v>7</v>
      </c>
      <c r="Z4" s="102">
        <v>27</v>
      </c>
      <c r="AA4" s="102">
        <v>4</v>
      </c>
      <c r="AB4" s="102">
        <v>36</v>
      </c>
      <c r="AC4" s="102" t="str">
        <f t="shared" ca="1" si="0"/>
        <v>ANO</v>
      </c>
      <c r="AG4" s="121" t="s">
        <v>982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8 OZ, 1 (1+0), 0 ±</v>
      </c>
      <c r="AY4" s="129" t="str">
        <f t="shared" ca="1" si="2"/>
        <v>8 OZ, 1 (1+0)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556</v>
      </c>
      <c r="BO4" s="122">
        <v>28301</v>
      </c>
      <c r="BP4" s="131" t="s">
        <v>236</v>
      </c>
      <c r="BQ4" s="132"/>
      <c r="BR4" s="127">
        <f t="shared" ca="1" si="12"/>
        <v>44</v>
      </c>
      <c r="BS4" s="464"/>
      <c r="BT4" s="104" t="s">
        <v>1055</v>
      </c>
      <c r="BU4" s="103">
        <v>27</v>
      </c>
      <c r="BV4" s="104" t="str">
        <f t="shared" si="13"/>
        <v>Karel Petrák</v>
      </c>
      <c r="BW4" s="102">
        <f t="shared" si="14"/>
        <v>27</v>
      </c>
      <c r="BX4" s="463"/>
      <c r="BY4" s="103" t="s">
        <v>1039</v>
      </c>
      <c r="BZ4" s="103" t="s">
        <v>794</v>
      </c>
      <c r="CA4" s="115" t="s">
        <v>1054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>16 OZ, 51 (20+31), +32 ±</v>
      </c>
      <c r="H5" s="422"/>
      <c r="I5" s="422"/>
      <c r="J5" s="423" t="str">
        <f ca="1">IFERROR(VLOOKUP(G3,OFFSET($AG$2,,,COUNTIF($AG$2:$AG$50,"?*"),23),19,FALSE),"")</f>
        <v>68 OZ, 157 (64+93)</v>
      </c>
      <c r="K5" s="423"/>
      <c r="L5" s="424"/>
      <c r="S5" s="110" t="s">
        <v>523</v>
      </c>
      <c r="U5" s="102">
        <v>16</v>
      </c>
      <c r="V5" s="102">
        <v>11</v>
      </c>
      <c r="W5" s="102">
        <v>2</v>
      </c>
      <c r="X5" s="102">
        <v>0</v>
      </c>
      <c r="Y5" s="102">
        <v>6</v>
      </c>
      <c r="Z5" s="102">
        <v>17</v>
      </c>
      <c r="AA5" s="102">
        <v>4</v>
      </c>
      <c r="AB5" s="102">
        <v>28</v>
      </c>
      <c r="AC5" s="102" t="str">
        <f t="shared" ca="1" si="0"/>
        <v>ANO</v>
      </c>
      <c r="AG5" s="121" t="s">
        <v>520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136</v>
      </c>
      <c r="AQ5" s="123">
        <v>183</v>
      </c>
      <c r="AR5" s="123">
        <v>67</v>
      </c>
      <c r="AS5" s="126" t="s">
        <v>67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19 OZ, 37 (19+18), +26 ±</v>
      </c>
      <c r="AY5" s="129" t="str">
        <f t="shared" ca="1" si="2"/>
        <v>91 OZ, 132 (81+51)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557</v>
      </c>
      <c r="BO5" s="122">
        <v>24059</v>
      </c>
      <c r="BP5" s="131" t="s">
        <v>347</v>
      </c>
      <c r="BQ5" s="132"/>
      <c r="BR5" s="127">
        <f t="shared" ca="1" si="12"/>
        <v>56</v>
      </c>
      <c r="BS5" s="464"/>
      <c r="BT5" s="104" t="s">
        <v>1339</v>
      </c>
      <c r="BU5" s="103">
        <v>17</v>
      </c>
      <c r="BV5" s="104" t="str">
        <f t="shared" si="13"/>
        <v>Patrik Šebek</v>
      </c>
      <c r="BW5" s="102">
        <f t="shared" si="14"/>
        <v>17</v>
      </c>
      <c r="BX5" s="463"/>
      <c r="BY5" s="103" t="s">
        <v>1331</v>
      </c>
      <c r="BZ5" s="103" t="s">
        <v>818</v>
      </c>
      <c r="CA5" s="115" t="s">
        <v>1337</v>
      </c>
    </row>
    <row r="6" spans="1:79" ht="15" customHeight="1" thickTop="1" thickBot="1" x14ac:dyDescent="0.25">
      <c r="A6" s="425" t="s">
        <v>522</v>
      </c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30" t="str">
        <f ca="1">IFERROR(IF(VLOOKUP(G3,OFFSET($AG$2,,,COUNTIF($AG$2:$AG$50,"?*"),23),13,FALSE)&lt;&gt;0,VLOOKUP(G3,OFFSET($AG$2,,,COUNTIF($AG$2:$AG$50,"?*"),23),13,FALSE),"?"),"")</f>
        <v>FbŠ Bohemians</v>
      </c>
      <c r="H6" s="431"/>
      <c r="I6" s="432"/>
      <c r="J6" s="433">
        <f ca="1">IFERROR(IF(VLOOKUP(G3,OFFSET($AG$2,,,COUNTIF($AG$2:$AG$50,"?*"),23),14,FALSE)&lt;&gt;0,VLOOKUP(G3,OFFSET($AG$2,,,COUNTIF($AG$2:$AG$50,"?*"),23),14,FALSE),"?"),"")</f>
        <v>2010</v>
      </c>
      <c r="K6" s="434"/>
      <c r="L6" s="7">
        <f ca="1">IFERROR(IF(VLOOKUP(G3,OFFSET($AG$2,,,COUNTIF($AG$2:$AG$50,"?*"),23),7,FALSE)&lt;&gt;0,VLOOKUP(G3,OFFSET($AG$2,,,COUNTIF($AG$2:$AG$50,"?*"),23),7,FALSE),"?"),"")</f>
        <v>3</v>
      </c>
      <c r="M6" s="425" t="s">
        <v>523</v>
      </c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522</v>
      </c>
      <c r="U6" s="102">
        <v>10</v>
      </c>
      <c r="V6" s="102">
        <v>5</v>
      </c>
      <c r="W6" s="102">
        <v>2</v>
      </c>
      <c r="X6" s="102">
        <v>0</v>
      </c>
      <c r="Y6" s="102">
        <v>10</v>
      </c>
      <c r="Z6" s="102">
        <v>15</v>
      </c>
      <c r="AA6" s="102">
        <v>8</v>
      </c>
      <c r="AB6" s="102">
        <v>22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136</v>
      </c>
      <c r="AQ6" s="123">
        <v>184</v>
      </c>
      <c r="AR6" s="123">
        <v>81</v>
      </c>
      <c r="AS6" s="126" t="s">
        <v>138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8 OZ, 3 (2+1), -5 ±</v>
      </c>
      <c r="AY6" s="129" t="str">
        <f t="shared" ca="1" si="2"/>
        <v>114 OZ, 66 (37+29)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558</v>
      </c>
      <c r="BO6" s="122">
        <v>33657</v>
      </c>
      <c r="BP6" s="131" t="s">
        <v>397</v>
      </c>
      <c r="BQ6" s="132"/>
      <c r="BR6" s="127">
        <f t="shared" ca="1" si="12"/>
        <v>29</v>
      </c>
      <c r="BS6" s="464"/>
      <c r="BT6" s="104" t="s">
        <v>1340</v>
      </c>
      <c r="BU6" s="103">
        <v>15</v>
      </c>
      <c r="BV6" s="104" t="str">
        <f t="shared" si="13"/>
        <v>Jan Malič</v>
      </c>
      <c r="BW6" s="102">
        <f t="shared" si="14"/>
        <v>15</v>
      </c>
      <c r="BX6" s="463"/>
      <c r="BY6" s="103" t="s">
        <v>1231</v>
      </c>
      <c r="BZ6" s="103" t="s">
        <v>787</v>
      </c>
      <c r="CA6" s="115" t="s">
        <v>1106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8">
        <f ca="1">IFERROR(IF(VLOOKUP(A6,OFFSET($AG$2,,,COUNTIF($AG$2:$AG$50,"?*"),23),2,FALSE)&lt;&gt;0,YEAR(VLOOKUP(A6,OFFSET($AG$2,,,COUNTIF($AG$2:$AG$50,"?*"),23),2,FALSE)),""),"")</f>
        <v>2003</v>
      </c>
      <c r="C7" s="429"/>
      <c r="D7" s="117">
        <f ca="1">IFERROR(VLOOKUP(A6,OFFSET($AG$2,,,COUNTIF($AG$2:$AG$50,"?*"),23),15,FALSE),"")</f>
        <v>18</v>
      </c>
      <c r="E7" s="419" t="str">
        <f ca="1">IFERROR(VLOOKUP(A6,OFFSET($AG$2,,,COUNTIF($AG$2:$AG$50,"?*"),23),16,FALSE),"")</f>
        <v>175/65</v>
      </c>
      <c r="F7" s="420"/>
      <c r="M7" s="4" t="str">
        <f ca="1">IFERROR(IF(VLOOKUP(M6,OFFSET($AG$2,,,COUNTIF($AG$2:$AG$50,"?*"),23),10,FALSE)&lt;&gt;0,VLOOKUP(M6,OFFSET($AG$2,,,COUNTIF($AG$2:$AG$50,"?*"),23),10,FALSE),""),"")</f>
        <v>P</v>
      </c>
      <c r="N7" s="428">
        <f ca="1">IFERROR(IF(VLOOKUP(M6,OFFSET($AG$2,,,COUNTIF($AG$2:$AG$50,"?*"),23),2,FALSE)&lt;&gt;0,YEAR(VLOOKUP(M6,OFFSET($AG$2,,,COUNTIF($AG$2:$AG$50,"?*"),23),2,FALSE)),""),"")</f>
        <v>2000</v>
      </c>
      <c r="O7" s="429"/>
      <c r="P7" s="117">
        <f ca="1">IFERROR(VLOOKUP(M6,OFFSET($AG$2,,,COUNTIF($AG$2:$AG$50,"?*"),23),15,FALSE),"")</f>
        <v>21</v>
      </c>
      <c r="Q7" s="419" t="str">
        <f ca="1">IFERROR(VLOOKUP(M6,OFFSET($AG$2,,,COUNTIF($AG$2:$AG$50,"?*"),23),16,FALSE),"")</f>
        <v>190/76</v>
      </c>
      <c r="R7" s="420"/>
      <c r="S7" s="110" t="s">
        <v>525</v>
      </c>
      <c r="U7" s="102">
        <v>13</v>
      </c>
      <c r="V7" s="102">
        <v>6</v>
      </c>
      <c r="W7" s="102">
        <v>0</v>
      </c>
      <c r="X7" s="102">
        <v>1</v>
      </c>
      <c r="Y7" s="102">
        <v>3</v>
      </c>
      <c r="Z7" s="102">
        <v>9</v>
      </c>
      <c r="AA7" s="102">
        <v>2</v>
      </c>
      <c r="AB7" s="102">
        <v>-4</v>
      </c>
      <c r="AC7" s="102" t="str">
        <f t="shared" ca="1" si="0"/>
        <v>ANO</v>
      </c>
      <c r="AG7" s="121" t="s">
        <v>532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26</v>
      </c>
      <c r="AQ7" s="123">
        <v>184</v>
      </c>
      <c r="AR7" s="123">
        <v>84</v>
      </c>
      <c r="AS7" s="126" t="s">
        <v>545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16 OZ, 3 (3+0), -9 ±</v>
      </c>
      <c r="AY7" s="129" t="str">
        <f t="shared" ca="1" si="2"/>
        <v>259 OZ, 138 (72+66)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560</v>
      </c>
      <c r="BU7" s="103" t="s">
        <v>352</v>
      </c>
      <c r="BV7" s="104" t="str">
        <f t="shared" si="13"/>
        <v>Radovan Michajlovič</v>
      </c>
      <c r="BW7" s="112">
        <f t="shared" si="14"/>
        <v>4</v>
      </c>
      <c r="BX7" s="463" t="s">
        <v>192</v>
      </c>
      <c r="BY7" s="103" t="s">
        <v>1232</v>
      </c>
      <c r="BZ7" s="103" t="s">
        <v>817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>10 OZ, 15 (5+10), +22 ±</v>
      </c>
      <c r="B8" s="422"/>
      <c r="C8" s="422"/>
      <c r="D8" s="423" t="str">
        <f ca="1">IFERROR(VLOOKUP(A6,OFFSET($AG$2,,,COUNTIF($AG$2:$AG$50,"?*"),23),19,FALSE),"")</f>
        <v>36 OZ, 46 (18+28)</v>
      </c>
      <c r="E8" s="423"/>
      <c r="F8" s="424"/>
      <c r="H8" s="435" t="s">
        <v>91</v>
      </c>
      <c r="I8" s="435"/>
      <c r="J8" s="435"/>
      <c r="K8" s="435"/>
      <c r="M8" s="421" t="str">
        <f ca="1">IFERROR(VLOOKUP(M6,OFFSET($AG$2,,,COUNTIF($AG$2:$AG$50,"?*"),23),18,FALSE),"")</f>
        <v>16 OZ, 17 (11+6), +28 ±</v>
      </c>
      <c r="N8" s="422"/>
      <c r="O8" s="422"/>
      <c r="P8" s="423" t="str">
        <f ca="1">IFERROR(VLOOKUP(M6,OFFSET($AG$2,,,COUNTIF($AG$2:$AG$50,"?*"),23),19,FALSE),"")</f>
        <v>111 OZ, 111 (58+53)</v>
      </c>
      <c r="Q8" s="423"/>
      <c r="R8" s="424"/>
      <c r="S8" s="110" t="s">
        <v>524</v>
      </c>
      <c r="T8" s="102" t="s">
        <v>106</v>
      </c>
      <c r="U8" s="102">
        <v>16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0</v>
      </c>
      <c r="AB8" s="102">
        <v>-13</v>
      </c>
      <c r="AC8" s="102" t="str">
        <f t="shared" ca="1" si="0"/>
        <v>ANO</v>
      </c>
      <c r="AG8" s="121" t="s">
        <v>536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136</v>
      </c>
      <c r="AQ8" s="123">
        <v>186</v>
      </c>
      <c r="AR8" s="123">
        <v>73</v>
      </c>
      <c r="AS8" s="126" t="s">
        <v>67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13 OZ, 5 (0+5), 0 ±</v>
      </c>
      <c r="AY8" s="129" t="str">
        <f t="shared" ca="1" si="2"/>
        <v>118 OZ, 36 (16+20)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1057</v>
      </c>
      <c r="BU8" s="103" t="s">
        <v>1006</v>
      </c>
      <c r="BV8" s="104" t="str">
        <f t="shared" si="13"/>
        <v>Jakub Zavřel</v>
      </c>
      <c r="BW8" s="112">
        <f t="shared" si="14"/>
        <v>3.5</v>
      </c>
      <c r="BX8" s="463"/>
      <c r="BY8" s="103" t="s">
        <v>1236</v>
      </c>
      <c r="BZ8" s="103" t="s">
        <v>816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>Black Angels</v>
      </c>
      <c r="B9" s="431"/>
      <c r="C9" s="432"/>
      <c r="D9" s="433">
        <f ca="1">IFERROR(IF(VLOOKUP(A6,OFFSET($AG$2,,,COUNTIF($AG$2:$AG$50,"?*"),23),14,FALSE)&lt;&gt;0,VLOOKUP(A6,OFFSET($AG$2,,,COUNTIF($AG$2:$AG$50,"?*"),23),14,FALSE),"?"),"")</f>
        <v>2009</v>
      </c>
      <c r="E9" s="434"/>
      <c r="F9" s="7">
        <f ca="1">IFERROR(IF(VLOOKUP(A6,OFFSET($AG$2,,,COUNTIF($AG$2:$AG$50,"?*"),23),7,FALSE)&lt;&gt;0,VLOOKUP(A6,OFFSET($AG$2,,,COUNTIF($AG$2:$AG$50,"?*"),23),7,FALSE),"?"),"")</f>
        <v>2</v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>FbŠ Bohemians</v>
      </c>
      <c r="N9" s="431"/>
      <c r="O9" s="432"/>
      <c r="P9" s="433">
        <f ca="1">IFERROR(IF(VLOOKUP(M6,OFFSET($AG$2,,,COUNTIF($AG$2:$AG$50,"?*"),23),14,FALSE)&lt;&gt;0,VLOOKUP(M6,OFFSET($AG$2,,,COUNTIF($AG$2:$AG$50,"?*"),23),14,FALSE),"?"),"")</f>
        <v>2011</v>
      </c>
      <c r="Q9" s="434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536</v>
      </c>
      <c r="T9" s="102" t="s">
        <v>106</v>
      </c>
      <c r="U9" s="102">
        <v>13</v>
      </c>
      <c r="V9" s="102">
        <v>0</v>
      </c>
      <c r="W9" s="102">
        <v>0</v>
      </c>
      <c r="X9" s="102">
        <v>0</v>
      </c>
      <c r="Y9" s="102">
        <v>5</v>
      </c>
      <c r="Z9" s="102">
        <v>5</v>
      </c>
      <c r="AA9" s="102">
        <v>2</v>
      </c>
      <c r="AB9" s="102">
        <v>0</v>
      </c>
      <c r="AC9" s="102" t="str">
        <f t="shared" ca="1" si="0"/>
        <v>ANO</v>
      </c>
      <c r="AG9" s="121" t="s">
        <v>531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26</v>
      </c>
      <c r="AQ9" s="123">
        <v>188</v>
      </c>
      <c r="AR9" s="123">
        <v>86</v>
      </c>
      <c r="AS9" s="126" t="s">
        <v>546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13 OZ, 0 (0+0), -13 ±</v>
      </c>
      <c r="AY9" s="129" t="str">
        <f t="shared" ca="1" si="2"/>
        <v>202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1058</v>
      </c>
      <c r="BU9" s="103" t="s">
        <v>1341</v>
      </c>
      <c r="BV9" s="104" t="str">
        <f t="shared" si="13"/>
        <v>Tomáš Hyršl</v>
      </c>
      <c r="BW9" s="112">
        <f t="shared" si="14"/>
        <v>5.71</v>
      </c>
      <c r="BX9" s="463"/>
      <c r="BY9" s="103" t="s">
        <v>1333</v>
      </c>
      <c r="BZ9" s="103" t="s">
        <v>808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534</v>
      </c>
      <c r="U10" s="102">
        <v>16</v>
      </c>
      <c r="V10" s="102">
        <v>3</v>
      </c>
      <c r="W10" s="102">
        <v>0</v>
      </c>
      <c r="X10" s="102">
        <v>0</v>
      </c>
      <c r="Y10" s="102">
        <v>0</v>
      </c>
      <c r="Z10" s="102">
        <v>3</v>
      </c>
      <c r="AA10" s="102">
        <v>4</v>
      </c>
      <c r="AB10" s="102">
        <v>-8</v>
      </c>
      <c r="AC10" s="102" t="str">
        <f t="shared" ca="1" si="0"/>
        <v>ANO</v>
      </c>
      <c r="AG10" s="121" t="s">
        <v>537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26</v>
      </c>
      <c r="AQ10" s="123"/>
      <c r="AR10" s="123"/>
      <c r="AS10" s="126" t="s">
        <v>138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V10" s="104" t="str">
        <f t="shared" si="13"/>
        <v/>
      </c>
      <c r="BW10" s="112" t="str">
        <f t="shared" si="14"/>
        <v/>
      </c>
      <c r="BX10" s="463"/>
      <c r="BY10" s="103" t="s">
        <v>1306</v>
      </c>
      <c r="BZ10" s="103" t="s">
        <v>815</v>
      </c>
      <c r="CA10" s="115" t="s">
        <v>187</v>
      </c>
    </row>
    <row r="11" spans="1:79" ht="15" customHeight="1" thickTop="1" thickBot="1" x14ac:dyDescent="0.25">
      <c r="R11" s="13"/>
      <c r="S11" s="110" t="s">
        <v>532</v>
      </c>
      <c r="T11" s="102" t="s">
        <v>57</v>
      </c>
      <c r="U11" s="102">
        <v>16</v>
      </c>
      <c r="V11" s="102">
        <v>3</v>
      </c>
      <c r="W11" s="102">
        <v>1</v>
      </c>
      <c r="X11" s="102">
        <v>0</v>
      </c>
      <c r="Y11" s="102">
        <v>0</v>
      </c>
      <c r="Z11" s="102">
        <v>3</v>
      </c>
      <c r="AA11" s="102">
        <v>0</v>
      </c>
      <c r="AB11" s="102">
        <v>-9</v>
      </c>
      <c r="AC11" s="102" t="str">
        <f t="shared" ca="1" si="0"/>
        <v>ANO</v>
      </c>
      <c r="AG11" s="121" t="s">
        <v>521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26</v>
      </c>
      <c r="AQ11" s="123">
        <v>175</v>
      </c>
      <c r="AR11" s="123">
        <v>72</v>
      </c>
      <c r="AS11" s="126" t="s">
        <v>67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16 OZ, 51 (20+31), +32 ±</v>
      </c>
      <c r="AY11" s="129" t="str">
        <f t="shared" ca="1" si="2"/>
        <v>68 OZ, 157 (64+93)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BZ11" s="103" t="s">
        <v>814</v>
      </c>
      <c r="CA11" s="115" t="s">
        <v>187</v>
      </c>
    </row>
    <row r="12" spans="1:79" ht="15" customHeight="1" thickTop="1" thickBot="1" x14ac:dyDescent="0.25">
      <c r="A12" s="425" t="s">
        <v>524</v>
      </c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7" t="s">
        <v>7</v>
      </c>
      <c r="I12" s="427"/>
      <c r="J12" s="427"/>
      <c r="K12" s="427"/>
      <c r="M12" s="425" t="s">
        <v>3</v>
      </c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3</v>
      </c>
      <c r="T12" s="102" t="s">
        <v>57</v>
      </c>
      <c r="U12" s="102">
        <v>8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-5</v>
      </c>
      <c r="AC12" s="102" t="str">
        <f t="shared" ca="1" si="0"/>
        <v>ANO</v>
      </c>
      <c r="AG12" s="121" t="s">
        <v>538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26</v>
      </c>
      <c r="AQ12" s="123">
        <v>175</v>
      </c>
      <c r="AR12" s="123">
        <v>72</v>
      </c>
      <c r="AS12" s="126" t="s">
        <v>67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561</v>
      </c>
      <c r="BU12" s="103">
        <v>20</v>
      </c>
      <c r="BV12" s="104" t="str">
        <f t="shared" si="13"/>
        <v>Filip Forman</v>
      </c>
      <c r="BW12" s="102">
        <f t="shared" si="14"/>
        <v>20</v>
      </c>
      <c r="BX12" s="120" t="s">
        <v>190</v>
      </c>
      <c r="BY12" s="100" t="s">
        <v>1338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8">
        <f ca="1">IFERROR(IF(VLOOKUP(A12,OFFSET($AG$2,,,COUNTIF($AG$2:$AG$50,"?*"),23),2,FALSE)&lt;&gt;0,YEAR(VLOOKUP(A12,OFFSET($AG$2,,,COUNTIF($AG$2:$AG$50,"?*"),23),2,FALSE)),""),"")</f>
        <v>1991</v>
      </c>
      <c r="C13" s="429"/>
      <c r="D13" s="117">
        <f ca="1">IFERROR(VLOOKUP(A12,OFFSET($AG$2,,,COUNTIF($AG$2:$AG$50,"?*"),23),15,FALSE),"")</f>
        <v>30</v>
      </c>
      <c r="E13" s="419" t="str">
        <f ca="1">IFERROR(VLOOKUP(A12,OFFSET($AG$2,,,COUNTIF($AG$2:$AG$50,"?*"),23),16,FALSE),"")</f>
        <v>175/85</v>
      </c>
      <c r="F13" s="420"/>
      <c r="M13" s="4" t="str">
        <f ca="1">IFERROR(IF(VLOOKUP(M12,OFFSET($AG$2,,,COUNTIF($AG$2:$AG$50,"?*"),23),10,FALSE)&lt;&gt;0,VLOOKUP(M12,OFFSET($AG$2,,,COUNTIF($AG$2:$AG$50,"?*"),23),10,FALSE),""),"")</f>
        <v>L</v>
      </c>
      <c r="N13" s="428">
        <f ca="1">IFERROR(IF(VLOOKUP(M12,OFFSET($AG$2,,,COUNTIF($AG$2:$AG$50,"?*"),23),2,FALSE)&lt;&gt;0,YEAR(VLOOKUP(M12,OFFSET($AG$2,,,COUNTIF($AG$2:$AG$50,"?*"),23),2,FALSE)),""),"")</f>
        <v>1999</v>
      </c>
      <c r="O13" s="429"/>
      <c r="P13" s="117">
        <f ca="1">IFERROR(VLOOKUP(M12,OFFSET($AG$2,,,COUNTIF($AG$2:$AG$50,"?*"),23),15,FALSE),"")</f>
        <v>22</v>
      </c>
      <c r="Q13" s="419" t="str">
        <f ca="1">IFERROR(VLOOKUP(M12,OFFSET($AG$2,,,COUNTIF($AG$2:$AG$50,"?*"),23),16,FALSE),"")</f>
        <v>184/81</v>
      </c>
      <c r="R13" s="420"/>
      <c r="S13" s="110" t="s">
        <v>529</v>
      </c>
      <c r="U13" s="102">
        <v>14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-9</v>
      </c>
      <c r="AC13" s="102" t="str">
        <f t="shared" ca="1" si="0"/>
        <v>ANO</v>
      </c>
      <c r="AG13" s="121" t="s">
        <v>525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136</v>
      </c>
      <c r="AQ13" s="123">
        <v>183</v>
      </c>
      <c r="AR13" s="123">
        <v>80</v>
      </c>
      <c r="AS13" s="126" t="s">
        <v>1007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13 OZ, 9 (6+3), -4 ±</v>
      </c>
      <c r="AY13" s="129" t="str">
        <f t="shared" ca="1" si="2"/>
        <v>13 OZ, 9 (6+3)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1342</v>
      </c>
      <c r="BU13" s="103">
        <v>20</v>
      </c>
      <c r="BV13" s="104" t="str">
        <f t="shared" si="13"/>
        <v>Karel Petrák</v>
      </c>
      <c r="BW13" s="102">
        <f t="shared" si="14"/>
        <v>20</v>
      </c>
    </row>
    <row r="14" spans="1:79" ht="15" customHeight="1" thickTop="1" thickBot="1" x14ac:dyDescent="0.25">
      <c r="A14" s="421" t="str">
        <f ca="1">IFERROR(VLOOKUP(A12,OFFSET($AG$2,,,COUNTIF($AG$2:$AG$50,"?*"),23),18,FALSE),"")</f>
        <v>16 OZ, 5 (3+2), -13 ±</v>
      </c>
      <c r="B14" s="422"/>
      <c r="C14" s="422"/>
      <c r="D14" s="423" t="str">
        <f ca="1">IFERROR(VLOOKUP(A12,OFFSET($AG$2,,,COUNTIF($AG$2:$AG$50,"?*"),23),19,FALSE),"")</f>
        <v>226 OZ, 105 (47+58)</v>
      </c>
      <c r="E14" s="423"/>
      <c r="F14" s="424"/>
      <c r="G14" s="425" t="s">
        <v>525</v>
      </c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21" t="str">
        <f ca="1">IFERROR(VLOOKUP(M12,OFFSET($AG$2,,,COUNTIF($AG$2:$AG$50,"?*"),23),18,FALSE),"")</f>
        <v>8 OZ, 3 (2+1), -5 ±</v>
      </c>
      <c r="N14" s="422"/>
      <c r="O14" s="422"/>
      <c r="P14" s="423" t="str">
        <f ca="1">IFERROR(VLOOKUP(M12,OFFSET($AG$2,,,COUNTIF($AG$2:$AG$50,"?*"),23),19,FALSE),"")</f>
        <v>114 OZ, 66 (37+29)</v>
      </c>
      <c r="Q14" s="423"/>
      <c r="R14" s="424"/>
      <c r="S14" s="110" t="s">
        <v>431</v>
      </c>
      <c r="T14" s="102" t="s">
        <v>106</v>
      </c>
      <c r="U14" s="102">
        <v>15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2</v>
      </c>
      <c r="AB14" s="102">
        <v>-15</v>
      </c>
      <c r="AC14" s="102" t="str">
        <f t="shared" ca="1" si="0"/>
        <v>ANO</v>
      </c>
      <c r="AG14" s="121" t="s">
        <v>526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67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3 V, 2 P</v>
      </c>
      <c r="AY14" s="129" t="str">
        <f t="shared" ca="1" si="2"/>
        <v>31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804</v>
      </c>
      <c r="BU14" s="103">
        <v>19</v>
      </c>
      <c r="BV14" s="104" t="str">
        <f t="shared" si="13"/>
        <v>Jakub Buršík</v>
      </c>
      <c r="BW14" s="102">
        <f t="shared" si="14"/>
        <v>19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>Děkanka</v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>?</v>
      </c>
      <c r="E15" s="434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8">
        <f ca="1">IFERROR(IF(VLOOKUP(G14,OFFSET($AG$2,,,COUNTIF($AG$2:$AG$50,"?*"),23),2,FALSE)&lt;&gt;0,YEAR(VLOOKUP(G14,OFFSET($AG$2,,,COUNTIF($AG$2:$AG$50,"?*"),23),2,FALSE)),""),"")</f>
        <v>2002</v>
      </c>
      <c r="I15" s="429"/>
      <c r="J15" s="117">
        <f ca="1">IFERROR(VLOOKUP(G14,OFFSET($AG$2,,,COUNTIF($AG$2:$AG$50,"?*"),23),15,FALSE),"")</f>
        <v>19</v>
      </c>
      <c r="K15" s="419" t="str">
        <f ca="1">IFERROR(VLOOKUP(G14,OFFSET($AG$2,,,COUNTIF($AG$2:$AG$50,"?*"),23),16,FALSE),"")</f>
        <v>183/80</v>
      </c>
      <c r="L15" s="420"/>
      <c r="M15" s="430" t="str">
        <f ca="1">IFERROR(IF(VLOOKUP(M12,OFFSET($AG$2,,,COUNTIF($AG$2:$AG$50,"?*"),23),13,FALSE)&lt;&gt;0,VLOOKUP(M12,OFFSET($AG$2,,,COUNTIF($AG$2:$AG$50,"?*"),23),13,FALSE),"?"),"")</f>
        <v>Black Angels</v>
      </c>
      <c r="N15" s="431"/>
      <c r="O15" s="432"/>
      <c r="P15" s="433">
        <f ca="1">IFERROR(IF(VLOOKUP(M12,OFFSET($AG$2,,,COUNTIF($AG$2:$AG$50,"?*"),23),14,FALSE)&lt;&gt;0,VLOOKUP(M12,OFFSET($AG$2,,,COUNTIF($AG$2:$AG$50,"?*"),23),14,FALSE),"?"),"")</f>
        <v>2008</v>
      </c>
      <c r="Q15" s="434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541</v>
      </c>
      <c r="T15" s="102" t="s">
        <v>57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2</v>
      </c>
      <c r="AB15" s="102">
        <v>-3</v>
      </c>
      <c r="AC15" s="102" t="str">
        <f t="shared" ca="1" si="0"/>
        <v>ANO</v>
      </c>
      <c r="AG15" s="121" t="s">
        <v>103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136</v>
      </c>
      <c r="AQ15" s="123">
        <v>191</v>
      </c>
      <c r="AR15" s="123">
        <v>78</v>
      </c>
      <c r="AS15" s="126" t="s">
        <v>248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1339</v>
      </c>
      <c r="BU15" s="103">
        <v>11</v>
      </c>
      <c r="BV15" s="104" t="str">
        <f t="shared" si="13"/>
        <v>Patrik Šebek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>13 OZ, 9 (6+3), -4 ±</v>
      </c>
      <c r="H16" s="422"/>
      <c r="I16" s="422"/>
      <c r="J16" s="423" t="str">
        <f ca="1">IFERROR(VLOOKUP(G14,OFFSET($AG$2,,,COUNTIF($AG$2:$AG$50,"?*"),23),19,FALSE),"")</f>
        <v>13 OZ, 9 (6+3)</v>
      </c>
      <c r="K16" s="423"/>
      <c r="L16" s="424"/>
      <c r="S16" s="110" t="s">
        <v>539</v>
      </c>
      <c r="U16" s="102">
        <v>4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5</v>
      </c>
      <c r="AC16" s="102" t="str">
        <f t="shared" ca="1" si="0"/>
        <v>ANO</v>
      </c>
      <c r="AG16" s="121" t="s">
        <v>529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26</v>
      </c>
      <c r="AQ16" s="123">
        <v>184</v>
      </c>
      <c r="AR16" s="123">
        <v>76</v>
      </c>
      <c r="AS16" s="126" t="s">
        <v>67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14 OZ, 3 (1+2), -9 ±</v>
      </c>
      <c r="AY16" s="129" t="str">
        <f t="shared" ca="1" si="2"/>
        <v>34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1343</v>
      </c>
      <c r="BU16" s="103">
        <v>6</v>
      </c>
      <c r="BV16" s="104" t="str">
        <f t="shared" si="13"/>
        <v>Matúš Gajdoš</v>
      </c>
      <c r="BW16" s="102">
        <f t="shared" si="14"/>
        <v>6</v>
      </c>
    </row>
    <row r="17" spans="1:75" ht="15" customHeight="1" thickTop="1" thickBot="1" x14ac:dyDescent="0.25">
      <c r="A17" s="425" t="s">
        <v>531</v>
      </c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30" t="str">
        <f ca="1">IFERROR(IF(VLOOKUP(G14,OFFSET($AG$2,,,COUNTIF($AG$2:$AG$50,"?*"),23),13,FALSE)&lt;&gt;0,VLOOKUP(G14,OFFSET($AG$2,,,COUNTIF($AG$2:$AG$50,"?*"),23),13,FALSE),"?"),"")</f>
        <v>Snipers Bratislava</v>
      </c>
      <c r="H17" s="431"/>
      <c r="I17" s="432"/>
      <c r="J17" s="433" t="str">
        <f ca="1">IFERROR(IF(VLOOKUP(G14,OFFSET($AG$2,,,COUNTIF($AG$2:$AG$50,"?*"),23),14,FALSE)&lt;&gt;0,VLOOKUP(G14,OFFSET($AG$2,,,COUNTIF($AG$2:$AG$50,"?*"),23),14,FALSE),"?"),"")</f>
        <v>?</v>
      </c>
      <c r="K17" s="434"/>
      <c r="L17" s="7">
        <f ca="1">IFERROR(IF(VLOOKUP(G14,OFFSET($AG$2,,,COUNTIF($AG$2:$AG$50,"?*"),23),7,FALSE)&lt;&gt;0,VLOOKUP(G14,OFFSET($AG$2,,,COUNTIF($AG$2:$AG$50,"?*"),23),7,FALSE),"?"),"")</f>
        <v>1</v>
      </c>
      <c r="M17" s="425" t="s">
        <v>534</v>
      </c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1053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-1</v>
      </c>
      <c r="AC17" s="102" t="str">
        <f t="shared" ca="1" si="0"/>
        <v>NE</v>
      </c>
      <c r="AG17" s="121" t="s">
        <v>539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136</v>
      </c>
      <c r="AQ17" s="123">
        <v>183</v>
      </c>
      <c r="AR17" s="123">
        <v>73</v>
      </c>
      <c r="AS17" s="126" t="s">
        <v>67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4 OZ, 2 (1+1), +5 ±</v>
      </c>
      <c r="AY17" s="129" t="str">
        <f t="shared" ca="1" si="2"/>
        <v>145 OZ, 55 (25+30)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560</v>
      </c>
      <c r="BU17" s="103">
        <v>6</v>
      </c>
      <c r="BV17" s="104" t="str">
        <f t="shared" si="13"/>
        <v>Radovan Michajlovič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8">
        <f ca="1">IFERROR(IF(VLOOKUP(A17,OFFSET($AG$2,,,COUNTIF($AG$2:$AG$50,"?*"),23),2,FALSE)&lt;&gt;0,YEAR(VLOOKUP(A17,OFFSET($AG$2,,,COUNTIF($AG$2:$AG$50,"?*"),23),2,FALSE)),""),"")</f>
        <v>1993</v>
      </c>
      <c r="C18" s="429"/>
      <c r="D18" s="149">
        <f ca="1">IFERROR(VLOOKUP(A17,OFFSET($AG$2,,,COUNTIF($AG$2:$AG$50,"?*"),23),15,FALSE),"")</f>
        <v>27</v>
      </c>
      <c r="E18" s="419" t="str">
        <f ca="1">IFERROR(VLOOKUP(A17,OFFSET($AG$2,,,COUNTIF($AG$2:$AG$50,"?*"),23),16,FALSE),"")</f>
        <v>188/86</v>
      </c>
      <c r="F18" s="420"/>
      <c r="M18" s="4" t="str">
        <f ca="1">IFERROR(IF(VLOOKUP(M17,OFFSET($AG$2,,,COUNTIF($AG$2:$AG$50,"?*"),23),10,FALSE)&lt;&gt;0,VLOOKUP(M17,OFFSET($AG$2,,,COUNTIF($AG$2:$AG$50,"?*"),23),10,FALSE),""),"")</f>
        <v>L</v>
      </c>
      <c r="N18" s="428">
        <f ca="1">IFERROR(IF(VLOOKUP(M17,OFFSET($AG$2,,,COUNTIF($AG$2:$AG$50,"?*"),23),2,FALSE)&lt;&gt;0,YEAR(VLOOKUP(M17,OFFSET($AG$2,,,COUNTIF($AG$2:$AG$50,"?*"),23),2,FALSE)),""),"")</f>
        <v>2004</v>
      </c>
      <c r="O18" s="429"/>
      <c r="P18" s="117">
        <f ca="1">IFERROR(VLOOKUP(M17,OFFSET($AG$2,,,COUNTIF($AG$2:$AG$50,"?*"),23),15,FALSE),"")</f>
        <v>17</v>
      </c>
      <c r="Q18" s="419" t="str">
        <f ca="1">IFERROR(VLOOKUP(M17,OFFSET($AG$2,,,COUNTIF($AG$2:$AG$50,"?*"),23),16,FALSE),"")</f>
        <v>186/77</v>
      </c>
      <c r="R18" s="420"/>
      <c r="S18" s="110" t="s">
        <v>982</v>
      </c>
      <c r="U18" s="102">
        <v>8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535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26</v>
      </c>
      <c r="AQ18" s="123">
        <v>184</v>
      </c>
      <c r="AR18" s="123">
        <v>90</v>
      </c>
      <c r="AS18" s="126" t="s">
        <v>67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14 OZ, 0 (0+0), -8 ±</v>
      </c>
      <c r="AY18" s="129" t="str">
        <f t="shared" ca="1" si="2"/>
        <v>192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1344</v>
      </c>
      <c r="BU18" s="103">
        <v>3</v>
      </c>
      <c r="BV18" s="104" t="str">
        <f t="shared" si="13"/>
        <v>Tomáš Hyršl</v>
      </c>
      <c r="BW18" s="102">
        <f t="shared" si="14"/>
        <v>3</v>
      </c>
    </row>
    <row r="19" spans="1:75" ht="15" customHeight="1" x14ac:dyDescent="0.2">
      <c r="A19" s="421" t="str">
        <f ca="1">IFERROR(VLOOKUP(A17,OFFSET($AG$2,,,COUNTIF($AG$2:$AG$50,"?*"),23),18,FALSE),"")</f>
        <v>13 OZ, 0 (0+0), -13 ±</v>
      </c>
      <c r="B19" s="422"/>
      <c r="C19" s="422"/>
      <c r="D19" s="423" t="str">
        <f ca="1">IFERROR(VLOOKUP(A17,OFFSET($AG$2,,,COUNTIF($AG$2:$AG$50,"?*"),23),19,FALSE),"")</f>
        <v>202 OZ, 130 (49+81)</v>
      </c>
      <c r="E19" s="423"/>
      <c r="F19" s="424"/>
      <c r="H19" s="435" t="str">
        <f>H$8</f>
        <v>BOH</v>
      </c>
      <c r="I19" s="435"/>
      <c r="J19" s="435"/>
      <c r="K19" s="435"/>
      <c r="M19" s="421" t="str">
        <f ca="1">IFERROR(VLOOKUP(M17,OFFSET($AG$2,,,COUNTIF($AG$2:$AG$50,"?*"),23),18,FALSE),"")</f>
        <v>16 OZ, 3 (3+0), -8 ±</v>
      </c>
      <c r="N19" s="422"/>
      <c r="O19" s="422"/>
      <c r="P19" s="423" t="str">
        <f ca="1">IFERROR(VLOOKUP(M17,OFFSET($AG$2,,,COUNTIF($AG$2:$AG$50,"?*"),23),19,FALSE),"")</f>
        <v>16 OZ, 3 (3+0)</v>
      </c>
      <c r="Q19" s="423"/>
      <c r="R19" s="424"/>
      <c r="S19" s="110" t="s">
        <v>533</v>
      </c>
      <c r="U19" s="102">
        <v>9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-5</v>
      </c>
      <c r="AC19" s="102" t="str">
        <f t="shared" ca="1" si="0"/>
        <v>ANO</v>
      </c>
      <c r="AG19" s="121" t="s">
        <v>522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136</v>
      </c>
      <c r="AQ19" s="123">
        <v>175</v>
      </c>
      <c r="AR19" s="123">
        <v>65</v>
      </c>
      <c r="AS19" s="126" t="s">
        <v>138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10 OZ, 15 (5+10), +22 ±</v>
      </c>
      <c r="AY19" s="129" t="str">
        <f t="shared" ca="1" si="2"/>
        <v>36 OZ, 46 (18+28)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1345</v>
      </c>
      <c r="BU19" s="103">
        <v>2</v>
      </c>
      <c r="BV19" s="104" t="str">
        <f t="shared" si="13"/>
        <v>Jakub Zavřel</v>
      </c>
      <c r="BW19" s="102">
        <f t="shared" si="14"/>
        <v>2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>FbK Jeseník</v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>?</v>
      </c>
      <c r="E20" s="434"/>
      <c r="F20" s="7">
        <f ca="1">IFERROR(IF(VLOOKUP(A17,OFFSET($AG$2,,,COUNTIF($AG$2:$AG$50,"?*"),23),7,FALSE)&lt;&gt;0,VLOOKUP(A17,OFFSET($AG$2,,,COUNTIF($AG$2:$AG$50,"?*"),23),7,FALSE),"?"),"")</f>
        <v>11</v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>FbŠ Bohemians</v>
      </c>
      <c r="N20" s="431"/>
      <c r="O20" s="432"/>
      <c r="P20" s="433" t="str">
        <f ca="1">IFERROR(IF(VLOOKUP(M17,OFFSET($AG$2,,,COUNTIF($AG$2:$AG$50,"?*"),23),14,FALSE)&lt;&gt;0,VLOOKUP(M17,OFFSET($AG$2,,,COUNTIF($AG$2:$AG$50,"?*"),23),14,FALSE),"?"),"")</f>
        <v>?</v>
      </c>
      <c r="Q20" s="434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743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528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547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6 V, 4 P</v>
      </c>
      <c r="AY20" s="129" t="str">
        <f t="shared" ca="1" si="2"/>
        <v>205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744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540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136</v>
      </c>
      <c r="AQ21" s="123"/>
      <c r="AR21" s="123"/>
      <c r="AS21" s="126" t="s">
        <v>548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527</v>
      </c>
      <c r="T22" s="102" t="s">
        <v>57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639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136</v>
      </c>
      <c r="AQ22" s="123">
        <v>185</v>
      </c>
      <c r="AR22" s="123">
        <v>88</v>
      </c>
      <c r="AS22" s="126" t="s">
        <v>388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13 OZ, 0 (0+0), -1 ±</v>
      </c>
      <c r="AY22" s="129" t="str">
        <f t="shared" ca="1" si="2"/>
        <v>98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4" t="s">
        <v>37</v>
      </c>
      <c r="BT22" s="104" t="s">
        <v>561</v>
      </c>
      <c r="BU22" s="103">
        <v>31</v>
      </c>
      <c r="BV22" s="104" t="str">
        <f t="shared" si="13"/>
        <v>Filip Forman</v>
      </c>
      <c r="BW22" s="102">
        <f t="shared" si="14"/>
        <v>31</v>
      </c>
    </row>
    <row r="23" spans="1:75" ht="15" customHeight="1" thickTop="1" thickBot="1" x14ac:dyDescent="0.25">
      <c r="A23" s="425" t="s">
        <v>530</v>
      </c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7" t="s">
        <v>12</v>
      </c>
      <c r="I23" s="427"/>
      <c r="J23" s="427"/>
      <c r="K23" s="427"/>
      <c r="M23" s="425" t="s">
        <v>533</v>
      </c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544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354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26</v>
      </c>
      <c r="AQ23" s="123">
        <v>168</v>
      </c>
      <c r="AR23" s="123">
        <v>70</v>
      </c>
      <c r="AS23" s="126" t="s">
        <v>286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4"/>
      <c r="BT23" s="104" t="s">
        <v>559</v>
      </c>
      <c r="BU23" s="103">
        <v>17</v>
      </c>
      <c r="BV23" s="104" t="str">
        <f t="shared" si="13"/>
        <v>Jakub Buršík</v>
      </c>
      <c r="BW23" s="102">
        <f t="shared" si="14"/>
        <v>17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>
        <f ca="1">IFERROR(IF(VLOOKUP(A23,OFFSET($AG$2,,,COUNTIF($AG$2:$AG$50,"?*"),23),2,FALSE)&lt;&gt;0,YEAR(VLOOKUP(A23,OFFSET($AG$2,,,COUNTIF($AG$2:$AG$50,"?*"),23),2,FALSE)),""),"")</f>
        <v>2004</v>
      </c>
      <c r="C24" s="429"/>
      <c r="D24" s="117">
        <f ca="1">IFERROR(VLOOKUP(A23,OFFSET($AG$2,,,COUNTIF($AG$2:$AG$50,"?*"),23),15,FALSE),"")</f>
        <v>17</v>
      </c>
      <c r="E24" s="419" t="str">
        <f ca="1">IFERROR(VLOOKUP(A23,OFFSET($AG$2,,,COUNTIF($AG$2:$AG$50,"?*"),23),16,FALSE),"")</f>
        <v>? / ?</v>
      </c>
      <c r="F24" s="420"/>
      <c r="M24" s="4" t="str">
        <f ca="1">IFERROR(IF(VLOOKUP(M23,OFFSET($AG$2,,,COUNTIF($AG$2:$AG$50,"?*"),23),10,FALSE)&lt;&gt;0,VLOOKUP(M23,OFFSET($AG$2,,,COUNTIF($AG$2:$AG$50,"?*"),23),10,FALSE),""),"")</f>
        <v>L</v>
      </c>
      <c r="N24" s="428">
        <f ca="1">IFERROR(IF(VLOOKUP(M23,OFFSET($AG$2,,,COUNTIF($AG$2:$AG$50,"?*"),23),2,FALSE)&lt;&gt;0,YEAR(VLOOKUP(M23,OFFSET($AG$2,,,COUNTIF($AG$2:$AG$50,"?*"),23),2,FALSE)),""),"")</f>
        <v>2003</v>
      </c>
      <c r="O24" s="429"/>
      <c r="P24" s="117">
        <f ca="1">IFERROR(VLOOKUP(M23,OFFSET($AG$2,,,COUNTIF($AG$2:$AG$50,"?*"),23),15,FALSE),"")</f>
        <v>18</v>
      </c>
      <c r="Q24" s="419" t="str">
        <f ca="1">IFERROR(VLOOKUP(M23,OFFSET($AG$2,,,COUNTIF($AG$2:$AG$50,"?*"),23),16,FALSE),"")</f>
        <v>185/74</v>
      </c>
      <c r="R24" s="420"/>
      <c r="S24" s="110" t="s">
        <v>530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-5</v>
      </c>
      <c r="AC24" s="102" t="str">
        <f t="shared" ca="1" si="0"/>
        <v>ANO</v>
      </c>
      <c r="AG24" s="121" t="s">
        <v>519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26</v>
      </c>
      <c r="AQ24" s="123">
        <v>182</v>
      </c>
      <c r="AR24" s="123">
        <v>77</v>
      </c>
      <c r="AS24" s="126" t="s">
        <v>442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27 (20+7), +36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15 OZ, 27 (20+7)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4"/>
      <c r="BT24" s="104" t="s">
        <v>1346</v>
      </c>
      <c r="BU24" s="103">
        <v>10</v>
      </c>
      <c r="BV24" s="104" t="str">
        <f t="shared" si="13"/>
        <v>Jan Malič</v>
      </c>
      <c r="BW24" s="102">
        <f t="shared" si="14"/>
        <v>10</v>
      </c>
    </row>
    <row r="25" spans="1:75" ht="15" customHeight="1" thickTop="1" thickBot="1" x14ac:dyDescent="0.25">
      <c r="A25" s="421" t="str">
        <f ca="1">IFERROR(VLOOKUP(A23,OFFSET($AG$2,,,COUNTIF($AG$2:$AG$50,"?*"),23),18,FALSE),"")</f>
        <v>10 OZ, 0 (0+0), -5 ±</v>
      </c>
      <c r="B25" s="422"/>
      <c r="C25" s="422"/>
      <c r="D25" s="423" t="str">
        <f ca="1">IFERROR(VLOOKUP(A23,OFFSET($AG$2,,,COUNTIF($AG$2:$AG$50,"?*"),23),19,FALSE),"")</f>
        <v>10 OZ, 0 (0+0)</v>
      </c>
      <c r="E25" s="423"/>
      <c r="F25" s="424"/>
      <c r="G25" s="425" t="s">
        <v>431</v>
      </c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21" t="str">
        <f ca="1">IFERROR(VLOOKUP(M23,OFFSET($AG$2,,,COUNTIF($AG$2:$AG$50,"?*"),23),18,FALSE),"")</f>
        <v>9 OZ, 1 (1+0), -5 ±</v>
      </c>
      <c r="N25" s="422"/>
      <c r="O25" s="422"/>
      <c r="P25" s="423" t="str">
        <f ca="1">IFERROR(VLOOKUP(M23,OFFSET($AG$2,,,COUNTIF($AG$2:$AG$50,"?*"),23),19,FALSE),"")</f>
        <v>9 OZ, 1 (1+0)</v>
      </c>
      <c r="Q25" s="423"/>
      <c r="R25" s="424"/>
      <c r="S25" s="110" t="s">
        <v>531</v>
      </c>
      <c r="T25" s="102" t="s">
        <v>57</v>
      </c>
      <c r="U25" s="102">
        <v>13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-13</v>
      </c>
      <c r="AC25" s="102" t="str">
        <f t="shared" ca="1" si="0"/>
        <v>ANO</v>
      </c>
      <c r="AG25" s="121" t="s">
        <v>431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136</v>
      </c>
      <c r="AQ25" s="123">
        <v>185</v>
      </c>
      <c r="AR25" s="123">
        <v>79</v>
      </c>
      <c r="AS25" s="126" t="s">
        <v>63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15 OZ, 3 (0+3), -15 ±</v>
      </c>
      <c r="AY25" s="129" t="str">
        <f t="shared" ca="1" si="16"/>
        <v>33 OZ, 4 (1+3)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4"/>
      <c r="BT25" s="104" t="s">
        <v>805</v>
      </c>
      <c r="BU25" s="103">
        <v>7</v>
      </c>
      <c r="BV25" s="104" t="str">
        <f t="shared" si="13"/>
        <v>Karel Petrák</v>
      </c>
      <c r="BW25" s="102">
        <f t="shared" si="14"/>
        <v>7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>?</v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>?</v>
      </c>
      <c r="E26" s="434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8">
        <f ca="1">IFERROR(IF(VLOOKUP(G25,OFFSET($AG$2,,,COUNTIF($AG$2:$AG$50,"?*"),23),2,FALSE)&lt;&gt;0,YEAR(VLOOKUP(G25,OFFSET($AG$2,,,COUNTIF($AG$2:$AG$50,"?*"),23),2,FALSE)),""),"")</f>
        <v>2002</v>
      </c>
      <c r="I26" s="429"/>
      <c r="J26" s="117">
        <f ca="1">IFERROR(VLOOKUP(G25,OFFSET($AG$2,,,COUNTIF($AG$2:$AG$50,"?*"),23),15,FALSE),"")</f>
        <v>19</v>
      </c>
      <c r="K26" s="419" t="str">
        <f ca="1">IFERROR(VLOOKUP(G25,OFFSET($AG$2,,,COUNTIF($AG$2:$AG$50,"?*"),23),16,FALSE),"")</f>
        <v>185/79</v>
      </c>
      <c r="L26" s="420"/>
      <c r="M26" s="430" t="str">
        <f ca="1">IFERROR(IF(VLOOKUP(M23,OFFSET($AG$2,,,COUNTIF($AG$2:$AG$50,"?*"),23),13,FALSE)&lt;&gt;0,VLOOKUP(M23,OFFSET($AG$2,,,COUNTIF($AG$2:$AG$50,"?*"),23),13,FALSE),"?"),"")</f>
        <v>ŠK Seahorses Bratislava</v>
      </c>
      <c r="N26" s="431"/>
      <c r="O26" s="432"/>
      <c r="P26" s="433" t="str">
        <f ca="1">IFERROR(IF(VLOOKUP(M23,OFFSET($AG$2,,,COUNTIF($AG$2:$AG$50,"?*"),23),14,FALSE)&lt;&gt;0,VLOOKUP(M23,OFFSET($AG$2,,,COUNTIF($AG$2:$AG$50,"?*"),23),14,FALSE),"?"),"")</f>
        <v>?</v>
      </c>
      <c r="Q26" s="434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639</v>
      </c>
      <c r="T26" s="102" t="s">
        <v>57</v>
      </c>
      <c r="U26" s="102">
        <v>13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</v>
      </c>
      <c r="AC26" s="102" t="str">
        <f t="shared" ca="1" si="0"/>
        <v>ANO</v>
      </c>
      <c r="AG26" s="121" t="s">
        <v>524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26</v>
      </c>
      <c r="AQ26" s="123">
        <v>175</v>
      </c>
      <c r="AR26" s="123">
        <v>85</v>
      </c>
      <c r="AS26" s="126" t="s">
        <v>549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16 OZ, 5 (3+2), -13 ±</v>
      </c>
      <c r="AY26" s="129" t="str">
        <f t="shared" ca="1" si="16"/>
        <v>226 OZ, 105 (47+58)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4"/>
      <c r="BT26" s="104" t="s">
        <v>1056</v>
      </c>
      <c r="BU26" s="103">
        <v>6</v>
      </c>
      <c r="BV26" s="104" t="str">
        <f t="shared" si="13"/>
        <v>Patrik Šebek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>15 OZ, 3 (0+3), -15 ±</v>
      </c>
      <c r="H27" s="422"/>
      <c r="I27" s="422"/>
      <c r="J27" s="423" t="str">
        <f ca="1">IFERROR(VLOOKUP(G25,OFFSET($AG$2,,,COUNTIF($AG$2:$AG$50,"?*"),23),19,FALSE),"")</f>
        <v>33 OZ, 4 (1+3)</v>
      </c>
      <c r="K27" s="423"/>
      <c r="L27" s="424"/>
      <c r="S27" s="110" t="s">
        <v>528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533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136</v>
      </c>
      <c r="AQ27" s="123">
        <v>185</v>
      </c>
      <c r="AR27" s="123">
        <v>74</v>
      </c>
      <c r="AS27" s="126" t="s">
        <v>1008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9 OZ, 1 (1+0), -5 ±</v>
      </c>
      <c r="AY27" s="129" t="str">
        <f t="shared" ca="1" si="16"/>
        <v>9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4" t="s">
        <v>38</v>
      </c>
      <c r="BT27" s="104" t="s">
        <v>561</v>
      </c>
      <c r="BU27" s="103">
        <v>8</v>
      </c>
      <c r="BV27" s="104" t="str">
        <f t="shared" si="13"/>
        <v>Filip Forman</v>
      </c>
      <c r="BW27" s="102">
        <f t="shared" si="14"/>
        <v>8</v>
      </c>
    </row>
    <row r="28" spans="1:75" ht="15" customHeight="1" thickTop="1" thickBot="1" x14ac:dyDescent="0.25">
      <c r="A28" s="425" t="s">
        <v>532</v>
      </c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30" t="str">
        <f ca="1">IFERROR(IF(VLOOKUP(G25,OFFSET($AG$2,,,COUNTIF($AG$2:$AG$50,"?*"),23),13,FALSE)&lt;&gt;0,VLOOKUP(G25,OFFSET($AG$2,,,COUNTIF($AG$2:$AG$50,"?*"),23),13,FALSE),"?"),"")</f>
        <v>Tatran Střešovice</v>
      </c>
      <c r="H28" s="431"/>
      <c r="I28" s="432"/>
      <c r="J28" s="433">
        <f ca="1">IFERROR(IF(VLOOKUP(G25,OFFSET($AG$2,,,COUNTIF($AG$2:$AG$50,"?*"),23),14,FALSE)&lt;&gt;0,VLOOKUP(G25,OFFSET($AG$2,,,COUNTIF($AG$2:$AG$50,"?*"),23),14,FALSE),"?"),"")</f>
        <v>2010</v>
      </c>
      <c r="K28" s="434"/>
      <c r="L28" s="7">
        <f ca="1">IFERROR(IF(VLOOKUP(G25,OFFSET($AG$2,,,COUNTIF($AG$2:$AG$50,"?*"),23),7,FALSE)&lt;&gt;0,VLOOKUP(G25,OFFSET($AG$2,,,COUNTIF($AG$2:$AG$50,"?*"),23),7,FALSE),"?"),"")</f>
        <v>2</v>
      </c>
      <c r="M28" s="425" t="s">
        <v>541</v>
      </c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535</v>
      </c>
      <c r="T28" s="102" t="s">
        <v>57</v>
      </c>
      <c r="U28" s="102">
        <v>14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-8</v>
      </c>
      <c r="AC28" s="102" t="str">
        <f t="shared" ca="1" si="0"/>
        <v>ANO</v>
      </c>
      <c r="AG28" s="121" t="s">
        <v>523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26</v>
      </c>
      <c r="AQ28" s="123">
        <v>190</v>
      </c>
      <c r="AR28" s="123">
        <v>76</v>
      </c>
      <c r="AS28" s="126" t="s">
        <v>67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16 OZ, 17 (11+6), +28 ±</v>
      </c>
      <c r="AY28" s="129" t="str">
        <f t="shared" ca="1" si="16"/>
        <v>111 OZ, 111 (58+53)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4"/>
      <c r="BT28" s="104" t="s">
        <v>559</v>
      </c>
      <c r="BU28" s="103">
        <v>8</v>
      </c>
      <c r="BV28" s="104" t="str">
        <f t="shared" si="13"/>
        <v>Jakub Buršík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8">
        <f ca="1">IFERROR(IF(VLOOKUP(A28,OFFSET($AG$2,,,COUNTIF($AG$2:$AG$50,"?*"),23),2,FALSE)&lt;&gt;0,YEAR(VLOOKUP(A28,OFFSET($AG$2,,,COUNTIF($AG$2:$AG$50,"?*"),23),2,FALSE)),""),"")</f>
        <v>1992</v>
      </c>
      <c r="C29" s="429"/>
      <c r="D29" s="117">
        <f ca="1">IFERROR(VLOOKUP(A28,OFFSET($AG$2,,,COUNTIF($AG$2:$AG$50,"?*"),23),15,FALSE),"")</f>
        <v>29</v>
      </c>
      <c r="E29" s="419" t="str">
        <f ca="1">IFERROR(VLOOKUP(A28,OFFSET($AG$2,,,COUNTIF($AG$2:$AG$50,"?*"),23),16,FALSE),"")</f>
        <v>184/84</v>
      </c>
      <c r="F29" s="420"/>
      <c r="M29" s="4" t="str">
        <f ca="1">IFERROR(IF(VLOOKUP(M28,OFFSET($AG$2,,,COUNTIF($AG$2:$AG$50,"?*"),23),10,FALSE)&lt;&gt;0,VLOOKUP(M28,OFFSET($AG$2,,,COUNTIF($AG$2:$AG$50,"?*"),23),10,FALSE),""),"")</f>
        <v>L</v>
      </c>
      <c r="N29" s="428">
        <f ca="1">IFERROR(IF(VLOOKUP(M28,OFFSET($AG$2,,,COUNTIF($AG$2:$AG$50,"?*"),23),2,FALSE)&lt;&gt;0,YEAR(VLOOKUP(M28,OFFSET($AG$2,,,COUNTIF($AG$2:$AG$50,"?*"),23),2,FALSE)),""),"")</f>
        <v>2001</v>
      </c>
      <c r="O29" s="429"/>
      <c r="P29" s="117">
        <f ca="1">IFERROR(VLOOKUP(M28,OFFSET($AG$2,,,COUNTIF($AG$2:$AG$50,"?*"),23),15,FALSE),"")</f>
        <v>20</v>
      </c>
      <c r="Q29" s="419" t="str">
        <f ca="1">IFERROR(VLOOKUP(M28,OFFSET($AG$2,,,COUNTIF($AG$2:$AG$50,"?*"),23),16,FALSE),"")</f>
        <v>182/73</v>
      </c>
      <c r="R29" s="420"/>
      <c r="S29" s="110" t="s">
        <v>526</v>
      </c>
      <c r="T29" s="102" t="s">
        <v>104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541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136</v>
      </c>
      <c r="AQ29" s="123">
        <v>182</v>
      </c>
      <c r="AR29" s="123">
        <v>73</v>
      </c>
      <c r="AS29" s="126" t="s">
        <v>281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2 (2+0), -3 ±</v>
      </c>
      <c r="AY29" s="129" t="str">
        <f t="shared" ca="1" si="16"/>
        <v>15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4"/>
      <c r="BT29" s="104" t="s">
        <v>1346</v>
      </c>
      <c r="BU29" s="103">
        <v>8</v>
      </c>
      <c r="BV29" s="104" t="str">
        <f t="shared" si="13"/>
        <v>Jan Malič</v>
      </c>
      <c r="BW29" s="102">
        <f t="shared" si="14"/>
        <v>8</v>
      </c>
    </row>
    <row r="30" spans="1:75" ht="15" customHeight="1" x14ac:dyDescent="0.2">
      <c r="A30" s="421" t="str">
        <f ca="1">IFERROR(VLOOKUP(A28,OFFSET($AG$2,,,COUNTIF($AG$2:$AG$50,"?*"),23),18,FALSE),"")</f>
        <v>16 OZ, 3 (3+0), -9 ±</v>
      </c>
      <c r="B30" s="422"/>
      <c r="C30" s="422"/>
      <c r="D30" s="423" t="str">
        <f ca="1">IFERROR(VLOOKUP(A28,OFFSET($AG$2,,,COUNTIF($AG$2:$AG$50,"?*"),23),19,FALSE),"")</f>
        <v>259 OZ, 138 (72+66)</v>
      </c>
      <c r="E30" s="423"/>
      <c r="F30" s="424"/>
      <c r="H30" s="435" t="str">
        <f>H$8</f>
        <v>BOH</v>
      </c>
      <c r="I30" s="435"/>
      <c r="J30" s="435"/>
      <c r="K30" s="435"/>
      <c r="M30" s="421" t="str">
        <f ca="1">IFERROR(VLOOKUP(M28,OFFSET($AG$2,,,COUNTIF($AG$2:$AG$50,"?*"),23),18,FALSE),"")</f>
        <v>13 OZ, 2 (2+0), -3 ±</v>
      </c>
      <c r="N30" s="422"/>
      <c r="O30" s="422"/>
      <c r="P30" s="423" t="str">
        <f ca="1">IFERROR(VLOOKUP(M28,OFFSET($AG$2,,,COUNTIF($AG$2:$AG$50,"?*"),23),19,FALSE),"")</f>
        <v>15 OZ, 2 (2+0)</v>
      </c>
      <c r="Q30" s="423"/>
      <c r="R30" s="424"/>
      <c r="S30" s="111"/>
      <c r="AC30" s="102" t="str">
        <f t="shared" ca="1" si="0"/>
        <v/>
      </c>
      <c r="AG30" s="121" t="s">
        <v>542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136</v>
      </c>
      <c r="AQ30" s="123">
        <v>180</v>
      </c>
      <c r="AR30" s="123">
        <v>71</v>
      </c>
      <c r="AS30" s="126" t="s">
        <v>550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4"/>
      <c r="BT30" s="104" t="s">
        <v>805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>Faraos</v>
      </c>
      <c r="B31" s="431"/>
      <c r="C31" s="432"/>
      <c r="D31" s="433">
        <f ca="1">IFERROR(IF(VLOOKUP(A28,OFFSET($AG$2,,,COUNTIF($AG$2:$AG$50,"?*"),23),14,FALSE)&lt;&gt;0,VLOOKUP(A28,OFFSET($AG$2,,,COUNTIF($AG$2:$AG$50,"?*"),23),14,FALSE),"?"),"")</f>
        <v>2002</v>
      </c>
      <c r="E31" s="434"/>
      <c r="F31" s="7">
        <f ca="1">IFERROR(IF(VLOOKUP(A28,OFFSET($AG$2,,,COUNTIF($AG$2:$AG$50,"?*"),23),7,FALSE)&lt;&gt;0,VLOOKUP(A28,OFFSET($AG$2,,,COUNTIF($AG$2:$AG$50,"?*"),23),7,FALSE),"?"),"")</f>
        <v>12</v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>FBC Falcon</v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>?</v>
      </c>
      <c r="Q31" s="434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543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26</v>
      </c>
      <c r="AQ31" s="123">
        <v>179</v>
      </c>
      <c r="AR31" s="123">
        <v>73</v>
      </c>
      <c r="AS31" s="126" t="s">
        <v>144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4"/>
      <c r="BT31" s="104" t="s">
        <v>1056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544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67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527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149</v>
      </c>
      <c r="AP33" s="125" t="s">
        <v>136</v>
      </c>
      <c r="AQ33" s="123">
        <v>186</v>
      </c>
      <c r="AR33" s="123">
        <v>88</v>
      </c>
      <c r="AS33" s="126" t="s">
        <v>551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5" t="s">
        <v>544</v>
      </c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6" t="s">
        <v>15</v>
      </c>
      <c r="J34" s="425" t="s">
        <v>535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8">
        <f ca="1">IFERROR(IF(VLOOKUP(A34,OFFSET($AG$2,,,COUNTIF($AG$2:$AG$50,"?*"),23),2,FALSE)&lt;&gt;0,YEAR(VLOOKUP(A34,OFFSET($AG$2,,,COUNTIF($AG$2:$AG$50,"?*"),23),2,FALSE)),""),"")</f>
        <v>2002</v>
      </c>
      <c r="C35" s="429"/>
      <c r="D35" s="117">
        <f ca="1">IFERROR(VLOOKUP(A34,OFFSET($AG$2,,,COUNTIF($AG$2:$AG$50,"?*"),23),15,FALSE),"")</f>
        <v>19</v>
      </c>
      <c r="E35" s="419" t="str">
        <f ca="1">IFERROR(VLOOKUP(A34,OFFSET($AG$2,,,COUNTIF($AG$2:$AG$50,"?*"),23),16,FALSE),"")</f>
        <v>173/70</v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>P</v>
      </c>
      <c r="K35" s="429">
        <f ca="1">IFERROR(IF(VLOOKUP(J34,OFFSET($AG$2,,,COUNTIF($AG$2:$AG$50,"?*"),23),2,FALSE)&lt;&gt;0,YEAR(VLOOKUP(J34,OFFSET($AG$2,,,COUNTIF($AG$2:$AG$50,"?*"),23),2,FALSE)),""),"")</f>
        <v>1990</v>
      </c>
      <c r="L35" s="437"/>
      <c r="M35" s="118">
        <f ca="1">IFERROR(VLOOKUP(J34,OFFSET($AG$2,,,COUNTIF($AG$2:$AG$50,"?*"),23),15,FALSE),"")</f>
        <v>31</v>
      </c>
      <c r="N35" s="437" t="str">
        <f ca="1">IFERROR(VLOOKUP(J34,OFFSET($AG$2,,,COUNTIF($AG$2:$AG$50,"?*"),23),16,FALSE),"")</f>
        <v>184/90</v>
      </c>
      <c r="O35" s="437"/>
      <c r="P35" s="437" t="str">
        <f ca="1">IFERROR(VLOOKUP(J34,OFFSET($AG$2,,,COUNTIF($AG$2:$AG$50,"?*"),23),18,FALSE),"")</f>
        <v>14 OZ, 0 (0+0), -8 ±</v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45" t="str">
        <f ca="1">IFERROR(VLOOKUP(A34,OFFSET($AG$2,,,COUNTIF($AG$2:$AG$50,"?*"),23),18,FALSE),"")</f>
        <v>2 V, 0 P</v>
      </c>
      <c r="C36" s="445"/>
      <c r="D36" s="446">
        <f ca="1">IFERROR(VLOOKUP(A34,OFFSET($S$45,,,COUNTIF($S$45:$S$50,"?*"),14),5,FALSE),"")</f>
        <v>7</v>
      </c>
      <c r="E36" s="447"/>
      <c r="F36" s="17">
        <f ca="1">IFERROR(VLOOKUP(A34,OFFSET($S$45,,,COUNTIF($S$45:$S$50,"?*"),14),14,FALSE),"")</f>
        <v>86.538461538461547</v>
      </c>
      <c r="H36" s="436"/>
      <c r="J36" s="18">
        <f ca="1">IFERROR(IF(VLOOKUP(J34,OFFSET($AG$2,,,COUNTIF($AG$2:$AG$50,"?*"),23),7,FALSE)&lt;&gt;0,VLOOKUP(J34,OFFSET($AG$2,,,COUNTIF($AG$2:$AG$50,"?*"),23),7,FALSE),"?"),"")</f>
        <v>11</v>
      </c>
      <c r="K36" s="448" t="str">
        <f ca="1">IFERROR(VLOOKUP(J34,OFFSET($AG$2,,,COUNTIF($AG$2:$AG$50,"?*"),23),19,FALSE),"")</f>
        <v>192 OZ, 68 (32+36)</v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>FbŠ Bohemians</v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>?</v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>
        <f ca="1">IFERROR(VLOOKUP(A34,OFFSET($S$45,,,COUNTIF($S$45:$S$50,"?*"),14),3,FALSE),"")</f>
        <v>120</v>
      </c>
      <c r="B37" s="439"/>
      <c r="C37" s="440">
        <f ca="1">IFERROR(VLOOKUP(A34,OFFSET($S$45,,,COUNTIF($S$45:$S$50,"?*"),14),13,FALSE),"")</f>
        <v>3.5</v>
      </c>
      <c r="D37" s="441"/>
      <c r="E37" s="442" t="str">
        <f ca="1">IFERROR(VLOOKUP(A34,OFFSET($AG$2,,,COUNTIF($AG$2:$AG$50,"?*"),23),19,FALSE),"")</f>
        <v>12 OZ, 2 A</v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>FbŠ Bohemians</v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>?</v>
      </c>
      <c r="E38" s="434"/>
      <c r="F38" s="19">
        <f ca="1">IFERROR(VLOOKUP(A34,OFFSET($S$45,,,COUNTIF($S$45:$S$50,"?*"),14),6,FALSE),"")</f>
        <v>0</v>
      </c>
      <c r="H38" s="436"/>
      <c r="J38" s="425" t="s">
        <v>982</v>
      </c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>
        <f ca="1">IFERROR(IF(VLOOKUP(J38,OFFSET($AG$2,,,COUNTIF($AG$2:$AG$50,"?*"),23),2,FALSE)&lt;&gt;0,YEAR(VLOOKUP(J38,OFFSET($AG$2,,,COUNTIF($AG$2:$AG$50,"?*"),23),2,FALSE)),""),"")</f>
        <v>2003</v>
      </c>
      <c r="L39" s="437"/>
      <c r="M39" s="195">
        <f ca="1">IFERROR(VLOOKUP(J38,OFFSET($AG$2,,,COUNTIF($AG$2:$AG$50,"?*"),23),15,FALSE),"")</f>
        <v>18</v>
      </c>
      <c r="N39" s="437" t="str">
        <f ca="1">IFERROR(VLOOKUP(J38,OFFSET($AG$2,,,COUNTIF($AG$2:$AG$50,"?*"),23),16,FALSE),"")</f>
        <v>? / ?</v>
      </c>
      <c r="O39" s="437"/>
      <c r="P39" s="437" t="str">
        <f ca="1">IFERROR(VLOOKUP(J38,OFFSET($AG$2,,,COUNTIF($AG$2:$AG$50,"?*"),23),18,FALSE),"")</f>
        <v>8 OZ, 1 (1+0), 0 ±</v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 t="s">
        <v>526</v>
      </c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6"/>
      <c r="J40" s="18">
        <f ca="1">IFERROR(IF(VLOOKUP(J38,OFFSET($AG$2,,,COUNTIF($AG$2:$AG$50,"?*"),23),7,FALSE)&lt;&gt;0,VLOOKUP(J38,OFFSET($AG$2,,,COUNTIF($AG$2:$AG$50,"?*"),23),7,FALSE),"?"),"")</f>
        <v>1</v>
      </c>
      <c r="K40" s="448" t="str">
        <f ca="1">IFERROR(VLOOKUP(J38,OFFSET($AG$2,,,COUNTIF($AG$2:$AG$50,"?*"),23),19,FALSE),"")</f>
        <v>8 OZ, 1 (1+0)</v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>?</v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>?</v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8">
        <f ca="1">IFERROR(IF(VLOOKUP(A40,OFFSET($AG$2,,,COUNTIF($AG$2:$AG$50,"?*"),23),2,FALSE)&lt;&gt;0,YEAR(VLOOKUP(A40,OFFSET($AG$2,,,COUNTIF($AG$2:$AG$50,"?*"),23),2,FALSE)),""),"")</f>
        <v>1994</v>
      </c>
      <c r="C41" s="429"/>
      <c r="D41" s="117">
        <f ca="1">IFERROR(VLOOKUP(A40,OFFSET($AG$2,,,COUNTIF($AG$2:$AG$50,"?*"),23),15,FALSE),"")</f>
        <v>27</v>
      </c>
      <c r="E41" s="419" t="str">
        <f ca="1">IFERROR(VLOOKUP(A40,OFFSET($AG$2,,,COUNTIF($AG$2:$AG$50,"?*"),23),16,FALSE),"")</f>
        <v>185/75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45" t="str">
        <f ca="1">IFERROR(VLOOKUP(A40,OFFSET($AG$2,,,COUNTIF($AG$2:$AG$50,"?*"),23),18,FALSE),"")</f>
        <v>3 V, 2 P</v>
      </c>
      <c r="C42" s="445"/>
      <c r="D42" s="446">
        <f ca="1">IFERROR(VLOOKUP(A40,OFFSET($S$45,,,COUNTIF($S$45:$S$50,"?*"),14),5,FALSE),"")</f>
        <v>24</v>
      </c>
      <c r="E42" s="447"/>
      <c r="F42" s="17">
        <f ca="1">IFERROR(VLOOKUP(A40,OFFSET($S$45,,,COUNTIF($S$45:$S$50,"?*"),14),14,FALSE),"")</f>
        <v>76.923076923076934</v>
      </c>
      <c r="H42" s="436"/>
      <c r="J42" s="425" t="s">
        <v>639</v>
      </c>
      <c r="K42" s="426"/>
      <c r="L42" s="426"/>
      <c r="M42" s="426"/>
      <c r="N42" s="426"/>
      <c r="O42" s="426"/>
      <c r="P42" s="426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>
        <f ca="1">IFERROR(VLOOKUP(A40,OFFSET($S$45,,,COUNTIF($S$45:$S$50,"?*"),14),3,FALSE),"")</f>
        <v>252.06</v>
      </c>
      <c r="B43" s="439"/>
      <c r="C43" s="440">
        <f ca="1">IFERROR(VLOOKUP(A40,OFFSET($S$45,,,COUNTIF($S$45:$S$50,"?*"),14),13,FALSE),"")</f>
        <v>5.7129254939300171</v>
      </c>
      <c r="D43" s="441"/>
      <c r="E43" s="442" t="str">
        <f ca="1">IFERROR(VLOOKUP(A40,OFFSET($AG$2,,,COUNTIF($AG$2:$AG$50,"?*"),23),19,FALSE),"")</f>
        <v>31 OZ, 0 A</v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>L</v>
      </c>
      <c r="K43" s="429">
        <f ca="1">IFERROR(IF(VLOOKUP(J42,OFFSET($AG$2,,,COUNTIF($AG$2:$AG$50,"?*"),23),2,FALSE)&lt;&gt;0,YEAR(VLOOKUP(J42,OFFSET($AG$2,,,COUNTIF($AG$2:$AG$50,"?*"),23),2,FALSE)),""),"")</f>
        <v>1905</v>
      </c>
      <c r="L43" s="437"/>
      <c r="M43" s="195">
        <f ca="1">IFERROR(VLOOKUP(J42,OFFSET($AG$2,,,COUNTIF($AG$2:$AG$50,"?*"),23),15,FALSE),"")</f>
        <v>116</v>
      </c>
      <c r="N43" s="437" t="str">
        <f ca="1">IFERROR(VLOOKUP(J42,OFFSET($AG$2,,,COUNTIF($AG$2:$AG$50,"?*"),23),16,FALSE),"")</f>
        <v>185/88</v>
      </c>
      <c r="O43" s="437"/>
      <c r="P43" s="437" t="str">
        <f ca="1">IFERROR(VLOOKUP(J42,OFFSET($AG$2,,,COUNTIF($AG$2:$AG$50,"?*"),23),18,FALSE),"")</f>
        <v>13 OZ, 0 (0+0), -1 ±</v>
      </c>
      <c r="Q43" s="437"/>
      <c r="R43" s="444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>FbŠ Bohemians</v>
      </c>
      <c r="B44" s="431"/>
      <c r="C44" s="432"/>
      <c r="D44" s="433" t="str">
        <f ca="1">IFERROR(IF(VLOOKUP(A40,OFFSET($AG$2,,,COUNTIF($AG$2:$AG$50,"?*"),23),14,FALSE)&lt;&gt;0,VLOOKUP(A40,OFFSET($AG$2,,,COUNTIF($AG$2:$AG$50,"?*"),23),14,FALSE),"?"),"")</f>
        <v>?</v>
      </c>
      <c r="E44" s="434"/>
      <c r="F44" s="19">
        <f ca="1">IFERROR(VLOOKUP(A40,OFFSET($S$45,,,COUNTIF($S$45:$S$50,"?*"),14),6,FALSE),"")</f>
        <v>0</v>
      </c>
      <c r="H44" s="436"/>
      <c r="J44" s="18">
        <f ca="1">IFERROR(IF(VLOOKUP(J42,OFFSET($AG$2,,,COUNTIF($AG$2:$AG$50,"?*"),23),7,FALSE)&lt;&gt;0,VLOOKUP(J42,OFFSET($AG$2,,,COUNTIF($AG$2:$AG$50,"?*"),23),7,FALSE),"?"),"")</f>
        <v>5</v>
      </c>
      <c r="K44" s="448" t="str">
        <f ca="1">IFERROR(VLOOKUP(J42,OFFSET($AG$2,,,COUNTIF($AG$2:$AG$50,"?*"),23),19,FALSE),"")</f>
        <v>98 OZ, 1 (0+1)</v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>FBC Česká Lípa</v>
      </c>
      <c r="O44" s="449"/>
      <c r="P44" s="449"/>
      <c r="Q44" s="448">
        <f ca="1">IFERROR(IF(VLOOKUP(J42,OFFSET($AG$2,,,COUNTIF($AG$2:$AG$50,"?*"),23),14,FALSE)&lt;&gt;0,VLOOKUP(J42,OFFSET($AG$2,,,COUNTIF($AG$2:$AG$50,"?*"),23),14,FALSE),"?"),"")</f>
        <v>2007</v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528</v>
      </c>
      <c r="T45" s="102">
        <v>10</v>
      </c>
      <c r="U45" s="112">
        <v>584.59</v>
      </c>
      <c r="V45" s="102">
        <v>6</v>
      </c>
      <c r="W45" s="102">
        <v>39</v>
      </c>
      <c r="X45" s="102">
        <v>0</v>
      </c>
      <c r="Y45" s="102">
        <v>232</v>
      </c>
      <c r="Z45" s="102">
        <v>0</v>
      </c>
      <c r="AA45" s="102">
        <v>4</v>
      </c>
      <c r="AB45" s="102">
        <v>193</v>
      </c>
      <c r="AC45" s="102">
        <v>0</v>
      </c>
      <c r="AD45" s="102">
        <v>0</v>
      </c>
      <c r="AE45" s="112">
        <f>IF(S45&lt;&gt;"",IF(T45&gt;0,W45/(U45/60),0),"")</f>
        <v>4.0028053849706628</v>
      </c>
      <c r="AF45" s="112">
        <f>IF(S45&lt;&gt;"",IF(Y45&gt;0,(AB45/Y45)*100,"-"),"")</f>
        <v>83.189655172413794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544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 t="s">
        <v>552</v>
      </c>
      <c r="B47" s="466"/>
      <c r="C47" s="466"/>
      <c r="D47" s="466"/>
      <c r="E47" s="461" t="str">
        <f ca="1">IFERROR(VLOOKUP(A47,OFFSET($BN$2,,,COUNTIF($BN$2:$BN$11,"?*"),5),3,FALSE),"")</f>
        <v>hlavní trenér</v>
      </c>
      <c r="F47" s="461"/>
      <c r="G47" s="461"/>
      <c r="H47" s="461"/>
      <c r="I47" s="462"/>
      <c r="J47" s="465" t="s">
        <v>557</v>
      </c>
      <c r="K47" s="466"/>
      <c r="L47" s="466"/>
      <c r="M47" s="466"/>
      <c r="N47" s="461" t="str">
        <f ca="1">IFERROR(VLOOKUP(J47,OFFSET($BN$2,,,COUNTIF($BN$2:$BN$11,"?*"),5),3,FALSE),"")</f>
        <v>vedoucí družstva</v>
      </c>
      <c r="O47" s="461"/>
      <c r="P47" s="461"/>
      <c r="Q47" s="461"/>
      <c r="R47" s="462"/>
      <c r="S47" s="111" t="s">
        <v>526</v>
      </c>
      <c r="T47" s="102">
        <v>5</v>
      </c>
      <c r="U47" s="112">
        <v>252.06</v>
      </c>
      <c r="V47" s="102">
        <v>3</v>
      </c>
      <c r="W47" s="102">
        <v>24</v>
      </c>
      <c r="X47" s="102">
        <v>0</v>
      </c>
      <c r="Y47" s="102">
        <v>104</v>
      </c>
      <c r="Z47" s="102">
        <v>0</v>
      </c>
      <c r="AA47" s="102">
        <v>2</v>
      </c>
      <c r="AB47" s="102">
        <v>80</v>
      </c>
      <c r="AC47" s="102">
        <v>0</v>
      </c>
      <c r="AD47" s="102">
        <v>0</v>
      </c>
      <c r="AE47" s="112">
        <f t="shared" si="26"/>
        <v>5.7129254939300171</v>
      </c>
      <c r="AF47" s="112">
        <f t="shared" si="27"/>
        <v>76.923076923076934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>
        <f ca="1">IFERROR(VLOOKUP(A47,OFFSET($BN$2,,,COUNTIF($BN$2:$BN$11,"?*"),5),5,FALSE),"")</f>
        <v>41</v>
      </c>
      <c r="B48" s="453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53"/>
      <c r="D48" s="453"/>
      <c r="E48" s="453"/>
      <c r="F48" s="453"/>
      <c r="G48" s="453"/>
      <c r="H48" s="453"/>
      <c r="I48" s="454"/>
      <c r="J48" s="119">
        <f ca="1">IFERROR(VLOOKUP(J47,OFFSET($BN$2,,,COUNTIF($BN$2:$BN$11,"?*"),5),5,FALSE),"")</f>
        <v>56</v>
      </c>
      <c r="K48" s="457" t="str">
        <f ca="1">IFERROR(IF(VLOOKUP(J47,OFFSET($BN$2,,,COUNTIF($BN$2:$BN$11,"?*"),5),4,FALSE)&lt;&gt;0,VLOOKUP(J47,OFFSET($BN$2,,,COUNTIF($BN$2:$BN$11,"?*"),5),4,FALSE),"-"),"")</f>
        <v>-</v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/>
      <c r="K49" s="460"/>
      <c r="L49" s="460"/>
      <c r="M49" s="460"/>
      <c r="N49" s="461" t="str">
        <f ca="1">IFERROR(VLOOKUP(J49,OFFSET($BN$2,,,COUNTIF($BN$2:$BN$11,"?*"),5),3,FALSE),"")</f>
        <v/>
      </c>
      <c r="O49" s="461"/>
      <c r="P49" s="461"/>
      <c r="Q49" s="461"/>
      <c r="R49" s="462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 t="str">
        <f ca="1">IFERROR(VLOOKUP(J49,OFFSET($BN$2,,,COUNTIF($BN$2:$BN$11,"?*"),5),5,FALSE),"")</f>
        <v/>
      </c>
      <c r="K50" s="457" t="str">
        <f ca="1">IFERROR(IF(VLOOKUP(J49,OFFSET($BN$2,,,COUNTIF($BN$2:$BN$11,"?*"),5),4,FALSE)&lt;&gt;0,VLOOKUP(J49,OFFSET($BN$2,,,COUNTIF($BN$2:$BN$11,"?*"),5),4,FALSE),"-"),"")</f>
        <v/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38" priority="11" stopIfTrue="1" operator="equal">
      <formula>"OTR"</formula>
    </cfRule>
    <cfRule type="cellIs" dxfId="637" priority="12" stopIfTrue="1" operator="equal">
      <formula>"PAR"</formula>
    </cfRule>
    <cfRule type="cellIs" dxfId="636" priority="13" stopIfTrue="1" operator="equal">
      <formula>"CLP"</formula>
    </cfRule>
    <cfRule type="cellIs" dxfId="635" priority="14" stopIfTrue="1" operator="equal">
      <formula>"HAT"</formula>
    </cfRule>
    <cfRule type="cellIs" dxfId="634" priority="15" stopIfTrue="1" operator="equal">
      <formula>"LIB"</formula>
    </cfRule>
    <cfRule type="cellIs" dxfId="633" priority="16" stopIfTrue="1" operator="equal">
      <formula>"BA"</formula>
    </cfRule>
    <cfRule type="cellIs" dxfId="632" priority="17" stopIfTrue="1" operator="equal">
      <formula>"SPA"</formula>
    </cfRule>
    <cfRule type="cellIs" dxfId="631" priority="18" stopIfTrue="1" operator="equal">
      <formula>"OST"</formula>
    </cfRule>
    <cfRule type="cellIs" dxfId="630" priority="19" stopIfTrue="1" operator="equal">
      <formula>"BOH"</formula>
    </cfRule>
    <cfRule type="cellIs" dxfId="629" priority="20" stopIfTrue="1" operator="equal">
      <formula>"TAT"</formula>
    </cfRule>
    <cfRule type="cellIs" dxfId="628" priority="21" stopIfTrue="1" operator="equal">
      <formula>"MB"</formula>
    </cfRule>
    <cfRule type="cellIs" dxfId="627" priority="22" stopIfTrue="1" operator="equal">
      <formula>"VIT"</formula>
    </cfRule>
    <cfRule type="cellIs" dxfId="626" priority="23" stopIfTrue="1" operator="equal">
      <formula>"CHO"</formula>
    </cfRule>
    <cfRule type="cellIs" dxfId="625" priority="24" stopIfTrue="1" operator="equal">
      <formula>"SKV"</formula>
    </cfRule>
  </conditionalFormatting>
  <conditionalFormatting sqref="H19:K20">
    <cfRule type="cellIs" dxfId="624" priority="39" stopIfTrue="1" operator="equal">
      <formula>"OTR"</formula>
    </cfRule>
    <cfRule type="cellIs" dxfId="623" priority="40" stopIfTrue="1" operator="equal">
      <formula>"PAR"</formula>
    </cfRule>
    <cfRule type="cellIs" dxfId="622" priority="41" stopIfTrue="1" operator="equal">
      <formula>"CLP"</formula>
    </cfRule>
    <cfRule type="cellIs" dxfId="621" priority="42" stopIfTrue="1" operator="equal">
      <formula>"HAT"</formula>
    </cfRule>
    <cfRule type="cellIs" dxfId="620" priority="43" stopIfTrue="1" operator="equal">
      <formula>"LIB"</formula>
    </cfRule>
    <cfRule type="cellIs" dxfId="619" priority="44" stopIfTrue="1" operator="equal">
      <formula>"BA"</formula>
    </cfRule>
    <cfRule type="cellIs" dxfId="618" priority="45" stopIfTrue="1" operator="equal">
      <formula>"SPA"</formula>
    </cfRule>
    <cfRule type="cellIs" dxfId="617" priority="46" stopIfTrue="1" operator="equal">
      <formula>"OST"</formula>
    </cfRule>
    <cfRule type="cellIs" dxfId="616" priority="47" stopIfTrue="1" operator="equal">
      <formula>"BOH"</formula>
    </cfRule>
    <cfRule type="cellIs" dxfId="615" priority="48" stopIfTrue="1" operator="equal">
      <formula>"TAT"</formula>
    </cfRule>
    <cfRule type="cellIs" dxfId="614" priority="49" stopIfTrue="1" operator="equal">
      <formula>"MB"</formula>
    </cfRule>
    <cfRule type="cellIs" dxfId="613" priority="50" stopIfTrue="1" operator="equal">
      <formula>"VIT"</formula>
    </cfRule>
    <cfRule type="cellIs" dxfId="612" priority="51" stopIfTrue="1" operator="equal">
      <formula>"CHO"</formula>
    </cfRule>
    <cfRule type="cellIs" dxfId="611" priority="52" stopIfTrue="1" operator="equal">
      <formula>"SKV"</formula>
    </cfRule>
  </conditionalFormatting>
  <conditionalFormatting sqref="H8:K9">
    <cfRule type="cellIs" dxfId="610" priority="25" stopIfTrue="1" operator="equal">
      <formula>"OTR"</formula>
    </cfRule>
    <cfRule type="cellIs" dxfId="609" priority="26" stopIfTrue="1" operator="equal">
      <formula>"PAR"</formula>
    </cfRule>
    <cfRule type="cellIs" dxfId="608" priority="27" stopIfTrue="1" operator="equal">
      <formula>"CLP"</formula>
    </cfRule>
    <cfRule type="cellIs" dxfId="607" priority="28" stopIfTrue="1" operator="equal">
      <formula>"HAT"</formula>
    </cfRule>
    <cfRule type="cellIs" dxfId="606" priority="29" stopIfTrue="1" operator="equal">
      <formula>"LIB"</formula>
    </cfRule>
    <cfRule type="cellIs" dxfId="605" priority="30" stopIfTrue="1" operator="equal">
      <formula>"BA"</formula>
    </cfRule>
    <cfRule type="cellIs" dxfId="604" priority="31" stopIfTrue="1" operator="equal">
      <formula>"SPA"</formula>
    </cfRule>
    <cfRule type="cellIs" dxfId="603" priority="32" stopIfTrue="1" operator="equal">
      <formula>"OST"</formula>
    </cfRule>
    <cfRule type="cellIs" dxfId="602" priority="33" stopIfTrue="1" operator="equal">
      <formula>"BOH"</formula>
    </cfRule>
    <cfRule type="cellIs" dxfId="601" priority="34" stopIfTrue="1" operator="equal">
      <formula>"TAT"</formula>
    </cfRule>
    <cfRule type="cellIs" dxfId="600" priority="35" stopIfTrue="1" operator="equal">
      <formula>"MB"</formula>
    </cfRule>
    <cfRule type="cellIs" dxfId="599" priority="36" stopIfTrue="1" operator="equal">
      <formula>"VIT"</formula>
    </cfRule>
    <cfRule type="cellIs" dxfId="598" priority="37" stopIfTrue="1" operator="equal">
      <formula>"CHO"</formula>
    </cfRule>
    <cfRule type="cellIs" dxfId="597" priority="38" stopIfTrue="1" operator="equal">
      <formula>"SKV"</formula>
    </cfRule>
  </conditionalFormatting>
  <conditionalFormatting sqref="S2:S42">
    <cfRule type="expression" dxfId="596" priority="9" stopIfTrue="1">
      <formula>IFERROR(IF(VLOOKUP($S2,OFFSET($AG$2,,,COUNTIF($AG$2:$AG$50,"?*")),1,FALSE)&lt;&gt;0,1,0),0)&gt;0</formula>
    </cfRule>
  </conditionalFormatting>
  <conditionalFormatting sqref="S2:S42">
    <cfRule type="expression" dxfId="595" priority="10">
      <formula>IFERROR(IF(VLOOKUP($S2,OFFSET($AG$2,,,COUNTIF($AG$2:$AG$50,"?*")),1,FALSE)&lt;&gt;0,1,0),0)=0</formula>
    </cfRule>
  </conditionalFormatting>
  <conditionalFormatting sqref="S45:S50">
    <cfRule type="expression" dxfId="594" priority="8">
      <formula>IFERROR(IF(VLOOKUP($S45,OFFSET($AG$2,,,COUNTIF($AG$2:$AG$50,"?*")),1,FALSE)&lt;&gt;0,1,0),0)&gt;0</formula>
    </cfRule>
  </conditionalFormatting>
  <conditionalFormatting sqref="S45:S50">
    <cfRule type="expression" dxfId="593" priority="7">
      <formula>IFERROR(IF(VLOOKUP($S45,OFFSET($AG$2,,,COUNTIF($AG$2:$AG$50,"?*")),1,FALSE)&lt;&gt;0,1,0),0)=0</formula>
    </cfRule>
  </conditionalFormatting>
  <conditionalFormatting sqref="AG2:AG50">
    <cfRule type="expression" dxfId="592" priority="4" stopIfTrue="1">
      <formula>OR($AH2="",$AI2="",$AJ2="",$AK2="",$AL2="",$AM2="",$AN2="",$AQ2="",$AR2="",$AS2="",$AT2="")</formula>
    </cfRule>
    <cfRule type="expression" dxfId="591" priority="5" stopIfTrue="1">
      <formula>IFERROR(IF(VLOOKUP($AG2,OFFSET($S$2,,,COUNTIF($S$2:$S$42,"?*")),1,FALSE)&lt;&gt;0,1,0),0)=0</formula>
    </cfRule>
    <cfRule type="expression" dxfId="590" priority="6">
      <formula>IFERROR(IF(VLOOKUP($AG2,OFFSET($S$2,,,COUNTIF($S$2:$S$42,"?*")),1,FALSE)&lt;&gt;0,1,0),0)&gt;0</formula>
    </cfRule>
  </conditionalFormatting>
  <conditionalFormatting sqref="AG2:AK50 AM2:BC50">
    <cfRule type="expression" dxfId="589" priority="3">
      <formula>AND($AG2&lt;&gt;"",MOD(ROW($AG2),2)=0)</formula>
    </cfRule>
  </conditionalFormatting>
  <conditionalFormatting sqref="BN2:BR11">
    <cfRule type="expression" dxfId="588" priority="2">
      <formula>AND($BN2&lt;&gt;"",MOD(ROW($BN2),2)=0)</formula>
    </cfRule>
  </conditionalFormatting>
  <conditionalFormatting sqref="AL2:AL50">
    <cfRule type="expression" dxfId="587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V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618</v>
      </c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7" t="s">
        <v>1</v>
      </c>
      <c r="I1" s="427"/>
      <c r="J1" s="427"/>
      <c r="K1" s="427"/>
      <c r="M1" s="425" t="s">
        <v>617</v>
      </c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8">
        <f ca="1">IFERROR(IF(VLOOKUP(A1,OFFSET($AG$2,,,COUNTIF($AG$2:$AG$50,"?*"),23),2,FALSE)&lt;&gt;0,YEAR(VLOOKUP(A1,OFFSET($AG$2,,,COUNTIF($AG$2:$AG$50,"?*"),23),2,FALSE)),""),"")</f>
        <v>1988</v>
      </c>
      <c r="C2" s="429"/>
      <c r="D2" s="117">
        <f ca="1">IFERROR(VLOOKUP(A1,OFFSET($AG$2,,,COUNTIF($AG$2:$AG$50,"?*"),23),15,FALSE),"")</f>
        <v>33</v>
      </c>
      <c r="E2" s="419" t="str">
        <f ca="1">IFERROR(VLOOKUP(A1,OFFSET($AG$2,,,COUNTIF($AG$2:$AG$50,"?*"),23),16,FALSE),"")</f>
        <v>200/99</v>
      </c>
      <c r="F2" s="420"/>
      <c r="M2" s="4" t="str">
        <f ca="1">IFERROR(IF(VLOOKUP(M1,OFFSET($AG$2,,,COUNTIF($AG$2:$AG$50,"?*"),23),10,FALSE)&lt;&gt;0,VLOOKUP(M1,OFFSET($AG$2,,,COUNTIF($AG$2:$AG$50,"?*"),23),10,FALSE),""),"")</f>
        <v>L</v>
      </c>
      <c r="N2" s="428">
        <f ca="1">IFERROR(IF(VLOOKUP(M1,OFFSET($AG$2,,,COUNTIF($AG$2:$AG$50,"?*"),23),2,FALSE)&lt;&gt;0,YEAR(VLOOKUP(M1,OFFSET($AG$2,,,COUNTIF($AG$2:$AG$50,"?*"),23),2,FALSE)),""),"")</f>
        <v>2003</v>
      </c>
      <c r="O2" s="429"/>
      <c r="P2" s="117">
        <f ca="1">IFERROR(VLOOKUP(M1,OFFSET($AG$2,,,COUNTIF($AG$2:$AG$50,"?*"),23),15,FALSE),"")</f>
        <v>18</v>
      </c>
      <c r="Q2" s="419" t="str">
        <f ca="1">IFERROR(VLOOKUP(M1,OFFSET($AG$2,,,COUNTIF($AG$2:$AG$50,"?*"),23),16,FALSE),"")</f>
        <v>175/70</v>
      </c>
      <c r="R2" s="420"/>
      <c r="S2" s="110" t="s">
        <v>376</v>
      </c>
      <c r="T2" s="102" t="s">
        <v>57</v>
      </c>
      <c r="U2" s="102">
        <v>14</v>
      </c>
      <c r="V2" s="102">
        <v>9</v>
      </c>
      <c r="W2" s="102">
        <v>0</v>
      </c>
      <c r="X2" s="102">
        <v>0</v>
      </c>
      <c r="Y2" s="102">
        <v>8</v>
      </c>
      <c r="Z2" s="102">
        <v>17</v>
      </c>
      <c r="AA2" s="102">
        <v>10</v>
      </c>
      <c r="AB2" s="102">
        <v>-15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628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388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653</v>
      </c>
      <c r="BO2" s="122">
        <v>31211</v>
      </c>
      <c r="BP2" s="131" t="s">
        <v>174</v>
      </c>
      <c r="BQ2" s="132"/>
      <c r="BR2" s="127">
        <f ca="1">IF(BN2&lt;&gt;"",IF(BO2&lt;&gt;"",INT((TODAY()-BO2)/365),"?"),"")</f>
        <v>36</v>
      </c>
      <c r="BS2" s="464" t="s">
        <v>35</v>
      </c>
      <c r="BT2" s="104" t="s">
        <v>657</v>
      </c>
      <c r="BU2" s="103">
        <v>17</v>
      </c>
      <c r="BV2" s="104" t="str">
        <f>IFERROR(RIGHT(BT2,LEN(BT2)-SEARCH(" ",BT2)),"")</f>
        <v>Milan Tichý</v>
      </c>
      <c r="BW2" s="102">
        <f>IF(BT2&lt;&gt;0,_xlfn.NUMBERVALUE(BU2,","),"")</f>
        <v>17</v>
      </c>
      <c r="BX2" s="463" t="s">
        <v>191</v>
      </c>
      <c r="BY2" s="103" t="s">
        <v>1040</v>
      </c>
      <c r="BZ2" s="103" t="s">
        <v>802</v>
      </c>
      <c r="CA2" s="115" t="s">
        <v>991</v>
      </c>
    </row>
    <row r="3" spans="1:79" ht="15" customHeight="1" thickTop="1" thickBot="1" x14ac:dyDescent="0.25">
      <c r="A3" s="421" t="str">
        <f ca="1">IFERROR(VLOOKUP(A1,OFFSET($AG$2,,,COUNTIF($AG$2:$AG$50,"?*"),23),18,FALSE),"")</f>
        <v>16 OZ, 16 (10+6), -21 ±</v>
      </c>
      <c r="B3" s="422"/>
      <c r="C3" s="422"/>
      <c r="D3" s="423" t="str">
        <f ca="1">IFERROR(VLOOKUP(A1,OFFSET($AG$2,,,COUNTIF($AG$2:$AG$50,"?*"),23),19,FALSE),"")</f>
        <v>323 OZ, 309 (186+123)</v>
      </c>
      <c r="E3" s="423"/>
      <c r="F3" s="424"/>
      <c r="G3" s="425" t="s">
        <v>616</v>
      </c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21" t="str">
        <f ca="1">IFERROR(VLOOKUP(M1,OFFSET($AG$2,,,COUNTIF($AG$2:$AG$50,"?*"),23),18,FALSE),"")</f>
        <v>16 OZ, 15 (11+4), -22 ±</v>
      </c>
      <c r="N3" s="422"/>
      <c r="O3" s="422"/>
      <c r="P3" s="423" t="str">
        <f ca="1">IFERROR(VLOOKUP(M1,OFFSET($AG$2,,,COUNTIF($AG$2:$AG$50,"?*"),23),19,FALSE),"")</f>
        <v>40 OZ, 36 (25+11)</v>
      </c>
      <c r="Q3" s="423"/>
      <c r="R3" s="424"/>
      <c r="S3" s="110" t="s">
        <v>618</v>
      </c>
      <c r="T3" s="102" t="s">
        <v>106</v>
      </c>
      <c r="U3" s="102">
        <v>16</v>
      </c>
      <c r="V3" s="102">
        <v>10</v>
      </c>
      <c r="W3" s="102">
        <v>0</v>
      </c>
      <c r="X3" s="102">
        <v>0</v>
      </c>
      <c r="Y3" s="102">
        <v>6</v>
      </c>
      <c r="Z3" s="102">
        <v>16</v>
      </c>
      <c r="AA3" s="102">
        <v>5</v>
      </c>
      <c r="AB3" s="102">
        <v>-21</v>
      </c>
      <c r="AC3" s="102" t="str">
        <f t="shared" ca="1" si="0"/>
        <v>ANO</v>
      </c>
      <c r="AG3" s="121" t="s">
        <v>633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219</v>
      </c>
      <c r="AQ3" s="123">
        <v>186</v>
      </c>
      <c r="AR3" s="123">
        <v>94</v>
      </c>
      <c r="AS3" s="126" t="s">
        <v>643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654</v>
      </c>
      <c r="BO3" s="122">
        <v>30597</v>
      </c>
      <c r="BP3" s="131" t="s">
        <v>236</v>
      </c>
      <c r="BQ3" s="132"/>
      <c r="BR3" s="127">
        <f t="shared" ref="BR3:BR11" ca="1" si="12">IF(BN3&lt;&gt;"",IF(BO3&lt;&gt;"",INT((TODAY()-BO3)/365),"?"),"")</f>
        <v>38</v>
      </c>
      <c r="BS3" s="464"/>
      <c r="BT3" s="104" t="s">
        <v>1350</v>
      </c>
      <c r="BU3" s="103">
        <v>16</v>
      </c>
      <c r="BV3" s="104" t="str">
        <f t="shared" ref="BV3:BV31" si="13">IFERROR(RIGHT(BT3,LEN(BT3)-SEARCH(" ",BT3)),"")</f>
        <v>Jaromír Ekl</v>
      </c>
      <c r="BW3" s="102">
        <f t="shared" ref="BW3:BW31" si="14">IF(BT3&lt;&gt;0,_xlfn.NUMBERVALUE(BU3,","),"")</f>
        <v>16</v>
      </c>
      <c r="BX3" s="463"/>
      <c r="BY3" s="103" t="s">
        <v>1039</v>
      </c>
      <c r="BZ3" s="103" t="s">
        <v>814</v>
      </c>
      <c r="CA3" s="115" t="s">
        <v>1290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>FbK Sokol Mladá Boleslav</v>
      </c>
      <c r="B4" s="431"/>
      <c r="C4" s="432"/>
      <c r="D4" s="433">
        <f ca="1">IFERROR(IF(VLOOKUP(A1,OFFSET($AG$2,,,COUNTIF($AG$2:$AG$50,"?*"),23),14,FALSE)&lt;&gt;0,VLOOKUP(A1,OFFSET($AG$2,,,COUNTIF($AG$2:$AG$50,"?*"),23),14,FALSE),"?"),"")</f>
        <v>2007</v>
      </c>
      <c r="E4" s="434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8">
        <f ca="1">IFERROR(IF(VLOOKUP(G3,OFFSET($AG$2,,,COUNTIF($AG$2:$AG$50,"?*"),23),2,FALSE)&lt;&gt;0,YEAR(VLOOKUP(G3,OFFSET($AG$2,,,COUNTIF($AG$2:$AG$50,"?*"),23),2,FALSE)),""),"")</f>
        <v>1993</v>
      </c>
      <c r="I4" s="429"/>
      <c r="J4" s="117">
        <f ca="1">IFERROR(VLOOKUP(G3,OFFSET($AG$2,,,COUNTIF($AG$2:$AG$50,"?*"),23),15,FALSE),"")</f>
        <v>28</v>
      </c>
      <c r="K4" s="419" t="str">
        <f ca="1">IFERROR(VLOOKUP(G3,OFFSET($AG$2,,,COUNTIF($AG$2:$AG$50,"?*"),23),16,FALSE),"")</f>
        <v>186/82</v>
      </c>
      <c r="L4" s="420"/>
      <c r="M4" s="430" t="str">
        <f ca="1">IFERROR(IF(VLOOKUP(M1,OFFSET($AG$2,,,COUNTIF($AG$2:$AG$50,"?*"),23),13,FALSE)&lt;&gt;0,VLOOKUP(M1,OFFSET($AG$2,,,COUNTIF($AG$2:$AG$50,"?*"),23),13,FALSE),"?"),"")</f>
        <v>FBC Česká Lípa</v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>?</v>
      </c>
      <c r="Q4" s="434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617</v>
      </c>
      <c r="T4" s="102" t="s">
        <v>106</v>
      </c>
      <c r="U4" s="102">
        <v>16</v>
      </c>
      <c r="V4" s="102">
        <v>11</v>
      </c>
      <c r="W4" s="102">
        <v>1</v>
      </c>
      <c r="X4" s="102">
        <v>0</v>
      </c>
      <c r="Y4" s="102">
        <v>4</v>
      </c>
      <c r="Z4" s="102">
        <v>15</v>
      </c>
      <c r="AA4" s="102">
        <v>4</v>
      </c>
      <c r="AB4" s="102">
        <v>-22</v>
      </c>
      <c r="AC4" s="102" t="str">
        <f t="shared" ca="1" si="0"/>
        <v>ANO</v>
      </c>
      <c r="AG4" s="121" t="s">
        <v>634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219</v>
      </c>
      <c r="AQ4" s="123">
        <v>191</v>
      </c>
      <c r="AR4" s="123">
        <v>84</v>
      </c>
      <c r="AS4" s="126" t="s">
        <v>644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1 V, 2 P</v>
      </c>
      <c r="AY4" s="129" t="str">
        <f t="shared" ca="1" si="2"/>
        <v>65 OZ, 3 A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655</v>
      </c>
      <c r="BO4" s="122">
        <v>31784</v>
      </c>
      <c r="BP4" s="131" t="s">
        <v>175</v>
      </c>
      <c r="BQ4" s="132"/>
      <c r="BR4" s="127">
        <f t="shared" ca="1" si="12"/>
        <v>34</v>
      </c>
      <c r="BS4" s="464"/>
      <c r="BT4" s="104" t="s">
        <v>1237</v>
      </c>
      <c r="BU4" s="103">
        <v>15</v>
      </c>
      <c r="BV4" s="104" t="str">
        <f t="shared" si="13"/>
        <v>Ondřej Kopič</v>
      </c>
      <c r="BW4" s="102">
        <f t="shared" si="14"/>
        <v>15</v>
      </c>
      <c r="BX4" s="463"/>
      <c r="BY4" s="103" t="s">
        <v>1331</v>
      </c>
      <c r="BZ4" s="103" t="s">
        <v>793</v>
      </c>
      <c r="CA4" s="115" t="s">
        <v>1347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>15 OZ, 14 (9+5), -12 ±</v>
      </c>
      <c r="H5" s="422"/>
      <c r="I5" s="422"/>
      <c r="J5" s="423" t="str">
        <f ca="1">IFERROR(VLOOKUP(G3,OFFSET($AG$2,,,COUNTIF($AG$2:$AG$50,"?*"),23),19,FALSE),"")</f>
        <v>209 OZ, 341 (243+98)</v>
      </c>
      <c r="K5" s="423"/>
      <c r="L5" s="424"/>
      <c r="S5" s="110" t="s">
        <v>622</v>
      </c>
      <c r="T5" s="102" t="s">
        <v>57</v>
      </c>
      <c r="U5" s="102">
        <v>15</v>
      </c>
      <c r="V5" s="102">
        <v>9</v>
      </c>
      <c r="W5" s="102">
        <v>4</v>
      </c>
      <c r="X5" s="102">
        <v>0</v>
      </c>
      <c r="Y5" s="102">
        <v>6</v>
      </c>
      <c r="Z5" s="102">
        <v>15</v>
      </c>
      <c r="AA5" s="102">
        <v>16</v>
      </c>
      <c r="AB5" s="102">
        <v>-6</v>
      </c>
      <c r="AC5" s="102" t="str">
        <f t="shared" ca="1" si="0"/>
        <v>ANO</v>
      </c>
      <c r="AG5" s="121" t="s">
        <v>619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136</v>
      </c>
      <c r="AQ5" s="123">
        <v>182</v>
      </c>
      <c r="AR5" s="123">
        <v>79</v>
      </c>
      <c r="AS5" s="126" t="s">
        <v>645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16 OZ, 3 (1+2), -16 ±</v>
      </c>
      <c r="AY5" s="129" t="str">
        <f t="shared" ca="1" si="2"/>
        <v>119 OZ, 53 (32+21)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656</v>
      </c>
      <c r="BO5" s="122">
        <v>29101</v>
      </c>
      <c r="BP5" s="131" t="s">
        <v>175</v>
      </c>
      <c r="BQ5" s="132"/>
      <c r="BR5" s="127">
        <f t="shared" ca="1" si="12"/>
        <v>42</v>
      </c>
      <c r="BS5" s="464"/>
      <c r="BT5" s="104" t="s">
        <v>1351</v>
      </c>
      <c r="BU5" s="103">
        <v>15</v>
      </c>
      <c r="BV5" s="104" t="str">
        <f t="shared" si="13"/>
        <v>Štěpán Slaný</v>
      </c>
      <c r="BW5" s="102">
        <f t="shared" si="14"/>
        <v>15</v>
      </c>
      <c r="BX5" s="463"/>
      <c r="BY5" s="103" t="s">
        <v>984</v>
      </c>
      <c r="BZ5" s="103" t="s">
        <v>792</v>
      </c>
      <c r="CA5" s="115" t="s">
        <v>1235</v>
      </c>
    </row>
    <row r="6" spans="1:79" ht="15" customHeight="1" thickTop="1" thickBot="1" x14ac:dyDescent="0.25">
      <c r="A6" s="425" t="s">
        <v>376</v>
      </c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30" t="str">
        <f ca="1">IFERROR(IF(VLOOKUP(G3,OFFSET($AG$2,,,COUNTIF($AG$2:$AG$50,"?*"),23),13,FALSE)&lt;&gt;0,VLOOKUP(G3,OFFSET($AG$2,,,COUNTIF($AG$2:$AG$50,"?*"),23),13,FALSE),"?"),"")</f>
        <v>Erupting Dragons H. B.</v>
      </c>
      <c r="H6" s="431"/>
      <c r="I6" s="432"/>
      <c r="J6" s="433" t="str">
        <f ca="1">IFERROR(IF(VLOOKUP(G3,OFFSET($AG$2,,,COUNTIF($AG$2:$AG$50,"?*"),23),14,FALSE)&lt;&gt;0,VLOOKUP(G3,OFFSET($AG$2,,,COUNTIF($AG$2:$AG$50,"?*"),23),14,FALSE),"?"),"")</f>
        <v>?</v>
      </c>
      <c r="K6" s="434"/>
      <c r="L6" s="7">
        <f ca="1">IFERROR(IF(VLOOKUP(G3,OFFSET($AG$2,,,COUNTIF($AG$2:$AG$50,"?*"),23),7,FALSE)&lt;&gt;0,VLOOKUP(G3,OFFSET($AG$2,,,COUNTIF($AG$2:$AG$50,"?*"),23),7,FALSE),"?"),"")</f>
        <v>10</v>
      </c>
      <c r="M6" s="425" t="s">
        <v>620</v>
      </c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620</v>
      </c>
      <c r="T6" s="102" t="s">
        <v>57</v>
      </c>
      <c r="U6" s="102">
        <v>15</v>
      </c>
      <c r="V6" s="102">
        <v>4</v>
      </c>
      <c r="W6" s="102">
        <v>1</v>
      </c>
      <c r="X6" s="102">
        <v>0</v>
      </c>
      <c r="Y6" s="102">
        <v>11</v>
      </c>
      <c r="Z6" s="102">
        <v>15</v>
      </c>
      <c r="AA6" s="102">
        <v>2</v>
      </c>
      <c r="AB6" s="102">
        <v>-29</v>
      </c>
      <c r="AC6" s="102" t="str">
        <f t="shared" ca="1" si="0"/>
        <v>ANO</v>
      </c>
      <c r="AG6" s="121" t="s">
        <v>618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26</v>
      </c>
      <c r="AQ6" s="123">
        <v>200</v>
      </c>
      <c r="AR6" s="123">
        <v>99</v>
      </c>
      <c r="AS6" s="126" t="s">
        <v>646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16 OZ, 16 (10+6), -21 ±</v>
      </c>
      <c r="AY6" s="129" t="str">
        <f t="shared" ca="1" si="2"/>
        <v>323 OZ, 309 (186+123)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4"/>
      <c r="BT6" s="104" t="s">
        <v>1238</v>
      </c>
      <c r="BU6" s="103">
        <v>15</v>
      </c>
      <c r="BV6" s="104" t="str">
        <f t="shared" si="13"/>
        <v>Daniel Štěrba</v>
      </c>
      <c r="BW6" s="102">
        <f t="shared" si="14"/>
        <v>15</v>
      </c>
      <c r="BX6" s="463"/>
      <c r="BY6" s="103" t="s">
        <v>1231</v>
      </c>
      <c r="BZ6" s="103" t="s">
        <v>816</v>
      </c>
      <c r="CA6" s="115" t="s">
        <v>1098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8">
        <f ca="1">IFERROR(IF(VLOOKUP(A6,OFFSET($AG$2,,,COUNTIF($AG$2:$AG$50,"?*"),23),2,FALSE)&lt;&gt;0,YEAR(VLOOKUP(A6,OFFSET($AG$2,,,COUNTIF($AG$2:$AG$50,"?*"),23),2,FALSE)),""),"")</f>
        <v>1993</v>
      </c>
      <c r="C7" s="429"/>
      <c r="D7" s="117">
        <f ca="1">IFERROR(VLOOKUP(A6,OFFSET($AG$2,,,COUNTIF($AG$2:$AG$50,"?*"),23),15,FALSE),"")</f>
        <v>28</v>
      </c>
      <c r="E7" s="419" t="str">
        <f ca="1">IFERROR(VLOOKUP(A6,OFFSET($AG$2,,,COUNTIF($AG$2:$AG$50,"?*"),23),16,FALSE),"")</f>
        <v>192/90</v>
      </c>
      <c r="F7" s="420"/>
      <c r="M7" s="4" t="str">
        <f ca="1">IFERROR(IF(VLOOKUP(M6,OFFSET($AG$2,,,COUNTIF($AG$2:$AG$50,"?*"),23),10,FALSE)&lt;&gt;0,VLOOKUP(M6,OFFSET($AG$2,,,COUNTIF($AG$2:$AG$50,"?*"),23),10,FALSE),""),"")</f>
        <v>P</v>
      </c>
      <c r="N7" s="428">
        <f ca="1">IFERROR(IF(VLOOKUP(M6,OFFSET($AG$2,,,COUNTIF($AG$2:$AG$50,"?*"),23),2,FALSE)&lt;&gt;0,YEAR(VLOOKUP(M6,OFFSET($AG$2,,,COUNTIF($AG$2:$AG$50,"?*"),23),2,FALSE)),""),"")</f>
        <v>1996</v>
      </c>
      <c r="O7" s="429"/>
      <c r="P7" s="117">
        <f ca="1">IFERROR(VLOOKUP(M6,OFFSET($AG$2,,,COUNTIF($AG$2:$AG$50,"?*"),23),15,FALSE),"")</f>
        <v>25</v>
      </c>
      <c r="Q7" s="419" t="str">
        <f ca="1">IFERROR(VLOOKUP(M6,OFFSET($AG$2,,,COUNTIF($AG$2:$AG$50,"?*"),23),16,FALSE),"")</f>
        <v>185/85</v>
      </c>
      <c r="R7" s="420"/>
      <c r="S7" s="110" t="s">
        <v>616</v>
      </c>
      <c r="T7" s="102" t="s">
        <v>106</v>
      </c>
      <c r="U7" s="102">
        <v>15</v>
      </c>
      <c r="V7" s="102">
        <v>9</v>
      </c>
      <c r="W7" s="102">
        <v>0</v>
      </c>
      <c r="X7" s="102">
        <v>1</v>
      </c>
      <c r="Y7" s="102">
        <v>5</v>
      </c>
      <c r="Z7" s="102">
        <v>14</v>
      </c>
      <c r="AA7" s="102">
        <v>12</v>
      </c>
      <c r="AB7" s="102">
        <v>-12</v>
      </c>
      <c r="AC7" s="102" t="str">
        <f t="shared" ca="1" si="0"/>
        <v>ANO</v>
      </c>
      <c r="AG7" s="121" t="s">
        <v>630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785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1352</v>
      </c>
      <c r="BU7" s="103" t="s">
        <v>1353</v>
      </c>
      <c r="BV7" s="104" t="str">
        <f t="shared" si="13"/>
        <v>Ivan Ponomarev</v>
      </c>
      <c r="BW7" s="112">
        <f t="shared" si="14"/>
        <v>8.56</v>
      </c>
      <c r="BX7" s="463" t="s">
        <v>192</v>
      </c>
      <c r="BY7" s="103" t="s">
        <v>1075</v>
      </c>
      <c r="BZ7" s="103" t="s">
        <v>1348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>14 OZ, 17 (9+8), -15 ±</v>
      </c>
      <c r="B8" s="422"/>
      <c r="C8" s="422"/>
      <c r="D8" s="423" t="str">
        <f ca="1">IFERROR(VLOOKUP(A6,OFFSET($AG$2,,,COUNTIF($AG$2:$AG$50,"?*"),23),19,FALSE),"")</f>
        <v>88 OZ, 78 (46+32)</v>
      </c>
      <c r="E8" s="423"/>
      <c r="F8" s="424"/>
      <c r="H8" s="435" t="s">
        <v>95</v>
      </c>
      <c r="I8" s="435"/>
      <c r="J8" s="435"/>
      <c r="K8" s="435"/>
      <c r="M8" s="421" t="str">
        <f ca="1">IFERROR(VLOOKUP(M6,OFFSET($AG$2,,,COUNTIF($AG$2:$AG$50,"?*"),23),18,FALSE),"")</f>
        <v>15 OZ, 15 (4+11), -29 ±</v>
      </c>
      <c r="N8" s="422"/>
      <c r="O8" s="422"/>
      <c r="P8" s="423" t="str">
        <f ca="1">IFERROR(VLOOKUP(M6,OFFSET($AG$2,,,COUNTIF($AG$2:$AG$50,"?*"),23),19,FALSE),"")</f>
        <v>117 OZ, 91 (32+59)</v>
      </c>
      <c r="Q8" s="423"/>
      <c r="R8" s="424"/>
      <c r="S8" s="110" t="s">
        <v>629</v>
      </c>
      <c r="T8" s="102" t="s">
        <v>106</v>
      </c>
      <c r="U8" s="102">
        <v>15</v>
      </c>
      <c r="V8" s="102">
        <v>2</v>
      </c>
      <c r="W8" s="102">
        <v>0</v>
      </c>
      <c r="X8" s="102">
        <v>0</v>
      </c>
      <c r="Y8" s="102">
        <v>11</v>
      </c>
      <c r="Z8" s="102">
        <v>13</v>
      </c>
      <c r="AA8" s="102">
        <v>6</v>
      </c>
      <c r="AB8" s="102">
        <v>-5</v>
      </c>
      <c r="AC8" s="102" t="str">
        <f t="shared" ca="1" si="0"/>
        <v>ANO</v>
      </c>
      <c r="AG8" s="121" t="s">
        <v>631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136</v>
      </c>
      <c r="AQ8" s="123"/>
      <c r="AR8" s="123"/>
      <c r="AS8" s="126" t="s">
        <v>388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1354</v>
      </c>
      <c r="BU8" s="103" t="s">
        <v>1355</v>
      </c>
      <c r="BV8" s="104" t="str">
        <f t="shared" si="13"/>
        <v>Jan Dvořák</v>
      </c>
      <c r="BW8" s="112">
        <f t="shared" si="14"/>
        <v>6.68</v>
      </c>
      <c r="BX8" s="463"/>
      <c r="BY8" s="103" t="s">
        <v>1232</v>
      </c>
      <c r="BZ8" s="103" t="s">
        <v>795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>FBC Česká Lípa</v>
      </c>
      <c r="B9" s="431"/>
      <c r="C9" s="432"/>
      <c r="D9" s="433">
        <f ca="1">IFERROR(IF(VLOOKUP(A6,OFFSET($AG$2,,,COUNTIF($AG$2:$AG$50,"?*"),23),14,FALSE)&lt;&gt;0,VLOOKUP(A6,OFFSET($AG$2,,,COUNTIF($AG$2:$AG$50,"?*"),23),14,FALSE),"?"),"")</f>
        <v>2008</v>
      </c>
      <c r="E9" s="434"/>
      <c r="F9" s="7">
        <f ca="1">IFERROR(IF(VLOOKUP(A6,OFFSET($AG$2,,,COUNTIF($AG$2:$AG$50,"?*"),23),7,FALSE)&lt;&gt;0,VLOOKUP(A6,OFFSET($AG$2,,,COUNTIF($AG$2:$AG$50,"?*"),23),7,FALSE),"?"),"")</f>
        <v>7</v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>FbK Sokol Mladá Boleslav</v>
      </c>
      <c r="N9" s="431"/>
      <c r="O9" s="432"/>
      <c r="P9" s="433">
        <f ca="1">IFERROR(IF(VLOOKUP(M6,OFFSET($AG$2,,,COUNTIF($AG$2:$AG$50,"?*"),23),14,FALSE)&lt;&gt;0,VLOOKUP(M6,OFFSET($AG$2,,,COUNTIF($AG$2:$AG$50,"?*"),23),14,FALSE),"?"),"")</f>
        <v>2007</v>
      </c>
      <c r="Q9" s="434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627</v>
      </c>
      <c r="T9" s="102" t="s">
        <v>57</v>
      </c>
      <c r="U9" s="102">
        <v>16</v>
      </c>
      <c r="V9" s="102">
        <v>7</v>
      </c>
      <c r="W9" s="102">
        <v>0</v>
      </c>
      <c r="X9" s="102">
        <v>0</v>
      </c>
      <c r="Y9" s="102">
        <v>2</v>
      </c>
      <c r="Z9" s="102">
        <v>9</v>
      </c>
      <c r="AA9" s="102">
        <v>16</v>
      </c>
      <c r="AB9" s="102">
        <v>-15</v>
      </c>
      <c r="AC9" s="102" t="str">
        <f t="shared" ca="1" si="0"/>
        <v>ANO</v>
      </c>
      <c r="AG9" s="121" t="s">
        <v>635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136</v>
      </c>
      <c r="AQ9" s="123">
        <v>185</v>
      </c>
      <c r="AR9" s="123">
        <v>76</v>
      </c>
      <c r="AS9" s="126" t="s">
        <v>388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1356</v>
      </c>
      <c r="BU9" s="103" t="s">
        <v>1357</v>
      </c>
      <c r="BV9" s="104" t="str">
        <f t="shared" si="13"/>
        <v>Lukáš Chyna</v>
      </c>
      <c r="BW9" s="112">
        <f t="shared" si="14"/>
        <v>7.61</v>
      </c>
      <c r="BX9" s="463"/>
      <c r="BY9" s="103" t="s">
        <v>1236</v>
      </c>
      <c r="BZ9" s="103" t="s">
        <v>826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621</v>
      </c>
      <c r="T10" s="102" t="s">
        <v>106</v>
      </c>
      <c r="U10" s="102">
        <v>15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4</v>
      </c>
      <c r="AB10" s="102">
        <v>-11</v>
      </c>
      <c r="AC10" s="102" t="str">
        <f t="shared" ca="1" si="0"/>
        <v>ANO</v>
      </c>
      <c r="AG10" s="121" t="s">
        <v>632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219</v>
      </c>
      <c r="AQ10" s="123">
        <v>181</v>
      </c>
      <c r="AR10" s="123">
        <v>79</v>
      </c>
      <c r="AS10" s="126" t="s">
        <v>388</v>
      </c>
      <c r="AT10" s="123"/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4 P</v>
      </c>
      <c r="AY10" s="129" t="str">
        <f t="shared" ca="1" si="2"/>
        <v>49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T10" s="104" t="s">
        <v>1240</v>
      </c>
      <c r="BU10" s="103" t="s">
        <v>1064</v>
      </c>
      <c r="BV10" s="104" t="str">
        <f t="shared" si="13"/>
        <v>Daniel Jukl</v>
      </c>
      <c r="BW10" s="112">
        <f t="shared" si="14"/>
        <v>15</v>
      </c>
      <c r="BX10" s="463"/>
      <c r="BY10" s="103" t="s">
        <v>1306</v>
      </c>
      <c r="BZ10" s="103" t="s">
        <v>800</v>
      </c>
      <c r="CA10" s="115" t="s">
        <v>187</v>
      </c>
    </row>
    <row r="11" spans="1:79" ht="15" customHeight="1" thickTop="1" thickBot="1" x14ac:dyDescent="0.25">
      <c r="R11" s="13"/>
      <c r="S11" s="110" t="s">
        <v>625</v>
      </c>
      <c r="T11" s="102" t="s">
        <v>106</v>
      </c>
      <c r="U11" s="102">
        <v>12</v>
      </c>
      <c r="V11" s="102">
        <v>2</v>
      </c>
      <c r="W11" s="102">
        <v>0</v>
      </c>
      <c r="X11" s="102">
        <v>0</v>
      </c>
      <c r="Y11" s="102">
        <v>3</v>
      </c>
      <c r="Z11" s="102">
        <v>5</v>
      </c>
      <c r="AA11" s="102">
        <v>4</v>
      </c>
      <c r="AB11" s="102">
        <v>-4</v>
      </c>
      <c r="AC11" s="102" t="str">
        <f t="shared" ca="1" si="0"/>
        <v>ANO</v>
      </c>
      <c r="AG11" s="121" t="s">
        <v>636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136</v>
      </c>
      <c r="AQ11" s="123">
        <v>186</v>
      </c>
      <c r="AR11" s="123">
        <v>63</v>
      </c>
      <c r="AS11" s="126" t="s">
        <v>643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BZ11" s="103" t="s">
        <v>787</v>
      </c>
      <c r="CA11" s="115" t="s">
        <v>187</v>
      </c>
    </row>
    <row r="12" spans="1:79" ht="15" customHeight="1" thickTop="1" thickBot="1" x14ac:dyDescent="0.25">
      <c r="A12" s="425" t="s">
        <v>624</v>
      </c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7" t="s">
        <v>7</v>
      </c>
      <c r="I12" s="427"/>
      <c r="J12" s="427"/>
      <c r="K12" s="427"/>
      <c r="M12" s="425" t="s">
        <v>625</v>
      </c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638</v>
      </c>
      <c r="T12" s="102" t="s">
        <v>57</v>
      </c>
      <c r="U12" s="102">
        <v>7</v>
      </c>
      <c r="V12" s="102">
        <v>3</v>
      </c>
      <c r="W12" s="102">
        <v>0</v>
      </c>
      <c r="X12" s="102">
        <v>0</v>
      </c>
      <c r="Y12" s="102">
        <v>1</v>
      </c>
      <c r="Z12" s="102">
        <v>4</v>
      </c>
      <c r="AA12" s="102">
        <v>27</v>
      </c>
      <c r="AB12" s="102">
        <v>-10</v>
      </c>
      <c r="AC12" s="102" t="str">
        <f t="shared" ca="1" si="0"/>
        <v>ANO</v>
      </c>
      <c r="AG12" s="121" t="s">
        <v>629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136</v>
      </c>
      <c r="AQ12" s="123">
        <v>186</v>
      </c>
      <c r="AR12" s="123">
        <v>87</v>
      </c>
      <c r="AS12" s="126" t="s">
        <v>388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15 OZ, 13 (2+11), -5 ±</v>
      </c>
      <c r="AY12" s="129" t="str">
        <f t="shared" ca="1" si="2"/>
        <v>118 OZ, 89 (27+62)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903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190</v>
      </c>
      <c r="BY12" s="100" t="s">
        <v>1349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8">
        <f ca="1">IFERROR(IF(VLOOKUP(A12,OFFSET($AG$2,,,COUNTIF($AG$2:$AG$50,"?*"),23),2,FALSE)&lt;&gt;0,YEAR(VLOOKUP(A12,OFFSET($AG$2,,,COUNTIF($AG$2:$AG$50,"?*"),23),2,FALSE)),""),"")</f>
        <v>1997</v>
      </c>
      <c r="C13" s="429"/>
      <c r="D13" s="117">
        <f ca="1">IFERROR(VLOOKUP(A12,OFFSET($AG$2,,,COUNTIF($AG$2:$AG$50,"?*"),23),15,FALSE),"")</f>
        <v>24</v>
      </c>
      <c r="E13" s="419" t="str">
        <f ca="1">IFERROR(VLOOKUP(A12,OFFSET($AG$2,,,COUNTIF($AG$2:$AG$50,"?*"),23),16,FALSE),"")</f>
        <v>185/75</v>
      </c>
      <c r="F13" s="420"/>
      <c r="M13" s="4" t="str">
        <f ca="1">IFERROR(IF(VLOOKUP(M12,OFFSET($AG$2,,,COUNTIF($AG$2:$AG$50,"?*"),23),10,FALSE)&lt;&gt;0,VLOOKUP(M12,OFFSET($AG$2,,,COUNTIF($AG$2:$AG$50,"?*"),23),10,FALSE),""),"")</f>
        <v>L</v>
      </c>
      <c r="N13" s="428">
        <f ca="1">IFERROR(IF(VLOOKUP(M12,OFFSET($AG$2,,,COUNTIF($AG$2:$AG$50,"?*"),23),2,FALSE)&lt;&gt;0,YEAR(VLOOKUP(M12,OFFSET($AG$2,,,COUNTIF($AG$2:$AG$50,"?*"),23),2,FALSE)),""),"")</f>
        <v>2003</v>
      </c>
      <c r="O13" s="429"/>
      <c r="P13" s="117">
        <f ca="1">IFERROR(VLOOKUP(M12,OFFSET($AG$2,,,COUNTIF($AG$2:$AG$50,"?*"),23),15,FALSE),"")</f>
        <v>18</v>
      </c>
      <c r="Q13" s="419" t="str">
        <f ca="1">IFERROR(VLOOKUP(M12,OFFSET($AG$2,,,COUNTIF($AG$2:$AG$50,"?*"),23),16,FALSE),"")</f>
        <v>170/62</v>
      </c>
      <c r="R13" s="420"/>
      <c r="S13" s="110" t="s">
        <v>902</v>
      </c>
      <c r="U13" s="102">
        <v>11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-4</v>
      </c>
      <c r="AC13" s="102" t="str">
        <f t="shared" ca="1" si="0"/>
        <v>ANO</v>
      </c>
      <c r="AG13" s="121" t="s">
        <v>637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136</v>
      </c>
      <c r="AQ13" s="123">
        <v>176</v>
      </c>
      <c r="AR13" s="123">
        <v>80</v>
      </c>
      <c r="AS13" s="126" t="s">
        <v>646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7 OZ, 2 (1+1), -3 ±</v>
      </c>
      <c r="AY13" s="129" t="str">
        <f t="shared" ca="1" si="2"/>
        <v>290 OZ, 72 (32+40)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1350</v>
      </c>
      <c r="BU13" s="103">
        <v>10</v>
      </c>
      <c r="BV13" s="104" t="str">
        <f t="shared" si="13"/>
        <v>Jaromír Ekl</v>
      </c>
      <c r="BW13" s="102">
        <f t="shared" si="14"/>
        <v>10</v>
      </c>
    </row>
    <row r="14" spans="1:79" ht="15" customHeight="1" thickTop="1" thickBot="1" x14ac:dyDescent="0.25">
      <c r="A14" s="421" t="str">
        <f ca="1">IFERROR(VLOOKUP(A12,OFFSET($AG$2,,,COUNTIF($AG$2:$AG$50,"?*"),23),18,FALSE),"")</f>
        <v>8 OZ, 3 (3+0), -1 ±</v>
      </c>
      <c r="B14" s="422"/>
      <c r="C14" s="422"/>
      <c r="D14" s="423" t="str">
        <f ca="1">IFERROR(VLOOKUP(A12,OFFSET($AG$2,,,COUNTIF($AG$2:$AG$50,"?*"),23),19,FALSE),"")</f>
        <v>73 OZ, 20 (11+9)</v>
      </c>
      <c r="E14" s="423"/>
      <c r="F14" s="424"/>
      <c r="G14" s="425" t="s">
        <v>629</v>
      </c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21" t="str">
        <f ca="1">IFERROR(VLOOKUP(M12,OFFSET($AG$2,,,COUNTIF($AG$2:$AG$50,"?*"),23),18,FALSE),"")</f>
        <v>12 OZ, 5 (2+3), -4 ±</v>
      </c>
      <c r="N14" s="422"/>
      <c r="O14" s="422"/>
      <c r="P14" s="423" t="str">
        <f ca="1">IFERROR(VLOOKUP(M12,OFFSET($AG$2,,,COUNTIF($AG$2:$AG$50,"?*"),23),19,FALSE),"")</f>
        <v>20 OZ, 5 (2+3)</v>
      </c>
      <c r="Q14" s="423"/>
      <c r="R14" s="424"/>
      <c r="S14" s="110" t="s">
        <v>624</v>
      </c>
      <c r="T14" s="102" t="s">
        <v>106</v>
      </c>
      <c r="U14" s="102">
        <v>8</v>
      </c>
      <c r="V14" s="102">
        <v>3</v>
      </c>
      <c r="W14" s="102">
        <v>0</v>
      </c>
      <c r="X14" s="102">
        <v>0</v>
      </c>
      <c r="Y14" s="102">
        <v>0</v>
      </c>
      <c r="Z14" s="102">
        <v>3</v>
      </c>
      <c r="AA14" s="102">
        <v>2</v>
      </c>
      <c r="AB14" s="102">
        <v>-1</v>
      </c>
      <c r="AC14" s="102" t="str">
        <f t="shared" ca="1" si="0"/>
        <v>ANO</v>
      </c>
      <c r="AG14" s="121" t="s">
        <v>621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136</v>
      </c>
      <c r="AQ14" s="123">
        <v>186</v>
      </c>
      <c r="AR14" s="123">
        <v>86</v>
      </c>
      <c r="AS14" s="126" t="s">
        <v>388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15 OZ, 7 (2+5), -11 ±</v>
      </c>
      <c r="AY14" s="129" t="str">
        <f t="shared" ca="1" si="2"/>
        <v>106 OZ, 33 (10+23)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983</v>
      </c>
      <c r="BU14" s="103">
        <v>9</v>
      </c>
      <c r="BV14" s="104" t="str">
        <f t="shared" si="13"/>
        <v>Milan Tichý</v>
      </c>
      <c r="BW14" s="102">
        <f t="shared" si="14"/>
        <v>9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>Akademie Zákupy</v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>?</v>
      </c>
      <c r="E15" s="434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8">
        <f ca="1">IFERROR(IF(VLOOKUP(G14,OFFSET($AG$2,,,COUNTIF($AG$2:$AG$50,"?*"),23),2,FALSE)&lt;&gt;0,YEAR(VLOOKUP(G14,OFFSET($AG$2,,,COUNTIF($AG$2:$AG$50,"?*"),23),2,FALSE)),""),"")</f>
        <v>1991</v>
      </c>
      <c r="I15" s="429"/>
      <c r="J15" s="117">
        <f ca="1">IFERROR(VLOOKUP(G14,OFFSET($AG$2,,,COUNTIF($AG$2:$AG$50,"?*"),23),15,FALSE),"")</f>
        <v>30</v>
      </c>
      <c r="K15" s="419" t="str">
        <f ca="1">IFERROR(VLOOKUP(G14,OFFSET($AG$2,,,COUNTIF($AG$2:$AG$50,"?*"),23),16,FALSE),"")</f>
        <v>186/87</v>
      </c>
      <c r="L15" s="420"/>
      <c r="M15" s="430" t="str">
        <f ca="1">IFERROR(IF(VLOOKUP(M12,OFFSET($AG$2,,,COUNTIF($AG$2:$AG$50,"?*"),23),13,FALSE)&lt;&gt;0,VLOOKUP(M12,OFFSET($AG$2,,,COUNTIF($AG$2:$AG$50,"?*"),23),13,FALSE),"?"),"")</f>
        <v>FBC Česká Lípa</v>
      </c>
      <c r="N15" s="431"/>
      <c r="O15" s="432"/>
      <c r="P15" s="433" t="str">
        <f ca="1">IFERROR(IF(VLOOKUP(M12,OFFSET($AG$2,,,COUNTIF($AG$2:$AG$50,"?*"),23),14,FALSE)&lt;&gt;0,VLOOKUP(M12,OFFSET($AG$2,,,COUNTIF($AG$2:$AG$50,"?*"),23),14,FALSE),"?"),"")</f>
        <v>?</v>
      </c>
      <c r="Q15" s="434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619</v>
      </c>
      <c r="T15" s="102" t="s">
        <v>106</v>
      </c>
      <c r="U15" s="102">
        <v>16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6</v>
      </c>
      <c r="AB15" s="102">
        <v>-16</v>
      </c>
      <c r="AC15" s="102" t="str">
        <f t="shared" ca="1" si="0"/>
        <v>ANO</v>
      </c>
      <c r="AG15" s="121" t="s">
        <v>617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136</v>
      </c>
      <c r="AQ15" s="123">
        <v>175</v>
      </c>
      <c r="AR15" s="123">
        <v>70</v>
      </c>
      <c r="AS15" s="126" t="s">
        <v>388</v>
      </c>
      <c r="AT15" s="123"/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16 OZ, 15 (11+4), -22 ±</v>
      </c>
      <c r="AY15" s="129" t="str">
        <f t="shared" ca="1" si="2"/>
        <v>40 OZ, 36 (25+11)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1063</v>
      </c>
      <c r="BU15" s="103">
        <v>9</v>
      </c>
      <c r="BV15" s="104" t="str">
        <f t="shared" si="13"/>
        <v>Radek Krajcigr</v>
      </c>
      <c r="BW15" s="102">
        <f t="shared" si="14"/>
        <v>9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>15 OZ, 13 (2+11), -5 ±</v>
      </c>
      <c r="H16" s="422"/>
      <c r="I16" s="422"/>
      <c r="J16" s="423" t="str">
        <f ca="1">IFERROR(VLOOKUP(G14,OFFSET($AG$2,,,COUNTIF($AG$2:$AG$50,"?*"),23),19,FALSE),"")</f>
        <v>118 OZ, 89 (27+62)</v>
      </c>
      <c r="K16" s="423"/>
      <c r="L16" s="424"/>
      <c r="S16" s="110" t="s">
        <v>626</v>
      </c>
      <c r="T16" s="102" t="s">
        <v>57</v>
      </c>
      <c r="U16" s="102">
        <v>14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4</v>
      </c>
      <c r="AB16" s="102">
        <v>0</v>
      </c>
      <c r="AC16" s="102" t="str">
        <f t="shared" ca="1" si="0"/>
        <v>ANO</v>
      </c>
      <c r="AG16" s="121" t="s">
        <v>625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136</v>
      </c>
      <c r="AQ16" s="123">
        <v>170</v>
      </c>
      <c r="AR16" s="123">
        <v>62</v>
      </c>
      <c r="AS16" s="126" t="s">
        <v>388</v>
      </c>
      <c r="AT16" s="123"/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12 OZ, 5 (2+3), -4 ±</v>
      </c>
      <c r="AY16" s="129" t="str">
        <f t="shared" ca="1" si="2"/>
        <v>20 OZ, 5 (2+3)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1243</v>
      </c>
      <c r="BU16" s="103">
        <v>9</v>
      </c>
      <c r="BV16" s="104" t="str">
        <f t="shared" si="13"/>
        <v>Štěpán Slaný</v>
      </c>
      <c r="BW16" s="102">
        <f t="shared" si="14"/>
        <v>9</v>
      </c>
    </row>
    <row r="17" spans="1:75" ht="15" customHeight="1" thickTop="1" thickBot="1" x14ac:dyDescent="0.25">
      <c r="A17" s="425" t="s">
        <v>390</v>
      </c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30" t="str">
        <f ca="1">IFERROR(IF(VLOOKUP(G14,OFFSET($AG$2,,,COUNTIF($AG$2:$AG$50,"?*"),23),13,FALSE)&lt;&gt;0,VLOOKUP(G14,OFFSET($AG$2,,,COUNTIF($AG$2:$AG$50,"?*"),23),13,FALSE),"?"),"")</f>
        <v>FBC Česká Lípa</v>
      </c>
      <c r="H17" s="431"/>
      <c r="I17" s="432"/>
      <c r="J17" s="433">
        <f ca="1">IFERROR(IF(VLOOKUP(G14,OFFSET($AG$2,,,COUNTIF($AG$2:$AG$50,"?*"),23),14,FALSE)&lt;&gt;0,VLOOKUP(G14,OFFSET($AG$2,,,COUNTIF($AG$2:$AG$50,"?*"),23),14,FALSE),"?"),"")</f>
        <v>2006</v>
      </c>
      <c r="K17" s="434"/>
      <c r="L17" s="7">
        <f ca="1">IFERROR(IF(VLOOKUP(G14,OFFSET($AG$2,,,COUNTIF($AG$2:$AG$50,"?*"),23),7,FALSE)&lt;&gt;0,VLOOKUP(G14,OFFSET($AG$2,,,COUNTIF($AG$2:$AG$50,"?*"),23),7,FALSE),"?"),"")</f>
        <v>6</v>
      </c>
      <c r="M17" s="425" t="s">
        <v>622</v>
      </c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637</v>
      </c>
      <c r="T17" s="102" t="s">
        <v>57</v>
      </c>
      <c r="U17" s="102">
        <v>7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2</v>
      </c>
      <c r="AB17" s="102">
        <v>-3</v>
      </c>
      <c r="AC17" s="102" t="str">
        <f t="shared" ca="1" si="0"/>
        <v>ANO</v>
      </c>
      <c r="AG17" s="121" t="s">
        <v>616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136</v>
      </c>
      <c r="AQ17" s="123">
        <v>186</v>
      </c>
      <c r="AR17" s="123">
        <v>82</v>
      </c>
      <c r="AS17" s="126" t="s">
        <v>647</v>
      </c>
      <c r="AT17" s="123"/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15 OZ, 14 (9+5), -12 ±</v>
      </c>
      <c r="AY17" s="129" t="str">
        <f t="shared" ca="1" si="2"/>
        <v>209 OZ, 341 (243+98)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1352</v>
      </c>
      <c r="BU17" s="103">
        <v>1</v>
      </c>
      <c r="BV17" s="104" t="str">
        <f t="shared" si="13"/>
        <v>Ivan Ponomarev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8">
        <f ca="1">IFERROR(IF(VLOOKUP(A17,OFFSET($AG$2,,,COUNTIF($AG$2:$AG$50,"?*"),23),2,FALSE)&lt;&gt;0,YEAR(VLOOKUP(A17,OFFSET($AG$2,,,COUNTIF($AG$2:$AG$50,"?*"),23),2,FALSE)),""),"")</f>
        <v>1994</v>
      </c>
      <c r="C18" s="429"/>
      <c r="D18" s="149">
        <f ca="1">IFERROR(VLOOKUP(A17,OFFSET($AG$2,,,COUNTIF($AG$2:$AG$50,"?*"),23),15,FALSE),"")</f>
        <v>27</v>
      </c>
      <c r="E18" s="419" t="str">
        <f ca="1">IFERROR(VLOOKUP(A17,OFFSET($AG$2,,,COUNTIF($AG$2:$AG$50,"?*"),23),16,FALSE),"")</f>
        <v>174/76</v>
      </c>
      <c r="F18" s="420"/>
      <c r="M18" s="4" t="str">
        <f ca="1">IFERROR(IF(VLOOKUP(M17,OFFSET($AG$2,,,COUNTIF($AG$2:$AG$50,"?*"),23),10,FALSE)&lt;&gt;0,VLOOKUP(M17,OFFSET($AG$2,,,COUNTIF($AG$2:$AG$50,"?*"),23),10,FALSE),""),"")</f>
        <v>L</v>
      </c>
      <c r="N18" s="428">
        <f ca="1">IFERROR(IF(VLOOKUP(M17,OFFSET($AG$2,,,COUNTIF($AG$2:$AG$50,"?*"),23),2,FALSE)&lt;&gt;0,YEAR(VLOOKUP(M17,OFFSET($AG$2,,,COUNTIF($AG$2:$AG$50,"?*"),23),2,FALSE)),""),"")</f>
        <v>1983</v>
      </c>
      <c r="O18" s="429"/>
      <c r="P18" s="117">
        <f ca="1">IFERROR(VLOOKUP(M17,OFFSET($AG$2,,,COUNTIF($AG$2:$AG$50,"?*"),23),15,FALSE),"")</f>
        <v>38</v>
      </c>
      <c r="Q18" s="419" t="str">
        <f ca="1">IFERROR(VLOOKUP(M17,OFFSET($AG$2,,,COUNTIF($AG$2:$AG$50,"?*"),23),16,FALSE),"")</f>
        <v>184/91</v>
      </c>
      <c r="R18" s="420"/>
      <c r="S18" s="110" t="s">
        <v>634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627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149</v>
      </c>
      <c r="AP18" s="125" t="s">
        <v>136</v>
      </c>
      <c r="AQ18" s="123">
        <v>185</v>
      </c>
      <c r="AR18" s="123">
        <v>85</v>
      </c>
      <c r="AS18" s="126" t="s">
        <v>648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16 OZ, 9 (7+2), -15 ±</v>
      </c>
      <c r="AY18" s="129" t="str">
        <f t="shared" ca="1" si="2"/>
        <v>99 OZ, 29 (19+10)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1358</v>
      </c>
      <c r="BU18" s="103">
        <v>2</v>
      </c>
      <c r="BV18" s="104" t="str">
        <f t="shared" si="13"/>
        <v>Lukáš Chyna</v>
      </c>
      <c r="BW18" s="102">
        <f t="shared" si="14"/>
        <v>2</v>
      </c>
    </row>
    <row r="19" spans="1:75" ht="15" customHeight="1" x14ac:dyDescent="0.2">
      <c r="A19" s="421" t="str">
        <f ca="1">IFERROR(VLOOKUP(A17,OFFSET($AG$2,,,COUNTIF($AG$2:$AG$50,"?*"),23),18,FALSE),"")</f>
        <v>6 OZ, 0 (0+0), -2 ±</v>
      </c>
      <c r="B19" s="422"/>
      <c r="C19" s="422"/>
      <c r="D19" s="423" t="str">
        <f ca="1">IFERROR(VLOOKUP(A17,OFFSET($AG$2,,,COUNTIF($AG$2:$AG$50,"?*"),23),19,FALSE),"")</f>
        <v>74 OZ, 44 (21+23)</v>
      </c>
      <c r="E19" s="423"/>
      <c r="F19" s="424"/>
      <c r="H19" s="435" t="str">
        <f>H$8</f>
        <v>CLP</v>
      </c>
      <c r="I19" s="435"/>
      <c r="J19" s="435"/>
      <c r="K19" s="435"/>
      <c r="M19" s="421" t="str">
        <f ca="1">IFERROR(VLOOKUP(M17,OFFSET($AG$2,,,COUNTIF($AG$2:$AG$50,"?*"),23),18,FALSE),"")</f>
        <v>15 OZ, 15 (9+6), -6 ±</v>
      </c>
      <c r="N19" s="422"/>
      <c r="O19" s="422"/>
      <c r="P19" s="423" t="str">
        <f ca="1">IFERROR(VLOOKUP(M17,OFFSET($AG$2,,,COUNTIF($AG$2:$AG$50,"?*"),23),19,FALSE),"")</f>
        <v>324 OZ, 335 (165+170)</v>
      </c>
      <c r="Q19" s="423"/>
      <c r="R19" s="424"/>
      <c r="S19" s="110" t="s">
        <v>1061</v>
      </c>
      <c r="T19" s="102" t="s">
        <v>106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-1</v>
      </c>
      <c r="AC19" s="102" t="str">
        <f t="shared" ca="1" si="0"/>
        <v>NE</v>
      </c>
      <c r="AG19" s="121" t="s">
        <v>638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136</v>
      </c>
      <c r="AQ19" s="123">
        <v>178</v>
      </c>
      <c r="AR19" s="123">
        <v>75</v>
      </c>
      <c r="AS19" s="126" t="s">
        <v>646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7 OZ, 4 (3+1), -10 ±</v>
      </c>
      <c r="AY19" s="129" t="str">
        <f t="shared" ca="1" si="2"/>
        <v>199 OZ, 75 (36+39)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1239</v>
      </c>
      <c r="BU19" s="103">
        <v>1</v>
      </c>
      <c r="BV19" s="104" t="str">
        <f t="shared" si="13"/>
        <v>Jan Dvořák</v>
      </c>
      <c r="BW19" s="102">
        <f t="shared" si="14"/>
        <v>1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>Pitbulls Kolín</v>
      </c>
      <c r="B20" s="431"/>
      <c r="C20" s="432"/>
      <c r="D20" s="433">
        <f ca="1">IFERROR(IF(VLOOKUP(A17,OFFSET($AG$2,,,COUNTIF($AG$2:$AG$50,"?*"),23),14,FALSE)&lt;&gt;0,VLOOKUP(A17,OFFSET($AG$2,,,COUNTIF($AG$2:$AG$50,"?*"),23),14,FALSE),"?"),"")</f>
        <v>2007</v>
      </c>
      <c r="E20" s="434"/>
      <c r="F20" s="7">
        <f ca="1">IFERROR(IF(VLOOKUP(A17,OFFSET($AG$2,,,COUNTIF($AG$2:$AG$50,"?*"),23),7,FALSE)&lt;&gt;0,VLOOKUP(A17,OFFSET($AG$2,,,COUNTIF($AG$2:$AG$50,"?*"),23),7,FALSE),"?"),"")</f>
        <v>5</v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>FBC Líný FŠI Česká Lípa</v>
      </c>
      <c r="N20" s="431"/>
      <c r="O20" s="432"/>
      <c r="P20" s="433">
        <f ca="1">IFERROR(IF(VLOOKUP(M17,OFFSET($AG$2,,,COUNTIF($AG$2:$AG$50,"?*"),23),14,FALSE)&lt;&gt;0,VLOOKUP(M17,OFFSET($AG$2,,,COUNTIF($AG$2:$AG$50,"?*"),23),14,FALSE),"?"),"")</f>
        <v>1998</v>
      </c>
      <c r="Q20" s="434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1060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390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136</v>
      </c>
      <c r="AQ20" s="123">
        <v>174</v>
      </c>
      <c r="AR20" s="123">
        <v>76</v>
      </c>
      <c r="AS20" s="126" t="s">
        <v>784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4"/>
      <c r="BT20" s="104" t="s">
        <v>1240</v>
      </c>
      <c r="BU20" s="103">
        <v>0</v>
      </c>
      <c r="BV20" s="104" t="str">
        <f t="shared" si="13"/>
        <v>Daniel Jukl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641</v>
      </c>
      <c r="T21" s="102" t="s">
        <v>106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639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136</v>
      </c>
      <c r="AQ21" s="123">
        <v>185</v>
      </c>
      <c r="AR21" s="123">
        <v>88</v>
      </c>
      <c r="AS21" s="126" t="s">
        <v>388</v>
      </c>
      <c r="AT21" s="123"/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630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623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783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8 P</v>
      </c>
      <c r="AY22" s="129" t="str">
        <f t="shared" ca="1" si="2"/>
        <v>141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4" t="s">
        <v>37</v>
      </c>
      <c r="BT22" s="104" t="s">
        <v>1241</v>
      </c>
      <c r="BU22" s="103">
        <v>11</v>
      </c>
      <c r="BV22" s="104" t="str">
        <f t="shared" si="13"/>
        <v>Daniel Štěrba</v>
      </c>
      <c r="BW22" s="102">
        <f t="shared" si="14"/>
        <v>11</v>
      </c>
    </row>
    <row r="23" spans="1:75" ht="15" customHeight="1" thickTop="1" thickBot="1" x14ac:dyDescent="0.25">
      <c r="A23" s="425" t="s">
        <v>621</v>
      </c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7" t="s">
        <v>12</v>
      </c>
      <c r="I23" s="427"/>
      <c r="J23" s="427"/>
      <c r="K23" s="427"/>
      <c r="M23" s="425" t="s">
        <v>619</v>
      </c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628</v>
      </c>
      <c r="T23" s="102" t="s">
        <v>106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640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136</v>
      </c>
      <c r="AQ23" s="123">
        <v>180</v>
      </c>
      <c r="AR23" s="123">
        <v>69</v>
      </c>
      <c r="AS23" s="126" t="s">
        <v>649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4"/>
      <c r="BT23" s="104" t="s">
        <v>1242</v>
      </c>
      <c r="BU23" s="103">
        <v>11</v>
      </c>
      <c r="BV23" s="104" t="str">
        <f t="shared" si="13"/>
        <v>Jakub Jirsa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8">
        <f ca="1">IFERROR(IF(VLOOKUP(A23,OFFSET($AG$2,,,COUNTIF($AG$2:$AG$50,"?*"),23),2,FALSE)&lt;&gt;0,YEAR(VLOOKUP(A23,OFFSET($AG$2,,,COUNTIF($AG$2:$AG$50,"?*"),23),2,FALSE)),""),"")</f>
        <v>1990</v>
      </c>
      <c r="C24" s="429"/>
      <c r="D24" s="117">
        <f ca="1">IFERROR(VLOOKUP(A23,OFFSET($AG$2,,,COUNTIF($AG$2:$AG$50,"?*"),23),15,FALSE),"")</f>
        <v>31</v>
      </c>
      <c r="E24" s="419" t="str">
        <f ca="1">IFERROR(VLOOKUP(A23,OFFSET($AG$2,,,COUNTIF($AG$2:$AG$50,"?*"),23),16,FALSE),"")</f>
        <v>186/86</v>
      </c>
      <c r="F24" s="420"/>
      <c r="M24" s="4" t="str">
        <f ca="1">IFERROR(IF(VLOOKUP(M23,OFFSET($AG$2,,,COUNTIF($AG$2:$AG$50,"?*"),23),10,FALSE)&lt;&gt;0,VLOOKUP(M23,OFFSET($AG$2,,,COUNTIF($AG$2:$AG$50,"?*"),23),10,FALSE),""),"")</f>
        <v>L</v>
      </c>
      <c r="N24" s="428">
        <f ca="1">IFERROR(IF(VLOOKUP(M23,OFFSET($AG$2,,,COUNTIF($AG$2:$AG$50,"?*"),23),2,FALSE)&lt;&gt;0,YEAR(VLOOKUP(M23,OFFSET($AG$2,,,COUNTIF($AG$2:$AG$50,"?*"),23),2,FALSE)),""),"")</f>
        <v>1986</v>
      </c>
      <c r="O24" s="429"/>
      <c r="P24" s="117">
        <f ca="1">IFERROR(VLOOKUP(M23,OFFSET($AG$2,,,COUNTIF($AG$2:$AG$50,"?*"),23),15,FALSE),"")</f>
        <v>35</v>
      </c>
      <c r="Q24" s="419" t="str">
        <f ca="1">IFERROR(VLOOKUP(M23,OFFSET($AG$2,,,COUNTIF($AG$2:$AG$50,"?*"),23),16,FALSE),"")</f>
        <v>182/79</v>
      </c>
      <c r="R24" s="420"/>
      <c r="S24" s="110" t="s">
        <v>390</v>
      </c>
      <c r="U24" s="102">
        <v>6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-2</v>
      </c>
      <c r="AC24" s="102" t="str">
        <f t="shared" ca="1" si="0"/>
        <v>ANO</v>
      </c>
      <c r="AG24" s="121" t="s">
        <v>622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136</v>
      </c>
      <c r="AQ24" s="123">
        <v>184</v>
      </c>
      <c r="AR24" s="123">
        <v>91</v>
      </c>
      <c r="AS24" s="126" t="s">
        <v>650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15 (9+6), -6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324 OZ, 335 (165+170)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4"/>
      <c r="BT24" s="104" t="s">
        <v>983</v>
      </c>
      <c r="BU24" s="103">
        <v>8</v>
      </c>
      <c r="BV24" s="104" t="str">
        <f t="shared" si="13"/>
        <v>Milan Tichý</v>
      </c>
      <c r="BW24" s="102">
        <f t="shared" si="14"/>
        <v>8</v>
      </c>
    </row>
    <row r="25" spans="1:75" ht="15" customHeight="1" thickTop="1" thickBot="1" x14ac:dyDescent="0.25">
      <c r="A25" s="421" t="str">
        <f ca="1">IFERROR(VLOOKUP(A23,OFFSET($AG$2,,,COUNTIF($AG$2:$AG$50,"?*"),23),18,FALSE),"")</f>
        <v>15 OZ, 7 (2+5), -11 ±</v>
      </c>
      <c r="B25" s="422"/>
      <c r="C25" s="422"/>
      <c r="D25" s="423" t="str">
        <f ca="1">IFERROR(VLOOKUP(A23,OFFSET($AG$2,,,COUNTIF($AG$2:$AG$50,"?*"),23),19,FALSE),"")</f>
        <v>106 OZ, 33 (10+23)</v>
      </c>
      <c r="E25" s="423"/>
      <c r="F25" s="424"/>
      <c r="G25" s="425" t="s">
        <v>627</v>
      </c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21" t="str">
        <f ca="1">IFERROR(VLOOKUP(M23,OFFSET($AG$2,,,COUNTIF($AG$2:$AG$50,"?*"),23),18,FALSE),"")</f>
        <v>16 OZ, 3 (1+2), -16 ±</v>
      </c>
      <c r="N25" s="422"/>
      <c r="O25" s="422"/>
      <c r="P25" s="423" t="str">
        <f ca="1">IFERROR(VLOOKUP(M23,OFFSET($AG$2,,,COUNTIF($AG$2:$AG$50,"?*"),23),19,FALSE),"")</f>
        <v>119 OZ, 53 (32+21)</v>
      </c>
      <c r="Q25" s="423"/>
      <c r="R25" s="424"/>
      <c r="S25" s="110" t="s">
        <v>631</v>
      </c>
      <c r="T25" s="102" t="s">
        <v>57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641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136</v>
      </c>
      <c r="AQ25" s="123">
        <v>194</v>
      </c>
      <c r="AR25" s="123">
        <v>89</v>
      </c>
      <c r="AS25" s="126" t="s">
        <v>388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4"/>
      <c r="BT25" s="104" t="s">
        <v>810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>FBC Česká Lípa</v>
      </c>
      <c r="B26" s="431"/>
      <c r="C26" s="432"/>
      <c r="D26" s="433">
        <f ca="1">IFERROR(IF(VLOOKUP(A23,OFFSET($AG$2,,,COUNTIF($AG$2:$AG$50,"?*"),23),14,FALSE)&lt;&gt;0,VLOOKUP(A23,OFFSET($AG$2,,,COUNTIF($AG$2:$AG$50,"?*"),23),14,FALSE),"?"),"")</f>
        <v>2006</v>
      </c>
      <c r="E26" s="434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8">
        <f ca="1">IFERROR(IF(VLOOKUP(G25,OFFSET($AG$2,,,COUNTIF($AG$2:$AG$50,"?*"),23),2,FALSE)&lt;&gt;0,YEAR(VLOOKUP(G25,OFFSET($AG$2,,,COUNTIF($AG$2:$AG$50,"?*"),23),2,FALSE)),""),"")</f>
        <v>1987</v>
      </c>
      <c r="I26" s="429"/>
      <c r="J26" s="117">
        <f ca="1">IFERROR(VLOOKUP(G25,OFFSET($AG$2,,,COUNTIF($AG$2:$AG$50,"?*"),23),15,FALSE),"")</f>
        <v>34</v>
      </c>
      <c r="K26" s="419" t="str">
        <f ca="1">IFERROR(VLOOKUP(G25,OFFSET($AG$2,,,COUNTIF($AG$2:$AG$50,"?*"),23),16,FALSE),"")</f>
        <v>185/85</v>
      </c>
      <c r="L26" s="420"/>
      <c r="M26" s="430" t="str">
        <f ca="1">IFERROR(IF(VLOOKUP(M23,OFFSET($AG$2,,,COUNTIF($AG$2:$AG$50,"?*"),23),13,FALSE)&lt;&gt;0,VLOOKUP(M23,OFFSET($AG$2,,,COUNTIF($AG$2:$AG$50,"?*"),23),13,FALSE),"?"),"")</f>
        <v>S.K. P.E.M.A. Opava</v>
      </c>
      <c r="N26" s="431"/>
      <c r="O26" s="432"/>
      <c r="P26" s="433">
        <f ca="1">IFERROR(IF(VLOOKUP(M23,OFFSET($AG$2,,,COUNTIF($AG$2:$AG$50,"?*"),23),14,FALSE)&lt;&gt;0,VLOOKUP(M23,OFFSET($AG$2,,,COUNTIF($AG$2:$AG$50,"?*"),23),14,FALSE),"?"),"")</f>
        <v>2005</v>
      </c>
      <c r="Q26" s="434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632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902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11 OZ, 4 (1+3), -4 ±</v>
      </c>
      <c r="AY26" s="129" t="str">
        <f t="shared" ca="1" si="16"/>
        <v>11 OZ, 4 (1+3)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4"/>
      <c r="BT26" s="104" t="s">
        <v>1243</v>
      </c>
      <c r="BU26" s="103">
        <v>6</v>
      </c>
      <c r="BV26" s="104" t="str">
        <f t="shared" si="13"/>
        <v>Štěpán Slaný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>16 OZ, 9 (7+2), -15 ±</v>
      </c>
      <c r="H27" s="422"/>
      <c r="I27" s="422"/>
      <c r="J27" s="423" t="str">
        <f ca="1">IFERROR(VLOOKUP(G25,OFFSET($AG$2,,,COUNTIF($AG$2:$AG$50,"?*"),23),19,FALSE),"")</f>
        <v>99 OZ, 29 (19+10)</v>
      </c>
      <c r="K27" s="423"/>
      <c r="L27" s="424"/>
      <c r="S27" s="110" t="s">
        <v>623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626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136</v>
      </c>
      <c r="AQ27" s="123">
        <v>192</v>
      </c>
      <c r="AR27" s="123">
        <v>82</v>
      </c>
      <c r="AS27" s="126" t="s">
        <v>388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14 OZ, 2 (2+0), 0 ±</v>
      </c>
      <c r="AY27" s="129" t="str">
        <f t="shared" ca="1" si="16"/>
        <v>35 OZ, 4 (4+0)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4" t="s">
        <v>38</v>
      </c>
      <c r="BT27" s="104" t="s">
        <v>811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5" t="s">
        <v>626</v>
      </c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30" t="str">
        <f ca="1">IFERROR(IF(VLOOKUP(G25,OFFSET($AG$2,,,COUNTIF($AG$2:$AG$50,"?*"),23),13,FALSE)&lt;&gt;0,VLOOKUP(G25,OFFSET($AG$2,,,COUNTIF($AG$2:$AG$50,"?*"),23),13,FALSE),"?"),"")</f>
        <v>Radiaci</v>
      </c>
      <c r="H28" s="431"/>
      <c r="I28" s="432"/>
      <c r="J28" s="433">
        <f ca="1">IFERROR(IF(VLOOKUP(G25,OFFSET($AG$2,,,COUNTIF($AG$2:$AG$50,"?*"),23),14,FALSE)&lt;&gt;0,VLOOKUP(G25,OFFSET($AG$2,,,COUNTIF($AG$2:$AG$50,"?*"),23),14,FALSE),"?"),"")</f>
        <v>1999</v>
      </c>
      <c r="K28" s="434"/>
      <c r="L28" s="7">
        <f ca="1">IFERROR(IF(VLOOKUP(G25,OFFSET($AG$2,,,COUNTIF($AG$2:$AG$50,"?*"),23),7,FALSE)&lt;&gt;0,VLOOKUP(G25,OFFSET($AG$2,,,COUNTIF($AG$2:$AG$50,"?*"),23),7,FALSE),"?"),"")</f>
        <v>6</v>
      </c>
      <c r="M28" s="425" t="s">
        <v>638</v>
      </c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620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26</v>
      </c>
      <c r="AQ28" s="123">
        <v>185</v>
      </c>
      <c r="AR28" s="123">
        <v>85</v>
      </c>
      <c r="AS28" s="126" t="s">
        <v>646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15 OZ, 15 (4+11), -29 ±</v>
      </c>
      <c r="AY28" s="129" t="str">
        <f t="shared" ca="1" si="16"/>
        <v>117 OZ, 91 (32+59)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4"/>
      <c r="BT28" s="104" t="s">
        <v>1359</v>
      </c>
      <c r="BU28" s="103">
        <v>16</v>
      </c>
      <c r="BV28" s="104" t="str">
        <f t="shared" si="13"/>
        <v>Lukáš Mlejnek</v>
      </c>
      <c r="BW28" s="102">
        <f t="shared" si="14"/>
        <v>16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8">
        <f ca="1">IFERROR(IF(VLOOKUP(A28,OFFSET($AG$2,,,COUNTIF($AG$2:$AG$50,"?*"),23),2,FALSE)&lt;&gt;0,YEAR(VLOOKUP(A28,OFFSET($AG$2,,,COUNTIF($AG$2:$AG$50,"?*"),23),2,FALSE)),""),"")</f>
        <v>2003</v>
      </c>
      <c r="C29" s="429"/>
      <c r="D29" s="117">
        <f ca="1">IFERROR(VLOOKUP(A28,OFFSET($AG$2,,,COUNTIF($AG$2:$AG$50,"?*"),23),15,FALSE),"")</f>
        <v>18</v>
      </c>
      <c r="E29" s="419" t="str">
        <f ca="1">IFERROR(VLOOKUP(A28,OFFSET($AG$2,,,COUNTIF($AG$2:$AG$50,"?*"),23),16,FALSE),"")</f>
        <v>192/82</v>
      </c>
      <c r="F29" s="420"/>
      <c r="M29" s="4" t="str">
        <f ca="1">IFERROR(IF(VLOOKUP(M28,OFFSET($AG$2,,,COUNTIF($AG$2:$AG$50,"?*"),23),10,FALSE)&lt;&gt;0,VLOOKUP(M28,OFFSET($AG$2,,,COUNTIF($AG$2:$AG$50,"?*"),23),10,FALSE),""),"")</f>
        <v>L</v>
      </c>
      <c r="N29" s="428">
        <f ca="1">IFERROR(IF(VLOOKUP(M28,OFFSET($AG$2,,,COUNTIF($AG$2:$AG$50,"?*"),23),2,FALSE)&lt;&gt;0,YEAR(VLOOKUP(M28,OFFSET($AG$2,,,COUNTIF($AG$2:$AG$50,"?*"),23),2,FALSE)),""),"")</f>
        <v>1993</v>
      </c>
      <c r="O29" s="429"/>
      <c r="P29" s="117">
        <f ca="1">IFERROR(VLOOKUP(M28,OFFSET($AG$2,,,COUNTIF($AG$2:$AG$50,"?*"),23),15,FALSE),"")</f>
        <v>28</v>
      </c>
      <c r="Q29" s="419" t="str">
        <f ca="1">IFERROR(VLOOKUP(M28,OFFSET($AG$2,,,COUNTIF($AG$2:$AG$50,"?*"),23),16,FALSE),"")</f>
        <v>178/75</v>
      </c>
      <c r="R29" s="420"/>
      <c r="S29" s="111"/>
      <c r="AC29" s="102" t="str">
        <f t="shared" ca="1" si="0"/>
        <v/>
      </c>
      <c r="AG29" s="121" t="s">
        <v>376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136</v>
      </c>
      <c r="AQ29" s="123">
        <v>192</v>
      </c>
      <c r="AR29" s="123">
        <v>90</v>
      </c>
      <c r="AS29" s="126" t="s">
        <v>388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14 OZ, 17 (9+8), -15 ±</v>
      </c>
      <c r="AY29" s="129" t="str">
        <f t="shared" ca="1" si="16"/>
        <v>88 OZ, 78 (46+32)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4"/>
      <c r="BT29" s="104" t="s">
        <v>1062</v>
      </c>
      <c r="BU29" s="103">
        <v>16</v>
      </c>
      <c r="BV29" s="104" t="str">
        <f t="shared" si="13"/>
        <v>Štěpán Slaný</v>
      </c>
      <c r="BW29" s="102">
        <f t="shared" si="14"/>
        <v>16</v>
      </c>
    </row>
    <row r="30" spans="1:75" ht="15" customHeight="1" x14ac:dyDescent="0.2">
      <c r="A30" s="421" t="str">
        <f ca="1">IFERROR(VLOOKUP(A28,OFFSET($AG$2,,,COUNTIF($AG$2:$AG$50,"?*"),23),18,FALSE),"")</f>
        <v>14 OZ, 2 (2+0), 0 ±</v>
      </c>
      <c r="B30" s="422"/>
      <c r="C30" s="422"/>
      <c r="D30" s="423" t="str">
        <f ca="1">IFERROR(VLOOKUP(A28,OFFSET($AG$2,,,COUNTIF($AG$2:$AG$50,"?*"),23),19,FALSE),"")</f>
        <v>35 OZ, 4 (4+0)</v>
      </c>
      <c r="E30" s="423"/>
      <c r="F30" s="424"/>
      <c r="H30" s="435" t="str">
        <f>H$8</f>
        <v>CLP</v>
      </c>
      <c r="I30" s="435"/>
      <c r="J30" s="435"/>
      <c r="K30" s="435"/>
      <c r="M30" s="421" t="str">
        <f ca="1">IFERROR(VLOOKUP(M28,OFFSET($AG$2,,,COUNTIF($AG$2:$AG$50,"?*"),23),18,FALSE),"")</f>
        <v>7 OZ, 4 (3+1), -10 ±</v>
      </c>
      <c r="N30" s="422"/>
      <c r="O30" s="422"/>
      <c r="P30" s="423" t="str">
        <f ca="1">IFERROR(VLOOKUP(M28,OFFSET($AG$2,,,COUNTIF($AG$2:$AG$50,"?*"),23),19,FALSE),"")</f>
        <v>199 OZ, 75 (36+39)</v>
      </c>
      <c r="Q30" s="423"/>
      <c r="R30" s="424"/>
      <c r="S30" s="111"/>
      <c r="AC30" s="102" t="str">
        <f t="shared" ca="1" si="0"/>
        <v/>
      </c>
      <c r="AG30" s="121" t="s">
        <v>624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136</v>
      </c>
      <c r="AQ30" s="123">
        <v>185</v>
      </c>
      <c r="AR30" s="123">
        <v>75</v>
      </c>
      <c r="AS30" s="126" t="s">
        <v>652</v>
      </c>
      <c r="AT30" s="123"/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4"/>
      <c r="BT30" s="104" t="s">
        <v>1063</v>
      </c>
      <c r="BU30" s="103">
        <v>12</v>
      </c>
      <c r="BV30" s="104" t="str">
        <f t="shared" si="13"/>
        <v>Radek Krajcigr</v>
      </c>
      <c r="BW30" s="102">
        <f t="shared" si="14"/>
        <v>12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>FBC Česká Lípa</v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>?</v>
      </c>
      <c r="E31" s="434"/>
      <c r="F31" s="7">
        <f ca="1">IFERROR(IF(VLOOKUP(A28,OFFSET($AG$2,,,COUNTIF($AG$2:$AG$50,"?*"),23),7,FALSE)&lt;&gt;0,VLOOKUP(A28,OFFSET($AG$2,,,COUNTIF($AG$2:$AG$50,"?*"),23),7,FALSE),"?"),"")</f>
        <v>2</v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>FbK Sokol Mladá Boleslav</v>
      </c>
      <c r="N31" s="431"/>
      <c r="O31" s="432"/>
      <c r="P31" s="433">
        <f ca="1">IFERROR(IF(VLOOKUP(M28,OFFSET($AG$2,,,COUNTIF($AG$2:$AG$50,"?*"),23),14,FALSE)&lt;&gt;0,VLOOKUP(M28,OFFSET($AG$2,,,COUNTIF($AG$2:$AG$50,"?*"),23),14,FALSE),"?"),"")</f>
        <v>2005</v>
      </c>
      <c r="Q31" s="434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642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136</v>
      </c>
      <c r="AQ31" s="123">
        <v>184</v>
      </c>
      <c r="AR31" s="123">
        <v>76</v>
      </c>
      <c r="AS31" s="126" t="s">
        <v>651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4"/>
      <c r="BT31" s="104" t="s">
        <v>1360</v>
      </c>
      <c r="BU31" s="103">
        <v>10</v>
      </c>
      <c r="BV31" s="104" t="str">
        <f t="shared" si="13"/>
        <v>Milan Tichý</v>
      </c>
      <c r="BW31" s="102">
        <f t="shared" si="14"/>
        <v>10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5" t="s">
        <v>632</v>
      </c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6" t="s">
        <v>15</v>
      </c>
      <c r="J34" s="425" t="s">
        <v>902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8">
        <f ca="1">IFERROR(IF(VLOOKUP(A34,OFFSET($AG$2,,,COUNTIF($AG$2:$AG$50,"?*"),23),2,FALSE)&lt;&gt;0,YEAR(VLOOKUP(A34,OFFSET($AG$2,,,COUNTIF($AG$2:$AG$50,"?*"),23),2,FALSE)),""),"")</f>
        <v>1997</v>
      </c>
      <c r="C35" s="429"/>
      <c r="D35" s="117">
        <f ca="1">IFERROR(VLOOKUP(A34,OFFSET($AG$2,,,COUNTIF($AG$2:$AG$50,"?*"),23),15,FALSE),"")</f>
        <v>24</v>
      </c>
      <c r="E35" s="419" t="str">
        <f ca="1">IFERROR(VLOOKUP(A34,OFFSET($AG$2,,,COUNTIF($AG$2:$AG$50,"?*"),23),16,FALSE),"")</f>
        <v>181/79</v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/>
      </c>
      <c r="K35" s="429" t="str">
        <f ca="1">IFERROR(IF(VLOOKUP(J34,OFFSET($AG$2,,,COUNTIF($AG$2:$AG$50,"?*"),23),2,FALSE)&lt;&gt;0,YEAR(VLOOKUP(J34,OFFSET($AG$2,,,COUNTIF($AG$2:$AG$50,"?*"),23),2,FALSE)),""),"")</f>
        <v/>
      </c>
      <c r="L35" s="437"/>
      <c r="M35" s="171" t="str">
        <f ca="1">IFERROR(VLOOKUP(J34,OFFSET($AG$2,,,COUNTIF($AG$2:$AG$50,"?*"),23),15,FALSE),"")</f>
        <v>?</v>
      </c>
      <c r="N35" s="437" t="str">
        <f ca="1">IFERROR(VLOOKUP(J34,OFFSET($AG$2,,,COUNTIF($AG$2:$AG$50,"?*"),23),16,FALSE),"")</f>
        <v>? / ?</v>
      </c>
      <c r="O35" s="437"/>
      <c r="P35" s="437" t="str">
        <f ca="1">IFERROR(VLOOKUP(J34,OFFSET($AG$2,,,COUNTIF($AG$2:$AG$50,"?*"),23),18,FALSE),"")</f>
        <v>11 OZ, 4 (1+3), -4 ±</v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6</v>
      </c>
      <c r="B36" s="445" t="str">
        <f ca="1">IFERROR(VLOOKUP(A34,OFFSET($AG$2,,,COUNTIF($AG$2:$AG$50,"?*"),23),18,FALSE),"")</f>
        <v>2 V, 4 P</v>
      </c>
      <c r="C36" s="445"/>
      <c r="D36" s="446">
        <f ca="1">IFERROR(VLOOKUP(A34,OFFSET($S$45,,,COUNTIF($S$45:$S$50,"?*"),14),5,FALSE),"")</f>
        <v>36</v>
      </c>
      <c r="E36" s="447"/>
      <c r="F36" s="17">
        <f ca="1">IFERROR(VLOOKUP(A34,OFFSET($S$45,,,COUNTIF($S$45:$S$50,"?*"),14),14,FALSE),"")</f>
        <v>72.727272727272734</v>
      </c>
      <c r="H36" s="436"/>
      <c r="J36" s="18" t="str">
        <f ca="1">IFERROR(IF(VLOOKUP(J34,OFFSET($AG$2,,,COUNTIF($AG$2:$AG$50,"?*"),23),7,FALSE)&lt;&gt;0,VLOOKUP(J34,OFFSET($AG$2,,,COUNTIF($AG$2:$AG$50,"?*"),23),7,FALSE),"?"),"")</f>
        <v>?</v>
      </c>
      <c r="K36" s="448" t="str">
        <f ca="1">IFERROR(VLOOKUP(J34,OFFSET($AG$2,,,COUNTIF($AG$2:$AG$50,"?*"),23),19,FALSE),"")</f>
        <v>11 OZ, 4 (1+3)</v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>?</v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>?</v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>
        <f ca="1">IFERROR(VLOOKUP(A34,OFFSET($S$45,,,COUNTIF($S$45:$S$50,"?*"),14),3,FALSE),"")</f>
        <v>283.89</v>
      </c>
      <c r="B37" s="439"/>
      <c r="C37" s="440">
        <f ca="1">IFERROR(VLOOKUP(A34,OFFSET($S$45,,,COUNTIF($S$45:$S$50,"?*"),14),13,FALSE),"")</f>
        <v>7.6085807883335104</v>
      </c>
      <c r="D37" s="441"/>
      <c r="E37" s="442" t="str">
        <f ca="1">IFERROR(VLOOKUP(A34,OFFSET($AG$2,,,COUNTIF($AG$2:$AG$50,"?*"),23),19,FALSE),"")</f>
        <v>49 OZ, 0 A</v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>FBC Česká Lípa</v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>?</v>
      </c>
      <c r="E38" s="434"/>
      <c r="F38" s="19">
        <f ca="1">IFERROR(VLOOKUP(A34,OFFSET($S$45,,,COUNTIF($S$45:$S$50,"?*"),14),6,FALSE),"")</f>
        <v>0</v>
      </c>
      <c r="H38" s="436"/>
      <c r="J38" s="425" t="s">
        <v>628</v>
      </c>
      <c r="K38" s="426"/>
      <c r="L38" s="426"/>
      <c r="M38" s="426"/>
      <c r="N38" s="426"/>
      <c r="O38" s="426"/>
      <c r="P38" s="426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>
        <f ca="1">IFERROR(IF(VLOOKUP(J38,OFFSET($AG$2,,,COUNTIF($AG$2:$AG$50,"?*"),23),2,FALSE)&lt;&gt;0,YEAR(VLOOKUP(J38,OFFSET($AG$2,,,COUNTIF($AG$2:$AG$50,"?*"),23),2,FALSE)),""),"")</f>
        <v>2003</v>
      </c>
      <c r="L39" s="437"/>
      <c r="M39" s="171">
        <f ca="1">IFERROR(VLOOKUP(J38,OFFSET($AG$2,,,COUNTIF($AG$2:$AG$50,"?*"),23),15,FALSE),"")</f>
        <v>18</v>
      </c>
      <c r="N39" s="437" t="str">
        <f ca="1">IFERROR(VLOOKUP(J38,OFFSET($AG$2,,,COUNTIF($AG$2:$AG$50,"?*"),23),16,FALSE),"")</f>
        <v>189/91</v>
      </c>
      <c r="O39" s="437"/>
      <c r="P39" s="437" t="str">
        <f ca="1">IFERROR(VLOOKUP(J38,OFFSET($AG$2,,,COUNTIF($AG$2:$AG$50,"?*"),23),18,FALSE),"")</f>
        <v>6 OZ, 0 (0+0), -2 ±</v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 t="s">
        <v>623</v>
      </c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6"/>
      <c r="J40" s="18">
        <f ca="1">IFERROR(IF(VLOOKUP(J38,OFFSET($AG$2,,,COUNTIF($AG$2:$AG$50,"?*"),23),7,FALSE)&lt;&gt;0,VLOOKUP(J38,OFFSET($AG$2,,,COUNTIF($AG$2:$AG$50,"?*"),23),7,FALSE),"?"),"")</f>
        <v>1</v>
      </c>
      <c r="K40" s="448" t="str">
        <f ca="1">IFERROR(VLOOKUP(J38,OFFSET($AG$2,,,COUNTIF($AG$2:$AG$50,"?*"),23),19,FALSE),"")</f>
        <v>6 OZ, 0 (0+0)</v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>FBC Česká Lípa</v>
      </c>
      <c r="O40" s="449"/>
      <c r="P40" s="449"/>
      <c r="Q40" s="448">
        <f ca="1">IFERROR(IF(VLOOKUP(J38,OFFSET($AG$2,,,COUNTIF($AG$2:$AG$50,"?*"),23),14,FALSE)&lt;&gt;0,VLOOKUP(J38,OFFSET($AG$2,,,COUNTIF($AG$2:$AG$50,"?*"),23),14,FALSE),"?"),"")</f>
        <v>2014</v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8">
        <f ca="1">IFERROR(IF(VLOOKUP(A40,OFFSET($AG$2,,,COUNTIF($AG$2:$AG$50,"?*"),23),2,FALSE)&lt;&gt;0,YEAR(VLOOKUP(A40,OFFSET($AG$2,,,COUNTIF($AG$2:$AG$50,"?*"),23),2,FALSE)),""),"")</f>
        <v>1984</v>
      </c>
      <c r="C41" s="429"/>
      <c r="D41" s="117">
        <f ca="1">IFERROR(VLOOKUP(A40,OFFSET($AG$2,,,COUNTIF($AG$2:$AG$50,"?*"),23),15,FALSE),"")</f>
        <v>37</v>
      </c>
      <c r="E41" s="419" t="str">
        <f ca="1">IFERROR(VLOOKUP(A40,OFFSET($AG$2,,,COUNTIF($AG$2:$AG$50,"?*"),23),16,FALSE),"")</f>
        <v>172/72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9</v>
      </c>
      <c r="B42" s="445" t="str">
        <f ca="1">IFERROR(VLOOKUP(A40,OFFSET($AG$2,,,COUNTIF($AG$2:$AG$50,"?*"),23),18,FALSE),"")</f>
        <v>1 V, 8 P</v>
      </c>
      <c r="C42" s="445"/>
      <c r="D42" s="446">
        <f ca="1">IFERROR(VLOOKUP(A40,OFFSET($S$45,,,COUNTIF($S$45:$S$50,"?*"),14),5,FALSE),"")</f>
        <v>67</v>
      </c>
      <c r="E42" s="447"/>
      <c r="F42" s="17">
        <f ca="1">IFERROR(VLOOKUP(A40,OFFSET($S$45,,,COUNTIF($S$45:$S$50,"?*"),14),14,FALSE),"")</f>
        <v>74.031007751937977</v>
      </c>
      <c r="H42" s="436"/>
      <c r="J42" s="425" t="s">
        <v>631</v>
      </c>
      <c r="K42" s="426"/>
      <c r="L42" s="426"/>
      <c r="M42" s="426"/>
      <c r="N42" s="426"/>
      <c r="O42" s="426"/>
      <c r="P42" s="426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>
        <f ca="1">IFERROR(VLOOKUP(A40,OFFSET($S$45,,,COUNTIF($S$45:$S$50,"?*"),14),3,FALSE),"")</f>
        <v>469.45</v>
      </c>
      <c r="B43" s="439"/>
      <c r="C43" s="440">
        <f ca="1">IFERROR(VLOOKUP(A40,OFFSET($S$45,,,COUNTIF($S$45:$S$50,"?*"),14),13,FALSE),"")</f>
        <v>8.5632122696772814</v>
      </c>
      <c r="D43" s="441"/>
      <c r="E43" s="442" t="str">
        <f ca="1">IFERROR(VLOOKUP(A40,OFFSET($AG$2,,,COUNTIF($AG$2:$AG$50,"?*"),23),19,FALSE),"")</f>
        <v>141 OZ, 7 A</v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>L</v>
      </c>
      <c r="K43" s="429">
        <f ca="1">IFERROR(IF(VLOOKUP(J42,OFFSET($AG$2,,,COUNTIF($AG$2:$AG$50,"?*"),23),2,FALSE)&lt;&gt;0,YEAR(VLOOKUP(J42,OFFSET($AG$2,,,COUNTIF($AG$2:$AG$50,"?*"),23),2,FALSE)),""),"")</f>
        <v>2004</v>
      </c>
      <c r="L43" s="437"/>
      <c r="M43" s="171">
        <f ca="1">IFERROR(VLOOKUP(J42,OFFSET($AG$2,,,COUNTIF($AG$2:$AG$50,"?*"),23),15,FALSE),"")</f>
        <v>17</v>
      </c>
      <c r="N43" s="437" t="str">
        <f ca="1">IFERROR(VLOOKUP(J42,OFFSET($AG$2,,,COUNTIF($AG$2:$AG$50,"?*"),23),16,FALSE),"")</f>
        <v>? / ?</v>
      </c>
      <c r="O43" s="437"/>
      <c r="P43" s="437" t="str">
        <f ca="1">IFERROR(VLOOKUP(J42,OFFSET($AG$2,,,COUNTIF($AG$2:$AG$50,"?*"),23),18,FALSE),"")</f>
        <v>7 OZ, 0 (0+0), -1 ±</v>
      </c>
      <c r="Q43" s="437"/>
      <c r="R43" s="444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>Taifun Moskva</v>
      </c>
      <c r="B44" s="431"/>
      <c r="C44" s="432"/>
      <c r="D44" s="433">
        <f ca="1">IFERROR(IF(VLOOKUP(A40,OFFSET($AG$2,,,COUNTIF($AG$2:$AG$50,"?*"),23),14,FALSE)&lt;&gt;0,VLOOKUP(A40,OFFSET($AG$2,,,COUNTIF($AG$2:$AG$50,"?*"),23),14,FALSE),"?"),"")</f>
        <v>1998</v>
      </c>
      <c r="E44" s="434"/>
      <c r="F44" s="19">
        <f ca="1">IFERROR(VLOOKUP(A40,OFFSET($S$45,,,COUNTIF($S$45:$S$50,"?*"),14),6,FALSE),"")</f>
        <v>0</v>
      </c>
      <c r="H44" s="436"/>
      <c r="J44" s="18">
        <f ca="1">IFERROR(IF(VLOOKUP(J42,OFFSET($AG$2,,,COUNTIF($AG$2:$AG$50,"?*"),23),7,FALSE)&lt;&gt;0,VLOOKUP(J42,OFFSET($AG$2,,,COUNTIF($AG$2:$AG$50,"?*"),23),7,FALSE),"?"),"")</f>
        <v>1</v>
      </c>
      <c r="K44" s="448" t="str">
        <f ca="1">IFERROR(VLOOKUP(J42,OFFSET($AG$2,,,COUNTIF($AG$2:$AG$50,"?*"),23),19,FALSE),"")</f>
        <v>7 OZ, 0 (0+0)</v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>FBC Česká Lípa</v>
      </c>
      <c r="O44" s="449"/>
      <c r="P44" s="449"/>
      <c r="Q44" s="448">
        <f ca="1">IFERROR(IF(VLOOKUP(J42,OFFSET($AG$2,,,COUNTIF($AG$2:$AG$50,"?*"),23),14,FALSE)&lt;&gt;0,VLOOKUP(J42,OFFSET($AG$2,,,COUNTIF($AG$2:$AG$50,"?*"),23),14,FALSE),"?"),"")</f>
        <v>2012</v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623</v>
      </c>
      <c r="T45" s="102">
        <v>9</v>
      </c>
      <c r="U45" s="112">
        <v>469.45</v>
      </c>
      <c r="V45" s="102">
        <v>1</v>
      </c>
      <c r="W45" s="102">
        <v>67</v>
      </c>
      <c r="X45" s="102">
        <v>0</v>
      </c>
      <c r="Y45" s="102">
        <v>258</v>
      </c>
      <c r="Z45" s="102">
        <v>0</v>
      </c>
      <c r="AA45" s="102">
        <v>8</v>
      </c>
      <c r="AB45" s="102">
        <v>191</v>
      </c>
      <c r="AC45" s="102">
        <v>0</v>
      </c>
      <c r="AD45" s="102">
        <v>0</v>
      </c>
      <c r="AE45" s="112">
        <f>IF(S45&lt;&gt;"",IF(T45&gt;0,W45/(U45/60),0),"")</f>
        <v>8.5632122696772814</v>
      </c>
      <c r="AF45" s="112">
        <f>IF(S45&lt;&gt;"",IF(Y45&gt;0,(AB45/Y45)*100,"-"),"")</f>
        <v>74.031007751937977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634</v>
      </c>
      <c r="T46" s="102">
        <v>3</v>
      </c>
      <c r="U46" s="112">
        <v>179.62</v>
      </c>
      <c r="V46" s="102">
        <v>1</v>
      </c>
      <c r="W46" s="102">
        <v>20</v>
      </c>
      <c r="X46" s="102">
        <v>0</v>
      </c>
      <c r="Y46" s="102">
        <v>80</v>
      </c>
      <c r="Z46" s="102">
        <v>0</v>
      </c>
      <c r="AA46" s="102">
        <v>2</v>
      </c>
      <c r="AB46" s="102">
        <v>60</v>
      </c>
      <c r="AC46" s="102">
        <v>1</v>
      </c>
      <c r="AD46" s="102">
        <v>0</v>
      </c>
      <c r="AE46" s="112">
        <f t="shared" ref="AE46:AE50" si="26">IF(S46&lt;&gt;"",IF(T46&gt;0,W46/(U46/60),0),"")</f>
        <v>6.6807705155327906</v>
      </c>
      <c r="AF46" s="112">
        <f t="shared" ref="AF46:AF50" si="27">IF(S46&lt;&gt;"",IF(Y46&gt;0,(AB46/Y46)*100,"-"),"")</f>
        <v>75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 t="s">
        <v>653</v>
      </c>
      <c r="B47" s="466"/>
      <c r="C47" s="466"/>
      <c r="D47" s="466"/>
      <c r="E47" s="461" t="str">
        <f ca="1">IFERROR(VLOOKUP(A47,OFFSET($BN$2,,,COUNTIF($BN$2:$BN$11,"?*"),5),3,FALSE),"")</f>
        <v>trenér</v>
      </c>
      <c r="F47" s="461"/>
      <c r="G47" s="461"/>
      <c r="H47" s="461"/>
      <c r="I47" s="462"/>
      <c r="J47" s="465" t="s">
        <v>654</v>
      </c>
      <c r="K47" s="466"/>
      <c r="L47" s="466"/>
      <c r="M47" s="466"/>
      <c r="N47" s="461" t="str">
        <f ca="1">IFERROR(VLOOKUP(J47,OFFSET($BN$2,,,COUNTIF($BN$2:$BN$11,"?*"),5),3,FALSE),"")</f>
        <v>asistent trenéra</v>
      </c>
      <c r="O47" s="461"/>
      <c r="P47" s="461"/>
      <c r="Q47" s="461"/>
      <c r="R47" s="462"/>
      <c r="S47" s="111" t="s">
        <v>632</v>
      </c>
      <c r="T47" s="102">
        <v>6</v>
      </c>
      <c r="U47" s="112">
        <v>283.89</v>
      </c>
      <c r="V47" s="102">
        <v>2</v>
      </c>
      <c r="W47" s="102">
        <v>36</v>
      </c>
      <c r="X47" s="102">
        <v>0</v>
      </c>
      <c r="Y47" s="102">
        <v>132</v>
      </c>
      <c r="Z47" s="102">
        <v>0</v>
      </c>
      <c r="AA47" s="102">
        <v>4</v>
      </c>
      <c r="AB47" s="102">
        <v>96</v>
      </c>
      <c r="AC47" s="102">
        <v>0</v>
      </c>
      <c r="AD47" s="102">
        <v>2</v>
      </c>
      <c r="AE47" s="112">
        <f t="shared" si="26"/>
        <v>7.6085807883335104</v>
      </c>
      <c r="AF47" s="112">
        <f t="shared" si="27"/>
        <v>72.727272727272734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>
        <f ca="1">IFERROR(VLOOKUP(A47,OFFSET($BN$2,,,COUNTIF($BN$2:$BN$11,"?*"),5),5,FALSE),"")</f>
        <v>36</v>
      </c>
      <c r="B48" s="453" t="str">
        <f ca="1">IFERROR(IF(VLOOKUP(A47,OFFSET($BN$2,,,COUNTIF($BN$2:$BN$11,"?*"),5),4,FALSE)&lt;&gt;0,VLOOKUP(A47,OFFSET($BN$2,,,COUNTIF($BN$2:$BN$11,"?*"),5),4,FALSE),"-"),"")</f>
        <v>-</v>
      </c>
      <c r="C48" s="453"/>
      <c r="D48" s="453"/>
      <c r="E48" s="453"/>
      <c r="F48" s="453"/>
      <c r="G48" s="453"/>
      <c r="H48" s="453"/>
      <c r="I48" s="454"/>
      <c r="J48" s="119">
        <f ca="1">IFERROR(VLOOKUP(J47,OFFSET($BN$2,,,COUNTIF($BN$2:$BN$11,"?*"),5),5,FALSE),"")</f>
        <v>38</v>
      </c>
      <c r="K48" s="457" t="str">
        <f ca="1">IFERROR(IF(VLOOKUP(J47,OFFSET($BN$2,,,COUNTIF($BN$2:$BN$11,"?*"),5),4,FALSE)&lt;&gt;0,VLOOKUP(J47,OFFSET($BN$2,,,COUNTIF($BN$2:$BN$11,"?*"),5),4,FALSE),"-"),"")</f>
        <v>-</v>
      </c>
      <c r="L48" s="457"/>
      <c r="M48" s="457"/>
      <c r="N48" s="457"/>
      <c r="O48" s="457"/>
      <c r="P48" s="457"/>
      <c r="Q48" s="457"/>
      <c r="R48" s="458"/>
      <c r="S48" s="111" t="s">
        <v>1060</v>
      </c>
      <c r="T48" s="102">
        <v>1</v>
      </c>
      <c r="U48" s="112">
        <v>20</v>
      </c>
      <c r="V48" s="102">
        <v>0</v>
      </c>
      <c r="W48" s="102">
        <v>5</v>
      </c>
      <c r="X48" s="102">
        <v>0</v>
      </c>
      <c r="Y48" s="102">
        <v>15</v>
      </c>
      <c r="Z48" s="102">
        <v>0</v>
      </c>
      <c r="AA48" s="102">
        <v>1</v>
      </c>
      <c r="AB48" s="102">
        <v>10</v>
      </c>
      <c r="AC48" s="102">
        <v>0</v>
      </c>
      <c r="AD48" s="102">
        <v>0</v>
      </c>
      <c r="AE48" s="112">
        <f t="shared" si="26"/>
        <v>15</v>
      </c>
      <c r="AF48" s="112">
        <f t="shared" si="27"/>
        <v>66.666666666666657</v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 t="s">
        <v>655</v>
      </c>
      <c r="K49" s="460"/>
      <c r="L49" s="460"/>
      <c r="M49" s="460"/>
      <c r="N49" s="461" t="str">
        <f ca="1">IFERROR(VLOOKUP(J49,OFFSET($BN$2,,,COUNTIF($BN$2:$BN$11,"?*"),5),3,FALSE),"")</f>
        <v>kondiční trenér</v>
      </c>
      <c r="O49" s="461"/>
      <c r="P49" s="461"/>
      <c r="Q49" s="461"/>
      <c r="R49" s="462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>
        <f ca="1">IFERROR(VLOOKUP(J49,OFFSET($BN$2,,,COUNTIF($BN$2:$BN$11,"?*"),5),5,FALSE),"")</f>
        <v>34</v>
      </c>
      <c r="K50" s="457" t="str">
        <f ca="1">IFERROR(IF(VLOOKUP(J49,OFFSET($BN$2,,,COUNTIF($BN$2:$BN$11,"?*"),5),4,FALSE)&lt;&gt;0,VLOOKUP(J49,OFFSET($BN$2,,,COUNTIF($BN$2:$BN$11,"?*"),5),4,FALSE),"-"),"")</f>
        <v>-</v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86" priority="11" stopIfTrue="1" operator="equal">
      <formula>"OTR"</formula>
    </cfRule>
    <cfRule type="cellIs" dxfId="585" priority="12" stopIfTrue="1" operator="equal">
      <formula>"PAR"</formula>
    </cfRule>
    <cfRule type="cellIs" dxfId="584" priority="13" stopIfTrue="1" operator="equal">
      <formula>"CLP"</formula>
    </cfRule>
    <cfRule type="cellIs" dxfId="583" priority="14" stopIfTrue="1" operator="equal">
      <formula>"HAT"</formula>
    </cfRule>
    <cfRule type="cellIs" dxfId="582" priority="15" stopIfTrue="1" operator="equal">
      <formula>"LIB"</formula>
    </cfRule>
    <cfRule type="cellIs" dxfId="581" priority="16" stopIfTrue="1" operator="equal">
      <formula>"BA"</formula>
    </cfRule>
    <cfRule type="cellIs" dxfId="580" priority="17" stopIfTrue="1" operator="equal">
      <formula>"SPA"</formula>
    </cfRule>
    <cfRule type="cellIs" dxfId="579" priority="18" stopIfTrue="1" operator="equal">
      <formula>"OST"</formula>
    </cfRule>
    <cfRule type="cellIs" dxfId="578" priority="19" stopIfTrue="1" operator="equal">
      <formula>"BOH"</formula>
    </cfRule>
    <cfRule type="cellIs" dxfId="577" priority="20" stopIfTrue="1" operator="equal">
      <formula>"TAT"</formula>
    </cfRule>
    <cfRule type="cellIs" dxfId="576" priority="21" stopIfTrue="1" operator="equal">
      <formula>"MB"</formula>
    </cfRule>
    <cfRule type="cellIs" dxfId="575" priority="22" stopIfTrue="1" operator="equal">
      <formula>"VIT"</formula>
    </cfRule>
    <cfRule type="cellIs" dxfId="574" priority="23" stopIfTrue="1" operator="equal">
      <formula>"CHO"</formula>
    </cfRule>
    <cfRule type="cellIs" dxfId="573" priority="24" stopIfTrue="1" operator="equal">
      <formula>"SKV"</formula>
    </cfRule>
  </conditionalFormatting>
  <conditionalFormatting sqref="H19:K20">
    <cfRule type="cellIs" dxfId="572" priority="39" stopIfTrue="1" operator="equal">
      <formula>"OTR"</formula>
    </cfRule>
    <cfRule type="cellIs" dxfId="571" priority="40" stopIfTrue="1" operator="equal">
      <formula>"PAR"</formula>
    </cfRule>
    <cfRule type="cellIs" dxfId="570" priority="41" stopIfTrue="1" operator="equal">
      <formula>"CLP"</formula>
    </cfRule>
    <cfRule type="cellIs" dxfId="569" priority="42" stopIfTrue="1" operator="equal">
      <formula>"HAT"</formula>
    </cfRule>
    <cfRule type="cellIs" dxfId="568" priority="43" stopIfTrue="1" operator="equal">
      <formula>"LIB"</formula>
    </cfRule>
    <cfRule type="cellIs" dxfId="567" priority="44" stopIfTrue="1" operator="equal">
      <formula>"BA"</formula>
    </cfRule>
    <cfRule type="cellIs" dxfId="566" priority="45" stopIfTrue="1" operator="equal">
      <formula>"SPA"</formula>
    </cfRule>
    <cfRule type="cellIs" dxfId="565" priority="46" stopIfTrue="1" operator="equal">
      <formula>"OST"</formula>
    </cfRule>
    <cfRule type="cellIs" dxfId="564" priority="47" stopIfTrue="1" operator="equal">
      <formula>"BOH"</formula>
    </cfRule>
    <cfRule type="cellIs" dxfId="563" priority="48" stopIfTrue="1" operator="equal">
      <formula>"TAT"</formula>
    </cfRule>
    <cfRule type="cellIs" dxfId="562" priority="49" stopIfTrue="1" operator="equal">
      <formula>"MB"</formula>
    </cfRule>
    <cfRule type="cellIs" dxfId="561" priority="50" stopIfTrue="1" operator="equal">
      <formula>"VIT"</formula>
    </cfRule>
    <cfRule type="cellIs" dxfId="560" priority="51" stopIfTrue="1" operator="equal">
      <formula>"CHO"</formula>
    </cfRule>
    <cfRule type="cellIs" dxfId="559" priority="52" stopIfTrue="1" operator="equal">
      <formula>"SKV"</formula>
    </cfRule>
  </conditionalFormatting>
  <conditionalFormatting sqref="H8:K9">
    <cfRule type="cellIs" dxfId="558" priority="25" stopIfTrue="1" operator="equal">
      <formula>"OTR"</formula>
    </cfRule>
    <cfRule type="cellIs" dxfId="557" priority="26" stopIfTrue="1" operator="equal">
      <formula>"PAR"</formula>
    </cfRule>
    <cfRule type="cellIs" dxfId="556" priority="27" stopIfTrue="1" operator="equal">
      <formula>"CLP"</formula>
    </cfRule>
    <cfRule type="cellIs" dxfId="555" priority="28" stopIfTrue="1" operator="equal">
      <formula>"HAT"</formula>
    </cfRule>
    <cfRule type="cellIs" dxfId="554" priority="29" stopIfTrue="1" operator="equal">
      <formula>"LIB"</formula>
    </cfRule>
    <cfRule type="cellIs" dxfId="553" priority="30" stopIfTrue="1" operator="equal">
      <formula>"BA"</formula>
    </cfRule>
    <cfRule type="cellIs" dxfId="552" priority="31" stopIfTrue="1" operator="equal">
      <formula>"SPA"</formula>
    </cfRule>
    <cfRule type="cellIs" dxfId="551" priority="32" stopIfTrue="1" operator="equal">
      <formula>"OST"</formula>
    </cfRule>
    <cfRule type="cellIs" dxfId="550" priority="33" stopIfTrue="1" operator="equal">
      <formula>"BOH"</formula>
    </cfRule>
    <cfRule type="cellIs" dxfId="549" priority="34" stopIfTrue="1" operator="equal">
      <formula>"TAT"</formula>
    </cfRule>
    <cfRule type="cellIs" dxfId="548" priority="35" stopIfTrue="1" operator="equal">
      <formula>"MB"</formula>
    </cfRule>
    <cfRule type="cellIs" dxfId="547" priority="36" stopIfTrue="1" operator="equal">
      <formula>"VIT"</formula>
    </cfRule>
    <cfRule type="cellIs" dxfId="546" priority="37" stopIfTrue="1" operator="equal">
      <formula>"CHO"</formula>
    </cfRule>
    <cfRule type="cellIs" dxfId="545" priority="38" stopIfTrue="1" operator="equal">
      <formula>"SKV"</formula>
    </cfRule>
  </conditionalFormatting>
  <conditionalFormatting sqref="S2:S42">
    <cfRule type="expression" dxfId="544" priority="9" stopIfTrue="1">
      <formula>IFERROR(IF(VLOOKUP($S2,OFFSET($AG$2,,,COUNTIF($AG$2:$AG$50,"?*")),1,FALSE)&lt;&gt;0,1,0),0)&gt;0</formula>
    </cfRule>
  </conditionalFormatting>
  <conditionalFormatting sqref="S2:S42">
    <cfRule type="expression" dxfId="543" priority="10">
      <formula>IFERROR(IF(VLOOKUP($S2,OFFSET($AG$2,,,COUNTIF($AG$2:$AG$50,"?*")),1,FALSE)&lt;&gt;0,1,0),0)=0</formula>
    </cfRule>
  </conditionalFormatting>
  <conditionalFormatting sqref="S45:S50">
    <cfRule type="expression" dxfId="542" priority="8">
      <formula>IFERROR(IF(VLOOKUP($S45,OFFSET($AG$2,,,COUNTIF($AG$2:$AG$50,"?*")),1,FALSE)&lt;&gt;0,1,0),0)&gt;0</formula>
    </cfRule>
  </conditionalFormatting>
  <conditionalFormatting sqref="S45:S50">
    <cfRule type="expression" dxfId="541" priority="7">
      <formula>IFERROR(IF(VLOOKUP($S45,OFFSET($AG$2,,,COUNTIF($AG$2:$AG$50,"?*")),1,FALSE)&lt;&gt;0,1,0),0)=0</formula>
    </cfRule>
  </conditionalFormatting>
  <conditionalFormatting sqref="AG2:AG50">
    <cfRule type="expression" dxfId="540" priority="4" stopIfTrue="1">
      <formula>OR($AH2="",$AI2="",$AJ2="",$AK2="",$AL2="",$AM2="",$AN2="",$AQ2="",$AR2="",$AS2="",$AT2="")</formula>
    </cfRule>
    <cfRule type="expression" dxfId="539" priority="5" stopIfTrue="1">
      <formula>IFERROR(IF(VLOOKUP($AG2,OFFSET($S$2,,,COUNTIF($S$2:$S$42,"?*")),1,FALSE)&lt;&gt;0,1,0),0)=0</formula>
    </cfRule>
    <cfRule type="expression" dxfId="538" priority="6">
      <formula>IFERROR(IF(VLOOKUP($AG2,OFFSET($S$2,,,COUNTIF($S$2:$S$42,"?*")),1,FALSE)&lt;&gt;0,1,0),0)&gt;0</formula>
    </cfRule>
  </conditionalFormatting>
  <conditionalFormatting sqref="AG2:AK50 AM2:BC50">
    <cfRule type="expression" dxfId="537" priority="3">
      <formula>AND($AG2&lt;&gt;"",MOD(ROW($AG2),2)=0)</formula>
    </cfRule>
  </conditionalFormatting>
  <conditionalFormatting sqref="BN2:BR11">
    <cfRule type="expression" dxfId="536" priority="2">
      <formula>AND($BN2&lt;&gt;"",MOD(ROW($BN2),2)=0)</formula>
    </cfRule>
  </conditionalFormatting>
  <conditionalFormatting sqref="AL2:AL50">
    <cfRule type="expression" dxfId="53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A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686</v>
      </c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</v>
      </c>
      <c r="H1" s="427" t="s">
        <v>1</v>
      </c>
      <c r="I1" s="427"/>
      <c r="J1" s="427"/>
      <c r="K1" s="427"/>
      <c r="M1" s="425" t="s">
        <v>475</v>
      </c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8">
        <f ca="1">IFERROR(IF(VLOOKUP(A1,OFFSET($AG$2,,,COUNTIF($AG$2:$AG$50,"?*"),23),2,FALSE)&lt;&gt;0,YEAR(VLOOKUP(A1,OFFSET($AG$2,,,COUNTIF($AG$2:$AG$50,"?*"),23),2,FALSE)),""),"")</f>
        <v>1994</v>
      </c>
      <c r="C2" s="429"/>
      <c r="D2" s="117">
        <f ca="1">IFERROR(VLOOKUP(A1,OFFSET($AG$2,,,COUNTIF($AG$2:$AG$50,"?*"),23),15,FALSE),"")</f>
        <v>26</v>
      </c>
      <c r="E2" s="419" t="str">
        <f ca="1">IFERROR(VLOOKUP(A1,OFFSET($AG$2,,,COUNTIF($AG$2:$AG$50,"?*"),23),16,FALSE),"")</f>
        <v>186/70</v>
      </c>
      <c r="F2" s="420"/>
      <c r="M2" s="4" t="str">
        <f ca="1">IFERROR(IF(VLOOKUP(M1,OFFSET($AG$2,,,COUNTIF($AG$2:$AG$50,"?*"),23),10,FALSE)&lt;&gt;0,VLOOKUP(M1,OFFSET($AG$2,,,COUNTIF($AG$2:$AG$50,"?*"),23),10,FALSE),""),"")</f>
        <v>L</v>
      </c>
      <c r="N2" s="428">
        <f ca="1">IFERROR(IF(VLOOKUP(M1,OFFSET($AG$2,,,COUNTIF($AG$2:$AG$50,"?*"),23),2,FALSE)&lt;&gt;0,YEAR(VLOOKUP(M1,OFFSET($AG$2,,,COUNTIF($AG$2:$AG$50,"?*"),23),2,FALSE)),""),"")</f>
        <v>1998</v>
      </c>
      <c r="O2" s="429"/>
      <c r="P2" s="117">
        <f ca="1">IFERROR(VLOOKUP(M1,OFFSET($AG$2,,,COUNTIF($AG$2:$AG$50,"?*"),23),15,FALSE),"")</f>
        <v>23</v>
      </c>
      <c r="Q2" s="419" t="str">
        <f ca="1">IFERROR(VLOOKUP(M1,OFFSET($AG$2,,,COUNTIF($AG$2:$AG$50,"?*"),23),16,FALSE),"")</f>
        <v>187/75</v>
      </c>
      <c r="R2" s="420"/>
      <c r="S2" s="110" t="s">
        <v>682</v>
      </c>
      <c r="U2" s="102">
        <v>16</v>
      </c>
      <c r="V2" s="102">
        <v>7</v>
      </c>
      <c r="W2" s="102">
        <v>2</v>
      </c>
      <c r="X2" s="102">
        <v>0</v>
      </c>
      <c r="Y2" s="102">
        <v>9</v>
      </c>
      <c r="Z2" s="102">
        <v>16</v>
      </c>
      <c r="AA2" s="102">
        <v>8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687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4 (3+1), +2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 OZ, 4 (3+1)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1209</v>
      </c>
      <c r="BO2" s="122">
        <v>31768</v>
      </c>
      <c r="BP2" s="131" t="s">
        <v>235</v>
      </c>
      <c r="BQ2" s="132" t="s">
        <v>1211</v>
      </c>
      <c r="BR2" s="127">
        <f ca="1">IF(BN2&lt;&gt;"",IF(BO2&lt;&gt;"",INT((TODAY()-BO2)/365),"?"),"")</f>
        <v>34</v>
      </c>
      <c r="BS2" s="464" t="s">
        <v>35</v>
      </c>
      <c r="BT2" s="104" t="s">
        <v>699</v>
      </c>
      <c r="BU2" s="103">
        <v>16</v>
      </c>
      <c r="BV2" s="104" t="str">
        <f>IFERROR(RIGHT(BT2,LEN(BT2)-SEARCH(" ",BT2)),"")</f>
        <v>Lukáš Jalový</v>
      </c>
      <c r="BW2" s="102">
        <f>IF(BT2&lt;&gt;0,_xlfn.NUMBERVALUE(BU2,","),"")</f>
        <v>16</v>
      </c>
      <c r="BX2" s="463" t="s">
        <v>191</v>
      </c>
      <c r="BY2" s="103" t="s">
        <v>1040</v>
      </c>
      <c r="BZ2" s="103" t="s">
        <v>807</v>
      </c>
      <c r="CA2" s="115" t="s">
        <v>1363</v>
      </c>
    </row>
    <row r="3" spans="1:79" ht="15" customHeight="1" thickTop="1" thickBot="1" x14ac:dyDescent="0.25">
      <c r="A3" s="421" t="str">
        <f ca="1">IFERROR(VLOOKUP(A1,OFFSET($AG$2,,,COUNTIF($AG$2:$AG$50,"?*"),23),18,FALSE),"")</f>
        <v>16 OZ, 15 (8+7), -8 ±</v>
      </c>
      <c r="B3" s="422"/>
      <c r="C3" s="422"/>
      <c r="D3" s="423" t="str">
        <f ca="1">IFERROR(VLOOKUP(A1,OFFSET($AG$2,,,COUNTIF($AG$2:$AG$50,"?*"),23),19,FALSE),"")</f>
        <v>151 OZ, 43 (36+7)</v>
      </c>
      <c r="E3" s="423"/>
      <c r="F3" s="424"/>
      <c r="G3" s="425" t="s">
        <v>684</v>
      </c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41</v>
      </c>
      <c r="M3" s="421" t="str">
        <f ca="1">IFERROR(VLOOKUP(M1,OFFSET($AG$2,,,COUNTIF($AG$2:$AG$50,"?*"),23),18,FALSE),"")</f>
        <v>14 OZ, 8 (4+4), -15 ±</v>
      </c>
      <c r="N3" s="422"/>
      <c r="O3" s="422"/>
      <c r="P3" s="423" t="str">
        <f ca="1">IFERROR(VLOOKUP(M1,OFFSET($AG$2,,,COUNTIF($AG$2:$AG$50,"?*"),23),19,FALSE),"")</f>
        <v>62 OZ, 29 (17+12)</v>
      </c>
      <c r="Q3" s="423"/>
      <c r="R3" s="424"/>
      <c r="S3" s="110" t="s">
        <v>686</v>
      </c>
      <c r="T3" s="102" t="s">
        <v>57</v>
      </c>
      <c r="U3" s="102">
        <v>16</v>
      </c>
      <c r="V3" s="102">
        <v>8</v>
      </c>
      <c r="W3" s="102">
        <v>2</v>
      </c>
      <c r="X3" s="102">
        <v>0</v>
      </c>
      <c r="Y3" s="102">
        <v>7</v>
      </c>
      <c r="Z3" s="102">
        <v>15</v>
      </c>
      <c r="AA3" s="102">
        <v>4</v>
      </c>
      <c r="AB3" s="102">
        <v>-8</v>
      </c>
      <c r="AC3" s="102" t="str">
        <f t="shared" ca="1" si="0"/>
        <v>ANO</v>
      </c>
      <c r="AG3" s="121" t="s">
        <v>686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26</v>
      </c>
      <c r="AQ3" s="123">
        <v>186</v>
      </c>
      <c r="AR3" s="123">
        <v>70</v>
      </c>
      <c r="AS3" s="126" t="s">
        <v>248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16 OZ, 15 (8+7), -8 ±</v>
      </c>
      <c r="AY3" s="129" t="str">
        <f t="shared" ca="1" si="2"/>
        <v>151 OZ, 43 (36+7)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1210</v>
      </c>
      <c r="BO3" s="122">
        <v>34154</v>
      </c>
      <c r="BP3" s="131" t="s">
        <v>236</v>
      </c>
      <c r="BQ3" s="132" t="s">
        <v>1211</v>
      </c>
      <c r="BR3" s="127">
        <f t="shared" ref="BR3:BR11" ca="1" si="12">IF(BN3&lt;&gt;"",IF(BO3&lt;&gt;"",INT((TODAY()-BO3)/365),"?"),"")</f>
        <v>28</v>
      </c>
      <c r="BS3" s="464"/>
      <c r="BT3" s="104" t="s">
        <v>813</v>
      </c>
      <c r="BU3" s="103">
        <v>15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15</v>
      </c>
      <c r="BX3" s="463"/>
      <c r="BY3" s="103" t="s">
        <v>1039</v>
      </c>
      <c r="BZ3" s="103" t="s">
        <v>792</v>
      </c>
      <c r="CA3" s="115" t="s">
        <v>1275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>Florbal Ústí</v>
      </c>
      <c r="B4" s="431"/>
      <c r="C4" s="432"/>
      <c r="D4" s="433">
        <f ca="1">IFERROR(IF(VLOOKUP(A1,OFFSET($AG$2,,,COUNTIF($AG$2:$AG$50,"?*"),23),14,FALSE)&lt;&gt;0,VLOOKUP(A1,OFFSET($AG$2,,,COUNTIF($AG$2:$AG$50,"?*"),23),14,FALSE),"?"),"")</f>
        <v>2002</v>
      </c>
      <c r="E4" s="434"/>
      <c r="F4" s="7">
        <f ca="1">IFERROR(IF(VLOOKUP(A1,OFFSET($AG$2,,,COUNTIF($AG$2:$AG$50,"?*"),23),7,FALSE)&lt;&gt;0,VLOOKUP(A1,OFFSET($AG$2,,,COUNTIF($AG$2:$AG$50,"?*"),23),7,FALSE),"?"),"")</f>
        <v>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8">
        <f ca="1">IFERROR(IF(VLOOKUP(G3,OFFSET($AG$2,,,COUNTIF($AG$2:$AG$50,"?*"),23),2,FALSE)&lt;&gt;0,YEAR(VLOOKUP(G3,OFFSET($AG$2,,,COUNTIF($AG$2:$AG$50,"?*"),23),2,FALSE)),""),"")</f>
        <v>1999</v>
      </c>
      <c r="I4" s="429"/>
      <c r="J4" s="117">
        <f ca="1">IFERROR(VLOOKUP(G3,OFFSET($AG$2,,,COUNTIF($AG$2:$AG$50,"?*"),23),15,FALSE),"")</f>
        <v>22</v>
      </c>
      <c r="K4" s="419" t="str">
        <f ca="1">IFERROR(VLOOKUP(G3,OFFSET($AG$2,,,COUNTIF($AG$2:$AG$50,"?*"),23),16,FALSE),"")</f>
        <v>179/67</v>
      </c>
      <c r="L4" s="420"/>
      <c r="M4" s="430" t="str">
        <f ca="1">IFERROR(IF(VLOOKUP(M1,OFFSET($AG$2,,,COUNTIF($AG$2:$AG$50,"?*"),23),13,FALSE)&lt;&gt;0,VLOOKUP(M1,OFFSET($AG$2,,,COUNTIF($AG$2:$AG$50,"?*"),23),13,FALSE),"?"),"")</f>
        <v>FBŠ Hattrick</v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>?</v>
      </c>
      <c r="Q4" s="434"/>
      <c r="R4" s="7">
        <f ca="1">IFERROR(IF(VLOOKUP(M1,OFFSET($AG$2,,,COUNTIF($AG$2:$AG$50,"?*"),23),7,FALSE)&lt;&gt;0,VLOOKUP(M1,OFFSET($AG$2,,,COUNTIF($AG$2:$AG$50,"?*"),23),7,FALSE),"?"),"")</f>
        <v>6</v>
      </c>
      <c r="S4" s="110" t="s">
        <v>698</v>
      </c>
      <c r="U4" s="102">
        <v>16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6</v>
      </c>
      <c r="AB4" s="102">
        <v>0</v>
      </c>
      <c r="AC4" s="102" t="str">
        <f t="shared" ca="1" si="0"/>
        <v>ANO</v>
      </c>
      <c r="AG4" s="121" t="s">
        <v>692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136</v>
      </c>
      <c r="AQ4" s="123">
        <v>194</v>
      </c>
      <c r="AR4" s="123">
        <v>92</v>
      </c>
      <c r="AS4" s="126" t="s">
        <v>1202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16 OZ, 2 (2+0), -12 ±</v>
      </c>
      <c r="AY4" s="129" t="str">
        <f t="shared" ca="1" si="2"/>
        <v>71 OZ, 8 (5+3)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1212</v>
      </c>
      <c r="BO4" s="122">
        <v>35361</v>
      </c>
      <c r="BP4" s="131" t="s">
        <v>238</v>
      </c>
      <c r="BQ4" s="132" t="s">
        <v>1211</v>
      </c>
      <c r="BR4" s="127">
        <f t="shared" ca="1" si="12"/>
        <v>25</v>
      </c>
      <c r="BS4" s="464"/>
      <c r="BT4" s="104" t="s">
        <v>1366</v>
      </c>
      <c r="BU4" s="103">
        <v>12</v>
      </c>
      <c r="BV4" s="104" t="str">
        <f t="shared" si="13"/>
        <v>Šimon Hronek</v>
      </c>
      <c r="BW4" s="102">
        <f t="shared" si="14"/>
        <v>12</v>
      </c>
      <c r="BX4" s="463"/>
      <c r="BY4" s="103" t="s">
        <v>1331</v>
      </c>
      <c r="BZ4" s="103" t="s">
        <v>823</v>
      </c>
      <c r="CA4" s="115" t="s">
        <v>1364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>16 OZ, 8 (3+5), -14 ±</v>
      </c>
      <c r="H5" s="422"/>
      <c r="I5" s="422"/>
      <c r="J5" s="423" t="str">
        <f ca="1">IFERROR(VLOOKUP(G3,OFFSET($AG$2,,,COUNTIF($AG$2:$AG$50,"?*"),23),19,FALSE),"")</f>
        <v>63 OZ, 25 (16+9)</v>
      </c>
      <c r="K5" s="423"/>
      <c r="L5" s="424"/>
      <c r="S5" s="110" t="s">
        <v>695</v>
      </c>
      <c r="U5" s="102">
        <v>16</v>
      </c>
      <c r="V5" s="102">
        <v>8</v>
      </c>
      <c r="W5" s="102">
        <v>1</v>
      </c>
      <c r="X5" s="102">
        <v>0</v>
      </c>
      <c r="Y5" s="102">
        <v>1</v>
      </c>
      <c r="Z5" s="102">
        <v>9</v>
      </c>
      <c r="AA5" s="102">
        <v>8</v>
      </c>
      <c r="AB5" s="102">
        <v>-12</v>
      </c>
      <c r="AC5" s="102" t="str">
        <f t="shared" ca="1" si="0"/>
        <v>ANO</v>
      </c>
      <c r="AG5" s="121" t="s">
        <v>681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149</v>
      </c>
      <c r="AP5" s="125" t="s">
        <v>26</v>
      </c>
      <c r="AQ5" s="123">
        <v>185</v>
      </c>
      <c r="AR5" s="123">
        <v>88</v>
      </c>
      <c r="AS5" s="126" t="s">
        <v>1203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1213</v>
      </c>
      <c r="BO5" s="122">
        <v>25435</v>
      </c>
      <c r="BP5" s="131" t="s">
        <v>1214</v>
      </c>
      <c r="BQ5" s="132" t="s">
        <v>1211</v>
      </c>
      <c r="BR5" s="127">
        <f t="shared" ca="1" si="12"/>
        <v>52</v>
      </c>
      <c r="BS5" s="464"/>
      <c r="BT5" s="104" t="s">
        <v>1367</v>
      </c>
      <c r="BU5" s="103">
        <v>9</v>
      </c>
      <c r="BV5" s="104" t="str">
        <f t="shared" si="13"/>
        <v>René Slezák</v>
      </c>
      <c r="BW5" s="102">
        <f t="shared" si="14"/>
        <v>9</v>
      </c>
      <c r="BX5" s="463"/>
      <c r="BY5" s="103" t="s">
        <v>979</v>
      </c>
      <c r="BZ5" s="103" t="s">
        <v>788</v>
      </c>
      <c r="CA5" s="115" t="s">
        <v>1077</v>
      </c>
    </row>
    <row r="6" spans="1:79" ht="15" customHeight="1" thickTop="1" thickBot="1" x14ac:dyDescent="0.25">
      <c r="A6" s="425" t="s">
        <v>682</v>
      </c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</v>
      </c>
      <c r="G6" s="430" t="str">
        <f ca="1">IFERROR(IF(VLOOKUP(G3,OFFSET($AG$2,,,COUNTIF($AG$2:$AG$50,"?*"),23),13,FALSE)&lt;&gt;0,VLOOKUP(G3,OFFSET($AG$2,,,COUNTIF($AG$2:$AG$50,"?*"),23),13,FALSE),"?"),"")</f>
        <v>Snipers Třebíč</v>
      </c>
      <c r="H6" s="431"/>
      <c r="I6" s="432"/>
      <c r="J6" s="433">
        <f ca="1">IFERROR(IF(VLOOKUP(G3,OFFSET($AG$2,,,COUNTIF($AG$2:$AG$50,"?*"),23),14,FALSE)&lt;&gt;0,VLOOKUP(G3,OFFSET($AG$2,,,COUNTIF($AG$2:$AG$50,"?*"),23),14,FALSE),"?"),"")</f>
        <v>2007</v>
      </c>
      <c r="K6" s="434"/>
      <c r="L6" s="7">
        <f ca="1">IFERROR(IF(VLOOKUP(G3,OFFSET($AG$2,,,COUNTIF($AG$2:$AG$50,"?*"),23),7,FALSE)&lt;&gt;0,VLOOKUP(G3,OFFSET($AG$2,,,COUNTIF($AG$2:$AG$50,"?*"),23),7,FALSE),"?"),"")</f>
        <v>3</v>
      </c>
      <c r="M6" s="425" t="s">
        <v>697</v>
      </c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45</v>
      </c>
      <c r="S6" s="110" t="s">
        <v>681</v>
      </c>
      <c r="T6" s="102" t="s">
        <v>106</v>
      </c>
      <c r="U6" s="102">
        <v>12</v>
      </c>
      <c r="V6" s="102">
        <v>6</v>
      </c>
      <c r="W6" s="102">
        <v>2</v>
      </c>
      <c r="X6" s="102">
        <v>0</v>
      </c>
      <c r="Y6" s="102">
        <v>2</v>
      </c>
      <c r="Z6" s="102">
        <v>8</v>
      </c>
      <c r="AA6" s="102">
        <v>2</v>
      </c>
      <c r="AB6" s="102">
        <v>-8</v>
      </c>
      <c r="AC6" s="102" t="str">
        <f t="shared" ca="1" si="0"/>
        <v>ANO</v>
      </c>
      <c r="AG6" s="121" t="s">
        <v>1070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6 OZ, 1 (0+1), +6 ±</v>
      </c>
      <c r="AY6" s="129" t="str">
        <f t="shared" ca="1" si="2"/>
        <v>6 OZ, 1 (0+1)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1215</v>
      </c>
      <c r="BO6" s="122">
        <v>33942</v>
      </c>
      <c r="BP6" s="131" t="s">
        <v>1216</v>
      </c>
      <c r="BQ6" s="132"/>
      <c r="BR6" s="127">
        <f t="shared" ca="1" si="12"/>
        <v>28</v>
      </c>
      <c r="BS6" s="464"/>
      <c r="BT6" s="104" t="s">
        <v>1368</v>
      </c>
      <c r="BU6" s="103">
        <v>8</v>
      </c>
      <c r="BV6" s="104" t="str">
        <f t="shared" si="13"/>
        <v>Marek Fuchs</v>
      </c>
      <c r="BW6" s="102">
        <f t="shared" si="14"/>
        <v>8</v>
      </c>
      <c r="BX6" s="463"/>
      <c r="BY6" s="103" t="s">
        <v>1200</v>
      </c>
      <c r="BZ6" s="103" t="s">
        <v>1348</v>
      </c>
      <c r="CA6" s="115" t="s">
        <v>758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8">
        <f ca="1">IFERROR(IF(VLOOKUP(A6,OFFSET($AG$2,,,COUNTIF($AG$2:$AG$50,"?*"),23),2,FALSE)&lt;&gt;0,YEAR(VLOOKUP(A6,OFFSET($AG$2,,,COUNTIF($AG$2:$AG$50,"?*"),23),2,FALSE)),""),"")</f>
        <v>1995</v>
      </c>
      <c r="C7" s="429"/>
      <c r="D7" s="117">
        <f ca="1">IFERROR(VLOOKUP(A6,OFFSET($AG$2,,,COUNTIF($AG$2:$AG$50,"?*"),23),15,FALSE),"")</f>
        <v>26</v>
      </c>
      <c r="E7" s="419" t="str">
        <f ca="1">IFERROR(VLOOKUP(A6,OFFSET($AG$2,,,COUNTIF($AG$2:$AG$50,"?*"),23),16,FALSE),"")</f>
        <v>178/73</v>
      </c>
      <c r="F7" s="420"/>
      <c r="M7" s="4" t="str">
        <f ca="1">IFERROR(IF(VLOOKUP(M6,OFFSET($AG$2,,,COUNTIF($AG$2:$AG$50,"?*"),23),10,FALSE)&lt;&gt;0,VLOOKUP(M6,OFFSET($AG$2,,,COUNTIF($AG$2:$AG$50,"?*"),23),10,FALSE),""),"")</f>
        <v>L</v>
      </c>
      <c r="N7" s="428">
        <f ca="1">IFERROR(IF(VLOOKUP(M6,OFFSET($AG$2,,,COUNTIF($AG$2:$AG$50,"?*"),23),2,FALSE)&lt;&gt;0,YEAR(VLOOKUP(M6,OFFSET($AG$2,,,COUNTIF($AG$2:$AG$50,"?*"),23),2,FALSE)),""),"")</f>
        <v>1994</v>
      </c>
      <c r="O7" s="429"/>
      <c r="P7" s="117">
        <f ca="1">IFERROR(VLOOKUP(M6,OFFSET($AG$2,,,COUNTIF($AG$2:$AG$50,"?*"),23),15,FALSE),"")</f>
        <v>27</v>
      </c>
      <c r="Q7" s="419" t="str">
        <f ca="1">IFERROR(VLOOKUP(M6,OFFSET($AG$2,,,COUNTIF($AG$2:$AG$50,"?*"),23),16,FALSE),"")</f>
        <v>188/88</v>
      </c>
      <c r="R7" s="420"/>
      <c r="S7" s="110" t="s">
        <v>475</v>
      </c>
      <c r="U7" s="102">
        <v>14</v>
      </c>
      <c r="V7" s="102">
        <v>4</v>
      </c>
      <c r="W7" s="102">
        <v>0</v>
      </c>
      <c r="X7" s="102">
        <v>0</v>
      </c>
      <c r="Y7" s="102">
        <v>4</v>
      </c>
      <c r="Z7" s="102">
        <v>8</v>
      </c>
      <c r="AA7" s="102">
        <v>10</v>
      </c>
      <c r="AB7" s="102">
        <v>-15</v>
      </c>
      <c r="AC7" s="102" t="str">
        <f t="shared" ca="1" si="0"/>
        <v>ANO</v>
      </c>
      <c r="AG7" s="121" t="s">
        <v>475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136</v>
      </c>
      <c r="AQ7" s="123">
        <v>187</v>
      </c>
      <c r="AR7" s="123">
        <v>75</v>
      </c>
      <c r="AS7" s="126" t="s">
        <v>1204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14 OZ, 8 (4+4), -15 ±</v>
      </c>
      <c r="AY7" s="129" t="str">
        <f t="shared" ca="1" si="2"/>
        <v>62 OZ, 29 (17+12)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1065</v>
      </c>
      <c r="BU7" s="103" t="s">
        <v>1369</v>
      </c>
      <c r="BV7" s="104" t="str">
        <f t="shared" si="13"/>
        <v>Zdeněk Raška</v>
      </c>
      <c r="BW7" s="112">
        <f t="shared" si="14"/>
        <v>6.43</v>
      </c>
      <c r="BX7" s="463" t="s">
        <v>192</v>
      </c>
      <c r="BY7" s="103" t="s">
        <v>1075</v>
      </c>
      <c r="BZ7" s="103" t="s">
        <v>802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>16 OZ, 16 (7+9), -10 ±</v>
      </c>
      <c r="B8" s="422"/>
      <c r="C8" s="422"/>
      <c r="D8" s="423" t="str">
        <f ca="1">IFERROR(VLOOKUP(A6,OFFSET($AG$2,,,COUNTIF($AG$2:$AG$50,"?*"),23),19,FALSE),"")</f>
        <v>113 OZ, 62 (23+39)</v>
      </c>
      <c r="E8" s="423"/>
      <c r="F8" s="424"/>
      <c r="H8" s="435" t="s">
        <v>96</v>
      </c>
      <c r="I8" s="435"/>
      <c r="J8" s="435"/>
      <c r="K8" s="435"/>
      <c r="M8" s="421" t="str">
        <f ca="1">IFERROR(VLOOKUP(M6,OFFSET($AG$2,,,COUNTIF($AG$2:$AG$50,"?*"),23),18,FALSE),"")</f>
        <v>15 OZ, 7 (2+5), -15 ±</v>
      </c>
      <c r="N8" s="422"/>
      <c r="O8" s="422"/>
      <c r="P8" s="423" t="str">
        <f ca="1">IFERROR(VLOOKUP(M6,OFFSET($AG$2,,,COUNTIF($AG$2:$AG$50,"?*"),23),19,FALSE),"")</f>
        <v>158 OZ, 74 (26+48)</v>
      </c>
      <c r="Q8" s="423"/>
      <c r="R8" s="424"/>
      <c r="S8" s="110" t="s">
        <v>684</v>
      </c>
      <c r="U8" s="102">
        <v>16</v>
      </c>
      <c r="V8" s="102">
        <v>3</v>
      </c>
      <c r="W8" s="102">
        <v>0</v>
      </c>
      <c r="X8" s="102">
        <v>0</v>
      </c>
      <c r="Y8" s="102">
        <v>5</v>
      </c>
      <c r="Z8" s="102">
        <v>8</v>
      </c>
      <c r="AA8" s="102">
        <v>2</v>
      </c>
      <c r="AB8" s="102">
        <v>-14</v>
      </c>
      <c r="AC8" s="102" t="str">
        <f t="shared" ca="1" si="0"/>
        <v>ANO</v>
      </c>
      <c r="AG8" s="121" t="s">
        <v>698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136</v>
      </c>
      <c r="AQ8" s="123">
        <v>180</v>
      </c>
      <c r="AR8" s="123">
        <v>70</v>
      </c>
      <c r="AS8" s="126" t="s">
        <v>1204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16 OZ, 12 (7+5), 0 ±</v>
      </c>
      <c r="AY8" s="129" t="str">
        <f t="shared" ca="1" si="2"/>
        <v>41 OZ, 19 (12+7)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1066</v>
      </c>
      <c r="BU8" s="103" t="s">
        <v>985</v>
      </c>
      <c r="BV8" s="104" t="str">
        <f t="shared" si="13"/>
        <v>Filip Létal</v>
      </c>
      <c r="BW8" s="112">
        <f t="shared" si="14"/>
        <v>7.42</v>
      </c>
      <c r="BX8" s="463"/>
      <c r="BY8" s="103" t="s">
        <v>1232</v>
      </c>
      <c r="BZ8" s="103" t="s">
        <v>818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>Atlas Blansko</v>
      </c>
      <c r="B9" s="431"/>
      <c r="C9" s="432"/>
      <c r="D9" s="433">
        <f ca="1">IFERROR(IF(VLOOKUP(A6,OFFSET($AG$2,,,COUNTIF($AG$2:$AG$50,"?*"),23),14,FALSE)&lt;&gt;0,VLOOKUP(A6,OFFSET($AG$2,,,COUNTIF($AG$2:$AG$50,"?*"),23),14,FALSE),"?"),"")</f>
        <v>2007</v>
      </c>
      <c r="E9" s="434"/>
      <c r="F9" s="7">
        <f ca="1">IFERROR(IF(VLOOKUP(A6,OFFSET($AG$2,,,COUNTIF($AG$2:$AG$50,"?*"),23),7,FALSE)&lt;&gt;0,VLOOKUP(A6,OFFSET($AG$2,,,COUNTIF($AG$2:$AG$50,"?*"),23),7,FALSE),"?"),"")</f>
        <v>8</v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>FbŠ Bohemians</v>
      </c>
      <c r="N9" s="431"/>
      <c r="O9" s="432"/>
      <c r="P9" s="433">
        <f ca="1">IFERROR(IF(VLOOKUP(M6,OFFSET($AG$2,,,COUNTIF($AG$2:$AG$50,"?*"),23),14,FALSE)&lt;&gt;0,VLOOKUP(M6,OFFSET($AG$2,,,COUNTIF($AG$2:$AG$50,"?*"),23),14,FALSE),"?"),"")</f>
        <v>2002</v>
      </c>
      <c r="Q9" s="434"/>
      <c r="R9" s="7">
        <f ca="1">IFERROR(IF(VLOOKUP(M6,OFFSET($AG$2,,,COUNTIF($AG$2:$AG$50,"?*"),23),7,FALSE)&lt;&gt;0,VLOOKUP(M6,OFFSET($AG$2,,,COUNTIF($AG$2:$AG$50,"?*"),23),7,FALSE),"?"),"")</f>
        <v>11</v>
      </c>
      <c r="S9" s="110" t="s">
        <v>685</v>
      </c>
      <c r="U9" s="102">
        <v>15</v>
      </c>
      <c r="V9" s="102">
        <v>3</v>
      </c>
      <c r="W9" s="102">
        <v>0</v>
      </c>
      <c r="X9" s="102">
        <v>0</v>
      </c>
      <c r="Y9" s="102">
        <v>4</v>
      </c>
      <c r="Z9" s="102">
        <v>7</v>
      </c>
      <c r="AA9" s="102">
        <v>7</v>
      </c>
      <c r="AB9" s="102">
        <v>-14</v>
      </c>
      <c r="AC9" s="102" t="str">
        <f t="shared" ca="1" si="0"/>
        <v>ANO</v>
      </c>
      <c r="AG9" s="121" t="s">
        <v>682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136</v>
      </c>
      <c r="AQ9" s="123">
        <v>178</v>
      </c>
      <c r="AR9" s="123">
        <v>73</v>
      </c>
      <c r="AS9" s="126" t="s">
        <v>1205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16 OZ, 16 (7+9), -10 ±</v>
      </c>
      <c r="AY9" s="129" t="str">
        <f t="shared" ca="1" si="2"/>
        <v>113 OZ, 62 (23+39)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1067</v>
      </c>
      <c r="BU9" s="103" t="s">
        <v>1370</v>
      </c>
      <c r="BV9" s="104" t="str">
        <f t="shared" si="13"/>
        <v>Ondřej Kolajta</v>
      </c>
      <c r="BW9" s="112">
        <f t="shared" si="14"/>
        <v>9.14</v>
      </c>
      <c r="BX9" s="463"/>
      <c r="BY9" s="103" t="s">
        <v>1236</v>
      </c>
      <c r="BZ9" s="103" t="s">
        <v>808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697</v>
      </c>
      <c r="T10" s="102" t="s">
        <v>57</v>
      </c>
      <c r="U10" s="102">
        <v>15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16</v>
      </c>
      <c r="AB10" s="102">
        <v>-15</v>
      </c>
      <c r="AC10" s="102" t="str">
        <f t="shared" ca="1" si="0"/>
        <v>ANO</v>
      </c>
      <c r="AG10" s="121" t="s">
        <v>691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136</v>
      </c>
      <c r="AQ10" s="123">
        <v>181</v>
      </c>
      <c r="AR10" s="123">
        <v>77</v>
      </c>
      <c r="AS10" s="126" t="s">
        <v>1206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12 OZ, 5 (1+4), -8 ±</v>
      </c>
      <c r="AY10" s="129" t="str">
        <f t="shared" ca="1" si="2"/>
        <v>318 OZ, 254 (115+139)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V10" s="104" t="str">
        <f t="shared" si="13"/>
        <v/>
      </c>
      <c r="BW10" s="112" t="str">
        <f t="shared" si="14"/>
        <v/>
      </c>
      <c r="BX10" s="463"/>
      <c r="BY10" s="103" t="s">
        <v>1306</v>
      </c>
      <c r="BZ10" s="103" t="s">
        <v>817</v>
      </c>
      <c r="CA10" s="115" t="s">
        <v>187</v>
      </c>
    </row>
    <row r="11" spans="1:79" ht="15" customHeight="1" thickTop="1" thickBot="1" x14ac:dyDescent="0.25">
      <c r="R11" s="13"/>
      <c r="S11" s="110" t="s">
        <v>693</v>
      </c>
      <c r="U11" s="102">
        <v>14</v>
      </c>
      <c r="V11" s="102">
        <v>1</v>
      </c>
      <c r="W11" s="102">
        <v>0</v>
      </c>
      <c r="X11" s="102">
        <v>0</v>
      </c>
      <c r="Y11" s="102">
        <v>6</v>
      </c>
      <c r="Z11" s="102">
        <v>7</v>
      </c>
      <c r="AA11" s="102">
        <v>2</v>
      </c>
      <c r="AB11" s="102">
        <v>-15</v>
      </c>
      <c r="AC11" s="102" t="str">
        <f t="shared" ca="1" si="0"/>
        <v>ANO</v>
      </c>
      <c r="AG11" s="121" t="s">
        <v>694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494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4 P</v>
      </c>
      <c r="AY11" s="129" t="str">
        <f t="shared" ca="1" si="2"/>
        <v>25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BZ11" s="103" t="s">
        <v>816</v>
      </c>
      <c r="CA11" s="115" t="s">
        <v>187</v>
      </c>
    </row>
    <row r="12" spans="1:79" ht="15" customHeight="1" thickTop="1" thickBot="1" x14ac:dyDescent="0.25">
      <c r="A12" s="425" t="s">
        <v>692</v>
      </c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27" t="s">
        <v>7</v>
      </c>
      <c r="I12" s="427"/>
      <c r="J12" s="427"/>
      <c r="K12" s="427"/>
      <c r="M12" s="425" t="s">
        <v>690</v>
      </c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</v>
      </c>
      <c r="S12" s="110" t="s">
        <v>696</v>
      </c>
      <c r="T12" s="102" t="s">
        <v>57</v>
      </c>
      <c r="U12" s="102">
        <v>16</v>
      </c>
      <c r="V12" s="102">
        <v>4</v>
      </c>
      <c r="W12" s="102">
        <v>0</v>
      </c>
      <c r="X12" s="102">
        <v>0</v>
      </c>
      <c r="Y12" s="102">
        <v>1</v>
      </c>
      <c r="Z12" s="102">
        <v>5</v>
      </c>
      <c r="AA12" s="102">
        <v>4</v>
      </c>
      <c r="AB12" s="102">
        <v>-16</v>
      </c>
      <c r="AC12" s="102" t="str">
        <f t="shared" ca="1" si="0"/>
        <v>ANO</v>
      </c>
      <c r="AG12" s="121" t="s">
        <v>696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136</v>
      </c>
      <c r="AQ12" s="123">
        <v>170</v>
      </c>
      <c r="AR12" s="123">
        <v>72</v>
      </c>
      <c r="AS12" s="126" t="s">
        <v>501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16 OZ, 5 (4+1), -16 ±</v>
      </c>
      <c r="AY12" s="129" t="str">
        <f t="shared" ca="1" si="2"/>
        <v>235 OZ, 106 (58+48)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764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190</v>
      </c>
      <c r="BY12" s="100" t="s">
        <v>1365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8">
        <f ca="1">IFERROR(IF(VLOOKUP(A12,OFFSET($AG$2,,,COUNTIF($AG$2:$AG$50,"?*"),23),2,FALSE)&lt;&gt;0,YEAR(VLOOKUP(A12,OFFSET($AG$2,,,COUNTIF($AG$2:$AG$50,"?*"),23),2,FALSE)),""),"")</f>
        <v>1998</v>
      </c>
      <c r="C13" s="429"/>
      <c r="D13" s="117">
        <f ca="1">IFERROR(VLOOKUP(A12,OFFSET($AG$2,,,COUNTIF($AG$2:$AG$50,"?*"),23),15,FALSE),"")</f>
        <v>23</v>
      </c>
      <c r="E13" s="419" t="str">
        <f ca="1">IFERROR(VLOOKUP(A12,OFFSET($AG$2,,,COUNTIF($AG$2:$AG$50,"?*"),23),16,FALSE),"")</f>
        <v>194/92</v>
      </c>
      <c r="F13" s="420"/>
      <c r="M13" s="4" t="str">
        <f ca="1">IFERROR(IF(VLOOKUP(M12,OFFSET($AG$2,,,COUNTIF($AG$2:$AG$50,"?*"),23),10,FALSE)&lt;&gt;0,VLOOKUP(M12,OFFSET($AG$2,,,COUNTIF($AG$2:$AG$50,"?*"),23),10,FALSE),""),"")</f>
        <v>L</v>
      </c>
      <c r="N13" s="428">
        <f ca="1">IFERROR(IF(VLOOKUP(M12,OFFSET($AG$2,,,COUNTIF($AG$2:$AG$50,"?*"),23),2,FALSE)&lt;&gt;0,YEAR(VLOOKUP(M12,OFFSET($AG$2,,,COUNTIF($AG$2:$AG$50,"?*"),23),2,FALSE)),""),"")</f>
        <v>1998</v>
      </c>
      <c r="O13" s="429"/>
      <c r="P13" s="117">
        <f ca="1">IFERROR(VLOOKUP(M12,OFFSET($AG$2,,,COUNTIF($AG$2:$AG$50,"?*"),23),15,FALSE),"")</f>
        <v>23</v>
      </c>
      <c r="Q13" s="419" t="str">
        <f ca="1">IFERROR(VLOOKUP(M12,OFFSET($AG$2,,,COUNTIF($AG$2:$AG$50,"?*"),23),16,FALSE),"")</f>
        <v>182/85</v>
      </c>
      <c r="R13" s="420"/>
      <c r="S13" s="110" t="s">
        <v>691</v>
      </c>
      <c r="T13" s="102" t="s">
        <v>106</v>
      </c>
      <c r="U13" s="102">
        <v>12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4</v>
      </c>
      <c r="AB13" s="102">
        <v>-8</v>
      </c>
      <c r="AC13" s="102" t="str">
        <f t="shared" ca="1" si="0"/>
        <v>ANO</v>
      </c>
      <c r="AG13" s="121" t="s">
        <v>688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813</v>
      </c>
      <c r="BU13" s="103">
        <v>8</v>
      </c>
      <c r="BV13" s="104" t="str">
        <f t="shared" si="13"/>
        <v>Tomáš Brom</v>
      </c>
      <c r="BW13" s="102">
        <f t="shared" si="14"/>
        <v>8</v>
      </c>
    </row>
    <row r="14" spans="1:79" ht="15" customHeight="1" thickTop="1" thickBot="1" x14ac:dyDescent="0.25">
      <c r="A14" s="421" t="str">
        <f ca="1">IFERROR(VLOOKUP(A12,OFFSET($AG$2,,,COUNTIF($AG$2:$AG$50,"?*"),23),18,FALSE),"")</f>
        <v>16 OZ, 2 (2+0), -12 ±</v>
      </c>
      <c r="B14" s="422"/>
      <c r="C14" s="422"/>
      <c r="D14" s="423" t="str">
        <f ca="1">IFERROR(VLOOKUP(A12,OFFSET($AG$2,,,COUNTIF($AG$2:$AG$50,"?*"),23),19,FALSE),"")</f>
        <v>71 OZ, 8 (5+3)</v>
      </c>
      <c r="E14" s="423"/>
      <c r="F14" s="424"/>
      <c r="G14" s="425" t="s">
        <v>693</v>
      </c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92</v>
      </c>
      <c r="M14" s="421" t="str">
        <f ca="1">IFERROR(VLOOKUP(M12,OFFSET($AG$2,,,COUNTIF($AG$2:$AG$50,"?*"),23),18,FALSE),"")</f>
        <v>16 OZ, 4 (4+0), -19 ±</v>
      </c>
      <c r="N14" s="422"/>
      <c r="O14" s="422"/>
      <c r="P14" s="423" t="str">
        <f ca="1">IFERROR(VLOOKUP(M12,OFFSET($AG$2,,,COUNTIF($AG$2:$AG$50,"?*"),23),19,FALSE),"")</f>
        <v>151 OZ, 32 (32+0)</v>
      </c>
      <c r="Q14" s="423"/>
      <c r="R14" s="424"/>
      <c r="S14" s="110" t="s">
        <v>690</v>
      </c>
      <c r="T14" s="102" t="s">
        <v>106</v>
      </c>
      <c r="U14" s="102">
        <v>16</v>
      </c>
      <c r="V14" s="102">
        <v>4</v>
      </c>
      <c r="W14" s="102">
        <v>0</v>
      </c>
      <c r="X14" s="102">
        <v>0</v>
      </c>
      <c r="Y14" s="102">
        <v>0</v>
      </c>
      <c r="Z14" s="102">
        <v>4</v>
      </c>
      <c r="AA14" s="102">
        <v>8</v>
      </c>
      <c r="AB14" s="102">
        <v>-19</v>
      </c>
      <c r="AC14" s="102" t="str">
        <f t="shared" ca="1" si="0"/>
        <v>ANO</v>
      </c>
      <c r="AG14" s="121" t="s">
        <v>693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136</v>
      </c>
      <c r="AQ14" s="123">
        <v>175</v>
      </c>
      <c r="AR14" s="123">
        <v>75</v>
      </c>
      <c r="AS14" s="126" t="s">
        <v>1204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14 OZ, 7 (1+6), -15 ±</v>
      </c>
      <c r="AY14" s="129" t="str">
        <f t="shared" ca="1" si="2"/>
        <v>44 OZ, 13 (3+10)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1371</v>
      </c>
      <c r="BU14" s="103">
        <v>7</v>
      </c>
      <c r="BV14" s="104" t="str">
        <f t="shared" si="13"/>
        <v>Lukáš Jalový</v>
      </c>
      <c r="BW14" s="102">
        <f t="shared" si="14"/>
        <v>7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>Znojmo Laufen</v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>?</v>
      </c>
      <c r="E15" s="434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8">
        <f ca="1">IFERROR(IF(VLOOKUP(G14,OFFSET($AG$2,,,COUNTIF($AG$2:$AG$50,"?*"),23),2,FALSE)&lt;&gt;0,YEAR(VLOOKUP(G14,OFFSET($AG$2,,,COUNTIF($AG$2:$AG$50,"?*"),23),2,FALSE)),""),"")</f>
        <v>2000</v>
      </c>
      <c r="I15" s="429"/>
      <c r="J15" s="117">
        <f ca="1">IFERROR(VLOOKUP(G14,OFFSET($AG$2,,,COUNTIF($AG$2:$AG$50,"?*"),23),15,FALSE),"")</f>
        <v>21</v>
      </c>
      <c r="K15" s="419" t="str">
        <f ca="1">IFERROR(VLOOKUP(G14,OFFSET($AG$2,,,COUNTIF($AG$2:$AG$50,"?*"),23),16,FALSE),"")</f>
        <v>175/75</v>
      </c>
      <c r="L15" s="420"/>
      <c r="M15" s="430" t="str">
        <f ca="1">IFERROR(IF(VLOOKUP(M12,OFFSET($AG$2,,,COUNTIF($AG$2:$AG$50,"?*"),23),13,FALSE)&lt;&gt;0,VLOOKUP(M12,OFFSET($AG$2,,,COUNTIF($AG$2:$AG$50,"?*"),23),13,FALSE),"?"),"")</f>
        <v>SK JeMoBu</v>
      </c>
      <c r="N15" s="431"/>
      <c r="O15" s="432"/>
      <c r="P15" s="433">
        <f ca="1">IFERROR(IF(VLOOKUP(M12,OFFSET($AG$2,,,COUNTIF($AG$2:$AG$50,"?*"),23),14,FALSE)&lt;&gt;0,VLOOKUP(M12,OFFSET($AG$2,,,COUNTIF($AG$2:$AG$50,"?*"),23),14,FALSE),"?"),"")</f>
        <v>2007</v>
      </c>
      <c r="Q15" s="434"/>
      <c r="R15" s="7">
        <f ca="1">IFERROR(IF(VLOOKUP(M12,OFFSET($AG$2,,,COUNTIF($AG$2:$AG$50,"?*"),23),7,FALSE)&lt;&gt;0,VLOOKUP(M12,OFFSET($AG$2,,,COUNTIF($AG$2:$AG$50,"?*"),23),7,FALSE),"?"),"")</f>
        <v>7</v>
      </c>
      <c r="S15" s="110" t="s">
        <v>687</v>
      </c>
      <c r="T15" s="102" t="s">
        <v>106</v>
      </c>
      <c r="U15" s="102">
        <v>12</v>
      </c>
      <c r="V15" s="102">
        <v>3</v>
      </c>
      <c r="W15" s="102">
        <v>0</v>
      </c>
      <c r="X15" s="102">
        <v>0</v>
      </c>
      <c r="Y15" s="102">
        <v>1</v>
      </c>
      <c r="Z15" s="102">
        <v>4</v>
      </c>
      <c r="AA15" s="102">
        <v>6</v>
      </c>
      <c r="AB15" s="102">
        <v>2</v>
      </c>
      <c r="AC15" s="102" t="str">
        <f t="shared" ca="1" si="0"/>
        <v>ANO</v>
      </c>
      <c r="AG15" s="121" t="s">
        <v>763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136</v>
      </c>
      <c r="AQ15" s="123">
        <v>183</v>
      </c>
      <c r="AR15" s="123">
        <v>76</v>
      </c>
      <c r="AS15" s="126" t="s">
        <v>1204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1372</v>
      </c>
      <c r="BU15" s="103">
        <v>7</v>
      </c>
      <c r="BV15" s="104" t="str">
        <f t="shared" si="13"/>
        <v>Šimon Hronek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>14 OZ, 7 (1+6), -15 ±</v>
      </c>
      <c r="H16" s="422"/>
      <c r="I16" s="422"/>
      <c r="J16" s="423" t="str">
        <f ca="1">IFERROR(VLOOKUP(G14,OFFSET($AG$2,,,COUNTIF($AG$2:$AG$50,"?*"),23),19,FALSE),"")</f>
        <v>44 OZ, 13 (3+10)</v>
      </c>
      <c r="K16" s="423"/>
      <c r="L16" s="424"/>
      <c r="S16" s="110" t="s">
        <v>692</v>
      </c>
      <c r="T16" s="102" t="s">
        <v>106</v>
      </c>
      <c r="U16" s="102">
        <v>16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2</v>
      </c>
      <c r="AB16" s="102">
        <v>-12</v>
      </c>
      <c r="AC16" s="102" t="str">
        <f t="shared" ca="1" si="0"/>
        <v>ANO</v>
      </c>
      <c r="AG16" s="121" t="s">
        <v>683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1204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1368</v>
      </c>
      <c r="BU16" s="103">
        <v>6</v>
      </c>
      <c r="BV16" s="104" t="str">
        <f t="shared" si="13"/>
        <v>Marek Fuchs</v>
      </c>
      <c r="BW16" s="102">
        <f t="shared" si="14"/>
        <v>6</v>
      </c>
    </row>
    <row r="17" spans="1:75" ht="15" customHeight="1" thickTop="1" thickBot="1" x14ac:dyDescent="0.25">
      <c r="A17" s="425" t="s">
        <v>685</v>
      </c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0" t="str">
        <f ca="1">IFERROR(IF(VLOOKUP(G14,OFFSET($AG$2,,,COUNTIF($AG$2:$AG$50,"?*"),23),13,FALSE)&lt;&gt;0,VLOOKUP(G14,OFFSET($AG$2,,,COUNTIF($AG$2:$AG$50,"?*"),23),13,FALSE),"?"),"")</f>
        <v>FBŠ Hattrick</v>
      </c>
      <c r="H17" s="431"/>
      <c r="I17" s="432"/>
      <c r="J17" s="433">
        <f ca="1">IFERROR(IF(VLOOKUP(G14,OFFSET($AG$2,,,COUNTIF($AG$2:$AG$50,"?*"),23),14,FALSE)&lt;&gt;0,VLOOKUP(G14,OFFSET($AG$2,,,COUNTIF($AG$2:$AG$50,"?*"),23),14,FALSE),"?"),"")</f>
        <v>2009</v>
      </c>
      <c r="K17" s="434"/>
      <c r="L17" s="7">
        <f ca="1">IFERROR(IF(VLOOKUP(G14,OFFSET($AG$2,,,COUNTIF($AG$2:$AG$50,"?*"),23),7,FALSE)&lt;&gt;0,VLOOKUP(G14,OFFSET($AG$2,,,COUNTIF($AG$2:$AG$50,"?*"),23),7,FALSE),"?"),"")</f>
        <v>3</v>
      </c>
      <c r="M17" s="425" t="s">
        <v>691</v>
      </c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14</v>
      </c>
      <c r="S17" s="110" t="s">
        <v>1361</v>
      </c>
      <c r="U17" s="102">
        <v>2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685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15 OZ, 7 (3+4), -14 ±</v>
      </c>
      <c r="AY17" s="129" t="str">
        <f t="shared" ca="1" si="2"/>
        <v>15 OZ, 7 (3+4)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1065</v>
      </c>
      <c r="BU17" s="103">
        <v>3</v>
      </c>
      <c r="BV17" s="104" t="str">
        <f t="shared" si="13"/>
        <v>Zdeněk Raška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8" t="str">
        <f ca="1">IFERROR(IF(VLOOKUP(A17,OFFSET($AG$2,,,COUNTIF($AG$2:$AG$50,"?*"),23),2,FALSE)&lt;&gt;0,YEAR(VLOOKUP(A17,OFFSET($AG$2,,,COUNTIF($AG$2:$AG$50,"?*"),23),2,FALSE)),""),"")</f>
        <v/>
      </c>
      <c r="C18" s="429"/>
      <c r="D18" s="149" t="str">
        <f ca="1">IFERROR(VLOOKUP(A17,OFFSET($AG$2,,,COUNTIF($AG$2:$AG$50,"?*"),23),15,FALSE),"")</f>
        <v>?</v>
      </c>
      <c r="E18" s="419" t="str">
        <f ca="1">IFERROR(VLOOKUP(A17,OFFSET($AG$2,,,COUNTIF($AG$2:$AG$50,"?*"),23),16,FALSE),"")</f>
        <v>? / ?</v>
      </c>
      <c r="F18" s="420"/>
      <c r="M18" s="4" t="str">
        <f ca="1">IFERROR(IF(VLOOKUP(M17,OFFSET($AG$2,,,COUNTIF($AG$2:$AG$50,"?*"),23),10,FALSE)&lt;&gt;0,VLOOKUP(M17,OFFSET($AG$2,,,COUNTIF($AG$2:$AG$50,"?*"),23),10,FALSE),""),"")</f>
        <v>L</v>
      </c>
      <c r="N18" s="428">
        <f ca="1">IFERROR(IF(VLOOKUP(M17,OFFSET($AG$2,,,COUNTIF($AG$2:$AG$50,"?*"),23),2,FALSE)&lt;&gt;0,YEAR(VLOOKUP(M17,OFFSET($AG$2,,,COUNTIF($AG$2:$AG$50,"?*"),23),2,FALSE)),""),"")</f>
        <v>1991</v>
      </c>
      <c r="O18" s="429"/>
      <c r="P18" s="117">
        <f ca="1">IFERROR(VLOOKUP(M17,OFFSET($AG$2,,,COUNTIF($AG$2:$AG$50,"?*"),23),15,FALSE),"")</f>
        <v>30</v>
      </c>
      <c r="Q18" s="419" t="str">
        <f ca="1">IFERROR(VLOOKUP(M17,OFFSET($AG$2,,,COUNTIF($AG$2:$AG$50,"?*"),23),16,FALSE),"")</f>
        <v>181/77</v>
      </c>
      <c r="R18" s="420"/>
      <c r="S18" s="110" t="s">
        <v>1071</v>
      </c>
      <c r="T18" s="102" t="s">
        <v>106</v>
      </c>
      <c r="U18" s="102">
        <v>4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1072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26</v>
      </c>
      <c r="AQ18" s="123">
        <v>182</v>
      </c>
      <c r="AR18" s="123">
        <v>73</v>
      </c>
      <c r="AS18" s="126" t="s">
        <v>1204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7 OZ, 0 (0+0), -4 ±</v>
      </c>
      <c r="AY18" s="129" t="str">
        <f t="shared" ca="1" si="2"/>
        <v>7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1066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21" t="str">
        <f ca="1">IFERROR(VLOOKUP(A17,OFFSET($AG$2,,,COUNTIF($AG$2:$AG$50,"?*"),23),18,FALSE),"")</f>
        <v>15 OZ, 7 (3+4), -14 ±</v>
      </c>
      <c r="B19" s="422"/>
      <c r="C19" s="422"/>
      <c r="D19" s="423" t="str">
        <f ca="1">IFERROR(VLOOKUP(A17,OFFSET($AG$2,,,COUNTIF($AG$2:$AG$50,"?*"),23),19,FALSE),"")</f>
        <v>15 OZ, 7 (3+4)</v>
      </c>
      <c r="E19" s="423"/>
      <c r="F19" s="424"/>
      <c r="H19" s="435" t="str">
        <f>H$8</f>
        <v>HAT</v>
      </c>
      <c r="I19" s="435"/>
      <c r="J19" s="435"/>
      <c r="K19" s="435"/>
      <c r="M19" s="421" t="str">
        <f ca="1">IFERROR(VLOOKUP(M17,OFFSET($AG$2,,,COUNTIF($AG$2:$AG$50,"?*"),23),18,FALSE),"")</f>
        <v>12 OZ, 5 (1+4), -8 ±</v>
      </c>
      <c r="N19" s="422"/>
      <c r="O19" s="422"/>
      <c r="P19" s="423" t="str">
        <f ca="1">IFERROR(VLOOKUP(M17,OFFSET($AG$2,,,COUNTIF($AG$2:$AG$50,"?*"),23),19,FALSE),"")</f>
        <v>318 OZ, 254 (115+139)</v>
      </c>
      <c r="Q19" s="423"/>
      <c r="R19" s="424"/>
      <c r="S19" s="110" t="s">
        <v>1070</v>
      </c>
      <c r="T19" s="102" t="s">
        <v>57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6</v>
      </c>
      <c r="AC19" s="102" t="str">
        <f t="shared" ca="1" si="0"/>
        <v>ANO</v>
      </c>
      <c r="AG19" s="121" t="s">
        <v>690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136</v>
      </c>
      <c r="AQ19" s="123">
        <v>182</v>
      </c>
      <c r="AR19" s="123">
        <v>85</v>
      </c>
      <c r="AS19" s="126" t="s">
        <v>276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16 OZ, 4 (4+0), -19 ±</v>
      </c>
      <c r="AY19" s="129" t="str">
        <f t="shared" ca="1" si="2"/>
        <v>151 OZ, 32 (32+0)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1067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>?</v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>?</v>
      </c>
      <c r="E20" s="434"/>
      <c r="F20" s="7" t="str">
        <f ca="1">IFERROR(IF(VLOOKUP(A17,OFFSET($AG$2,,,COUNTIF($AG$2:$AG$50,"?*"),23),7,FALSE)&lt;&gt;0,VLOOKUP(A17,OFFSET($AG$2,,,COUNTIF($AG$2:$AG$50,"?*"),23),7,FALSE),"?"),"")</f>
        <v>?</v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>Florbal Havířov</v>
      </c>
      <c r="N20" s="431"/>
      <c r="O20" s="432"/>
      <c r="P20" s="433">
        <f ca="1">IFERROR(IF(VLOOKUP(M17,OFFSET($AG$2,,,COUNTIF($AG$2:$AG$50,"?*"),23),14,FALSE)&lt;&gt;0,VLOOKUP(M17,OFFSET($AG$2,,,COUNTIF($AG$2:$AG$50,"?*"),23),14,FALSE),"?"),"")</f>
        <v>1999</v>
      </c>
      <c r="Q20" s="434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1069</v>
      </c>
      <c r="T20" s="102" t="s">
        <v>106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485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3 V, 7 P</v>
      </c>
      <c r="AY20" s="129" t="str">
        <f t="shared" ca="1" si="2"/>
        <v>10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1362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697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136</v>
      </c>
      <c r="AQ21" s="123">
        <v>188</v>
      </c>
      <c r="AR21" s="123">
        <v>88</v>
      </c>
      <c r="AS21" s="126" t="s">
        <v>67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15 OZ, 7 (2+5), -15 ±</v>
      </c>
      <c r="AY21" s="129" t="str">
        <f t="shared" ca="1" si="2"/>
        <v>158 OZ, 74 (26+48)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688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695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26</v>
      </c>
      <c r="AQ22" s="123">
        <v>182</v>
      </c>
      <c r="AR22" s="123">
        <v>75</v>
      </c>
      <c r="AS22" s="126" t="s">
        <v>1207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16 OZ, 9 (8+1), -12 ±</v>
      </c>
      <c r="AY22" s="129" t="str">
        <f t="shared" ca="1" si="2"/>
        <v>39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4" t="s">
        <v>37</v>
      </c>
      <c r="BT22" s="104" t="s">
        <v>699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5" t="s">
        <v>687</v>
      </c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7" t="s">
        <v>12</v>
      </c>
      <c r="I23" s="427"/>
      <c r="J23" s="427"/>
      <c r="K23" s="427"/>
      <c r="M23" s="425" t="s">
        <v>698</v>
      </c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88</v>
      </c>
      <c r="S23" s="110" t="s">
        <v>763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ANO</v>
      </c>
      <c r="AG23" s="121" t="s">
        <v>689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136</v>
      </c>
      <c r="AQ23" s="123">
        <v>170</v>
      </c>
      <c r="AR23" s="123">
        <v>65</v>
      </c>
      <c r="AS23" s="126" t="s">
        <v>1204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13 OZ, 0 (0+0), -14 ±</v>
      </c>
      <c r="AY23" s="129" t="str">
        <f t="shared" ca="1" si="2"/>
        <v>13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4"/>
      <c r="BT23" s="104" t="s">
        <v>813</v>
      </c>
      <c r="BU23" s="103">
        <v>7</v>
      </c>
      <c r="BV23" s="104" t="str">
        <f t="shared" si="13"/>
        <v>Tomáš Brom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 t="str">
        <f ca="1">IFERROR(IF(VLOOKUP(A23,OFFSET($AG$2,,,COUNTIF($AG$2:$AG$50,"?*"),23),2,FALSE)&lt;&gt;0,YEAR(VLOOKUP(A23,OFFSET($AG$2,,,COUNTIF($AG$2:$AG$50,"?*"),23),2,FALSE)),""),"")</f>
        <v/>
      </c>
      <c r="C24" s="429"/>
      <c r="D24" s="117" t="str">
        <f ca="1">IFERROR(VLOOKUP(A23,OFFSET($AG$2,,,COUNTIF($AG$2:$AG$50,"?*"),23),15,FALSE),"")</f>
        <v>?</v>
      </c>
      <c r="E24" s="419" t="str">
        <f ca="1">IFERROR(VLOOKUP(A23,OFFSET($AG$2,,,COUNTIF($AG$2:$AG$50,"?*"),23),16,FALSE),"")</f>
        <v>? / ?</v>
      </c>
      <c r="F24" s="420"/>
      <c r="M24" s="4" t="str">
        <f ca="1">IFERROR(IF(VLOOKUP(M23,OFFSET($AG$2,,,COUNTIF($AG$2:$AG$50,"?*"),23),10,FALSE)&lt;&gt;0,VLOOKUP(M23,OFFSET($AG$2,,,COUNTIF($AG$2:$AG$50,"?*"),23),10,FALSE),""),"")</f>
        <v>L</v>
      </c>
      <c r="N24" s="428">
        <f ca="1">IFERROR(IF(VLOOKUP(M23,OFFSET($AG$2,,,COUNTIF($AG$2:$AG$50,"?*"),23),2,FALSE)&lt;&gt;0,YEAR(VLOOKUP(M23,OFFSET($AG$2,,,COUNTIF($AG$2:$AG$50,"?*"),23),2,FALSE)),""),"")</f>
        <v>2003</v>
      </c>
      <c r="O24" s="429"/>
      <c r="P24" s="117">
        <f ca="1">IFERROR(VLOOKUP(M23,OFFSET($AG$2,,,COUNTIF($AG$2:$AG$50,"?*"),23),15,FALSE),"")</f>
        <v>18</v>
      </c>
      <c r="Q24" s="419" t="str">
        <f ca="1">IFERROR(VLOOKUP(M23,OFFSET($AG$2,,,COUNTIF($AG$2:$AG$50,"?*"),23),16,FALSE),"")</f>
        <v>180/70</v>
      </c>
      <c r="R24" s="420"/>
      <c r="S24" s="110" t="s">
        <v>1072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 t="s">
        <v>1069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4"/>
      <c r="BT24" s="104" t="s">
        <v>1373</v>
      </c>
      <c r="BU24" s="103">
        <v>6</v>
      </c>
      <c r="BV24" s="104" t="str">
        <f t="shared" si="13"/>
        <v>Jonáš Kůra</v>
      </c>
      <c r="BW24" s="102">
        <f t="shared" si="14"/>
        <v>6</v>
      </c>
    </row>
    <row r="25" spans="1:75" ht="15" customHeight="1" thickTop="1" thickBot="1" x14ac:dyDescent="0.25">
      <c r="A25" s="421" t="str">
        <f ca="1">IFERROR(VLOOKUP(A23,OFFSET($AG$2,,,COUNTIF($AG$2:$AG$50,"?*"),23),18,FALSE),"")</f>
        <v>12 OZ, 4 (3+1), +2 ±</v>
      </c>
      <c r="B25" s="422"/>
      <c r="C25" s="422"/>
      <c r="D25" s="423" t="str">
        <f ca="1">IFERROR(VLOOKUP(A23,OFFSET($AG$2,,,COUNTIF($AG$2:$AG$50,"?*"),23),19,FALSE),"")</f>
        <v>12 OZ, 4 (3+1)</v>
      </c>
      <c r="E25" s="423"/>
      <c r="F25" s="424"/>
      <c r="G25" s="425" t="s">
        <v>696</v>
      </c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1" t="str">
        <f ca="1">IFERROR(VLOOKUP(M23,OFFSET($AG$2,,,COUNTIF($AG$2:$AG$50,"?*"),23),18,FALSE),"")</f>
        <v>16 OZ, 12 (7+5), 0 ±</v>
      </c>
      <c r="N25" s="422"/>
      <c r="O25" s="422"/>
      <c r="P25" s="423" t="str">
        <f ca="1">IFERROR(VLOOKUP(M23,OFFSET($AG$2,,,COUNTIF($AG$2:$AG$50,"?*"),23),19,FALSE),"")</f>
        <v>41 OZ, 19 (12+7)</v>
      </c>
      <c r="Q25" s="423"/>
      <c r="R25" s="424"/>
      <c r="S25" s="110" t="s">
        <v>683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684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136</v>
      </c>
      <c r="AQ25" s="123">
        <v>179</v>
      </c>
      <c r="AR25" s="123">
        <v>67</v>
      </c>
      <c r="AS25" s="126" t="s">
        <v>1208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16 OZ, 8 (3+5), -14 ±</v>
      </c>
      <c r="AY25" s="129" t="str">
        <f t="shared" ca="1" si="16"/>
        <v>63 OZ, 25 (16+9)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4"/>
      <c r="BT25" s="104" t="s">
        <v>1374</v>
      </c>
      <c r="BU25" s="103">
        <v>5</v>
      </c>
      <c r="BV25" s="104" t="str">
        <f t="shared" si="13"/>
        <v>David Sládeček</v>
      </c>
      <c r="BW25" s="102">
        <f t="shared" si="14"/>
        <v>5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>?</v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>?</v>
      </c>
      <c r="E26" s="434"/>
      <c r="F26" s="7" t="str">
        <f ca="1">IFERROR(IF(VLOOKUP(A23,OFFSET($AG$2,,,COUNTIF($AG$2:$AG$50,"?*"),23),7,FALSE)&lt;&gt;0,VLOOKUP(A23,OFFSET($AG$2,,,COUNTIF($AG$2:$AG$50,"?*"),23),7,FALSE),"?"),"")</f>
        <v>?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8">
        <f ca="1">IFERROR(IF(VLOOKUP(G25,OFFSET($AG$2,,,COUNTIF($AG$2:$AG$50,"?*"),23),2,FALSE)&lt;&gt;0,YEAR(VLOOKUP(G25,OFFSET($AG$2,,,COUNTIF($AG$2:$AG$50,"?*"),23),2,FALSE)),""),"")</f>
        <v>1992</v>
      </c>
      <c r="I26" s="429"/>
      <c r="J26" s="117">
        <f ca="1">IFERROR(VLOOKUP(G25,OFFSET($AG$2,,,COUNTIF($AG$2:$AG$50,"?*"),23),15,FALSE),"")</f>
        <v>29</v>
      </c>
      <c r="K26" s="419" t="str">
        <f ca="1">IFERROR(VLOOKUP(G25,OFFSET($AG$2,,,COUNTIF($AG$2:$AG$50,"?*"),23),16,FALSE),"")</f>
        <v>170/72</v>
      </c>
      <c r="L26" s="420"/>
      <c r="M26" s="430" t="str">
        <f ca="1">IFERROR(IF(VLOOKUP(M23,OFFSET($AG$2,,,COUNTIF($AG$2:$AG$50,"?*"),23),13,FALSE)&lt;&gt;0,VLOOKUP(M23,OFFSET($AG$2,,,COUNTIF($AG$2:$AG$50,"?*"),23),13,FALSE),"?"),"")</f>
        <v>FBŠ Hattrick</v>
      </c>
      <c r="N26" s="431"/>
      <c r="O26" s="432"/>
      <c r="P26" s="433">
        <f ca="1">IFERROR(IF(VLOOKUP(M23,OFFSET($AG$2,,,COUNTIF($AG$2:$AG$50,"?*"),23),14,FALSE)&lt;&gt;0,VLOOKUP(M23,OFFSET($AG$2,,,COUNTIF($AG$2:$AG$50,"?*"),23),14,FALSE),"?"),"")</f>
        <v>2008</v>
      </c>
      <c r="Q26" s="434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485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1071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136</v>
      </c>
      <c r="AQ26" s="123">
        <v>180</v>
      </c>
      <c r="AR26" s="123">
        <v>80</v>
      </c>
      <c r="AS26" s="126" t="s">
        <v>1204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4 OZ, 1 (0+1), +2 ±</v>
      </c>
      <c r="AY26" s="129" t="str">
        <f t="shared" ca="1" si="16"/>
        <v>4 OZ, 1 (0+1)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4"/>
      <c r="BT26" s="104" t="s">
        <v>1375</v>
      </c>
      <c r="BU26" s="103">
        <v>5</v>
      </c>
      <c r="BV26" s="104" t="str">
        <f t="shared" si="13"/>
        <v>Lukáš Vlach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>16 OZ, 5 (4+1), -16 ±</v>
      </c>
      <c r="H27" s="422"/>
      <c r="I27" s="422"/>
      <c r="J27" s="423" t="str">
        <f ca="1">IFERROR(VLOOKUP(G25,OFFSET($AG$2,,,COUNTIF($AG$2:$AG$50,"?*"),23),19,FALSE),"")</f>
        <v>235 OZ, 106 (58+48)</v>
      </c>
      <c r="K27" s="423"/>
      <c r="L27" s="424"/>
      <c r="S27" s="110" t="s">
        <v>689</v>
      </c>
      <c r="U27" s="102">
        <v>13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-14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4" t="s">
        <v>38</v>
      </c>
      <c r="BT27" s="104" t="s">
        <v>1376</v>
      </c>
      <c r="BU27" s="103">
        <v>16</v>
      </c>
      <c r="BV27" s="104" t="str">
        <f t="shared" si="13"/>
        <v>David Sládeček</v>
      </c>
      <c r="BW27" s="102">
        <f t="shared" si="14"/>
        <v>16</v>
      </c>
    </row>
    <row r="28" spans="1:75" ht="15" customHeight="1" thickTop="1" thickBot="1" x14ac:dyDescent="0.25">
      <c r="A28" s="425" t="s">
        <v>1070</v>
      </c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>TJ Sokol Zlín</v>
      </c>
      <c r="H28" s="431"/>
      <c r="I28" s="432"/>
      <c r="J28" s="433">
        <f ca="1">IFERROR(IF(VLOOKUP(G25,OFFSET($AG$2,,,COUNTIF($AG$2:$AG$50,"?*"),23),14,FALSE)&lt;&gt;0,VLOOKUP(G25,OFFSET($AG$2,,,COUNTIF($AG$2:$AG$50,"?*"),23),14,FALSE),"?"),"")</f>
        <v>2004</v>
      </c>
      <c r="K28" s="434"/>
      <c r="L28" s="7">
        <f ca="1">IFERROR(IF(VLOOKUP(G25,OFFSET($AG$2,,,COUNTIF($AG$2:$AG$50,"?*"),23),7,FALSE)&lt;&gt;0,VLOOKUP(G25,OFFSET($AG$2,,,COUNTIF($AG$2:$AG$50,"?*"),23),7,FALSE),"?"),"")</f>
        <v>12</v>
      </c>
      <c r="M28" s="425" t="s">
        <v>689</v>
      </c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33</v>
      </c>
      <c r="S28" s="110" t="s">
        <v>694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4"/>
      <c r="BT28" s="104" t="s">
        <v>1377</v>
      </c>
      <c r="BU28" s="103">
        <v>10</v>
      </c>
      <c r="BV28" s="104" t="str">
        <f t="shared" si="13"/>
        <v>Matěj Hronek</v>
      </c>
      <c r="BW28" s="102">
        <f t="shared" si="14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>?</v>
      </c>
      <c r="E29" s="419" t="str">
        <f ca="1">IFERROR(VLOOKUP(A28,OFFSET($AG$2,,,COUNTIF($AG$2:$AG$50,"?*"),23),16,FALSE),"")</f>
        <v>? / ?</v>
      </c>
      <c r="F29" s="420"/>
      <c r="M29" s="4" t="str">
        <f ca="1">IFERROR(IF(VLOOKUP(M28,OFFSET($AG$2,,,COUNTIF($AG$2:$AG$50,"?*"),23),10,FALSE)&lt;&gt;0,VLOOKUP(M28,OFFSET($AG$2,,,COUNTIF($AG$2:$AG$50,"?*"),23),10,FALSE),""),"")</f>
        <v>L</v>
      </c>
      <c r="N29" s="428">
        <f ca="1">IFERROR(IF(VLOOKUP(M28,OFFSET($AG$2,,,COUNTIF($AG$2:$AG$50,"?*"),23),2,FALSE)&lt;&gt;0,YEAR(VLOOKUP(M28,OFFSET($AG$2,,,COUNTIF($AG$2:$AG$50,"?*"),23),2,FALSE)),""),"")</f>
        <v>2004</v>
      </c>
      <c r="O29" s="429"/>
      <c r="P29" s="117">
        <f ca="1">IFERROR(VLOOKUP(M28,OFFSET($AG$2,,,COUNTIF($AG$2:$AG$50,"?*"),23),15,FALSE),"")</f>
        <v>17</v>
      </c>
      <c r="Q29" s="419" t="str">
        <f ca="1">IFERROR(VLOOKUP(M28,OFFSET($AG$2,,,COUNTIF($AG$2:$AG$50,"?*"),23),16,FALSE),"")</f>
        <v>170/65</v>
      </c>
      <c r="R29" s="42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4"/>
      <c r="BT29" s="104" t="s">
        <v>1378</v>
      </c>
      <c r="BU29" s="103">
        <v>8</v>
      </c>
      <c r="BV29" s="104" t="str">
        <f t="shared" si="13"/>
        <v>Jakub Procházka</v>
      </c>
      <c r="BW29" s="102">
        <f t="shared" si="14"/>
        <v>8</v>
      </c>
    </row>
    <row r="30" spans="1:75" ht="15" customHeight="1" x14ac:dyDescent="0.2">
      <c r="A30" s="421" t="str">
        <f ca="1">IFERROR(VLOOKUP(A28,OFFSET($AG$2,,,COUNTIF($AG$2:$AG$50,"?*"),23),18,FALSE),"")</f>
        <v>6 OZ, 1 (0+1), +6 ±</v>
      </c>
      <c r="B30" s="422"/>
      <c r="C30" s="422"/>
      <c r="D30" s="423" t="str">
        <f ca="1">IFERROR(VLOOKUP(A28,OFFSET($AG$2,,,COUNTIF($AG$2:$AG$50,"?*"),23),19,FALSE),"")</f>
        <v>6 OZ, 1 (0+1)</v>
      </c>
      <c r="E30" s="423"/>
      <c r="F30" s="424"/>
      <c r="H30" s="435" t="str">
        <f>H$8</f>
        <v>HAT</v>
      </c>
      <c r="I30" s="435"/>
      <c r="J30" s="435"/>
      <c r="K30" s="435"/>
      <c r="M30" s="421" t="str">
        <f ca="1">IFERROR(VLOOKUP(M28,OFFSET($AG$2,,,COUNTIF($AG$2:$AG$50,"?*"),23),18,FALSE),"")</f>
        <v>13 OZ, 0 (0+0), -14 ±</v>
      </c>
      <c r="N30" s="422"/>
      <c r="O30" s="422"/>
      <c r="P30" s="423" t="str">
        <f ca="1">IFERROR(VLOOKUP(M28,OFFSET($AG$2,,,COUNTIF($AG$2:$AG$50,"?*"),23),19,FALSE),"")</f>
        <v>13 OZ, 0 (0+0)</v>
      </c>
      <c r="Q30" s="423"/>
      <c r="R30" s="42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4"/>
      <c r="BT30" s="104" t="s">
        <v>1068</v>
      </c>
      <c r="BU30" s="103">
        <v>8</v>
      </c>
      <c r="BV30" s="104" t="str">
        <f t="shared" si="13"/>
        <v>Lukáš Jalový</v>
      </c>
      <c r="BW30" s="102">
        <f t="shared" si="14"/>
        <v>8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>?</v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>?</v>
      </c>
      <c r="E31" s="434"/>
      <c r="F31" s="7" t="str">
        <f ca="1">IFERROR(IF(VLOOKUP(A28,OFFSET($AG$2,,,COUNTIF($AG$2:$AG$50,"?*"),23),7,FALSE)&lt;&gt;0,VLOOKUP(A28,OFFSET($AG$2,,,COUNTIF($AG$2:$AG$50,"?*"),23),7,FALSE),"?"),"")</f>
        <v>?</v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>FBŠ Hattrick</v>
      </c>
      <c r="N31" s="431"/>
      <c r="O31" s="432"/>
      <c r="P31" s="433">
        <f ca="1">IFERROR(IF(VLOOKUP(M28,OFFSET($AG$2,,,COUNTIF($AG$2:$AG$50,"?*"),23),14,FALSE)&lt;&gt;0,VLOOKUP(M28,OFFSET($AG$2,,,COUNTIF($AG$2:$AG$50,"?*"),23),14,FALSE),"?"),"")</f>
        <v>2011</v>
      </c>
      <c r="Q31" s="434"/>
      <c r="R31" s="7">
        <f ca="1">IFERROR(IF(VLOOKUP(M28,OFFSET($AG$2,,,COUNTIF($AG$2:$AG$50,"?*"),23),7,FALSE)&lt;&gt;0,VLOOKUP(M28,OFFSET($AG$2,,,COUNTIF($AG$2:$AG$50,"?*"),23),7,FALSE),"?"),"")</f>
        <v>1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4"/>
      <c r="BT31" s="104" t="s">
        <v>1379</v>
      </c>
      <c r="BU31" s="103">
        <v>8</v>
      </c>
      <c r="BV31" s="104" t="str">
        <f t="shared" si="13"/>
        <v>René Slezák</v>
      </c>
      <c r="BW31" s="102">
        <f t="shared" si="14"/>
        <v>8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5" t="s">
        <v>485</v>
      </c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6" t="s">
        <v>15</v>
      </c>
      <c r="J34" s="425" t="s">
        <v>695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21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>?</v>
      </c>
      <c r="B35" s="428" t="str">
        <f ca="1">IFERROR(IF(VLOOKUP(A34,OFFSET($AG$2,,,COUNTIF($AG$2:$AG$50,"?*"),23),2,FALSE)&lt;&gt;0,YEAR(VLOOKUP(A34,OFFSET($AG$2,,,COUNTIF($AG$2:$AG$50,"?*"),23),2,FALSE)),""),"")</f>
        <v/>
      </c>
      <c r="C35" s="429"/>
      <c r="D35" s="117" t="str">
        <f ca="1">IFERROR(VLOOKUP(A34,OFFSET($AG$2,,,COUNTIF($AG$2:$AG$50,"?*"),23),15,FALSE),"")</f>
        <v>?</v>
      </c>
      <c r="E35" s="419" t="str">
        <f ca="1">IFERROR(VLOOKUP(A34,OFFSET($AG$2,,,COUNTIF($AG$2:$AG$50,"?*"),23),16,FALSE),"")</f>
        <v>? / ?</v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>P</v>
      </c>
      <c r="K35" s="429">
        <f ca="1">IFERROR(IF(VLOOKUP(J34,OFFSET($AG$2,,,COUNTIF($AG$2:$AG$50,"?*"),23),2,FALSE)&lt;&gt;0,YEAR(VLOOKUP(J34,OFFSET($AG$2,,,COUNTIF($AG$2:$AG$50,"?*"),23),2,FALSE)),""),"")</f>
        <v>1994</v>
      </c>
      <c r="L35" s="437"/>
      <c r="M35" s="118">
        <f ca="1">IFERROR(VLOOKUP(J34,OFFSET($AG$2,,,COUNTIF($AG$2:$AG$50,"?*"),23),15,FALSE),"")</f>
        <v>27</v>
      </c>
      <c r="N35" s="437" t="str">
        <f ca="1">IFERROR(VLOOKUP(J34,OFFSET($AG$2,,,COUNTIF($AG$2:$AG$50,"?*"),23),16,FALSE),"")</f>
        <v>182/75</v>
      </c>
      <c r="O35" s="437"/>
      <c r="P35" s="437" t="str">
        <f ca="1">IFERROR(VLOOKUP(J34,OFFSET($AG$2,,,COUNTIF($AG$2:$AG$50,"?*"),23),18,FALSE),"")</f>
        <v>16 OZ, 9 (8+1), -12 ±</v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45" t="str">
        <f ca="1">IFERROR(VLOOKUP(A34,OFFSET($AG$2,,,COUNTIF($AG$2:$AG$50,"?*"),23),18,FALSE),"")</f>
        <v>3 V, 7 P</v>
      </c>
      <c r="C36" s="445"/>
      <c r="D36" s="446">
        <f ca="1">IFERROR(VLOOKUP(A34,OFFSET($S$45,,,COUNTIF($S$45:$S$50,"?*"),14),5,FALSE),"")</f>
        <v>64</v>
      </c>
      <c r="E36" s="447"/>
      <c r="F36" s="17">
        <f ca="1">IFERROR(VLOOKUP(A34,OFFSET($S$45,,,COUNTIF($S$45:$S$50,"?*"),14),14,FALSE),"")</f>
        <v>72.881355932203391</v>
      </c>
      <c r="H36" s="436"/>
      <c r="J36" s="18">
        <f ca="1">IFERROR(IF(VLOOKUP(J34,OFFSET($AG$2,,,COUNTIF($AG$2:$AG$50,"?*"),23),7,FALSE)&lt;&gt;0,VLOOKUP(J34,OFFSET($AG$2,,,COUNTIF($AG$2:$AG$50,"?*"),23),7,FALSE),"?"),"")</f>
        <v>2</v>
      </c>
      <c r="K36" s="448" t="str">
        <f ca="1">IFERROR(VLOOKUP(J34,OFFSET($AG$2,,,COUNTIF($AG$2:$AG$50,"?*"),23),19,FALSE),"")</f>
        <v>39 OZ, 20 (16+4)</v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>ŠK Lido</v>
      </c>
      <c r="O36" s="449"/>
      <c r="P36" s="449"/>
      <c r="Q36" s="448">
        <f ca="1">IFERROR(IF(VLOOKUP(J34,OFFSET($AG$2,,,COUNTIF($AG$2:$AG$50,"?*"),23),14,FALSE)&lt;&gt;0,VLOOKUP(J34,OFFSET($AG$2,,,COUNTIF($AG$2:$AG$50,"?*"),23),14,FALSE),"?"),"")</f>
        <v>2014</v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>
        <f ca="1">IFERROR(VLOOKUP(A34,OFFSET($S$45,,,COUNTIF($S$45:$S$50,"?*"),14),3,FALSE),"")</f>
        <v>597.4</v>
      </c>
      <c r="B37" s="439"/>
      <c r="C37" s="440">
        <f ca="1">IFERROR(VLOOKUP(A34,OFFSET($S$45,,,COUNTIF($S$45:$S$50,"?*"),14),13,FALSE),"")</f>
        <v>6.4278540341479742</v>
      </c>
      <c r="D37" s="441"/>
      <c r="E37" s="442" t="str">
        <f ca="1">IFERROR(VLOOKUP(A34,OFFSET($AG$2,,,COUNTIF($AG$2:$AG$50,"?*"),23),19,FALSE),"")</f>
        <v>10 OZ, 0 A</v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>?</v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>?</v>
      </c>
      <c r="E38" s="434"/>
      <c r="F38" s="19">
        <f ca="1">IFERROR(VLOOKUP(A34,OFFSET($S$45,,,COUNTIF($S$45:$S$50,"?*"),14),6,FALSE),"")</f>
        <v>0</v>
      </c>
      <c r="H38" s="436"/>
      <c r="J38" s="425"/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 t="str">
        <f ca="1">IFERROR(IF(VLOOKUP(J38,OFFSET($AG$2,,,COUNTIF($AG$2:$AG$50,"?*"),23),2,FALSE)&lt;&gt;0,YEAR(VLOOKUP(J38,OFFSET($AG$2,,,COUNTIF($AG$2:$AG$50,"?*"),23),2,FALSE)),""),"")</f>
        <v/>
      </c>
      <c r="L39" s="437"/>
      <c r="M39" s="150" t="str">
        <f ca="1">IFERROR(VLOOKUP(J38,OFFSET($AG$2,,,COUNTIF($AG$2:$AG$50,"?*"),23),15,FALSE),"")</f>
        <v/>
      </c>
      <c r="N39" s="437" t="str">
        <f ca="1">IFERROR(VLOOKUP(J38,OFFSET($AG$2,,,COUNTIF($AG$2:$AG$50,"?*"),23),16,FALSE),"")</f>
        <v/>
      </c>
      <c r="O39" s="437"/>
      <c r="P39" s="437" t="str">
        <f ca="1">IFERROR(VLOOKUP(J38,OFFSET($AG$2,,,COUNTIF($AG$2:$AG$50,"?*"),23),18,FALSE),"")</f>
        <v/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 t="s">
        <v>694</v>
      </c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98</v>
      </c>
      <c r="H40" s="436"/>
      <c r="J40" s="18" t="str">
        <f ca="1">IFERROR(IF(VLOOKUP(J38,OFFSET($AG$2,,,COUNTIF($AG$2:$AG$50,"?*"),23),7,FALSE)&lt;&gt;0,VLOOKUP(J38,OFFSET($AG$2,,,COUNTIF($AG$2:$AG$50,"?*"),23),7,FALSE),"?"),"")</f>
        <v/>
      </c>
      <c r="K40" s="448" t="str">
        <f ca="1">IFERROR(VLOOKUP(J38,OFFSET($AG$2,,,COUNTIF($AG$2:$AG$50,"?*"),23),19,FALSE),"")</f>
        <v/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/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/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4</v>
      </c>
      <c r="B41" s="428">
        <f ca="1">IFERROR(IF(VLOOKUP(A40,OFFSET($AG$2,,,COUNTIF($AG$2:$AG$50,"?*"),23),2,FALSE)&lt;&gt;0,YEAR(VLOOKUP(A40,OFFSET($AG$2,,,COUNTIF($AG$2:$AG$50,"?*"),23),2,FALSE)),""),"")</f>
        <v>2000</v>
      </c>
      <c r="C41" s="429"/>
      <c r="D41" s="117">
        <f ca="1">IFERROR(VLOOKUP(A40,OFFSET($AG$2,,,COUNTIF($AG$2:$AG$50,"?*"),23),15,FALSE),"")</f>
        <v>21</v>
      </c>
      <c r="E41" s="419" t="str">
        <f ca="1">IFERROR(VLOOKUP(A40,OFFSET($AG$2,,,COUNTIF($AG$2:$AG$50,"?*"),23),16,FALSE),"")</f>
        <v>180/81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45" t="str">
        <f ca="1">IFERROR(VLOOKUP(A40,OFFSET($AG$2,,,COUNTIF($AG$2:$AG$50,"?*"),23),18,FALSE),"")</f>
        <v>0 V, 4 P</v>
      </c>
      <c r="C42" s="445"/>
      <c r="D42" s="446">
        <f ca="1">IFERROR(VLOOKUP(A40,OFFSET($S$45,,,COUNTIF($S$45:$S$50,"?*"),14),5,FALSE),"")</f>
        <v>35</v>
      </c>
      <c r="E42" s="447"/>
      <c r="F42" s="17">
        <f ca="1">IFERROR(VLOOKUP(A40,OFFSET($S$45,,,COUNTIF($S$45:$S$50,"?*"),14),14,FALSE),"")</f>
        <v>67.889908256880744</v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>
        <f ca="1">IFERROR(VLOOKUP(A40,OFFSET($S$45,,,COUNTIF($S$45:$S$50,"?*"),14),3,FALSE),"")</f>
        <v>229.78</v>
      </c>
      <c r="B43" s="439"/>
      <c r="C43" s="440">
        <f ca="1">IFERROR(VLOOKUP(A40,OFFSET($S$45,,,COUNTIF($S$45:$S$50,"?*"),14),13,FALSE),"")</f>
        <v>9.1391766037078934</v>
      </c>
      <c r="D43" s="441"/>
      <c r="E43" s="442" t="str">
        <f ca="1">IFERROR(VLOOKUP(A40,OFFSET($AG$2,,,COUNTIF($AG$2:$AG$50,"?*"),23),19,FALSE),"")</f>
        <v>25 OZ, 0 A</v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>FBC Lipník</v>
      </c>
      <c r="B44" s="431"/>
      <c r="C44" s="432"/>
      <c r="D44" s="433">
        <f ca="1">IFERROR(IF(VLOOKUP(A40,OFFSET($AG$2,,,COUNTIF($AG$2:$AG$50,"?*"),23),14,FALSE)&lt;&gt;0,VLOOKUP(A40,OFFSET($AG$2,,,COUNTIF($AG$2:$AG$50,"?*"),23),14,FALSE),"?"),"")</f>
        <v>2011</v>
      </c>
      <c r="E44" s="434"/>
      <c r="F44" s="19">
        <f ca="1">IFERROR(VLOOKUP(A40,OFFSET($S$45,,,COUNTIF($S$45:$S$50,"?*"),14),6,FALSE),"")</f>
        <v>0</v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485</v>
      </c>
      <c r="T45" s="102">
        <v>10</v>
      </c>
      <c r="U45" s="112">
        <v>597.4</v>
      </c>
      <c r="V45" s="102">
        <v>3</v>
      </c>
      <c r="W45" s="102">
        <v>64</v>
      </c>
      <c r="X45" s="102">
        <v>0</v>
      </c>
      <c r="Y45" s="102">
        <v>236</v>
      </c>
      <c r="Z45" s="102">
        <v>0</v>
      </c>
      <c r="AA45" s="102">
        <v>7</v>
      </c>
      <c r="AB45" s="102">
        <v>172</v>
      </c>
      <c r="AC45" s="102">
        <v>0</v>
      </c>
      <c r="AD45" s="102">
        <v>0</v>
      </c>
      <c r="AE45" s="112">
        <f>IF(S45&lt;&gt;"",IF(T45&gt;0,W45/(U45/60),0),"")</f>
        <v>6.4278540341479742</v>
      </c>
      <c r="AF45" s="112">
        <f>IF(S45&lt;&gt;"",IF(Y45&gt;0,(AB45/Y45)*100,"-"),"")</f>
        <v>72.881355932203391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 t="s">
        <v>1209</v>
      </c>
      <c r="B47" s="466"/>
      <c r="C47" s="466"/>
      <c r="D47" s="466"/>
      <c r="E47" s="461" t="str">
        <f ca="1">IFERROR(VLOOKUP(A47,OFFSET($BN$2,,,COUNTIF($BN$2:$BN$11,"?*"),5),3,FALSE),"")</f>
        <v>hlavní trenér</v>
      </c>
      <c r="F47" s="461"/>
      <c r="G47" s="461"/>
      <c r="H47" s="461"/>
      <c r="I47" s="462"/>
      <c r="J47" s="465" t="s">
        <v>1210</v>
      </c>
      <c r="K47" s="466"/>
      <c r="L47" s="466"/>
      <c r="M47" s="466"/>
      <c r="N47" s="461" t="str">
        <f ca="1">IFERROR(VLOOKUP(J47,OFFSET($BN$2,,,COUNTIF($BN$2:$BN$11,"?*"),5),3,FALSE),"")</f>
        <v>asistent trenéra</v>
      </c>
      <c r="O47" s="461"/>
      <c r="P47" s="461"/>
      <c r="Q47" s="461"/>
      <c r="R47" s="462"/>
      <c r="S47" s="111" t="s">
        <v>694</v>
      </c>
      <c r="T47" s="102">
        <v>4</v>
      </c>
      <c r="U47" s="112">
        <v>229.78</v>
      </c>
      <c r="V47" s="102">
        <v>0</v>
      </c>
      <c r="W47" s="102">
        <v>35</v>
      </c>
      <c r="X47" s="102">
        <v>0</v>
      </c>
      <c r="Y47" s="102">
        <v>109</v>
      </c>
      <c r="Z47" s="102">
        <v>0</v>
      </c>
      <c r="AA47" s="102">
        <v>4</v>
      </c>
      <c r="AB47" s="102">
        <v>74</v>
      </c>
      <c r="AC47" s="102">
        <v>0</v>
      </c>
      <c r="AD47" s="102">
        <v>0</v>
      </c>
      <c r="AE47" s="112">
        <f t="shared" si="23"/>
        <v>9.1391766037078934</v>
      </c>
      <c r="AF47" s="112">
        <f t="shared" si="24"/>
        <v>67.889908256880744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>
        <f ca="1">IFERROR(VLOOKUP(A47,OFFSET($BN$2,,,COUNTIF($BN$2:$BN$11,"?*"),5),5,FALSE),"")</f>
        <v>34</v>
      </c>
      <c r="B48" s="453" t="str">
        <f ca="1">IFERROR(IF(VLOOKUP(A47,OFFSET($BN$2,,,COUNTIF($BN$2:$BN$11,"?*"),5),4,FALSE)&lt;&gt;0,VLOOKUP(A47,OFFSET($BN$2,,,COUNTIF($BN$2:$BN$11,"?*"),5),4,FALSE),"-"),"")</f>
        <v>postup do Superligy</v>
      </c>
      <c r="C48" s="453"/>
      <c r="D48" s="453"/>
      <c r="E48" s="453"/>
      <c r="F48" s="453"/>
      <c r="G48" s="453"/>
      <c r="H48" s="453"/>
      <c r="I48" s="454"/>
      <c r="J48" s="119">
        <f ca="1">IFERROR(VLOOKUP(J47,OFFSET($BN$2,,,COUNTIF($BN$2:$BN$11,"?*"),5),5,FALSE),"")</f>
        <v>28</v>
      </c>
      <c r="K48" s="457" t="str">
        <f ca="1">IFERROR(IF(VLOOKUP(J47,OFFSET($BN$2,,,COUNTIF($BN$2:$BN$11,"?*"),5),4,FALSE)&lt;&gt;0,VLOOKUP(J47,OFFSET($BN$2,,,COUNTIF($BN$2:$BN$11,"?*"),5),4,FALSE),"-"),"")</f>
        <v>postup do Superligy</v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 t="s">
        <v>1215</v>
      </c>
      <c r="K49" s="460"/>
      <c r="L49" s="460"/>
      <c r="M49" s="460"/>
      <c r="N49" s="461" t="str">
        <f ca="1">IFERROR(VLOOKUP(J49,OFFSET($BN$2,,,COUNTIF($BN$2:$BN$11,"?*"),5),3,FALSE),"")</f>
        <v>vedoucí</v>
      </c>
      <c r="O49" s="461"/>
      <c r="P49" s="461"/>
      <c r="Q49" s="461"/>
      <c r="R49" s="462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>
        <f ca="1">IFERROR(VLOOKUP(J49,OFFSET($BN$2,,,COUNTIF($BN$2:$BN$11,"?*"),5),5,FALSE),"")</f>
        <v>28</v>
      </c>
      <c r="K50" s="457" t="str">
        <f ca="1">IFERROR(IF(VLOOKUP(J49,OFFSET($BN$2,,,COUNTIF($BN$2:$BN$11,"?*"),5),4,FALSE)&lt;&gt;0,VLOOKUP(J49,OFFSET($BN$2,,,COUNTIF($BN$2:$BN$11,"?*"),5),4,FALSE),"-"),"")</f>
        <v>-</v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34" priority="11" stopIfTrue="1" operator="equal">
      <formula>"OTR"</formula>
    </cfRule>
    <cfRule type="cellIs" dxfId="533" priority="12" stopIfTrue="1" operator="equal">
      <formula>"PAR"</formula>
    </cfRule>
    <cfRule type="cellIs" dxfId="532" priority="13" stopIfTrue="1" operator="equal">
      <formula>"CLP"</formula>
    </cfRule>
    <cfRule type="cellIs" dxfId="531" priority="14" stopIfTrue="1" operator="equal">
      <formula>"HAT"</formula>
    </cfRule>
    <cfRule type="cellIs" dxfId="530" priority="15" stopIfTrue="1" operator="equal">
      <formula>"LIB"</formula>
    </cfRule>
    <cfRule type="cellIs" dxfId="529" priority="16" stopIfTrue="1" operator="equal">
      <formula>"BA"</formula>
    </cfRule>
    <cfRule type="cellIs" dxfId="528" priority="17" stopIfTrue="1" operator="equal">
      <formula>"SPA"</formula>
    </cfRule>
    <cfRule type="cellIs" dxfId="527" priority="18" stopIfTrue="1" operator="equal">
      <formula>"OST"</formula>
    </cfRule>
    <cfRule type="cellIs" dxfId="526" priority="19" stopIfTrue="1" operator="equal">
      <formula>"BOH"</formula>
    </cfRule>
    <cfRule type="cellIs" dxfId="525" priority="20" stopIfTrue="1" operator="equal">
      <formula>"TAT"</formula>
    </cfRule>
    <cfRule type="cellIs" dxfId="524" priority="21" stopIfTrue="1" operator="equal">
      <formula>"MB"</formula>
    </cfRule>
    <cfRule type="cellIs" dxfId="523" priority="22" stopIfTrue="1" operator="equal">
      <formula>"VIT"</formula>
    </cfRule>
    <cfRule type="cellIs" dxfId="522" priority="23" stopIfTrue="1" operator="equal">
      <formula>"CHO"</formula>
    </cfRule>
    <cfRule type="cellIs" dxfId="521" priority="24" stopIfTrue="1" operator="equal">
      <formula>"SKV"</formula>
    </cfRule>
  </conditionalFormatting>
  <conditionalFormatting sqref="H19:K20">
    <cfRule type="cellIs" dxfId="520" priority="39" stopIfTrue="1" operator="equal">
      <formula>"OTR"</formula>
    </cfRule>
    <cfRule type="cellIs" dxfId="519" priority="40" stopIfTrue="1" operator="equal">
      <formula>"PAR"</formula>
    </cfRule>
    <cfRule type="cellIs" dxfId="518" priority="41" stopIfTrue="1" operator="equal">
      <formula>"CLP"</formula>
    </cfRule>
    <cfRule type="cellIs" dxfId="517" priority="42" stopIfTrue="1" operator="equal">
      <formula>"HAT"</formula>
    </cfRule>
    <cfRule type="cellIs" dxfId="516" priority="43" stopIfTrue="1" operator="equal">
      <formula>"LIB"</formula>
    </cfRule>
    <cfRule type="cellIs" dxfId="515" priority="44" stopIfTrue="1" operator="equal">
      <formula>"BA"</formula>
    </cfRule>
    <cfRule type="cellIs" dxfId="514" priority="45" stopIfTrue="1" operator="equal">
      <formula>"SPA"</formula>
    </cfRule>
    <cfRule type="cellIs" dxfId="513" priority="46" stopIfTrue="1" operator="equal">
      <formula>"OST"</formula>
    </cfRule>
    <cfRule type="cellIs" dxfId="512" priority="47" stopIfTrue="1" operator="equal">
      <formula>"BOH"</formula>
    </cfRule>
    <cfRule type="cellIs" dxfId="511" priority="48" stopIfTrue="1" operator="equal">
      <formula>"TAT"</formula>
    </cfRule>
    <cfRule type="cellIs" dxfId="510" priority="49" stopIfTrue="1" operator="equal">
      <formula>"MB"</formula>
    </cfRule>
    <cfRule type="cellIs" dxfId="509" priority="50" stopIfTrue="1" operator="equal">
      <formula>"VIT"</formula>
    </cfRule>
    <cfRule type="cellIs" dxfId="508" priority="51" stopIfTrue="1" operator="equal">
      <formula>"CHO"</formula>
    </cfRule>
    <cfRule type="cellIs" dxfId="507" priority="52" stopIfTrue="1" operator="equal">
      <formula>"SKV"</formula>
    </cfRule>
  </conditionalFormatting>
  <conditionalFormatting sqref="H8:K9">
    <cfRule type="cellIs" dxfId="506" priority="25" stopIfTrue="1" operator="equal">
      <formula>"OTR"</formula>
    </cfRule>
    <cfRule type="cellIs" dxfId="505" priority="26" stopIfTrue="1" operator="equal">
      <formula>"PAR"</formula>
    </cfRule>
    <cfRule type="cellIs" dxfId="504" priority="27" stopIfTrue="1" operator="equal">
      <formula>"CLP"</formula>
    </cfRule>
    <cfRule type="cellIs" dxfId="503" priority="28" stopIfTrue="1" operator="equal">
      <formula>"HAT"</formula>
    </cfRule>
    <cfRule type="cellIs" dxfId="502" priority="29" stopIfTrue="1" operator="equal">
      <formula>"LIB"</formula>
    </cfRule>
    <cfRule type="cellIs" dxfId="501" priority="30" stopIfTrue="1" operator="equal">
      <formula>"BA"</formula>
    </cfRule>
    <cfRule type="cellIs" dxfId="500" priority="31" stopIfTrue="1" operator="equal">
      <formula>"SPA"</formula>
    </cfRule>
    <cfRule type="cellIs" dxfId="499" priority="32" stopIfTrue="1" operator="equal">
      <formula>"OST"</formula>
    </cfRule>
    <cfRule type="cellIs" dxfId="498" priority="33" stopIfTrue="1" operator="equal">
      <formula>"BOH"</formula>
    </cfRule>
    <cfRule type="cellIs" dxfId="497" priority="34" stopIfTrue="1" operator="equal">
      <formula>"TAT"</formula>
    </cfRule>
    <cfRule type="cellIs" dxfId="496" priority="35" stopIfTrue="1" operator="equal">
      <formula>"MB"</formula>
    </cfRule>
    <cfRule type="cellIs" dxfId="495" priority="36" stopIfTrue="1" operator="equal">
      <formula>"VIT"</formula>
    </cfRule>
    <cfRule type="cellIs" dxfId="494" priority="37" stopIfTrue="1" operator="equal">
      <formula>"CHO"</formula>
    </cfRule>
    <cfRule type="cellIs" dxfId="493" priority="38" stopIfTrue="1" operator="equal">
      <formula>"SKV"</formula>
    </cfRule>
  </conditionalFormatting>
  <conditionalFormatting sqref="S2:S42">
    <cfRule type="expression" dxfId="492" priority="9" stopIfTrue="1">
      <formula>IFERROR(IF(VLOOKUP($S2,OFFSET($AG$2,,,COUNTIF($AG$2:$AG$50,"?*")),1,FALSE)&lt;&gt;0,1,0),0)&gt;0</formula>
    </cfRule>
  </conditionalFormatting>
  <conditionalFormatting sqref="S2:S42">
    <cfRule type="expression" dxfId="491" priority="10">
      <formula>IFERROR(IF(VLOOKUP($S2,OFFSET($AG$2,,,COUNTIF($AG$2:$AG$50,"?*")),1,FALSE)&lt;&gt;0,1,0),0)=0</formula>
    </cfRule>
  </conditionalFormatting>
  <conditionalFormatting sqref="S45:S50">
    <cfRule type="expression" dxfId="490" priority="8">
      <formula>IFERROR(IF(VLOOKUP($S45,OFFSET($AG$2,,,COUNTIF($AG$2:$AG$50,"?*")),1,FALSE)&lt;&gt;0,1,0),0)&gt;0</formula>
    </cfRule>
  </conditionalFormatting>
  <conditionalFormatting sqref="S45:S50">
    <cfRule type="expression" dxfId="489" priority="7">
      <formula>IFERROR(IF(VLOOKUP($S45,OFFSET($AG$2,,,COUNTIF($AG$2:$AG$50,"?*")),1,FALSE)&lt;&gt;0,1,0),0)=0</formula>
    </cfRule>
  </conditionalFormatting>
  <conditionalFormatting sqref="AG2:AG50">
    <cfRule type="expression" dxfId="488" priority="4" stopIfTrue="1">
      <formula>OR($AH2="",$AI2="",$AJ2="",$AK2="",$AL2="",$AM2="",$AN2="",$AQ2="",$AR2="",$AS2="",$AT2="")</formula>
    </cfRule>
    <cfRule type="expression" dxfId="487" priority="5" stopIfTrue="1">
      <formula>IFERROR(IF(VLOOKUP($AG2,OFFSET($S$2,,,COUNTIF($S$2:$S$42,"?*")),1,FALSE)&lt;&gt;0,1,0),0)=0</formula>
    </cfRule>
    <cfRule type="expression" dxfId="486" priority="6">
      <formula>IFERROR(IF(VLOOKUP($AG2,OFFSET($S$2,,,COUNTIF($S$2:$S$42,"?*")),1,FALSE)&lt;&gt;0,1,0),0)&gt;0</formula>
    </cfRule>
  </conditionalFormatting>
  <conditionalFormatting sqref="AG2:AK50 AM2:BC50">
    <cfRule type="expression" dxfId="485" priority="3">
      <formula>AND($AG2&lt;&gt;"",MOD(ROW($AG2),2)=0)</formula>
    </cfRule>
  </conditionalFormatting>
  <conditionalFormatting sqref="BN2:BR11">
    <cfRule type="expression" dxfId="484" priority="2">
      <formula>AND($BN2&lt;&gt;"",MOD(ROW($BN2),2)=0)</formula>
    </cfRule>
  </conditionalFormatting>
  <conditionalFormatting sqref="AL2:AL50">
    <cfRule type="expression" dxfId="483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A8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254</v>
      </c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84</v>
      </c>
      <c r="H1" s="427" t="s">
        <v>1</v>
      </c>
      <c r="I1" s="427"/>
      <c r="J1" s="427"/>
      <c r="K1" s="427"/>
      <c r="M1" s="425" t="s">
        <v>258</v>
      </c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8">
        <f ca="1">IFERROR(IF(VLOOKUP(A1,OFFSET($AG$2,,,COUNTIF($AG$2:$AG$50,"?*"),23),2,FALSE)&lt;&gt;0,YEAR(VLOOKUP(A1,OFFSET($AG$2,,,COUNTIF($AG$2:$AG$50,"?*"),23),2,FALSE)),""),"")</f>
        <v>2002</v>
      </c>
      <c r="C2" s="429"/>
      <c r="D2" s="117">
        <f ca="1">IFERROR(VLOOKUP(A1,OFFSET($AG$2,,,COUNTIF($AG$2:$AG$50,"?*"),23),15,FALSE),"")</f>
        <v>18</v>
      </c>
      <c r="E2" s="419" t="str">
        <f ca="1">IFERROR(VLOOKUP(A1,OFFSET($AG$2,,,COUNTIF($AG$2:$AG$50,"?*"),23),16,FALSE),"")</f>
        <v>183/72</v>
      </c>
      <c r="F2" s="420"/>
      <c r="M2" s="4" t="str">
        <f ca="1">IFERROR(IF(VLOOKUP(M1,OFFSET($AG$2,,,COUNTIF($AG$2:$AG$50,"?*"),23),10,FALSE)&lt;&gt;0,VLOOKUP(M1,OFFSET($AG$2,,,COUNTIF($AG$2:$AG$50,"?*"),23),10,FALSE),""),"")</f>
        <v>L</v>
      </c>
      <c r="N2" s="428">
        <f ca="1">IFERROR(IF(VLOOKUP(M1,OFFSET($AG$2,,,COUNTIF($AG$2:$AG$50,"?*"),23),2,FALSE)&lt;&gt;0,YEAR(VLOOKUP(M1,OFFSET($AG$2,,,COUNTIF($AG$2:$AG$50,"?*"),23),2,FALSE)),""),"")</f>
        <v>2000</v>
      </c>
      <c r="O2" s="429"/>
      <c r="P2" s="117">
        <f ca="1">IFERROR(VLOOKUP(M1,OFFSET($AG$2,,,COUNTIF($AG$2:$AG$50,"?*"),23),15,FALSE),"")</f>
        <v>21</v>
      </c>
      <c r="Q2" s="419" t="str">
        <f ca="1">IFERROR(VLOOKUP(M1,OFFSET($AG$2,,,COUNTIF($AG$2:$AG$50,"?*"),23),16,FALSE),"")</f>
        <v>183/92</v>
      </c>
      <c r="R2" s="420"/>
      <c r="S2" s="110" t="s">
        <v>251</v>
      </c>
      <c r="T2" s="102" t="s">
        <v>106</v>
      </c>
      <c r="U2" s="102">
        <v>16</v>
      </c>
      <c r="V2" s="102">
        <v>19</v>
      </c>
      <c r="W2" s="102">
        <v>1</v>
      </c>
      <c r="X2" s="102">
        <v>3</v>
      </c>
      <c r="Y2" s="102">
        <v>18</v>
      </c>
      <c r="Z2" s="102">
        <v>37</v>
      </c>
      <c r="AA2" s="102">
        <v>2</v>
      </c>
      <c r="AB2" s="102">
        <v>9</v>
      </c>
      <c r="AC2" s="102" t="str">
        <f ca="1">IF(S2&lt;&gt;"",IFERROR(IF(VLOOKUP(S2,OFFSET($AG$2,,,COUNTIF($AG$2:$AG$50,"?*")),1,FALSE)&lt;&gt;0,"ANO","NE"),"NE"),"")</f>
        <v>ANO</v>
      </c>
      <c r="AG2" s="121" t="s">
        <v>266</v>
      </c>
      <c r="AH2" s="122">
        <v>36458</v>
      </c>
      <c r="AI2" s="123">
        <v>80</v>
      </c>
      <c r="AJ2" s="123">
        <v>29</v>
      </c>
      <c r="AK2" s="123">
        <v>17</v>
      </c>
      <c r="AL2" s="124">
        <v>46</v>
      </c>
      <c r="AM2" s="123">
        <v>6</v>
      </c>
      <c r="AN2" s="123">
        <v>87</v>
      </c>
      <c r="AO2" s="125"/>
      <c r="AP2" s="125" t="s">
        <v>136</v>
      </c>
      <c r="AQ2" s="123">
        <v>189</v>
      </c>
      <c r="AR2" s="123">
        <v>85</v>
      </c>
      <c r="AS2" s="126" t="s">
        <v>1297</v>
      </c>
      <c r="AT2" s="123">
        <v>2012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189/85</v>
      </c>
      <c r="AW2" s="128" t="str">
        <f ca="1">IF(AG2&lt;&gt;"",IF(BE2=1,BD2,IF(BH2=1,BG2,IF(BJ2=1,BI2,IF(BL2=1,BK2,BM2)))),"")</f>
        <v>Balatka</v>
      </c>
      <c r="AX2" s="129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4 (2+2), +6 ±</v>
      </c>
      <c r="AY2" s="129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89 OZ, 50 (31+19)</v>
      </c>
      <c r="AZ2" s="130"/>
      <c r="BA2" s="130"/>
      <c r="BB2" s="130"/>
      <c r="BC2" s="130"/>
      <c r="BD2" s="3" t="str">
        <f>IF(AG2&lt;&gt;"",RIGHT(AG2,LEN(AG2)-SEARCH(" ",AG2)),"")</f>
        <v>Balatka</v>
      </c>
      <c r="BE2" s="84">
        <f ca="1">IF(AG2&lt;&gt;"",COUNTIF(OFFSET($BD$2,,,COUNTIF($AG$2:$AG$50,"?*")),BD2),"")</f>
        <v>1</v>
      </c>
      <c r="BF2" s="62" t="str">
        <f>IF(AG2&lt;&gt;"",LEFT(AG2,1),"")</f>
        <v>A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291</v>
      </c>
      <c r="BO2" s="122">
        <v>31582</v>
      </c>
      <c r="BP2" s="131" t="s">
        <v>235</v>
      </c>
      <c r="BQ2" s="132" t="s">
        <v>1300</v>
      </c>
      <c r="BR2" s="127">
        <f ca="1">IF(BN2&lt;&gt;"",IF(BO2&lt;&gt;"",INT((TODAY()-BO2)/365),"?"),"")</f>
        <v>35</v>
      </c>
      <c r="BS2" s="464" t="s">
        <v>35</v>
      </c>
      <c r="BT2" s="104" t="s">
        <v>746</v>
      </c>
      <c r="BU2" s="103">
        <v>37</v>
      </c>
      <c r="BV2" s="104" t="str">
        <f>IFERROR(RIGHT(BT2,LEN(BT2)-SEARCH(" ",BT2)),"")</f>
        <v>Marek Vávra</v>
      </c>
      <c r="BW2" s="102">
        <f>IF(BT2&lt;&gt;0,_xlfn.NUMBERVALUE(BU2,","),"")</f>
        <v>37</v>
      </c>
      <c r="BX2" s="463" t="s">
        <v>191</v>
      </c>
      <c r="BY2" s="103" t="s">
        <v>1049</v>
      </c>
      <c r="BZ2" s="103" t="s">
        <v>798</v>
      </c>
      <c r="CA2" s="115" t="s">
        <v>296</v>
      </c>
    </row>
    <row r="3" spans="1:79" ht="15" customHeight="1" thickTop="1" thickBot="1" x14ac:dyDescent="0.25">
      <c r="A3" s="421" t="str">
        <f ca="1">IFERROR(VLOOKUP(A1,OFFSET($AG$2,,,COUNTIF($AG$2:$AG$50,"?*"),23),18,FALSE),"")</f>
        <v>16 OZ, 36 (18+18), +17 ±</v>
      </c>
      <c r="B3" s="422"/>
      <c r="C3" s="422"/>
      <c r="D3" s="423" t="str">
        <f ca="1">IFERROR(VLOOKUP(A1,OFFSET($AG$2,,,COUNTIF($AG$2:$AG$50,"?*"),23),19,FALSE),"")</f>
        <v>56 OZ, 101 (58+43)</v>
      </c>
      <c r="E3" s="423"/>
      <c r="F3" s="424"/>
      <c r="G3" s="425" t="s">
        <v>251</v>
      </c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21</v>
      </c>
      <c r="M3" s="421" t="str">
        <f ca="1">IFERROR(VLOOKUP(M1,OFFSET($AG$2,,,COUNTIF($AG$2:$AG$50,"?*"),23),18,FALSE),"")</f>
        <v>16 OZ, 19 (12+7), +16 ±</v>
      </c>
      <c r="N3" s="422"/>
      <c r="O3" s="422"/>
      <c r="P3" s="423" t="str">
        <f ca="1">IFERROR(VLOOKUP(M1,OFFSET($AG$2,,,COUNTIF($AG$2:$AG$50,"?*"),23),19,FALSE),"")</f>
        <v>62 OZ, 44 (29+15)</v>
      </c>
      <c r="Q3" s="423"/>
      <c r="R3" s="424"/>
      <c r="S3" s="110" t="s">
        <v>254</v>
      </c>
      <c r="T3" s="102" t="s">
        <v>106</v>
      </c>
      <c r="U3" s="102">
        <v>16</v>
      </c>
      <c r="V3" s="102">
        <v>18</v>
      </c>
      <c r="W3" s="102">
        <v>3</v>
      </c>
      <c r="X3" s="102">
        <v>0</v>
      </c>
      <c r="Y3" s="102">
        <v>18</v>
      </c>
      <c r="Z3" s="102">
        <v>36</v>
      </c>
      <c r="AA3" s="102">
        <v>2</v>
      </c>
      <c r="AB3" s="102">
        <v>17</v>
      </c>
      <c r="AC3" s="102" t="str">
        <f ca="1">IF(S3&lt;&gt;"",IFERROR(IF(VLOOKUP(S3,OFFSET($AG$2,,,COUNTIF($AG$2:$AG$50,"?*")),1,FALSE)&lt;&gt;0,"ANO","NE"),"NE"),"")</f>
        <v>ANO</v>
      </c>
      <c r="AG3" s="121" t="s">
        <v>260</v>
      </c>
      <c r="AH3" s="122">
        <v>33927</v>
      </c>
      <c r="AI3" s="123">
        <v>198</v>
      </c>
      <c r="AJ3" s="123">
        <v>87</v>
      </c>
      <c r="AK3" s="123">
        <v>83</v>
      </c>
      <c r="AL3" s="124">
        <v>170</v>
      </c>
      <c r="AM3" s="123">
        <v>11</v>
      </c>
      <c r="AN3" s="123">
        <v>65</v>
      </c>
      <c r="AO3" s="125"/>
      <c r="AP3" s="125" t="s">
        <v>26</v>
      </c>
      <c r="AQ3" s="123">
        <v>195</v>
      </c>
      <c r="AR3" s="123">
        <v>86</v>
      </c>
      <c r="AS3" s="126" t="s">
        <v>276</v>
      </c>
      <c r="AT3" s="123">
        <v>2002</v>
      </c>
      <c r="AU3" s="127">
        <f ca="1">IF(AG3&lt;&gt;"",IF(AH3&lt;&gt;"",INT((TODAY()-AH3)/365),"?"),"")</f>
        <v>29</v>
      </c>
      <c r="AV3" s="127" t="str">
        <f>IF(AG3&lt;&gt;"",CONCATENATE(IF(AQ3&lt;&gt;"",AQ3,"? "),"/",IF(AR3&lt;&gt;"",AR3," ?")),"")</f>
        <v>195/86</v>
      </c>
      <c r="AW3" s="128" t="str">
        <f ca="1">IF(AG3&lt;&gt;"",IF(BE3=1,BD3,IF(BH3=1,BG3,IF(BJ3=1,BI3,IF(BL3=1,BK3,BM3)))),"")</f>
        <v>Bauer</v>
      </c>
      <c r="AX3" s="129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14 OZ, 14 (8+6), +12 ±</v>
      </c>
      <c r="AY3" s="129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212 OZ, 184 (95+89)</v>
      </c>
      <c r="AZ3" s="130"/>
      <c r="BA3" s="130"/>
      <c r="BB3" s="130"/>
      <c r="BC3" s="130"/>
      <c r="BD3" s="89" t="str">
        <f t="shared" ref="BD3:BD50" si="0">IF(AG3&lt;&gt;"",RIGHT(AG3,LEN(AG3)-SEARCH(" ",AG3)),"")</f>
        <v>Bauer</v>
      </c>
      <c r="BE3" s="91">
        <f ca="1">IF(AG3&lt;&gt;"",COUNTIF(OFFSET($BD$2,,,COUNTIF($AG$2:$AG$50,"?*")),BD3),"")</f>
        <v>1</v>
      </c>
      <c r="BF3" s="90" t="str">
        <f t="shared" ref="BF3:BF50" si="1">IF(AG3&lt;&gt;"",LEFT(AG3,1),"")</f>
        <v>J</v>
      </c>
      <c r="BG3" s="89" t="str">
        <f ca="1">IF(AND($AG3&lt;&gt;"",BE3&gt;1),CONCATENATE($BD3," ",LEFT($AG3,MIN(1,SEARCH(" ",$AG3)-1)),IF(SEARCH(" ",$AG3)-1&gt;1,".",""),""),"")</f>
        <v/>
      </c>
      <c r="BH3" s="90">
        <f ca="1">IF(BG3&lt;&gt;"",COUNTIF(OFFSET(BG$2,,,COUNTIF($AG$2:$AG$50,"?*")),BG3),IF($AG3&lt;&gt;"",0,""))</f>
        <v>0</v>
      </c>
      <c r="BI3" s="89" t="str">
        <f ca="1">IF(AND($AG3&lt;&gt;"",BH3&gt;1),CONCATENATE($BD3," ",LEFT($AG3,MIN(2,SEARCH(" ",$AG3)-1)),IF(SEARCH(" ",$AG3)-1&gt;2,".",""),""),"")</f>
        <v/>
      </c>
      <c r="BJ3" s="90">
        <f ca="1">IF(BI3&lt;&gt;"",COUNTIF(OFFSET(BI$2,,,COUNTIF($AG$2:$AG$50,"?*")),BI3),IF($AG3&lt;&gt;"",0,""))</f>
        <v>0</v>
      </c>
      <c r="BK3" s="89" t="str">
        <f ca="1">IF(AND($AG3&lt;&gt;"",BJ3&gt;1),CONCATENATE($BD3," ",LEFT($AG3,MIN(3,SEARCH(" ",$AG3)-1)),IF(SEARCH(" ",$AG3)-1&gt;3,".",""),""),"")</f>
        <v/>
      </c>
      <c r="BL3" s="90">
        <f ca="1">IF(BK3&lt;&gt;"",COUNTIF(OFFSET(BK$2,,,COUNTIF($AG$2:$AG$50,"?*")),BK3),IF($AG3&lt;&gt;"",0,""))</f>
        <v>0</v>
      </c>
      <c r="BM3" s="89" t="str">
        <f ca="1">IF(AND($AG3&lt;&gt;"",BL3&gt;1),CONCATENATE($BD3," ",LEFT($AG3,MIN(4,SEARCH(" ",$AG3)-1)),IF(SEARCH(" ",$AG3)-1&gt;4,".",""),""),"")</f>
        <v/>
      </c>
      <c r="BN3" s="126" t="s">
        <v>292</v>
      </c>
      <c r="BO3" s="122">
        <v>26801</v>
      </c>
      <c r="BP3" s="131" t="s">
        <v>236</v>
      </c>
      <c r="BQ3" s="132" t="s">
        <v>1301</v>
      </c>
      <c r="BR3" s="127">
        <f ca="1">IF(BN3&lt;&gt;"",IF(BO3&lt;&gt;"",INT((TODAY()-BO3)/365),"?"),"")</f>
        <v>48</v>
      </c>
      <c r="BS3" s="464"/>
      <c r="BT3" s="104" t="s">
        <v>819</v>
      </c>
      <c r="BU3" s="103">
        <v>36</v>
      </c>
      <c r="BV3" s="104" t="str">
        <f t="shared" ref="BV3:BV31" si="2">IFERROR(RIGHT(BT3,LEN(BT3)-SEARCH(" ",BT3)),"")</f>
        <v>Petr Majer</v>
      </c>
      <c r="BW3" s="102">
        <f t="shared" ref="BW3:BW31" si="3">IF(BT3&lt;&gt;0,_xlfn.NUMBERVALUE(BU3,","),"")</f>
        <v>36</v>
      </c>
      <c r="BX3" s="463"/>
      <c r="BY3" s="103" t="s">
        <v>1039</v>
      </c>
      <c r="BZ3" s="103" t="s">
        <v>799</v>
      </c>
      <c r="CA3" s="115" t="s">
        <v>1380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>FBC Plzeň</v>
      </c>
      <c r="B4" s="431"/>
      <c r="C4" s="432"/>
      <c r="D4" s="433">
        <f ca="1">IFERROR(IF(VLOOKUP(A1,OFFSET($AG$2,,,COUNTIF($AG$2:$AG$50,"?*"),23),14,FALSE)&lt;&gt;0,VLOOKUP(A1,OFFSET($AG$2,,,COUNTIF($AG$2:$AG$50,"?*"),23),14,FALSE),"?"),"")</f>
        <v>2009</v>
      </c>
      <c r="E4" s="434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8">
        <f ca="1">IFERROR(IF(VLOOKUP(G3,OFFSET($AG$2,,,COUNTIF($AG$2:$AG$50,"?*"),23),2,FALSE)&lt;&gt;0,YEAR(VLOOKUP(G3,OFFSET($AG$2,,,COUNTIF($AG$2:$AG$50,"?*"),23),2,FALSE)),""),"")</f>
        <v>1993</v>
      </c>
      <c r="I4" s="429"/>
      <c r="J4" s="117">
        <f ca="1">IFERROR(VLOOKUP(G3,OFFSET($AG$2,,,COUNTIF($AG$2:$AG$50,"?*"),23),15,FALSE),"")</f>
        <v>28</v>
      </c>
      <c r="K4" s="419" t="str">
        <f ca="1">IFERROR(VLOOKUP(G3,OFFSET($AG$2,,,COUNTIF($AG$2:$AG$50,"?*"),23),16,FALSE),"")</f>
        <v>178/72</v>
      </c>
      <c r="L4" s="420"/>
      <c r="M4" s="430" t="str">
        <f ca="1">IFERROR(IF(VLOOKUP(M1,OFFSET($AG$2,,,COUNTIF($AG$2:$AG$50,"?*"),23),13,FALSE)&lt;&gt;0,VLOOKUP(M1,OFFSET($AG$2,,,COUNTIF($AG$2:$AG$50,"?*"),23),13,FALSE),"?"),"")</f>
        <v>FC Bučis Team</v>
      </c>
      <c r="N4" s="431"/>
      <c r="O4" s="432"/>
      <c r="P4" s="433">
        <f ca="1">IFERROR(IF(VLOOKUP(M1,OFFSET($AG$2,,,COUNTIF($AG$2:$AG$50,"?*"),23),14,FALSE)&lt;&gt;0,VLOOKUP(M1,OFFSET($AG$2,,,COUNTIF($AG$2:$AG$50,"?*"),23),14,FALSE),"?"),"")</f>
        <v>2007</v>
      </c>
      <c r="Q4" s="434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257</v>
      </c>
      <c r="T4" s="102" t="s">
        <v>106</v>
      </c>
      <c r="U4" s="102">
        <v>15</v>
      </c>
      <c r="V4" s="102">
        <v>10</v>
      </c>
      <c r="W4" s="102">
        <v>5</v>
      </c>
      <c r="X4" s="102">
        <v>0</v>
      </c>
      <c r="Y4" s="102">
        <v>12</v>
      </c>
      <c r="Z4" s="102">
        <v>22</v>
      </c>
      <c r="AA4" s="102">
        <v>2</v>
      </c>
      <c r="AB4" s="102">
        <v>8</v>
      </c>
      <c r="AC4" s="102" t="str">
        <f ca="1">IF(S4&lt;&gt;"",IFERROR(IF(VLOOKUP(S4,OFFSET($AG$2,,,COUNTIF($AG$2:$AG$50,"?*")),1,FALSE)&lt;&gt;0,"ANO","NE"),"NE"),"")</f>
        <v>ANO</v>
      </c>
      <c r="AG4" s="121" t="s">
        <v>268</v>
      </c>
      <c r="AH4" s="122">
        <v>36617</v>
      </c>
      <c r="AI4" s="123">
        <v>59</v>
      </c>
      <c r="AJ4" s="123">
        <v>1</v>
      </c>
      <c r="AK4" s="123">
        <v>8</v>
      </c>
      <c r="AL4" s="124">
        <v>9</v>
      </c>
      <c r="AM4" s="123">
        <v>5</v>
      </c>
      <c r="AN4" s="123">
        <v>11</v>
      </c>
      <c r="AO4" s="125"/>
      <c r="AP4" s="125" t="s">
        <v>136</v>
      </c>
      <c r="AQ4" s="123">
        <v>182</v>
      </c>
      <c r="AR4" s="123">
        <v>76</v>
      </c>
      <c r="AS4" s="126" t="s">
        <v>63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182/76</v>
      </c>
      <c r="AW4" s="128" t="str">
        <f ca="1">IF(AG4&lt;&gt;"",IF(BE4=1,BD4,IF(BH4=1,BG4,IF(BJ4=1,BI4,IF(BL4=1,BK4,BM4)))),"")</f>
        <v>Doubek</v>
      </c>
      <c r="AX4" s="129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7 OZ, 2 (1+1), +2 ±</v>
      </c>
      <c r="AY4" s="129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66 OZ, 11 (2+9)</v>
      </c>
      <c r="AZ4" s="130"/>
      <c r="BA4" s="130"/>
      <c r="BB4" s="130"/>
      <c r="BC4" s="130"/>
      <c r="BD4" s="3" t="str">
        <f t="shared" si="0"/>
        <v>Doubek</v>
      </c>
      <c r="BE4" s="84">
        <f ca="1">IF(AG4&lt;&gt;"",COUNTIF(OFFSET($BD$2,,,COUNTIF($AG$2:$AG$50,"?*")),BD4),"")</f>
        <v>1</v>
      </c>
      <c r="BF4" s="62" t="str">
        <f t="shared" si="1"/>
        <v>Š</v>
      </c>
      <c r="BG4" s="3" t="str">
        <f ca="1">IF(AND($AG4&lt;&gt;"",BE4&gt;1),CONCATENATE($BD4," ",LEFT($AG4,MIN(1,SEARCH(" ",$AG4)-1)),IF(SEARCH(" ",$AG4)-1&gt;1,".",""),""),"")</f>
        <v/>
      </c>
      <c r="BH4" s="62">
        <f ca="1">IF(BG4&lt;&gt;"",COUNTIF(OFFSET(BG$2,,,COUNTIF($AG$2:$AG$50,"?*")),BG4),IF($AG4&lt;&gt;"",0,""))</f>
        <v>0</v>
      </c>
      <c r="BI4" s="3" t="str">
        <f ca="1">IF(AND($AG4&lt;&gt;"",BH4&gt;1),CONCATENATE($BD4," ",LEFT($AG4,MIN(2,SEARCH(" ",$AG4)-1)),IF(SEARCH(" ",$AG4)-1&gt;2,".",""),""),"")</f>
        <v/>
      </c>
      <c r="BJ4" s="62">
        <f ca="1">IF(BI4&lt;&gt;"",COUNTIF(OFFSET(BI$2,,,COUNTIF($AG$2:$AG$50,"?*")),BI4),IF($AG4&lt;&gt;"",0,""))</f>
        <v>0</v>
      </c>
      <c r="BK4" s="3" t="str">
        <f ca="1">IF(AND($AG4&lt;&gt;"",BJ4&gt;1),CONCATENATE($BD4," ",LEFT($AG4,MIN(3,SEARCH(" ",$AG4)-1)),IF(SEARCH(" ",$AG4)-1&gt;3,".",""),""),"")</f>
        <v/>
      </c>
      <c r="BL4" s="62">
        <f ca="1">IF(BK4&lt;&gt;"",COUNTIF(OFFSET(BK$2,,,COUNTIF($AG$2:$AG$50,"?*")),BK4),IF($AG4&lt;&gt;"",0,""))</f>
        <v>0</v>
      </c>
      <c r="BM4" s="3" t="str">
        <f ca="1">IF(AND($AG4&lt;&gt;"",BL4&gt;1),CONCATENATE($BD4," ",LEFT($AG4,MIN(4,SEARCH(" ",$AG4)-1)),IF(SEARCH(" ",$AG4)-1&gt;4,".",""),""),"")</f>
        <v/>
      </c>
      <c r="BN4" s="126" t="s">
        <v>274</v>
      </c>
      <c r="BO4" s="122">
        <v>28909</v>
      </c>
      <c r="BP4" s="131" t="s">
        <v>236</v>
      </c>
      <c r="BQ4" s="132" t="s">
        <v>1298</v>
      </c>
      <c r="BR4" s="127">
        <f ca="1">IF(BN4&lt;&gt;"",IF(BO4&lt;&gt;"",INT((TODAY()-BO4)/365),"?"),"")</f>
        <v>42</v>
      </c>
      <c r="BS4" s="464"/>
      <c r="BT4" s="104" t="s">
        <v>1078</v>
      </c>
      <c r="BU4" s="103">
        <v>22</v>
      </c>
      <c r="BV4" s="104" t="str">
        <f t="shared" si="2"/>
        <v>Tom Ondrušek</v>
      </c>
      <c r="BW4" s="102">
        <f t="shared" si="3"/>
        <v>22</v>
      </c>
      <c r="BX4" s="463"/>
      <c r="BY4" s="103" t="s">
        <v>1331</v>
      </c>
      <c r="BZ4" s="103" t="s">
        <v>800</v>
      </c>
      <c r="CA4" s="115" t="s">
        <v>1288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>16 OZ, 37 (19+18), +9 ±</v>
      </c>
      <c r="H5" s="422"/>
      <c r="I5" s="422"/>
      <c r="J5" s="423" t="str">
        <f ca="1">IFERROR(VLOOKUP(G3,OFFSET($AG$2,,,COUNTIF($AG$2:$AG$50,"?*"),23),19,FALSE),"")</f>
        <v>246 OZ, 495 (285+210)</v>
      </c>
      <c r="K5" s="423"/>
      <c r="L5" s="424"/>
      <c r="S5" s="110" t="s">
        <v>250</v>
      </c>
      <c r="T5" s="102" t="s">
        <v>106</v>
      </c>
      <c r="U5" s="102">
        <v>16</v>
      </c>
      <c r="V5" s="102">
        <v>12</v>
      </c>
      <c r="W5" s="102">
        <v>1</v>
      </c>
      <c r="X5" s="102">
        <v>0</v>
      </c>
      <c r="Y5" s="102">
        <v>7</v>
      </c>
      <c r="Z5" s="102">
        <v>19</v>
      </c>
      <c r="AA5" s="102">
        <v>10</v>
      </c>
      <c r="AB5" s="102">
        <v>0</v>
      </c>
      <c r="AC5" s="102" t="str">
        <f ca="1">IF(S5&lt;&gt;"",IFERROR(IF(VLOOKUP(S5,OFFSET($AG$2,,,COUNTIF($AG$2:$AG$50,"?*")),1,FALSE)&lt;&gt;0,"ANO","NE"),"NE"),"")</f>
        <v>ANO</v>
      </c>
      <c r="AG5" s="121" t="s">
        <v>269</v>
      </c>
      <c r="AH5" s="122">
        <v>37629</v>
      </c>
      <c r="AI5" s="123">
        <v>9</v>
      </c>
      <c r="AJ5" s="123">
        <v>0</v>
      </c>
      <c r="AK5" s="123">
        <v>0</v>
      </c>
      <c r="AL5" s="124">
        <v>0</v>
      </c>
      <c r="AM5" s="123">
        <v>2</v>
      </c>
      <c r="AN5" s="123">
        <v>85</v>
      </c>
      <c r="AO5" s="125"/>
      <c r="AP5" s="125" t="s">
        <v>136</v>
      </c>
      <c r="AQ5" s="123">
        <v>182</v>
      </c>
      <c r="AR5" s="123">
        <v>78</v>
      </c>
      <c r="AS5" s="126" t="s">
        <v>387</v>
      </c>
      <c r="AT5" s="123">
        <v>2009</v>
      </c>
      <c r="AU5" s="127">
        <f ca="1">IF(AG5&lt;&gt;"",IF(AH5&lt;&gt;"",INT((TODAY()-AH5)/365),"?"),"")</f>
        <v>18</v>
      </c>
      <c r="AV5" s="127" t="str">
        <f>IF(AG5&lt;&gt;"",CONCATENATE(IF(AQ5&lt;&gt;"",AQ5,"? "),"/",IF(AR5&lt;&gt;"",AR5," ?")),"")</f>
        <v>182/78</v>
      </c>
      <c r="AW5" s="128" t="str">
        <f ca="1">IF(AG5&lt;&gt;"",IF(BE5=1,BD5,IF(BH5=1,BG5,IF(BJ5=1,BI5,IF(BL5=1,BK5,BM5)))),"")</f>
        <v>Dufek</v>
      </c>
      <c r="AX5" s="129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11 OZ, 3 (2+1), +1 ±</v>
      </c>
      <c r="AY5" s="129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20 OZ, 3 (2+1)</v>
      </c>
      <c r="AZ5" s="130"/>
      <c r="BA5" s="130"/>
      <c r="BB5" s="130"/>
      <c r="BC5" s="130"/>
      <c r="BD5" s="89" t="str">
        <f t="shared" si="0"/>
        <v>Dufek</v>
      </c>
      <c r="BE5" s="91">
        <f ca="1">IF(AG5&lt;&gt;"",COUNTIF(OFFSET($BD$2,,,COUNTIF($AG$2:$AG$50,"?*")),BD5),"")</f>
        <v>1</v>
      </c>
      <c r="BF5" s="90" t="str">
        <f t="shared" si="1"/>
        <v>J</v>
      </c>
      <c r="BG5" s="89" t="str">
        <f ca="1">IF(AND($AG5&lt;&gt;"",BE5&gt;1),CONCATENATE($BD5," ",LEFT($AG5,MIN(1,SEARCH(" ",$AG5)-1)),IF(SEARCH(" ",$AG5)-1&gt;1,".",""),""),"")</f>
        <v/>
      </c>
      <c r="BH5" s="90">
        <f ca="1">IF(BG5&lt;&gt;"",COUNTIF(OFFSET(BG$2,,,COUNTIF($AG$2:$AG$50,"?*")),BG5),IF($AG5&lt;&gt;"",0,""))</f>
        <v>0</v>
      </c>
      <c r="BI5" s="89" t="str">
        <f ca="1">IF(AND($AG5&lt;&gt;"",BH5&gt;1),CONCATENATE($BD5," ",LEFT($AG5,MIN(2,SEARCH(" ",$AG5)-1)),IF(SEARCH(" ",$AG5)-1&gt;2,".",""),""),"")</f>
        <v/>
      </c>
      <c r="BJ5" s="90">
        <f ca="1">IF(BI5&lt;&gt;"",COUNTIF(OFFSET(BI$2,,,COUNTIF($AG$2:$AG$50,"?*")),BI5),IF($AG5&lt;&gt;"",0,""))</f>
        <v>0</v>
      </c>
      <c r="BK5" s="89" t="str">
        <f ca="1">IF(AND($AG5&lt;&gt;"",BJ5&gt;1),CONCATENATE($BD5," ",LEFT($AG5,MIN(3,SEARCH(" ",$AG5)-1)),IF(SEARCH(" ",$AG5)-1&gt;3,".",""),""),"")</f>
        <v/>
      </c>
      <c r="BL5" s="90">
        <f ca="1">IF(BK5&lt;&gt;"",COUNTIF(OFFSET(BK$2,,,COUNTIF($AG$2:$AG$50,"?*")),BK5),IF($AG5&lt;&gt;"",0,""))</f>
        <v>0</v>
      </c>
      <c r="BM5" s="89" t="str">
        <f ca="1">IF(AND($AG5&lt;&gt;"",BL5&gt;1),CONCATENATE($BD5," ",LEFT($AG5,MIN(4,SEARCH(" ",$AG5)-1)),IF(SEARCH(" ",$AG5)-1&gt;4,".",""),""),"")</f>
        <v/>
      </c>
      <c r="BN5" s="126" t="s">
        <v>293</v>
      </c>
      <c r="BO5" s="122">
        <v>31168</v>
      </c>
      <c r="BP5" s="131" t="s">
        <v>294</v>
      </c>
      <c r="BQ5" s="132" t="s">
        <v>1299</v>
      </c>
      <c r="BR5" s="127">
        <f ca="1">IF(BN5&lt;&gt;"",IF(BO5&lt;&gt;"",INT((TODAY()-BO5)/365),"?"),"")</f>
        <v>36</v>
      </c>
      <c r="BS5" s="464"/>
      <c r="BT5" s="104" t="s">
        <v>1079</v>
      </c>
      <c r="BU5" s="103">
        <v>19</v>
      </c>
      <c r="BV5" s="104" t="str">
        <f t="shared" si="2"/>
        <v>Daniel Eremiáš</v>
      </c>
      <c r="BW5" s="102">
        <f t="shared" si="3"/>
        <v>19</v>
      </c>
      <c r="BX5" s="463"/>
      <c r="BY5" s="103" t="s">
        <v>979</v>
      </c>
      <c r="BZ5" s="103" t="s">
        <v>794</v>
      </c>
      <c r="CA5" s="115" t="s">
        <v>745</v>
      </c>
    </row>
    <row r="6" spans="1:79" ht="15" customHeight="1" thickTop="1" thickBot="1" x14ac:dyDescent="0.25">
      <c r="A6" s="425" t="s">
        <v>253</v>
      </c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27</v>
      </c>
      <c r="G6" s="430" t="str">
        <f ca="1">IFERROR(IF(VLOOKUP(G3,OFFSET($AG$2,,,COUNTIF($AG$2:$AG$50,"?*"),23),13,FALSE)&lt;&gt;0,VLOOKUP(G3,OFFSET($AG$2,,,COUNTIF($AG$2:$AG$50,"?*"),23),13,FALSE),"?"),"")</f>
        <v>Tatran Střešovice</v>
      </c>
      <c r="H6" s="431"/>
      <c r="I6" s="432"/>
      <c r="J6" s="433">
        <f ca="1">IFERROR(IF(VLOOKUP(G3,OFFSET($AG$2,,,COUNTIF($AG$2:$AG$50,"?*"),23),14,FALSE)&lt;&gt;0,VLOOKUP(G3,OFFSET($AG$2,,,COUNTIF($AG$2:$AG$50,"?*"),23),14,FALSE),"?"),"")</f>
        <v>2000</v>
      </c>
      <c r="K6" s="434"/>
      <c r="L6" s="7">
        <f ca="1">IFERROR(IF(VLOOKUP(G3,OFFSET($AG$2,,,COUNTIF($AG$2:$AG$50,"?*"),23),7,FALSE)&lt;&gt;0,VLOOKUP(G3,OFFSET($AG$2,,,COUNTIF($AG$2:$AG$50,"?*"),23),7,FALSE),"?"),"")</f>
        <v>12</v>
      </c>
      <c r="M6" s="425" t="s">
        <v>271</v>
      </c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93</v>
      </c>
      <c r="S6" s="110" t="s">
        <v>258</v>
      </c>
      <c r="T6" s="102" t="s">
        <v>106</v>
      </c>
      <c r="U6" s="102">
        <v>16</v>
      </c>
      <c r="V6" s="102">
        <v>12</v>
      </c>
      <c r="W6" s="102">
        <v>1</v>
      </c>
      <c r="X6" s="102">
        <v>1</v>
      </c>
      <c r="Y6" s="102">
        <v>7</v>
      </c>
      <c r="Z6" s="102">
        <v>19</v>
      </c>
      <c r="AA6" s="102">
        <v>4</v>
      </c>
      <c r="AB6" s="102">
        <v>16</v>
      </c>
      <c r="AC6" s="102" t="str">
        <f ca="1">IF(S6&lt;&gt;"",IFERROR(IF(VLOOKUP(S6,OFFSET($AG$2,,,COUNTIF($AG$2:$AG$50,"?*")),1,FALSE)&lt;&gt;0,"ANO","NE"),"NE"),"")</f>
        <v>ANO</v>
      </c>
      <c r="AG6" s="121" t="s">
        <v>258</v>
      </c>
      <c r="AH6" s="122">
        <v>36733</v>
      </c>
      <c r="AI6" s="123">
        <v>46</v>
      </c>
      <c r="AJ6" s="123">
        <v>17</v>
      </c>
      <c r="AK6" s="123">
        <v>8</v>
      </c>
      <c r="AL6" s="124">
        <v>25</v>
      </c>
      <c r="AM6" s="123">
        <v>4</v>
      </c>
      <c r="AN6" s="123">
        <v>77</v>
      </c>
      <c r="AO6" s="125"/>
      <c r="AP6" s="125" t="s">
        <v>136</v>
      </c>
      <c r="AQ6" s="123">
        <v>183</v>
      </c>
      <c r="AR6" s="123">
        <v>92</v>
      </c>
      <c r="AS6" s="126" t="s">
        <v>277</v>
      </c>
      <c r="AT6" s="123">
        <v>2007</v>
      </c>
      <c r="AU6" s="127">
        <f ca="1">IF(AG6&lt;&gt;"",IF(AH6&lt;&gt;"",INT((TODAY()-AH6)/365),"?"),"")</f>
        <v>21</v>
      </c>
      <c r="AV6" s="127" t="str">
        <f>IF(AG6&lt;&gt;"",CONCATENATE(IF(AQ6&lt;&gt;"",AQ6,"? "),"/",IF(AR6&lt;&gt;"",AR6," ?")),"")</f>
        <v>183/92</v>
      </c>
      <c r="AW6" s="128" t="str">
        <f ca="1">IF(AG6&lt;&gt;"",IF(BE6=1,BD6,IF(BH6=1,BG6,IF(BJ6=1,BI6,IF(BL6=1,BK6,BM6)))),"")</f>
        <v>Eremiáš</v>
      </c>
      <c r="AX6" s="129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16 OZ, 19 (12+7), +16 ±</v>
      </c>
      <c r="AY6" s="129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62 OZ, 44 (29+15)</v>
      </c>
      <c r="AZ6" s="130"/>
      <c r="BA6" s="130"/>
      <c r="BB6" s="130"/>
      <c r="BC6" s="130"/>
      <c r="BD6" s="3" t="str">
        <f t="shared" si="0"/>
        <v>Eremiáš</v>
      </c>
      <c r="BE6" s="84">
        <f ca="1">IF(AG6&lt;&gt;"",COUNTIF(OFFSET($BD$2,,,COUNTIF($AG$2:$AG$50,"?*")),BD6),"")</f>
        <v>1</v>
      </c>
      <c r="BF6" s="62" t="str">
        <f t="shared" si="1"/>
        <v>D</v>
      </c>
      <c r="BG6" s="3" t="str">
        <f ca="1">IF(AND($AG6&lt;&gt;"",BE6&gt;1),CONCATENATE($BD6," ",LEFT($AG6,MIN(1,SEARCH(" ",$AG6)-1)),IF(SEARCH(" ",$AG6)-1&gt;1,".",""),""),"")</f>
        <v/>
      </c>
      <c r="BH6" s="62">
        <f ca="1">IF(BG6&lt;&gt;"",COUNTIF(OFFSET(BG$2,,,COUNTIF($AG$2:$AG$50,"?*")),BG6),IF($AG6&lt;&gt;"",0,""))</f>
        <v>0</v>
      </c>
      <c r="BI6" s="3" t="str">
        <f ca="1">IF(AND($AG6&lt;&gt;"",BH6&gt;1),CONCATENATE($BD6," ",LEFT($AG6,MIN(2,SEARCH(" ",$AG6)-1)),IF(SEARCH(" ",$AG6)-1&gt;2,".",""),""),"")</f>
        <v/>
      </c>
      <c r="BJ6" s="62">
        <f ca="1">IF(BI6&lt;&gt;"",COUNTIF(OFFSET(BI$2,,,COUNTIF($AG$2:$AG$50,"?*")),BI6),IF($AG6&lt;&gt;"",0,""))</f>
        <v>0</v>
      </c>
      <c r="BK6" s="3" t="str">
        <f ca="1">IF(AND($AG6&lt;&gt;"",BJ6&gt;1),CONCATENATE($BD6," ",LEFT($AG6,MIN(3,SEARCH(" ",$AG6)-1)),IF(SEARCH(" ",$AG6)-1&gt;3,".",""),""),"")</f>
        <v/>
      </c>
      <c r="BL6" s="62">
        <f ca="1">IF(BK6&lt;&gt;"",COUNTIF(OFFSET(BK$2,,,COUNTIF($AG$2:$AG$50,"?*")),BK6),IF($AG6&lt;&gt;"",0,""))</f>
        <v>0</v>
      </c>
      <c r="BM6" s="3" t="str">
        <f ca="1">IF(AND($AG6&lt;&gt;"",BL6&gt;1),CONCATENATE($BD6," ",LEFT($AG6,MIN(4,SEARCH(" ",$AG6)-1)),IF(SEARCH(" ",$AG6)-1&gt;4,".",""),""),"")</f>
        <v/>
      </c>
      <c r="BN6" s="126" t="s">
        <v>1302</v>
      </c>
      <c r="BO6" s="122">
        <v>35348</v>
      </c>
      <c r="BP6" s="131" t="s">
        <v>175</v>
      </c>
      <c r="BQ6" s="132"/>
      <c r="BR6" s="127">
        <f ca="1">IF(BN6&lt;&gt;"",IF(BO6&lt;&gt;"",INT((TODAY()-BO6)/365),"?"),"")</f>
        <v>25</v>
      </c>
      <c r="BS6" s="464"/>
      <c r="BT6" s="104" t="s">
        <v>1383</v>
      </c>
      <c r="BU6" s="103">
        <v>19</v>
      </c>
      <c r="BV6" s="104" t="str">
        <f t="shared" si="2"/>
        <v>Mikuláš Komárek</v>
      </c>
      <c r="BW6" s="102">
        <f t="shared" si="3"/>
        <v>19</v>
      </c>
      <c r="BX6" s="463"/>
      <c r="BY6" s="103" t="s">
        <v>1231</v>
      </c>
      <c r="BZ6" s="103" t="s">
        <v>793</v>
      </c>
      <c r="CA6" s="115" t="s">
        <v>1113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8">
        <f ca="1">IFERROR(IF(VLOOKUP(A6,OFFSET($AG$2,,,COUNTIF($AG$2:$AG$50,"?*"),23),2,FALSE)&lt;&gt;0,YEAR(VLOOKUP(A6,OFFSET($AG$2,,,COUNTIF($AG$2:$AG$50,"?*"),23),2,FALSE)),""),"")</f>
        <v>2000</v>
      </c>
      <c r="C7" s="429"/>
      <c r="D7" s="117">
        <f ca="1">IFERROR(VLOOKUP(A6,OFFSET($AG$2,,,COUNTIF($AG$2:$AG$50,"?*"),23),15,FALSE),"")</f>
        <v>21</v>
      </c>
      <c r="E7" s="419" t="str">
        <f ca="1">IFERROR(VLOOKUP(A6,OFFSET($AG$2,,,COUNTIF($AG$2:$AG$50,"?*"),23),16,FALSE),"")</f>
        <v>186/90</v>
      </c>
      <c r="F7" s="420"/>
      <c r="M7" s="4" t="str">
        <f ca="1">IFERROR(IF(VLOOKUP(M6,OFFSET($AG$2,,,COUNTIF($AG$2:$AG$50,"?*"),23),10,FALSE)&lt;&gt;0,VLOOKUP(M6,OFFSET($AG$2,,,COUNTIF($AG$2:$AG$50,"?*"),23),10,FALSE),""),"")</f>
        <v>L</v>
      </c>
      <c r="N7" s="428">
        <f ca="1">IFERROR(IF(VLOOKUP(M6,OFFSET($AG$2,,,COUNTIF($AG$2:$AG$50,"?*"),23),2,FALSE)&lt;&gt;0,YEAR(VLOOKUP(M6,OFFSET($AG$2,,,COUNTIF($AG$2:$AG$50,"?*"),23),2,FALSE)),""),"")</f>
        <v>2003</v>
      </c>
      <c r="O7" s="429"/>
      <c r="P7" s="117">
        <f ca="1">IFERROR(VLOOKUP(M6,OFFSET($AG$2,,,COUNTIF($AG$2:$AG$50,"?*"),23),15,FALSE),"")</f>
        <v>18</v>
      </c>
      <c r="Q7" s="419" t="str">
        <f ca="1">IFERROR(VLOOKUP(M6,OFFSET($AG$2,,,COUNTIF($AG$2:$AG$50,"?*"),23),16,FALSE),"")</f>
        <v>175/67</v>
      </c>
      <c r="R7" s="420"/>
      <c r="S7" s="110" t="s">
        <v>260</v>
      </c>
      <c r="T7" s="102" t="s">
        <v>57</v>
      </c>
      <c r="U7" s="102">
        <v>14</v>
      </c>
      <c r="V7" s="102">
        <v>8</v>
      </c>
      <c r="W7" s="102">
        <v>2</v>
      </c>
      <c r="X7" s="102">
        <v>0</v>
      </c>
      <c r="Y7" s="102">
        <v>6</v>
      </c>
      <c r="Z7" s="102">
        <v>14</v>
      </c>
      <c r="AA7" s="102">
        <v>8</v>
      </c>
      <c r="AB7" s="102">
        <v>12</v>
      </c>
      <c r="AC7" s="102" t="str">
        <f ca="1">IF(S7&lt;&gt;"",IFERROR(IF(VLOOKUP(S7,OFFSET($AG$2,,,COUNTIF($AG$2:$AG$50,"?*")),1,FALSE)&lt;&gt;0,"ANO","NE"),"NE"),"")</f>
        <v>ANO</v>
      </c>
      <c r="AG7" s="121" t="s">
        <v>270</v>
      </c>
      <c r="AH7" s="122">
        <v>37727</v>
      </c>
      <c r="AI7" s="123">
        <v>18</v>
      </c>
      <c r="AJ7" s="123">
        <v>0</v>
      </c>
      <c r="AK7" s="123">
        <v>0</v>
      </c>
      <c r="AL7" s="124">
        <v>0</v>
      </c>
      <c r="AM7" s="123">
        <v>1</v>
      </c>
      <c r="AN7" s="123">
        <v>30</v>
      </c>
      <c r="AO7" s="125"/>
      <c r="AP7" s="125"/>
      <c r="AQ7" s="123">
        <v>198</v>
      </c>
      <c r="AR7" s="123">
        <v>98</v>
      </c>
      <c r="AS7" s="126" t="s">
        <v>278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198/98</v>
      </c>
      <c r="AW7" s="128" t="str">
        <f ca="1">IF(AG7&lt;&gt;"",IF(BE7=1,BD7,IF(BH7=1,BG7,IF(BJ7=1,BI7,IF(BL7=1,BK7,BM7)))),"")</f>
        <v>Hodík</v>
      </c>
      <c r="AX7" s="129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9 V, 3 P</v>
      </c>
      <c r="AY7" s="129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30 OZ, 0 A</v>
      </c>
      <c r="AZ7" s="130"/>
      <c r="BA7" s="130"/>
      <c r="BB7" s="130"/>
      <c r="BC7" s="130"/>
      <c r="BD7" s="89" t="str">
        <f t="shared" si="0"/>
        <v>Hodík</v>
      </c>
      <c r="BE7" s="91">
        <f ca="1">IF(AG7&lt;&gt;"",COUNTIF(OFFSET($BD$2,,,COUNTIF($AG$2:$AG$50,"?*")),BD7),"")</f>
        <v>1</v>
      </c>
      <c r="BF7" s="90" t="str">
        <f t="shared" si="1"/>
        <v>K</v>
      </c>
      <c r="BG7" s="89" t="str">
        <f ca="1">IF(AND($AG7&lt;&gt;"",BE7&gt;1),CONCATENATE($BD7," ",LEFT($AG7,MIN(1,SEARCH(" ",$AG7)-1)),IF(SEARCH(" ",$AG7)-1&gt;1,".",""),""),"")</f>
        <v/>
      </c>
      <c r="BH7" s="90">
        <f ca="1">IF(BG7&lt;&gt;"",COUNTIF(OFFSET(BG$2,,,COUNTIF($AG$2:$AG$50,"?*")),BG7),IF($AG7&lt;&gt;"",0,""))</f>
        <v>0</v>
      </c>
      <c r="BI7" s="89" t="str">
        <f ca="1">IF(AND($AG7&lt;&gt;"",BH7&gt;1),CONCATENATE($BD7," ",LEFT($AG7,MIN(2,SEARCH(" ",$AG7)-1)),IF(SEARCH(" ",$AG7)-1&gt;2,".",""),""),"")</f>
        <v/>
      </c>
      <c r="BJ7" s="90">
        <f ca="1">IF(BI7&lt;&gt;"",COUNTIF(OFFSET(BI$2,,,COUNTIF($AG$2:$AG$50,"?*")),BI7),IF($AG7&lt;&gt;"",0,""))</f>
        <v>0</v>
      </c>
      <c r="BK7" s="89" t="str">
        <f ca="1">IF(AND($AG7&lt;&gt;"",BJ7&gt;1),CONCATENATE($BD7," ",LEFT($AG7,MIN(3,SEARCH(" ",$AG7)-1)),IF(SEARCH(" ",$AG7)-1&gt;3,".",""),""),"")</f>
        <v/>
      </c>
      <c r="BL7" s="90">
        <f ca="1">IF(BK7&lt;&gt;"",COUNTIF(OFFSET(BK$2,,,COUNTIF($AG$2:$AG$50,"?*")),BK7),IF($AG7&lt;&gt;"",0,""))</f>
        <v>0</v>
      </c>
      <c r="BM7" s="89" t="str">
        <f ca="1">IF(AND($AG7&lt;&gt;"",BL7&gt;1),CONCATENATE($BD7," ",LEFT($AG7,MIN(4,SEARCH(" ",$AG7)-1)),IF(SEARCH(" ",$AG7)-1&gt;4,".",""),""),"")</f>
        <v/>
      </c>
      <c r="BN7" s="126"/>
      <c r="BO7" s="122"/>
      <c r="BP7" s="131"/>
      <c r="BQ7" s="132"/>
      <c r="BR7" s="127" t="str">
        <f ca="1">IF(BN7&lt;&gt;"",IF(BO7&lt;&gt;"",INT((TODAY()-BO7)/365),"?"),"")</f>
        <v/>
      </c>
      <c r="BS7" s="464" t="s">
        <v>39</v>
      </c>
      <c r="BT7" s="104" t="s">
        <v>988</v>
      </c>
      <c r="BU7" s="103" t="s">
        <v>1384</v>
      </c>
      <c r="BV7" s="104" t="str">
        <f t="shared" si="2"/>
        <v>Karel Hodík</v>
      </c>
      <c r="BW7" s="112">
        <f t="shared" si="3"/>
        <v>5.27</v>
      </c>
      <c r="BX7" s="463" t="s">
        <v>192</v>
      </c>
      <c r="BY7" s="103" t="s">
        <v>1075</v>
      </c>
      <c r="BZ7" s="103" t="s">
        <v>797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>15 OZ, 5 (3+2), 0 ±</v>
      </c>
      <c r="B8" s="422"/>
      <c r="C8" s="422"/>
      <c r="D8" s="423" t="str">
        <f ca="1">IFERROR(VLOOKUP(A6,OFFSET($AG$2,,,COUNTIF($AG$2:$AG$50,"?*"),23),19,FALSE),"")</f>
        <v>109 OZ, 58 (29+29)</v>
      </c>
      <c r="E8" s="423"/>
      <c r="F8" s="424"/>
      <c r="H8" s="435" t="s">
        <v>23</v>
      </c>
      <c r="I8" s="435"/>
      <c r="J8" s="435"/>
      <c r="K8" s="435"/>
      <c r="M8" s="421" t="str">
        <f ca="1">IFERROR(VLOOKUP(M6,OFFSET($AG$2,,,COUNTIF($AG$2:$AG$50,"?*"),23),18,FALSE),"")</f>
        <v>13 OZ, 1 (0+1), -5 ±</v>
      </c>
      <c r="N8" s="422"/>
      <c r="O8" s="422"/>
      <c r="P8" s="423" t="str">
        <f ca="1">IFERROR(VLOOKUP(M6,OFFSET($AG$2,,,COUNTIF($AG$2:$AG$50,"?*"),23),19,FALSE),"")</f>
        <v>36 OZ, 8 (2+6)</v>
      </c>
      <c r="Q8" s="423"/>
      <c r="R8" s="424"/>
      <c r="S8" s="110" t="s">
        <v>256</v>
      </c>
      <c r="T8" s="102" t="s">
        <v>106</v>
      </c>
      <c r="U8" s="102">
        <v>16</v>
      </c>
      <c r="V8" s="102">
        <v>6</v>
      </c>
      <c r="W8" s="102">
        <v>0</v>
      </c>
      <c r="X8" s="102">
        <v>0</v>
      </c>
      <c r="Y8" s="102">
        <v>7</v>
      </c>
      <c r="Z8" s="102">
        <v>13</v>
      </c>
      <c r="AA8" s="102">
        <v>0</v>
      </c>
      <c r="AB8" s="102">
        <v>1</v>
      </c>
      <c r="AC8" s="102" t="str">
        <f ca="1">IF(S8&lt;&gt;"",IFERROR(IF(VLOOKUP(S8,OFFSET($AG$2,,,COUNTIF($AG$2:$AG$50,"?*")),1,FALSE)&lt;&gt;0,"ANO","NE"),"NE"),"")</f>
        <v>ANO</v>
      </c>
      <c r="AG8" s="121" t="s">
        <v>271</v>
      </c>
      <c r="AH8" s="122">
        <v>37679</v>
      </c>
      <c r="AI8" s="123">
        <v>23</v>
      </c>
      <c r="AJ8" s="123">
        <v>2</v>
      </c>
      <c r="AK8" s="123">
        <v>5</v>
      </c>
      <c r="AL8" s="124">
        <v>7</v>
      </c>
      <c r="AM8" s="123">
        <v>2</v>
      </c>
      <c r="AN8" s="123">
        <v>93</v>
      </c>
      <c r="AO8" s="125"/>
      <c r="AP8" s="125" t="s">
        <v>136</v>
      </c>
      <c r="AQ8" s="123">
        <v>175</v>
      </c>
      <c r="AR8" s="123">
        <v>67</v>
      </c>
      <c r="AS8" s="126" t="s">
        <v>279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175/67</v>
      </c>
      <c r="AW8" s="128" t="str">
        <f ca="1">IF(AG8&lt;&gt;"",IF(BE8=1,BD8,IF(BH8=1,BG8,IF(BJ8=1,BI8,IF(BL8=1,BK8,BM8)))),"")</f>
        <v>Horký</v>
      </c>
      <c r="AX8" s="129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13 OZ, 1 (0+1), -5 ±</v>
      </c>
      <c r="AY8" s="129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36 OZ, 8 (2+6)</v>
      </c>
      <c r="AZ8" s="130"/>
      <c r="BA8" s="130"/>
      <c r="BB8" s="130"/>
      <c r="BC8" s="130"/>
      <c r="BD8" s="3" t="str">
        <f t="shared" si="0"/>
        <v>Horký</v>
      </c>
      <c r="BE8" s="84">
        <f ca="1">IF(AG8&lt;&gt;"",COUNTIF(OFFSET($BD$2,,,COUNTIF($AG$2:$AG$50,"?*")),BD8),"")</f>
        <v>1</v>
      </c>
      <c r="BF8" s="62" t="str">
        <f t="shared" si="1"/>
        <v>D</v>
      </c>
      <c r="BG8" s="3" t="str">
        <f ca="1">IF(AND($AG8&lt;&gt;"",BE8&gt;1),CONCATENATE($BD8," ",LEFT($AG8,MIN(1,SEARCH(" ",$AG8)-1)),IF(SEARCH(" ",$AG8)-1&gt;1,".",""),""),"")</f>
        <v/>
      </c>
      <c r="BH8" s="62">
        <f ca="1">IF(BG8&lt;&gt;"",COUNTIF(OFFSET(BG$2,,,COUNTIF($AG$2:$AG$50,"?*")),BG8),IF($AG8&lt;&gt;"",0,""))</f>
        <v>0</v>
      </c>
      <c r="BI8" s="3" t="str">
        <f ca="1">IF(AND($AG8&lt;&gt;"",BH8&gt;1),CONCATENATE($BD8," ",LEFT($AG8,MIN(2,SEARCH(" ",$AG8)-1)),IF(SEARCH(" ",$AG8)-1&gt;2,".",""),""),"")</f>
        <v/>
      </c>
      <c r="BJ8" s="62">
        <f ca="1">IF(BI8&lt;&gt;"",COUNTIF(OFFSET(BI$2,,,COUNTIF($AG$2:$AG$50,"?*")),BI8),IF($AG8&lt;&gt;"",0,""))</f>
        <v>0</v>
      </c>
      <c r="BK8" s="3" t="str">
        <f ca="1">IF(AND($AG8&lt;&gt;"",BJ8&gt;1),CONCATENATE($BD8," ",LEFT($AG8,MIN(3,SEARCH(" ",$AG8)-1)),IF(SEARCH(" ",$AG8)-1&gt;3,".",""),""),"")</f>
        <v/>
      </c>
      <c r="BL8" s="62">
        <f ca="1">IF(BK8&lt;&gt;"",COUNTIF(OFFSET(BK$2,,,COUNTIF($AG$2:$AG$50,"?*")),BK8),IF($AG8&lt;&gt;"",0,""))</f>
        <v>0</v>
      </c>
      <c r="BM8" s="3" t="str">
        <f ca="1">IF(AND($AG8&lt;&gt;"",BL8&gt;1),CONCATENATE($BD8," ",LEFT($AG8,MIN(4,SEARCH(" ",$AG8)-1)),IF(SEARCH(" ",$AG8)-1&gt;4,".",""),""),"")</f>
        <v/>
      </c>
      <c r="BN8" s="126"/>
      <c r="BO8" s="122"/>
      <c r="BP8" s="131"/>
      <c r="BQ8" s="132"/>
      <c r="BR8" s="127" t="str">
        <f ca="1">IF(BN8&lt;&gt;"",IF(BO8&lt;&gt;"",INT((TODAY()-BO8)/365),"?"),"")</f>
        <v/>
      </c>
      <c r="BS8" s="464"/>
      <c r="BT8" s="104" t="s">
        <v>1244</v>
      </c>
      <c r="BU8" s="103" t="s">
        <v>1245</v>
      </c>
      <c r="BV8" s="104" t="str">
        <f t="shared" si="2"/>
        <v>Karel Pergler</v>
      </c>
      <c r="BW8" s="112">
        <f t="shared" si="3"/>
        <v>3.33</v>
      </c>
      <c r="BX8" s="463"/>
      <c r="BY8" s="103" t="s">
        <v>1232</v>
      </c>
      <c r="BZ8" s="103" t="s">
        <v>790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>FBK Vosy Praha</v>
      </c>
      <c r="B9" s="431"/>
      <c r="C9" s="432"/>
      <c r="D9" s="433">
        <f ca="1">IFERROR(IF(VLOOKUP(A6,OFFSET($AG$2,,,COUNTIF($AG$2:$AG$50,"?*"),23),14,FALSE)&lt;&gt;0,VLOOKUP(A6,OFFSET($AG$2,,,COUNTIF($AG$2:$AG$50,"?*"),23),14,FALSE),"?"),"")</f>
        <v>2007</v>
      </c>
      <c r="E9" s="434"/>
      <c r="F9" s="7">
        <f ca="1">IFERROR(IF(VLOOKUP(A6,OFFSET($AG$2,,,COUNTIF($AG$2:$AG$50,"?*"),23),7,FALSE)&lt;&gt;0,VLOOKUP(A6,OFFSET($AG$2,,,COUNTIF($AG$2:$AG$50,"?*"),23),7,FALSE),"?"),"")</f>
        <v>5</v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>SK Dvojka Praha</v>
      </c>
      <c r="N9" s="431"/>
      <c r="O9" s="432"/>
      <c r="P9" s="433">
        <f ca="1">IFERROR(IF(VLOOKUP(M6,OFFSET($AG$2,,,COUNTIF($AG$2:$AG$50,"?*"),23),14,FALSE)&lt;&gt;0,VLOOKUP(M6,OFFSET($AG$2,,,COUNTIF($AG$2:$AG$50,"?*"),23),14,FALSE),"?"),"")</f>
        <v>2010</v>
      </c>
      <c r="Q9" s="434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255</v>
      </c>
      <c r="T9" s="102" t="s">
        <v>106</v>
      </c>
      <c r="U9" s="102">
        <v>16</v>
      </c>
      <c r="V9" s="102">
        <v>10</v>
      </c>
      <c r="W9" s="102">
        <v>0</v>
      </c>
      <c r="X9" s="102">
        <v>0</v>
      </c>
      <c r="Y9" s="102">
        <v>2</v>
      </c>
      <c r="Z9" s="102">
        <v>12</v>
      </c>
      <c r="AA9" s="102">
        <v>2</v>
      </c>
      <c r="AB9" s="102">
        <v>-1</v>
      </c>
      <c r="AC9" s="102" t="str">
        <f ca="1">IF(S9&lt;&gt;"",IFERROR(IF(VLOOKUP(S9,OFFSET($AG$2,,,COUNTIF($AG$2:$AG$50,"?*")),1,FALSE)&lt;&gt;0,"ANO","NE"),"NE"),"")</f>
        <v>ANO</v>
      </c>
      <c r="AG9" s="121" t="s">
        <v>272</v>
      </c>
      <c r="AH9" s="122">
        <v>37836</v>
      </c>
      <c r="AI9" s="123">
        <v>3</v>
      </c>
      <c r="AJ9" s="123">
        <v>0</v>
      </c>
      <c r="AK9" s="123">
        <v>0</v>
      </c>
      <c r="AL9" s="124">
        <v>0</v>
      </c>
      <c r="AM9" s="123">
        <v>2</v>
      </c>
      <c r="AN9" s="123">
        <v>40</v>
      </c>
      <c r="AO9" s="125"/>
      <c r="AP9" s="125" t="s">
        <v>136</v>
      </c>
      <c r="AQ9" s="123">
        <v>176</v>
      </c>
      <c r="AR9" s="123">
        <v>70</v>
      </c>
      <c r="AS9" s="126" t="s">
        <v>286</v>
      </c>
      <c r="AT9" s="123">
        <v>2011</v>
      </c>
      <c r="AU9" s="127">
        <f ca="1">IF(AG9&lt;&gt;"",IF(AH9&lt;&gt;"",INT((TODAY()-AH9)/365),"?"),"")</f>
        <v>18</v>
      </c>
      <c r="AV9" s="127" t="str">
        <f>IF(AG9&lt;&gt;"",CONCATENATE(IF(AQ9&lt;&gt;"",AQ9,"? "),"/",IF(AR9&lt;&gt;"",AR9," ?")),"")</f>
        <v>176/70</v>
      </c>
      <c r="AW9" s="128" t="str">
        <f ca="1">IF(AG9&lt;&gt;"",IF(BE9=1,BD9,IF(BH9=1,BG9,IF(BJ9=1,BI9,IF(BL9=1,BK9,BM9)))),"")</f>
        <v>Josefovič</v>
      </c>
      <c r="AX9" s="129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0 (0+0), 0 ±</v>
      </c>
      <c r="AY9" s="129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4 OZ, 0 (0+0)</v>
      </c>
      <c r="AZ9" s="130"/>
      <c r="BA9" s="130"/>
      <c r="BB9" s="130"/>
      <c r="BC9" s="130"/>
      <c r="BD9" s="89" t="str">
        <f t="shared" si="0"/>
        <v>Josefovič</v>
      </c>
      <c r="BE9" s="91">
        <f ca="1">IF(AG9&lt;&gt;"",COUNTIF(OFFSET($BD$2,,,COUNTIF($AG$2:$AG$50,"?*")),BD9),"")</f>
        <v>1</v>
      </c>
      <c r="BF9" s="90" t="str">
        <f t="shared" si="1"/>
        <v>T</v>
      </c>
      <c r="BG9" s="89" t="str">
        <f ca="1">IF(AND($AG9&lt;&gt;"",BE9&gt;1),CONCATENATE($BD9," ",LEFT($AG9,MIN(1,SEARCH(" ",$AG9)-1)),IF(SEARCH(" ",$AG9)-1&gt;1,".",""),""),"")</f>
        <v/>
      </c>
      <c r="BH9" s="90">
        <f ca="1">IF(BG9&lt;&gt;"",COUNTIF(OFFSET(BG$2,,,COUNTIF($AG$2:$AG$50,"?*")),BG9),IF($AG9&lt;&gt;"",0,""))</f>
        <v>0</v>
      </c>
      <c r="BI9" s="89" t="str">
        <f ca="1">IF(AND($AG9&lt;&gt;"",BH9&gt;1),CONCATENATE($BD9," ",LEFT($AG9,MIN(2,SEARCH(" ",$AG9)-1)),IF(SEARCH(" ",$AG9)-1&gt;2,".",""),""),"")</f>
        <v/>
      </c>
      <c r="BJ9" s="90">
        <f ca="1">IF(BI9&lt;&gt;"",COUNTIF(OFFSET(BI$2,,,COUNTIF($AG$2:$AG$50,"?*")),BI9),IF($AG9&lt;&gt;"",0,""))</f>
        <v>0</v>
      </c>
      <c r="BK9" s="89" t="str">
        <f ca="1">IF(AND($AG9&lt;&gt;"",BJ9&gt;1),CONCATENATE($BD9," ",LEFT($AG9,MIN(3,SEARCH(" ",$AG9)-1)),IF(SEARCH(" ",$AG9)-1&gt;3,".",""),""),"")</f>
        <v/>
      </c>
      <c r="BL9" s="90">
        <f ca="1">IF(BK9&lt;&gt;"",COUNTIF(OFFSET(BK$2,,,COUNTIF($AG$2:$AG$50,"?*")),BK9),IF($AG9&lt;&gt;"",0,""))</f>
        <v>0</v>
      </c>
      <c r="BM9" s="89" t="str">
        <f ca="1">IF(AND($AG9&lt;&gt;"",BL9&gt;1),CONCATENATE($BD9," ",LEFT($AG9,MIN(4,SEARCH(" ",$AG9)-1)),IF(SEARCH(" ",$AG9)-1&gt;4,".",""),""),"")</f>
        <v/>
      </c>
      <c r="BN9" s="126"/>
      <c r="BO9" s="122"/>
      <c r="BP9" s="131"/>
      <c r="BQ9" s="132"/>
      <c r="BR9" s="127" t="str">
        <f ca="1">IF(BN9&lt;&gt;"",IF(BO9&lt;&gt;"",INT((TODAY()-BO9)/365),"?"),"")</f>
        <v/>
      </c>
      <c r="BS9" s="464"/>
      <c r="BT9" s="104" t="s">
        <v>1246</v>
      </c>
      <c r="BU9" s="103" t="s">
        <v>1369</v>
      </c>
      <c r="BV9" s="104" t="str">
        <f t="shared" si="2"/>
        <v>Vojtěch Šimůnek</v>
      </c>
      <c r="BW9" s="112">
        <f t="shared" si="3"/>
        <v>6.43</v>
      </c>
      <c r="BX9" s="463"/>
      <c r="BY9" s="103" t="s">
        <v>1236</v>
      </c>
      <c r="BZ9" s="103" t="s">
        <v>789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267</v>
      </c>
      <c r="T10" s="102" t="s">
        <v>106</v>
      </c>
      <c r="U10" s="102">
        <v>16</v>
      </c>
      <c r="V10" s="102">
        <v>6</v>
      </c>
      <c r="W10" s="102">
        <v>0</v>
      </c>
      <c r="X10" s="102">
        <v>0</v>
      </c>
      <c r="Y10" s="102">
        <v>4</v>
      </c>
      <c r="Z10" s="102">
        <v>10</v>
      </c>
      <c r="AA10" s="102">
        <v>4</v>
      </c>
      <c r="AB10" s="102">
        <v>6</v>
      </c>
      <c r="AC10" s="102" t="str">
        <f ca="1">IF(S10&lt;&gt;"",IFERROR(IF(VLOOKUP(S10,OFFSET($AG$2,,,COUNTIF($AG$2:$AG$50,"?*")),1,FALSE)&lt;&gt;0,"ANO","NE"),"NE"),"")</f>
        <v>ANO</v>
      </c>
      <c r="AG10" s="121" t="s">
        <v>747</v>
      </c>
      <c r="AH10" s="122">
        <v>38101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48</v>
      </c>
      <c r="AO10" s="125"/>
      <c r="AP10" s="125" t="s">
        <v>26</v>
      </c>
      <c r="AQ10" s="123">
        <v>186</v>
      </c>
      <c r="AR10" s="123">
        <v>75</v>
      </c>
      <c r="AS10" s="126" t="s">
        <v>286</v>
      </c>
      <c r="AT10" s="123">
        <v>2015</v>
      </c>
      <c r="AU10" s="127">
        <f ca="1">IF(AG10&lt;&gt;"",IF(AH10&lt;&gt;"",INT((TODAY()-AH10)/365),"?"),"")</f>
        <v>17</v>
      </c>
      <c r="AV10" s="127" t="str">
        <f>IF(AG10&lt;&gt;"",CONCATENATE(IF(AQ10&lt;&gt;"",AQ10,"? "),"/",IF(AR10&lt;&gt;"",AR10," ?")),"")</f>
        <v>186/75</v>
      </c>
      <c r="AW10" s="128" t="str">
        <f ca="1">IF(AG10&lt;&gt;"",IF(BE10=1,BD10,IF(BH10=1,BG10,IF(BJ10=1,BI10,IF(BL10=1,BK10,BM10)))),"")</f>
        <v>Kafka</v>
      </c>
      <c r="AX10" s="129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4 OZ, 1 (0+1), -5 ±</v>
      </c>
      <c r="AY10" s="129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4 OZ, 1 (0+1)</v>
      </c>
      <c r="AZ10" s="130"/>
      <c r="BA10" s="130"/>
      <c r="BB10" s="130"/>
      <c r="BC10" s="130"/>
      <c r="BD10" s="3" t="str">
        <f t="shared" si="0"/>
        <v>Kafka</v>
      </c>
      <c r="BE10" s="84">
        <f ca="1">IF(AG10&lt;&gt;"",COUNTIF(OFFSET($BD$2,,,COUNTIF($AG$2:$AG$50,"?*")),BD10),"")</f>
        <v>1</v>
      </c>
      <c r="BF10" s="62" t="str">
        <f t="shared" si="1"/>
        <v>L</v>
      </c>
      <c r="BG10" s="3" t="str">
        <f ca="1">IF(AND($AG10&lt;&gt;"",BE10&gt;1),CONCATENATE($BD10," ",LEFT($AG10,MIN(1,SEARCH(" ",$AG10)-1)),IF(SEARCH(" ",$AG10)-1&gt;1,".",""),""),"")</f>
        <v/>
      </c>
      <c r="BH10" s="62">
        <f ca="1">IF(BG10&lt;&gt;"",COUNTIF(OFFSET(BG$2,,,COUNTIF($AG$2:$AG$50,"?*")),BG10),IF($AG10&lt;&gt;"",0,""))</f>
        <v>0</v>
      </c>
      <c r="BI10" s="3" t="str">
        <f ca="1">IF(AND($AG10&lt;&gt;"",BH10&gt;1),CONCATENATE($BD10," ",LEFT($AG10,MIN(2,SEARCH(" ",$AG10)-1)),IF(SEARCH(" ",$AG10)-1&gt;2,".",""),""),"")</f>
        <v/>
      </c>
      <c r="BJ10" s="62">
        <f ca="1">IF(BI10&lt;&gt;"",COUNTIF(OFFSET(BI$2,,,COUNTIF($AG$2:$AG$50,"?*")),BI10),IF($AG10&lt;&gt;"",0,""))</f>
        <v>0</v>
      </c>
      <c r="BK10" s="3" t="str">
        <f ca="1">IF(AND($AG10&lt;&gt;"",BJ10&gt;1),CONCATENATE($BD10," ",LEFT($AG10,MIN(3,SEARCH(" ",$AG10)-1)),IF(SEARCH(" ",$AG10)-1&gt;3,".",""),""),"")</f>
        <v/>
      </c>
      <c r="BL10" s="62">
        <f ca="1">IF(BK10&lt;&gt;"",COUNTIF(OFFSET(BK$2,,,COUNTIF($AG$2:$AG$50,"?*")),BK10),IF($AG10&lt;&gt;"",0,""))</f>
        <v>0</v>
      </c>
      <c r="BM10" s="3" t="str">
        <f ca="1">IF(AND($AG10&lt;&gt;"",BL10&gt;1),CONCATENATE($BD10," ",LEFT($AG10,MIN(4,SEARCH(" ",$AG10)-1)),IF(SEARCH(" ",$AG10)-1&gt;4,".",""),""),"")</f>
        <v/>
      </c>
      <c r="BN10" s="126"/>
      <c r="BO10" s="122"/>
      <c r="BP10" s="131"/>
      <c r="BQ10" s="132"/>
      <c r="BR10" s="127" t="str">
        <f ca="1">IF(BN10&lt;&gt;"",IF(BO10&lt;&gt;"",INT((TODAY()-BO10)/365),"?"),"")</f>
        <v/>
      </c>
      <c r="BS10" s="464"/>
      <c r="BV10" s="104" t="str">
        <f t="shared" si="2"/>
        <v/>
      </c>
      <c r="BW10" s="112" t="str">
        <f t="shared" si="3"/>
        <v/>
      </c>
      <c r="BX10" s="463"/>
      <c r="BY10" s="103" t="s">
        <v>1307</v>
      </c>
      <c r="BZ10" s="103" t="s">
        <v>791</v>
      </c>
      <c r="CA10" s="115" t="s">
        <v>187</v>
      </c>
    </row>
    <row r="11" spans="1:79" ht="15" customHeight="1" thickTop="1" thickBot="1" x14ac:dyDescent="0.25">
      <c r="R11" s="13"/>
      <c r="S11" s="110" t="s">
        <v>264</v>
      </c>
      <c r="T11" s="102" t="s">
        <v>57</v>
      </c>
      <c r="U11" s="102">
        <v>16</v>
      </c>
      <c r="V11" s="102">
        <v>2</v>
      </c>
      <c r="W11" s="102">
        <v>0</v>
      </c>
      <c r="X11" s="102">
        <v>0</v>
      </c>
      <c r="Y11" s="102">
        <v>7</v>
      </c>
      <c r="Z11" s="102">
        <v>9</v>
      </c>
      <c r="AA11" s="102">
        <v>6</v>
      </c>
      <c r="AB11" s="102">
        <v>19</v>
      </c>
      <c r="AC11" s="102" t="str">
        <f ca="1">IF(S11&lt;&gt;"",IFERROR(IF(VLOOKUP(S11,OFFSET($AG$2,,,COUNTIF($AG$2:$AG$50,"?*")),1,FALSE)&lt;&gt;0,"ANO","NE"),"NE"),"")</f>
        <v>ANO</v>
      </c>
      <c r="AG11" s="121" t="s">
        <v>250</v>
      </c>
      <c r="AH11" s="122">
        <v>35184</v>
      </c>
      <c r="AI11" s="123">
        <v>115</v>
      </c>
      <c r="AJ11" s="123">
        <v>59</v>
      </c>
      <c r="AK11" s="123">
        <v>41</v>
      </c>
      <c r="AL11" s="124">
        <v>100</v>
      </c>
      <c r="AM11" s="123">
        <v>8</v>
      </c>
      <c r="AN11" s="123">
        <v>9</v>
      </c>
      <c r="AO11" s="125"/>
      <c r="AP11" s="125" t="s">
        <v>136</v>
      </c>
      <c r="AQ11" s="123">
        <v>185</v>
      </c>
      <c r="AR11" s="123">
        <v>65</v>
      </c>
      <c r="AS11" s="126" t="s">
        <v>63</v>
      </c>
      <c r="AT11" s="123">
        <v>2006</v>
      </c>
      <c r="AU11" s="127">
        <f ca="1">IF(AG11&lt;&gt;"",IF(AH11&lt;&gt;"",INT((TODAY()-AH11)/365),"?"),"")</f>
        <v>25</v>
      </c>
      <c r="AV11" s="127" t="str">
        <f>IF(AG11&lt;&gt;"",CONCATENATE(IF(AQ11&lt;&gt;"",AQ11,"? "),"/",IF(AR11&lt;&gt;"",AR11," ?")),"")</f>
        <v>185/65</v>
      </c>
      <c r="AW11" s="128" t="str">
        <f ca="1">IF(AG11&lt;&gt;"",IF(BE11=1,BD11,IF(BH11=1,BG11,IF(BJ11=1,BI11,IF(BL11=1,BK11,BM11)))),"")</f>
        <v>Komárek</v>
      </c>
      <c r="AX11" s="129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16 OZ, 19 (12+7), 0 ±</v>
      </c>
      <c r="AY11" s="129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131 OZ, 119 (71+48)</v>
      </c>
      <c r="AZ11" s="130"/>
      <c r="BA11" s="130"/>
      <c r="BB11" s="130"/>
      <c r="BC11" s="130"/>
      <c r="BD11" s="89" t="str">
        <f t="shared" si="0"/>
        <v>Komárek</v>
      </c>
      <c r="BE11" s="91">
        <f ca="1">IF(AG11&lt;&gt;"",COUNTIF(OFFSET($BD$2,,,COUNTIF($AG$2:$AG$50,"?*")),BD11),"")</f>
        <v>1</v>
      </c>
      <c r="BF11" s="90" t="str">
        <f t="shared" si="1"/>
        <v>M</v>
      </c>
      <c r="BG11" s="89" t="str">
        <f ca="1">IF(AND($AG11&lt;&gt;"",BE11&gt;1),CONCATENATE($BD11," ",LEFT($AG11,MIN(1,SEARCH(" ",$AG11)-1)),IF(SEARCH(" ",$AG11)-1&gt;1,".",""),""),"")</f>
        <v/>
      </c>
      <c r="BH11" s="90">
        <f ca="1">IF(BG11&lt;&gt;"",COUNTIF(OFFSET(BG$2,,,COUNTIF($AG$2:$AG$50,"?*")),BG11),IF($AG11&lt;&gt;"",0,""))</f>
        <v>0</v>
      </c>
      <c r="BI11" s="89" t="str">
        <f ca="1">IF(AND($AG11&lt;&gt;"",BH11&gt;1),CONCATENATE($BD11," ",LEFT($AG11,MIN(2,SEARCH(" ",$AG11)-1)),IF(SEARCH(" ",$AG11)-1&gt;2,".",""),""),"")</f>
        <v/>
      </c>
      <c r="BJ11" s="90">
        <f ca="1">IF(BI11&lt;&gt;"",COUNTIF(OFFSET(BI$2,,,COUNTIF($AG$2:$AG$50,"?*")),BI11),IF($AG11&lt;&gt;"",0,""))</f>
        <v>0</v>
      </c>
      <c r="BK11" s="89" t="str">
        <f ca="1">IF(AND($AG11&lt;&gt;"",BJ11&gt;1),CONCATENATE($BD11," ",LEFT($AG11,MIN(3,SEARCH(" ",$AG11)-1)),IF(SEARCH(" ",$AG11)-1&gt;3,".",""),""),"")</f>
        <v/>
      </c>
      <c r="BL11" s="90">
        <f ca="1">IF(BK11&lt;&gt;"",COUNTIF(OFFSET(BK$2,,,COUNTIF($AG$2:$AG$50,"?*")),BK11),IF($AG11&lt;&gt;"",0,""))</f>
        <v>0</v>
      </c>
      <c r="BM11" s="89" t="str">
        <f ca="1">IF(AND($AG11&lt;&gt;"",BL11&gt;1),CONCATENATE($BD11," ",LEFT($AG11,MIN(4,SEARCH(" ",$AG11)-1)),IF(SEARCH(" ",$AG11)-1&gt;4,".",""),""),"")</f>
        <v/>
      </c>
      <c r="BN11" s="126"/>
      <c r="BO11" s="122"/>
      <c r="BP11" s="131"/>
      <c r="BQ11" s="132"/>
      <c r="BR11" s="127"/>
      <c r="BS11" s="464"/>
      <c r="BV11" s="104" t="str">
        <f t="shared" si="2"/>
        <v/>
      </c>
      <c r="BW11" s="112" t="str">
        <f t="shared" si="3"/>
        <v/>
      </c>
      <c r="BX11" s="463"/>
      <c r="BY11" s="103" t="s">
        <v>1381</v>
      </c>
      <c r="BZ11" s="103" t="s">
        <v>823</v>
      </c>
      <c r="CA11" s="115" t="s">
        <v>187</v>
      </c>
    </row>
    <row r="12" spans="1:79" ht="15" customHeight="1" thickTop="1" thickBot="1" x14ac:dyDescent="0.25">
      <c r="A12" s="425" t="s">
        <v>257</v>
      </c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27" t="s">
        <v>7</v>
      </c>
      <c r="I12" s="427"/>
      <c r="J12" s="427"/>
      <c r="K12" s="427"/>
      <c r="M12" s="425" t="s">
        <v>822</v>
      </c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22</v>
      </c>
      <c r="S12" s="110" t="s">
        <v>259</v>
      </c>
      <c r="T12" s="102" t="s">
        <v>57</v>
      </c>
      <c r="U12" s="102">
        <v>15</v>
      </c>
      <c r="V12" s="102">
        <v>2</v>
      </c>
      <c r="W12" s="102">
        <v>0</v>
      </c>
      <c r="X12" s="102">
        <v>0</v>
      </c>
      <c r="Y12" s="102">
        <v>4</v>
      </c>
      <c r="Z12" s="102">
        <v>6</v>
      </c>
      <c r="AA12" s="102">
        <v>6</v>
      </c>
      <c r="AB12" s="102">
        <v>8</v>
      </c>
      <c r="AC12" s="102" t="str">
        <f ca="1">IF(S12&lt;&gt;"",IFERROR(IF(VLOOKUP(S12,OFFSET($AG$2,,,COUNTIF($AG$2:$AG$50,"?*")),1,FALSE)&lt;&gt;0,"ANO","NE"),"NE"),"")</f>
        <v>ANO</v>
      </c>
      <c r="AG12" s="121" t="s">
        <v>254</v>
      </c>
      <c r="AH12" s="122">
        <v>37610</v>
      </c>
      <c r="AI12" s="123">
        <v>40</v>
      </c>
      <c r="AJ12" s="123">
        <v>40</v>
      </c>
      <c r="AK12" s="123">
        <v>25</v>
      </c>
      <c r="AL12" s="124">
        <v>65</v>
      </c>
      <c r="AM12" s="123">
        <v>3</v>
      </c>
      <c r="AN12" s="123">
        <v>84</v>
      </c>
      <c r="AO12" s="125"/>
      <c r="AP12" s="125" t="s">
        <v>26</v>
      </c>
      <c r="AQ12" s="123">
        <v>183</v>
      </c>
      <c r="AR12" s="123">
        <v>72</v>
      </c>
      <c r="AS12" s="126" t="s">
        <v>282</v>
      </c>
      <c r="AT12" s="123">
        <v>2009</v>
      </c>
      <c r="AU12" s="127">
        <f ca="1">IF(AG12&lt;&gt;"",IF(AH12&lt;&gt;"",INT((TODAY()-AH12)/365),"?"),"")</f>
        <v>18</v>
      </c>
      <c r="AV12" s="127" t="str">
        <f>IF(AG12&lt;&gt;"",CONCATENATE(IF(AQ12&lt;&gt;"",AQ12,"? "),"/",IF(AR12&lt;&gt;"",AR12," ?")),"")</f>
        <v>183/72</v>
      </c>
      <c r="AW12" s="128" t="str">
        <f ca="1">IF(AG12&lt;&gt;"",IF(BE12=1,BD12,IF(BH12=1,BG12,IF(BJ12=1,BI12,IF(BL12=1,BK12,BM12)))),"")</f>
        <v>Majer</v>
      </c>
      <c r="AX12" s="129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16 OZ, 36 (18+18), +17 ±</v>
      </c>
      <c r="AY12" s="129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56 OZ, 101 (58+43)</v>
      </c>
      <c r="AZ12" s="130"/>
      <c r="BA12" s="130"/>
      <c r="BB12" s="130"/>
      <c r="BC12" s="130"/>
      <c r="BD12" s="3" t="str">
        <f t="shared" si="0"/>
        <v>Majer</v>
      </c>
      <c r="BE12" s="84">
        <f ca="1">IF(AG12&lt;&gt;"",COUNTIF(OFFSET($BD$2,,,COUNTIF($AG$2:$AG$50,"?*")),BD12),"")</f>
        <v>1</v>
      </c>
      <c r="BF12" s="62" t="str">
        <f t="shared" si="1"/>
        <v>P</v>
      </c>
      <c r="BG12" s="3" t="str">
        <f ca="1">IF(AND($AG12&lt;&gt;"",BE12&gt;1),CONCATENATE($BD12," ",LEFT($AG12,MIN(1,SEARCH(" ",$AG12)-1)),IF(SEARCH(" ",$AG12)-1&gt;1,".",""),""),"")</f>
        <v/>
      </c>
      <c r="BH12" s="62">
        <f ca="1">IF(BG12&lt;&gt;"",COUNTIF(OFFSET(BG$2,,,COUNTIF($AG$2:$AG$50,"?*")),BG12),IF($AG12&lt;&gt;"",0,""))</f>
        <v>0</v>
      </c>
      <c r="BI12" s="3" t="str">
        <f ca="1">IF(AND($AG12&lt;&gt;"",BH12&gt;1),CONCATENATE($BD12," ",LEFT($AG12,MIN(2,SEARCH(" ",$AG12)-1)),IF(SEARCH(" ",$AG12)-1&gt;2,".",""),""),"")</f>
        <v/>
      </c>
      <c r="BJ12" s="62">
        <f ca="1">IF(BI12&lt;&gt;"",COUNTIF(OFFSET(BI$2,,,COUNTIF($AG$2:$AG$50,"?*")),BI12),IF($AG12&lt;&gt;"",0,""))</f>
        <v>0</v>
      </c>
      <c r="BK12" s="3" t="str">
        <f ca="1">IF(AND($AG12&lt;&gt;"",BJ12&gt;1),CONCATENATE($BD12," ",LEFT($AG12,MIN(3,SEARCH(" ",$AG12)-1)),IF(SEARCH(" ",$AG12)-1&gt;3,".",""),""),"")</f>
        <v/>
      </c>
      <c r="BL12" s="62">
        <f ca="1">IF(BK12&lt;&gt;"",COUNTIF(OFFSET(BK$2,,,COUNTIF($AG$2:$AG$50,"?*")),BK12),IF($AG12&lt;&gt;"",0,""))</f>
        <v>0</v>
      </c>
      <c r="BM12" s="3" t="str">
        <f ca="1">IF(AND($AG12&lt;&gt;"",BL12&gt;1),CONCATENATE($BD12," ",LEFT($AG12,MIN(4,SEARCH(" ",$AG12)-1)),IF(SEARCH(" ",$AG12)-1&gt;4,".",""),""),"")</f>
        <v/>
      </c>
      <c r="BN12" s="126"/>
      <c r="BS12" s="464" t="s">
        <v>36</v>
      </c>
      <c r="BT12" s="104" t="s">
        <v>746</v>
      </c>
      <c r="BU12" s="103">
        <v>19</v>
      </c>
      <c r="BV12" s="104" t="str">
        <f t="shared" si="2"/>
        <v>Marek Vávra</v>
      </c>
      <c r="BW12" s="102">
        <f t="shared" si="3"/>
        <v>19</v>
      </c>
      <c r="BX12" s="120" t="s">
        <v>190</v>
      </c>
      <c r="BY12" s="100" t="s">
        <v>1382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8">
        <f ca="1">IFERROR(IF(VLOOKUP(A12,OFFSET($AG$2,,,COUNTIF($AG$2:$AG$50,"?*"),23),2,FALSE)&lt;&gt;0,YEAR(VLOOKUP(A12,OFFSET($AG$2,,,COUNTIF($AG$2:$AG$50,"?*"),23),2,FALSE)),""),"")</f>
        <v>1992</v>
      </c>
      <c r="C13" s="429"/>
      <c r="D13" s="117">
        <f ca="1">IFERROR(VLOOKUP(A12,OFFSET($AG$2,,,COUNTIF($AG$2:$AG$50,"?*"),23),15,FALSE),"")</f>
        <v>29</v>
      </c>
      <c r="E13" s="419" t="str">
        <f ca="1">IFERROR(VLOOKUP(A12,OFFSET($AG$2,,,COUNTIF($AG$2:$AG$50,"?*"),23),16,FALSE),"")</f>
        <v>186/82</v>
      </c>
      <c r="F13" s="420"/>
      <c r="M13" s="4" t="str">
        <f ca="1">IFERROR(IF(VLOOKUP(M12,OFFSET($AG$2,,,COUNTIF($AG$2:$AG$50,"?*"),23),10,FALSE)&lt;&gt;0,VLOOKUP(M12,OFFSET($AG$2,,,COUNTIF($AG$2:$AG$50,"?*"),23),10,FALSE),""),"")</f>
        <v>L</v>
      </c>
      <c r="N13" s="428">
        <f ca="1">IFERROR(IF(VLOOKUP(M12,OFFSET($AG$2,,,COUNTIF($AG$2:$AG$50,"?*"),23),2,FALSE)&lt;&gt;0,YEAR(VLOOKUP(M12,OFFSET($AG$2,,,COUNTIF($AG$2:$AG$50,"?*"),23),2,FALSE)),""),"")</f>
        <v>2002</v>
      </c>
      <c r="O13" s="429"/>
      <c r="P13" s="117">
        <f ca="1">IFERROR(VLOOKUP(M12,OFFSET($AG$2,,,COUNTIF($AG$2:$AG$50,"?*"),23),15,FALSE),"")</f>
        <v>19</v>
      </c>
      <c r="Q13" s="419" t="str">
        <f ca="1">IFERROR(VLOOKUP(M12,OFFSET($AG$2,,,COUNTIF($AG$2:$AG$50,"?*"),23),16,FALSE),"")</f>
        <v>173/64</v>
      </c>
      <c r="R13" s="420"/>
      <c r="S13" s="110" t="s">
        <v>253</v>
      </c>
      <c r="T13" s="102" t="s">
        <v>106</v>
      </c>
      <c r="U13" s="102">
        <v>15</v>
      </c>
      <c r="V13" s="102">
        <v>3</v>
      </c>
      <c r="W13" s="102">
        <v>0</v>
      </c>
      <c r="X13" s="102">
        <v>0</v>
      </c>
      <c r="Y13" s="102">
        <v>2</v>
      </c>
      <c r="Z13" s="102">
        <v>5</v>
      </c>
      <c r="AA13" s="102">
        <v>0</v>
      </c>
      <c r="AB13" s="102">
        <v>0</v>
      </c>
      <c r="AC13" s="102" t="str">
        <f ca="1">IF(S13&lt;&gt;"",IFERROR(IF(VLOOKUP(S13,OFFSET($AG$2,,,COUNTIF($AG$2:$AG$50,"?*")),1,FALSE)&lt;&gt;0,"ANO","NE"),"NE"),"")</f>
        <v>ANO</v>
      </c>
      <c r="AG13" s="121" t="s">
        <v>821</v>
      </c>
      <c r="AH13" s="122"/>
      <c r="AI13" s="123">
        <v>0</v>
      </c>
      <c r="AJ13" s="123">
        <v>0</v>
      </c>
      <c r="AK13" s="123">
        <v>0</v>
      </c>
      <c r="AL13" s="124">
        <v>0</v>
      </c>
      <c r="AM13" s="123">
        <v>1</v>
      </c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Matoušek</v>
      </c>
      <c r="AX13" s="129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0 (0+0), 0 ±</v>
      </c>
      <c r="AY13" s="129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 OZ, 0 (0+0)</v>
      </c>
      <c r="AZ13" s="130"/>
      <c r="BA13" s="130"/>
      <c r="BB13" s="130"/>
      <c r="BC13" s="130"/>
      <c r="BD13" s="89" t="str">
        <f t="shared" si="0"/>
        <v>Matoušek</v>
      </c>
      <c r="BE13" s="91">
        <f ca="1">IF(AG13&lt;&gt;"",COUNTIF(OFFSET($BD$2,,,COUNTIF($AG$2:$AG$50,"?*")),BD13),"")</f>
        <v>1</v>
      </c>
      <c r="BF13" s="90" t="str">
        <f t="shared" si="1"/>
        <v>M</v>
      </c>
      <c r="BG13" s="89" t="str">
        <f ca="1">IF(AND($AG13&lt;&gt;"",BE13&gt;1),CONCATENATE($BD13," ",LEFT($AG13,MIN(1,SEARCH(" ",$AG13)-1)),IF(SEARCH(" ",$AG13)-1&gt;1,".",""),""),"")</f>
        <v/>
      </c>
      <c r="BH13" s="90">
        <f ca="1">IF(BG13&lt;&gt;"",COUNTIF(OFFSET(BG$2,,,COUNTIF($AG$2:$AG$50,"?*")),BG13),IF($AG13&lt;&gt;"",0,""))</f>
        <v>0</v>
      </c>
      <c r="BI13" s="89" t="str">
        <f ca="1">IF(AND($AG13&lt;&gt;"",BH13&gt;1),CONCATENATE($BD13," ",LEFT($AG13,MIN(2,SEARCH(" ",$AG13)-1)),IF(SEARCH(" ",$AG13)-1&gt;2,".",""),""),"")</f>
        <v/>
      </c>
      <c r="BJ13" s="90">
        <f ca="1">IF(BI13&lt;&gt;"",COUNTIF(OFFSET(BI$2,,,COUNTIF($AG$2:$AG$50,"?*")),BI13),IF($AG13&lt;&gt;"",0,""))</f>
        <v>0</v>
      </c>
      <c r="BK13" s="89" t="str">
        <f ca="1">IF(AND($AG13&lt;&gt;"",BJ13&gt;1),CONCATENATE($BD13," ",LEFT($AG13,MIN(3,SEARCH(" ",$AG13)-1)),IF(SEARCH(" ",$AG13)-1&gt;3,".",""),""),"")</f>
        <v/>
      </c>
      <c r="BL13" s="90">
        <f ca="1">IF(BK13&lt;&gt;"",COUNTIF(OFFSET(BK$2,,,COUNTIF($AG$2:$AG$50,"?*")),BK13),IF($AG13&lt;&gt;"",0,""))</f>
        <v>0</v>
      </c>
      <c r="BM13" s="89" t="str">
        <f ca="1">IF(AND($AG13&lt;&gt;"",BL13&gt;1),CONCATENATE($BD13," ",LEFT($AG13,MIN(4,SEARCH(" ",$AG13)-1)),IF(SEARCH(" ",$AG13)-1&gt;4,".",""),""),"")</f>
        <v/>
      </c>
      <c r="BN13" s="126"/>
      <c r="BS13" s="464"/>
      <c r="BT13" s="104" t="s">
        <v>819</v>
      </c>
      <c r="BU13" s="103">
        <v>18</v>
      </c>
      <c r="BV13" s="104" t="str">
        <f t="shared" si="2"/>
        <v>Petr Majer</v>
      </c>
      <c r="BW13" s="102">
        <f t="shared" si="3"/>
        <v>18</v>
      </c>
    </row>
    <row r="14" spans="1:79" ht="15" customHeight="1" thickTop="1" thickBot="1" x14ac:dyDescent="0.25">
      <c r="A14" s="421" t="str">
        <f ca="1">IFERROR(VLOOKUP(A12,OFFSET($AG$2,,,COUNTIF($AG$2:$AG$50,"?*"),23),18,FALSE),"")</f>
        <v>15 OZ, 22 (10+12), +8 ±</v>
      </c>
      <c r="B14" s="422"/>
      <c r="C14" s="422"/>
      <c r="D14" s="423" t="str">
        <f ca="1">IFERROR(VLOOKUP(A12,OFFSET($AG$2,,,COUNTIF($AG$2:$AG$50,"?*"),23),19,FALSE),"")</f>
        <v>255 OZ, 545 (332+213)</v>
      </c>
      <c r="E14" s="423"/>
      <c r="F14" s="424"/>
      <c r="G14" s="425" t="s">
        <v>255</v>
      </c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14</v>
      </c>
      <c r="M14" s="421" t="str">
        <f ca="1">IFERROR(VLOOKUP(M12,OFFSET($AG$2,,,COUNTIF($AG$2:$AG$50,"?*"),23),18,FALSE),"")</f>
        <v>12 OZ, 5 (2+3), +1 ±</v>
      </c>
      <c r="N14" s="422"/>
      <c r="O14" s="422"/>
      <c r="P14" s="423" t="str">
        <f ca="1">IFERROR(VLOOKUP(M12,OFFSET($AG$2,,,COUNTIF($AG$2:$AG$50,"?*"),23),19,FALSE),"")</f>
        <v>12 OZ, 5 (2+3)</v>
      </c>
      <c r="Q14" s="423"/>
      <c r="R14" s="424"/>
      <c r="S14" s="110" t="s">
        <v>822</v>
      </c>
      <c r="T14" s="102" t="s">
        <v>106</v>
      </c>
      <c r="U14" s="102">
        <v>12</v>
      </c>
      <c r="V14" s="102">
        <v>2</v>
      </c>
      <c r="W14" s="102">
        <v>0</v>
      </c>
      <c r="X14" s="102">
        <v>0</v>
      </c>
      <c r="Y14" s="102">
        <v>3</v>
      </c>
      <c r="Z14" s="102">
        <v>5</v>
      </c>
      <c r="AA14" s="102">
        <v>6</v>
      </c>
      <c r="AB14" s="102">
        <v>1</v>
      </c>
      <c r="AC14" s="102" t="str">
        <f ca="1">IF(S14&lt;&gt;"",IFERROR(IF(VLOOKUP(S14,OFFSET($AG$2,,,COUNTIF($AG$2:$AG$50,"?*")),1,FALSE)&lt;&gt;0,"ANO","NE"),"NE"),"")</f>
        <v>ANO</v>
      </c>
      <c r="AG14" s="121" t="s">
        <v>267</v>
      </c>
      <c r="AH14" s="122">
        <v>36184</v>
      </c>
      <c r="AI14" s="123">
        <v>94</v>
      </c>
      <c r="AJ14" s="123">
        <v>36</v>
      </c>
      <c r="AK14" s="123">
        <v>17</v>
      </c>
      <c r="AL14" s="124">
        <v>53</v>
      </c>
      <c r="AM14" s="123">
        <v>6</v>
      </c>
      <c r="AN14" s="123">
        <v>4</v>
      </c>
      <c r="AO14" s="125"/>
      <c r="AP14" s="125" t="s">
        <v>136</v>
      </c>
      <c r="AQ14" s="123">
        <v>184</v>
      </c>
      <c r="AR14" s="123">
        <v>78</v>
      </c>
      <c r="AS14" s="126" t="s">
        <v>283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16 OZ, 10 (6+4), +6 ±</v>
      </c>
      <c r="AY14" s="129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110 OZ, 63 (42+21)</v>
      </c>
      <c r="AZ14" s="130"/>
      <c r="BA14" s="130"/>
      <c r="BB14" s="130"/>
      <c r="BC14" s="130"/>
      <c r="BD14" s="3" t="str">
        <f t="shared" si="0"/>
        <v>Maxa</v>
      </c>
      <c r="BE14" s="84">
        <f ca="1">IF(AG14&lt;&gt;"",COUNTIF(OFFSET($BD$2,,,COUNTIF($AG$2:$AG$50,"?*")),BD14),"")</f>
        <v>1</v>
      </c>
      <c r="BF14" s="62" t="str">
        <f t="shared" si="1"/>
        <v>D</v>
      </c>
      <c r="BG14" s="3" t="str">
        <f ca="1">IF(AND($AG14&lt;&gt;"",BE14&gt;1),CONCATENATE($BD14," ",LEFT($AG14,MIN(1,SEARCH(" ",$AG14)-1)),IF(SEARCH(" ",$AG14)-1&gt;1,".",""),""),"")</f>
        <v/>
      </c>
      <c r="BH14" s="62">
        <f ca="1">IF(BG14&lt;&gt;"",COUNTIF(OFFSET(BG$2,,,COUNTIF($AG$2:$AG$50,"?*")),BG14),IF($AG14&lt;&gt;"",0,""))</f>
        <v>0</v>
      </c>
      <c r="BI14" s="3" t="str">
        <f ca="1">IF(AND($AG14&lt;&gt;"",BH14&gt;1),CONCATENATE($BD14," ",LEFT($AG14,MIN(2,SEARCH(" ",$AG14)-1)),IF(SEARCH(" ",$AG14)-1&gt;2,".",""),""),"")</f>
        <v/>
      </c>
      <c r="BJ14" s="62">
        <f ca="1">IF(BI14&lt;&gt;"",COUNTIF(OFFSET(BI$2,,,COUNTIF($AG$2:$AG$50,"?*")),BI14),IF($AG14&lt;&gt;"",0,""))</f>
        <v>0</v>
      </c>
      <c r="BK14" s="3" t="str">
        <f ca="1">IF(AND($AG14&lt;&gt;"",BJ14&gt;1),CONCATENATE($BD14," ",LEFT($AG14,MIN(3,SEARCH(" ",$AG14)-1)),IF(SEARCH(" ",$AG14)-1&gt;3,".",""),""),"")</f>
        <v/>
      </c>
      <c r="BL14" s="62">
        <f ca="1">IF(BK14&lt;&gt;"",COUNTIF(OFFSET(BK$2,,,COUNTIF($AG$2:$AG$50,"?*")),BK14),IF($AG14&lt;&gt;"",0,""))</f>
        <v>0</v>
      </c>
      <c r="BM14" s="3" t="str">
        <f ca="1">IF(AND($AG14&lt;&gt;"",BL14&gt;1),CONCATENATE($BD14," ",LEFT($AG14,MIN(4,SEARCH(" ",$AG14)-1)),IF(SEARCH(" ",$AG14)-1&gt;4,".",""),""),"")</f>
        <v/>
      </c>
      <c r="BN14" s="126"/>
      <c r="BS14" s="464"/>
      <c r="BT14" s="104" t="s">
        <v>1385</v>
      </c>
      <c r="BU14" s="103">
        <v>12</v>
      </c>
      <c r="BV14" s="104" t="str">
        <f t="shared" si="2"/>
        <v>Daniel Eremiáš</v>
      </c>
      <c r="BW14" s="102">
        <f t="shared" si="3"/>
        <v>12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>SPA Sokol Brno I.</v>
      </c>
      <c r="B15" s="431"/>
      <c r="C15" s="432"/>
      <c r="D15" s="433">
        <f ca="1">IFERROR(IF(VLOOKUP(A12,OFFSET($AG$2,,,COUNTIF($AG$2:$AG$50,"?*"),23),14,FALSE)&lt;&gt;0,VLOOKUP(A12,OFFSET($AG$2,,,COUNTIF($AG$2:$AG$50,"?*"),23),14,FALSE),"?"),"")</f>
        <v>1999</v>
      </c>
      <c r="E15" s="434"/>
      <c r="F15" s="7">
        <f ca="1">IFERROR(IF(VLOOKUP(A12,OFFSET($AG$2,,,COUNTIF($AG$2:$AG$50,"?*"),23),7,FALSE)&lt;&gt;0,VLOOKUP(A12,OFFSET($AG$2,,,COUNTIF($AG$2:$AG$50,"?*"),23),7,FALSE),"?"),"")</f>
        <v>13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8">
        <f ca="1">IFERROR(IF(VLOOKUP(G14,OFFSET($AG$2,,,COUNTIF($AG$2:$AG$50,"?*"),23),2,FALSE)&lt;&gt;0,YEAR(VLOOKUP(G14,OFFSET($AG$2,,,COUNTIF($AG$2:$AG$50,"?*"),23),2,FALSE)),""),"")</f>
        <v>1997</v>
      </c>
      <c r="I15" s="429"/>
      <c r="J15" s="117">
        <f ca="1">IFERROR(VLOOKUP(G14,OFFSET($AG$2,,,COUNTIF($AG$2:$AG$50,"?*"),23),15,FALSE),"")</f>
        <v>24</v>
      </c>
      <c r="K15" s="419" t="str">
        <f ca="1">IFERROR(VLOOKUP(G14,OFFSET($AG$2,,,COUNTIF($AG$2:$AG$50,"?*"),23),16,FALSE),"")</f>
        <v>184/78</v>
      </c>
      <c r="L15" s="420"/>
      <c r="M15" s="430" t="str">
        <f ca="1">IFERROR(IF(VLOOKUP(M12,OFFSET($AG$2,,,COUNTIF($AG$2:$AG$50,"?*"),23),13,FALSE)&lt;&gt;0,VLOOKUP(M12,OFFSET($AG$2,,,COUNTIF($AG$2:$AG$50,"?*"),23),13,FALSE),"?"),"")</f>
        <v>SSK Future</v>
      </c>
      <c r="N15" s="431"/>
      <c r="O15" s="432"/>
      <c r="P15" s="433">
        <f ca="1">IFERROR(IF(VLOOKUP(M12,OFFSET($AG$2,,,COUNTIF($AG$2:$AG$50,"?*"),23),14,FALSE)&lt;&gt;0,VLOOKUP(M12,OFFSET($AG$2,,,COUNTIF($AG$2:$AG$50,"?*"),23),14,FALSE),"?"),"")</f>
        <v>2009</v>
      </c>
      <c r="Q15" s="434"/>
      <c r="R15" s="7">
        <f ca="1">IFERROR(IF(VLOOKUP(M12,OFFSET($AG$2,,,COUNTIF($AG$2:$AG$50,"?*"),23),7,FALSE)&lt;&gt;0,VLOOKUP(M12,OFFSET($AG$2,,,COUNTIF($AG$2:$AG$50,"?*"),23),7,FALSE),"?"),"")</f>
        <v>1</v>
      </c>
      <c r="S15" s="110" t="s">
        <v>266</v>
      </c>
      <c r="T15" s="102" t="s">
        <v>106</v>
      </c>
      <c r="U15" s="102">
        <v>9</v>
      </c>
      <c r="V15" s="102">
        <v>2</v>
      </c>
      <c r="W15" s="102">
        <v>0</v>
      </c>
      <c r="X15" s="102">
        <v>0</v>
      </c>
      <c r="Y15" s="102">
        <v>2</v>
      </c>
      <c r="Z15" s="102">
        <v>4</v>
      </c>
      <c r="AA15" s="102">
        <v>2</v>
      </c>
      <c r="AB15" s="102">
        <v>6</v>
      </c>
      <c r="AC15" s="102" t="str">
        <f ca="1">IF(S15&lt;&gt;"",IFERROR(IF(VLOOKUP(S15,OFFSET($AG$2,,,COUNTIF($AG$2:$AG$50,"?*")),1,FALSE)&lt;&gt;0,"ANO","NE"),"NE"),"")</f>
        <v>ANO</v>
      </c>
      <c r="AG15" s="121" t="s">
        <v>822</v>
      </c>
      <c r="AH15" s="122">
        <v>37582</v>
      </c>
      <c r="AI15" s="123">
        <v>0</v>
      </c>
      <c r="AJ15" s="123">
        <v>0</v>
      </c>
      <c r="AK15" s="123">
        <v>0</v>
      </c>
      <c r="AL15" s="124">
        <v>0</v>
      </c>
      <c r="AM15" s="123">
        <v>1</v>
      </c>
      <c r="AN15" s="123">
        <v>22</v>
      </c>
      <c r="AO15" s="125"/>
      <c r="AP15" s="125" t="s">
        <v>136</v>
      </c>
      <c r="AQ15" s="123">
        <v>173</v>
      </c>
      <c r="AR15" s="123">
        <v>64</v>
      </c>
      <c r="AS15" s="126" t="s">
        <v>387</v>
      </c>
      <c r="AT15" s="123">
        <v>2009</v>
      </c>
      <c r="AU15" s="127">
        <f ca="1">IF(AG15&lt;&gt;"",IF(AH15&lt;&gt;"",INT((TODAY()-AH15)/365),"?"),"")</f>
        <v>19</v>
      </c>
      <c r="AV15" s="127" t="str">
        <f>IF(AG15&lt;&gt;"",CONCATENATE(IF(AQ15&lt;&gt;"",AQ15,"? "),"/",IF(AR15&lt;&gt;"",AR15," ?")),"")</f>
        <v>173/64</v>
      </c>
      <c r="AW15" s="128" t="str">
        <f ca="1">IF(AG15&lt;&gt;"",IF(BE15=1,BD15,IF(BH15=1,BG15,IF(BJ15=1,BI15,IF(BL15=1,BK15,BM15)))),"")</f>
        <v>Netrefa</v>
      </c>
      <c r="AX15" s="129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12 OZ, 5 (2+3), +1 ±</v>
      </c>
      <c r="AY15" s="129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12 OZ, 5 (2+3)</v>
      </c>
      <c r="AZ15" s="130"/>
      <c r="BA15" s="130"/>
      <c r="BB15" s="130"/>
      <c r="BC15" s="130"/>
      <c r="BD15" s="89" t="str">
        <f t="shared" si="0"/>
        <v>Netrefa</v>
      </c>
      <c r="BE15" s="91">
        <f ca="1">IF(AG15&lt;&gt;"",COUNTIF(OFFSET($BD$2,,,COUNTIF($AG$2:$AG$50,"?*")),BD15),"")</f>
        <v>1</v>
      </c>
      <c r="BF15" s="90" t="str">
        <f t="shared" si="1"/>
        <v>M</v>
      </c>
      <c r="BG15" s="89" t="str">
        <f ca="1">IF(AND($AG15&lt;&gt;"",BE15&gt;1),CONCATENATE($BD15," ",LEFT($AG15,MIN(1,SEARCH(" ",$AG15)-1)),IF(SEARCH(" ",$AG15)-1&gt;1,".",""),""),"")</f>
        <v/>
      </c>
      <c r="BH15" s="90">
        <f ca="1">IF(BG15&lt;&gt;"",COUNTIF(OFFSET(BG$2,,,COUNTIF($AG$2:$AG$50,"?*")),BG15),IF($AG15&lt;&gt;"",0,""))</f>
        <v>0</v>
      </c>
      <c r="BI15" s="89" t="str">
        <f ca="1">IF(AND($AG15&lt;&gt;"",BH15&gt;1),CONCATENATE($BD15," ",LEFT($AG15,MIN(2,SEARCH(" ",$AG15)-1)),IF(SEARCH(" ",$AG15)-1&gt;2,".",""),""),"")</f>
        <v/>
      </c>
      <c r="BJ15" s="90">
        <f ca="1">IF(BI15&lt;&gt;"",COUNTIF(OFFSET(BI$2,,,COUNTIF($AG$2:$AG$50,"?*")),BI15),IF($AG15&lt;&gt;"",0,""))</f>
        <v>0</v>
      </c>
      <c r="BK15" s="89" t="str">
        <f ca="1">IF(AND($AG15&lt;&gt;"",BJ15&gt;1),CONCATENATE($BD15," ",LEFT($AG15,MIN(3,SEARCH(" ",$AG15)-1)),IF(SEARCH(" ",$AG15)-1&gt;3,".",""),""),"")</f>
        <v/>
      </c>
      <c r="BL15" s="90">
        <f ca="1">IF(BK15&lt;&gt;"",COUNTIF(OFFSET(BK$2,,,COUNTIF($AG$2:$AG$50,"?*")),BK15),IF($AG15&lt;&gt;"",0,""))</f>
        <v>0</v>
      </c>
      <c r="BM15" s="89" t="str">
        <f ca="1">IF(AND($AG15&lt;&gt;"",BL15&gt;1),CONCATENATE($BD15," ",LEFT($AG15,MIN(4,SEARCH(" ",$AG15)-1)),IF(SEARCH(" ",$AG15)-1&gt;4,".",""),""),"")</f>
        <v/>
      </c>
      <c r="BN15" s="126"/>
      <c r="BS15" s="464"/>
      <c r="BT15" s="104" t="s">
        <v>989</v>
      </c>
      <c r="BU15" s="103">
        <v>12</v>
      </c>
      <c r="BV15" s="104" t="str">
        <f t="shared" si="2"/>
        <v>Mikuláš Komárek</v>
      </c>
      <c r="BW15" s="102">
        <f t="shared" si="3"/>
        <v>12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>16 OZ, 12 (10+2), -1 ±</v>
      </c>
      <c r="H16" s="422"/>
      <c r="I16" s="422"/>
      <c r="J16" s="423" t="str">
        <f ca="1">IFERROR(VLOOKUP(G14,OFFSET($AG$2,,,COUNTIF($AG$2:$AG$50,"?*"),23),19,FALSE),"")</f>
        <v>122 OZ, 71 (44+27)</v>
      </c>
      <c r="K16" s="423"/>
      <c r="L16" s="424"/>
      <c r="S16" s="110" t="s">
        <v>269</v>
      </c>
      <c r="T16" s="102" t="s">
        <v>106</v>
      </c>
      <c r="U16" s="102">
        <v>11</v>
      </c>
      <c r="V16" s="102">
        <v>2</v>
      </c>
      <c r="W16" s="102">
        <v>0</v>
      </c>
      <c r="X16" s="102">
        <v>0</v>
      </c>
      <c r="Y16" s="102">
        <v>1</v>
      </c>
      <c r="Z16" s="102">
        <v>3</v>
      </c>
      <c r="AA16" s="102">
        <v>0</v>
      </c>
      <c r="AB16" s="102">
        <v>1</v>
      </c>
      <c r="AC16" s="102" t="str">
        <f ca="1">IF(S16&lt;&gt;"",IFERROR(IF(VLOOKUP(S16,OFFSET($AG$2,,,COUNTIF($AG$2:$AG$50,"?*")),1,FALSE)&lt;&gt;0,"ANO","NE"),"NE"),"")</f>
        <v>ANO</v>
      </c>
      <c r="AG16" s="121" t="s">
        <v>257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v>523</v>
      </c>
      <c r="AM16" s="123">
        <v>13</v>
      </c>
      <c r="AN16" s="123">
        <v>25</v>
      </c>
      <c r="AO16" s="125"/>
      <c r="AP16" s="125" t="s">
        <v>26</v>
      </c>
      <c r="AQ16" s="123">
        <v>186</v>
      </c>
      <c r="AR16" s="123">
        <v>82</v>
      </c>
      <c r="AS16" s="126" t="s">
        <v>285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15 OZ, 22 (10+12), +8 ±</v>
      </c>
      <c r="AY16" s="129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255 OZ, 545 (332+213)</v>
      </c>
      <c r="AZ16" s="130"/>
      <c r="BA16" s="130"/>
      <c r="BB16" s="130"/>
      <c r="BC16" s="130"/>
      <c r="BD16" s="3" t="str">
        <f t="shared" si="0"/>
        <v>Ondrušek</v>
      </c>
      <c r="BE16" s="84">
        <f ca="1">IF(AG16&lt;&gt;"",COUNTIF(OFFSET($BD$2,,,COUNTIF($AG$2:$AG$50,"?*")),BD16),"")</f>
        <v>1</v>
      </c>
      <c r="BF16" s="62" t="str">
        <f t="shared" si="1"/>
        <v>T</v>
      </c>
      <c r="BG16" s="3" t="str">
        <f ca="1">IF(AND($AG16&lt;&gt;"",BE16&gt;1),CONCATENATE($BD16," ",LEFT($AG16,MIN(1,SEARCH(" ",$AG16)-1)),IF(SEARCH(" ",$AG16)-1&gt;1,".",""),""),"")</f>
        <v/>
      </c>
      <c r="BH16" s="62">
        <f ca="1">IF(BG16&lt;&gt;"",COUNTIF(OFFSET(BG$2,,,COUNTIF($AG$2:$AG$50,"?*")),BG16),IF($AG16&lt;&gt;"",0,""))</f>
        <v>0</v>
      </c>
      <c r="BI16" s="3" t="str">
        <f ca="1">IF(AND($AG16&lt;&gt;"",BH16&gt;1),CONCATENATE($BD16," ",LEFT($AG16,MIN(2,SEARCH(" ",$AG16)-1)),IF(SEARCH(" ",$AG16)-1&gt;2,".",""),""),"")</f>
        <v/>
      </c>
      <c r="BJ16" s="62">
        <f ca="1">IF(BI16&lt;&gt;"",COUNTIF(OFFSET(BI$2,,,COUNTIF($AG$2:$AG$50,"?*")),BI16),IF($AG16&lt;&gt;"",0,""))</f>
        <v>0</v>
      </c>
      <c r="BK16" s="3" t="str">
        <f ca="1">IF(AND($AG16&lt;&gt;"",BJ16&gt;1),CONCATENATE($BD16," ",LEFT($AG16,MIN(3,SEARCH(" ",$AG16)-1)),IF(SEARCH(" ",$AG16)-1&gt;3,".",""),""),"")</f>
        <v/>
      </c>
      <c r="BL16" s="62">
        <f ca="1">IF(BK16&lt;&gt;"",COUNTIF(OFFSET(BK$2,,,COUNTIF($AG$2:$AG$50,"?*")),BK16),IF($AG16&lt;&gt;"",0,""))</f>
        <v>0</v>
      </c>
      <c r="BM16" s="3" t="str">
        <f ca="1">IF(AND($AG16&lt;&gt;"",BL16&gt;1),CONCATENATE($BD16," ",LEFT($AG16,MIN(4,SEARCH(" ",$AG16)-1)),IF(SEARCH(" ",$AG16)-1&gt;4,".",""),""),"")</f>
        <v/>
      </c>
      <c r="BS16" s="464"/>
      <c r="BT16" s="104" t="s">
        <v>1386</v>
      </c>
      <c r="BU16" s="103">
        <v>10</v>
      </c>
      <c r="BV16" s="104" t="str">
        <f t="shared" si="2"/>
        <v>Ondřej Vošta</v>
      </c>
      <c r="BW16" s="102">
        <f t="shared" si="3"/>
        <v>10</v>
      </c>
    </row>
    <row r="17" spans="1:75" ht="15" customHeight="1" thickTop="1" thickBot="1" x14ac:dyDescent="0.25">
      <c r="A17" s="425" t="s">
        <v>267</v>
      </c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</v>
      </c>
      <c r="G17" s="430" t="str">
        <f ca="1">IFERROR(IF(VLOOKUP(G14,OFFSET($AG$2,,,COUNTIF($AG$2:$AG$50,"?*"),23),13,FALSE)&lt;&gt;0,VLOOKUP(G14,OFFSET($AG$2,,,COUNTIF($AG$2:$AG$50,"?*"),23),13,FALSE),"?"),"")</f>
        <v>FBC Plzeň</v>
      </c>
      <c r="H17" s="431"/>
      <c r="I17" s="432"/>
      <c r="J17" s="433">
        <f ca="1">IFERROR(IF(VLOOKUP(G14,OFFSET($AG$2,,,COUNTIF($AG$2:$AG$50,"?*"),23),14,FALSE)&lt;&gt;0,VLOOKUP(G14,OFFSET($AG$2,,,COUNTIF($AG$2:$AG$50,"?*"),23),14,FALSE),"?"),"")</f>
        <v>2009</v>
      </c>
      <c r="K17" s="434"/>
      <c r="L17" s="7">
        <f ca="1">IFERROR(IF(VLOOKUP(G14,OFFSET($AG$2,,,COUNTIF($AG$2:$AG$50,"?*"),23),7,FALSE)&lt;&gt;0,VLOOKUP(G14,OFFSET($AG$2,,,COUNTIF($AG$2:$AG$50,"?*"),23),7,FALSE),"?"),"")</f>
        <v>7</v>
      </c>
      <c r="M17" s="425" t="s">
        <v>268</v>
      </c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273</v>
      </c>
      <c r="T17" s="102" t="s">
        <v>57</v>
      </c>
      <c r="U17" s="102">
        <v>13</v>
      </c>
      <c r="V17" s="102">
        <v>2</v>
      </c>
      <c r="W17" s="102">
        <v>0</v>
      </c>
      <c r="X17" s="102">
        <v>0</v>
      </c>
      <c r="Y17" s="102">
        <v>0</v>
      </c>
      <c r="Z17" s="102">
        <v>2</v>
      </c>
      <c r="AA17" s="102">
        <v>8</v>
      </c>
      <c r="AB17" s="102">
        <v>-6</v>
      </c>
      <c r="AC17" s="102" t="str">
        <f ca="1">IF(S17&lt;&gt;"",IFERROR(IF(VLOOKUP(S17,OFFSET($AG$2,,,COUNTIF($AG$2:$AG$50,"?*")),1,FALSE)&lt;&gt;0,"ANO","NE"),"NE"),"")</f>
        <v>ANO</v>
      </c>
      <c r="AG17" s="121" t="s">
        <v>261</v>
      </c>
      <c r="AH17" s="122">
        <v>37309</v>
      </c>
      <c r="AI17" s="123">
        <v>5</v>
      </c>
      <c r="AJ17" s="123">
        <v>0</v>
      </c>
      <c r="AK17" s="123">
        <v>0</v>
      </c>
      <c r="AL17" s="124">
        <v>0</v>
      </c>
      <c r="AM17" s="123">
        <v>1</v>
      </c>
      <c r="AN17" s="123">
        <v>22</v>
      </c>
      <c r="AO17" s="125"/>
      <c r="AP17" s="125"/>
      <c r="AQ17" s="123">
        <v>174</v>
      </c>
      <c r="AR17" s="123">
        <v>74</v>
      </c>
      <c r="AS17" s="126" t="s">
        <v>383</v>
      </c>
      <c r="AT17" s="123">
        <v>2010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174/74</v>
      </c>
      <c r="AW17" s="128" t="str">
        <f ca="1">IF(AG17&lt;&gt;"",IF(BE17=1,BD17,IF(BH17=1,BG17,IF(BJ17=1,BI17,IF(BL17=1,BK17,BM17)))),"")</f>
        <v>Pergler</v>
      </c>
      <c r="AX17" s="129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V, 0 P</v>
      </c>
      <c r="AY17" s="129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6 OZ, 0 A</v>
      </c>
      <c r="AZ17" s="130"/>
      <c r="BA17" s="130"/>
      <c r="BB17" s="130"/>
      <c r="BC17" s="130"/>
      <c r="BD17" s="89" t="str">
        <f t="shared" si="0"/>
        <v>Pergler</v>
      </c>
      <c r="BE17" s="91">
        <f ca="1">IF(AG17&lt;&gt;"",COUNTIF(OFFSET($BD$2,,,COUNTIF($AG$2:$AG$50,"?*")),BD17),"")</f>
        <v>1</v>
      </c>
      <c r="BF17" s="90" t="str">
        <f t="shared" si="1"/>
        <v>K</v>
      </c>
      <c r="BG17" s="89" t="str">
        <f ca="1">IF(AND($AG17&lt;&gt;"",BE17&gt;1),CONCATENATE($BD17," ",LEFT($AG17,MIN(1,SEARCH(" ",$AG17)-1)),IF(SEARCH(" ",$AG17)-1&gt;1,".",""),""),"")</f>
        <v/>
      </c>
      <c r="BH17" s="90">
        <f ca="1">IF(BG17&lt;&gt;"",COUNTIF(OFFSET(BG$2,,,COUNTIF($AG$2:$AG$50,"?*")),BG17),IF($AG17&lt;&gt;"",0,""))</f>
        <v>0</v>
      </c>
      <c r="BI17" s="89" t="str">
        <f ca="1">IF(AND($AG17&lt;&gt;"",BH17&gt;1),CONCATENATE($BD17," ",LEFT($AG17,MIN(2,SEARCH(" ",$AG17)-1)),IF(SEARCH(" ",$AG17)-1&gt;2,".",""),""),"")</f>
        <v/>
      </c>
      <c r="BJ17" s="90">
        <f ca="1">IF(BI17&lt;&gt;"",COUNTIF(OFFSET(BI$2,,,COUNTIF($AG$2:$AG$50,"?*")),BI17),IF($AG17&lt;&gt;"",0,""))</f>
        <v>0</v>
      </c>
      <c r="BK17" s="89" t="str">
        <f ca="1">IF(AND($AG17&lt;&gt;"",BJ17&gt;1),CONCATENATE($BD17," ",LEFT($AG17,MIN(3,SEARCH(" ",$AG17)-1)),IF(SEARCH(" ",$AG17)-1&gt;3,".",""),""),"")</f>
        <v/>
      </c>
      <c r="BL17" s="90">
        <f ca="1">IF(BK17&lt;&gt;"",COUNTIF(OFFSET(BK$2,,,COUNTIF($AG$2:$AG$50,"?*")),BK17),IF($AG17&lt;&gt;"",0,""))</f>
        <v>0</v>
      </c>
      <c r="BM17" s="89" t="str">
        <f ca="1">IF(AND($AG17&lt;&gt;"",BL17&gt;1),CONCATENATE($BD17," ",LEFT($AG17,MIN(4,SEARCH(" ",$AG17)-1)),IF(SEARCH(" ",$AG17)-1&gt;4,".",""),""),"")</f>
        <v/>
      </c>
      <c r="BS17" s="464" t="s">
        <v>40</v>
      </c>
      <c r="BT17" s="104" t="s">
        <v>988</v>
      </c>
      <c r="BU17" s="103">
        <v>9</v>
      </c>
      <c r="BV17" s="104" t="str">
        <f t="shared" si="2"/>
        <v>Karel Hodík</v>
      </c>
      <c r="BW17" s="102">
        <f t="shared" si="3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8">
        <f ca="1">IFERROR(IF(VLOOKUP(A17,OFFSET($AG$2,,,COUNTIF($AG$2:$AG$50,"?*"),23),2,FALSE)&lt;&gt;0,YEAR(VLOOKUP(A17,OFFSET($AG$2,,,COUNTIF($AG$2:$AG$50,"?*"),23),2,FALSE)),""),"")</f>
        <v>1999</v>
      </c>
      <c r="C18" s="429"/>
      <c r="D18" s="149">
        <f ca="1">IFERROR(VLOOKUP(A17,OFFSET($AG$2,,,COUNTIF($AG$2:$AG$50,"?*"),23),15,FALSE),"")</f>
        <v>22</v>
      </c>
      <c r="E18" s="419" t="str">
        <f ca="1">IFERROR(VLOOKUP(A17,OFFSET($AG$2,,,COUNTIF($AG$2:$AG$50,"?*"),23),16,FALSE),"")</f>
        <v>184/78</v>
      </c>
      <c r="F18" s="420"/>
      <c r="M18" s="4" t="str">
        <f ca="1">IFERROR(IF(VLOOKUP(M17,OFFSET($AG$2,,,COUNTIF($AG$2:$AG$50,"?*"),23),10,FALSE)&lt;&gt;0,VLOOKUP(M17,OFFSET($AG$2,,,COUNTIF($AG$2:$AG$50,"?*"),23),10,FALSE),""),"")</f>
        <v>L</v>
      </c>
      <c r="N18" s="428">
        <f ca="1">IFERROR(IF(VLOOKUP(M17,OFFSET($AG$2,,,COUNTIF($AG$2:$AG$50,"?*"),23),2,FALSE)&lt;&gt;0,YEAR(VLOOKUP(M17,OFFSET($AG$2,,,COUNTIF($AG$2:$AG$50,"?*"),23),2,FALSE)),""),"")</f>
        <v>2000</v>
      </c>
      <c r="O18" s="429"/>
      <c r="P18" s="117">
        <f ca="1">IFERROR(VLOOKUP(M17,OFFSET($AG$2,,,COUNTIF($AG$2:$AG$50,"?*"),23),15,FALSE),"")</f>
        <v>21</v>
      </c>
      <c r="Q18" s="419" t="str">
        <f ca="1">IFERROR(VLOOKUP(M17,OFFSET($AG$2,,,COUNTIF($AG$2:$AG$50,"?*"),23),16,FALSE),"")</f>
        <v>182/76</v>
      </c>
      <c r="R18" s="420"/>
      <c r="S18" s="110" t="s">
        <v>268</v>
      </c>
      <c r="T18" s="102" t="s">
        <v>57</v>
      </c>
      <c r="U18" s="102">
        <v>7</v>
      </c>
      <c r="V18" s="102">
        <v>1</v>
      </c>
      <c r="W18" s="102">
        <v>0</v>
      </c>
      <c r="X18" s="102">
        <v>0</v>
      </c>
      <c r="Y18" s="102">
        <v>1</v>
      </c>
      <c r="Z18" s="102">
        <v>2</v>
      </c>
      <c r="AA18" s="102">
        <v>4</v>
      </c>
      <c r="AB18" s="102">
        <v>2</v>
      </c>
      <c r="AC18" s="102" t="str">
        <f ca="1">IF(S18&lt;&gt;"",IFERROR(IF(VLOOKUP(S18,OFFSET($AG$2,,,COUNTIF($AG$2:$AG$50,"?*")),1,FALSE)&lt;&gt;0,"ANO","NE"),"NE"),"")</f>
        <v>ANO</v>
      </c>
      <c r="AG18" s="121" t="s">
        <v>263</v>
      </c>
      <c r="AH18" s="122">
        <v>35462</v>
      </c>
      <c r="AI18" s="123">
        <v>117</v>
      </c>
      <c r="AJ18" s="123">
        <v>30</v>
      </c>
      <c r="AK18" s="123">
        <v>18</v>
      </c>
      <c r="AL18" s="124">
        <v>48</v>
      </c>
      <c r="AM18" s="123">
        <v>8</v>
      </c>
      <c r="AN18" s="123">
        <v>10</v>
      </c>
      <c r="AO18" s="125"/>
      <c r="AP18" s="125" t="s">
        <v>136</v>
      </c>
      <c r="AQ18" s="123">
        <v>172</v>
      </c>
      <c r="AR18" s="123">
        <v>73</v>
      </c>
      <c r="AS18" s="126" t="s">
        <v>286</v>
      </c>
      <c r="AT18" s="123">
        <v>2006</v>
      </c>
      <c r="AU18" s="127">
        <f ca="1">IF(AG18&lt;&gt;"",IF(AH18&lt;&gt;"",INT((TODAY()-AH18)/365),"?"),"")</f>
        <v>24</v>
      </c>
      <c r="AV18" s="127" t="str">
        <f>IF(AG18&lt;&gt;"",CONCATENATE(IF(AQ18&lt;&gt;"",AQ18,"? "),"/",IF(AR18&lt;&gt;"",AR18," ?")),"")</f>
        <v>172/73</v>
      </c>
      <c r="AW18" s="128" t="str">
        <f ca="1">IF(AG18&lt;&gt;"",IF(BE18=1,BD18,IF(BH18=1,BG18,IF(BJ18=1,BI18,IF(BL18=1,BK18,BM18)))),"")</f>
        <v>Plíhal</v>
      </c>
      <c r="AX18" s="129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7 OZ, 1 (0+1), -1 ±</v>
      </c>
      <c r="AY18" s="129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124 OZ, 49 (30+19)</v>
      </c>
      <c r="AZ18" s="130"/>
      <c r="BA18" s="130"/>
      <c r="BB18" s="130"/>
      <c r="BC18" s="130"/>
      <c r="BD18" s="3" t="str">
        <f t="shared" si="0"/>
        <v>Plíhal</v>
      </c>
      <c r="BE18" s="84">
        <f ca="1">IF(AG18&lt;&gt;"",COUNTIF(OFFSET($BD$2,,,COUNTIF($AG$2:$AG$50,"?*")),BD18),"")</f>
        <v>1</v>
      </c>
      <c r="BF18" s="62" t="str">
        <f t="shared" si="1"/>
        <v>O</v>
      </c>
      <c r="BG18" s="3" t="str">
        <f ca="1">IF(AND($AG18&lt;&gt;"",BE18&gt;1),CONCATENATE($BD18," ",LEFT($AG18,MIN(1,SEARCH(" ",$AG18)-1)),IF(SEARCH(" ",$AG18)-1&gt;1,".",""),""),"")</f>
        <v/>
      </c>
      <c r="BH18" s="62">
        <f ca="1">IF(BG18&lt;&gt;"",COUNTIF(OFFSET(BG$2,,,COUNTIF($AG$2:$AG$50,"?*")),BG18),IF($AG18&lt;&gt;"",0,""))</f>
        <v>0</v>
      </c>
      <c r="BI18" s="3" t="str">
        <f ca="1">IF(AND($AG18&lt;&gt;"",BH18&gt;1),CONCATENATE($BD18," ",LEFT($AG18,MIN(2,SEARCH(" ",$AG18)-1)),IF(SEARCH(" ",$AG18)-1&gt;2,".",""),""),"")</f>
        <v/>
      </c>
      <c r="BJ18" s="62">
        <f ca="1">IF(BI18&lt;&gt;"",COUNTIF(OFFSET(BI$2,,,COUNTIF($AG$2:$AG$50,"?*")),BI18),IF($AG18&lt;&gt;"",0,""))</f>
        <v>0</v>
      </c>
      <c r="BK18" s="3" t="str">
        <f ca="1">IF(AND($AG18&lt;&gt;"",BJ18&gt;1),CONCATENATE($BD18," ",LEFT($AG18,MIN(3,SEARCH(" ",$AG18)-1)),IF(SEARCH(" ",$AG18)-1&gt;3,".",""),""),"")</f>
        <v/>
      </c>
      <c r="BL18" s="62">
        <f ca="1">IF(BK18&lt;&gt;"",COUNTIF(OFFSET(BK$2,,,COUNTIF($AG$2:$AG$50,"?*")),BK18),IF($AG18&lt;&gt;"",0,""))</f>
        <v>0</v>
      </c>
      <c r="BM18" s="3" t="str">
        <f ca="1">IF(AND($AG18&lt;&gt;"",BL18&gt;1),CONCATENATE($BD18," ",LEFT($AG18,MIN(4,SEARCH(" ",$AG18)-1)),IF(SEARCH(" ",$AG18)-1&gt;4,".",""),""),"")</f>
        <v/>
      </c>
      <c r="BS18" s="464"/>
      <c r="BT18" s="104" t="s">
        <v>1244</v>
      </c>
      <c r="BU18" s="103">
        <v>1</v>
      </c>
      <c r="BV18" s="104" t="str">
        <f t="shared" si="2"/>
        <v>Karel Pergler</v>
      </c>
      <c r="BW18" s="102">
        <f t="shared" si="3"/>
        <v>1</v>
      </c>
    </row>
    <row r="19" spans="1:75" ht="15" customHeight="1" x14ac:dyDescent="0.2">
      <c r="A19" s="421" t="str">
        <f ca="1">IFERROR(VLOOKUP(A17,OFFSET($AG$2,,,COUNTIF($AG$2:$AG$50,"?*"),23),18,FALSE),"")</f>
        <v>16 OZ, 10 (6+4), +6 ±</v>
      </c>
      <c r="B19" s="422"/>
      <c r="C19" s="422"/>
      <c r="D19" s="423" t="str">
        <f ca="1">IFERROR(VLOOKUP(A17,OFFSET($AG$2,,,COUNTIF($AG$2:$AG$50,"?*"),23),19,FALSE),"")</f>
        <v>110 OZ, 63 (42+21)</v>
      </c>
      <c r="E19" s="423"/>
      <c r="F19" s="424"/>
      <c r="H19" s="435" t="str">
        <f>H$8</f>
        <v>CHO</v>
      </c>
      <c r="I19" s="435"/>
      <c r="J19" s="435"/>
      <c r="K19" s="435"/>
      <c r="M19" s="421" t="str">
        <f ca="1">IFERROR(VLOOKUP(M17,OFFSET($AG$2,,,COUNTIF($AG$2:$AG$50,"?*"),23),18,FALSE),"")</f>
        <v>7 OZ, 2 (1+1), +2 ±</v>
      </c>
      <c r="N19" s="422"/>
      <c r="O19" s="422"/>
      <c r="P19" s="423" t="str">
        <f ca="1">IFERROR(VLOOKUP(M17,OFFSET($AG$2,,,COUNTIF($AG$2:$AG$50,"?*"),23),19,FALSE),"")</f>
        <v>66 OZ, 11 (2+9)</v>
      </c>
      <c r="Q19" s="423"/>
      <c r="R19" s="424"/>
      <c r="S19" s="110" t="s">
        <v>252</v>
      </c>
      <c r="T19" s="102" t="s">
        <v>57</v>
      </c>
      <c r="U19" s="102">
        <v>3</v>
      </c>
      <c r="V19" s="102">
        <v>0</v>
      </c>
      <c r="W19" s="102">
        <v>0</v>
      </c>
      <c r="X19" s="102">
        <v>0</v>
      </c>
      <c r="Y19" s="102">
        <v>2</v>
      </c>
      <c r="Z19" s="102">
        <v>2</v>
      </c>
      <c r="AA19" s="102">
        <v>0</v>
      </c>
      <c r="AB19" s="102">
        <v>1</v>
      </c>
      <c r="AC19" s="102" t="str">
        <f ca="1">IF(S19&lt;&gt;"",IFERROR(IF(VLOOKUP(S19,OFFSET($AG$2,,,COUNTIF($AG$2:$AG$50,"?*")),1,FALSE)&lt;&gt;0,"ANO","NE"),"NE"),"")</f>
        <v>ANO</v>
      </c>
      <c r="AG19" s="121" t="s">
        <v>259</v>
      </c>
      <c r="AH19" s="122">
        <v>33065</v>
      </c>
      <c r="AI19" s="123">
        <v>220</v>
      </c>
      <c r="AJ19" s="123">
        <v>44</v>
      </c>
      <c r="AK19" s="123">
        <v>107</v>
      </c>
      <c r="AL19" s="124">
        <v>151</v>
      </c>
      <c r="AM19" s="123">
        <v>12</v>
      </c>
      <c r="AN19" s="123">
        <v>95</v>
      </c>
      <c r="AO19" s="125"/>
      <c r="AP19" s="125" t="s">
        <v>26</v>
      </c>
      <c r="AQ19" s="123">
        <v>173</v>
      </c>
      <c r="AR19" s="123">
        <v>82</v>
      </c>
      <c r="AS19" s="126" t="s">
        <v>287</v>
      </c>
      <c r="AT19" s="123">
        <v>1998</v>
      </c>
      <c r="AU19" s="127">
        <f ca="1">IF(AG19&lt;&gt;"",IF(AH19&lt;&gt;"",INT((TODAY()-AH19)/365),"?"),"")</f>
        <v>31</v>
      </c>
      <c r="AV19" s="127" t="str">
        <f>IF(AG19&lt;&gt;"",CONCATENATE(IF(AQ19&lt;&gt;"",AQ19,"? "),"/",IF(AR19&lt;&gt;"",AR19," ?")),"")</f>
        <v>173/82</v>
      </c>
      <c r="AW19" s="128" t="str">
        <f ca="1">IF(AG19&lt;&gt;"",IF(BE19=1,BD19,IF(BH19=1,BG19,IF(BJ19=1,BI19,IF(BL19=1,BK19,BM19)))),"")</f>
        <v>Podhráský</v>
      </c>
      <c r="AX19" s="129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15 OZ, 6 (2+4), +8 ±</v>
      </c>
      <c r="AY19" s="129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235 OZ, 157 (46+111)</v>
      </c>
      <c r="AZ19" s="130"/>
      <c r="BA19" s="130"/>
      <c r="BB19" s="130"/>
      <c r="BC19" s="130"/>
      <c r="BD19" s="89" t="str">
        <f t="shared" si="0"/>
        <v>Podhráský</v>
      </c>
      <c r="BE19" s="91">
        <f ca="1">IF(AG19&lt;&gt;"",COUNTIF(OFFSET($BD$2,,,COUNTIF($AG$2:$AG$50,"?*")),BD19),"")</f>
        <v>1</v>
      </c>
      <c r="BF19" s="90" t="str">
        <f t="shared" si="1"/>
        <v>M</v>
      </c>
      <c r="BG19" s="89" t="str">
        <f ca="1">IF(AND($AG19&lt;&gt;"",BE19&gt;1),CONCATENATE($BD19," ",LEFT($AG19,MIN(1,SEARCH(" ",$AG19)-1)),IF(SEARCH(" ",$AG19)-1&gt;1,".",""),""),"")</f>
        <v/>
      </c>
      <c r="BH19" s="90">
        <f ca="1">IF(BG19&lt;&gt;"",COUNTIF(OFFSET(BG$2,,,COUNTIF($AG$2:$AG$50,"?*")),BG19),IF($AG19&lt;&gt;"",0,""))</f>
        <v>0</v>
      </c>
      <c r="BI19" s="89" t="str">
        <f ca="1">IF(AND($AG19&lt;&gt;"",BH19&gt;1),CONCATENATE($BD19," ",LEFT($AG19,MIN(2,SEARCH(" ",$AG19)-1)),IF(SEARCH(" ",$AG19)-1&gt;2,".",""),""),"")</f>
        <v/>
      </c>
      <c r="BJ19" s="90">
        <f ca="1">IF(BI19&lt;&gt;"",COUNTIF(OFFSET(BI$2,,,COUNTIF($AG$2:$AG$50,"?*")),BI19),IF($AG19&lt;&gt;"",0,""))</f>
        <v>0</v>
      </c>
      <c r="BK19" s="89" t="str">
        <f ca="1">IF(AND($AG19&lt;&gt;"",BJ19&gt;1),CONCATENATE($BD19," ",LEFT($AG19,MIN(3,SEARCH(" ",$AG19)-1)),IF(SEARCH(" ",$AG19)-1&gt;3,".",""),""),"")</f>
        <v/>
      </c>
      <c r="BL19" s="90">
        <f ca="1">IF(BK19&lt;&gt;"",COUNTIF(OFFSET(BK$2,,,COUNTIF($AG$2:$AG$50,"?*")),BK19),IF($AG19&lt;&gt;"",0,""))</f>
        <v>0</v>
      </c>
      <c r="BM19" s="89" t="str">
        <f ca="1">IF(AND($AG19&lt;&gt;"",BL19&gt;1),CONCATENATE($BD19," ",LEFT($AG19,MIN(4,SEARCH(" ",$AG19)-1)),IF(SEARCH(" ",$AG19)-1&gt;4,".",""),""),"")</f>
        <v/>
      </c>
      <c r="BS19" s="464"/>
      <c r="BT19" s="104" t="s">
        <v>1246</v>
      </c>
      <c r="BU19" s="103">
        <v>1</v>
      </c>
      <c r="BV19" s="104" t="str">
        <f t="shared" si="2"/>
        <v>Vojtěch Šimůnek</v>
      </c>
      <c r="BW19" s="102">
        <f t="shared" si="3"/>
        <v>1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>Wizards DDM</v>
      </c>
      <c r="B20" s="431"/>
      <c r="C20" s="432"/>
      <c r="D20" s="433">
        <f ca="1">IFERROR(IF(VLOOKUP(A17,OFFSET($AG$2,,,COUNTIF($AG$2:$AG$50,"?*"),23),14,FALSE)&lt;&gt;0,VLOOKUP(A17,OFFSET($AG$2,,,COUNTIF($AG$2:$AG$50,"?*"),23),14,FALSE),"?"),"")</f>
        <v>2008</v>
      </c>
      <c r="E20" s="434"/>
      <c r="F20" s="7">
        <f ca="1">IFERROR(IF(VLOOKUP(A17,OFFSET($AG$2,,,COUNTIF($AG$2:$AG$50,"?*"),23),7,FALSE)&lt;&gt;0,VLOOKUP(A17,OFFSET($AG$2,,,COUNTIF($AG$2:$AG$50,"?*"),23),7,FALSE),"?"),"")</f>
        <v>6</v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>Tatran Střešovice</v>
      </c>
      <c r="N20" s="431"/>
      <c r="O20" s="432"/>
      <c r="P20" s="433">
        <f ca="1">IFERROR(IF(VLOOKUP(M17,OFFSET($AG$2,,,COUNTIF($AG$2:$AG$50,"?*"),23),14,FALSE)&lt;&gt;0,VLOOKUP(M17,OFFSET($AG$2,,,COUNTIF($AG$2:$AG$50,"?*"),23),14,FALSE),"?"),"")</f>
        <v>2008</v>
      </c>
      <c r="Q20" s="434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747</v>
      </c>
      <c r="T20" s="102" t="s">
        <v>106</v>
      </c>
      <c r="U20" s="102">
        <v>4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0</v>
      </c>
      <c r="AB20" s="102">
        <v>-5</v>
      </c>
      <c r="AC20" s="102" t="str">
        <f ca="1">IF(S20&lt;&gt;"",IFERROR(IF(VLOOKUP(S20,OFFSET($AG$2,,,COUNTIF($AG$2:$AG$50,"?*")),1,FALSE)&lt;&gt;0,"ANO","NE"),"NE"),"")</f>
        <v>ANO</v>
      </c>
      <c r="AG20" s="121" t="s">
        <v>986</v>
      </c>
      <c r="AH20" s="122"/>
      <c r="AI20" s="123">
        <v>0</v>
      </c>
      <c r="AJ20" s="123">
        <v>0</v>
      </c>
      <c r="AK20" s="123">
        <v>0</v>
      </c>
      <c r="AL20" s="124">
        <v>0</v>
      </c>
      <c r="AM20" s="123">
        <v>1</v>
      </c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Pospíchal</v>
      </c>
      <c r="AX20" s="129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0 ±</v>
      </c>
      <c r="AY20" s="129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 OZ, 0 (0+0)</v>
      </c>
      <c r="AZ20" s="130"/>
      <c r="BA20" s="130"/>
      <c r="BB20" s="130"/>
      <c r="BC20" s="130"/>
      <c r="BD20" s="3" t="str">
        <f t="shared" si="0"/>
        <v>Pospíchal</v>
      </c>
      <c r="BE20" s="84">
        <f ca="1">IF(AG20&lt;&gt;"",COUNTIF(OFFSET($BD$2,,,COUNTIF($AG$2:$AG$50,"?*")),BD20),"")</f>
        <v>1</v>
      </c>
      <c r="BF20" s="62" t="str">
        <f t="shared" si="1"/>
        <v>A</v>
      </c>
      <c r="BG20" s="3" t="str">
        <f ca="1">IF(AND($AG20&lt;&gt;"",BE20&gt;1),CONCATENATE($BD20," ",LEFT($AG20,MIN(1,SEARCH(" ",$AG20)-1)),IF(SEARCH(" ",$AG20)-1&gt;1,".",""),""),"")</f>
        <v/>
      </c>
      <c r="BH20" s="62">
        <f ca="1">IF(BG20&lt;&gt;"",COUNTIF(OFFSET(BG$2,,,COUNTIF($AG$2:$AG$50,"?*")),BG20),IF($AG20&lt;&gt;"",0,""))</f>
        <v>0</v>
      </c>
      <c r="BI20" s="3" t="str">
        <f ca="1">IF(AND($AG20&lt;&gt;"",BH20&gt;1),CONCATENATE($BD20," ",LEFT($AG20,MIN(2,SEARCH(" ",$AG20)-1)),IF(SEARCH(" ",$AG20)-1&gt;2,".",""),""),"")</f>
        <v/>
      </c>
      <c r="BJ20" s="62">
        <f ca="1">IF(BI20&lt;&gt;"",COUNTIF(OFFSET(BI$2,,,COUNTIF($AG$2:$AG$50,"?*")),BI20),IF($AG20&lt;&gt;"",0,""))</f>
        <v>0</v>
      </c>
      <c r="BK20" s="3" t="str">
        <f ca="1">IF(AND($AG20&lt;&gt;"",BJ20&gt;1),CONCATENATE($BD20," ",LEFT($AG20,MIN(3,SEARCH(" ",$AG20)-1)),IF(SEARCH(" ",$AG20)-1&gt;3,".",""),""),"")</f>
        <v/>
      </c>
      <c r="BL20" s="62">
        <f ca="1">IF(BK20&lt;&gt;"",COUNTIF(OFFSET(BK$2,,,COUNTIF($AG$2:$AG$50,"?*")),BK20),IF($AG20&lt;&gt;"",0,""))</f>
        <v>0</v>
      </c>
      <c r="BM20" s="3" t="str">
        <f ca="1">IF(AND($AG20&lt;&gt;"",BL20&gt;1),CONCATENATE($BD20," ",LEFT($AG20,MIN(4,SEARCH(" ",$AG20)-1)),IF(SEARCH(" ",$AG20)-1&gt;4,".",""),""),"")</f>
        <v/>
      </c>
      <c r="BS20" s="464"/>
      <c r="BV20" s="104" t="str">
        <f t="shared" si="2"/>
        <v/>
      </c>
      <c r="BW20" s="102" t="str">
        <f t="shared" si="3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263</v>
      </c>
      <c r="T21" s="102" t="s">
        <v>106</v>
      </c>
      <c r="U21" s="102">
        <v>7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253</v>
      </c>
      <c r="AH21" s="122">
        <v>36539</v>
      </c>
      <c r="AI21" s="123">
        <v>94</v>
      </c>
      <c r="AJ21" s="123">
        <v>26</v>
      </c>
      <c r="AK21" s="123">
        <v>27</v>
      </c>
      <c r="AL21" s="124">
        <v>53</v>
      </c>
      <c r="AM21" s="123">
        <v>5</v>
      </c>
      <c r="AN21" s="123">
        <v>27</v>
      </c>
      <c r="AO21" s="125"/>
      <c r="AP21" s="125" t="s">
        <v>26</v>
      </c>
      <c r="AQ21" s="123">
        <v>186</v>
      </c>
      <c r="AR21" s="123">
        <v>90</v>
      </c>
      <c r="AS21" s="126" t="s">
        <v>288</v>
      </c>
      <c r="AT21" s="123">
        <v>2007</v>
      </c>
      <c r="AU21" s="127">
        <f ca="1">IF(AG21&lt;&gt;"",IF(AH21&lt;&gt;"",INT((TODAY()-AH21)/365),"?"),"")</f>
        <v>21</v>
      </c>
      <c r="AV21" s="127" t="str">
        <f>IF(AG21&lt;&gt;"",CONCATENATE(IF(AQ21&lt;&gt;"",AQ21,"? "),"/",IF(AR21&lt;&gt;"",AR21," ?")),"")</f>
        <v>186/90</v>
      </c>
      <c r="AW21" s="128" t="str">
        <f ca="1">IF(AG21&lt;&gt;"",IF(BE21=1,BD21,IF(BH21=1,BG21,IF(BJ21=1,BI21,IF(BL21=1,BK21,BM21)))),"")</f>
        <v>Řezáč</v>
      </c>
      <c r="AX21" s="129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15 OZ, 5 (3+2), 0 ±</v>
      </c>
      <c r="AY21" s="129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109 OZ, 58 (29+29)</v>
      </c>
      <c r="AZ21" s="130"/>
      <c r="BA21" s="130"/>
      <c r="BB21" s="130"/>
      <c r="BC21" s="130"/>
      <c r="BD21" s="89" t="str">
        <f t="shared" si="0"/>
        <v>Řezáč</v>
      </c>
      <c r="BE21" s="91">
        <f ca="1">IF(AG21&lt;&gt;"",COUNTIF(OFFSET($BD$2,,,COUNTIF($AG$2:$AG$50,"?*")),BD21),"")</f>
        <v>1</v>
      </c>
      <c r="BF21" s="90" t="str">
        <f t="shared" si="1"/>
        <v>M</v>
      </c>
      <c r="BG21" s="89" t="str">
        <f ca="1">IF(AND($AG21&lt;&gt;"",BE21&gt;1),CONCATENATE($BD21," ",LEFT($AG21,MIN(1,SEARCH(" ",$AG21)-1)),IF(SEARCH(" ",$AG21)-1&gt;1,".",""),""),"")</f>
        <v/>
      </c>
      <c r="BH21" s="90">
        <f ca="1">IF(BG21&lt;&gt;"",COUNTIF(OFFSET(BG$2,,,COUNTIF($AG$2:$AG$50,"?*")),BG21),IF($AG21&lt;&gt;"",0,""))</f>
        <v>0</v>
      </c>
      <c r="BI21" s="89" t="str">
        <f ca="1">IF(AND($AG21&lt;&gt;"",BH21&gt;1),CONCATENATE($BD21," ",LEFT($AG21,MIN(2,SEARCH(" ",$AG21)-1)),IF(SEARCH(" ",$AG21)-1&gt;2,".",""),""),"")</f>
        <v/>
      </c>
      <c r="BJ21" s="90">
        <f ca="1">IF(BI21&lt;&gt;"",COUNTIF(OFFSET(BI$2,,,COUNTIF($AG$2:$AG$50,"?*")),BI21),IF($AG21&lt;&gt;"",0,""))</f>
        <v>0</v>
      </c>
      <c r="BK21" s="89" t="str">
        <f ca="1">IF(AND($AG21&lt;&gt;"",BJ21&gt;1),CONCATENATE($BD21," ",LEFT($AG21,MIN(3,SEARCH(" ",$AG21)-1)),IF(SEARCH(" ",$AG21)-1&gt;3,".",""),""),"")</f>
        <v/>
      </c>
      <c r="BL21" s="90">
        <f ca="1">IF(BK21&lt;&gt;"",COUNTIF(OFFSET(BK$2,,,COUNTIF($AG$2:$AG$50,"?*")),BK21),IF($AG21&lt;&gt;"",0,""))</f>
        <v>0</v>
      </c>
      <c r="BM21" s="89" t="str">
        <f ca="1">IF(AND($AG21&lt;&gt;"",BL21&gt;1),CONCATENATE($BD21," ",LEFT($AG21,MIN(4,SEARCH(" ",$AG21)-1)),IF(SEARCH(" ",$AG21)-1&gt;4,".",""),""),"")</f>
        <v/>
      </c>
      <c r="BS21" s="464"/>
      <c r="BV21" s="104" t="str">
        <f t="shared" si="2"/>
        <v/>
      </c>
      <c r="BW21" s="102" t="str">
        <f t="shared" si="3"/>
        <v/>
      </c>
    </row>
    <row r="22" spans="1:75" ht="15" customHeight="1" thickTop="1" thickBot="1" x14ac:dyDescent="0.25">
      <c r="S22" s="110" t="s">
        <v>271</v>
      </c>
      <c r="U22" s="102">
        <v>13</v>
      </c>
      <c r="V22" s="102">
        <v>0</v>
      </c>
      <c r="W22" s="102">
        <v>0</v>
      </c>
      <c r="X22" s="102">
        <v>0</v>
      </c>
      <c r="Y22" s="102">
        <v>1</v>
      </c>
      <c r="Z22" s="102">
        <v>1</v>
      </c>
      <c r="AA22" s="102">
        <v>2</v>
      </c>
      <c r="AB22" s="102">
        <v>-5</v>
      </c>
      <c r="AC22" s="102" t="str">
        <f ca="1">IF(S22&lt;&gt;"",IFERROR(IF(VLOOKUP(S22,OFFSET($AG$2,,,COUNTIF($AG$2:$AG$50,"?*")),1,FALSE)&lt;&gt;0,"ANO","NE"),"NE"),"")</f>
        <v>ANO</v>
      </c>
      <c r="AG22" s="121" t="s">
        <v>256</v>
      </c>
      <c r="AH22" s="122">
        <v>35382</v>
      </c>
      <c r="AI22" s="123">
        <v>78</v>
      </c>
      <c r="AJ22" s="123">
        <v>43</v>
      </c>
      <c r="AK22" s="123">
        <v>44</v>
      </c>
      <c r="AL22" s="124">
        <v>87</v>
      </c>
      <c r="AM22" s="123">
        <v>6</v>
      </c>
      <c r="AN22" s="123">
        <v>29</v>
      </c>
      <c r="AO22" s="125"/>
      <c r="AP22" s="125" t="s">
        <v>136</v>
      </c>
      <c r="AQ22" s="123">
        <v>192</v>
      </c>
      <c r="AR22" s="123">
        <v>92</v>
      </c>
      <c r="AS22" s="126" t="s">
        <v>387</v>
      </c>
      <c r="AT22" s="123">
        <v>2005</v>
      </c>
      <c r="AU22" s="127">
        <f ca="1">IF(AG22&lt;&gt;"",IF(AH22&lt;&gt;"",INT((TODAY()-AH22)/365),"?"),"")</f>
        <v>25</v>
      </c>
      <c r="AV22" s="127" t="str">
        <f>IF(AG22&lt;&gt;"",CONCATENATE(IF(AQ22&lt;&gt;"",AQ22,"? "),"/",IF(AR22&lt;&gt;"",AR22," ?")),"")</f>
        <v>192/92</v>
      </c>
      <c r="AW22" s="128" t="str">
        <f ca="1">IF(AG22&lt;&gt;"",IF(BE22=1,BD22,IF(BH22=1,BG22,IF(BJ22=1,BI22,IF(BL22=1,BK22,BM22)))),"")</f>
        <v>Skřivánek</v>
      </c>
      <c r="AX22" s="129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16 OZ, 13 (6+7), +1 ±</v>
      </c>
      <c r="AY22" s="129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94 OZ, 100 (49+51)</v>
      </c>
      <c r="AZ22" s="130"/>
      <c r="BA22" s="130"/>
      <c r="BB22" s="130"/>
      <c r="BC22" s="130"/>
      <c r="BD22" s="3" t="str">
        <f t="shared" si="0"/>
        <v>Skřivánek</v>
      </c>
      <c r="BE22" s="84">
        <f ca="1">IF(AG22&lt;&gt;"",COUNTIF(OFFSET($BD$2,,,COUNTIF($AG$2:$AG$50,"?*")),BD22),"")</f>
        <v>1</v>
      </c>
      <c r="BF22" s="62" t="str">
        <f t="shared" si="1"/>
        <v>M</v>
      </c>
      <c r="BG22" s="3" t="str">
        <f ca="1">IF(AND($AG22&lt;&gt;"",BE22&gt;1),CONCATENATE($BD22," ",LEFT($AG22,MIN(1,SEARCH(" ",$AG22)-1)),IF(SEARCH(" ",$AG22)-1&gt;1,".",""),""),"")</f>
        <v/>
      </c>
      <c r="BH22" s="62">
        <f ca="1">IF(BG22&lt;&gt;"",COUNTIF(OFFSET(BG$2,,,COUNTIF($AG$2:$AG$50,"?*")),BG22),IF($AG22&lt;&gt;"",0,""))</f>
        <v>0</v>
      </c>
      <c r="BI22" s="3" t="str">
        <f ca="1">IF(AND($AG22&lt;&gt;"",BH22&gt;1),CONCATENATE($BD22," ",LEFT($AG22,MIN(2,SEARCH(" ",$AG22)-1)),IF(SEARCH(" ",$AG22)-1&gt;2,".",""),""),"")</f>
        <v/>
      </c>
      <c r="BJ22" s="62">
        <f ca="1">IF(BI22&lt;&gt;"",COUNTIF(OFFSET(BI$2,,,COUNTIF($AG$2:$AG$50,"?*")),BI22),IF($AG22&lt;&gt;"",0,""))</f>
        <v>0</v>
      </c>
      <c r="BK22" s="3" t="str">
        <f ca="1">IF(AND($AG22&lt;&gt;"",BJ22&gt;1),CONCATENATE($BD22," ",LEFT($AG22,MIN(3,SEARCH(" ",$AG22)-1)),IF(SEARCH(" ",$AG22)-1&gt;3,".",""),""),"")</f>
        <v/>
      </c>
      <c r="BL22" s="62">
        <f ca="1">IF(BK22&lt;&gt;"",COUNTIF(OFFSET(BK$2,,,COUNTIF($AG$2:$AG$50,"?*")),BK22),IF($AG22&lt;&gt;"",0,""))</f>
        <v>0</v>
      </c>
      <c r="BM22" s="3" t="str">
        <f ca="1">IF(AND($AG22&lt;&gt;"",BL22&gt;1),CONCATENATE($BD22," ",LEFT($AG22,MIN(4,SEARCH(" ",$AG22)-1)),IF(SEARCH(" ",$AG22)-1&gt;4,".",""),""),"")</f>
        <v/>
      </c>
      <c r="BS22" s="464" t="s">
        <v>37</v>
      </c>
      <c r="BT22" s="104" t="s">
        <v>746</v>
      </c>
      <c r="BU22" s="103">
        <v>18</v>
      </c>
      <c r="BV22" s="104" t="str">
        <f t="shared" si="2"/>
        <v>Marek Vávra</v>
      </c>
      <c r="BW22" s="102">
        <f t="shared" si="3"/>
        <v>18</v>
      </c>
    </row>
    <row r="23" spans="1:75" ht="15" customHeight="1" thickTop="1" thickBot="1" x14ac:dyDescent="0.25">
      <c r="A23" s="425" t="s">
        <v>266</v>
      </c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87</v>
      </c>
      <c r="H23" s="427" t="s">
        <v>12</v>
      </c>
      <c r="I23" s="427"/>
      <c r="J23" s="427"/>
      <c r="K23" s="427"/>
      <c r="M23" s="425" t="s">
        <v>250</v>
      </c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986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ca="1">IF(S23&lt;&gt;"",IFERROR(IF(VLOOKUP(S23,OFFSET($AG$2,,,COUNTIF($AG$2:$AG$50,"?*")),1,FALSE)&lt;&gt;0,"ANO","NE"),"NE"),"")</f>
        <v>ANO</v>
      </c>
      <c r="AG23" s="121" t="s">
        <v>264</v>
      </c>
      <c r="AH23" s="122">
        <v>36986</v>
      </c>
      <c r="AI23" s="123">
        <v>13</v>
      </c>
      <c r="AJ23" s="123">
        <v>4</v>
      </c>
      <c r="AK23" s="123">
        <v>0</v>
      </c>
      <c r="AL23" s="124">
        <v>4</v>
      </c>
      <c r="AM23" s="123">
        <v>3</v>
      </c>
      <c r="AN23" s="123">
        <v>19</v>
      </c>
      <c r="AO23" s="125"/>
      <c r="AP23" s="125" t="s">
        <v>136</v>
      </c>
      <c r="AQ23" s="123">
        <v>177</v>
      </c>
      <c r="AR23" s="123">
        <v>77</v>
      </c>
      <c r="AS23" s="126" t="s">
        <v>278</v>
      </c>
      <c r="AT23" s="123">
        <v>2010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177/77</v>
      </c>
      <c r="AW23" s="128" t="str">
        <f ca="1">IF(AG23&lt;&gt;"",IF(BE23=1,BD23,IF(BH23=1,BG23,IF(BJ23=1,BI23,IF(BL23=1,BK23,BM23)))),"")</f>
        <v>Slunečko</v>
      </c>
      <c r="AX23" s="129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16 OZ, 9 (2+7), +19 ±</v>
      </c>
      <c r="AY23" s="129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29 OZ, 13 (6+7)</v>
      </c>
      <c r="AZ23" s="130"/>
      <c r="BA23" s="130"/>
      <c r="BB23" s="130"/>
      <c r="BC23" s="130"/>
      <c r="BD23" s="89" t="str">
        <f t="shared" si="0"/>
        <v>Slunečko</v>
      </c>
      <c r="BE23" s="91">
        <f ca="1">IF(AG23&lt;&gt;"",COUNTIF(OFFSET($BD$2,,,COUNTIF($AG$2:$AG$50,"?*")),BD23),"")</f>
        <v>1</v>
      </c>
      <c r="BF23" s="90" t="str">
        <f t="shared" si="1"/>
        <v>R</v>
      </c>
      <c r="BG23" s="89" t="str">
        <f ca="1">IF(AND($AG23&lt;&gt;"",BE23&gt;1),CONCATENATE($BD23," ",LEFT($AG23,MIN(1,SEARCH(" ",$AG23)-1)),IF(SEARCH(" ",$AG23)-1&gt;1,".",""),""),"")</f>
        <v/>
      </c>
      <c r="BH23" s="90">
        <f ca="1">IF(BG23&lt;&gt;"",COUNTIF(OFFSET(BG$2,,,COUNTIF($AG$2:$AG$50,"?*")),BG23),IF($AG23&lt;&gt;"",0,""))</f>
        <v>0</v>
      </c>
      <c r="BI23" s="89" t="str">
        <f ca="1">IF(AND($AG23&lt;&gt;"",BH23&gt;1),CONCATENATE($BD23," ",LEFT($AG23,MIN(2,SEARCH(" ",$AG23)-1)),IF(SEARCH(" ",$AG23)-1&gt;2,".",""),""),"")</f>
        <v/>
      </c>
      <c r="BJ23" s="90">
        <f ca="1">IF(BI23&lt;&gt;"",COUNTIF(OFFSET(BI$2,,,COUNTIF($AG$2:$AG$50,"?*")),BI23),IF($AG23&lt;&gt;"",0,""))</f>
        <v>0</v>
      </c>
      <c r="BK23" s="89" t="str">
        <f ca="1">IF(AND($AG23&lt;&gt;"",BJ23&gt;1),CONCATENATE($BD23," ",LEFT($AG23,MIN(3,SEARCH(" ",$AG23)-1)),IF(SEARCH(" ",$AG23)-1&gt;3,".",""),""),"")</f>
        <v/>
      </c>
      <c r="BL23" s="90">
        <f ca="1">IF(BK23&lt;&gt;"",COUNTIF(OFFSET(BK$2,,,COUNTIF($AG$2:$AG$50,"?*")),BK23),IF($AG23&lt;&gt;"",0,""))</f>
        <v>0</v>
      </c>
      <c r="BM23" s="89" t="str">
        <f ca="1">IF(AND($AG23&lt;&gt;"",BL23&gt;1),CONCATENATE($BD23," ",LEFT($AG23,MIN(4,SEARCH(" ",$AG23)-1)),IF(SEARCH(" ",$AG23)-1&gt;4,".",""),""),"")</f>
        <v/>
      </c>
      <c r="BS23" s="464"/>
      <c r="BT23" s="104" t="s">
        <v>819</v>
      </c>
      <c r="BU23" s="103">
        <v>18</v>
      </c>
      <c r="BV23" s="104" t="str">
        <f t="shared" si="2"/>
        <v>Petr Majer</v>
      </c>
      <c r="BW23" s="102">
        <f t="shared" si="3"/>
        <v>18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8">
        <f ca="1">IFERROR(IF(VLOOKUP(A23,OFFSET($AG$2,,,COUNTIF($AG$2:$AG$50,"?*"),23),2,FALSE)&lt;&gt;0,YEAR(VLOOKUP(A23,OFFSET($AG$2,,,COUNTIF($AG$2:$AG$50,"?*"),23),2,FALSE)),""),"")</f>
        <v>1999</v>
      </c>
      <c r="C24" s="429"/>
      <c r="D24" s="117">
        <f ca="1">IFERROR(VLOOKUP(A23,OFFSET($AG$2,,,COUNTIF($AG$2:$AG$50,"?*"),23),15,FALSE),"")</f>
        <v>22</v>
      </c>
      <c r="E24" s="419" t="str">
        <f ca="1">IFERROR(VLOOKUP(A23,OFFSET($AG$2,,,COUNTIF($AG$2:$AG$50,"?*"),23),16,FALSE),"")</f>
        <v>189/85</v>
      </c>
      <c r="F24" s="420"/>
      <c r="M24" s="4" t="str">
        <f ca="1">IFERROR(IF(VLOOKUP(M23,OFFSET($AG$2,,,COUNTIF($AG$2:$AG$50,"?*"),23),10,FALSE)&lt;&gt;0,VLOOKUP(M23,OFFSET($AG$2,,,COUNTIF($AG$2:$AG$50,"?*"),23),10,FALSE),""),"")</f>
        <v>L</v>
      </c>
      <c r="N24" s="428">
        <f ca="1">IFERROR(IF(VLOOKUP(M23,OFFSET($AG$2,,,COUNTIF($AG$2:$AG$50,"?*"),23),2,FALSE)&lt;&gt;0,YEAR(VLOOKUP(M23,OFFSET($AG$2,,,COUNTIF($AG$2:$AG$50,"?*"),23),2,FALSE)),""),"")</f>
        <v>1996</v>
      </c>
      <c r="O24" s="429"/>
      <c r="P24" s="117">
        <f ca="1">IFERROR(VLOOKUP(M23,OFFSET($AG$2,,,COUNTIF($AG$2:$AG$50,"?*"),23),15,FALSE),"")</f>
        <v>25</v>
      </c>
      <c r="Q24" s="419" t="str">
        <f ca="1">IFERROR(VLOOKUP(M23,OFFSET($AG$2,,,COUNTIF($AG$2:$AG$50,"?*"),23),16,FALSE),"")</f>
        <v>185/65</v>
      </c>
      <c r="R24" s="420"/>
      <c r="S24" s="110" t="s">
        <v>272</v>
      </c>
      <c r="T24" s="102" t="s">
        <v>106</v>
      </c>
      <c r="U24" s="102">
        <v>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ca="1">IF(S24&lt;&gt;"",IFERROR(IF(VLOOKUP(S24,OFFSET($AG$2,,,COUNTIF($AG$2:$AG$50,"?*")),1,FALSE)&lt;&gt;0,"ANO","NE"),"NE"),"")</f>
        <v>ANO</v>
      </c>
      <c r="AG24" s="121" t="s">
        <v>273</v>
      </c>
      <c r="AH24" s="122">
        <v>36548</v>
      </c>
      <c r="AI24" s="123">
        <v>92</v>
      </c>
      <c r="AJ24" s="123">
        <v>5</v>
      </c>
      <c r="AK24" s="123">
        <v>2</v>
      </c>
      <c r="AL24" s="124">
        <v>7</v>
      </c>
      <c r="AM24" s="123">
        <v>5</v>
      </c>
      <c r="AN24" s="123">
        <v>99</v>
      </c>
      <c r="AO24" s="125"/>
      <c r="AP24" s="125" t="s">
        <v>136</v>
      </c>
      <c r="AQ24" s="123">
        <v>182</v>
      </c>
      <c r="AR24" s="123">
        <v>75</v>
      </c>
      <c r="AS24" s="126" t="s">
        <v>288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ca="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2 (2+0), -6 ±</v>
      </c>
      <c r="AY24" s="129" t="str">
        <f ca="1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105 OZ, 9 (7+2)</v>
      </c>
      <c r="AZ24" s="130"/>
      <c r="BA24" s="130"/>
      <c r="BB24" s="130"/>
      <c r="BC24" s="130"/>
      <c r="BD24" s="3" t="str">
        <f t="shared" si="0"/>
        <v>Strnad</v>
      </c>
      <c r="BE24" s="84">
        <f ca="1">IF(AG24&lt;&gt;"",COUNTIF(OFFSET($BD$2,,,COUNTIF($AG$2:$AG$50,"?*")),BD24),"")</f>
        <v>1</v>
      </c>
      <c r="BF24" s="62" t="str">
        <f t="shared" si="1"/>
        <v>M</v>
      </c>
      <c r="BG24" s="3" t="str">
        <f ca="1">IF(AND($AG24&lt;&gt;"",BE24&gt;1),CONCATENATE($BD24," ",LEFT($AG24,MIN(1,SEARCH(" ",$AG24)-1)),IF(SEARCH(" ",$AG24)-1&gt;1,".",""),""),"")</f>
        <v/>
      </c>
      <c r="BH24" s="62">
        <f ca="1">IF(BG24&lt;&gt;"",COUNTIF(OFFSET(BG$2,,,COUNTIF($AG$2:$AG$50,"?*")),BG24),IF($AG24&lt;&gt;"",0,""))</f>
        <v>0</v>
      </c>
      <c r="BI24" s="3" t="str">
        <f ca="1">IF(AND($AG24&lt;&gt;"",BH24&gt;1),CONCATENATE($BD24," ",LEFT($AG24,MIN(2,SEARCH(" ",$AG24)-1)),IF(SEARCH(" ",$AG24)-1&gt;2,".",""),""),"")</f>
        <v/>
      </c>
      <c r="BJ24" s="62">
        <f ca="1">IF(BI24&lt;&gt;"",COUNTIF(OFFSET(BI$2,,,COUNTIF($AG$2:$AG$50,"?*")),BI24),IF($AG24&lt;&gt;"",0,""))</f>
        <v>0</v>
      </c>
      <c r="BK24" s="3" t="str">
        <f ca="1">IF(AND($AG24&lt;&gt;"",BJ24&gt;1),CONCATENATE($BD24," ",LEFT($AG24,MIN(3,SEARCH(" ",$AG24)-1)),IF(SEARCH(" ",$AG24)-1&gt;3,".",""),""),"")</f>
        <v/>
      </c>
      <c r="BL24" s="62">
        <f ca="1">IF(BK24&lt;&gt;"",COUNTIF(OFFSET(BK$2,,,COUNTIF($AG$2:$AG$50,"?*")),BK24),IF($AG24&lt;&gt;"",0,""))</f>
        <v>0</v>
      </c>
      <c r="BM24" s="3" t="str">
        <f ca="1">IF(AND($AG24&lt;&gt;"",BL24&gt;1),CONCATENATE($BD24," ",LEFT($AG24,MIN(4,SEARCH(" ",$AG24)-1)),IF(SEARCH(" ",$AG24)-1&gt;4,".",""),""),"")</f>
        <v/>
      </c>
      <c r="BS24" s="464"/>
      <c r="BT24" s="104" t="s">
        <v>1078</v>
      </c>
      <c r="BU24" s="103">
        <v>12</v>
      </c>
      <c r="BV24" s="104" t="str">
        <f t="shared" si="2"/>
        <v>Tom Ondrušek</v>
      </c>
      <c r="BW24" s="102">
        <f t="shared" si="3"/>
        <v>12</v>
      </c>
    </row>
    <row r="25" spans="1:75" ht="15" customHeight="1" thickTop="1" thickBot="1" x14ac:dyDescent="0.25">
      <c r="A25" s="421" t="str">
        <f ca="1">IFERROR(VLOOKUP(A23,OFFSET($AG$2,,,COUNTIF($AG$2:$AG$50,"?*"),23),18,FALSE),"")</f>
        <v>9 OZ, 4 (2+2), +6 ±</v>
      </c>
      <c r="B25" s="422"/>
      <c r="C25" s="422"/>
      <c r="D25" s="423" t="str">
        <f ca="1">IFERROR(VLOOKUP(A23,OFFSET($AG$2,,,COUNTIF($AG$2:$AG$50,"?*"),23),19,FALSE),"")</f>
        <v>89 OZ, 50 (31+19)</v>
      </c>
      <c r="E25" s="423"/>
      <c r="F25" s="424"/>
      <c r="G25" s="425" t="s">
        <v>256</v>
      </c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29</v>
      </c>
      <c r="M25" s="421" t="str">
        <f ca="1">IFERROR(VLOOKUP(M23,OFFSET($AG$2,,,COUNTIF($AG$2:$AG$50,"?*"),23),18,FALSE),"")</f>
        <v>16 OZ, 19 (12+7), 0 ±</v>
      </c>
      <c r="N25" s="422"/>
      <c r="O25" s="422"/>
      <c r="P25" s="423" t="str">
        <f ca="1">IFERROR(VLOOKUP(M23,OFFSET($AG$2,,,COUNTIF($AG$2:$AG$50,"?*"),23),19,FALSE),"")</f>
        <v>131 OZ, 119 (71+48)</v>
      </c>
      <c r="Q25" s="423"/>
      <c r="R25" s="424"/>
      <c r="S25" s="110" t="s">
        <v>821</v>
      </c>
      <c r="U25" s="102">
        <v>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ca="1">IF(S25&lt;&gt;"",IFERROR(IF(VLOOKUP(S25,OFFSET($AG$2,,,COUNTIF($AG$2:$AG$50,"?*")),1,FALSE)&lt;&gt;0,"ANO","NE"),"NE"),"")</f>
        <v>ANO</v>
      </c>
      <c r="AG25" s="121" t="s">
        <v>265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v>217</v>
      </c>
      <c r="AM25" s="123">
        <v>12</v>
      </c>
      <c r="AN25" s="123">
        <v>26</v>
      </c>
      <c r="AO25" s="125"/>
      <c r="AP25" s="125" t="s">
        <v>26</v>
      </c>
      <c r="AQ25" s="123">
        <v>180</v>
      </c>
      <c r="AR25" s="123">
        <v>74</v>
      </c>
      <c r="AS25" s="126" t="s">
        <v>289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ca="1">IFERROR(IF(MATCH(AG25,OFFSET($S$45,,,COUNTIF($S$45:$S$50,"?*")),0)&gt;0,CONCATENATE(VLOOKUP(AG25,OFFSET($S$45,,,COUNTIF($S$45:$S$50,"?*"),14),4,FALSE)," V, ",VLOOKUP(AG25,OFFSET($S$45,,,COUNTIF($S$45:$S$50,"?*"),14),9,FALSE)," P"),""),IFERROR(CONCATENATE(VLOOKUP(AG25,OFFSET($S$2,,,COUNTIF($S$2:$S$42,"?*"),10),3,FALSE)+AZ25," OZ, ",VLOOKUP(AG25,OFFSET($S$2,,,COUNTIF($S$2:$S$42,"?*"),10),8,FALSE)+BA25+BB25," (",VLOOKUP(AG25,OFFSET($S$2,,,COUNTIF($S$2:$S$42,"?*"),10),4,FALSE)+BA25,"+",VLOOKUP(AG25,OFFSET($S$2,,,COUNTIF($S$2:$S$42,"?*"),10),7,FALSE)+BB25,"), ",IF(VLOOKUP(AG25,OFFSET($S$2,,,COUNTIF($S$2:$S$42,"?*"),10),10,FALSE)+BC25&gt;0,"+",""),VLOOKUP(AG25,OFFSET($S$2,,,COUNTIF($S$2:$S$42,"?*"),10),10,FALSE)+BC25," ±"),IF(AG25&lt;&gt;"","0 OZ, 0 (0+0)","")))</f>
        <v>4 OZ, 0 (0+0), 0 ±</v>
      </c>
      <c r="AY25" s="129" t="str">
        <f ca="1">IFERROR(CONCATENATE(AI25+VLOOKUP(AG25,OFFSET($S$45,,,COUNTIF($S$45:$S$50,"?*"),14),2,FALSE)," OZ, ",AK25+VLOOKUP(AG25,OFFSET($S$45,,,COUNTIF($S$45:$S$50,"?*"),14),11,FALSE)," A"),IFERROR(CONCATENATE(VLOOKUP(AG25,OFFSET($S$2,,,COUNTIF($S$2:$S$42,"?*"),10),3,FALSE)+AZ25+AI25," OZ, ",VLOOKUP(AG25,OFFSET($S$2,,,COUNTIF($S$2:$S$42,"?*"),10),8,FALSE)+BA25+BB25+AL25," (",VLOOKUP(AG25,OFFSET($S$2,,,COUNTIF($S$2:$S$42,"?*"),10),4,FALSE)+BA25+AJ25,"+",VLOOKUP(AG25,OFFSET($S$2,,,COUNTIF($S$2:$S$42,"?*"),10),7,FALSE)+BB25+AK25,")"),IF(AG25&lt;&gt;"",CONCATENATE(AI25," OZ, ",AL25," (",AJ25,"+",AK25,")"),"")))</f>
        <v>232 OZ, 217 (59+158)</v>
      </c>
      <c r="AZ25" s="130"/>
      <c r="BA25" s="130"/>
      <c r="BB25" s="130"/>
      <c r="BC25" s="130"/>
      <c r="BD25" s="89" t="str">
        <f t="shared" si="0"/>
        <v>Sýkora</v>
      </c>
      <c r="BE25" s="91">
        <f ca="1">IF(AG25&lt;&gt;"",COUNTIF(OFFSET($BD$2,,,COUNTIF($AG$2:$AG$50,"?*")),BD25),"")</f>
        <v>1</v>
      </c>
      <c r="BF25" s="90" t="str">
        <f t="shared" si="1"/>
        <v>T</v>
      </c>
      <c r="BG25" s="89" t="str">
        <f ca="1">IF(AND($AG25&lt;&gt;"",BE25&gt;1),CONCATENATE($BD25," ",LEFT($AG25,MIN(1,SEARCH(" ",$AG25)-1)),IF(SEARCH(" ",$AG25)-1&gt;1,".",""),""),"")</f>
        <v/>
      </c>
      <c r="BH25" s="90">
        <f ca="1">IF(BG25&lt;&gt;"",COUNTIF(OFFSET(BG$2,,,COUNTIF($AG$2:$AG$50,"?*")),BG25),IF($AG25&lt;&gt;"",0,""))</f>
        <v>0</v>
      </c>
      <c r="BI25" s="89" t="str">
        <f ca="1">IF(AND($AG25&lt;&gt;"",BH25&gt;1),CONCATENATE($BD25," ",LEFT($AG25,MIN(2,SEARCH(" ",$AG25)-1)),IF(SEARCH(" ",$AG25)-1&gt;2,".",""),""),"")</f>
        <v/>
      </c>
      <c r="BJ25" s="90">
        <f ca="1">IF(BI25&lt;&gt;"",COUNTIF(OFFSET(BI$2,,,COUNTIF($AG$2:$AG$50,"?*")),BI25),IF($AG25&lt;&gt;"",0,""))</f>
        <v>0</v>
      </c>
      <c r="BK25" s="89" t="str">
        <f ca="1">IF(AND($AG25&lt;&gt;"",BJ25&gt;1),CONCATENATE($BD25," ",LEFT($AG25,MIN(3,SEARCH(" ",$AG25)-1)),IF(SEARCH(" ",$AG25)-1&gt;3,".",""),""),"")</f>
        <v/>
      </c>
      <c r="BL25" s="90">
        <f ca="1">IF(BK25&lt;&gt;"",COUNTIF(OFFSET(BK$2,,,COUNTIF($AG$2:$AG$50,"?*")),BK25),IF($AG25&lt;&gt;"",0,""))</f>
        <v>0</v>
      </c>
      <c r="BM25" s="89" t="str">
        <f ca="1">IF(AND($AG25&lt;&gt;"",BL25&gt;1),CONCATENATE($BD25," ",LEFT($AG25,MIN(4,SEARCH(" ",$AG25)-1)),IF(SEARCH(" ",$AG25)-1&gt;4,".",""),""),"")</f>
        <v/>
      </c>
      <c r="BS25" s="464"/>
      <c r="BT25" s="104" t="s">
        <v>1079</v>
      </c>
      <c r="BU25" s="103">
        <v>7</v>
      </c>
      <c r="BV25" s="104" t="str">
        <f t="shared" si="2"/>
        <v>Daniel Eremiáš</v>
      </c>
      <c r="BW25" s="102">
        <f t="shared" si="3"/>
        <v>7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>Florbal Jablonec</v>
      </c>
      <c r="B26" s="431"/>
      <c r="C26" s="432"/>
      <c r="D26" s="433">
        <f ca="1">IFERROR(IF(VLOOKUP(A23,OFFSET($AG$2,,,COUNTIF($AG$2:$AG$50,"?*"),23),14,FALSE)&lt;&gt;0,VLOOKUP(A23,OFFSET($AG$2,,,COUNTIF($AG$2:$AG$50,"?*"),23),14,FALSE),"?"),"")</f>
        <v>2012</v>
      </c>
      <c r="E26" s="434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8">
        <f ca="1">IFERROR(IF(VLOOKUP(G25,OFFSET($AG$2,,,COUNTIF($AG$2:$AG$50,"?*"),23),2,FALSE)&lt;&gt;0,YEAR(VLOOKUP(G25,OFFSET($AG$2,,,COUNTIF($AG$2:$AG$50,"?*"),23),2,FALSE)),""),"")</f>
        <v>1996</v>
      </c>
      <c r="I26" s="429"/>
      <c r="J26" s="117">
        <f ca="1">IFERROR(VLOOKUP(G25,OFFSET($AG$2,,,COUNTIF($AG$2:$AG$50,"?*"),23),15,FALSE),"")</f>
        <v>25</v>
      </c>
      <c r="K26" s="419" t="str">
        <f ca="1">IFERROR(VLOOKUP(G25,OFFSET($AG$2,,,COUNTIF($AG$2:$AG$50,"?*"),23),16,FALSE),"")</f>
        <v>192/92</v>
      </c>
      <c r="L26" s="420"/>
      <c r="M26" s="430" t="str">
        <f ca="1">IFERROR(IF(VLOOKUP(M23,OFFSET($AG$2,,,COUNTIF($AG$2:$AG$50,"?*"),23),13,FALSE)&lt;&gt;0,VLOOKUP(M23,OFFSET($AG$2,,,COUNTIF($AG$2:$AG$50,"?*"),23),13,FALSE),"?"),"")</f>
        <v>Tatran Střešovice</v>
      </c>
      <c r="N26" s="431"/>
      <c r="O26" s="432"/>
      <c r="P26" s="433">
        <f ca="1">IFERROR(IF(VLOOKUP(M23,OFFSET($AG$2,,,COUNTIF($AG$2:$AG$50,"?*"),23),14,FALSE)&lt;&gt;0,VLOOKUP(M23,OFFSET($AG$2,,,COUNTIF($AG$2:$AG$50,"?*"),23),14,FALSE),"?"),"")</f>
        <v>2006</v>
      </c>
      <c r="Q26" s="434"/>
      <c r="R26" s="7">
        <f ca="1">IFERROR(IF(VLOOKUP(M23,OFFSET($AG$2,,,COUNTIF($AG$2:$AG$50,"?*"),23),7,FALSE)&lt;&gt;0,VLOOKUP(M23,OFFSET($AG$2,,,COUNTIF($AG$2:$AG$50,"?*"),23),7,FALSE),"?"),"")</f>
        <v>8</v>
      </c>
      <c r="S26" s="110" t="s">
        <v>265</v>
      </c>
      <c r="T26" s="102" t="s">
        <v>57</v>
      </c>
      <c r="U26" s="102">
        <v>4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ca="1">IF(S26&lt;&gt;"",IFERROR(IF(VLOOKUP(S26,OFFSET($AG$2,,,COUNTIF($AG$2:$AG$50,"?*")),1,FALSE)&lt;&gt;0,"ANO","NE"),"NE"),"")</f>
        <v>ANO</v>
      </c>
      <c r="AG26" s="121" t="s">
        <v>262</v>
      </c>
      <c r="AH26" s="122">
        <v>36800</v>
      </c>
      <c r="AI26" s="123">
        <v>29</v>
      </c>
      <c r="AJ26" s="123">
        <v>0</v>
      </c>
      <c r="AK26" s="123">
        <v>0</v>
      </c>
      <c r="AL26" s="124">
        <v>0</v>
      </c>
      <c r="AM26" s="123">
        <v>2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290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ca="1">IFERROR(IF(MATCH(AG26,OFFSET($S$45,,,COUNTIF($S$45:$S$50,"?*")),0)&gt;0,CONCATENATE(VLOOKUP(AG26,OFFSET($S$45,,,COUNTIF($S$45:$S$50,"?*"),14),4,FALSE)," V, ",VLOOKUP(AG26,OFFSET($S$45,,,COUNTIF($S$45:$S$50,"?*"),14),9,FALSE)," P"),""),IFERROR(CONCATENATE(VLOOKUP(AG26,OFFSET($S$2,,,COUNTIF($S$2:$S$42,"?*"),10),3,FALSE)+AZ26," OZ, ",VLOOKUP(AG26,OFFSET($S$2,,,COUNTIF($S$2:$S$42,"?*"),10),8,FALSE)+BA26+BB26," (",VLOOKUP(AG26,OFFSET($S$2,,,COUNTIF($S$2:$S$42,"?*"),10),4,FALSE)+BA26,"+",VLOOKUP(AG26,OFFSET($S$2,,,COUNTIF($S$2:$S$42,"?*"),10),7,FALSE)+BB26,"), ",IF(VLOOKUP(AG26,OFFSET($S$2,,,COUNTIF($S$2:$S$42,"?*"),10),10,FALSE)+BC26&gt;0,"+",""),VLOOKUP(AG26,OFFSET($S$2,,,COUNTIF($S$2:$S$42,"?*"),10),10,FALSE)+BC26," ±"),IF(AG26&lt;&gt;"","0 OZ, 0 (0+0)","")))</f>
        <v>1 V, 4 P</v>
      </c>
      <c r="AY26" s="129" t="str">
        <f ca="1">IFERROR(CONCATENATE(AI26+VLOOKUP(AG26,OFFSET($S$45,,,COUNTIF($S$45:$S$50,"?*"),14),2,FALSE)," OZ, ",AK26+VLOOKUP(AG26,OFFSET($S$45,,,COUNTIF($S$45:$S$50,"?*"),14),11,FALSE)," A"),IFERROR(CONCATENATE(VLOOKUP(AG26,OFFSET($S$2,,,COUNTIF($S$2:$S$42,"?*"),10),3,FALSE)+AZ26+AI26," OZ, ",VLOOKUP(AG26,OFFSET($S$2,,,COUNTIF($S$2:$S$42,"?*"),10),8,FALSE)+BA26+BB26+AL26," (",VLOOKUP(AG26,OFFSET($S$2,,,COUNTIF($S$2:$S$42,"?*"),10),4,FALSE)+BA26+AJ26,"+",VLOOKUP(AG26,OFFSET($S$2,,,COUNTIF($S$2:$S$42,"?*"),10),7,FALSE)+BB26+AK26,")"),IF(AG26&lt;&gt;"",CONCATENATE(AI26," OZ, ",AL26," (",AJ26,"+",AK26,")"),"")))</f>
        <v>34 OZ, 0 A</v>
      </c>
      <c r="AZ26" s="130"/>
      <c r="BA26" s="130"/>
      <c r="BB26" s="130"/>
      <c r="BC26" s="130"/>
      <c r="BD26" s="3" t="str">
        <f t="shared" si="0"/>
        <v>Šimůnek</v>
      </c>
      <c r="BE26" s="84">
        <f ca="1">IF(AG26&lt;&gt;"",COUNTIF(OFFSET($BD$2,,,COUNTIF($AG$2:$AG$50,"?*")),BD26),"")</f>
        <v>1</v>
      </c>
      <c r="BF26" s="62" t="str">
        <f t="shared" si="1"/>
        <v>V</v>
      </c>
      <c r="BG26" s="3" t="str">
        <f ca="1">IF(AND($AG26&lt;&gt;"",BE26&gt;1),CONCATENATE($BD26," ",LEFT($AG26,MIN(1,SEARCH(" ",$AG26)-1)),IF(SEARCH(" ",$AG26)-1&gt;1,".",""),""),"")</f>
        <v/>
      </c>
      <c r="BH26" s="62">
        <f ca="1">IF(BG26&lt;&gt;"",COUNTIF(OFFSET(BG$2,,,COUNTIF($AG$2:$AG$50,"?*")),BG26),IF($AG26&lt;&gt;"",0,""))</f>
        <v>0</v>
      </c>
      <c r="BI26" s="3" t="str">
        <f ca="1">IF(AND($AG26&lt;&gt;"",BH26&gt;1),CONCATENATE($BD26," ",LEFT($AG26,MIN(2,SEARCH(" ",$AG26)-1)),IF(SEARCH(" ",$AG26)-1&gt;2,".",""),""),"")</f>
        <v/>
      </c>
      <c r="BJ26" s="62">
        <f ca="1">IF(BI26&lt;&gt;"",COUNTIF(OFFSET(BI$2,,,COUNTIF($AG$2:$AG$50,"?*")),BI26),IF($AG26&lt;&gt;"",0,""))</f>
        <v>0</v>
      </c>
      <c r="BK26" s="3" t="str">
        <f ca="1">IF(AND($AG26&lt;&gt;"",BJ26&gt;1),CONCATENATE($BD26," ",LEFT($AG26,MIN(3,SEARCH(" ",$AG26)-1)),IF(SEARCH(" ",$AG26)-1&gt;3,".",""),""),"")</f>
        <v/>
      </c>
      <c r="BL26" s="62">
        <f ca="1">IF(BK26&lt;&gt;"",COUNTIF(OFFSET(BK$2,,,COUNTIF($AG$2:$AG$50,"?*")),BK26),IF($AG26&lt;&gt;"",0,""))</f>
        <v>0</v>
      </c>
      <c r="BM26" s="3" t="str">
        <f ca="1">IF(AND($AG26&lt;&gt;"",BL26&gt;1),CONCATENATE($BD26," ",LEFT($AG26,MIN(4,SEARCH(" ",$AG26)-1)),IF(SEARCH(" ",$AG26)-1&gt;4,".",""),""),"")</f>
        <v/>
      </c>
      <c r="BS26" s="464"/>
      <c r="BT26" s="104" t="s">
        <v>1387</v>
      </c>
      <c r="BU26" s="103">
        <v>7</v>
      </c>
      <c r="BV26" s="104" t="str">
        <f t="shared" si="2"/>
        <v>Martin Skřivánek</v>
      </c>
      <c r="BW26" s="102">
        <f t="shared" si="3"/>
        <v>7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>16 OZ, 13 (6+7), +1 ±</v>
      </c>
      <c r="H27" s="422"/>
      <c r="I27" s="422"/>
      <c r="J27" s="423" t="str">
        <f ca="1">IFERROR(VLOOKUP(G25,OFFSET($AG$2,,,COUNTIF($AG$2:$AG$50,"?*"),23),19,FALSE),"")</f>
        <v>94 OZ, 100 (49+51)</v>
      </c>
      <c r="K27" s="423"/>
      <c r="L27" s="424"/>
      <c r="S27" s="110" t="s">
        <v>262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ca="1">IF(S27&lt;&gt;"",IFERROR(IF(VLOOKUP(S27,OFFSET($AG$2,,,COUNTIF($AG$2:$AG$50,"?*")),1,FALSE)&lt;&gt;0,"ANO","NE"),"NE"),"")</f>
        <v>ANO</v>
      </c>
      <c r="AG27" s="121" t="s">
        <v>251</v>
      </c>
      <c r="AH27" s="122">
        <v>34094</v>
      </c>
      <c r="AI27" s="123">
        <v>230</v>
      </c>
      <c r="AJ27" s="123">
        <v>266</v>
      </c>
      <c r="AK27" s="123">
        <v>192</v>
      </c>
      <c r="AL27" s="124">
        <v>458</v>
      </c>
      <c r="AM27" s="123">
        <v>12</v>
      </c>
      <c r="AN27" s="123">
        <v>21</v>
      </c>
      <c r="AO27" s="125"/>
      <c r="AP27" s="125" t="s">
        <v>136</v>
      </c>
      <c r="AQ27" s="123">
        <v>178</v>
      </c>
      <c r="AR27" s="123">
        <v>72</v>
      </c>
      <c r="AS27" s="126" t="s">
        <v>63</v>
      </c>
      <c r="AT27" s="123">
        <v>2000</v>
      </c>
      <c r="AU27" s="127">
        <f ca="1">IF(AG27&lt;&gt;"",IF(AH27&lt;&gt;"",INT((TODAY()-AH27)/365),"?"),"")</f>
        <v>28</v>
      </c>
      <c r="AV27" s="127" t="str">
        <f>IF(AG27&lt;&gt;"",CONCATENATE(IF(AQ27&lt;&gt;"",AQ27,"? "),"/",IF(AR27&lt;&gt;"",AR27," ?")),"")</f>
        <v>178/72</v>
      </c>
      <c r="AW27" s="128" t="str">
        <f ca="1">IF(AG27&lt;&gt;"",IF(BE27=1,BD27,IF(BH27=1,BG27,IF(BJ27=1,BI27,IF(BL27=1,BK27,BM27)))),"")</f>
        <v>Vávra M.</v>
      </c>
      <c r="AX27" s="129" t="str">
        <f ca="1">IFERROR(IF(MATCH(AG27,OFFSET($S$45,,,COUNTIF($S$45:$S$50,"?*")),0)&gt;0,CONCATENATE(VLOOKUP(AG27,OFFSET($S$45,,,COUNTIF($S$45:$S$50,"?*"),14),4,FALSE)," V, ",VLOOKUP(AG27,OFFSET($S$45,,,COUNTIF($S$45:$S$50,"?*"),14),9,FALSE)," P"),""),IFERROR(CONCATENATE(VLOOKUP(AG27,OFFSET($S$2,,,COUNTIF($S$2:$S$42,"?*"),10),3,FALSE)+AZ27," OZ, ",VLOOKUP(AG27,OFFSET($S$2,,,COUNTIF($S$2:$S$42,"?*"),10),8,FALSE)+BA27+BB27," (",VLOOKUP(AG27,OFFSET($S$2,,,COUNTIF($S$2:$S$42,"?*"),10),4,FALSE)+BA27,"+",VLOOKUP(AG27,OFFSET($S$2,,,COUNTIF($S$2:$S$42,"?*"),10),7,FALSE)+BB27,"), ",IF(VLOOKUP(AG27,OFFSET($S$2,,,COUNTIF($S$2:$S$42,"?*"),10),10,FALSE)+BC27&gt;0,"+",""),VLOOKUP(AG27,OFFSET($S$2,,,COUNTIF($S$2:$S$42,"?*"),10),10,FALSE)+BC27," ±"),IF(AG27&lt;&gt;"","0 OZ, 0 (0+0)","")))</f>
        <v>16 OZ, 37 (19+18), +9 ±</v>
      </c>
      <c r="AY27" s="129" t="str">
        <f ca="1">IFERROR(CONCATENATE(AI27+VLOOKUP(AG27,OFFSET($S$45,,,COUNTIF($S$45:$S$50,"?*"),14),2,FALSE)," OZ, ",AK27+VLOOKUP(AG27,OFFSET($S$45,,,COUNTIF($S$45:$S$50,"?*"),14),11,FALSE)," A"),IFERROR(CONCATENATE(VLOOKUP(AG27,OFFSET($S$2,,,COUNTIF($S$2:$S$42,"?*"),10),3,FALSE)+AZ27+AI27," OZ, ",VLOOKUP(AG27,OFFSET($S$2,,,COUNTIF($S$2:$S$42,"?*"),10),8,FALSE)+BA27+BB27+AL27," (",VLOOKUP(AG27,OFFSET($S$2,,,COUNTIF($S$2:$S$42,"?*"),10),4,FALSE)+BA27+AJ27,"+",VLOOKUP(AG27,OFFSET($S$2,,,COUNTIF($S$2:$S$42,"?*"),10),7,FALSE)+BB27+AK27,")"),IF(AG27&lt;&gt;"",CONCATENATE(AI27," OZ, ",AL27," (",AJ27,"+",AK27,")"),"")))</f>
        <v>246 OZ, 495 (285+210)</v>
      </c>
      <c r="AZ27" s="130"/>
      <c r="BA27" s="130"/>
      <c r="BB27" s="130"/>
      <c r="BC27" s="130"/>
      <c r="BD27" s="89" t="str">
        <f t="shared" si="0"/>
        <v>Vávra</v>
      </c>
      <c r="BE27" s="91">
        <f ca="1">IF(AG27&lt;&gt;"",COUNTIF(OFFSET($BD$2,,,COUNTIF($AG$2:$AG$50,"?*")),BD27),"")</f>
        <v>2</v>
      </c>
      <c r="BF27" s="90" t="str">
        <f t="shared" si="1"/>
        <v>M</v>
      </c>
      <c r="BG27" s="89" t="str">
        <f ca="1">IF(AND($AG27&lt;&gt;"",BE27&gt;1),CONCATENATE($BD27," ",LEFT($AG27,MIN(1,SEARCH(" ",$AG27)-1)),IF(SEARCH(" ",$AG27)-1&gt;1,".",""),""),"")</f>
        <v>Vávra M.</v>
      </c>
      <c r="BH27" s="90">
        <f ca="1">IF(BG27&lt;&gt;"",COUNTIF(OFFSET(BG$2,,,COUNTIF($AG$2:$AG$50,"?*")),BG27),IF($AG27&lt;&gt;"",0,""))</f>
        <v>1</v>
      </c>
      <c r="BI27" s="89" t="str">
        <f ca="1">IF(AND($AG27&lt;&gt;"",BH27&gt;1),CONCATENATE($BD27," ",LEFT($AG27,MIN(2,SEARCH(" ",$AG27)-1)),IF(SEARCH(" ",$AG27)-1&gt;2,".",""),""),"")</f>
        <v/>
      </c>
      <c r="BJ27" s="90">
        <f ca="1">IF(BI27&lt;&gt;"",COUNTIF(OFFSET(BI$2,,,COUNTIF($AG$2:$AG$50,"?*")),BI27),IF($AG27&lt;&gt;"",0,""))</f>
        <v>0</v>
      </c>
      <c r="BK27" s="89" t="str">
        <f ca="1">IF(AND($AG27&lt;&gt;"",BJ27&gt;1),CONCATENATE($BD27," ",LEFT($AG27,MIN(3,SEARCH(" ",$AG27)-1)),IF(SEARCH(" ",$AG27)-1&gt;3,".",""),""),"")</f>
        <v/>
      </c>
      <c r="BL27" s="90">
        <f ca="1">IF(BK27&lt;&gt;"",COUNTIF(OFFSET(BK$2,,,COUNTIF($AG$2:$AG$50,"?*")),BK27),IF($AG27&lt;&gt;"",0,""))</f>
        <v>0</v>
      </c>
      <c r="BM27" s="89" t="str">
        <f ca="1">IF(AND($AG27&lt;&gt;"",BL27&gt;1),CONCATENATE($BD27," ",LEFT($AG27,MIN(4,SEARCH(" ",$AG27)-1)),IF(SEARCH(" ",$AG27)-1&gt;4,".",""),""),"")</f>
        <v/>
      </c>
      <c r="BS27" s="464" t="s">
        <v>38</v>
      </c>
      <c r="BT27" s="104" t="s">
        <v>1388</v>
      </c>
      <c r="BU27" s="103">
        <v>10</v>
      </c>
      <c r="BV27" s="104" t="str">
        <f t="shared" si="2"/>
        <v>Mikuláš Komárek</v>
      </c>
      <c r="BW27" s="102">
        <f t="shared" si="3"/>
        <v>10</v>
      </c>
    </row>
    <row r="28" spans="1:75" ht="15" customHeight="1" thickTop="1" thickBot="1" x14ac:dyDescent="0.25">
      <c r="A28" s="425"/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>SSK Future</v>
      </c>
      <c r="H28" s="431"/>
      <c r="I28" s="432"/>
      <c r="J28" s="433">
        <f ca="1">IFERROR(IF(VLOOKUP(G25,OFFSET($AG$2,,,COUNTIF($AG$2:$AG$50,"?*"),23),14,FALSE)&lt;&gt;0,VLOOKUP(G25,OFFSET($AG$2,,,COUNTIF($AG$2:$AG$50,"?*"),23),14,FALSE),"?"),"")</f>
        <v>2005</v>
      </c>
      <c r="K28" s="434"/>
      <c r="L28" s="7">
        <f ca="1">IFERROR(IF(VLOOKUP(G25,OFFSET($AG$2,,,COUNTIF($AG$2:$AG$50,"?*"),23),7,FALSE)&lt;&gt;0,VLOOKUP(G25,OFFSET($AG$2,,,COUNTIF($AG$2:$AG$50,"?*"),23),7,FALSE),"?"),"")</f>
        <v>6</v>
      </c>
      <c r="M28" s="425"/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261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ca="1">IF(S28&lt;&gt;"",IFERROR(IF(VLOOKUP(S28,OFFSET($AG$2,,,COUNTIF($AG$2:$AG$50,"?*")),1,FALSE)&lt;&gt;0,"ANO","NE"),"NE"),"")</f>
        <v>ANO</v>
      </c>
      <c r="AG28" s="121" t="s">
        <v>252</v>
      </c>
      <c r="AH28" s="122">
        <v>31955</v>
      </c>
      <c r="AI28" s="123">
        <v>317</v>
      </c>
      <c r="AJ28" s="123">
        <v>96</v>
      </c>
      <c r="AK28" s="123">
        <v>95</v>
      </c>
      <c r="AL28" s="124">
        <v>191</v>
      </c>
      <c r="AM28" s="123">
        <v>18</v>
      </c>
      <c r="AN28" s="123">
        <v>15</v>
      </c>
      <c r="AO28" s="125"/>
      <c r="AP28" s="125" t="s">
        <v>136</v>
      </c>
      <c r="AQ28" s="123">
        <v>178</v>
      </c>
      <c r="AR28" s="123">
        <v>80</v>
      </c>
      <c r="AS28" s="126" t="s">
        <v>63</v>
      </c>
      <c r="AT28" s="123">
        <v>2002</v>
      </c>
      <c r="AU28" s="127">
        <f ca="1">IF(AG28&lt;&gt;"",IF(AH28&lt;&gt;"",INT((TODAY()-AH28)/365),"?"),"")</f>
        <v>34</v>
      </c>
      <c r="AV28" s="127" t="str">
        <f>IF(AG28&lt;&gt;"",CONCATENATE(IF(AQ28&lt;&gt;"",AQ28,"? "),"/",IF(AR28&lt;&gt;"",AR28," ?")),"")</f>
        <v>178/80</v>
      </c>
      <c r="AW28" s="128" t="str">
        <f ca="1">IF(AG28&lt;&gt;"",IF(BE28=1,BD28,IF(BH28=1,BG28,IF(BJ28=1,BI28,IF(BL28=1,BK28,BM28)))),"")</f>
        <v>Vávra T.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2 (0+2), +1 ±</v>
      </c>
      <c r="AY28" s="129" t="str">
        <f ca="1">IFERROR(CONCATENATE(AI28+VLOOKUP(AG28,OFFSET($S$45,,,COUNTIF($S$45:$S$50,"?*"),14),2,FALSE)," OZ, ",AK28+VLOOKUP(AG28,OFFSET($S$45,,,COUNTIF($S$45:$S$50,"?*"),14),11,FALSE)," A"),IFERROR(CONCATENATE(VLOOKUP(AG28,OFFSET($S$2,,,COUNTIF($S$2:$S$42,"?*"),10),3,FALSE)+AZ28+AI28," OZ, ",VLOOKUP(AG28,OFFSET($S$2,,,COUNTIF($S$2:$S$42,"?*"),10),8,FALSE)+BA28+BB28+AL28," (",VLOOKUP(AG28,OFFSET($S$2,,,COUNTIF($S$2:$S$42,"?*"),10),4,FALSE)+BA28+AJ28,"+",VLOOKUP(AG28,OFFSET($S$2,,,COUNTIF($S$2:$S$42,"?*"),10),7,FALSE)+BB28+AK28,")"),IF(AG28&lt;&gt;"",CONCATENATE(AI28," OZ, ",AL28," (",AJ28,"+",AK28,")"),"")))</f>
        <v>320 OZ, 193 (96+97)</v>
      </c>
      <c r="AZ28" s="130"/>
      <c r="BA28" s="130"/>
      <c r="BB28" s="130"/>
      <c r="BC28" s="130"/>
      <c r="BD28" s="3" t="str">
        <f t="shared" si="0"/>
        <v>Vávra</v>
      </c>
      <c r="BE28" s="84">
        <f ca="1">IF(AG28&lt;&gt;"",COUNTIF(OFFSET($BD$2,,,COUNTIF($AG$2:$AG$50,"?*")),BD28),"")</f>
        <v>2</v>
      </c>
      <c r="BF28" s="62" t="str">
        <f t="shared" si="1"/>
        <v>T</v>
      </c>
      <c r="BG28" s="3" t="str">
        <f ca="1">IF(AND($AG28&lt;&gt;"",BE28&gt;1),CONCATENATE($BD28," ",LEFT($AG28,MIN(1,SEARCH(" ",$AG28)-1)),IF(SEARCH(" ",$AG28)-1&gt;1,".",""),""),"")</f>
        <v>Vávra T.</v>
      </c>
      <c r="BH28" s="62">
        <f ca="1">IF(BG28&lt;&gt;"",COUNTIF(OFFSET(BG$2,,,COUNTIF($AG$2:$AG$50,"?*")),BG28),IF($AG28&lt;&gt;"",0,""))</f>
        <v>1</v>
      </c>
      <c r="BI28" s="3" t="str">
        <f ca="1">IF(AND($AG28&lt;&gt;"",BH28&gt;1),CONCATENATE($BD28," ",LEFT($AG28,MIN(2,SEARCH(" ",$AG28)-1)),IF(SEARCH(" ",$AG28)-1&gt;2,".",""),""),"")</f>
        <v/>
      </c>
      <c r="BJ28" s="62">
        <f ca="1">IF(BI28&lt;&gt;"",COUNTIF(OFFSET(BI$2,,,COUNTIF($AG$2:$AG$50,"?*")),BI28),IF($AG28&lt;&gt;"",0,""))</f>
        <v>0</v>
      </c>
      <c r="BK28" s="3" t="str">
        <f ca="1">IF(AND($AG28&lt;&gt;"",BJ28&gt;1),CONCATENATE($BD28," ",LEFT($AG28,MIN(3,SEARCH(" ",$AG28)-1)),IF(SEARCH(" ",$AG28)-1&gt;3,".",""),""),"")</f>
        <v/>
      </c>
      <c r="BL28" s="62">
        <f ca="1">IF(BK28&lt;&gt;"",COUNTIF(OFFSET(BK$2,,,COUNTIF($AG$2:$AG$50,"?*")),BK28),IF($AG28&lt;&gt;"",0,""))</f>
        <v>0</v>
      </c>
      <c r="BM28" s="3" t="str">
        <f ca="1">IF(AND($AG28&lt;&gt;"",BL28&gt;1),CONCATENATE($BD28," ",LEFT($AG28,MIN(4,SEARCH(" ",$AG28)-1)),IF(SEARCH(" ",$AG28)-1&gt;4,".",""),""),"")</f>
        <v/>
      </c>
      <c r="BS28" s="464"/>
      <c r="BT28" s="104" t="s">
        <v>1389</v>
      </c>
      <c r="BU28" s="103">
        <v>8</v>
      </c>
      <c r="BV28" s="104" t="str">
        <f t="shared" si="2"/>
        <v>Jiří Bauer</v>
      </c>
      <c r="BW28" s="102">
        <f t="shared" si="3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/>
      </c>
      <c r="E29" s="419" t="str">
        <f ca="1">IFERROR(VLOOKUP(A28,OFFSET($AG$2,,,COUNTIF($AG$2:$AG$50,"?*"),23),16,FALSE),"")</f>
        <v/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0" t="s">
        <v>270</v>
      </c>
      <c r="T29" s="102" t="s">
        <v>104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ca="1">IF(S29&lt;&gt;"",IFERROR(IF(VLOOKUP(S29,OFFSET($AG$2,,,COUNTIF($AG$2:$AG$50,"?*")),1,FALSE)&lt;&gt;0,"ANO","NE"),"NE"),"")</f>
        <v>ANO</v>
      </c>
      <c r="AG29" s="121" t="s">
        <v>255</v>
      </c>
      <c r="AH29" s="122">
        <v>35445</v>
      </c>
      <c r="AI29" s="123">
        <v>106</v>
      </c>
      <c r="AJ29" s="123">
        <v>34</v>
      </c>
      <c r="AK29" s="123">
        <v>25</v>
      </c>
      <c r="AL29" s="124">
        <v>59</v>
      </c>
      <c r="AM29" s="123">
        <v>7</v>
      </c>
      <c r="AN29" s="123">
        <v>14</v>
      </c>
      <c r="AO29" s="125"/>
      <c r="AP29" s="125" t="s">
        <v>136</v>
      </c>
      <c r="AQ29" s="123">
        <v>184</v>
      </c>
      <c r="AR29" s="123">
        <v>78</v>
      </c>
      <c r="AS29" s="126" t="s">
        <v>282</v>
      </c>
      <c r="AT29" s="123">
        <v>2009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184/78</v>
      </c>
      <c r="AW29" s="128" t="str">
        <f ca="1">IF(AG29&lt;&gt;"",IF(BE29=1,BD29,IF(BH29=1,BG29,IF(BJ29=1,BI29,IF(BL29=1,BK29,BM29)))),"")</f>
        <v>Vošta</v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16 OZ, 12 (10+2), -1 ±</v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>122 OZ, 71 (44+27)</v>
      </c>
      <c r="AZ29" s="130"/>
      <c r="BA29" s="130"/>
      <c r="BB29" s="130"/>
      <c r="BC29" s="130"/>
      <c r="BD29" s="89" t="str">
        <f t="shared" si="0"/>
        <v>Vošta</v>
      </c>
      <c r="BE29" s="91">
        <f ca="1">IF(AG29&lt;&gt;"",COUNTIF(OFFSET($BD$2,,,COUNTIF($AG$2:$AG$50,"?*")),BD29),"")</f>
        <v>1</v>
      </c>
      <c r="BF29" s="90" t="str">
        <f t="shared" si="1"/>
        <v>O</v>
      </c>
      <c r="BG29" s="89" t="str">
        <f ca="1">IF(AND($AG29&lt;&gt;"",BE29&gt;1),CONCATENATE($BD29," ",LEFT($AG29,MIN(1,SEARCH(" ",$AG29)-1)),IF(SEARCH(" ",$AG29)-1&gt;1,".",""),""),"")</f>
        <v/>
      </c>
      <c r="BH29" s="90">
        <f ca="1">IF(BG29&lt;&gt;"",COUNTIF(OFFSET(BG$2,,,COUNTIF($AG$2:$AG$50,"?*")),BG29),IF($AG29&lt;&gt;"",0,""))</f>
        <v>0</v>
      </c>
      <c r="BI29" s="89" t="str">
        <f ca="1">IF(AND($AG29&lt;&gt;"",BH29&gt;1),CONCATENATE($BD29," ",LEFT($AG29,MIN(2,SEARCH(" ",$AG29)-1)),IF(SEARCH(" ",$AG29)-1&gt;2,".",""),""),"")</f>
        <v/>
      </c>
      <c r="BJ29" s="90">
        <f ca="1">IF(BI29&lt;&gt;"",COUNTIF(OFFSET(BI$2,,,COUNTIF($AG$2:$AG$50,"?*")),BI29),IF($AG29&lt;&gt;"",0,""))</f>
        <v>0</v>
      </c>
      <c r="BK29" s="89" t="str">
        <f ca="1">IF(AND($AG29&lt;&gt;"",BJ29&gt;1),CONCATENATE($BD29," ",LEFT($AG29,MIN(3,SEARCH(" ",$AG29)-1)),IF(SEARCH(" ",$AG29)-1&gt;3,".",""),""),"")</f>
        <v/>
      </c>
      <c r="BL29" s="90">
        <f ca="1">IF(BK29&lt;&gt;"",COUNTIF(OFFSET(BK$2,,,COUNTIF($AG$2:$AG$50,"?*")),BK29),IF($AG29&lt;&gt;"",0,""))</f>
        <v>0</v>
      </c>
      <c r="BM29" s="89" t="str">
        <f ca="1">IF(AND($AG29&lt;&gt;"",BL29&gt;1),CONCATENATE($BD29," ",LEFT($AG29,MIN(4,SEARCH(" ",$AG29)-1)),IF(SEARCH(" ",$AG29)-1&gt;4,".",""),""),"")</f>
        <v/>
      </c>
      <c r="BS29" s="464"/>
      <c r="BT29" s="104" t="s">
        <v>1390</v>
      </c>
      <c r="BU29" s="103">
        <v>8</v>
      </c>
      <c r="BV29" s="104" t="str">
        <f t="shared" si="2"/>
        <v>Michal Strnad</v>
      </c>
      <c r="BW29" s="102">
        <f t="shared" si="3"/>
        <v>8</v>
      </c>
    </row>
    <row r="30" spans="1:75" ht="15" customHeight="1" x14ac:dyDescent="0.2">
      <c r="A30" s="421" t="str">
        <f ca="1">IFERROR(VLOOKUP(A28,OFFSET($AG$2,,,COUNTIF($AG$2:$AG$50,"?*"),23),18,FALSE),"")</f>
        <v/>
      </c>
      <c r="B30" s="422"/>
      <c r="C30" s="422"/>
      <c r="D30" s="423" t="str">
        <f ca="1">IFERROR(VLOOKUP(A28,OFFSET($AG$2,,,COUNTIF($AG$2:$AG$50,"?*"),23),19,FALSE),"")</f>
        <v/>
      </c>
      <c r="E30" s="423"/>
      <c r="F30" s="424"/>
      <c r="H30" s="435" t="str">
        <f>H$8</f>
        <v>CHO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ca="1">IF(S30&lt;&gt;"",IFERROR(IF(VLOOKUP(S30,OFFSET($AG$2,,,COUNTIF($AG$2:$AG$50,"?*")),1,FALSE)&lt;&gt;0,"ANO","NE"),"NE"),"")</f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/>
      </c>
      <c r="AV30" s="127" t="str">
        <f t="shared" ref="AV30" si="4">IF(AG30&lt;&gt;"",CONCATENATE(IF(AQ30&lt;&gt;"",AQ30,"? "),"/",IF(AR30&lt;&gt;"",AR30," ?")),"")</f>
        <v/>
      </c>
      <c r="AW30" s="128" t="str">
        <f t="shared" ref="AW30" si="5">IF(AG30&lt;&gt;"",IF(BE30=1,BD30,IF(BH30=1,BG30,IF(BJ30=1,BI30,IF(BL30=1,BK30,BM30)))),"")</f>
        <v/>
      </c>
      <c r="AX30" s="129" t="str">
        <f ca="1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ca="1">IFERROR(CONCATENATE(AI30+VLOOKUP(AG30,OFFSET($S$45,,,COUNTIF($S$45:$S$50,"?*"),14),2,FALSE)," OZ, ",AK30+VLOOKUP(AG30,OFFSET($S$45,,,COUNTIF($S$45:$S$50,"?*"),14),11,FALSE)," A"),IFERROR(CONCATENATE(VLOOKUP(AG30,OFFSET($S$2,,,COUNTIF($S$2:$S$42,"?*"),10),3,FALSE)+AZ30+AI30," OZ, ",VLOOKUP(AG30,OFFSET($S$2,,,COUNTIF($S$2:$S$42,"?*"),10),8,FALSE)+BA30+BB30+AL30," (",VLOOKUP(AG30,OFFSET($S$2,,,COUNTIF($S$2:$S$42,"?*"),10),4,FALSE)+BA30+AJ30,"+",VLOOKUP(AG30,OFFSET($S$2,,,COUNTIF($S$2:$S$42,"?*"),10),7,FALSE)+BB30+AK30,")"),IF(AG30&lt;&gt;"",CONCATENATE(AI30," OZ, ",AL30," (",AJ30,"+",AK30,")"),"")))</f>
        <v/>
      </c>
      <c r="AZ30" s="130"/>
      <c r="BA30" s="130"/>
      <c r="BB30" s="130"/>
      <c r="BC30" s="130"/>
      <c r="BD30" s="3" t="str">
        <f t="shared" si="0"/>
        <v/>
      </c>
      <c r="BE30" s="84" t="str">
        <f ca="1">IF(AG30&lt;&gt;"",COUNTIF(OFFSET($BD$2,,,COUNTIF($AG$2:$AG$50,"?*")),BD30),"")</f>
        <v/>
      </c>
      <c r="BF30" s="62" t="str">
        <f t="shared" si="1"/>
        <v/>
      </c>
      <c r="BG30" s="3" t="str">
        <f ca="1">IF(AND($AG30&lt;&gt;"",BE30&gt;1),CONCATENATE($BD30," ",LEFT($AG30,MIN(1,SEARCH(" ",$AG30)-1)),IF(SEARCH(" ",$AG30)-1&gt;1,".",""),""),"")</f>
        <v/>
      </c>
      <c r="BH30" s="62" t="str">
        <f ca="1">IF(BG30&lt;&gt;"",COUNTIF(OFFSET(BG$2,,,COUNTIF($AG$2:$AG$50,"?*")),BG30),IF($AG30&lt;&gt;"",0,""))</f>
        <v/>
      </c>
      <c r="BI30" s="3" t="str">
        <f ca="1">IF(AND($AG30&lt;&gt;"",BH30&gt;1),CONCATENATE($BD30," ",LEFT($AG30,MIN(2,SEARCH(" ",$AG30)-1)),IF(SEARCH(" ",$AG30)-1&gt;2,".",""),""),"")</f>
        <v/>
      </c>
      <c r="BJ30" s="62" t="str">
        <f ca="1">IF(BI30&lt;&gt;"",COUNTIF(OFFSET(BI$2,,,COUNTIF($AG$2:$AG$50,"?*")),BI30),IF($AG30&lt;&gt;"",0,""))</f>
        <v/>
      </c>
      <c r="BK30" s="3" t="str">
        <f ca="1">IF(AND($AG30&lt;&gt;"",BJ30&gt;1),CONCATENATE($BD30," ",LEFT($AG30,MIN(3,SEARCH(" ",$AG30)-1)),IF(SEARCH(" ",$AG30)-1&gt;3,".",""),""),"")</f>
        <v/>
      </c>
      <c r="BL30" s="62" t="str">
        <f ca="1">IF(BK30&lt;&gt;"",COUNTIF(OFFSET(BK$2,,,COUNTIF($AG$2:$AG$50,"?*")),BK30),IF($AG30&lt;&gt;"",0,""))</f>
        <v/>
      </c>
      <c r="BM30" s="3" t="str">
        <f ca="1">IF(AND($AG30&lt;&gt;"",BL30&gt;1),CONCATENATE($BD30," ",LEFT($AG30,MIN(4,SEARCH(" ",$AG30)-1)),IF(SEARCH(" ",$AG30)-1&gt;4,".",""),""),"")</f>
        <v/>
      </c>
      <c r="BS30" s="464"/>
      <c r="BT30" s="104" t="s">
        <v>1247</v>
      </c>
      <c r="BU30" s="103">
        <v>6</v>
      </c>
      <c r="BV30" s="104" t="str">
        <f t="shared" si="2"/>
        <v>Matěj Netrefa</v>
      </c>
      <c r="BW30" s="102">
        <f t="shared" si="3"/>
        <v>6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/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/>
      </c>
      <c r="E31" s="434"/>
      <c r="F31" s="7" t="str">
        <f ca="1">IFERROR(IF(VLOOKUP(A28,OFFSET($AG$2,,,COUNTIF($AG$2:$AG$50,"?*"),23),7,FALSE)&lt;&gt;0,VLOOKUP(A28,OFFSET($AG$2,,,COUNTIF($AG$2:$AG$50,"?*"),23),7,FALSE),"?"),"")</f>
        <v/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ca="1">IF(S31&lt;&gt;"",IFERROR(IF(VLOOKUP(S31,OFFSET($AG$2,,,COUNTIF($AG$2:$AG$50,"?*")),1,FALSE)&lt;&gt;0,"ANO","NE"),"NE"),"")</f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ca="1">IF(AG31&lt;&gt;"",IF(AH31&lt;&gt;"",INT((TODAY()-AH31)/365),"?"),"")</f>
        <v/>
      </c>
      <c r="AV31" s="127" t="str">
        <f t="shared" ref="AV31:AV50" si="6">IF(AG31&lt;&gt;"",CONCATENATE(IF(AQ31&lt;&gt;"",AQ31,"? "),"/",IF(AR31&lt;&gt;"",AR31," ?")),"")</f>
        <v/>
      </c>
      <c r="AW31" s="128" t="str">
        <f t="shared" ref="AW31:AW50" si="7">IF(AG31&lt;&gt;"",IF(BE31=1,BD31,IF(BH31=1,BG31,IF(BJ31=1,BI31,IF(BL31=1,BK31,BM31)))),"")</f>
        <v/>
      </c>
      <c r="AX31" s="129" t="str">
        <f ca="1">IFERROR(IF(MATCH(AG31,OFFSET($S$45,,,COUNTIF($S$45:$S$50,"?*")),0)&gt;0,CONCATENATE(VLOOKUP(AG31,OFFSET($S$45,,,COUNTIF($S$45:$S$50,"?*"),14),4,FALSE)," V, ",VLOOKUP(AG31,OFFSET($S$45,,,COUNTIF($S$45:$S$50,"?*"),14),9,FALSE)," P"),""),IFERROR(CONCATENATE(VLOOKUP(AG31,OFFSET($S$2,,,COUNTIF($S$2:$S$42,"?*"),10),3,FALSE)+AZ31," OZ, ",VLOOKUP(AG31,OFFSET($S$2,,,COUNTIF($S$2:$S$42,"?*"),10),8,FALSE)+BA31+BB31," (",VLOOKUP(AG31,OFFSET($S$2,,,COUNTIF($S$2:$S$42,"?*"),10),4,FALSE)+BA31,"+",VLOOKUP(AG31,OFFSET($S$2,,,COUNTIF($S$2:$S$42,"?*"),10),7,FALSE)+BB31,"), ",IF(VLOOKUP(AG31,OFFSET($S$2,,,COUNTIF($S$2:$S$42,"?*"),10),10,FALSE)+BC31&gt;0,"+",""),VLOOKUP(AG31,OFFSET($S$2,,,COUNTIF($S$2:$S$42,"?*"),10),10,FALSE)+BC31," ±"),IF(AG31&lt;&gt;"","0 OZ, 0 (0+0)","")))</f>
        <v/>
      </c>
      <c r="AY31" s="129" t="str">
        <f ca="1">IFERROR(CONCATENATE(AI31+VLOOKUP(AG31,OFFSET($S$45,,,COUNTIF($S$45:$S$50,"?*"),14),2,FALSE)," OZ, ",AK31+VLOOKUP(AG31,OFFSET($S$45,,,COUNTIF($S$45:$S$50,"?*"),14),11,FALSE)," A"),IFERROR(CONCATENATE(VLOOKUP(AG31,OFFSET($S$2,,,COUNTIF($S$2:$S$42,"?*"),10),3,FALSE)+AZ31+AI31," OZ, ",VLOOKUP(AG31,OFFSET($S$2,,,COUNTIF($S$2:$S$42,"?*"),10),8,FALSE)+BA31+BB31+AL31," (",VLOOKUP(AG31,OFFSET($S$2,,,COUNTIF($S$2:$S$42,"?*"),10),4,FALSE)+BA31+AJ31,"+",VLOOKUP(AG31,OFFSET($S$2,,,COUNTIF($S$2:$S$42,"?*"),10),7,FALSE)+BB31+AK31,")"),IF(AG31&lt;&gt;"",CONCATENATE(AI31," OZ, ",AL31," (",AJ31,"+",AK31,")"),"")))</f>
        <v/>
      </c>
      <c r="AZ31" s="130"/>
      <c r="BA31" s="130"/>
      <c r="BB31" s="130"/>
      <c r="BC31" s="130"/>
      <c r="BD31" s="89" t="str">
        <f t="shared" si="0"/>
        <v/>
      </c>
      <c r="BE31" s="91" t="str">
        <f ca="1">IF(AG31&lt;&gt;"",COUNTIF(OFFSET($BD$2,,,COUNTIF($AG$2:$AG$50,"?*")),BD31),"")</f>
        <v/>
      </c>
      <c r="BF31" s="90" t="str">
        <f t="shared" si="1"/>
        <v/>
      </c>
      <c r="BG31" s="89" t="str">
        <f ca="1">IF(AND($AG31&lt;&gt;"",BE31&gt;1),CONCATENATE($BD31," ",LEFT($AG31,MIN(1,SEARCH(" ",$AG31)-1)),IF(SEARCH(" ",$AG31)-1&gt;1,".",""),""),"")</f>
        <v/>
      </c>
      <c r="BH31" s="90" t="str">
        <f ca="1">IF(BG31&lt;&gt;"",COUNTIF(OFFSET(BG$2,,,COUNTIF($AG$2:$AG$50,"?*")),BG31),IF($AG31&lt;&gt;"",0,""))</f>
        <v/>
      </c>
      <c r="BI31" s="89" t="str">
        <f ca="1">IF(AND($AG31&lt;&gt;"",BH31&gt;1),CONCATENATE($BD31," ",LEFT($AG31,MIN(2,SEARCH(" ",$AG31)-1)),IF(SEARCH(" ",$AG31)-1&gt;2,".",""),""),"")</f>
        <v/>
      </c>
      <c r="BJ31" s="90" t="str">
        <f ca="1">IF(BI31&lt;&gt;"",COUNTIF(OFFSET(BI$2,,,COUNTIF($AG$2:$AG$50,"?*")),BI31),IF($AG31&lt;&gt;"",0,""))</f>
        <v/>
      </c>
      <c r="BK31" s="89" t="str">
        <f ca="1">IF(AND($AG31&lt;&gt;"",BJ31&gt;1),CONCATENATE($BD31," ",LEFT($AG31,MIN(3,SEARCH(" ",$AG31)-1)),IF(SEARCH(" ",$AG31)-1&gt;3,".",""),""),"")</f>
        <v/>
      </c>
      <c r="BL31" s="90" t="str">
        <f ca="1">IF(BK31&lt;&gt;"",COUNTIF(OFFSET(BK$2,,,COUNTIF($AG$2:$AG$50,"?*")),BK31),IF($AG31&lt;&gt;"",0,""))</f>
        <v/>
      </c>
      <c r="BM31" s="89" t="str">
        <f ca="1">IF(AND($AG31&lt;&gt;"",BL31&gt;1),CONCATENATE($BD31," ",LEFT($AG31,MIN(4,SEARCH(" ",$AG31)-1)),IF(SEARCH(" ",$AG31)-1&gt;4,".",""),""),"")</f>
        <v/>
      </c>
      <c r="BS31" s="464"/>
      <c r="BT31" s="104" t="s">
        <v>1248</v>
      </c>
      <c r="BU31" s="103">
        <v>6</v>
      </c>
      <c r="BV31" s="104" t="str">
        <f t="shared" si="2"/>
        <v>Michal Podhráský</v>
      </c>
      <c r="BW31" s="102">
        <f t="shared" si="3"/>
        <v>6</v>
      </c>
    </row>
    <row r="32" spans="1:75" ht="15" customHeight="1" thickTop="1" thickBot="1" x14ac:dyDescent="0.25">
      <c r="S32" s="111"/>
      <c r="AC32" s="102" t="str">
        <f ca="1">IF(S32&lt;&gt;"",IFERROR(IF(VLOOKUP(S32,OFFSET($AG$2,,,COUNTIF($AG$2:$AG$50,"?*")),1,FALSE)&lt;&gt;0,"ANO","NE"),"NE"),"")</f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/>
      </c>
      <c r="AV32" s="127" t="str">
        <f t="shared" si="6"/>
        <v/>
      </c>
      <c r="AW32" s="128" t="str">
        <f t="shared" si="7"/>
        <v/>
      </c>
      <c r="AX32" s="129" t="str">
        <f ca="1">IFERROR(IF(MATCH(AG32,OFFSET($S$45,,,COUNTIF($S$45:$S$50,"?*")),0)&gt;0,CONCATENATE(VLOOKUP(AG32,OFFSET($S$45,,,COUNTIF($S$45:$S$50,"?*"),14),4,FALSE)," V, ",VLOOKUP(AG32,OFFSET($S$45,,,COUNTIF($S$45:$S$50,"?*"),14),9,FALSE)," P"),""),IFERROR(CONCATENATE(VLOOKUP(AG32,OFFSET($S$2,,,COUNTIF($S$2:$S$42,"?*"),10),3,FALSE)+AZ32," OZ, ",VLOOKUP(AG32,OFFSET($S$2,,,COUNTIF($S$2:$S$42,"?*"),10),8,FALSE)+BA32+BB32," (",VLOOKUP(AG32,OFFSET($S$2,,,COUNTIF($S$2:$S$42,"?*"),10),4,FALSE)+BA32,"+",VLOOKUP(AG32,OFFSET($S$2,,,COUNTIF($S$2:$S$42,"?*"),10),7,FALSE)+BB32,"), ",IF(VLOOKUP(AG32,OFFSET($S$2,,,COUNTIF($S$2:$S$42,"?*"),10),10,FALSE)+BC32&gt;0,"+",""),VLOOKUP(AG32,OFFSET($S$2,,,COUNTIF($S$2:$S$42,"?*"),10),10,FALSE)+BC32," ±"),IF(AG32&lt;&gt;"","0 OZ, 0 (0+0)","")))</f>
        <v/>
      </c>
      <c r="AY32" s="129" t="str">
        <f ca="1">IFERROR(CONCATENATE(AI32+VLOOKUP(AG32,OFFSET($S$45,,,COUNTIF($S$45:$S$50,"?*"),14),2,FALSE)," OZ, ",AK32+VLOOKUP(AG32,OFFSET($S$45,,,COUNTIF($S$45:$S$50,"?*"),14),11,FALSE)," A"),IFERROR(CONCATENATE(VLOOKUP(AG32,OFFSET($S$2,,,COUNTIF($S$2:$S$42,"?*"),10),3,FALSE)+AZ32+AI32," OZ, ",VLOOKUP(AG32,OFFSET($S$2,,,COUNTIF($S$2:$S$42,"?*"),10),8,FALSE)+BA32+BB32+AL32," (",VLOOKUP(AG32,OFFSET($S$2,,,COUNTIF($S$2:$S$42,"?*"),10),4,FALSE)+BA32+AJ32,"+",VLOOKUP(AG32,OFFSET($S$2,,,COUNTIF($S$2:$S$42,"?*"),10),7,FALSE)+BB32+AK32,")"),IF(AG32&lt;&gt;"",CONCATENATE(AI32," OZ, ",AL32," (",AJ32,"+",AK32,")"),"")))</f>
        <v/>
      </c>
      <c r="AZ32" s="130"/>
      <c r="BA32" s="130"/>
      <c r="BB32" s="130"/>
      <c r="BC32" s="130"/>
      <c r="BD32" s="3" t="str">
        <f t="shared" si="0"/>
        <v/>
      </c>
      <c r="BE32" s="84" t="str">
        <f ca="1">IF(AG32&lt;&gt;"",COUNTIF(OFFSET($BD$2,,,COUNTIF($AG$2:$AG$50,"?*")),BD32),"")</f>
        <v/>
      </c>
      <c r="BF32" s="62" t="str">
        <f t="shared" si="1"/>
        <v/>
      </c>
      <c r="BG32" s="3" t="str">
        <f ca="1">IF(AND($AG32&lt;&gt;"",BE32&gt;1),CONCATENATE($BD32," ",LEFT($AG32,MIN(1,SEARCH(" ",$AG32)-1)),IF(SEARCH(" ",$AG32)-1&gt;1,".",""),""),"")</f>
        <v/>
      </c>
      <c r="BH32" s="62" t="str">
        <f ca="1">IF(BG32&lt;&gt;"",COUNTIF(OFFSET(BG$2,,,COUNTIF($AG$2:$AG$50,"?*")),BG32),IF($AG32&lt;&gt;"",0,""))</f>
        <v/>
      </c>
      <c r="BI32" s="3" t="str">
        <f ca="1">IF(AND($AG32&lt;&gt;"",BH32&gt;1),CONCATENATE($BD32," ",LEFT($AG32,MIN(2,SEARCH(" ",$AG32)-1)),IF(SEARCH(" ",$AG32)-1&gt;2,".",""),""),"")</f>
        <v/>
      </c>
      <c r="BJ32" s="62" t="str">
        <f ca="1">IF(BI32&lt;&gt;"",COUNTIF(OFFSET(BI$2,,,COUNTIF($AG$2:$AG$50,"?*")),BI32),IF($AG32&lt;&gt;"",0,""))</f>
        <v/>
      </c>
      <c r="BK32" s="3" t="str">
        <f ca="1">IF(AND($AG32&lt;&gt;"",BJ32&gt;1),CONCATENATE($BD32," ",LEFT($AG32,MIN(3,SEARCH(" ",$AG32)-1)),IF(SEARCH(" ",$AG32)-1&gt;3,".",""),""),"")</f>
        <v/>
      </c>
      <c r="BL32" s="62" t="str">
        <f ca="1">IF(BK32&lt;&gt;"",COUNTIF(OFFSET(BK$2,,,COUNTIF($AG$2:$AG$50,"?*")),BK32),IF($AG32&lt;&gt;"",0,""))</f>
        <v/>
      </c>
      <c r="BM32" s="3" t="str">
        <f ca="1">IF(AND($AG32&lt;&gt;"",BL32&gt;1),CONCATENATE($BD32," ",LEFT($AG32,MIN(4,SEARCH(" ",$AG32)-1)),IF(SEARCH(" ",$AG32)-1&gt;4,".",""),""),"")</f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ca="1">IF(S33&lt;&gt;"",IFERROR(IF(VLOOKUP(S33,OFFSET($AG$2,,,COUNTIF($AG$2:$AG$50,"?*")),1,FALSE)&lt;&gt;0,"ANO","NE"),"NE"),"")</f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/>
      </c>
      <c r="AV33" s="127" t="str">
        <f t="shared" si="6"/>
        <v/>
      </c>
      <c r="AW33" s="128" t="str">
        <f t="shared" si="7"/>
        <v/>
      </c>
      <c r="AX33" s="129" t="str">
        <f ca="1">IFERROR(IF(MATCH(AG33,OFFSET($S$45,,,COUNTIF($S$45:$S$50,"?*")),0)&gt;0,CONCATENATE(VLOOKUP(AG33,OFFSET($S$45,,,COUNTIF($S$45:$S$50,"?*"),14),4,FALSE)," V, ",VLOOKUP(AG33,OFFSET($S$45,,,COUNTIF($S$45:$S$50,"?*"),14),9,FALSE)," P"),""),IFERROR(CONCATENATE(VLOOKUP(AG33,OFFSET($S$2,,,COUNTIF($S$2:$S$42,"?*"),10),3,FALSE)+AZ33," OZ, ",VLOOKUP(AG33,OFFSET($S$2,,,COUNTIF($S$2:$S$42,"?*"),10),8,FALSE)+BA33+BB33," (",VLOOKUP(AG33,OFFSET($S$2,,,COUNTIF($S$2:$S$42,"?*"),10),4,FALSE)+BA33,"+",VLOOKUP(AG33,OFFSET($S$2,,,COUNTIF($S$2:$S$42,"?*"),10),7,FALSE)+BB33,"), ",IF(VLOOKUP(AG33,OFFSET($S$2,,,COUNTIF($S$2:$S$42,"?*"),10),10,FALSE)+BC33&gt;0,"+",""),VLOOKUP(AG33,OFFSET($S$2,,,COUNTIF($S$2:$S$42,"?*"),10),10,FALSE)+BC33," ±"),IF(AG33&lt;&gt;"","0 OZ, 0 (0+0)","")))</f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0"/>
        <v/>
      </c>
      <c r="BE33" s="91" t="str">
        <f ca="1">IF(AG33&lt;&gt;"",COUNTIF(OFFSET($BD$2,,,COUNTIF($AG$2:$AG$50,"?*")),BD33),"")</f>
        <v/>
      </c>
      <c r="BF33" s="90" t="str">
        <f t="shared" si="1"/>
        <v/>
      </c>
      <c r="BG33" s="89" t="str">
        <f ca="1">IF(AND($AG33&lt;&gt;"",BE33&gt;1),CONCATENATE($BD33," ",LEFT($AG33,MIN(1,SEARCH(" ",$AG33)-1)),IF(SEARCH(" ",$AG33)-1&gt;1,".",""),""),"")</f>
        <v/>
      </c>
      <c r="BH33" s="90" t="str">
        <f ca="1">IF(BG33&lt;&gt;"",COUNTIF(OFFSET(BG$2,,,COUNTIF($AG$2:$AG$50,"?*")),BG33),IF($AG33&lt;&gt;"",0,""))</f>
        <v/>
      </c>
      <c r="BI33" s="89" t="str">
        <f ca="1">IF(AND($AG33&lt;&gt;"",BH33&gt;1),CONCATENATE($BD33," ",LEFT($AG33,MIN(2,SEARCH(" ",$AG33)-1)),IF(SEARCH(" ",$AG33)-1&gt;2,".",""),""),"")</f>
        <v/>
      </c>
      <c r="BJ33" s="90" t="str">
        <f ca="1">IF(BI33&lt;&gt;"",COUNTIF(OFFSET(BI$2,,,COUNTIF($AG$2:$AG$50,"?*")),BI33),IF($AG33&lt;&gt;"",0,""))</f>
        <v/>
      </c>
      <c r="BK33" s="89" t="str">
        <f ca="1">IF(AND($AG33&lt;&gt;"",BJ33&gt;1),CONCATENATE($BD33," ",LEFT($AG33,MIN(3,SEARCH(" ",$AG33)-1)),IF(SEARCH(" ",$AG33)-1&gt;3,".",""),""),"")</f>
        <v/>
      </c>
      <c r="BL33" s="90" t="str">
        <f ca="1">IF(BK33&lt;&gt;"",COUNTIF(OFFSET(BK$2,,,COUNTIF($AG$2:$AG$50,"?*")),BK33),IF($AG33&lt;&gt;"",0,""))</f>
        <v/>
      </c>
      <c r="BM33" s="89" t="str">
        <f ca="1">IF(AND($AG33&lt;&gt;"",BL33&gt;1),CONCATENATE($BD33," ",LEFT($AG33,MIN(4,SEARCH(" ",$AG33)-1)),IF(SEARCH(" ",$AG33)-1&gt;4,".",""),""),"")</f>
        <v/>
      </c>
    </row>
    <row r="34" spans="1:65" ht="15" customHeight="1" thickTop="1" thickBot="1" x14ac:dyDescent="0.25">
      <c r="A34" s="425" t="s">
        <v>270</v>
      </c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30</v>
      </c>
      <c r="H34" s="436" t="s">
        <v>15</v>
      </c>
      <c r="J34" s="425" t="s">
        <v>273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99</v>
      </c>
      <c r="S34" s="111"/>
      <c r="AC34" s="102" t="str">
        <f ca="1">IF(S34&lt;&gt;"",IFERROR(IF(VLOOKUP(S34,OFFSET($AG$2,,,COUNTIF($AG$2:$AG$50,"?*")),1,FALSE)&lt;&gt;0,"ANO","NE"),"NE"),"")</f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ca="1">IF(AG34&lt;&gt;"",IF(AH34&lt;&gt;"",INT((TODAY()-AH34)/365),"?"),"")</f>
        <v/>
      </c>
      <c r="AV34" s="127" t="str">
        <f t="shared" si="6"/>
        <v/>
      </c>
      <c r="AW34" s="128" t="str">
        <f t="shared" si="7"/>
        <v/>
      </c>
      <c r="AX34" s="129" t="str">
        <f ca="1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ca="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0"/>
        <v/>
      </c>
      <c r="BE34" s="84" t="str">
        <f ca="1">IF(AG34&lt;&gt;"",COUNTIF(OFFSET($BD$2,,,COUNTIF($AG$2:$AG$50,"?*")),BD34),"")</f>
        <v/>
      </c>
      <c r="BF34" s="62" t="str">
        <f t="shared" si="1"/>
        <v/>
      </c>
      <c r="BG34" s="3" t="str">
        <f ca="1">IF(AND($AG34&lt;&gt;"",BE34&gt;1),CONCATENATE($BD34," ",LEFT($AG34,MIN(1,SEARCH(" ",$AG34)-1)),IF(SEARCH(" ",$AG34)-1&gt;1,".",""),""),"")</f>
        <v/>
      </c>
      <c r="BH34" s="62" t="str">
        <f ca="1">IF(BG34&lt;&gt;"",COUNTIF(OFFSET(BG$2,,,COUNTIF($AG$2:$AG$50,"?*")),BG34),IF($AG34&lt;&gt;"",0,""))</f>
        <v/>
      </c>
      <c r="BI34" s="3" t="str">
        <f ca="1">IF(AND($AG34&lt;&gt;"",BH34&gt;1),CONCATENATE($BD34," ",LEFT($AG34,MIN(2,SEARCH(" ",$AG34)-1)),IF(SEARCH(" ",$AG34)-1&gt;2,".",""),""),"")</f>
        <v/>
      </c>
      <c r="BJ34" s="62" t="str">
        <f ca="1">IF(BI34&lt;&gt;"",COUNTIF(OFFSET(BI$2,,,COUNTIF($AG$2:$AG$50,"?*")),BI34),IF($AG34&lt;&gt;"",0,""))</f>
        <v/>
      </c>
      <c r="BK34" s="3" t="str">
        <f ca="1">IF(AND($AG34&lt;&gt;"",BJ34&gt;1),CONCATENATE($BD34," ",LEFT($AG34,MIN(3,SEARCH(" ",$AG34)-1)),IF(SEARCH(" ",$AG34)-1&gt;3,".",""),""),"")</f>
        <v/>
      </c>
      <c r="BL34" s="62" t="str">
        <f ca="1">IF(BK34&lt;&gt;"",COUNTIF(OFFSET(BK$2,,,COUNTIF($AG$2:$AG$50,"?*")),BK34),IF($AG34&lt;&gt;"",0,""))</f>
        <v/>
      </c>
      <c r="BM34" s="3" t="str">
        <f ca="1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</v>
      </c>
      <c r="B35" s="428">
        <f ca="1">IFERROR(IF(VLOOKUP(A34,OFFSET($AG$2,,,COUNTIF($AG$2:$AG$50,"?*"),23),2,FALSE)&lt;&gt;0,YEAR(VLOOKUP(A34,OFFSET($AG$2,,,COUNTIF($AG$2:$AG$50,"?*"),23),2,FALSE)),""),"")</f>
        <v>2003</v>
      </c>
      <c r="C35" s="429"/>
      <c r="D35" s="117">
        <f ca="1">IFERROR(VLOOKUP(A34,OFFSET($AG$2,,,COUNTIF($AG$2:$AG$50,"?*"),23),15,FALSE),"")</f>
        <v>18</v>
      </c>
      <c r="E35" s="419" t="str">
        <f ca="1">IFERROR(VLOOKUP(A34,OFFSET($AG$2,,,COUNTIF($AG$2:$AG$50,"?*"),23),16,FALSE),"")</f>
        <v>198/98</v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>L</v>
      </c>
      <c r="K35" s="429">
        <f ca="1">IFERROR(IF(VLOOKUP(J34,OFFSET($AG$2,,,COUNTIF($AG$2:$AG$50,"?*"),23),2,FALSE)&lt;&gt;0,YEAR(VLOOKUP(J34,OFFSET($AG$2,,,COUNTIF($AG$2:$AG$50,"?*"),23),2,FALSE)),""),"")</f>
        <v>2000</v>
      </c>
      <c r="L35" s="437"/>
      <c r="M35" s="118">
        <f ca="1">IFERROR(VLOOKUP(J34,OFFSET($AG$2,,,COUNTIF($AG$2:$AG$50,"?*"),23),15,FALSE),"")</f>
        <v>21</v>
      </c>
      <c r="N35" s="437" t="str">
        <f ca="1">IFERROR(VLOOKUP(J34,OFFSET($AG$2,,,COUNTIF($AG$2:$AG$50,"?*"),23),16,FALSE),"")</f>
        <v>182/75</v>
      </c>
      <c r="O35" s="437"/>
      <c r="P35" s="437" t="str">
        <f ca="1">IFERROR(VLOOKUP(J34,OFFSET($AG$2,,,COUNTIF($AG$2:$AG$50,"?*"),23),18,FALSE),"")</f>
        <v>13 OZ, 2 (2+0), -6 ±</v>
      </c>
      <c r="Q35" s="437"/>
      <c r="R35" s="444"/>
      <c r="S35" s="111"/>
      <c r="AC35" s="102" t="str">
        <f ca="1">IF(S35&lt;&gt;"",IFERROR(IF(VLOOKUP(S35,OFFSET($AG$2,,,COUNTIF($AG$2:$AG$50,"?*")),1,FALSE)&lt;&gt;0,"ANO","NE"),"NE"),"")</f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ca="1">IF(AG35&lt;&gt;"",IF(AH35&lt;&gt;"",INT((TODAY()-AH35)/365),"?"),"")</f>
        <v/>
      </c>
      <c r="AV35" s="127" t="str">
        <f t="shared" si="6"/>
        <v/>
      </c>
      <c r="AW35" s="128" t="str">
        <f t="shared" si="7"/>
        <v/>
      </c>
      <c r="AX35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P"),""),IFERROR(CONCATENATE(VLOOKUP(AG35,OFFSET($S$2,,,COUNTIF($S$2:$S$42,"?*"),10),3,FALSE)+AZ35," OZ, ",VLOOKUP(AG35,OFFSET($S$2,,,COUNTIF($S$2:$S$42,"?*"),10),8,FALSE)+BA35+BB35," (",VLOOKUP(AG35,OFFSET($S$2,,,COUNTIF($S$2:$S$42,"?*"),10),4,FALSE)+BA35,"+",VLOOKUP(AG35,OFFSET($S$2,,,COUNTIF($S$2:$S$42,"?*"),10),7,FALSE)+BB35,"), ",IF(VLOOKUP(AG35,OFFSET($S$2,,,COUNTIF($S$2:$S$42,"?*"),10),10,FALSE)+BC35&gt;0,"+",""),VLOOKUP(AG35,OFFSET($S$2,,,COUNTIF($S$2:$S$42,"?*"),10),10,FALSE)+BC35," ±"),IF(AG35&lt;&gt;"","0 OZ, 0 (0+0)","")))</f>
        <v/>
      </c>
      <c r="AY35" s="129" t="str">
        <f ca="1">IFERROR(CONCATENATE(AI35+VLOOKUP(AG35,OFFSET($S$45,,,COUNTIF($S$45:$S$50,"?*"),14),2,FALSE)," OZ, ",AK35+VLOOKUP(AG35,OFFSET($S$45,,,COUNTIF($S$45:$S$50,"?*"),14),11,FALSE)," A"),IFERROR(CONCATENATE(VLOOKUP(AG35,OFFSET($S$2,,,COUNTIF($S$2:$S$42,"?*"),10),3,FALSE)+AZ35+AI35," OZ, ",VLOOKUP(AG35,OFFSET($S$2,,,COUNTIF($S$2:$S$42,"?*"),10),8,FALSE)+BA35+BB35+AL35," (",VLOOKUP(AG35,OFFSET($S$2,,,COUNTIF($S$2:$S$42,"?*"),10),4,FALSE)+BA35+AJ35,"+",VLOOKUP(AG35,OFFSET($S$2,,,COUNTIF($S$2:$S$42,"?*"),10),7,FALSE)+BB35+AK35,")"),IF(AG35&lt;&gt;"",CONCATENATE(AI35," OZ, ",AL35," (",AJ35,"+",AK35,")"),"")))</f>
        <v/>
      </c>
      <c r="AZ35" s="130"/>
      <c r="BA35" s="130"/>
      <c r="BB35" s="130"/>
      <c r="BC35" s="130"/>
      <c r="BD35" s="89" t="str">
        <f t="shared" si="0"/>
        <v/>
      </c>
      <c r="BE35" s="91" t="str">
        <f ca="1">IF(AG35&lt;&gt;"",COUNTIF(OFFSET($BD$2,,,COUNTIF($AG$2:$AG$50,"?*")),BD35),"")</f>
        <v/>
      </c>
      <c r="BF35" s="90" t="str">
        <f t="shared" si="1"/>
        <v/>
      </c>
      <c r="BG35" s="89" t="str">
        <f ca="1">IF(AND($AG35&lt;&gt;"",BE35&gt;1),CONCATENATE($BD35," ",LEFT($AG35,MIN(1,SEARCH(" ",$AG35)-1)),IF(SEARCH(" ",$AG35)-1&gt;1,".",""),""),"")</f>
        <v/>
      </c>
      <c r="BH35" s="90" t="str">
        <f ca="1">IF(BG35&lt;&gt;"",COUNTIF(OFFSET(BG$2,,,COUNTIF($AG$2:$AG$50,"?*")),BG35),IF($AG35&lt;&gt;"",0,""))</f>
        <v/>
      </c>
      <c r="BI35" s="89" t="str">
        <f ca="1">IF(AND($AG35&lt;&gt;"",BH35&gt;1),CONCATENATE($BD35," ",LEFT($AG35,MIN(2,SEARCH(" ",$AG35)-1)),IF(SEARCH(" ",$AG35)-1&gt;2,".",""),""),"")</f>
        <v/>
      </c>
      <c r="BJ35" s="90" t="str">
        <f ca="1">IF(BI35&lt;&gt;"",COUNTIF(OFFSET(BI$2,,,COUNTIF($AG$2:$AG$50,"?*")),BI35),IF($AG35&lt;&gt;"",0,""))</f>
        <v/>
      </c>
      <c r="BK35" s="89" t="str">
        <f ca="1">IF(AND($AG35&lt;&gt;"",BJ35&gt;1),CONCATENATE($BD35," ",LEFT($AG35,MIN(3,SEARCH(" ",$AG35)-1)),IF(SEARCH(" ",$AG35)-1&gt;3,".",""),""),"")</f>
        <v/>
      </c>
      <c r="BL35" s="90" t="str">
        <f ca="1">IF(BK35&lt;&gt;"",COUNTIF(OFFSET(BK$2,,,COUNTIF($AG$2:$AG$50,"?*")),BK35),IF($AG35&lt;&gt;"",0,""))</f>
        <v/>
      </c>
      <c r="BM35" s="89" t="str">
        <f ca="1">IF(AND($AG35&lt;&gt;"",BL35&gt;1),CONCATENATE($BD35," ",LEFT($AG35,MIN(4,SEARCH(" ",$AG35)-1)),IF(SEARCH(" ",$AG35)-1&gt;4,".",""),""),"")</f>
        <v/>
      </c>
    </row>
    <row r="36" spans="1:65" ht="15" customHeight="1" thickBot="1" x14ac:dyDescent="0.25">
      <c r="A36" s="16">
        <f ca="1">IFERROR(VLOOKUP(A34,OFFSET($S$45,,,COUNTIF($S$45:$S$50,"?*"),14),2,FALSE),"")</f>
        <v>12</v>
      </c>
      <c r="B36" s="445" t="str">
        <f ca="1">IFERROR(VLOOKUP(A34,OFFSET($AG$2,,,COUNTIF($AG$2:$AG$50,"?*"),23),18,FALSE),"")</f>
        <v>9 V, 3 P</v>
      </c>
      <c r="C36" s="445"/>
      <c r="D36" s="446">
        <f ca="1">IFERROR(VLOOKUP(A34,OFFSET($S$45,,,COUNTIF($S$45:$S$50,"?*"),14),5,FALSE),"")</f>
        <v>59</v>
      </c>
      <c r="E36" s="447"/>
      <c r="F36" s="17">
        <f ca="1">IFERROR(VLOOKUP(A34,OFFSET($S$45,,,COUNTIF($S$45:$S$50,"?*"),14),14,FALSE),"")</f>
        <v>74.893617021276597</v>
      </c>
      <c r="H36" s="436"/>
      <c r="J36" s="18">
        <f ca="1">IFERROR(IF(VLOOKUP(J34,OFFSET($AG$2,,,COUNTIF($AG$2:$AG$50,"?*"),23),7,FALSE)&lt;&gt;0,VLOOKUP(J34,OFFSET($AG$2,,,COUNTIF($AG$2:$AG$50,"?*"),23),7,FALSE),"?"),"")</f>
        <v>5</v>
      </c>
      <c r="K36" s="448" t="str">
        <f ca="1">IFERROR(VLOOKUP(J34,OFFSET($AG$2,,,COUNTIF($AG$2:$AG$50,"?*"),23),19,FALSE),"")</f>
        <v>105 OZ, 9 (7+2)</v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>FBK Vosy Praha</v>
      </c>
      <c r="O36" s="449"/>
      <c r="P36" s="449"/>
      <c r="Q36" s="448">
        <f ca="1">IFERROR(IF(VLOOKUP(J34,OFFSET($AG$2,,,COUNTIF($AG$2:$AG$50,"?*"),23),14,FALSE)&lt;&gt;0,VLOOKUP(J34,OFFSET($AG$2,,,COUNTIF($AG$2:$AG$50,"?*"),23),14,FALSE),"?"),"")</f>
        <v>2007</v>
      </c>
      <c r="R36" s="450"/>
      <c r="S36" s="111"/>
      <c r="AC36" s="102" t="str">
        <f ca="1">IF(S36&lt;&gt;"",IFERROR(IF(VLOOKUP(S36,OFFSET($AG$2,,,COUNTIF($AG$2:$AG$50,"?*")),1,FALSE)&lt;&gt;0,"ANO","NE"),"NE"),"")</f>
        <v/>
      </c>
      <c r="AG36" s="121"/>
      <c r="AH36" s="122"/>
      <c r="AI36" s="123"/>
      <c r="AJ36" s="123"/>
      <c r="AK36" s="123"/>
      <c r="AL36" s="124" t="str">
        <f t="shared" ref="AL36:AL50" si="8">IF(AG36&lt;&gt;"",AJ36+AK36,"")</f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ca="1">IF(AG36&lt;&gt;"",IF(AH36&lt;&gt;"",INT((TODAY()-AH36)/365),"?"),"")</f>
        <v/>
      </c>
      <c r="AV36" s="127" t="str">
        <f t="shared" si="6"/>
        <v/>
      </c>
      <c r="AW36" s="128" t="str">
        <f t="shared" si="7"/>
        <v/>
      </c>
      <c r="AX36" s="129" t="str">
        <f ca="1">IFERROR(IF(MATCH(AG36,OFFSET($S$45,,,COUNTIF($S$45:$S$50,"?*")),0)&gt;0,CONCATENATE(VLOOKUP(AG36,OFFSET($S$45,,,COUNTIF($S$45:$S$50,"?*"),14),4,FALSE)," V, ",VLOOKUP(AG36,OFFSET($S$45,,,COUNTIF($S$45:$S$50,"?*"),14),9,FALSE)," P"),""),IFERROR(CONCATENATE(VLOOKUP(AG36,OFFSET($S$2,,,COUNTIF($S$2:$S$42,"?*"),10),3,FALSE)+AZ36," OZ, ",VLOOKUP(AG36,OFFSET($S$2,,,COUNTIF($S$2:$S$42,"?*"),10),8,FALSE)+BA36+BB36," (",VLOOKUP(AG36,OFFSET($S$2,,,COUNTIF($S$2:$S$42,"?*"),10),4,FALSE)+BA36,"+",VLOOKUP(AG36,OFFSET($S$2,,,COUNTIF($S$2:$S$42,"?*"),10),7,FALSE)+BB36,"), ",IF(VLOOKUP(AG36,OFFSET($S$2,,,COUNTIF($S$2:$S$42,"?*"),10),10,FALSE)+BC36&gt;0,"+",""),VLOOKUP(AG36,OFFSET($S$2,,,COUNTIF($S$2:$S$42,"?*"),10),10,FALSE)+BC36," ±"),IF(AG36&lt;&gt;"","0 OZ, 0 (0+0)","")))</f>
        <v/>
      </c>
      <c r="AY36" s="129" t="str">
        <f ca="1">IFERROR(CONCATENATE(AI36+VLOOKUP(AG36,OFFSET($S$45,,,COUNTIF($S$45:$S$50,"?*"),14),2,FALSE)," OZ, ",AK36+VLOOKUP(AG36,OFFSET($S$45,,,COUNTIF($S$45:$S$50,"?*"),14),11,FALSE)," A"),IFERROR(CONCATENATE(VLOOKUP(AG36,OFFSET($S$2,,,COUNTIF($S$2:$S$42,"?*"),10),3,FALSE)+AZ36+AI36," OZ, ",VLOOKUP(AG36,OFFSET($S$2,,,COUNTIF($S$2:$S$42,"?*"),10),8,FALSE)+BA36+BB36+AL36," (",VLOOKUP(AG36,OFFSET($S$2,,,COUNTIF($S$2:$S$42,"?*"),10),4,FALSE)+BA36+AJ36,"+",VLOOKUP(AG36,OFFSET($S$2,,,COUNTIF($S$2:$S$42,"?*"),10),7,FALSE)+BB36+AK36,")"),IF(AG36&lt;&gt;"",CONCATENATE(AI36," OZ, ",AL36," (",AJ36,"+",AK36,")"),"")))</f>
        <v/>
      </c>
      <c r="AZ36" s="130"/>
      <c r="BA36" s="130"/>
      <c r="BB36" s="130"/>
      <c r="BC36" s="130"/>
      <c r="BD36" s="3" t="str">
        <f t="shared" si="0"/>
        <v/>
      </c>
      <c r="BE36" s="84" t="str">
        <f ca="1">IF(AG36&lt;&gt;"",COUNTIF(OFFSET($BD$2,,,COUNTIF($AG$2:$AG$50,"?*")),BD36),"")</f>
        <v/>
      </c>
      <c r="BF36" s="62" t="str">
        <f t="shared" si="1"/>
        <v/>
      </c>
      <c r="BG36" s="3" t="str">
        <f ca="1">IF(AND($AG36&lt;&gt;"",BE36&gt;1),CONCATENATE($BD36," ",LEFT($AG36,MIN(1,SEARCH(" ",$AG36)-1)),IF(SEARCH(" ",$AG36)-1&gt;1,".",""),""),"")</f>
        <v/>
      </c>
      <c r="BH36" s="62" t="str">
        <f ca="1">IF(BG36&lt;&gt;"",COUNTIF(OFFSET(BG$2,,,COUNTIF($AG$2:$AG$50,"?*")),BG36),IF($AG36&lt;&gt;"",0,""))</f>
        <v/>
      </c>
      <c r="BI36" s="3" t="str">
        <f ca="1">IF(AND($AG36&lt;&gt;"",BH36&gt;1),CONCATENATE($BD36," ",LEFT($AG36,MIN(2,SEARCH(" ",$AG36)-1)),IF(SEARCH(" ",$AG36)-1&gt;2,".",""),""),"")</f>
        <v/>
      </c>
      <c r="BJ36" s="62" t="str">
        <f ca="1">IF(BI36&lt;&gt;"",COUNTIF(OFFSET(BI$2,,,COUNTIF($AG$2:$AG$50,"?*")),BI36),IF($AG36&lt;&gt;"",0,""))</f>
        <v/>
      </c>
      <c r="BK36" s="3" t="str">
        <f ca="1">IF(AND($AG36&lt;&gt;"",BJ36&gt;1),CONCATENATE($BD36," ",LEFT($AG36,MIN(3,SEARCH(" ",$AG36)-1)),IF(SEARCH(" ",$AG36)-1&gt;3,".",""),""),"")</f>
        <v/>
      </c>
      <c r="BL36" s="62" t="str">
        <f ca="1">IF(BK36&lt;&gt;"",COUNTIF(OFFSET(BK$2,,,COUNTIF($AG$2:$AG$50,"?*")),BK36),IF($AG36&lt;&gt;"",0,""))</f>
        <v/>
      </c>
      <c r="BM36" s="3" t="str">
        <f ca="1">IF(AND($AG36&lt;&gt;"",BL36&gt;1),CONCATENATE($BD36," ",LEFT($AG36,MIN(4,SEARCH(" ",$AG36)-1)),IF(SEARCH(" ",$AG36)-1&gt;4,".",""),""),"")</f>
        <v/>
      </c>
    </row>
    <row r="37" spans="1:65" ht="15" customHeight="1" thickTop="1" thickBot="1" x14ac:dyDescent="0.25">
      <c r="A37" s="438">
        <f ca="1">IFERROR(VLOOKUP(A34,OFFSET($S$45,,,COUNTIF($S$45:$S$50,"?*"),14),3,FALSE),"")</f>
        <v>672.18</v>
      </c>
      <c r="B37" s="439"/>
      <c r="C37" s="440">
        <f ca="1">IFERROR(VLOOKUP(A34,OFFSET($S$45,,,COUNTIF($S$45:$S$50,"?*"),14),13,FALSE),"")</f>
        <v>5.2664464875479782</v>
      </c>
      <c r="D37" s="441"/>
      <c r="E37" s="442" t="str">
        <f ca="1">IFERROR(VLOOKUP(A34,OFFSET($AG$2,,,COUNTIF($AG$2:$AG$50,"?*"),23),19,FALSE),"")</f>
        <v>30 OZ, 0 A</v>
      </c>
      <c r="F37" s="443"/>
      <c r="H37" s="436"/>
      <c r="S37" s="111"/>
      <c r="AC37" s="102" t="str">
        <f ca="1">IF(S37&lt;&gt;"",IFERROR(IF(VLOOKUP(S37,OFFSET($AG$2,,,COUNTIF($AG$2:$AG$50,"?*")),1,FALSE)&lt;&gt;0,"ANO","NE"),"NE"),"")</f>
        <v/>
      </c>
      <c r="AG37" s="121"/>
      <c r="AH37" s="122"/>
      <c r="AI37" s="123"/>
      <c r="AJ37" s="123"/>
      <c r="AK37" s="123"/>
      <c r="AL37" s="124" t="str">
        <f t="shared" si="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ca="1">IF(AG37&lt;&gt;"",IF(AH37&lt;&gt;"",INT((TODAY()-AH37)/365),"?"),"")</f>
        <v/>
      </c>
      <c r="AV37" s="127" t="str">
        <f t="shared" si="6"/>
        <v/>
      </c>
      <c r="AW37" s="128" t="str">
        <f t="shared" si="7"/>
        <v/>
      </c>
      <c r="AX37" s="129" t="str">
        <f ca="1">IFERROR(IF(MATCH(AG37,OFFSET($S$45,,,COUNTIF($S$45:$S$50,"?*")),0)&gt;0,CONCATENATE(VLOOKUP(AG37,OFFSET($S$45,,,COUNTIF($S$45:$S$50,"?*"),14),4,FALSE)," V, ",VLOOKUP(AG37,OFFSET($S$45,,,COUNTIF($S$45:$S$50,"?*"),14),9,FALSE)," P"),""),IFERROR(CONCATENATE(VLOOKUP(AG37,OFFSET($S$2,,,COUNTIF($S$2:$S$42,"?*"),10),3,FALSE)+AZ37," OZ, ",VLOOKUP(AG37,OFFSET($S$2,,,COUNTIF($S$2:$S$42,"?*"),10),8,FALSE)+BA37+BB37," (",VLOOKUP(AG37,OFFSET($S$2,,,COUNTIF($S$2:$S$42,"?*"),10),4,FALSE)+BA37,"+",VLOOKUP(AG37,OFFSET($S$2,,,COUNTIF($S$2:$S$42,"?*"),10),7,FALSE)+BB37,"), ",IF(VLOOKUP(AG37,OFFSET($S$2,,,COUNTIF($S$2:$S$42,"?*"),10),10,FALSE)+BC37&gt;0,"+",""),VLOOKUP(AG37,OFFSET($S$2,,,COUNTIF($S$2:$S$42,"?*"),10),10,FALSE)+BC37," ±"),IF(AG37&lt;&gt;"","0 OZ, 0 (0+0)","")))</f>
        <v/>
      </c>
      <c r="AY37" s="129" t="str">
        <f ca="1">IFERROR(CONCATENATE(AI37+VLOOKUP(AG37,OFFSET($S$45,,,COUNTIF($S$45:$S$50,"?*"),14),2,FALSE)," OZ, ",AK37+VLOOKUP(AG37,OFFSET($S$45,,,COUNTIF($S$45:$S$50,"?*"),14),11,FALSE)," A"),IFERROR(CONCATENATE(VLOOKUP(AG37,OFFSET($S$2,,,COUNTIF($S$2:$S$42,"?*"),10),3,FALSE)+AZ37+AI37," OZ, ",VLOOKUP(AG37,OFFSET($S$2,,,COUNTIF($S$2:$S$42,"?*"),10),8,FALSE)+BA37+BB37+AL37," (",VLOOKUP(AG37,OFFSET($S$2,,,COUNTIF($S$2:$S$42,"?*"),10),4,FALSE)+BA37+AJ37,"+",VLOOKUP(AG37,OFFSET($S$2,,,COUNTIF($S$2:$S$42,"?*"),10),7,FALSE)+BB37+AK37,")"),IF(AG37&lt;&gt;"",CONCATENATE(AI37," OZ, ",AL37," (",AJ37,"+",AK37,")"),"")))</f>
        <v/>
      </c>
      <c r="AZ37" s="130"/>
      <c r="BA37" s="130"/>
      <c r="BB37" s="130"/>
      <c r="BC37" s="130"/>
      <c r="BD37" s="89" t="str">
        <f t="shared" si="0"/>
        <v/>
      </c>
      <c r="BE37" s="91" t="str">
        <f ca="1">IF(AG37&lt;&gt;"",COUNTIF(OFFSET($BD$2,,,COUNTIF($AG$2:$AG$50,"?*")),BD37),"")</f>
        <v/>
      </c>
      <c r="BF37" s="90" t="str">
        <f t="shared" si="1"/>
        <v/>
      </c>
      <c r="BG37" s="89" t="str">
        <f ca="1">IF(AND($AG37&lt;&gt;"",BE37&gt;1),CONCATENATE($BD37," ",LEFT($AG37,MIN(1,SEARCH(" ",$AG37)-1)),IF(SEARCH(" ",$AG37)-1&gt;1,".",""),""),"")</f>
        <v/>
      </c>
      <c r="BH37" s="90" t="str">
        <f ca="1">IF(BG37&lt;&gt;"",COUNTIF(OFFSET(BG$2,,,COUNTIF($AG$2:$AG$50,"?*")),BG37),IF($AG37&lt;&gt;"",0,""))</f>
        <v/>
      </c>
      <c r="BI37" s="89" t="str">
        <f ca="1">IF(AND($AG37&lt;&gt;"",BH37&gt;1),CONCATENATE($BD37," ",LEFT($AG37,MIN(2,SEARCH(" ",$AG37)-1)),IF(SEARCH(" ",$AG37)-1&gt;2,".",""),""),"")</f>
        <v/>
      </c>
      <c r="BJ37" s="90" t="str">
        <f ca="1">IF(BI37&lt;&gt;"",COUNTIF(OFFSET(BI$2,,,COUNTIF($AG$2:$AG$50,"?*")),BI37),IF($AG37&lt;&gt;"",0,""))</f>
        <v/>
      </c>
      <c r="BK37" s="89" t="str">
        <f ca="1">IF(AND($AG37&lt;&gt;"",BJ37&gt;1),CONCATENATE($BD37," ",LEFT($AG37,MIN(3,SEARCH(" ",$AG37)-1)),IF(SEARCH(" ",$AG37)-1&gt;3,".",""),""),"")</f>
        <v/>
      </c>
      <c r="BL37" s="90" t="str">
        <f ca="1">IF(BK37&lt;&gt;"",COUNTIF(OFFSET(BK$2,,,COUNTIF($AG$2:$AG$50,"?*")),BK37),IF($AG37&lt;&gt;"",0,""))</f>
        <v/>
      </c>
      <c r="BM37" s="89" t="str">
        <f ca="1">IF(AND($AG37&lt;&gt;"",BL37&gt;1),CONCATENATE($BD37," ",LEFT($AG37,MIN(4,SEARCH(" ",$AG37)-1)),IF(SEARCH(" ",$AG37)-1&gt;4,".",""),""),"")</f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>Florbal Benešov</v>
      </c>
      <c r="B38" s="431"/>
      <c r="C38" s="432"/>
      <c r="D38" s="433">
        <f ca="1">IFERROR(IF(VLOOKUP(A34,OFFSET($AG$2,,,COUNTIF($AG$2:$AG$50,"?*"),23),14,FALSE)&lt;&gt;0,VLOOKUP(A34,OFFSET($AG$2,,,COUNTIF($AG$2:$AG$50,"?*"),23),14,FALSE),"?"),"")</f>
        <v>2009</v>
      </c>
      <c r="E38" s="434"/>
      <c r="F38" s="19">
        <f ca="1">IFERROR(VLOOKUP(A34,OFFSET($S$45,,,COUNTIF($S$45:$S$50,"?*"),14),6,FALSE),"")</f>
        <v>0</v>
      </c>
      <c r="H38" s="436"/>
      <c r="J38" s="425" t="s">
        <v>264</v>
      </c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ca="1">IF(S38&lt;&gt;"",IFERROR(IF(VLOOKUP(S38,OFFSET($AG$2,,,COUNTIF($AG$2:$AG$50,"?*")),1,FALSE)&lt;&gt;0,"ANO","NE"),"NE"),"")</f>
        <v/>
      </c>
      <c r="AG38" s="121"/>
      <c r="AH38" s="122"/>
      <c r="AI38" s="123"/>
      <c r="AJ38" s="123"/>
      <c r="AK38" s="123"/>
      <c r="AL38" s="124" t="str">
        <f t="shared" si="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ca="1">IF(AG38&lt;&gt;"",IF(AH38&lt;&gt;"",INT((TODAY()-AH38)/365),"?"),"")</f>
        <v/>
      </c>
      <c r="AV38" s="127" t="str">
        <f t="shared" si="6"/>
        <v/>
      </c>
      <c r="AW38" s="128" t="str">
        <f t="shared" si="7"/>
        <v/>
      </c>
      <c r="AX38" s="129" t="str">
        <f ca="1">IFERROR(IF(MATCH(AG38,OFFSET($S$45,,,COUNTIF($S$45:$S$50,"?*")),0)&gt;0,CONCATENATE(VLOOKUP(AG38,OFFSET($S$45,,,COUNTIF($S$45:$S$50,"?*"),14),4,FALSE)," V, ",VLOOKUP(AG38,OFFSET($S$45,,,COUNTIF($S$45:$S$50,"?*"),14),9,FALSE)," P"),""),IFERROR(CONCATENATE(VLOOKUP(AG38,OFFSET($S$2,,,COUNTIF($S$2:$S$42,"?*"),10),3,FALSE)+AZ38," OZ, ",VLOOKUP(AG38,OFFSET($S$2,,,COUNTIF($S$2:$S$42,"?*"),10),8,FALSE)+BA38+BB38," (",VLOOKUP(AG38,OFFSET($S$2,,,COUNTIF($S$2:$S$42,"?*"),10),4,FALSE)+BA38,"+",VLOOKUP(AG38,OFFSET($S$2,,,COUNTIF($S$2:$S$42,"?*"),10),7,FALSE)+BB38,"), ",IF(VLOOKUP(AG38,OFFSET($S$2,,,COUNTIF($S$2:$S$42,"?*"),10),10,FALSE)+BC38&gt;0,"+",""),VLOOKUP(AG38,OFFSET($S$2,,,COUNTIF($S$2:$S$42,"?*"),10),10,FALSE)+BC38," ±"),IF(AG38&lt;&gt;"","0 OZ, 0 (0+0)","")))</f>
        <v/>
      </c>
      <c r="AY38" s="129" t="str">
        <f ca="1">IFERROR(CONCATENATE(AI38+VLOOKUP(AG38,OFFSET($S$45,,,COUNTIF($S$45:$S$50,"?*"),14),2,FALSE)," OZ, ",AK38+VLOOKUP(AG38,OFFSET($S$45,,,COUNTIF($S$45:$S$50,"?*"),14),11,FALSE)," A"),IFERROR(CONCATENATE(VLOOKUP(AG38,OFFSET($S$2,,,COUNTIF($S$2:$S$42,"?*"),10),3,FALSE)+AZ38+AI38," OZ, ",VLOOKUP(AG38,OFFSET($S$2,,,COUNTIF($S$2:$S$42,"?*"),10),8,FALSE)+BA38+BB38+AL38," (",VLOOKUP(AG38,OFFSET($S$2,,,COUNTIF($S$2:$S$42,"?*"),10),4,FALSE)+BA38+AJ38,"+",VLOOKUP(AG38,OFFSET($S$2,,,COUNTIF($S$2:$S$42,"?*"),10),7,FALSE)+BB38+AK38,")"),IF(AG38&lt;&gt;"",CONCATENATE(AI38," OZ, ",AL38," (",AJ38,"+",AK38,")"),"")))</f>
        <v/>
      </c>
      <c r="AZ38" s="130"/>
      <c r="BA38" s="130"/>
      <c r="BB38" s="130"/>
      <c r="BC38" s="130"/>
      <c r="BD38" s="3" t="str">
        <f t="shared" si="0"/>
        <v/>
      </c>
      <c r="BE38" s="84" t="str">
        <f ca="1">IF(AG38&lt;&gt;"",COUNTIF(OFFSET($BD$2,,,COUNTIF($AG$2:$AG$50,"?*")),BD38),"")</f>
        <v/>
      </c>
      <c r="BF38" s="62" t="str">
        <f t="shared" si="1"/>
        <v/>
      </c>
      <c r="BG38" s="3" t="str">
        <f ca="1">IF(AND($AG38&lt;&gt;"",BE38&gt;1),CONCATENATE($BD38," ",LEFT($AG38,MIN(1,SEARCH(" ",$AG38)-1)),IF(SEARCH(" ",$AG38)-1&gt;1,".",""),""),"")</f>
        <v/>
      </c>
      <c r="BH38" s="62" t="str">
        <f ca="1">IF(BG38&lt;&gt;"",COUNTIF(OFFSET(BG$2,,,COUNTIF($AG$2:$AG$50,"?*")),BG38),IF($AG38&lt;&gt;"",0,""))</f>
        <v/>
      </c>
      <c r="BI38" s="3" t="str">
        <f ca="1">IF(AND($AG38&lt;&gt;"",BH38&gt;1),CONCATENATE($BD38," ",LEFT($AG38,MIN(2,SEARCH(" ",$AG38)-1)),IF(SEARCH(" ",$AG38)-1&gt;2,".",""),""),"")</f>
        <v/>
      </c>
      <c r="BJ38" s="62" t="str">
        <f ca="1">IF(BI38&lt;&gt;"",COUNTIF(OFFSET(BI$2,,,COUNTIF($AG$2:$AG$50,"?*")),BI38),IF($AG38&lt;&gt;"",0,""))</f>
        <v/>
      </c>
      <c r="BK38" s="3" t="str">
        <f ca="1">IF(AND($AG38&lt;&gt;"",BJ38&gt;1),CONCATENATE($BD38," ",LEFT($AG38,MIN(3,SEARCH(" ",$AG38)-1)),IF(SEARCH(" ",$AG38)-1&gt;3,".",""),""),"")</f>
        <v/>
      </c>
      <c r="BL38" s="62" t="str">
        <f ca="1">IF(BK38&lt;&gt;"",COUNTIF(OFFSET(BK$2,,,COUNTIF($AG$2:$AG$50,"?*")),BK38),IF($AG38&lt;&gt;"",0,""))</f>
        <v/>
      </c>
      <c r="BM38" s="3" t="str">
        <f ca="1">IF(AND($AG38&lt;&gt;"",BL38&gt;1),CONCATENATE($BD38," ",LEFT($AG38,MIN(4,SEARCH(" ",$AG38)-1)),IF(SEARCH(" ",$AG38)-1&gt;4,".",""),""),"")</f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>L</v>
      </c>
      <c r="K39" s="429">
        <f ca="1">IFERROR(IF(VLOOKUP(J38,OFFSET($AG$2,,,COUNTIF($AG$2:$AG$50,"?*"),23),2,FALSE)&lt;&gt;0,YEAR(VLOOKUP(J38,OFFSET($AG$2,,,COUNTIF($AG$2:$AG$50,"?*"),23),2,FALSE)),""),"")</f>
        <v>2001</v>
      </c>
      <c r="L39" s="437"/>
      <c r="M39" s="150">
        <f ca="1">IFERROR(VLOOKUP(J38,OFFSET($AG$2,,,COUNTIF($AG$2:$AG$50,"?*"),23),15,FALSE),"")</f>
        <v>20</v>
      </c>
      <c r="N39" s="437" t="str">
        <f ca="1">IFERROR(VLOOKUP(J38,OFFSET($AG$2,,,COUNTIF($AG$2:$AG$50,"?*"),23),16,FALSE),"")</f>
        <v>177/77</v>
      </c>
      <c r="O39" s="437"/>
      <c r="P39" s="437" t="str">
        <f ca="1">IFERROR(VLOOKUP(J38,OFFSET($AG$2,,,COUNTIF($AG$2:$AG$50,"?*"),23),18,FALSE),"")</f>
        <v>16 OZ, 9 (2+7), +19 ±</v>
      </c>
      <c r="Q39" s="437"/>
      <c r="R39" s="444"/>
      <c r="S39" s="111"/>
      <c r="AC39" s="102" t="str">
        <f ca="1">IF(S39&lt;&gt;"",IFERROR(IF(VLOOKUP(S39,OFFSET($AG$2,,,COUNTIF($AG$2:$AG$50,"?*")),1,FALSE)&lt;&gt;0,"ANO","NE"),"NE"),"")</f>
        <v/>
      </c>
      <c r="AG39" s="121"/>
      <c r="AH39" s="122"/>
      <c r="AI39" s="123"/>
      <c r="AJ39" s="123"/>
      <c r="AK39" s="123"/>
      <c r="AL39" s="124" t="str">
        <f t="shared" si="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ca="1">IF(AG39&lt;&gt;"",IF(AH39&lt;&gt;"",INT((TODAY()-AH39)/365),"?"),"")</f>
        <v/>
      </c>
      <c r="AV39" s="127" t="str">
        <f t="shared" si="6"/>
        <v/>
      </c>
      <c r="AW39" s="128" t="str">
        <f t="shared" si="7"/>
        <v/>
      </c>
      <c r="AX39" s="129" t="str">
        <f ca="1">IFERROR(IF(MATCH(AG39,OFFSET($S$45,,,COUNTIF($S$45:$S$50,"?*")),0)&gt;0,CONCATENATE(VLOOKUP(AG39,OFFSET($S$45,,,COUNTIF($S$45:$S$50,"?*"),14),4,FALSE)," V, ",VLOOKUP(AG39,OFFSET($S$45,,,COUNTIF($S$45:$S$50,"?*"),14),9,FALSE)," P"),""),IFERROR(CONCATENATE(VLOOKUP(AG39,OFFSET($S$2,,,COUNTIF($S$2:$S$42,"?*"),10),3,FALSE)+AZ39," OZ, ",VLOOKUP(AG39,OFFSET($S$2,,,COUNTIF($S$2:$S$42,"?*"),10),8,FALSE)+BA39+BB39," (",VLOOKUP(AG39,OFFSET($S$2,,,COUNTIF($S$2:$S$42,"?*"),10),4,FALSE)+BA39,"+",VLOOKUP(AG39,OFFSET($S$2,,,COUNTIF($S$2:$S$42,"?*"),10),7,FALSE)+BB39,"), ",IF(VLOOKUP(AG39,OFFSET($S$2,,,COUNTIF($S$2:$S$42,"?*"),10),10,FALSE)+BC39&gt;0,"+",""),VLOOKUP(AG39,OFFSET($S$2,,,COUNTIF($S$2:$S$42,"?*"),10),10,FALSE)+BC39," ±"),IF(AG39&lt;&gt;"","0 OZ, 0 (0+0)","")))</f>
        <v/>
      </c>
      <c r="AY39" s="129" t="str">
        <f ca="1">IFERROR(CONCATENATE(AI39+VLOOKUP(AG39,OFFSET($S$45,,,COUNTIF($S$45:$S$50,"?*"),14),2,FALSE)," OZ, ",AK39+VLOOKUP(AG39,OFFSET($S$45,,,COUNTIF($S$45:$S$50,"?*"),14),11,FALSE)," A"),IFERROR(CONCATENATE(VLOOKUP(AG39,OFFSET($S$2,,,COUNTIF($S$2:$S$42,"?*"),10),3,FALSE)+AZ39+AI39," OZ, ",VLOOKUP(AG39,OFFSET($S$2,,,COUNTIF($S$2:$S$42,"?*"),10),8,FALSE)+BA39+BB39+AL39," (",VLOOKUP(AG39,OFFSET($S$2,,,COUNTIF($S$2:$S$42,"?*"),10),4,FALSE)+BA39+AJ39,"+",VLOOKUP(AG39,OFFSET($S$2,,,COUNTIF($S$2:$S$42,"?*"),10),7,FALSE)+BB39+AK39,")"),IF(AG39&lt;&gt;"",CONCATENATE(AI39," OZ, ",AL39," (",AJ39,"+",AK39,")"),"")))</f>
        <v/>
      </c>
      <c r="AZ39" s="130"/>
      <c r="BA39" s="130"/>
      <c r="BB39" s="130"/>
      <c r="BC39" s="130"/>
      <c r="BD39" s="89" t="str">
        <f t="shared" si="0"/>
        <v/>
      </c>
      <c r="BE39" s="91" t="str">
        <f ca="1">IF(AG39&lt;&gt;"",COUNTIF(OFFSET($BD$2,,,COUNTIF($AG$2:$AG$50,"?*")),BD39),"")</f>
        <v/>
      </c>
      <c r="BF39" s="90" t="str">
        <f t="shared" si="1"/>
        <v/>
      </c>
      <c r="BG39" s="89" t="str">
        <f ca="1">IF(AND($AG39&lt;&gt;"",BE39&gt;1),CONCATENATE($BD39," ",LEFT($AG39,MIN(1,SEARCH(" ",$AG39)-1)),IF(SEARCH(" ",$AG39)-1&gt;1,".",""),""),"")</f>
        <v/>
      </c>
      <c r="BH39" s="90" t="str">
        <f ca="1">IF(BG39&lt;&gt;"",COUNTIF(OFFSET(BG$2,,,COUNTIF($AG$2:$AG$50,"?*")),BG39),IF($AG39&lt;&gt;"",0,""))</f>
        <v/>
      </c>
      <c r="BI39" s="89" t="str">
        <f ca="1">IF(AND($AG39&lt;&gt;"",BH39&gt;1),CONCATENATE($BD39," ",LEFT($AG39,MIN(2,SEARCH(" ",$AG39)-1)),IF(SEARCH(" ",$AG39)-1&gt;2,".",""),""),"")</f>
        <v/>
      </c>
      <c r="BJ39" s="90" t="str">
        <f ca="1">IF(BI39&lt;&gt;"",COUNTIF(OFFSET(BI$2,,,COUNTIF($AG$2:$AG$50,"?*")),BI39),IF($AG39&lt;&gt;"",0,""))</f>
        <v/>
      </c>
      <c r="BK39" s="89" t="str">
        <f ca="1">IF(AND($AG39&lt;&gt;"",BJ39&gt;1),CONCATENATE($BD39," ",LEFT($AG39,MIN(3,SEARCH(" ",$AG39)-1)),IF(SEARCH(" ",$AG39)-1&gt;3,".",""),""),"")</f>
        <v/>
      </c>
      <c r="BL39" s="90" t="str">
        <f ca="1">IF(BK39&lt;&gt;"",COUNTIF(OFFSET(BK$2,,,COUNTIF($AG$2:$AG$50,"?*")),BK39),IF($AG39&lt;&gt;"",0,""))</f>
        <v/>
      </c>
      <c r="BM39" s="89" t="str">
        <f ca="1">IF(AND($AG39&lt;&gt;"",BL39&gt;1),CONCATENATE($BD39," ",LEFT($AG39,MIN(4,SEARCH(" ",$AG39)-1)),IF(SEARCH(" ",$AG39)-1&gt;4,".",""),""),"")</f>
        <v/>
      </c>
    </row>
    <row r="40" spans="1:65" ht="15" customHeight="1" thickTop="1" thickBot="1" x14ac:dyDescent="0.25">
      <c r="A40" s="425" t="s">
        <v>261</v>
      </c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22</v>
      </c>
      <c r="H40" s="436"/>
      <c r="J40" s="18">
        <f ca="1">IFERROR(IF(VLOOKUP(J38,OFFSET($AG$2,,,COUNTIF($AG$2:$AG$50,"?*"),23),7,FALSE)&lt;&gt;0,VLOOKUP(J38,OFFSET($AG$2,,,COUNTIF($AG$2:$AG$50,"?*"),23),7,FALSE),"?"),"")</f>
        <v>3</v>
      </c>
      <c r="K40" s="448" t="str">
        <f ca="1">IFERROR(VLOOKUP(J38,OFFSET($AG$2,,,COUNTIF($AG$2:$AG$50,"?*"),23),19,FALSE),"")</f>
        <v>29 OZ, 13 (6+7)</v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>Florbal Benešov</v>
      </c>
      <c r="O40" s="449"/>
      <c r="P40" s="449"/>
      <c r="Q40" s="448">
        <f ca="1">IFERROR(IF(VLOOKUP(J38,OFFSET($AG$2,,,COUNTIF($AG$2:$AG$50,"?*"),23),14,FALSE)&lt;&gt;0,VLOOKUP(J38,OFFSET($AG$2,,,COUNTIF($AG$2:$AG$50,"?*"),23),14,FALSE),"?"),"")</f>
        <v>2010</v>
      </c>
      <c r="R40" s="450"/>
      <c r="S40" s="111"/>
      <c r="AC40" s="102" t="str">
        <f ca="1">IF(S40&lt;&gt;"",IFERROR(IF(VLOOKUP(S40,OFFSET($AG$2,,,COUNTIF($AG$2:$AG$50,"?*")),1,FALSE)&lt;&gt;0,"ANO","NE"),"NE"),"")</f>
        <v/>
      </c>
      <c r="AG40" s="121"/>
      <c r="AH40" s="122"/>
      <c r="AI40" s="123"/>
      <c r="AJ40" s="123"/>
      <c r="AK40" s="123"/>
      <c r="AL40" s="124" t="str">
        <f t="shared" si="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ca="1">IF(AG40&lt;&gt;"",IF(AH40&lt;&gt;"",INT((TODAY()-AH40)/365),"?"),"")</f>
        <v/>
      </c>
      <c r="AV40" s="127" t="str">
        <f t="shared" si="6"/>
        <v/>
      </c>
      <c r="AW40" s="128" t="str">
        <f t="shared" si="7"/>
        <v/>
      </c>
      <c r="AX40" s="129" t="str">
        <f ca="1">IFERROR(IF(MATCH(AG40,OFFSET($S$45,,,COUNTIF($S$45:$S$50,"?*")),0)&gt;0,CONCATENATE(VLOOKUP(AG40,OFFSET($S$45,,,COUNTIF($S$45:$S$50,"?*"),14),4,FALSE)," V, ",VLOOKUP(AG40,OFFSET($S$45,,,COUNTIF($S$45:$S$50,"?*"),14),9,FALSE)," P"),""),IFERROR(CONCATENATE(VLOOKUP(AG40,OFFSET($S$2,,,COUNTIF($S$2:$S$42,"?*"),10),3,FALSE)+AZ40," OZ, ",VLOOKUP(AG40,OFFSET($S$2,,,COUNTIF($S$2:$S$42,"?*"),10),8,FALSE)+BA40+BB40," (",VLOOKUP(AG40,OFFSET($S$2,,,COUNTIF($S$2:$S$42,"?*"),10),4,FALSE)+BA40,"+",VLOOKUP(AG40,OFFSET($S$2,,,COUNTIF($S$2:$S$42,"?*"),10),7,FALSE)+BB40,"), ",IF(VLOOKUP(AG40,OFFSET($S$2,,,COUNTIF($S$2:$S$42,"?*"),10),10,FALSE)+BC40&gt;0,"+",""),VLOOKUP(AG40,OFFSET($S$2,,,COUNTIF($S$2:$S$42,"?*"),10),10,FALSE)+BC40," ±"),IF(AG40&lt;&gt;"","0 OZ, 0 (0+0)","")))</f>
        <v/>
      </c>
      <c r="AY40" s="129" t="str">
        <f ca="1">IFERROR(CONCATENATE(AI40+VLOOKUP(AG40,OFFSET($S$45,,,COUNTIF($S$45:$S$50,"?*"),14),2,FALSE)," OZ, ",AK40+VLOOKUP(AG40,OFFSET($S$45,,,COUNTIF($S$45:$S$50,"?*"),14),11,FALSE)," A"),IFERROR(CONCATENATE(VLOOKUP(AG40,OFFSET($S$2,,,COUNTIF($S$2:$S$42,"?*"),10),3,FALSE)+AZ40+AI40," OZ, ",VLOOKUP(AG40,OFFSET($S$2,,,COUNTIF($S$2:$S$42,"?*"),10),8,FALSE)+BA40+BB40+AL40," (",VLOOKUP(AG40,OFFSET($S$2,,,COUNTIF($S$2:$S$42,"?*"),10),4,FALSE)+BA40+AJ40,"+",VLOOKUP(AG40,OFFSET($S$2,,,COUNTIF($S$2:$S$42,"?*"),10),7,FALSE)+BB40+AK40,")"),IF(AG40&lt;&gt;"",CONCATENATE(AI40," OZ, ",AL40," (",AJ40,"+",AK40,")"),"")))</f>
        <v/>
      </c>
      <c r="AZ40" s="130"/>
      <c r="BA40" s="130"/>
      <c r="BB40" s="130"/>
      <c r="BC40" s="130"/>
      <c r="BD40" s="3" t="str">
        <f t="shared" si="0"/>
        <v/>
      </c>
      <c r="BE40" s="84" t="str">
        <f ca="1">IF(AG40&lt;&gt;"",COUNTIF(OFFSET($BD$2,,,COUNTIF($AG$2:$AG$50,"?*")),BD40),"")</f>
        <v/>
      </c>
      <c r="BF40" s="62" t="str">
        <f t="shared" si="1"/>
        <v/>
      </c>
      <c r="BG40" s="3" t="str">
        <f ca="1">IF(AND($AG40&lt;&gt;"",BE40&gt;1),CONCATENATE($BD40," ",LEFT($AG40,MIN(1,SEARCH(" ",$AG40)-1)),IF(SEARCH(" ",$AG40)-1&gt;1,".",""),""),"")</f>
        <v/>
      </c>
      <c r="BH40" s="62" t="str">
        <f ca="1">IF(BG40&lt;&gt;"",COUNTIF(OFFSET(BG$2,,,COUNTIF($AG$2:$AG$50,"?*")),BG40),IF($AG40&lt;&gt;"",0,""))</f>
        <v/>
      </c>
      <c r="BI40" s="3" t="str">
        <f ca="1">IF(AND($AG40&lt;&gt;"",BH40&gt;1),CONCATENATE($BD40," ",LEFT($AG40,MIN(2,SEARCH(" ",$AG40)-1)),IF(SEARCH(" ",$AG40)-1&gt;2,".",""),""),"")</f>
        <v/>
      </c>
      <c r="BJ40" s="62" t="str">
        <f ca="1">IF(BI40&lt;&gt;"",COUNTIF(OFFSET(BI$2,,,COUNTIF($AG$2:$AG$50,"?*")),BI40),IF($AG40&lt;&gt;"",0,""))</f>
        <v/>
      </c>
      <c r="BK40" s="3" t="str">
        <f ca="1">IF(AND($AG40&lt;&gt;"",BJ40&gt;1),CONCATENATE($BD40," ",LEFT($AG40,MIN(3,SEARCH(" ",$AG40)-1)),IF(SEARCH(" ",$AG40)-1&gt;3,".",""),""),"")</f>
        <v/>
      </c>
      <c r="BL40" s="62" t="str">
        <f ca="1">IF(BK40&lt;&gt;"",COUNTIF(OFFSET(BK$2,,,COUNTIF($AG$2:$AG$50,"?*")),BK40),IF($AG40&lt;&gt;"",0,""))</f>
        <v/>
      </c>
      <c r="BM40" s="3" t="str">
        <f ca="1">IF(AND($AG40&lt;&gt;"",BL40&gt;1),CONCATENATE($BD40," ",LEFT($AG40,MIN(4,SEARCH(" ",$AG40)-1)),IF(SEARCH(" ",$AG40)-1&gt;4,".",""),""),"")</f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</v>
      </c>
      <c r="B41" s="428">
        <f ca="1">IFERROR(IF(VLOOKUP(A40,OFFSET($AG$2,,,COUNTIF($AG$2:$AG$50,"?*"),23),2,FALSE)&lt;&gt;0,YEAR(VLOOKUP(A40,OFFSET($AG$2,,,COUNTIF($AG$2:$AG$50,"?*"),23),2,FALSE)),""),"")</f>
        <v>2002</v>
      </c>
      <c r="C41" s="429"/>
      <c r="D41" s="117">
        <f ca="1">IFERROR(VLOOKUP(A40,OFFSET($AG$2,,,COUNTIF($AG$2:$AG$50,"?*"),23),15,FALSE),"")</f>
        <v>19</v>
      </c>
      <c r="E41" s="419" t="str">
        <f ca="1">IFERROR(VLOOKUP(A40,OFFSET($AG$2,,,COUNTIF($AG$2:$AG$50,"?*"),23),16,FALSE),"")</f>
        <v>174/74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ca="1">IF(S41&lt;&gt;"",IFERROR(IF(VLOOKUP(S41,OFFSET($AG$2,,,COUNTIF($AG$2:$AG$50,"?*")),1,FALSE)&lt;&gt;0,"ANO","NE"),"NE"),"")</f>
        <v/>
      </c>
      <c r="AG41" s="121"/>
      <c r="AH41" s="122"/>
      <c r="AI41" s="123"/>
      <c r="AJ41" s="123"/>
      <c r="AK41" s="123"/>
      <c r="AL41" s="124" t="str">
        <f t="shared" si="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ca="1">IF(AG41&lt;&gt;"",IF(AH41&lt;&gt;"",INT((TODAY()-AH41)/365),"?"),"")</f>
        <v/>
      </c>
      <c r="AV41" s="127" t="str">
        <f t="shared" si="6"/>
        <v/>
      </c>
      <c r="AW41" s="128" t="str">
        <f t="shared" si="7"/>
        <v/>
      </c>
      <c r="AX41" s="129" t="str">
        <f ca="1">IFERROR(IF(MATCH(AG41,OFFSET($S$45,,,COUNTIF($S$45:$S$50,"?*")),0)&gt;0,CONCATENATE(VLOOKUP(AG41,OFFSET($S$45,,,COUNTIF($S$45:$S$50,"?*"),14),4,FALSE)," V, ",VLOOKUP(AG41,OFFSET($S$45,,,COUNTIF($S$45:$S$50,"?*"),14),9,FALSE)," P"),""),IFERROR(CONCATENATE(VLOOKUP(AG41,OFFSET($S$2,,,COUNTIF($S$2:$S$42,"?*"),10),3,FALSE)+AZ41," OZ, ",VLOOKUP(AG41,OFFSET($S$2,,,COUNTIF($S$2:$S$42,"?*"),10),8,FALSE)+BA41+BB41," (",VLOOKUP(AG41,OFFSET($S$2,,,COUNTIF($S$2:$S$42,"?*"),10),4,FALSE)+BA41,"+",VLOOKUP(AG41,OFFSET($S$2,,,COUNTIF($S$2:$S$42,"?*"),10),7,FALSE)+BB41,"), ",IF(VLOOKUP(AG41,OFFSET($S$2,,,COUNTIF($S$2:$S$42,"?*"),10),10,FALSE)+BC41&gt;0,"+",""),VLOOKUP(AG41,OFFSET($S$2,,,COUNTIF($S$2:$S$42,"?*"),10),10,FALSE)+BC41," ±"),IF(AG41&lt;&gt;"","0 OZ, 0 (0+0)","")))</f>
        <v/>
      </c>
      <c r="AY41" s="129" t="str">
        <f ca="1">IFERROR(CONCATENATE(AI41+VLOOKUP(AG41,OFFSET($S$45,,,COUNTIF($S$45:$S$50,"?*"),14),2,FALSE)," OZ, ",AK41+VLOOKUP(AG41,OFFSET($S$45,,,COUNTIF($S$45:$S$50,"?*"),14),11,FALSE)," A"),IFERROR(CONCATENATE(VLOOKUP(AG41,OFFSET($S$2,,,COUNTIF($S$2:$S$42,"?*"),10),3,FALSE)+AZ41+AI41," OZ, ",VLOOKUP(AG41,OFFSET($S$2,,,COUNTIF($S$2:$S$42,"?*"),10),8,FALSE)+BA41+BB41+AL41," (",VLOOKUP(AG41,OFFSET($S$2,,,COUNTIF($S$2:$S$42,"?*"),10),4,FALSE)+BA41+AJ41,"+",VLOOKUP(AG41,OFFSET($S$2,,,COUNTIF($S$2:$S$42,"?*"),10),7,FALSE)+BB41+AK41,")"),IF(AG41&lt;&gt;"",CONCATENATE(AI41," OZ, ",AL41," (",AJ41,"+",AK41,")"),"")))</f>
        <v/>
      </c>
      <c r="AZ41" s="130"/>
      <c r="BA41" s="130"/>
      <c r="BB41" s="130"/>
      <c r="BC41" s="130"/>
      <c r="BD41" s="89" t="str">
        <f t="shared" si="0"/>
        <v/>
      </c>
      <c r="BE41" s="91" t="str">
        <f ca="1">IF(AG41&lt;&gt;"",COUNTIF(OFFSET($BD$2,,,COUNTIF($AG$2:$AG$50,"?*")),BD41),"")</f>
        <v/>
      </c>
      <c r="BF41" s="90" t="str">
        <f t="shared" si="1"/>
        <v/>
      </c>
      <c r="BG41" s="89" t="str">
        <f ca="1">IF(AND($AG41&lt;&gt;"",BE41&gt;1),CONCATENATE($BD41," ",LEFT($AG41,MIN(1,SEARCH(" ",$AG41)-1)),IF(SEARCH(" ",$AG41)-1&gt;1,".",""),""),"")</f>
        <v/>
      </c>
      <c r="BH41" s="90" t="str">
        <f ca="1">IF(BG41&lt;&gt;"",COUNTIF(OFFSET(BG$2,,,COUNTIF($AG$2:$AG$50,"?*")),BG41),IF($AG41&lt;&gt;"",0,""))</f>
        <v/>
      </c>
      <c r="BI41" s="89" t="str">
        <f ca="1">IF(AND($AG41&lt;&gt;"",BH41&gt;1),CONCATENATE($BD41," ",LEFT($AG41,MIN(2,SEARCH(" ",$AG41)-1)),IF(SEARCH(" ",$AG41)-1&gt;2,".",""),""),"")</f>
        <v/>
      </c>
      <c r="BJ41" s="90" t="str">
        <f ca="1">IF(BI41&lt;&gt;"",COUNTIF(OFFSET(BI$2,,,COUNTIF($AG$2:$AG$50,"?*")),BI41),IF($AG41&lt;&gt;"",0,""))</f>
        <v/>
      </c>
      <c r="BK41" s="89" t="str">
        <f ca="1">IF(AND($AG41&lt;&gt;"",BJ41&gt;1),CONCATENATE($BD41," ",LEFT($AG41,MIN(3,SEARCH(" ",$AG41)-1)),IF(SEARCH(" ",$AG41)-1&gt;3,".",""),""),"")</f>
        <v/>
      </c>
      <c r="BL41" s="90" t="str">
        <f ca="1">IF(BK41&lt;&gt;"",COUNTIF(OFFSET(BK$2,,,COUNTIF($AG$2:$AG$50,"?*")),BK41),IF($AG41&lt;&gt;"",0,""))</f>
        <v/>
      </c>
      <c r="BM41" s="89" t="str">
        <f ca="1">IF(AND($AG41&lt;&gt;"",BL41&gt;1),CONCATENATE($BD41," ",LEFT($AG41,MIN(4,SEARCH(" ",$AG41)-1)),IF(SEARCH(" ",$AG41)-1&gt;4,".",""),""),"")</f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5" t="str">
        <f ca="1">IFERROR(VLOOKUP(A40,OFFSET($AG$2,,,COUNTIF($AG$2:$AG$50,"?*"),23),18,FALSE),"")</f>
        <v>1 V, 0 P</v>
      </c>
      <c r="C42" s="445"/>
      <c r="D42" s="446">
        <f ca="1">IFERROR(VLOOKUP(A40,OFFSET($S$45,,,COUNTIF($S$45:$S$50,"?*"),14),5,FALSE),"")</f>
        <v>1</v>
      </c>
      <c r="E42" s="447"/>
      <c r="F42" s="17">
        <f ca="1">IFERROR(VLOOKUP(A40,OFFSET($S$45,,,COUNTIF($S$45:$S$50,"?*"),14),14,FALSE),"")</f>
        <v>75</v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ca="1">IF(S42&lt;&gt;"",IFERROR(IF(VLOOKUP(S42,OFFSET($AG$2,,,COUNTIF($AG$2:$AG$50,"?*")),1,FALSE)&lt;&gt;0,"ANO","NE"),"NE"),"")</f>
        <v/>
      </c>
      <c r="AG42" s="121"/>
      <c r="AH42" s="122"/>
      <c r="AI42" s="123"/>
      <c r="AJ42" s="123"/>
      <c r="AK42" s="123"/>
      <c r="AL42" s="124" t="str">
        <f t="shared" si="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ca="1">IF(AG42&lt;&gt;"",IF(AH42&lt;&gt;"",INT((TODAY()-AH42)/365),"?"),"")</f>
        <v/>
      </c>
      <c r="AV42" s="127" t="str">
        <f t="shared" si="6"/>
        <v/>
      </c>
      <c r="AW42" s="128" t="str">
        <f t="shared" si="7"/>
        <v/>
      </c>
      <c r="AX42" s="129" t="str">
        <f ca="1">IFERROR(IF(MATCH(AG42,OFFSET($S$45,,,COUNTIF($S$45:$S$50,"?*")),0)&gt;0,CONCATENATE(VLOOKUP(AG42,OFFSET($S$45,,,COUNTIF($S$45:$S$50,"?*"),14),4,FALSE)," V, ",VLOOKUP(AG42,OFFSET($S$45,,,COUNTIF($S$45:$S$50,"?*"),14),9,FALSE)," P"),""),IFERROR(CONCATENATE(VLOOKUP(AG42,OFFSET($S$2,,,COUNTIF($S$2:$S$42,"?*"),10),3,FALSE)+AZ42," OZ, ",VLOOKUP(AG42,OFFSET($S$2,,,COUNTIF($S$2:$S$42,"?*"),10),8,FALSE)+BA42+BB42," (",VLOOKUP(AG42,OFFSET($S$2,,,COUNTIF($S$2:$S$42,"?*"),10),4,FALSE)+BA42,"+",VLOOKUP(AG42,OFFSET($S$2,,,COUNTIF($S$2:$S$42,"?*"),10),7,FALSE)+BB42,"), ",IF(VLOOKUP(AG42,OFFSET($S$2,,,COUNTIF($S$2:$S$42,"?*"),10),10,FALSE)+BC42&gt;0,"+",""),VLOOKUP(AG42,OFFSET($S$2,,,COUNTIF($S$2:$S$42,"?*"),10),10,FALSE)+BC42," ±"),IF(AG42&lt;&gt;"","0 OZ, 0 (0+0)","")))</f>
        <v/>
      </c>
      <c r="AY42" s="129" t="str">
        <f ca="1">IFERROR(CONCATENATE(AI42+VLOOKUP(AG42,OFFSET($S$45,,,COUNTIF($S$45:$S$50,"?*"),14),2,FALSE)," OZ, ",AK42+VLOOKUP(AG42,OFFSET($S$45,,,COUNTIF($S$45:$S$50,"?*"),14),11,FALSE)," A"),IFERROR(CONCATENATE(VLOOKUP(AG42,OFFSET($S$2,,,COUNTIF($S$2:$S$42,"?*"),10),3,FALSE)+AZ42+AI42," OZ, ",VLOOKUP(AG42,OFFSET($S$2,,,COUNTIF($S$2:$S$42,"?*"),10),8,FALSE)+BA42+BB42+AL42," (",VLOOKUP(AG42,OFFSET($S$2,,,COUNTIF($S$2:$S$42,"?*"),10),4,FALSE)+BA42+AJ42,"+",VLOOKUP(AG42,OFFSET($S$2,,,COUNTIF($S$2:$S$42,"?*"),10),7,FALSE)+BB42+AK42,")"),IF(AG42&lt;&gt;"",CONCATENATE(AI42," OZ, ",AL42," (",AJ42,"+",AK42,")"),"")))</f>
        <v/>
      </c>
      <c r="AZ42" s="130"/>
      <c r="BA42" s="130"/>
      <c r="BB42" s="130"/>
      <c r="BC42" s="130"/>
      <c r="BD42" s="3" t="str">
        <f t="shared" si="0"/>
        <v/>
      </c>
      <c r="BE42" s="84" t="str">
        <f ca="1">IF(AG42&lt;&gt;"",COUNTIF(OFFSET($BD$2,,,COUNTIF($AG$2:$AG$50,"?*")),BD42),"")</f>
        <v/>
      </c>
      <c r="BF42" s="62" t="str">
        <f t="shared" si="1"/>
        <v/>
      </c>
      <c r="BG42" s="3" t="str">
        <f ca="1">IF(AND($AG42&lt;&gt;"",BE42&gt;1),CONCATENATE($BD42," ",LEFT($AG42,MIN(1,SEARCH(" ",$AG42)-1)),IF(SEARCH(" ",$AG42)-1&gt;1,".",""),""),"")</f>
        <v/>
      </c>
      <c r="BH42" s="62" t="str">
        <f ca="1">IF(BG42&lt;&gt;"",COUNTIF(OFFSET(BG$2,,,COUNTIF($AG$2:$AG$50,"?*")),BG42),IF($AG42&lt;&gt;"",0,""))</f>
        <v/>
      </c>
      <c r="BI42" s="3" t="str">
        <f ca="1">IF(AND($AG42&lt;&gt;"",BH42&gt;1),CONCATENATE($BD42," ",LEFT($AG42,MIN(2,SEARCH(" ",$AG42)-1)),IF(SEARCH(" ",$AG42)-1&gt;2,".",""),""),"")</f>
        <v/>
      </c>
      <c r="BJ42" s="62" t="str">
        <f ca="1">IF(BI42&lt;&gt;"",COUNTIF(OFFSET(BI$2,,,COUNTIF($AG$2:$AG$50,"?*")),BI42),IF($AG42&lt;&gt;"",0,""))</f>
        <v/>
      </c>
      <c r="BK42" s="3" t="str">
        <f ca="1">IF(AND($AG42&lt;&gt;"",BJ42&gt;1),CONCATENATE($BD42," ",LEFT($AG42,MIN(3,SEARCH(" ",$AG42)-1)),IF(SEARCH(" ",$AG42)-1&gt;3,".",""),""),"")</f>
        <v/>
      </c>
      <c r="BL42" s="62" t="str">
        <f ca="1">IF(BK42&lt;&gt;"",COUNTIF(OFFSET(BK$2,,,COUNTIF($AG$2:$AG$50,"?*")),BK42),IF($AG42&lt;&gt;"",0,""))</f>
        <v/>
      </c>
      <c r="BM42" s="3" t="str">
        <f ca="1">IF(AND($AG42&lt;&gt;"",BL42&gt;1),CONCATENATE($BD42," ",LEFT($AG42,MIN(4,SEARCH(" ",$AG42)-1)),IF(SEARCH(" ",$AG42)-1&gt;4,".",""),""),"")</f>
        <v/>
      </c>
    </row>
    <row r="43" spans="1:65" ht="15" customHeight="1" thickBot="1" x14ac:dyDescent="0.25">
      <c r="A43" s="438">
        <f ca="1">IFERROR(VLOOKUP(A40,OFFSET($S$45,,,COUNTIF($S$45:$S$50,"?*"),14),3,FALSE),"")</f>
        <v>18.02</v>
      </c>
      <c r="B43" s="439"/>
      <c r="C43" s="440">
        <f ca="1">IFERROR(VLOOKUP(A40,OFFSET($S$45,,,COUNTIF($S$45:$S$50,"?*"),14),13,FALSE),"")</f>
        <v>3.3296337402885681</v>
      </c>
      <c r="D43" s="441"/>
      <c r="E43" s="442" t="str">
        <f ca="1">IFERROR(VLOOKUP(A40,OFFSET($AG$2,,,COUNTIF($AG$2:$AG$50,"?*"),23),19,FALSE),"")</f>
        <v>6 OZ, 0 A</v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ca="1">IF(AG43&lt;&gt;"",IF(AH43&lt;&gt;"",INT((TODAY()-AH43)/365),"?"),"")</f>
        <v/>
      </c>
      <c r="AV43" s="127" t="str">
        <f t="shared" si="6"/>
        <v/>
      </c>
      <c r="AW43" s="128" t="str">
        <f t="shared" si="7"/>
        <v/>
      </c>
      <c r="AX43" s="129" t="str">
        <f ca="1">IFERROR(IF(MATCH(AG43,OFFSET($S$45,,,COUNTIF($S$45:$S$50,"?*")),0)&gt;0,CONCATENATE(VLOOKUP(AG43,OFFSET($S$45,,,COUNTIF($S$45:$S$50,"?*"),14),4,FALSE)," V, ",VLOOKUP(AG43,OFFSET($S$45,,,COUNTIF($S$45:$S$50,"?*"),14),9,FALSE)," P"),""),IFERROR(CONCATENATE(VLOOKUP(AG43,OFFSET($S$2,,,COUNTIF($S$2:$S$42,"?*"),10),3,FALSE)+AZ43," OZ, ",VLOOKUP(AG43,OFFSET($S$2,,,COUNTIF($S$2:$S$42,"?*"),10),8,FALSE)+BA43+BB43," (",VLOOKUP(AG43,OFFSET($S$2,,,COUNTIF($S$2:$S$42,"?*"),10),4,FALSE)+BA43,"+",VLOOKUP(AG43,OFFSET($S$2,,,COUNTIF($S$2:$S$42,"?*"),10),7,FALSE)+BB43,"), ",IF(VLOOKUP(AG43,OFFSET($S$2,,,COUNTIF($S$2:$S$42,"?*"),10),10,FALSE)+BC43&gt;0,"+",""),VLOOKUP(AG43,OFFSET($S$2,,,COUNTIF($S$2:$S$42,"?*"),10),10,FALSE)+BC43," ±"),IF(AG43&lt;&gt;"","0 OZ, 0 (0+0)","")))</f>
        <v/>
      </c>
      <c r="AY43" s="129" t="str">
        <f ca="1">IFERROR(CONCATENATE(AI43+VLOOKUP(AG43,OFFSET($S$45,,,COUNTIF($S$45:$S$50,"?*"),14),2,FALSE)," OZ, ",AK43+VLOOKUP(AG43,OFFSET($S$45,,,COUNTIF($S$45:$S$50,"?*"),14),11,FALSE)," A"),IFERROR(CONCATENATE(VLOOKUP(AG43,OFFSET($S$2,,,COUNTIF($S$2:$S$42,"?*"),10),3,FALSE)+AZ43+AI43," OZ, ",VLOOKUP(AG43,OFFSET($S$2,,,COUNTIF($S$2:$S$42,"?*"),10),8,FALSE)+BA43+BB43+AL43," (",VLOOKUP(AG43,OFFSET($S$2,,,COUNTIF($S$2:$S$42,"?*"),10),4,FALSE)+BA43+AJ43,"+",VLOOKUP(AG43,OFFSET($S$2,,,COUNTIF($S$2:$S$42,"?*"),10),7,FALSE)+BB43+AK43,")"),IF(AG43&lt;&gt;"",CONCATENATE(AI43," OZ, ",AL43," (",AJ43,"+",AK43,")"),"")))</f>
        <v/>
      </c>
      <c r="AZ43" s="130"/>
      <c r="BA43" s="130"/>
      <c r="BB43" s="130"/>
      <c r="BC43" s="130"/>
      <c r="BD43" s="89" t="str">
        <f t="shared" si="0"/>
        <v/>
      </c>
      <c r="BE43" s="91" t="str">
        <f ca="1">IF(AG43&lt;&gt;"",COUNTIF(OFFSET($BD$2,,,COUNTIF($AG$2:$AG$50,"?*")),BD43),"")</f>
        <v/>
      </c>
      <c r="BF43" s="90" t="str">
        <f t="shared" si="1"/>
        <v/>
      </c>
      <c r="BG43" s="89" t="str">
        <f ca="1">IF(AND($AG43&lt;&gt;"",BE43&gt;1),CONCATENATE($BD43," ",LEFT($AG43,MIN(1,SEARCH(" ",$AG43)-1)),IF(SEARCH(" ",$AG43)-1&gt;1,".",""),""),"")</f>
        <v/>
      </c>
      <c r="BH43" s="90" t="str">
        <f ca="1">IF(BG43&lt;&gt;"",COUNTIF(OFFSET(BG$2,,,COUNTIF($AG$2:$AG$50,"?*")),BG43),IF($AG43&lt;&gt;"",0,""))</f>
        <v/>
      </c>
      <c r="BI43" s="89" t="str">
        <f ca="1">IF(AND($AG43&lt;&gt;"",BH43&gt;1),CONCATENATE($BD43," ",LEFT($AG43,MIN(2,SEARCH(" ",$AG43)-1)),IF(SEARCH(" ",$AG43)-1&gt;2,".",""),""),"")</f>
        <v/>
      </c>
      <c r="BJ43" s="90" t="str">
        <f ca="1">IF(BI43&lt;&gt;"",COUNTIF(OFFSET(BI$2,,,COUNTIF($AG$2:$AG$50,"?*")),BI43),IF($AG43&lt;&gt;"",0,""))</f>
        <v/>
      </c>
      <c r="BK43" s="89" t="str">
        <f ca="1">IF(AND($AG43&lt;&gt;"",BJ43&gt;1),CONCATENATE($BD43," ",LEFT($AG43,MIN(3,SEARCH(" ",$AG43)-1)),IF(SEARCH(" ",$AG43)-1&gt;3,".",""),""),"")</f>
        <v/>
      </c>
      <c r="BL43" s="90" t="str">
        <f ca="1">IF(BK43&lt;&gt;"",COUNTIF(OFFSET(BK$2,,,COUNTIF($AG$2:$AG$50,"?*")),BK43),IF($AG43&lt;&gt;"",0,""))</f>
        <v/>
      </c>
      <c r="BM43" s="89" t="str">
        <f ca="1">IF(AND($AG43&lt;&gt;"",BL43&gt;1),CONCATENATE($BD43," ",LEFT($AG43,MIN(4,SEARCH(" ",$AG43)-1)),IF(SEARCH(" ",$AG43)-1&gt;4,".",""),""),"")</f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>Vosy Praha</v>
      </c>
      <c r="B44" s="431"/>
      <c r="C44" s="432"/>
      <c r="D44" s="433">
        <f ca="1">IFERROR(IF(VLOOKUP(A40,OFFSET($AG$2,,,COUNTIF($AG$2:$AG$50,"?*"),23),14,FALSE)&lt;&gt;0,VLOOKUP(A40,OFFSET($AG$2,,,COUNTIF($AG$2:$AG$50,"?*"),23),14,FALSE),"?"),"")</f>
        <v>2010</v>
      </c>
      <c r="E44" s="434"/>
      <c r="F44" s="19">
        <f ca="1">IFERROR(VLOOKUP(A40,OFFSET($S$45,,,COUNTIF($S$45:$S$50,"?*"),14),6,FALSE),"")</f>
        <v>0</v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ca="1">IF(AG44&lt;&gt;"",IF(AH44&lt;&gt;"",INT((TODAY()-AH44)/365),"?"),"")</f>
        <v/>
      </c>
      <c r="AV44" s="127" t="str">
        <f t="shared" si="6"/>
        <v/>
      </c>
      <c r="AW44" s="128" t="str">
        <f t="shared" si="7"/>
        <v/>
      </c>
      <c r="AX44" s="129" t="str">
        <f ca="1">IFERROR(IF(MATCH(AG44,OFFSET($S$45,,,COUNTIF($S$45:$S$50,"?*")),0)&gt;0,CONCATENATE(VLOOKUP(AG44,OFFSET($S$45,,,COUNTIF($S$45:$S$50,"?*"),14),4,FALSE)," V, ",VLOOKUP(AG44,OFFSET($S$45,,,COUNTIF($S$45:$S$50,"?*"),14),9,FALSE)," P"),""),IFERROR(CONCATENATE(VLOOKUP(AG44,OFFSET($S$2,,,COUNTIF($S$2:$S$42,"?*"),10),3,FALSE)+AZ44," OZ, ",VLOOKUP(AG44,OFFSET($S$2,,,COUNTIF($S$2:$S$42,"?*"),10),8,FALSE)+BA44+BB44," (",VLOOKUP(AG44,OFFSET($S$2,,,COUNTIF($S$2:$S$42,"?*"),10),4,FALSE)+BA44,"+",VLOOKUP(AG44,OFFSET($S$2,,,COUNTIF($S$2:$S$42,"?*"),10),7,FALSE)+BB44,"), ",IF(VLOOKUP(AG44,OFFSET($S$2,,,COUNTIF($S$2:$S$42,"?*"),10),10,FALSE)+BC44&gt;0,"+",""),VLOOKUP(AG44,OFFSET($S$2,,,COUNTIF($S$2:$S$42,"?*"),10),10,FALSE)+BC44," ±"),IF(AG44&lt;&gt;"","0 OZ, 0 (0+0)","")))</f>
        <v/>
      </c>
      <c r="AY44" s="129" t="str">
        <f ca="1">IFERROR(CONCATENATE(AI44+VLOOKUP(AG44,OFFSET($S$45,,,COUNTIF($S$45:$S$50,"?*"),14),2,FALSE)," OZ, ",AK44+VLOOKUP(AG44,OFFSET($S$45,,,COUNTIF($S$45:$S$50,"?*"),14),11,FALSE)," A"),IFERROR(CONCATENATE(VLOOKUP(AG44,OFFSET($S$2,,,COUNTIF($S$2:$S$42,"?*"),10),3,FALSE)+AZ44+AI44," OZ, ",VLOOKUP(AG44,OFFSET($S$2,,,COUNTIF($S$2:$S$42,"?*"),10),8,FALSE)+BA44+BB44+AL44," (",VLOOKUP(AG44,OFFSET($S$2,,,COUNTIF($S$2:$S$42,"?*"),10),4,FALSE)+BA44+AJ44,"+",VLOOKUP(AG44,OFFSET($S$2,,,COUNTIF($S$2:$S$42,"?*"),10),7,FALSE)+BB44+AK44,")"),IF(AG44&lt;&gt;"",CONCATENATE(AI44," OZ, ",AL44," (",AJ44,"+",AK44,")"),"")))</f>
        <v/>
      </c>
      <c r="AZ44" s="130"/>
      <c r="BA44" s="130"/>
      <c r="BB44" s="130"/>
      <c r="BC44" s="130"/>
      <c r="BD44" s="3" t="str">
        <f t="shared" si="0"/>
        <v/>
      </c>
      <c r="BE44" s="84" t="str">
        <f ca="1">IF(AG44&lt;&gt;"",COUNTIF(OFFSET($BD$2,,,COUNTIF($AG$2:$AG$50,"?*")),BD44),"")</f>
        <v/>
      </c>
      <c r="BF44" s="62" t="str">
        <f t="shared" si="1"/>
        <v/>
      </c>
      <c r="BG44" s="3" t="str">
        <f ca="1">IF(AND($AG44&lt;&gt;"",BE44&gt;1),CONCATENATE($BD44," ",LEFT($AG44,MIN(1,SEARCH(" ",$AG44)-1)),IF(SEARCH(" ",$AG44)-1&gt;1,".",""),""),"")</f>
        <v/>
      </c>
      <c r="BH44" s="62" t="str">
        <f ca="1">IF(BG44&lt;&gt;"",COUNTIF(OFFSET(BG$2,,,COUNTIF($AG$2:$AG$50,"?*")),BG44),IF($AG44&lt;&gt;"",0,""))</f>
        <v/>
      </c>
      <c r="BI44" s="3" t="str">
        <f ca="1">IF(AND($AG44&lt;&gt;"",BH44&gt;1),CONCATENATE($BD44," ",LEFT($AG44,MIN(2,SEARCH(" ",$AG44)-1)),IF(SEARCH(" ",$AG44)-1&gt;2,".",""),""),"")</f>
        <v/>
      </c>
      <c r="BJ44" s="62" t="str">
        <f ca="1">IF(BI44&lt;&gt;"",COUNTIF(OFFSET(BI$2,,,COUNTIF($AG$2:$AG$50,"?*")),BI44),IF($AG44&lt;&gt;"",0,""))</f>
        <v/>
      </c>
      <c r="BK44" s="3" t="str">
        <f ca="1">IF(AND($AG44&lt;&gt;"",BJ44&gt;1),CONCATENATE($BD44," ",LEFT($AG44,MIN(3,SEARCH(" ",$AG44)-1)),IF(SEARCH(" ",$AG44)-1&gt;3,".",""),""),"")</f>
        <v/>
      </c>
      <c r="BL44" s="62" t="str">
        <f ca="1">IF(BK44&lt;&gt;"",COUNTIF(OFFSET(BK$2,,,COUNTIF($AG$2:$AG$50,"?*")),BK44),IF($AG44&lt;&gt;"",0,""))</f>
        <v/>
      </c>
      <c r="BM44" s="3" t="str">
        <f ca="1">IF(AND($AG44&lt;&gt;"",BL44&gt;1),CONCATENATE($BD44," ",LEFT($AG44,MIN(4,SEARCH(" ",$AG44)-1)),IF(SEARCH(" ",$AG44)-1&gt;4,".",""),""),"")</f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270</v>
      </c>
      <c r="T45" s="102">
        <v>12</v>
      </c>
      <c r="U45" s="112">
        <v>672.18</v>
      </c>
      <c r="V45" s="102">
        <v>9</v>
      </c>
      <c r="W45" s="102">
        <v>59</v>
      </c>
      <c r="X45" s="102">
        <v>0</v>
      </c>
      <c r="Y45" s="102">
        <v>235</v>
      </c>
      <c r="Z45" s="102">
        <v>0</v>
      </c>
      <c r="AA45" s="102">
        <v>3</v>
      </c>
      <c r="AB45" s="102">
        <v>176</v>
      </c>
      <c r="AC45" s="102">
        <v>0</v>
      </c>
      <c r="AD45" s="102">
        <v>0</v>
      </c>
      <c r="AE45" s="112">
        <f>IF(S45&lt;&gt;"",IF(T45&gt;0,W45/(U45/60),0),"")</f>
        <v>5.2664464875479782</v>
      </c>
      <c r="AF45" s="112">
        <f>IF(S45&lt;&gt;"",IF(Y45&gt;0,(AB45/Y45)*100,"-"),"")</f>
        <v>74.893617021276597</v>
      </c>
      <c r="AG45" s="121"/>
      <c r="AH45" s="122"/>
      <c r="AI45" s="123"/>
      <c r="AJ45" s="123"/>
      <c r="AK45" s="123"/>
      <c r="AL45" s="124" t="str">
        <f t="shared" si="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ca="1">IF(AG45&lt;&gt;"",IF(AH45&lt;&gt;"",INT((TODAY()-AH45)/365),"?"),"")</f>
        <v/>
      </c>
      <c r="AV45" s="127" t="str">
        <f t="shared" si="6"/>
        <v/>
      </c>
      <c r="AW45" s="128" t="str">
        <f t="shared" si="7"/>
        <v/>
      </c>
      <c r="AX45" s="129" t="str">
        <f ca="1">IFERROR(IF(MATCH(AG45,OFFSET($S$45,,,COUNTIF($S$45:$S$50,"?*")),0)&gt;0,CONCATENATE(VLOOKUP(AG45,OFFSET($S$45,,,COUNTIF($S$45:$S$50,"?*"),14),4,FALSE)," V, ",VLOOKUP(AG45,OFFSET($S$45,,,COUNTIF($S$45:$S$50,"?*"),14),9,FALSE)," P"),""),IFERROR(CONCATENATE(VLOOKUP(AG45,OFFSET($S$2,,,COUNTIF($S$2:$S$42,"?*"),10),3,FALSE)+AZ45," OZ, ",VLOOKUP(AG45,OFFSET($S$2,,,COUNTIF($S$2:$S$42,"?*"),10),8,FALSE)+BA45+BB45," (",VLOOKUP(AG45,OFFSET($S$2,,,COUNTIF($S$2:$S$42,"?*"),10),4,FALSE)+BA45,"+",VLOOKUP(AG45,OFFSET($S$2,,,COUNTIF($S$2:$S$42,"?*"),10),7,FALSE)+BB45,"), ",IF(VLOOKUP(AG45,OFFSET($S$2,,,COUNTIF($S$2:$S$42,"?*"),10),10,FALSE)+BC45&gt;0,"+",""),VLOOKUP(AG45,OFFSET($S$2,,,COUNTIF($S$2:$S$42,"?*"),10),10,FALSE)+BC45," ±"),IF(AG45&lt;&gt;"","0 OZ, 0 (0+0)","")))</f>
        <v/>
      </c>
      <c r="AY45" s="129" t="str">
        <f ca="1">IFERROR(CONCATENATE(AI45+VLOOKUP(AG45,OFFSET($S$45,,,COUNTIF($S$45:$S$50,"?*"),14),2,FALSE)," OZ, ",AK45+VLOOKUP(AG45,OFFSET($S$45,,,COUNTIF($S$45:$S$50,"?*"),14),11,FALSE)," A"),IFERROR(CONCATENATE(VLOOKUP(AG45,OFFSET($S$2,,,COUNTIF($S$2:$S$42,"?*"),10),3,FALSE)+AZ45+AI45," OZ, ",VLOOKUP(AG45,OFFSET($S$2,,,COUNTIF($S$2:$S$42,"?*"),10),8,FALSE)+BA45+BB45+AL45," (",VLOOKUP(AG45,OFFSET($S$2,,,COUNTIF($S$2:$S$42,"?*"),10),4,FALSE)+BA45+AJ45,"+",VLOOKUP(AG45,OFFSET($S$2,,,COUNTIF($S$2:$S$42,"?*"),10),7,FALSE)+BB45+AK45,")"),IF(AG45&lt;&gt;"",CONCATENATE(AI45," OZ, ",AL45," (",AJ45,"+",AK45,")"),"")))</f>
        <v/>
      </c>
      <c r="AZ45" s="130"/>
      <c r="BA45" s="130"/>
      <c r="BB45" s="130"/>
      <c r="BC45" s="130"/>
      <c r="BD45" s="89" t="str">
        <f t="shared" si="0"/>
        <v/>
      </c>
      <c r="BE45" s="91" t="str">
        <f ca="1">IF(AG45&lt;&gt;"",COUNTIF(OFFSET($BD$2,,,COUNTIF($AG$2:$AG$50,"?*")),BD45),"")</f>
        <v/>
      </c>
      <c r="BF45" s="90" t="str">
        <f t="shared" si="1"/>
        <v/>
      </c>
      <c r="BG45" s="89" t="str">
        <f ca="1">IF(AND($AG45&lt;&gt;"",BE45&gt;1),CONCATENATE($BD45," ",LEFT($AG45,MIN(1,SEARCH(" ",$AG45)-1)),IF(SEARCH(" ",$AG45)-1&gt;1,".",""),""),"")</f>
        <v/>
      </c>
      <c r="BH45" s="90" t="str">
        <f ca="1">IF(BG45&lt;&gt;"",COUNTIF(OFFSET(BG$2,,,COUNTIF($AG$2:$AG$50,"?*")),BG45),IF($AG45&lt;&gt;"",0,""))</f>
        <v/>
      </c>
      <c r="BI45" s="89" t="str">
        <f ca="1">IF(AND($AG45&lt;&gt;"",BH45&gt;1),CONCATENATE($BD45," ",LEFT($AG45,MIN(2,SEARCH(" ",$AG45)-1)),IF(SEARCH(" ",$AG45)-1&gt;2,".",""),""),"")</f>
        <v/>
      </c>
      <c r="BJ45" s="90" t="str">
        <f ca="1">IF(BI45&lt;&gt;"",COUNTIF(OFFSET(BI$2,,,COUNTIF($AG$2:$AG$50,"?*")),BI45),IF($AG45&lt;&gt;"",0,""))</f>
        <v/>
      </c>
      <c r="BK45" s="89" t="str">
        <f ca="1">IF(AND($AG45&lt;&gt;"",BJ45&gt;1),CONCATENATE($BD45," ",LEFT($AG45,MIN(3,SEARCH(" ",$AG45)-1)),IF(SEARCH(" ",$AG45)-1&gt;3,".",""),""),"")</f>
        <v/>
      </c>
      <c r="BL45" s="90" t="str">
        <f ca="1">IF(BK45&lt;&gt;"",COUNTIF(OFFSET(BK$2,,,COUNTIF($AG$2:$AG$50,"?*")),BK45),IF($AG45&lt;&gt;"",0,""))</f>
        <v/>
      </c>
      <c r="BM45" s="89" t="str">
        <f ca="1">IF(AND($AG45&lt;&gt;"",BL45&gt;1),CONCATENATE($BD45," ",LEFT($AG45,MIN(4,SEARCH(" ",$AG45)-1)),IF(SEARCH(" ",$AG45)-1&gt;4,".",""),""),"")</f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261</v>
      </c>
      <c r="T46" s="102">
        <v>1</v>
      </c>
      <c r="U46" s="112">
        <v>18.02</v>
      </c>
      <c r="V46" s="102">
        <v>1</v>
      </c>
      <c r="W46" s="102">
        <v>1</v>
      </c>
      <c r="X46" s="102">
        <v>0</v>
      </c>
      <c r="Y46" s="102">
        <v>4</v>
      </c>
      <c r="Z46" s="102">
        <v>0</v>
      </c>
      <c r="AA46" s="102">
        <v>0</v>
      </c>
      <c r="AB46" s="102">
        <v>3</v>
      </c>
      <c r="AC46" s="102">
        <v>0</v>
      </c>
      <c r="AD46" s="102">
        <v>0</v>
      </c>
      <c r="AE46" s="112">
        <f t="shared" ref="AE46:AE50" si="9">IF(S46&lt;&gt;"",IF(T46&gt;0,W46/(U46/60),0),"")</f>
        <v>3.3296337402885681</v>
      </c>
      <c r="AF46" s="112">
        <f t="shared" ref="AF46:AF50" si="10">IF(S46&lt;&gt;"",IF(Y46&gt;0,(AB46/Y46)*100,"-"),"")</f>
        <v>75</v>
      </c>
      <c r="AG46" s="121"/>
      <c r="AH46" s="122"/>
      <c r="AI46" s="123"/>
      <c r="AJ46" s="123"/>
      <c r="AK46" s="123"/>
      <c r="AL46" s="124" t="str">
        <f t="shared" si="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ca="1">IF(AG46&lt;&gt;"",IF(AH46&lt;&gt;"",INT((TODAY()-AH46)/365),"?"),"")</f>
        <v/>
      </c>
      <c r="AV46" s="127" t="str">
        <f t="shared" si="6"/>
        <v/>
      </c>
      <c r="AW46" s="128" t="str">
        <f t="shared" si="7"/>
        <v/>
      </c>
      <c r="AX46" s="129" t="str">
        <f ca="1">IFERROR(IF(MATCH(AG46,OFFSET($S$45,,,COUNTIF($S$45:$S$50,"?*")),0)&gt;0,CONCATENATE(VLOOKUP(AG46,OFFSET($S$45,,,COUNTIF($S$45:$S$50,"?*"),14),4,FALSE)," V, ",VLOOKUP(AG46,OFFSET($S$45,,,COUNTIF($S$45:$S$50,"?*"),14),9,FALSE)," P"),""),IFERROR(CONCATENATE(VLOOKUP(AG46,OFFSET($S$2,,,COUNTIF($S$2:$S$42,"?*"),10),3,FALSE)+AZ46," OZ, ",VLOOKUP(AG46,OFFSET($S$2,,,COUNTIF($S$2:$S$42,"?*"),10),8,FALSE)+BA46+BB46," (",VLOOKUP(AG46,OFFSET($S$2,,,COUNTIF($S$2:$S$42,"?*"),10),4,FALSE)+BA46,"+",VLOOKUP(AG46,OFFSET($S$2,,,COUNTIF($S$2:$S$42,"?*"),10),7,FALSE)+BB46,"), ",IF(VLOOKUP(AG46,OFFSET($S$2,,,COUNTIF($S$2:$S$42,"?*"),10),10,FALSE)+BC46&gt;0,"+",""),VLOOKUP(AG46,OFFSET($S$2,,,COUNTIF($S$2:$S$42,"?*"),10),10,FALSE)+BC46," ±"),IF(AG46&lt;&gt;"","0 OZ, 0 (0+0)","")))</f>
        <v/>
      </c>
      <c r="AY46" s="129" t="str">
        <f ca="1">IFERROR(CONCATENATE(AI46+VLOOKUP(AG46,OFFSET($S$45,,,COUNTIF($S$45:$S$50,"?*"),14),2,FALSE)," OZ, ",AK46+VLOOKUP(AG46,OFFSET($S$45,,,COUNTIF($S$45:$S$50,"?*"),14),11,FALSE)," A"),IFERROR(CONCATENATE(VLOOKUP(AG46,OFFSET($S$2,,,COUNTIF($S$2:$S$42,"?*"),10),3,FALSE)+AZ46+AI46," OZ, ",VLOOKUP(AG46,OFFSET($S$2,,,COUNTIF($S$2:$S$42,"?*"),10),8,FALSE)+BA46+BB46+AL46," (",VLOOKUP(AG46,OFFSET($S$2,,,COUNTIF($S$2:$S$42,"?*"),10),4,FALSE)+BA46+AJ46,"+",VLOOKUP(AG46,OFFSET($S$2,,,COUNTIF($S$2:$S$42,"?*"),10),7,FALSE)+BB46+AK46,")"),IF(AG46&lt;&gt;"",CONCATENATE(AI46," OZ, ",AL46," (",AJ46,"+",AK46,")"),"")))</f>
        <v/>
      </c>
      <c r="AZ46" s="130"/>
      <c r="BA46" s="130"/>
      <c r="BB46" s="130"/>
      <c r="BC46" s="130"/>
      <c r="BD46" s="3" t="str">
        <f t="shared" si="0"/>
        <v/>
      </c>
      <c r="BE46" s="84" t="str">
        <f ca="1">IF(AG46&lt;&gt;"",COUNTIF(OFFSET($BD$2,,,COUNTIF($AG$2:$AG$50,"?*")),BD46),"")</f>
        <v/>
      </c>
      <c r="BF46" s="62" t="str">
        <f t="shared" si="1"/>
        <v/>
      </c>
      <c r="BG46" s="3" t="str">
        <f ca="1">IF(AND($AG46&lt;&gt;"",BE46&gt;1),CONCATENATE($BD46," ",LEFT($AG46,MIN(1,SEARCH(" ",$AG46)-1)),IF(SEARCH(" ",$AG46)-1&gt;1,".",""),""),"")</f>
        <v/>
      </c>
      <c r="BH46" s="62" t="str">
        <f ca="1">IF(BG46&lt;&gt;"",COUNTIF(OFFSET(BG$2,,,COUNTIF($AG$2:$AG$50,"?*")),BG46),IF($AG46&lt;&gt;"",0,""))</f>
        <v/>
      </c>
      <c r="BI46" s="3" t="str">
        <f ca="1">IF(AND($AG46&lt;&gt;"",BH46&gt;1),CONCATENATE($BD46," ",LEFT($AG46,MIN(2,SEARCH(" ",$AG46)-1)),IF(SEARCH(" ",$AG46)-1&gt;2,".",""),""),"")</f>
        <v/>
      </c>
      <c r="BJ46" s="62" t="str">
        <f ca="1">IF(BI46&lt;&gt;"",COUNTIF(OFFSET(BI$2,,,COUNTIF($AG$2:$AG$50,"?*")),BI46),IF($AG46&lt;&gt;"",0,""))</f>
        <v/>
      </c>
      <c r="BK46" s="3" t="str">
        <f ca="1">IF(AND($AG46&lt;&gt;"",BJ46&gt;1),CONCATENATE($BD46," ",LEFT($AG46,MIN(3,SEARCH(" ",$AG46)-1)),IF(SEARCH(" ",$AG46)-1&gt;3,".",""),""),"")</f>
        <v/>
      </c>
      <c r="BL46" s="62" t="str">
        <f ca="1">IF(BK46&lt;&gt;"",COUNTIF(OFFSET(BK$2,,,COUNTIF($AG$2:$AG$50,"?*")),BK46),IF($AG46&lt;&gt;"",0,""))</f>
        <v/>
      </c>
      <c r="BM46" s="3" t="str">
        <f ca="1">IF(AND($AG46&lt;&gt;"",BL46&gt;1),CONCATENATE($BD46," ",LEFT($AG46,MIN(4,SEARCH(" ",$AG46)-1)),IF(SEARCH(" ",$AG46)-1&gt;4,".",""),""),"")</f>
        <v/>
      </c>
    </row>
    <row r="47" spans="1:65" ht="15" customHeight="1" thickTop="1" x14ac:dyDescent="0.2">
      <c r="A47" s="465" t="s">
        <v>291</v>
      </c>
      <c r="B47" s="466"/>
      <c r="C47" s="466"/>
      <c r="D47" s="466"/>
      <c r="E47" s="461" t="str">
        <f ca="1">IFERROR(VLOOKUP(A47,OFFSET($BN$2,,,COUNTIF($BN$2:$BN$11,"?*"),5),3,FALSE),"")</f>
        <v>hlavní trenér</v>
      </c>
      <c r="F47" s="461"/>
      <c r="G47" s="461"/>
      <c r="H47" s="461"/>
      <c r="I47" s="462"/>
      <c r="J47" s="465" t="s">
        <v>292</v>
      </c>
      <c r="K47" s="466"/>
      <c r="L47" s="466"/>
      <c r="M47" s="466"/>
      <c r="N47" s="461" t="str">
        <f ca="1">IFERROR(VLOOKUP(J47,OFFSET($BN$2,,,COUNTIF($BN$2:$BN$11,"?*"),5),3,FALSE),"")</f>
        <v>asistent trenéra</v>
      </c>
      <c r="O47" s="461"/>
      <c r="P47" s="461"/>
      <c r="Q47" s="461"/>
      <c r="R47" s="462"/>
      <c r="S47" s="111" t="s">
        <v>262</v>
      </c>
      <c r="T47" s="102">
        <v>5</v>
      </c>
      <c r="U47" s="112">
        <v>270.49</v>
      </c>
      <c r="V47" s="102">
        <v>1</v>
      </c>
      <c r="W47" s="102">
        <v>29</v>
      </c>
      <c r="X47" s="102">
        <v>0</v>
      </c>
      <c r="Y47" s="102">
        <v>110</v>
      </c>
      <c r="Z47" s="102">
        <v>0</v>
      </c>
      <c r="AA47" s="102">
        <v>4</v>
      </c>
      <c r="AB47" s="102">
        <v>81</v>
      </c>
      <c r="AC47" s="102">
        <v>0</v>
      </c>
      <c r="AD47" s="102">
        <v>0</v>
      </c>
      <c r="AE47" s="112">
        <f t="shared" si="9"/>
        <v>6.4327701578616585</v>
      </c>
      <c r="AF47" s="112">
        <f t="shared" si="10"/>
        <v>73.636363636363626</v>
      </c>
      <c r="AG47" s="121"/>
      <c r="AH47" s="122"/>
      <c r="AI47" s="123"/>
      <c r="AJ47" s="123"/>
      <c r="AK47" s="123"/>
      <c r="AL47" s="124" t="str">
        <f t="shared" si="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ca="1">IF(AG47&lt;&gt;"",IF(AH47&lt;&gt;"",INT((TODAY()-AH47)/365),"?"),"")</f>
        <v/>
      </c>
      <c r="AV47" s="127" t="str">
        <f t="shared" si="6"/>
        <v/>
      </c>
      <c r="AW47" s="128" t="str">
        <f t="shared" si="7"/>
        <v/>
      </c>
      <c r="AX47" s="129" t="str">
        <f ca="1">IFERROR(IF(MATCH(AG47,OFFSET($S$45,,,COUNTIF($S$45:$S$50,"?*")),0)&gt;0,CONCATENATE(VLOOKUP(AG47,OFFSET($S$45,,,COUNTIF($S$45:$S$50,"?*"),14),4,FALSE)," V, ",VLOOKUP(AG47,OFFSET($S$45,,,COUNTIF($S$45:$S$50,"?*"),14),9,FALSE)," P"),""),IFERROR(CONCATENATE(VLOOKUP(AG47,OFFSET($S$2,,,COUNTIF($S$2:$S$42,"?*"),10),3,FALSE)+AZ47," OZ, ",VLOOKUP(AG47,OFFSET($S$2,,,COUNTIF($S$2:$S$42,"?*"),10),8,FALSE)+BA47+BB47," (",VLOOKUP(AG47,OFFSET($S$2,,,COUNTIF($S$2:$S$42,"?*"),10),4,FALSE)+BA47,"+",VLOOKUP(AG47,OFFSET($S$2,,,COUNTIF($S$2:$S$42,"?*"),10),7,FALSE)+BB47,"), ",IF(VLOOKUP(AG47,OFFSET($S$2,,,COUNTIF($S$2:$S$42,"?*"),10),10,FALSE)+BC47&gt;0,"+",""),VLOOKUP(AG47,OFFSET($S$2,,,COUNTIF($S$2:$S$42,"?*"),10),10,FALSE)+BC47," ±"),IF(AG47&lt;&gt;"","0 OZ, 0 (0+0)","")))</f>
        <v/>
      </c>
      <c r="AY47" s="129" t="str">
        <f ca="1">IFERROR(CONCATENATE(AI47+VLOOKUP(AG47,OFFSET($S$45,,,COUNTIF($S$45:$S$50,"?*"),14),2,FALSE)," OZ, ",AK47+VLOOKUP(AG47,OFFSET($S$45,,,COUNTIF($S$45:$S$50,"?*"),14),11,FALSE)," A"),IFERROR(CONCATENATE(VLOOKUP(AG47,OFFSET($S$2,,,COUNTIF($S$2:$S$42,"?*"),10),3,FALSE)+AZ47+AI47," OZ, ",VLOOKUP(AG47,OFFSET($S$2,,,COUNTIF($S$2:$S$42,"?*"),10),8,FALSE)+BA47+BB47+AL47," (",VLOOKUP(AG47,OFFSET($S$2,,,COUNTIF($S$2:$S$42,"?*"),10),4,FALSE)+BA47+AJ47,"+",VLOOKUP(AG47,OFFSET($S$2,,,COUNTIF($S$2:$S$42,"?*"),10),7,FALSE)+BB47+AK47,")"),IF(AG47&lt;&gt;"",CONCATENATE(AI47," OZ, ",AL47," (",AJ47,"+",AK47,")"),"")))</f>
        <v/>
      </c>
      <c r="AZ47" s="130"/>
      <c r="BA47" s="130"/>
      <c r="BB47" s="130"/>
      <c r="BC47" s="130"/>
      <c r="BD47" s="89" t="str">
        <f t="shared" si="0"/>
        <v/>
      </c>
      <c r="BE47" s="91" t="str">
        <f ca="1">IF(AG47&lt;&gt;"",COUNTIF(OFFSET($BD$2,,,COUNTIF($AG$2:$AG$50,"?*")),BD47),"")</f>
        <v/>
      </c>
      <c r="BF47" s="90" t="str">
        <f t="shared" si="1"/>
        <v/>
      </c>
      <c r="BG47" s="89" t="str">
        <f ca="1">IF(AND($AG47&lt;&gt;"",BE47&gt;1),CONCATENATE($BD47," ",LEFT($AG47,MIN(1,SEARCH(" ",$AG47)-1)),IF(SEARCH(" ",$AG47)-1&gt;1,".",""),""),"")</f>
        <v/>
      </c>
      <c r="BH47" s="90" t="str">
        <f ca="1">IF(BG47&lt;&gt;"",COUNTIF(OFFSET(BG$2,,,COUNTIF($AG$2:$AG$50,"?*")),BG47),IF($AG47&lt;&gt;"",0,""))</f>
        <v/>
      </c>
      <c r="BI47" s="89" t="str">
        <f ca="1">IF(AND($AG47&lt;&gt;"",BH47&gt;1),CONCATENATE($BD47," ",LEFT($AG47,MIN(2,SEARCH(" ",$AG47)-1)),IF(SEARCH(" ",$AG47)-1&gt;2,".",""),""),"")</f>
        <v/>
      </c>
      <c r="BJ47" s="90" t="str">
        <f ca="1">IF(BI47&lt;&gt;"",COUNTIF(OFFSET(BI$2,,,COUNTIF($AG$2:$AG$50,"?*")),BI47),IF($AG47&lt;&gt;"",0,""))</f>
        <v/>
      </c>
      <c r="BK47" s="89" t="str">
        <f ca="1">IF(AND($AG47&lt;&gt;"",BJ47&gt;1),CONCATENATE($BD47," ",LEFT($AG47,MIN(3,SEARCH(" ",$AG47)-1)),IF(SEARCH(" ",$AG47)-1&gt;3,".",""),""),"")</f>
        <v/>
      </c>
      <c r="BL47" s="90" t="str">
        <f ca="1">IF(BK47&lt;&gt;"",COUNTIF(OFFSET(BK$2,,,COUNTIF($AG$2:$AG$50,"?*")),BK47),IF($AG47&lt;&gt;"",0,""))</f>
        <v/>
      </c>
      <c r="BM47" s="89" t="str">
        <f ca="1">IF(AND($AG47&lt;&gt;"",BL47&gt;1),CONCATENATE($BD47," ",LEFT($AG47,MIN(4,SEARCH(" ",$AG47)-1)),IF(SEARCH(" ",$AG47)-1&gt;4,".",""),""),"")</f>
        <v/>
      </c>
    </row>
    <row r="48" spans="1:65" ht="15" customHeight="1" thickBot="1" x14ac:dyDescent="0.25">
      <c r="A48" s="451">
        <f ca="1">IFERROR(VLOOKUP(A47,OFFSET($BN$2,,,COUNTIF($BN$2:$BN$11,"?*"),5),5,FALSE),"")</f>
        <v>35</v>
      </c>
      <c r="B48" s="453" t="str">
        <f ca="1">IFERROR(IF(VLOOKUP(A47,OFFSET($BN$2,,,COUNTIF($BN$2:$BN$11,"?*"),5),4,FALSE)&lt;&gt;0,VLOOKUP(A47,OFFSET($BN$2,,,COUNTIF($BN$2:$BN$11,"?*"),5),4,FALSE),"-"),"")</f>
        <v>mistr ČR s Tatranem, účast v Superfinále, vítězství v Poháru s Tatranem i Chodovem (hráč), 2x mistr ČR a medaile s mládežnickými týmy Tatranu a Chodova (trenér)</v>
      </c>
      <c r="C48" s="453"/>
      <c r="D48" s="453"/>
      <c r="E48" s="453"/>
      <c r="F48" s="453"/>
      <c r="G48" s="453"/>
      <c r="H48" s="453"/>
      <c r="I48" s="454"/>
      <c r="J48" s="119">
        <f ca="1">IFERROR(VLOOKUP(J47,OFFSET($BN$2,,,COUNTIF($BN$2:$BN$11,"?*"),5),5,FALSE),"")</f>
        <v>48</v>
      </c>
      <c r="K48" s="457" t="str">
        <f ca="1">IFERROR(IF(VLOOKUP(J47,OFFSET($BN$2,,,COUNTIF($BN$2:$BN$11,"?*"),5),4,FALSE)&lt;&gt;0,VLOOKUP(J47,OFFSET($BN$2,,,COUNTIF($BN$2:$BN$11,"?*"),5),4,FALSE),"-"),"")</f>
        <v>2x titul s Tatranem Střešovice (hráč), 2x titul s Tatranem Střešovice (trenér), 2x titul s Florbal Chodov (asistent trenéra), 1x titul s Tatranem Střešovice (trenér juniorů)</v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9"/>
        <v/>
      </c>
      <c r="AF48" s="112" t="str">
        <f t="shared" si="10"/>
        <v/>
      </c>
      <c r="AG48" s="121"/>
      <c r="AH48" s="122"/>
      <c r="AI48" s="123"/>
      <c r="AJ48" s="123"/>
      <c r="AK48" s="123"/>
      <c r="AL48" s="124" t="str">
        <f t="shared" si="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ca="1">IF(AG48&lt;&gt;"",IF(AH48&lt;&gt;"",INT((TODAY()-AH48)/365),"?"),"")</f>
        <v/>
      </c>
      <c r="AV48" s="127" t="str">
        <f t="shared" si="6"/>
        <v/>
      </c>
      <c r="AW48" s="128" t="str">
        <f t="shared" si="7"/>
        <v/>
      </c>
      <c r="AX48" s="129" t="str">
        <f ca="1">IFERROR(IF(MATCH(AG48,OFFSET($S$45,,,COUNTIF($S$45:$S$50,"?*")),0)&gt;0,CONCATENATE(VLOOKUP(AG48,OFFSET($S$45,,,COUNTIF($S$45:$S$50,"?*"),14),4,FALSE)," V, ",VLOOKUP(AG48,OFFSET($S$45,,,COUNTIF($S$45:$S$50,"?*"),14),9,FALSE)," P"),""),IFERROR(CONCATENATE(VLOOKUP(AG48,OFFSET($S$2,,,COUNTIF($S$2:$S$42,"?*"),10),3,FALSE)+AZ48," OZ, ",VLOOKUP(AG48,OFFSET($S$2,,,COUNTIF($S$2:$S$42,"?*"),10),8,FALSE)+BA48+BB48," (",VLOOKUP(AG48,OFFSET($S$2,,,COUNTIF($S$2:$S$42,"?*"),10),4,FALSE)+BA48,"+",VLOOKUP(AG48,OFFSET($S$2,,,COUNTIF($S$2:$S$42,"?*"),10),7,FALSE)+BB48,"), ",IF(VLOOKUP(AG48,OFFSET($S$2,,,COUNTIF($S$2:$S$42,"?*"),10),10,FALSE)+BC48&gt;0,"+",""),VLOOKUP(AG48,OFFSET($S$2,,,COUNTIF($S$2:$S$42,"?*"),10),10,FALSE)+BC48," ±"),IF(AG48&lt;&gt;"","0 OZ, 0 (0+0)","")))</f>
        <v/>
      </c>
      <c r="AY48" s="129" t="str">
        <f ca="1">IFERROR(CONCATENATE(AI48+VLOOKUP(AG48,OFFSET($S$45,,,COUNTIF($S$45:$S$50,"?*"),14),2,FALSE)," OZ, ",AK48+VLOOKUP(AG48,OFFSET($S$45,,,COUNTIF($S$45:$S$50,"?*"),14),11,FALSE)," A"),IFERROR(CONCATENATE(VLOOKUP(AG48,OFFSET($S$2,,,COUNTIF($S$2:$S$42,"?*"),10),3,FALSE)+AZ48+AI48," OZ, ",VLOOKUP(AG48,OFFSET($S$2,,,COUNTIF($S$2:$S$42,"?*"),10),8,FALSE)+BA48+BB48+AL48," (",VLOOKUP(AG48,OFFSET($S$2,,,COUNTIF($S$2:$S$42,"?*"),10),4,FALSE)+BA48+AJ48,"+",VLOOKUP(AG48,OFFSET($S$2,,,COUNTIF($S$2:$S$42,"?*"),10),7,FALSE)+BB48+AK48,")"),IF(AG48&lt;&gt;"",CONCATENATE(AI48," OZ, ",AL48," (",AJ48,"+",AK48,")"),"")))</f>
        <v/>
      </c>
      <c r="AZ48" s="130"/>
      <c r="BA48" s="130"/>
      <c r="BB48" s="130"/>
      <c r="BC48" s="130"/>
      <c r="BD48" s="3" t="str">
        <f t="shared" si="0"/>
        <v/>
      </c>
      <c r="BE48" s="84" t="str">
        <f ca="1">IF(AG48&lt;&gt;"",COUNTIF(OFFSET($BD$2,,,COUNTIF($AG$2:$AG$50,"?*")),BD48),"")</f>
        <v/>
      </c>
      <c r="BF48" s="62" t="str">
        <f t="shared" si="1"/>
        <v/>
      </c>
      <c r="BG48" s="3" t="str">
        <f ca="1">IF(AND($AG48&lt;&gt;"",BE48&gt;1),CONCATENATE($BD48," ",LEFT($AG48,MIN(1,SEARCH(" ",$AG48)-1)),IF(SEARCH(" ",$AG48)-1&gt;1,".",""),""),"")</f>
        <v/>
      </c>
      <c r="BH48" s="62" t="str">
        <f ca="1">IF(BG48&lt;&gt;"",COUNTIF(OFFSET(BG$2,,,COUNTIF($AG$2:$AG$50,"?*")),BG48),IF($AG48&lt;&gt;"",0,""))</f>
        <v/>
      </c>
      <c r="BI48" s="3" t="str">
        <f ca="1">IF(AND($AG48&lt;&gt;"",BH48&gt;1),CONCATENATE($BD48," ",LEFT($AG48,MIN(2,SEARCH(" ",$AG48)-1)),IF(SEARCH(" ",$AG48)-1&gt;2,".",""),""),"")</f>
        <v/>
      </c>
      <c r="BJ48" s="62" t="str">
        <f ca="1">IF(BI48&lt;&gt;"",COUNTIF(OFFSET(BI$2,,,COUNTIF($AG$2:$AG$50,"?*")),BI48),IF($AG48&lt;&gt;"",0,""))</f>
        <v/>
      </c>
      <c r="BK48" s="3" t="str">
        <f ca="1">IF(AND($AG48&lt;&gt;"",BJ48&gt;1),CONCATENATE($BD48," ",LEFT($AG48,MIN(3,SEARCH(" ",$AG48)-1)),IF(SEARCH(" ",$AG48)-1&gt;3,".",""),""),"")</f>
        <v/>
      </c>
      <c r="BL48" s="62" t="str">
        <f ca="1">IF(BK48&lt;&gt;"",COUNTIF(OFFSET(BK$2,,,COUNTIF($AG$2:$AG$50,"?*")),BK48),IF($AG48&lt;&gt;"",0,""))</f>
        <v/>
      </c>
      <c r="BM48" s="3" t="str">
        <f ca="1">IF(AND($AG48&lt;&gt;"",BL48&gt;1),CONCATENATE($BD48," ",LEFT($AG48,MIN(4,SEARCH(" ",$AG48)-1)),IF(SEARCH(" ",$AG48)-1&gt;4,".",""),""),"")</f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 t="s">
        <v>293</v>
      </c>
      <c r="K49" s="460"/>
      <c r="L49" s="460"/>
      <c r="M49" s="460"/>
      <c r="N49" s="461" t="str">
        <f ca="1">IFERROR(VLOOKUP(J49,OFFSET($BN$2,,,COUNTIF($BN$2:$BN$11,"?*"),5),3,FALSE),"")</f>
        <v>vedoucí týmu</v>
      </c>
      <c r="O49" s="461"/>
      <c r="P49" s="461"/>
      <c r="Q49" s="461"/>
      <c r="R49" s="462"/>
      <c r="S49" s="111"/>
      <c r="U49" s="112"/>
      <c r="AE49" s="112" t="str">
        <f t="shared" si="9"/>
        <v/>
      </c>
      <c r="AF49" s="112" t="str">
        <f t="shared" si="10"/>
        <v/>
      </c>
      <c r="AG49" s="121"/>
      <c r="AH49" s="122"/>
      <c r="AI49" s="123"/>
      <c r="AJ49" s="123"/>
      <c r="AK49" s="123"/>
      <c r="AL49" s="124" t="str">
        <f t="shared" si="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ca="1">IF(AG49&lt;&gt;"",IF(AH49&lt;&gt;"",INT((TODAY()-AH49)/365),"?"),"")</f>
        <v/>
      </c>
      <c r="AV49" s="127" t="str">
        <f t="shared" si="6"/>
        <v/>
      </c>
      <c r="AW49" s="128" t="str">
        <f t="shared" si="7"/>
        <v/>
      </c>
      <c r="AX49" s="129" t="str">
        <f ca="1">IFERROR(IF(MATCH(AG49,OFFSET($S$45,,,COUNTIF($S$45:$S$50,"?*")),0)&gt;0,CONCATENATE(VLOOKUP(AG49,OFFSET($S$45,,,COUNTIF($S$45:$S$50,"?*"),14),4,FALSE)," V, ",VLOOKUP(AG49,OFFSET($S$45,,,COUNTIF($S$45:$S$50,"?*"),14),9,FALSE)," P"),""),IFERROR(CONCATENATE(VLOOKUP(AG49,OFFSET($S$2,,,COUNTIF($S$2:$S$42,"?*"),10),3,FALSE)+AZ49," OZ, ",VLOOKUP(AG49,OFFSET($S$2,,,COUNTIF($S$2:$S$42,"?*"),10),8,FALSE)+BA49+BB49," (",VLOOKUP(AG49,OFFSET($S$2,,,COUNTIF($S$2:$S$42,"?*"),10),4,FALSE)+BA49,"+",VLOOKUP(AG49,OFFSET($S$2,,,COUNTIF($S$2:$S$42,"?*"),10),7,FALSE)+BB49,"), ",IF(VLOOKUP(AG49,OFFSET($S$2,,,COUNTIF($S$2:$S$42,"?*"),10),10,FALSE)+BC49&gt;0,"+",""),VLOOKUP(AG49,OFFSET($S$2,,,COUNTIF($S$2:$S$42,"?*"),10),10,FALSE)+BC49," ±"),IF(AG49&lt;&gt;"","0 OZ, 0 (0+0)","")))</f>
        <v/>
      </c>
      <c r="AY49" s="129" t="str">
        <f ca="1">IFERROR(CONCATENATE(AI49+VLOOKUP(AG49,OFFSET($S$45,,,COUNTIF($S$45:$S$50,"?*"),14),2,FALSE)," OZ, ",AK49+VLOOKUP(AG49,OFFSET($S$45,,,COUNTIF($S$45:$S$50,"?*"),14),11,FALSE)," A"),IFERROR(CONCATENATE(VLOOKUP(AG49,OFFSET($S$2,,,COUNTIF($S$2:$S$42,"?*"),10),3,FALSE)+AZ49+AI49," OZ, ",VLOOKUP(AG49,OFFSET($S$2,,,COUNTIF($S$2:$S$42,"?*"),10),8,FALSE)+BA49+BB49+AL49," (",VLOOKUP(AG49,OFFSET($S$2,,,COUNTIF($S$2:$S$42,"?*"),10),4,FALSE)+BA49+AJ49,"+",VLOOKUP(AG49,OFFSET($S$2,,,COUNTIF($S$2:$S$42,"?*"),10),7,FALSE)+BB49+AK49,")"),IF(AG49&lt;&gt;"",CONCATENATE(AI49," OZ, ",AL49," (",AJ49,"+",AK49,")"),"")))</f>
        <v/>
      </c>
      <c r="AZ49" s="130"/>
      <c r="BA49" s="130"/>
      <c r="BB49" s="130"/>
      <c r="BC49" s="130"/>
      <c r="BD49" s="89" t="str">
        <f t="shared" si="0"/>
        <v/>
      </c>
      <c r="BE49" s="91" t="str">
        <f ca="1">IF(AG49&lt;&gt;"",COUNTIF(OFFSET($BD$2,,,COUNTIF($AG$2:$AG$50,"?*")),BD49),"")</f>
        <v/>
      </c>
      <c r="BF49" s="90" t="str">
        <f t="shared" si="1"/>
        <v/>
      </c>
      <c r="BG49" s="89" t="str">
        <f ca="1">IF(AND($AG49&lt;&gt;"",BE49&gt;1),CONCATENATE($BD49," ",LEFT($AG49,MIN(1,SEARCH(" ",$AG49)-1)),IF(SEARCH(" ",$AG49)-1&gt;1,".",""),""),"")</f>
        <v/>
      </c>
      <c r="BH49" s="90" t="str">
        <f ca="1">IF(BG49&lt;&gt;"",COUNTIF(OFFSET(BG$2,,,COUNTIF($AG$2:$AG$50,"?*")),BG49),IF($AG49&lt;&gt;"",0,""))</f>
        <v/>
      </c>
      <c r="BI49" s="89" t="str">
        <f ca="1">IF(AND($AG49&lt;&gt;"",BH49&gt;1),CONCATENATE($BD49," ",LEFT($AG49,MIN(2,SEARCH(" ",$AG49)-1)),IF(SEARCH(" ",$AG49)-1&gt;2,".",""),""),"")</f>
        <v/>
      </c>
      <c r="BJ49" s="90" t="str">
        <f ca="1">IF(BI49&lt;&gt;"",COUNTIF(OFFSET(BI$2,,,COUNTIF($AG$2:$AG$50,"?*")),BI49),IF($AG49&lt;&gt;"",0,""))</f>
        <v/>
      </c>
      <c r="BK49" s="89" t="str">
        <f ca="1">IF(AND($AG49&lt;&gt;"",BJ49&gt;1),CONCATENATE($BD49," ",LEFT($AG49,MIN(3,SEARCH(" ",$AG49)-1)),IF(SEARCH(" ",$AG49)-1&gt;3,".",""),""),"")</f>
        <v/>
      </c>
      <c r="BL49" s="90" t="str">
        <f ca="1">IF(BK49&lt;&gt;"",COUNTIF(OFFSET(BK$2,,,COUNTIF($AG$2:$AG$50,"?*")),BK49),IF($AG49&lt;&gt;"",0,""))</f>
        <v/>
      </c>
      <c r="BM49" s="89" t="str">
        <f ca="1">IF(AND($AG49&lt;&gt;"",BL49&gt;1),CONCATENATE($BD49," ",LEFT($AG49,MIN(4,SEARCH(" ",$AG49)-1)),IF(SEARCH(" ",$AG49)-1&gt;4,".",""),""),"")</f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>
        <f ca="1">IFERROR(VLOOKUP(J49,OFFSET($BN$2,,,COUNTIF($BN$2:$BN$11,"?*"),5),5,FALSE),"")</f>
        <v>36</v>
      </c>
      <c r="K50" s="457" t="str">
        <f ca="1">IFERROR(IF(VLOOKUP(J49,OFFSET($BN$2,,,COUNTIF($BN$2:$BN$11,"?*"),5),4,FALSE)&lt;&gt;0,VLOOKUP(J49,OFFSET($BN$2,,,COUNTIF($BN$2:$BN$11,"?*"),5),4,FALSE),"-"),"")</f>
        <v>2x mistr ligy</v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9"/>
        <v/>
      </c>
      <c r="AF50" s="112" t="str">
        <f t="shared" si="10"/>
        <v/>
      </c>
      <c r="AG50" s="121"/>
      <c r="AH50" s="122"/>
      <c r="AI50" s="123"/>
      <c r="AJ50" s="123"/>
      <c r="AK50" s="123"/>
      <c r="AL50" s="124" t="str">
        <f t="shared" si="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/>
      </c>
      <c r="AV50" s="127" t="str">
        <f t="shared" si="6"/>
        <v/>
      </c>
      <c r="AW50" s="128" t="str">
        <f t="shared" si="7"/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/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/>
      </c>
      <c r="AZ50" s="130"/>
      <c r="BA50" s="130"/>
      <c r="BB50" s="130"/>
      <c r="BC50" s="130"/>
      <c r="BD50" s="3" t="str">
        <f t="shared" si="0"/>
        <v/>
      </c>
      <c r="BE50" s="84" t="str">
        <f ca="1">IF(AG50&lt;&gt;"",COUNTIF(OFFSET($BD$2,,,COUNTIF($AG$2:$AG$50,"?*")),BD50),"")</f>
        <v/>
      </c>
      <c r="BF50" s="62" t="str">
        <f t="shared" si="1"/>
        <v/>
      </c>
      <c r="BG50" s="3" t="str">
        <f ca="1">IF(AND($AG50&lt;&gt;"",BE50&gt;1),CONCATENATE($BD50," ",LEFT($AG50,MIN(1,SEARCH(" ",$AG50)-1)),IF(SEARCH(" ",$AG50)-1&gt;1,".",""),""),"")</f>
        <v/>
      </c>
      <c r="BH50" s="62" t="str">
        <f ca="1">IF(BG50&lt;&gt;"",COUNTIF(OFFSET(BG$2,,,COUNTIF($AG$2:$AG$50,"?*")),BG50),IF($AG50&lt;&gt;"",0,""))</f>
        <v/>
      </c>
      <c r="BI50" s="3" t="str">
        <f ca="1">IF(AND($AG50&lt;&gt;"",BH50&gt;1),CONCATENATE($BD50," ",LEFT($AG50,MIN(2,SEARCH(" ",$AG50)-1)),IF(SEARCH(" ",$AG50)-1&gt;2,".",""),""),"")</f>
        <v/>
      </c>
      <c r="BJ50" s="62" t="str">
        <f ca="1">IF(BI50&lt;&gt;"",COUNTIF(OFFSET(BI$2,,,COUNTIF($AG$2:$AG$50,"?*")),BI50),IF($AG50&lt;&gt;"",0,""))</f>
        <v/>
      </c>
      <c r="BK50" s="3" t="str">
        <f ca="1">IF(AND($AG50&lt;&gt;"",BJ50&gt;1),CONCATENATE($BD50," ",LEFT($AG50,MIN(3,SEARCH(" ",$AG50)-1)),IF(SEARCH(" ",$AG50)-1&gt;3,".",""),""),"")</f>
        <v/>
      </c>
      <c r="BL50" s="62" t="str">
        <f ca="1">IF(BK50&lt;&gt;"",COUNTIF(OFFSET(BK$2,,,COUNTIF($AG$2:$AG$50,"?*")),BK50),IF($AG50&lt;&gt;"",0,""))</f>
        <v/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82" priority="12" stopIfTrue="1" operator="equal">
      <formula>"OTR"</formula>
    </cfRule>
    <cfRule type="cellIs" dxfId="481" priority="13" stopIfTrue="1" operator="equal">
      <formula>"PAR"</formula>
    </cfRule>
    <cfRule type="cellIs" dxfId="480" priority="14" stopIfTrue="1" operator="equal">
      <formula>"CLP"</formula>
    </cfRule>
    <cfRule type="cellIs" dxfId="479" priority="15" stopIfTrue="1" operator="equal">
      <formula>"HAT"</formula>
    </cfRule>
    <cfRule type="cellIs" dxfId="478" priority="16" stopIfTrue="1" operator="equal">
      <formula>"LIB"</formula>
    </cfRule>
    <cfRule type="cellIs" dxfId="477" priority="17" stopIfTrue="1" operator="equal">
      <formula>"BA"</formula>
    </cfRule>
    <cfRule type="cellIs" dxfId="476" priority="18" stopIfTrue="1" operator="equal">
      <formula>"SPA"</formula>
    </cfRule>
    <cfRule type="cellIs" dxfId="475" priority="19" stopIfTrue="1" operator="equal">
      <formula>"OST"</formula>
    </cfRule>
    <cfRule type="cellIs" dxfId="474" priority="20" stopIfTrue="1" operator="equal">
      <formula>"BOH"</formula>
    </cfRule>
    <cfRule type="cellIs" dxfId="473" priority="21" stopIfTrue="1" operator="equal">
      <formula>"TAT"</formula>
    </cfRule>
    <cfRule type="cellIs" dxfId="472" priority="22" stopIfTrue="1" operator="equal">
      <formula>"MB"</formula>
    </cfRule>
    <cfRule type="cellIs" dxfId="471" priority="23" stopIfTrue="1" operator="equal">
      <formula>"VIT"</formula>
    </cfRule>
    <cfRule type="cellIs" dxfId="470" priority="24" stopIfTrue="1" operator="equal">
      <formula>"CHO"</formula>
    </cfRule>
    <cfRule type="cellIs" dxfId="469" priority="25" stopIfTrue="1" operator="equal">
      <formula>"SKV"</formula>
    </cfRule>
  </conditionalFormatting>
  <conditionalFormatting sqref="H19:K20">
    <cfRule type="cellIs" dxfId="468" priority="40" stopIfTrue="1" operator="equal">
      <formula>"OTR"</formula>
    </cfRule>
    <cfRule type="cellIs" dxfId="467" priority="41" stopIfTrue="1" operator="equal">
      <formula>"PAR"</formula>
    </cfRule>
    <cfRule type="cellIs" dxfId="466" priority="42" stopIfTrue="1" operator="equal">
      <formula>"CLP"</formula>
    </cfRule>
    <cfRule type="cellIs" dxfId="465" priority="43" stopIfTrue="1" operator="equal">
      <formula>"HAT"</formula>
    </cfRule>
    <cfRule type="cellIs" dxfId="464" priority="44" stopIfTrue="1" operator="equal">
      <formula>"LIB"</formula>
    </cfRule>
    <cfRule type="cellIs" dxfId="463" priority="45" stopIfTrue="1" operator="equal">
      <formula>"BA"</formula>
    </cfRule>
    <cfRule type="cellIs" dxfId="462" priority="46" stopIfTrue="1" operator="equal">
      <formula>"SPA"</formula>
    </cfRule>
    <cfRule type="cellIs" dxfId="461" priority="47" stopIfTrue="1" operator="equal">
      <formula>"OST"</formula>
    </cfRule>
    <cfRule type="cellIs" dxfId="460" priority="48" stopIfTrue="1" operator="equal">
      <formula>"BOH"</formula>
    </cfRule>
    <cfRule type="cellIs" dxfId="459" priority="49" stopIfTrue="1" operator="equal">
      <formula>"TAT"</formula>
    </cfRule>
    <cfRule type="cellIs" dxfId="458" priority="50" stopIfTrue="1" operator="equal">
      <formula>"MB"</formula>
    </cfRule>
    <cfRule type="cellIs" dxfId="457" priority="51" stopIfTrue="1" operator="equal">
      <formula>"VIT"</formula>
    </cfRule>
    <cfRule type="cellIs" dxfId="456" priority="52" stopIfTrue="1" operator="equal">
      <formula>"CHO"</formula>
    </cfRule>
    <cfRule type="cellIs" dxfId="455" priority="53" stopIfTrue="1" operator="equal">
      <formula>"SKV"</formula>
    </cfRule>
  </conditionalFormatting>
  <conditionalFormatting sqref="H8:K9">
    <cfRule type="cellIs" dxfId="454" priority="26" stopIfTrue="1" operator="equal">
      <formula>"OTR"</formula>
    </cfRule>
    <cfRule type="cellIs" dxfId="453" priority="27" stopIfTrue="1" operator="equal">
      <formula>"PAR"</formula>
    </cfRule>
    <cfRule type="cellIs" dxfId="452" priority="28" stopIfTrue="1" operator="equal">
      <formula>"CLP"</formula>
    </cfRule>
    <cfRule type="cellIs" dxfId="451" priority="29" stopIfTrue="1" operator="equal">
      <formula>"HAT"</formula>
    </cfRule>
    <cfRule type="cellIs" dxfId="450" priority="30" stopIfTrue="1" operator="equal">
      <formula>"LIB"</formula>
    </cfRule>
    <cfRule type="cellIs" dxfId="449" priority="31" stopIfTrue="1" operator="equal">
      <formula>"BA"</formula>
    </cfRule>
    <cfRule type="cellIs" dxfId="448" priority="32" stopIfTrue="1" operator="equal">
      <formula>"SPA"</formula>
    </cfRule>
    <cfRule type="cellIs" dxfId="447" priority="33" stopIfTrue="1" operator="equal">
      <formula>"OST"</formula>
    </cfRule>
    <cfRule type="cellIs" dxfId="446" priority="34" stopIfTrue="1" operator="equal">
      <formula>"BOH"</formula>
    </cfRule>
    <cfRule type="cellIs" dxfId="445" priority="35" stopIfTrue="1" operator="equal">
      <formula>"TAT"</formula>
    </cfRule>
    <cfRule type="cellIs" dxfId="444" priority="36" stopIfTrue="1" operator="equal">
      <formula>"MB"</formula>
    </cfRule>
    <cfRule type="cellIs" dxfId="443" priority="37" stopIfTrue="1" operator="equal">
      <formula>"VIT"</formula>
    </cfRule>
    <cfRule type="cellIs" dxfId="442" priority="38" stopIfTrue="1" operator="equal">
      <formula>"CHO"</formula>
    </cfRule>
    <cfRule type="cellIs" dxfId="441" priority="39" stopIfTrue="1" operator="equal">
      <formula>"SKV"</formula>
    </cfRule>
  </conditionalFormatting>
  <conditionalFormatting sqref="S2:S42">
    <cfRule type="expression" dxfId="440" priority="10" stopIfTrue="1">
      <formula>IFERROR(IF(VLOOKUP($S2,OFFSET($AG$2,,,COUNTIF($AG$2:$AG$50,"?*")),1,FALSE)&lt;&gt;0,1,0),0)&gt;0</formula>
    </cfRule>
  </conditionalFormatting>
  <conditionalFormatting sqref="S2:S42">
    <cfRule type="expression" dxfId="439" priority="11">
      <formula>IFERROR(IF(VLOOKUP($S2,OFFSET($AG$2,,,COUNTIF($AG$2:$AG$50,"?*")),1,FALSE)&lt;&gt;0,1,0),0)=0</formula>
    </cfRule>
  </conditionalFormatting>
  <conditionalFormatting sqref="S45:S50">
    <cfRule type="expression" dxfId="438" priority="9">
      <formula>IFERROR(IF(VLOOKUP($S45,OFFSET($AG$2,,,COUNTIF($AG$2:$AG$50,"?*")),1,FALSE)&lt;&gt;0,1,0),0)&gt;0</formula>
    </cfRule>
  </conditionalFormatting>
  <conditionalFormatting sqref="S45:S50">
    <cfRule type="expression" dxfId="437" priority="8">
      <formula>IFERROR(IF(VLOOKUP($S45,OFFSET($AG$2,,,COUNTIF($AG$2:$AG$50,"?*")),1,FALSE)&lt;&gt;0,1,0),0)=0</formula>
    </cfRule>
  </conditionalFormatting>
  <conditionalFormatting sqref="AG2:AG50">
    <cfRule type="expression" dxfId="436" priority="5" stopIfTrue="1">
      <formula>OR($AH2="",$AI2="",$AJ2="",$AK2="",$AL2="",$AM2="",$AN2="",$AQ2="",$AR2="",$AS2="",$AT2="")</formula>
    </cfRule>
    <cfRule type="expression" dxfId="435" priority="6" stopIfTrue="1">
      <formula>IFERROR(IF(VLOOKUP($AG2,OFFSET($S$2,,,COUNTIF($S$2:$S$42,"?*")),1,FALSE)&lt;&gt;0,1,0),0)=0</formula>
    </cfRule>
    <cfRule type="expression" dxfId="434" priority="7">
      <formula>IFERROR(IF(VLOOKUP($AG2,OFFSET($S$2,,,COUNTIF($S$2:$S$42,"?*")),1,FALSE)&lt;&gt;0,1,0),0)&gt;0</formula>
    </cfRule>
  </conditionalFormatting>
  <conditionalFormatting sqref="AG2:AK50 AM2:BC50">
    <cfRule type="expression" dxfId="433" priority="4">
      <formula>AND($AG2&lt;&gt;"",MOD(ROW($AG2),2)=0)</formula>
    </cfRule>
  </conditionalFormatting>
  <conditionalFormatting sqref="BN12:BN15 BN2:BR11">
    <cfRule type="expression" dxfId="432" priority="3">
      <formula>AND($BN2&lt;&gt;"",MOD(ROW($BN2),2)=0)</formula>
    </cfRule>
  </conditionalFormatting>
  <conditionalFormatting sqref="AL2:AL50">
    <cfRule type="expression" dxfId="43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V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194</v>
      </c>
      <c r="B1" s="426"/>
      <c r="C1" s="426"/>
      <c r="D1" s="426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427" t="s">
        <v>1</v>
      </c>
      <c r="I1" s="427"/>
      <c r="J1" s="427"/>
      <c r="K1" s="427"/>
      <c r="M1" s="425" t="s">
        <v>200</v>
      </c>
      <c r="N1" s="426"/>
      <c r="O1" s="426"/>
      <c r="P1" s="426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428">
        <f ca="1">IFERROR(IF(VLOOKUP(A1,OFFSET($AG$2,,,COUNTIF($AG$2:$AG$49,"?*"),23),2,FALSE)&lt;&gt;0,YEAR(VLOOKUP(A1,OFFSET($AG$2,,,COUNTIF($AG$2:$AG$49,"?*"),23),2,FALSE)),""),"")</f>
        <v>1998</v>
      </c>
      <c r="C2" s="429"/>
      <c r="D2" s="94">
        <f ca="1">IFERROR(VLOOKUP(A1,OFFSET($AG$2,,,COUNTIF($AG$2:$AG$49,"?*"),23),15,FALSE),"")</f>
        <v>23</v>
      </c>
      <c r="E2" s="419" t="str">
        <f ca="1">IFERROR(VLOOKUP(A1,OFFSET($AG$2,,,COUNTIF($AG$2:$AG$49,"?*"),23),16,FALSE),"")</f>
        <v>177/74</v>
      </c>
      <c r="F2" s="420"/>
      <c r="M2" s="4" t="str">
        <f ca="1">IFERROR(IF(VLOOKUP(M1,OFFSET($AG$2,,,COUNTIF($AG$2:$AG$49,"?*"),23),10,FALSE)&lt;&gt;0,VLOOKUP(M1,OFFSET($AG$2,,,COUNTIF($AG$2:$AG$49,"?*"),23),10,FALSE),""),"")</f>
        <v>L</v>
      </c>
      <c r="N2" s="428">
        <f ca="1">IFERROR(IF(VLOOKUP(M1,OFFSET($AG$2,,,COUNTIF($AG$2:$AG$49,"?*"),23),2,FALSE)&lt;&gt;0,YEAR(VLOOKUP(M1,OFFSET($AG$2,,,COUNTIF($AG$2:$AG$49,"?*"),23),2,FALSE)),""),"")</f>
        <v>2003</v>
      </c>
      <c r="O2" s="429"/>
      <c r="P2" s="94">
        <f ca="1">IFERROR(VLOOKUP(M1,OFFSET($AG$2,,,COUNTIF($AG$2:$AG$49,"?*"),23),15,FALSE),"")</f>
        <v>18</v>
      </c>
      <c r="Q2" s="419" t="str">
        <f ca="1">IFERROR(VLOOKUP(M1,OFFSET($AG$2,,,COUNTIF($AG$2:$AG$49,"?*"),23),16,FALSE),"")</f>
        <v>187/83</v>
      </c>
      <c r="R2" s="420"/>
      <c r="S2" s="110" t="s">
        <v>200</v>
      </c>
      <c r="U2" s="102">
        <v>16</v>
      </c>
      <c r="V2" s="102">
        <v>15</v>
      </c>
      <c r="W2" s="102">
        <v>0</v>
      </c>
      <c r="X2" s="102">
        <v>0</v>
      </c>
      <c r="Y2" s="102">
        <v>14</v>
      </c>
      <c r="Z2" s="102">
        <v>29</v>
      </c>
      <c r="AA2" s="102">
        <v>8</v>
      </c>
      <c r="AB2" s="102">
        <v>2</v>
      </c>
      <c r="AC2" s="102" t="str">
        <f t="shared" ref="AC2:AC42" ca="1" si="0">IF(S2&lt;&gt;"",IFERROR(IF(VLOOKUP(S2,OFFSET($AG$2,,,COUNTIF($AG$2:$AG$49,"?*")),1,FALSE)&lt;&gt;0,"ANO","NE"),"NE"),"")</f>
        <v>ANO</v>
      </c>
      <c r="AG2" s="121" t="s">
        <v>201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136</v>
      </c>
      <c r="AQ2" s="123">
        <v>185</v>
      </c>
      <c r="AR2" s="123">
        <v>86</v>
      </c>
      <c r="AS2" s="126" t="s">
        <v>213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14 OZ, 4 (2+2), -12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39 (28+11)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t="shared" ref="BE2:BE34" ca="1" si="3">IF(AG2&lt;&gt;"",COUNTIF(OFFSET($BD$2,,,COUNTIF($AG$2:$AG$49,"?*")),BD2),"")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4" ca="1" si="4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4" ca="1" si="5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4" ca="1" si="6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230</v>
      </c>
      <c r="BO2" s="122">
        <v>24850</v>
      </c>
      <c r="BP2" s="131" t="s">
        <v>235</v>
      </c>
      <c r="BQ2" s="132" t="s">
        <v>239</v>
      </c>
      <c r="BR2" s="127">
        <f ca="1">IF(BN2&lt;&gt;"",IF(BO2&lt;&gt;"",INT((TODAY()-BO2)/365),"?"),"")</f>
        <v>53</v>
      </c>
      <c r="BS2" s="464" t="s">
        <v>35</v>
      </c>
      <c r="BT2" s="104" t="s">
        <v>1080</v>
      </c>
      <c r="BU2" s="103">
        <v>29</v>
      </c>
      <c r="BV2" s="104" t="str">
        <f>IFERROR(RIGHT(BT2,LEN(BT2)-SEARCH(" ",BT2)),"")</f>
        <v>Šimon Stránský</v>
      </c>
      <c r="BW2" s="102">
        <f>IF(BT2&lt;&gt;0,_xlfn.NUMBERVALUE(BU2,","),"")</f>
        <v>29</v>
      </c>
      <c r="BX2" s="463" t="s">
        <v>191</v>
      </c>
      <c r="BY2" s="103" t="s">
        <v>1040</v>
      </c>
      <c r="BZ2" s="103" t="s">
        <v>815</v>
      </c>
      <c r="CA2" s="115" t="s">
        <v>776</v>
      </c>
    </row>
    <row r="3" spans="1:79" ht="15" customHeight="1" thickTop="1" thickBot="1" x14ac:dyDescent="0.25">
      <c r="A3" s="421" t="str">
        <f ca="1">IFERROR(VLOOKUP(A1,OFFSET($AG$2,,,COUNTIF($AG$2:$AG$49,"?*"),23),18,FALSE),"")</f>
        <v>16 OZ, 3 (2+1), -7 ±</v>
      </c>
      <c r="B3" s="422"/>
      <c r="C3" s="422"/>
      <c r="D3" s="423" t="str">
        <f ca="1">IFERROR(VLOOKUP(A1,OFFSET($AG$2,,,COUNTIF($AG$2:$AG$49,"?*"),23),19,FALSE),"")</f>
        <v>110 OZ, 32 (22+10)</v>
      </c>
      <c r="E3" s="423"/>
      <c r="F3" s="424"/>
      <c r="G3" s="425" t="s">
        <v>193</v>
      </c>
      <c r="H3" s="426"/>
      <c r="I3" s="426"/>
      <c r="J3" s="426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421" t="str">
        <f ca="1">IFERROR(VLOOKUP(M1,OFFSET($AG$2,,,COUNTIF($AG$2:$AG$49,"?*"),23),18,FALSE),"")</f>
        <v>16 OZ, 29 (15+14), +2 ±</v>
      </c>
      <c r="N3" s="422"/>
      <c r="O3" s="422"/>
      <c r="P3" s="423" t="str">
        <f ca="1">IFERROR(VLOOKUP(M1,OFFSET($AG$2,,,COUNTIF($AG$2:$AG$49,"?*"),23),19,FALSE),"")</f>
        <v>34 OZ, 43 (24+19)</v>
      </c>
      <c r="Q3" s="423"/>
      <c r="R3" s="424"/>
      <c r="S3" s="110" t="s">
        <v>197</v>
      </c>
      <c r="T3" s="102" t="s">
        <v>106</v>
      </c>
      <c r="U3" s="102">
        <v>15</v>
      </c>
      <c r="V3" s="102">
        <v>12</v>
      </c>
      <c r="W3" s="102">
        <v>2</v>
      </c>
      <c r="X3" s="102">
        <v>0</v>
      </c>
      <c r="Y3" s="102">
        <v>17</v>
      </c>
      <c r="Z3" s="102">
        <v>29</v>
      </c>
      <c r="AA3" s="102">
        <v>0</v>
      </c>
      <c r="AB3" s="102">
        <v>4</v>
      </c>
      <c r="AC3" s="102" t="str">
        <f t="shared" ca="1" si="0"/>
        <v>ANO</v>
      </c>
      <c r="AG3" s="121" t="s">
        <v>214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136</v>
      </c>
      <c r="AQ3" s="123">
        <v>180</v>
      </c>
      <c r="AR3" s="123">
        <v>73</v>
      </c>
      <c r="AS3" s="126" t="s">
        <v>75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8 OZ, 0 (0+0), -5 ±</v>
      </c>
      <c r="AY3" s="129" t="str">
        <f t="shared" ca="1" si="2"/>
        <v>129 OZ, 16 (4+12)</v>
      </c>
      <c r="AZ3" s="130"/>
      <c r="BA3" s="130"/>
      <c r="BB3" s="130"/>
      <c r="BC3" s="130"/>
      <c r="BD3" s="89" t="str">
        <f t="shared" ref="BD3:BD49" si="7">IF(AG3&lt;&gt;"",RIGHT(AG3,LEN(AG3)-SEARCH(" ",AG3)),"")</f>
        <v>Bitman</v>
      </c>
      <c r="BE3" s="91">
        <f t="shared" ca="1" si="3"/>
        <v>1</v>
      </c>
      <c r="BF3" s="90" t="str">
        <f t="shared" ref="BF3:BF49" si="8">IF(AG3&lt;&gt;"",LEFT(AG3,1),"")</f>
        <v>J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231</v>
      </c>
      <c r="BO3" s="122">
        <v>34764</v>
      </c>
      <c r="BP3" s="131" t="s">
        <v>236</v>
      </c>
      <c r="BQ3" s="132"/>
      <c r="BR3" s="127">
        <f t="shared" ref="BR3:BR11" ca="1" si="13">IF(BN3&lt;&gt;"",IF(BO3&lt;&gt;"",INT((TODAY()-BO3)/365),"?"),"")</f>
        <v>26</v>
      </c>
      <c r="BS3" s="464"/>
      <c r="BT3" s="104" t="s">
        <v>1395</v>
      </c>
      <c r="BU3" s="103">
        <v>29</v>
      </c>
      <c r="BV3" s="104" t="str">
        <f t="shared" ref="BV3:BV31" si="14">IFERROR(RIGHT(BT3,LEN(BT3)-SEARCH(" ",BT3)),"")</f>
        <v>Prokop Ferdan</v>
      </c>
      <c r="BW3" s="102">
        <f t="shared" ref="BW3:BW31" si="15">IF(BT3&lt;&gt;0,_xlfn.NUMBERVALUE(BU3,","),"")</f>
        <v>29</v>
      </c>
      <c r="BX3" s="463"/>
      <c r="BY3" s="103" t="s">
        <v>1250</v>
      </c>
      <c r="BZ3" s="103" t="s">
        <v>816</v>
      </c>
      <c r="CA3" s="115" t="s">
        <v>1001</v>
      </c>
    </row>
    <row r="4" spans="1:79" ht="15" customHeight="1" thickBot="1" x14ac:dyDescent="0.25">
      <c r="A4" s="430" t="str">
        <f ca="1">IFERROR(IF(VLOOKUP(A1,OFFSET($AG$2,,,COUNTIF($AG$2:$AG$49,"?*"),23),13,FALSE)&lt;&gt;0,VLOOKUP(A1,OFFSET($AG$2,,,COUNTIF($AG$2:$AG$49,"?*"),23),13,FALSE),"?"),"")</f>
        <v>FBC Liberec</v>
      </c>
      <c r="B4" s="431"/>
      <c r="C4" s="432"/>
      <c r="D4" s="433">
        <f ca="1">IFERROR(IF(VLOOKUP(A1,OFFSET($AG$2,,,COUNTIF($AG$2:$AG$49,"?*"),23),14,FALSE)&lt;&gt;0,VLOOKUP(A1,OFFSET($AG$2,,,COUNTIF($AG$2:$AG$49,"?*"),23),14,FALSE),"?"),"")</f>
        <v>2011</v>
      </c>
      <c r="E4" s="434"/>
      <c r="F4" s="7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428">
        <f ca="1">IFERROR(IF(VLOOKUP(G3,OFFSET($AG$2,,,COUNTIF($AG$2:$AG$49,"?*"),23),2,FALSE)&lt;&gt;0,YEAR(VLOOKUP(G3,OFFSET($AG$2,,,COUNTIF($AG$2:$AG$49,"?*"),23),2,FALSE)),""),"")</f>
        <v>1998</v>
      </c>
      <c r="I4" s="429"/>
      <c r="J4" s="94">
        <f ca="1">IFERROR(VLOOKUP(G3,OFFSET($AG$2,,,COUNTIF($AG$2:$AG$49,"?*"),23),15,FALSE),"")</f>
        <v>23</v>
      </c>
      <c r="K4" s="419" t="str">
        <f ca="1">IFERROR(VLOOKUP(G3,OFFSET($AG$2,,,COUNTIF($AG$2:$AG$49,"?*"),23),16,FALSE),"")</f>
        <v>185/74</v>
      </c>
      <c r="L4" s="420"/>
      <c r="M4" s="430" t="str">
        <f ca="1">IFERROR(IF(VLOOKUP(M1,OFFSET($AG$2,,,COUNTIF($AG$2:$AG$49,"?*"),23),13,FALSE)&lt;&gt;0,VLOOKUP(M1,OFFSET($AG$2,,,COUNTIF($AG$2:$AG$49,"?*"),23),13,FALSE),"?"),"")</f>
        <v>FBC Lomnice</v>
      </c>
      <c r="N4" s="431"/>
      <c r="O4" s="432"/>
      <c r="P4" s="433">
        <f ca="1">IFERROR(IF(VLOOKUP(M1,OFFSET($AG$2,,,COUNTIF($AG$2:$AG$49,"?*"),23),14,FALSE)&lt;&gt;0,VLOOKUP(M1,OFFSET($AG$2,,,COUNTIF($AG$2:$AG$49,"?*"),23),14,FALSE),"?"),"")</f>
        <v>2010</v>
      </c>
      <c r="Q4" s="434"/>
      <c r="R4" s="7">
        <f ca="1">IFERROR(IF(VLOOKUP(M1,OFFSET($AG$2,,,COUNTIF($AG$2:$AG$49,"?*"),23),7,FALSE)&lt;&gt;0,VLOOKUP(M1,OFFSET($AG$2,,,COUNTIF($AG$2:$AG$49,"?*"),23),7,FALSE),"?"),"")</f>
        <v>2</v>
      </c>
      <c r="S4" s="110" t="s">
        <v>207</v>
      </c>
      <c r="T4" s="102" t="s">
        <v>106</v>
      </c>
      <c r="U4" s="102">
        <v>15</v>
      </c>
      <c r="V4" s="102">
        <v>18</v>
      </c>
      <c r="W4" s="102">
        <v>4</v>
      </c>
      <c r="X4" s="102">
        <v>1</v>
      </c>
      <c r="Y4" s="102">
        <v>10</v>
      </c>
      <c r="Z4" s="102">
        <v>28</v>
      </c>
      <c r="AA4" s="102">
        <v>0</v>
      </c>
      <c r="AB4" s="102">
        <v>1</v>
      </c>
      <c r="AC4" s="102" t="str">
        <f t="shared" ca="1" si="0"/>
        <v>ANO</v>
      </c>
      <c r="AG4" s="121" t="s">
        <v>215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136</v>
      </c>
      <c r="AQ4" s="123">
        <v>180</v>
      </c>
      <c r="AR4" s="123">
        <v>66</v>
      </c>
      <c r="AS4" s="126" t="s">
        <v>75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7"/>
        <v>Blažek</v>
      </c>
      <c r="BE4" s="84">
        <f t="shared" ca="1" si="3"/>
        <v>1</v>
      </c>
      <c r="BF4" s="62" t="str">
        <f t="shared" si="8"/>
        <v>V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232</v>
      </c>
      <c r="BO4" s="122">
        <v>29102</v>
      </c>
      <c r="BP4" s="131" t="s">
        <v>175</v>
      </c>
      <c r="BQ4" s="132"/>
      <c r="BR4" s="127">
        <f t="shared" ca="1" si="13"/>
        <v>42</v>
      </c>
      <c r="BS4" s="464"/>
      <c r="BT4" s="104" t="s">
        <v>1396</v>
      </c>
      <c r="BU4" s="103">
        <v>28</v>
      </c>
      <c r="BV4" s="104" t="str">
        <f t="shared" si="14"/>
        <v>Filip Smutný</v>
      </c>
      <c r="BW4" s="102">
        <f t="shared" si="15"/>
        <v>28</v>
      </c>
      <c r="BX4" s="463"/>
      <c r="BY4" s="103" t="s">
        <v>1331</v>
      </c>
      <c r="BZ4" s="103" t="s">
        <v>817</v>
      </c>
      <c r="CA4" s="115" t="s">
        <v>775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IFERROR(VLOOKUP(G3,OFFSET($AG$2,,,COUNTIF($AG$2:$AG$49,"?*"),23),18,FALSE),"")</f>
        <v>7 OZ, 8 (3+5), +1 ±</v>
      </c>
      <c r="H5" s="422"/>
      <c r="I5" s="422"/>
      <c r="J5" s="423" t="str">
        <f ca="1">IFERROR(VLOOKUP(G3,OFFSET($AG$2,,,COUNTIF($AG$2:$AG$49,"?*"),23),19,FALSE),"")</f>
        <v>107 OZ, 93 (53+40)</v>
      </c>
      <c r="K5" s="423"/>
      <c r="L5" s="424"/>
      <c r="S5" s="110" t="s">
        <v>195</v>
      </c>
      <c r="T5" s="102" t="s">
        <v>106</v>
      </c>
      <c r="U5" s="102">
        <v>16</v>
      </c>
      <c r="V5" s="102">
        <v>14</v>
      </c>
      <c r="W5" s="102">
        <v>0</v>
      </c>
      <c r="X5" s="102">
        <v>0</v>
      </c>
      <c r="Y5" s="102">
        <v>10</v>
      </c>
      <c r="Z5" s="102">
        <v>24</v>
      </c>
      <c r="AA5" s="102">
        <v>4</v>
      </c>
      <c r="AB5" s="102">
        <v>5</v>
      </c>
      <c r="AC5" s="102" t="str">
        <f t="shared" ca="1" si="0"/>
        <v>ANO</v>
      </c>
      <c r="AG5" s="121" t="s">
        <v>208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136</v>
      </c>
      <c r="AQ5" s="123">
        <v>180</v>
      </c>
      <c r="AR5" s="123">
        <v>82</v>
      </c>
      <c r="AS5" s="126" t="s">
        <v>216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15 OZ, 1 (1+0), -1 ±</v>
      </c>
      <c r="AY5" s="129" t="str">
        <f t="shared" ca="1" si="2"/>
        <v>209 OZ, 117 (51+66)</v>
      </c>
      <c r="AZ5" s="130"/>
      <c r="BA5" s="130"/>
      <c r="BB5" s="130"/>
      <c r="BC5" s="130"/>
      <c r="BD5" s="89" t="str">
        <f t="shared" si="7"/>
        <v>Dlesk</v>
      </c>
      <c r="BE5" s="91">
        <f t="shared" ca="1" si="3"/>
        <v>1</v>
      </c>
      <c r="BF5" s="90" t="str">
        <f t="shared" si="8"/>
        <v>T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233</v>
      </c>
      <c r="BO5" s="122">
        <v>30335</v>
      </c>
      <c r="BP5" s="131" t="s">
        <v>237</v>
      </c>
      <c r="BQ5" s="132"/>
      <c r="BR5" s="127">
        <f t="shared" ca="1" si="13"/>
        <v>38</v>
      </c>
      <c r="BS5" s="464"/>
      <c r="BT5" s="104" t="s">
        <v>1397</v>
      </c>
      <c r="BU5" s="103">
        <v>24</v>
      </c>
      <c r="BV5" s="104" t="str">
        <f t="shared" si="14"/>
        <v>Radek Valeš</v>
      </c>
      <c r="BW5" s="102">
        <f t="shared" si="15"/>
        <v>24</v>
      </c>
      <c r="BX5" s="463"/>
      <c r="BY5" s="103" t="s">
        <v>979</v>
      </c>
      <c r="BZ5" s="103" t="s">
        <v>801</v>
      </c>
      <c r="CA5" s="115" t="s">
        <v>1047</v>
      </c>
    </row>
    <row r="6" spans="1:79" ht="15" customHeight="1" thickTop="1" thickBot="1" x14ac:dyDescent="0.25">
      <c r="A6" s="425" t="s">
        <v>209</v>
      </c>
      <c r="B6" s="426"/>
      <c r="C6" s="426"/>
      <c r="D6" s="426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430" t="str">
        <f ca="1">IFERROR(IF(VLOOKUP(G3,OFFSET($AG$2,,,COUNTIF($AG$2:$AG$49,"?*"),23),13,FALSE)&lt;&gt;0,VLOOKUP(G3,OFFSET($AG$2,,,COUNTIF($AG$2:$AG$49,"?*"),23),13,FALSE),"?"),"")</f>
        <v>TJ Sokol Jaroměř</v>
      </c>
      <c r="H6" s="431"/>
      <c r="I6" s="432"/>
      <c r="J6" s="433">
        <f ca="1">IFERROR(IF(VLOOKUP(G3,OFFSET($AG$2,,,COUNTIF($AG$2:$AG$49,"?*"),23),14,FALSE)&lt;&gt;0,VLOOKUP(G3,OFFSET($AG$2,,,COUNTIF($AG$2:$AG$49,"?*"),23),14,FALSE),"?"),"")</f>
        <v>2007</v>
      </c>
      <c r="K6" s="434"/>
      <c r="L6" s="7">
        <f ca="1">IFERROR(IF(VLOOKUP(G3,OFFSET($AG$2,,,COUNTIF($AG$2:$AG$49,"?*"),23),7,FALSE)&lt;&gt;0,VLOOKUP(G3,OFFSET($AG$2,,,COUNTIF($AG$2:$AG$49,"?*"),23),7,FALSE),"?"),"")</f>
        <v>5</v>
      </c>
      <c r="M6" s="425" t="s">
        <v>203</v>
      </c>
      <c r="N6" s="426"/>
      <c r="O6" s="426"/>
      <c r="P6" s="426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110" t="s">
        <v>205</v>
      </c>
      <c r="U6" s="102">
        <v>16</v>
      </c>
      <c r="V6" s="102">
        <v>11</v>
      </c>
      <c r="W6" s="102">
        <v>0</v>
      </c>
      <c r="X6" s="102">
        <v>0</v>
      </c>
      <c r="Y6" s="102">
        <v>12</v>
      </c>
      <c r="Z6" s="102">
        <v>23</v>
      </c>
      <c r="AA6" s="102">
        <v>6</v>
      </c>
      <c r="AB6" s="102">
        <v>8</v>
      </c>
      <c r="AC6" s="102" t="str">
        <f t="shared" ca="1" si="0"/>
        <v>ANO</v>
      </c>
      <c r="AG6" s="121" t="s">
        <v>197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26</v>
      </c>
      <c r="AQ6" s="123">
        <v>176</v>
      </c>
      <c r="AR6" s="123">
        <v>74</v>
      </c>
      <c r="AS6" s="126" t="s">
        <v>218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15 OZ, 29 (12+17), +4 ±</v>
      </c>
      <c r="AY6" s="129" t="str">
        <f t="shared" ca="1" si="2"/>
        <v>200 OZ, 253 (138+115)</v>
      </c>
      <c r="AZ6" s="130"/>
      <c r="BA6" s="130"/>
      <c r="BB6" s="130"/>
      <c r="BC6" s="130"/>
      <c r="BD6" s="3" t="str">
        <f t="shared" si="7"/>
        <v>Ferdan</v>
      </c>
      <c r="BE6" s="84">
        <f t="shared" ca="1" si="3"/>
        <v>1</v>
      </c>
      <c r="BF6" s="62" t="str">
        <f t="shared" si="8"/>
        <v>P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234</v>
      </c>
      <c r="BO6" s="122">
        <v>36034</v>
      </c>
      <c r="BP6" s="131" t="s">
        <v>238</v>
      </c>
      <c r="BQ6" s="132"/>
      <c r="BR6" s="127">
        <f t="shared" ca="1" si="13"/>
        <v>23</v>
      </c>
      <c r="BS6" s="464"/>
      <c r="BT6" s="104" t="s">
        <v>990</v>
      </c>
      <c r="BU6" s="103">
        <v>23</v>
      </c>
      <c r="BV6" s="104" t="str">
        <f t="shared" si="14"/>
        <v>Vojtěch Wiener</v>
      </c>
      <c r="BW6" s="102">
        <f t="shared" si="15"/>
        <v>23</v>
      </c>
      <c r="BX6" s="463"/>
      <c r="BY6" s="103" t="s">
        <v>1231</v>
      </c>
      <c r="BZ6" s="103" t="s">
        <v>802</v>
      </c>
      <c r="CA6" s="115" t="s">
        <v>999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428">
        <f ca="1">IFERROR(IF(VLOOKUP(A6,OFFSET($AG$2,,,COUNTIF($AG$2:$AG$49,"?*"),23),2,FALSE)&lt;&gt;0,YEAR(VLOOKUP(A6,OFFSET($AG$2,,,COUNTIF($AG$2:$AG$49,"?*"),23),2,FALSE)),""),"")</f>
        <v>2002</v>
      </c>
      <c r="C7" s="429"/>
      <c r="D7" s="94">
        <f ca="1">IFERROR(VLOOKUP(A6,OFFSET($AG$2,,,COUNTIF($AG$2:$AG$49,"?*"),23),15,FALSE),"")</f>
        <v>19</v>
      </c>
      <c r="E7" s="419" t="str">
        <f ca="1">IFERROR(VLOOKUP(A6,OFFSET($AG$2,,,COUNTIF($AG$2:$AG$49,"?*"),23),16,FALSE),"")</f>
        <v>164/68</v>
      </c>
      <c r="F7" s="420"/>
      <c r="M7" s="4" t="str">
        <f ca="1">IFERROR(IF(VLOOKUP(M6,OFFSET($AG$2,,,COUNTIF($AG$2:$AG$49,"?*"),23),10,FALSE)&lt;&gt;0,VLOOKUP(M6,OFFSET($AG$2,,,COUNTIF($AG$2:$AG$49,"?*"),23),10,FALSE),""),"")</f>
        <v>L</v>
      </c>
      <c r="N7" s="428">
        <f ca="1">IFERROR(IF(VLOOKUP(M6,OFFSET($AG$2,,,COUNTIF($AG$2:$AG$49,"?*"),23),2,FALSE)&lt;&gt;0,YEAR(VLOOKUP(M6,OFFSET($AG$2,,,COUNTIF($AG$2:$AG$49,"?*"),23),2,FALSE)),""),"")</f>
        <v>1986</v>
      </c>
      <c r="O7" s="429"/>
      <c r="P7" s="94">
        <f ca="1">IFERROR(VLOOKUP(M6,OFFSET($AG$2,,,COUNTIF($AG$2:$AG$49,"?*"),23),15,FALSE),"")</f>
        <v>35</v>
      </c>
      <c r="Q7" s="419" t="str">
        <f ca="1">IFERROR(VLOOKUP(M6,OFFSET($AG$2,,,COUNTIF($AG$2:$AG$49,"?*"),23),16,FALSE),"")</f>
        <v>185/69</v>
      </c>
      <c r="R7" s="420"/>
      <c r="S7" s="110" t="s">
        <v>210</v>
      </c>
      <c r="T7" s="102" t="s">
        <v>106</v>
      </c>
      <c r="U7" s="102">
        <v>16</v>
      </c>
      <c r="V7" s="102">
        <v>6</v>
      </c>
      <c r="W7" s="102">
        <v>1</v>
      </c>
      <c r="X7" s="102">
        <v>0</v>
      </c>
      <c r="Y7" s="102">
        <v>2</v>
      </c>
      <c r="Z7" s="102">
        <v>8</v>
      </c>
      <c r="AA7" s="102">
        <v>6</v>
      </c>
      <c r="AB7" s="102">
        <v>-11</v>
      </c>
      <c r="AC7" s="102" t="str">
        <f t="shared" ca="1" si="0"/>
        <v>ANO</v>
      </c>
      <c r="AG7" s="121" t="s">
        <v>211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75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7 V, 4 P</v>
      </c>
      <c r="AY7" s="129" t="str">
        <f t="shared" ca="1" si="2"/>
        <v>11 OZ, 1 A</v>
      </c>
      <c r="AZ7" s="130"/>
      <c r="BA7" s="130"/>
      <c r="BB7" s="130"/>
      <c r="BC7" s="130"/>
      <c r="BD7" s="89" t="str">
        <f t="shared" si="7"/>
        <v>Chlad</v>
      </c>
      <c r="BE7" s="91">
        <f t="shared" ca="1" si="3"/>
        <v>1</v>
      </c>
      <c r="BF7" s="90" t="str">
        <f t="shared" si="8"/>
        <v>P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4" t="s">
        <v>39</v>
      </c>
      <c r="BT7" s="104" t="s">
        <v>240</v>
      </c>
      <c r="BU7" s="103" t="s">
        <v>1059</v>
      </c>
      <c r="BV7" s="104" t="str">
        <f t="shared" si="14"/>
        <v>Petr Chlad</v>
      </c>
      <c r="BW7" s="112">
        <f t="shared" si="15"/>
        <v>5.62</v>
      </c>
      <c r="BX7" s="463" t="s">
        <v>192</v>
      </c>
      <c r="BY7" s="103" t="s">
        <v>1393</v>
      </c>
      <c r="BZ7" s="103" t="s">
        <v>814</v>
      </c>
      <c r="CA7" s="115" t="s">
        <v>187</v>
      </c>
    </row>
    <row r="8" spans="1:79" ht="15" customHeight="1" x14ac:dyDescent="0.2">
      <c r="A8" s="421" t="str">
        <f ca="1">IFERROR(VLOOKUP(A6,OFFSET($AG$2,,,COUNTIF($AG$2:$AG$49,"?*"),23),18,FALSE),"")</f>
        <v>12 OZ, 0 (0+0), -3 ±</v>
      </c>
      <c r="B8" s="422"/>
      <c r="C8" s="422"/>
      <c r="D8" s="423" t="str">
        <f ca="1">IFERROR(VLOOKUP(A6,OFFSET($AG$2,,,COUNTIF($AG$2:$AG$49,"?*"),23),19,FALSE),"")</f>
        <v>26 OZ, 1 (1+0)</v>
      </c>
      <c r="E8" s="423"/>
      <c r="F8" s="424"/>
      <c r="H8" s="435" t="s">
        <v>98</v>
      </c>
      <c r="I8" s="435"/>
      <c r="J8" s="435"/>
      <c r="K8" s="435"/>
      <c r="M8" s="421" t="str">
        <f ca="1">IFERROR(VLOOKUP(M6,OFFSET($AG$2,,,COUNTIF($AG$2:$AG$49,"?*"),23),18,FALSE),"")</f>
        <v>12 OZ, 3 (0+3), +5 ±</v>
      </c>
      <c r="N8" s="422"/>
      <c r="O8" s="422"/>
      <c r="P8" s="423" t="str">
        <f ca="1">IFERROR(VLOOKUP(M6,OFFSET($AG$2,,,COUNTIF($AG$2:$AG$49,"?*"),23),19,FALSE),"")</f>
        <v>314 OZ, 234 (95+139)</v>
      </c>
      <c r="Q8" s="423"/>
      <c r="R8" s="424"/>
      <c r="S8" s="110" t="s">
        <v>193</v>
      </c>
      <c r="U8" s="102">
        <v>7</v>
      </c>
      <c r="V8" s="102">
        <v>3</v>
      </c>
      <c r="W8" s="102">
        <v>1</v>
      </c>
      <c r="X8" s="102">
        <v>0</v>
      </c>
      <c r="Y8" s="102">
        <v>5</v>
      </c>
      <c r="Z8" s="102">
        <v>8</v>
      </c>
      <c r="AA8" s="102">
        <v>0</v>
      </c>
      <c r="AB8" s="102">
        <v>1</v>
      </c>
      <c r="AC8" s="102" t="str">
        <f t="shared" ca="1" si="0"/>
        <v>ANO</v>
      </c>
      <c r="AG8" s="121" t="s">
        <v>202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136</v>
      </c>
      <c r="AQ8" s="123">
        <v>178</v>
      </c>
      <c r="AR8" s="123">
        <v>74</v>
      </c>
      <c r="AS8" s="126" t="s">
        <v>75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16 OZ, 4 (2+2), +8 ±</v>
      </c>
      <c r="AY8" s="129" t="str">
        <f t="shared" ca="1" si="2"/>
        <v>38 OZ, 8 (4+4)</v>
      </c>
      <c r="AZ8" s="130"/>
      <c r="BA8" s="130"/>
      <c r="BB8" s="130"/>
      <c r="BC8" s="130"/>
      <c r="BD8" s="3" t="str">
        <f t="shared" si="7"/>
        <v>Janeček</v>
      </c>
      <c r="BE8" s="84">
        <f t="shared" ca="1" si="3"/>
        <v>1</v>
      </c>
      <c r="BF8" s="62" t="str">
        <f t="shared" si="8"/>
        <v>V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4"/>
      <c r="BT8" s="104" t="s">
        <v>1398</v>
      </c>
      <c r="BU8" s="103" t="s">
        <v>182</v>
      </c>
      <c r="BV8" s="104" t="str">
        <f t="shared" si="14"/>
        <v>Daniel Kupec</v>
      </c>
      <c r="BW8" s="112">
        <f t="shared" si="15"/>
        <v>0</v>
      </c>
      <c r="BX8" s="463"/>
      <c r="BY8" s="103" t="s">
        <v>1232</v>
      </c>
      <c r="BZ8" s="103" t="s">
        <v>1304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IFERROR(IF(VLOOKUP(A6,OFFSET($AG$2,,,COUNTIF($AG$2:$AG$49,"?*"),23),13,FALSE)&lt;&gt;0,VLOOKUP(A6,OFFSET($AG$2,,,COUNTIF($AG$2:$AG$49,"?*"),23),13,FALSE),"?"),"")</f>
        <v>Florbal Mladá Boleslav</v>
      </c>
      <c r="B9" s="431"/>
      <c r="C9" s="432"/>
      <c r="D9" s="433">
        <f ca="1">IFERROR(IF(VLOOKUP(A6,OFFSET($AG$2,,,COUNTIF($AG$2:$AG$49,"?*"),23),14,FALSE)&lt;&gt;0,VLOOKUP(A6,OFFSET($AG$2,,,COUNTIF($AG$2:$AG$49,"?*"),23),14,FALSE),"?"),"")</f>
        <v>2005</v>
      </c>
      <c r="E9" s="434"/>
      <c r="F9" s="7">
        <f ca="1">IFERROR(IF(VLOOKUP(A6,OFFSET($AG$2,,,COUNTIF($AG$2:$AG$49,"?*"),23),7,FALSE)&lt;&gt;0,VLOOKUP(A6,OFFSET($AG$2,,,COUNTIF($AG$2:$AG$49,"?*"),23),7,FALSE),"?"),"")</f>
        <v>4</v>
      </c>
      <c r="H9" s="435"/>
      <c r="I9" s="435"/>
      <c r="J9" s="435"/>
      <c r="K9" s="435"/>
      <c r="M9" s="430" t="str">
        <f ca="1">IFERROR(IF(VLOOKUP(M6,OFFSET($AG$2,,,COUNTIF($AG$2:$AG$49,"?*"),23),13,FALSE)&lt;&gt;0,VLOOKUP(M6,OFFSET($AG$2,,,COUNTIF($AG$2:$AG$49,"?*"),23),13,FALSE),"?"),"")</f>
        <v>FBC Mustang</v>
      </c>
      <c r="N9" s="431"/>
      <c r="O9" s="432"/>
      <c r="P9" s="433">
        <f ca="1">IFERROR(IF(VLOOKUP(M6,OFFSET($AG$2,,,COUNTIF($AG$2:$AG$49,"?*"),23),14,FALSE)&lt;&gt;0,VLOOKUP(M6,OFFSET($AG$2,,,COUNTIF($AG$2:$AG$49,"?*"),23),14,FALSE),"?"),"")</f>
        <v>1996</v>
      </c>
      <c r="Q9" s="434"/>
      <c r="R9" s="7">
        <f ca="1">IFERROR(IF(VLOOKUP(M6,OFFSET($AG$2,,,COUNTIF($AG$2:$AG$49,"?*"),23),7,FALSE)&lt;&gt;0,VLOOKUP(M6,OFFSET($AG$2,,,COUNTIF($AG$2:$AG$49,"?*"),23),7,FALSE),"?"),"")</f>
        <v>18</v>
      </c>
      <c r="S9" s="110" t="s">
        <v>196</v>
      </c>
      <c r="T9" s="102" t="s">
        <v>57</v>
      </c>
      <c r="U9" s="102">
        <v>14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0</v>
      </c>
      <c r="AB9" s="102">
        <v>-4</v>
      </c>
      <c r="AC9" s="102" t="str">
        <f t="shared" ca="1" si="0"/>
        <v>ANO</v>
      </c>
      <c r="AG9" s="121" t="s">
        <v>198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26</v>
      </c>
      <c r="AQ9" s="123">
        <v>180</v>
      </c>
      <c r="AR9" s="123">
        <v>72</v>
      </c>
      <c r="AS9" s="126" t="s">
        <v>220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7"/>
        <v>Kárník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4"/>
      <c r="BT9" s="104" t="s">
        <v>1399</v>
      </c>
      <c r="BU9" s="103" t="s">
        <v>182</v>
      </c>
      <c r="BV9" s="104" t="str">
        <f t="shared" si="14"/>
        <v>Jan Král</v>
      </c>
      <c r="BW9" s="112">
        <f t="shared" si="15"/>
        <v>0</v>
      </c>
      <c r="BX9" s="463"/>
      <c r="BY9" s="103" t="s">
        <v>1236</v>
      </c>
      <c r="BZ9" s="103" t="s">
        <v>791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1085</v>
      </c>
      <c r="U10" s="102">
        <v>6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0</v>
      </c>
      <c r="AB10" s="102">
        <v>1</v>
      </c>
      <c r="AC10" s="102" t="str">
        <f t="shared" ca="1" si="0"/>
        <v>NE</v>
      </c>
      <c r="AG10" s="121" t="s">
        <v>196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149</v>
      </c>
      <c r="AP10" s="125" t="s">
        <v>136</v>
      </c>
      <c r="AQ10" s="123">
        <v>194</v>
      </c>
      <c r="AR10" s="123">
        <v>98</v>
      </c>
      <c r="AS10" s="126" t="s">
        <v>75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14 OZ, 4 (3+1), -4 ±</v>
      </c>
      <c r="AY10" s="129" t="str">
        <f t="shared" ca="1" si="2"/>
        <v>256 OZ, 122 (66+56)</v>
      </c>
      <c r="AZ10" s="130"/>
      <c r="BA10" s="130"/>
      <c r="BB10" s="130"/>
      <c r="BC10" s="130"/>
      <c r="BD10" s="3" t="str">
        <f t="shared" si="7"/>
        <v>Klucho</v>
      </c>
      <c r="BE10" s="84">
        <f t="shared" ca="1" si="3"/>
        <v>1</v>
      </c>
      <c r="BF10" s="62" t="str">
        <f t="shared" si="8"/>
        <v>M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4"/>
      <c r="BT10" s="104" t="s">
        <v>1400</v>
      </c>
      <c r="BU10" s="103" t="s">
        <v>182</v>
      </c>
      <c r="BV10" s="104" t="str">
        <f t="shared" si="14"/>
        <v>Mikuláš Futschik</v>
      </c>
      <c r="BW10" s="112">
        <f t="shared" si="15"/>
        <v>0</v>
      </c>
      <c r="BX10" s="463"/>
      <c r="BY10" s="103" t="s">
        <v>1307</v>
      </c>
      <c r="BZ10" s="103" t="s">
        <v>786</v>
      </c>
      <c r="CA10" s="115" t="s">
        <v>187</v>
      </c>
    </row>
    <row r="11" spans="1:79" ht="15" customHeight="1" thickTop="1" thickBot="1" x14ac:dyDescent="0.25">
      <c r="R11" s="13"/>
      <c r="S11" s="110" t="s">
        <v>201</v>
      </c>
      <c r="T11" s="102" t="s">
        <v>106</v>
      </c>
      <c r="U11" s="102">
        <v>14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4</v>
      </c>
      <c r="AB11" s="102">
        <v>-12</v>
      </c>
      <c r="AC11" s="102" t="str">
        <f t="shared" ca="1" si="0"/>
        <v>ANO</v>
      </c>
      <c r="AG11" s="121" t="s">
        <v>203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136</v>
      </c>
      <c r="AQ11" s="123">
        <v>185</v>
      </c>
      <c r="AR11" s="123">
        <v>69</v>
      </c>
      <c r="AS11" s="126" t="s">
        <v>221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12 OZ, 3 (0+3), +5 ±</v>
      </c>
      <c r="AY11" s="129" t="str">
        <f t="shared" ca="1" si="2"/>
        <v>314 OZ, 234 (95+139)</v>
      </c>
      <c r="AZ11" s="130"/>
      <c r="BA11" s="130"/>
      <c r="BB11" s="130"/>
      <c r="BC11" s="130"/>
      <c r="BD11" s="89" t="str">
        <f t="shared" si="7"/>
        <v>Kološ</v>
      </c>
      <c r="BE11" s="91">
        <f t="shared" ca="1" si="3"/>
        <v>1</v>
      </c>
      <c r="BF11" s="90" t="str">
        <f t="shared" si="8"/>
        <v>P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4"/>
      <c r="BT11" s="104" t="s">
        <v>1401</v>
      </c>
      <c r="BU11" s="103" t="s">
        <v>820</v>
      </c>
      <c r="BV11" s="104" t="str">
        <f t="shared" si="14"/>
        <v>Jakub Levínský</v>
      </c>
      <c r="BW11" s="112">
        <f t="shared" si="15"/>
        <v>5.64</v>
      </c>
      <c r="BX11" s="463"/>
      <c r="BY11" s="103" t="s">
        <v>1381</v>
      </c>
      <c r="BZ11" s="103" t="s">
        <v>812</v>
      </c>
      <c r="CA11" s="115" t="s">
        <v>187</v>
      </c>
    </row>
    <row r="12" spans="1:79" ht="15" customHeight="1" thickTop="1" thickBot="1" x14ac:dyDescent="0.25">
      <c r="A12" s="425" t="s">
        <v>197</v>
      </c>
      <c r="B12" s="426"/>
      <c r="C12" s="426"/>
      <c r="D12" s="426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427" t="s">
        <v>7</v>
      </c>
      <c r="I12" s="427"/>
      <c r="J12" s="427"/>
      <c r="K12" s="427"/>
      <c r="M12" s="425" t="s">
        <v>205</v>
      </c>
      <c r="N12" s="426"/>
      <c r="O12" s="426"/>
      <c r="P12" s="426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110" t="s">
        <v>202</v>
      </c>
      <c r="T12" s="102" t="s">
        <v>57</v>
      </c>
      <c r="U12" s="102">
        <v>16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6</v>
      </c>
      <c r="AB12" s="102">
        <v>8</v>
      </c>
      <c r="AC12" s="102" t="str">
        <f t="shared" ca="1" si="0"/>
        <v>ANO</v>
      </c>
      <c r="AG12" s="121" t="s">
        <v>193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136</v>
      </c>
      <c r="AQ12" s="123">
        <v>185</v>
      </c>
      <c r="AR12" s="123">
        <v>74</v>
      </c>
      <c r="AS12" s="126" t="s">
        <v>217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7"/>
        <v>Kopecký</v>
      </c>
      <c r="BE12" s="84">
        <f t="shared" ca="1" si="3"/>
        <v>1</v>
      </c>
      <c r="BF12" s="62" t="str">
        <f t="shared" si="8"/>
        <v>J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4" t="s">
        <v>36</v>
      </c>
      <c r="BT12" s="104" t="s">
        <v>1252</v>
      </c>
      <c r="BU12" s="103">
        <v>18</v>
      </c>
      <c r="BV12" s="104" t="str">
        <f t="shared" si="14"/>
        <v>Filip Smutný</v>
      </c>
      <c r="BW12" s="102">
        <f t="shared" si="15"/>
        <v>18</v>
      </c>
      <c r="BX12" s="116" t="s">
        <v>190</v>
      </c>
      <c r="BY12" s="100" t="s">
        <v>1394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428">
        <f ca="1">IFERROR(IF(VLOOKUP(A12,OFFSET($AG$2,,,COUNTIF($AG$2:$AG$49,"?*"),23),2,FALSE)&lt;&gt;0,YEAR(VLOOKUP(A12,OFFSET($AG$2,,,COUNTIF($AG$2:$AG$49,"?*"),23),2,FALSE)),""),"")</f>
        <v>1992</v>
      </c>
      <c r="C13" s="429"/>
      <c r="D13" s="94">
        <f ca="1">IFERROR(VLOOKUP(A12,OFFSET($AG$2,,,COUNTIF($AG$2:$AG$49,"?*"),23),15,FALSE),"")</f>
        <v>29</v>
      </c>
      <c r="E13" s="419" t="str">
        <f ca="1">IFERROR(VLOOKUP(A12,OFFSET($AG$2,,,COUNTIF($AG$2:$AG$49,"?*"),23),16,FALSE),"")</f>
        <v>176/74</v>
      </c>
      <c r="F13" s="420"/>
      <c r="M13" s="4" t="str">
        <f ca="1">IFERROR(IF(VLOOKUP(M12,OFFSET($AG$2,,,COUNTIF($AG$2:$AG$49,"?*"),23),10,FALSE)&lt;&gt;0,VLOOKUP(M12,OFFSET($AG$2,,,COUNTIF($AG$2:$AG$49,"?*"),23),10,FALSE),""),"")</f>
        <v>L</v>
      </c>
      <c r="N13" s="428">
        <f ca="1">IFERROR(IF(VLOOKUP(M12,OFFSET($AG$2,,,COUNTIF($AG$2:$AG$49,"?*"),23),2,FALSE)&lt;&gt;0,YEAR(VLOOKUP(M12,OFFSET($AG$2,,,COUNTIF($AG$2:$AG$49,"?*"),23),2,FALSE)),""),"")</f>
        <v>2003</v>
      </c>
      <c r="O13" s="429"/>
      <c r="P13" s="94">
        <f ca="1">IFERROR(VLOOKUP(M12,OFFSET($AG$2,,,COUNTIF($AG$2:$AG$49,"?*"),23),15,FALSE),"")</f>
        <v>18</v>
      </c>
      <c r="Q13" s="419" t="str">
        <f ca="1">IFERROR(VLOOKUP(M12,OFFSET($AG$2,,,COUNTIF($AG$2:$AG$49,"?*"),23),16,FALSE),"")</f>
        <v>178/70</v>
      </c>
      <c r="R13" s="420"/>
      <c r="S13" s="110" t="s">
        <v>199</v>
      </c>
      <c r="T13" s="102" t="s">
        <v>106</v>
      </c>
      <c r="U13" s="102">
        <v>16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2</v>
      </c>
      <c r="AB13" s="102">
        <v>-10</v>
      </c>
      <c r="AC13" s="102" t="str">
        <f t="shared" ca="1" si="0"/>
        <v>ANO</v>
      </c>
      <c r="AG13" s="121" t="s">
        <v>206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220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7"/>
        <v>Král</v>
      </c>
      <c r="BE13" s="91">
        <f t="shared" ca="1" si="3"/>
        <v>1</v>
      </c>
      <c r="BF13" s="90" t="str">
        <f t="shared" si="8"/>
        <v>J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4"/>
      <c r="BT13" s="104" t="s">
        <v>904</v>
      </c>
      <c r="BU13" s="103">
        <v>15</v>
      </c>
      <c r="BV13" s="104" t="str">
        <f t="shared" si="14"/>
        <v>Šimon Stránský</v>
      </c>
      <c r="BW13" s="102">
        <f t="shared" si="15"/>
        <v>15</v>
      </c>
    </row>
    <row r="14" spans="1:79" ht="15" customHeight="1" thickTop="1" thickBot="1" x14ac:dyDescent="0.25">
      <c r="A14" s="421" t="str">
        <f ca="1">IFERROR(VLOOKUP(A12,OFFSET($AG$2,,,COUNTIF($AG$2:$AG$49,"?*"),23),18,FALSE),"")</f>
        <v>15 OZ, 29 (12+17), +4 ±</v>
      </c>
      <c r="B14" s="422"/>
      <c r="C14" s="422"/>
      <c r="D14" s="423" t="str">
        <f ca="1">IFERROR(VLOOKUP(A12,OFFSET($AG$2,,,COUNTIF($AG$2:$AG$49,"?*"),23),19,FALSE),"")</f>
        <v>200 OZ, 253 (138+115)</v>
      </c>
      <c r="E14" s="423"/>
      <c r="F14" s="424"/>
      <c r="G14" s="425" t="s">
        <v>195</v>
      </c>
      <c r="H14" s="426"/>
      <c r="I14" s="426"/>
      <c r="J14" s="426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421" t="str">
        <f ca="1">IFERROR(VLOOKUP(M12,OFFSET($AG$2,,,COUNTIF($AG$2:$AG$49,"?*"),23),18,FALSE),"")</f>
        <v>16 OZ, 23 (11+12), +8 ±</v>
      </c>
      <c r="N14" s="422"/>
      <c r="O14" s="422"/>
      <c r="P14" s="423" t="str">
        <f ca="1">IFERROR(VLOOKUP(M12,OFFSET($AG$2,,,COUNTIF($AG$2:$AG$49,"?*"),23),19,FALSE),"")</f>
        <v>38 OZ, 49 (20+29)</v>
      </c>
      <c r="Q14" s="423"/>
      <c r="R14" s="424"/>
      <c r="S14" s="110" t="s">
        <v>194</v>
      </c>
      <c r="T14" s="102" t="s">
        <v>106</v>
      </c>
      <c r="U14" s="102">
        <v>16</v>
      </c>
      <c r="V14" s="102">
        <v>2</v>
      </c>
      <c r="W14" s="102">
        <v>0</v>
      </c>
      <c r="X14" s="102">
        <v>0</v>
      </c>
      <c r="Y14" s="102">
        <v>1</v>
      </c>
      <c r="Z14" s="102">
        <v>3</v>
      </c>
      <c r="AA14" s="102">
        <v>2</v>
      </c>
      <c r="AB14" s="102">
        <v>-7</v>
      </c>
      <c r="AC14" s="102" t="str">
        <f t="shared" ca="1" si="0"/>
        <v>ANO</v>
      </c>
      <c r="AG14" s="121" t="s">
        <v>748</v>
      </c>
      <c r="AH14" s="122">
        <v>34103</v>
      </c>
      <c r="AI14" s="123"/>
      <c r="AJ14" s="123"/>
      <c r="AK14" s="123"/>
      <c r="AL14" s="124"/>
      <c r="AM14" s="123"/>
      <c r="AN14" s="123">
        <v>55</v>
      </c>
      <c r="AO14" s="125"/>
      <c r="AP14" s="125"/>
      <c r="AQ14" s="123">
        <v>187</v>
      </c>
      <c r="AR14" s="123">
        <v>81</v>
      </c>
      <c r="AS14" s="126" t="s">
        <v>216</v>
      </c>
      <c r="AT14" s="123">
        <v>2006</v>
      </c>
      <c r="AU14" s="127">
        <f ca="1">IF(AG14&lt;&gt;"",IF(AH14&lt;&gt;"",INT((TODAY()-AH14)/365),"?"),"")</f>
        <v>28</v>
      </c>
      <c r="AV14" s="127" t="str">
        <f>IF(AG14&lt;&gt;"",CONCATENATE(IF(AQ14&lt;&gt;"",AQ14,"? "),"/",IF(AR14&lt;&gt;"",AR14," ?")),"")</f>
        <v>187/81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7"/>
        <v>Levínský</v>
      </c>
      <c r="BE14" s="84">
        <f t="shared" ca="1" si="3"/>
        <v>1</v>
      </c>
      <c r="BF14" s="62" t="str">
        <f t="shared" si="8"/>
        <v>J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4"/>
      <c r="BT14" s="104" t="s">
        <v>1081</v>
      </c>
      <c r="BU14" s="103">
        <v>14</v>
      </c>
      <c r="BV14" s="104" t="str">
        <f t="shared" si="14"/>
        <v>Radek Valeš</v>
      </c>
      <c r="BW14" s="102">
        <f t="shared" si="15"/>
        <v>14</v>
      </c>
    </row>
    <row r="15" spans="1:79" ht="15" customHeight="1" thickBot="1" x14ac:dyDescent="0.25">
      <c r="A15" s="430" t="str">
        <f ca="1">IFERROR(IF(VLOOKUP(A12,OFFSET($AG$2,,,COUNTIF($AG$2:$AG$49,"?*"),23),13,FALSE)&lt;&gt;0,VLOOKUP(A12,OFFSET($AG$2,,,COUNTIF($AG$2:$AG$49,"?*"),23),13,FALSE),"?"),"")</f>
        <v>TJ Centropen Dačice</v>
      </c>
      <c r="B15" s="431"/>
      <c r="C15" s="432"/>
      <c r="D15" s="433">
        <f ca="1">IFERROR(IF(VLOOKUP(A12,OFFSET($AG$2,,,COUNTIF($AG$2:$AG$49,"?*"),23),14,FALSE)&lt;&gt;0,VLOOKUP(A12,OFFSET($AG$2,,,COUNTIF($AG$2:$AG$49,"?*"),23),14,FALSE),"?"),"")</f>
        <v>2006</v>
      </c>
      <c r="E15" s="434"/>
      <c r="F15" s="7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428">
        <f ca="1">IFERROR(IF(VLOOKUP(G14,OFFSET($AG$2,,,COUNTIF($AG$2:$AG$49,"?*"),23),2,FALSE)&lt;&gt;0,YEAR(VLOOKUP(G14,OFFSET($AG$2,,,COUNTIF($AG$2:$AG$49,"?*"),23),2,FALSE)),""),"")</f>
        <v>1994</v>
      </c>
      <c r="I15" s="429"/>
      <c r="J15" s="94">
        <f ca="1">IFERROR(VLOOKUP(G14,OFFSET($AG$2,,,COUNTIF($AG$2:$AG$49,"?*"),23),15,FALSE),"")</f>
        <v>27</v>
      </c>
      <c r="K15" s="419" t="str">
        <f ca="1">IFERROR(VLOOKUP(G14,OFFSET($AG$2,,,COUNTIF($AG$2:$AG$49,"?*"),23),16,FALSE),"")</f>
        <v>187/76</v>
      </c>
      <c r="L15" s="420"/>
      <c r="M15" s="430" t="str">
        <f ca="1">IFERROR(IF(VLOOKUP(M12,OFFSET($AG$2,,,COUNTIF($AG$2:$AG$49,"?*"),23),13,FALSE)&lt;&gt;0,VLOOKUP(M12,OFFSET($AG$2,,,COUNTIF($AG$2:$AG$49,"?*"),23),13,FALSE),"?"),"")</f>
        <v>FBC Liberec</v>
      </c>
      <c r="N15" s="431"/>
      <c r="O15" s="432"/>
      <c r="P15" s="433">
        <f ca="1">IFERROR(IF(VLOOKUP(M12,OFFSET($AG$2,,,COUNTIF($AG$2:$AG$49,"?*"),23),14,FALSE)&lt;&gt;0,VLOOKUP(M12,OFFSET($AG$2,,,COUNTIF($AG$2:$AG$49,"?*"),23),14,FALSE),"?"),"")</f>
        <v>2010</v>
      </c>
      <c r="Q15" s="434"/>
      <c r="R15" s="7">
        <f ca="1">IFERROR(IF(VLOOKUP(M12,OFFSET($AG$2,,,COUNTIF($AG$2:$AG$49,"?*"),23),7,FALSE)&lt;&gt;0,VLOOKUP(M12,OFFSET($AG$2,,,COUNTIF($AG$2:$AG$49,"?*"),23),7,FALSE),"?"),"")</f>
        <v>2</v>
      </c>
      <c r="S15" s="110" t="s">
        <v>203</v>
      </c>
      <c r="T15" s="102" t="s">
        <v>57</v>
      </c>
      <c r="U15" s="102">
        <v>12</v>
      </c>
      <c r="V15" s="102">
        <v>0</v>
      </c>
      <c r="W15" s="102">
        <v>0</v>
      </c>
      <c r="X15" s="102">
        <v>0</v>
      </c>
      <c r="Y15" s="102">
        <v>3</v>
      </c>
      <c r="Z15" s="102">
        <v>3</v>
      </c>
      <c r="AA15" s="102">
        <v>2</v>
      </c>
      <c r="AB15" s="102">
        <v>5</v>
      </c>
      <c r="AC15" s="102" t="str">
        <f t="shared" ca="1" si="0"/>
        <v>ANO</v>
      </c>
      <c r="AG15" s="121" t="s">
        <v>212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26</v>
      </c>
      <c r="AQ15" s="123">
        <v>170</v>
      </c>
      <c r="AR15" s="123">
        <v>67</v>
      </c>
      <c r="AS15" s="126" t="s">
        <v>222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7"/>
        <v>Martínek</v>
      </c>
      <c r="BE15" s="91">
        <f t="shared" ca="1" si="3"/>
        <v>1</v>
      </c>
      <c r="BF15" s="90" t="str">
        <f t="shared" si="8"/>
        <v>D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4"/>
      <c r="BT15" s="104" t="s">
        <v>1402</v>
      </c>
      <c r="BU15" s="103">
        <v>12</v>
      </c>
      <c r="BV15" s="104" t="str">
        <f t="shared" si="14"/>
        <v>Prokop Ferdan</v>
      </c>
      <c r="BW15" s="102">
        <f t="shared" si="15"/>
        <v>12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IFERROR(VLOOKUP(G14,OFFSET($AG$2,,,COUNTIF($AG$2:$AG$49,"?*"),23),18,FALSE),"")</f>
        <v>16 OZ, 24 (14+10), +5 ±</v>
      </c>
      <c r="H16" s="422"/>
      <c r="I16" s="422"/>
      <c r="J16" s="423" t="str">
        <f ca="1">IFERROR(VLOOKUP(G14,OFFSET($AG$2,,,COUNTIF($AG$2:$AG$49,"?*"),23),19,FALSE),"")</f>
        <v>205 OZ, 329 (180+149)</v>
      </c>
      <c r="K16" s="423"/>
      <c r="L16" s="424"/>
      <c r="S16" s="110" t="s">
        <v>208</v>
      </c>
      <c r="T16" s="102" t="s">
        <v>106</v>
      </c>
      <c r="U16" s="102">
        <v>15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-1</v>
      </c>
      <c r="AC16" s="102" t="str">
        <f t="shared" ca="1" si="0"/>
        <v>ANO</v>
      </c>
      <c r="AG16" s="121" t="s">
        <v>223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224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2 V, 3 P</v>
      </c>
      <c r="AY16" s="129" t="str">
        <f t="shared" ca="1" si="2"/>
        <v>53 OZ, 0 A</v>
      </c>
      <c r="AZ16" s="130"/>
      <c r="BA16" s="130"/>
      <c r="BB16" s="130"/>
      <c r="BC16" s="130"/>
      <c r="BD16" s="3" t="str">
        <f t="shared" si="7"/>
        <v>Mück</v>
      </c>
      <c r="BE16" s="84">
        <f t="shared" ca="1" si="3"/>
        <v>1</v>
      </c>
      <c r="BF16" s="62" t="str">
        <f t="shared" si="8"/>
        <v>D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4"/>
      <c r="BT16" s="104" t="s">
        <v>990</v>
      </c>
      <c r="BU16" s="103">
        <v>11</v>
      </c>
      <c r="BV16" s="104" t="str">
        <f t="shared" si="14"/>
        <v>Vojtěch Wiener</v>
      </c>
      <c r="BW16" s="102">
        <f t="shared" si="15"/>
        <v>11</v>
      </c>
    </row>
    <row r="17" spans="1:75" ht="15" customHeight="1" thickTop="1" thickBot="1" x14ac:dyDescent="0.25">
      <c r="A17" s="425" t="s">
        <v>208</v>
      </c>
      <c r="B17" s="426"/>
      <c r="C17" s="426"/>
      <c r="D17" s="426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430" t="str">
        <f ca="1">IFERROR(IF(VLOOKUP(G14,OFFSET($AG$2,,,COUNTIF($AG$2:$AG$49,"?*"),23),13,FALSE)&lt;&gt;0,VLOOKUP(G14,OFFSET($AG$2,,,COUNTIF($AG$2:$AG$49,"?*"),23),13,FALSE),"?"),"")</f>
        <v>FBC Liberec</v>
      </c>
      <c r="H17" s="431"/>
      <c r="I17" s="432"/>
      <c r="J17" s="433">
        <f ca="1">IFERROR(IF(VLOOKUP(G14,OFFSET($AG$2,,,COUNTIF($AG$2:$AG$49,"?*"),23),14,FALSE)&lt;&gt;0,VLOOKUP(G14,OFFSET($AG$2,,,COUNTIF($AG$2:$AG$49,"?*"),23),14,FALSE),"?"),"")</f>
        <v>2002</v>
      </c>
      <c r="K17" s="434"/>
      <c r="L17" s="7">
        <f ca="1">IFERROR(IF(VLOOKUP(G14,OFFSET($AG$2,,,COUNTIF($AG$2:$AG$49,"?*"),23),7,FALSE)&lt;&gt;0,VLOOKUP(G14,OFFSET($AG$2,,,COUNTIF($AG$2:$AG$49,"?*"),23),7,FALSE),"?"),"")</f>
        <v>10</v>
      </c>
      <c r="M17" s="425" t="s">
        <v>202</v>
      </c>
      <c r="N17" s="426"/>
      <c r="O17" s="426"/>
      <c r="P17" s="426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110" t="s">
        <v>198</v>
      </c>
      <c r="U17" s="102">
        <v>7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-8</v>
      </c>
      <c r="AC17" s="102" t="str">
        <f t="shared" ca="1" si="0"/>
        <v>ANO</v>
      </c>
      <c r="AG17" s="121" t="s">
        <v>209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26</v>
      </c>
      <c r="AQ17" s="123">
        <v>164</v>
      </c>
      <c r="AR17" s="123">
        <v>68</v>
      </c>
      <c r="AS17" s="126" t="s">
        <v>225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12 OZ, 0 (0+0), -3 ±</v>
      </c>
      <c r="AY17" s="129" t="str">
        <f t="shared" ca="1" si="2"/>
        <v>26 OZ, 1 (1+0)</v>
      </c>
      <c r="AZ17" s="130"/>
      <c r="BA17" s="130"/>
      <c r="BB17" s="130"/>
      <c r="BC17" s="130"/>
      <c r="BD17" s="89" t="str">
        <f t="shared" si="7"/>
        <v>Pařízek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4" t="s">
        <v>40</v>
      </c>
      <c r="BT17" s="104" t="s">
        <v>240</v>
      </c>
      <c r="BU17" s="103">
        <v>7</v>
      </c>
      <c r="BV17" s="104" t="str">
        <f t="shared" si="14"/>
        <v>Petr Chlad</v>
      </c>
      <c r="BW17" s="102">
        <f t="shared" si="15"/>
        <v>7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428">
        <f ca="1">IFERROR(IF(VLOOKUP(A17,OFFSET($AG$2,,,COUNTIF($AG$2:$AG$49,"?*"),23),2,FALSE)&lt;&gt;0,YEAR(VLOOKUP(A17,OFFSET($AG$2,,,COUNTIF($AG$2:$AG$49,"?*"),23),2,FALSE)),""),"")</f>
        <v>1994</v>
      </c>
      <c r="C18" s="429"/>
      <c r="D18" s="149">
        <f ca="1">IFERROR(VLOOKUP(A17,OFFSET($AG$2,,,COUNTIF($AG$2:$AG$49,"?*"),23),15,FALSE),"")</f>
        <v>27</v>
      </c>
      <c r="E18" s="419" t="str">
        <f ca="1">IFERROR(VLOOKUP(A17,OFFSET($AG$2,,,COUNTIF($AG$2:$AG$49,"?*"),23),16,FALSE),"")</f>
        <v>180/82</v>
      </c>
      <c r="F18" s="420"/>
      <c r="M18" s="4" t="str">
        <f ca="1">IFERROR(IF(VLOOKUP(M17,OFFSET($AG$2,,,COUNTIF($AG$2:$AG$49,"?*"),23),10,FALSE)&lt;&gt;0,VLOOKUP(M17,OFFSET($AG$2,,,COUNTIF($AG$2:$AG$49,"?*"),23),10,FALSE),""),"")</f>
        <v>L</v>
      </c>
      <c r="N18" s="428">
        <f ca="1">IFERROR(IF(VLOOKUP(M17,OFFSET($AG$2,,,COUNTIF($AG$2:$AG$49,"?*"),23),2,FALSE)&lt;&gt;0,YEAR(VLOOKUP(M17,OFFSET($AG$2,,,COUNTIF($AG$2:$AG$49,"?*"),23),2,FALSE)),""),"")</f>
        <v>2003</v>
      </c>
      <c r="O18" s="429"/>
      <c r="P18" s="94">
        <f ca="1">IFERROR(VLOOKUP(M17,OFFSET($AG$2,,,COUNTIF($AG$2:$AG$49,"?*"),23),15,FALSE),"")</f>
        <v>18</v>
      </c>
      <c r="Q18" s="419" t="str">
        <f ca="1">IFERROR(VLOOKUP(M17,OFFSET($AG$2,,,COUNTIF($AG$2:$AG$49,"?*"),23),16,FALSE),"")</f>
        <v>178/74</v>
      </c>
      <c r="R18" s="420"/>
      <c r="S18" s="110" t="s">
        <v>211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199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136</v>
      </c>
      <c r="AQ18" s="123">
        <v>164</v>
      </c>
      <c r="AR18" s="123">
        <v>60</v>
      </c>
      <c r="AS18" s="126" t="s">
        <v>225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16 OZ, 4 (1+3), -10 ±</v>
      </c>
      <c r="AY18" s="129" t="str">
        <f t="shared" ca="1" si="2"/>
        <v>91 OZ, 48 (24+24)</v>
      </c>
      <c r="AZ18" s="130"/>
      <c r="BA18" s="130"/>
      <c r="BB18" s="130"/>
      <c r="BC18" s="130"/>
      <c r="BD18" s="3" t="str">
        <f t="shared" si="7"/>
        <v>Rozkovec</v>
      </c>
      <c r="BE18" s="84">
        <f t="shared" ca="1" si="3"/>
        <v>1</v>
      </c>
      <c r="BF18" s="62" t="str">
        <f t="shared" si="8"/>
        <v>P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4"/>
      <c r="BT18" s="104" t="s">
        <v>1083</v>
      </c>
      <c r="BU18" s="103">
        <v>2</v>
      </c>
      <c r="BV18" s="104" t="str">
        <f t="shared" si="14"/>
        <v>Daniel Mück</v>
      </c>
      <c r="BW18" s="102">
        <f t="shared" si="15"/>
        <v>2</v>
      </c>
    </row>
    <row r="19" spans="1:75" ht="15" customHeight="1" x14ac:dyDescent="0.2">
      <c r="A19" s="421" t="str">
        <f ca="1">IFERROR(VLOOKUP(A17,OFFSET($AG$2,,,COUNTIF($AG$2:$AG$49,"?*"),23),18,FALSE),"")</f>
        <v>15 OZ, 1 (1+0), -1 ±</v>
      </c>
      <c r="B19" s="422"/>
      <c r="C19" s="422"/>
      <c r="D19" s="423" t="str">
        <f ca="1">IFERROR(VLOOKUP(A17,OFFSET($AG$2,,,COUNTIF($AG$2:$AG$49,"?*"),23),19,FALSE),"")</f>
        <v>209 OZ, 117 (51+66)</v>
      </c>
      <c r="E19" s="423"/>
      <c r="F19" s="424"/>
      <c r="H19" s="435" t="str">
        <f>H$8</f>
        <v>LIB</v>
      </c>
      <c r="I19" s="435"/>
      <c r="J19" s="435"/>
      <c r="K19" s="435"/>
      <c r="M19" s="421" t="str">
        <f ca="1">IFERROR(VLOOKUP(M17,OFFSET($AG$2,,,COUNTIF($AG$2:$AG$49,"?*"),23),18,FALSE),"")</f>
        <v>16 OZ, 4 (2+2), +8 ±</v>
      </c>
      <c r="N19" s="422"/>
      <c r="O19" s="422"/>
      <c r="P19" s="423" t="str">
        <f ca="1">IFERROR(VLOOKUP(M17,OFFSET($AG$2,,,COUNTIF($AG$2:$AG$49,"?*"),23),19,FALSE),"")</f>
        <v>38 OZ, 8 (4+4)</v>
      </c>
      <c r="Q19" s="423"/>
      <c r="R19" s="424"/>
      <c r="S19" s="110" t="s">
        <v>1391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226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136</v>
      </c>
      <c r="AQ19" s="123">
        <v>181</v>
      </c>
      <c r="AR19" s="123">
        <v>79</v>
      </c>
      <c r="AS19" s="126" t="s">
        <v>227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7"/>
        <v>Salát</v>
      </c>
      <c r="BE19" s="91">
        <f t="shared" ca="1" si="3"/>
        <v>1</v>
      </c>
      <c r="BF19" s="90" t="str">
        <f t="shared" si="8"/>
        <v>P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4"/>
      <c r="BT19" s="104" t="s">
        <v>1251</v>
      </c>
      <c r="BU19" s="103">
        <v>1</v>
      </c>
      <c r="BV19" s="104" t="str">
        <f t="shared" si="14"/>
        <v>Jakub Levínský</v>
      </c>
      <c r="BW19" s="102">
        <f t="shared" si="15"/>
        <v>1</v>
      </c>
    </row>
    <row r="20" spans="1:75" ht="15" customHeight="1" thickBot="1" x14ac:dyDescent="0.25">
      <c r="A20" s="430" t="str">
        <f ca="1">IFERROR(IF(VLOOKUP(A17,OFFSET($AG$2,,,COUNTIF($AG$2:$AG$49,"?*"),23),13,FALSE)&lt;&gt;0,VLOOKUP(A17,OFFSET($AG$2,,,COUNTIF($AG$2:$AG$49,"?*"),23),13,FALSE),"?"),"")</f>
        <v>Sokol Pardubice</v>
      </c>
      <c r="B20" s="431"/>
      <c r="C20" s="432"/>
      <c r="D20" s="433">
        <f ca="1">IFERROR(IF(VLOOKUP(A17,OFFSET($AG$2,,,COUNTIF($AG$2:$AG$49,"?*"),23),14,FALSE)&lt;&gt;0,VLOOKUP(A17,OFFSET($AG$2,,,COUNTIF($AG$2:$AG$49,"?*"),23),14,FALSE),"?"),"")</f>
        <v>2009</v>
      </c>
      <c r="E20" s="434"/>
      <c r="F20" s="7">
        <f ca="1">IFERROR(IF(VLOOKUP(A17,OFFSET($AG$2,,,COUNTIF($AG$2:$AG$49,"?*"),23),7,FALSE)&lt;&gt;0,VLOOKUP(A17,OFFSET($AG$2,,,COUNTIF($AG$2:$AG$49,"?*"),23),7,FALSE),"?"),"")</f>
        <v>11</v>
      </c>
      <c r="H20" s="435"/>
      <c r="I20" s="435"/>
      <c r="J20" s="435"/>
      <c r="K20" s="435"/>
      <c r="M20" s="430" t="str">
        <f ca="1">IFERROR(IF(VLOOKUP(M17,OFFSET($AG$2,,,COUNTIF($AG$2:$AG$49,"?*"),23),13,FALSE)&lt;&gt;0,VLOOKUP(M17,OFFSET($AG$2,,,COUNTIF($AG$2:$AG$49,"?*"),23),13,FALSE),"?"),"")</f>
        <v>FBC Liberec</v>
      </c>
      <c r="N20" s="431"/>
      <c r="O20" s="432"/>
      <c r="P20" s="433">
        <f ca="1">IFERROR(IF(VLOOKUP(M17,OFFSET($AG$2,,,COUNTIF($AG$2:$AG$49,"?*"),23),14,FALSE)&lt;&gt;0,VLOOKUP(M17,OFFSET($AG$2,,,COUNTIF($AG$2:$AG$49,"?*"),23),14,FALSE),"?"),"")</f>
        <v>2010</v>
      </c>
      <c r="Q20" s="434"/>
      <c r="R20" s="7">
        <f ca="1">IFERROR(IF(VLOOKUP(M17,OFFSET($AG$2,,,COUNTIF($AG$2:$AG$49,"?*"),23),7,FALSE)&lt;&gt;0,VLOOKUP(M17,OFFSET($AG$2,,,COUNTIF($AG$2:$AG$49,"?*"),23),7,FALSE),"?"),"")</f>
        <v>2</v>
      </c>
      <c r="S20" s="110" t="s">
        <v>204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207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26</v>
      </c>
      <c r="AQ20" s="123">
        <v>183</v>
      </c>
      <c r="AR20" s="123">
        <v>79</v>
      </c>
      <c r="AS20" s="126" t="s">
        <v>736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15 OZ, 28 (18+10), +1 ±</v>
      </c>
      <c r="AY20" s="129" t="str">
        <f t="shared" ca="1" si="2"/>
        <v>15 OZ, 28 (18+10)</v>
      </c>
      <c r="AZ20" s="130"/>
      <c r="BA20" s="130"/>
      <c r="BB20" s="130"/>
      <c r="BC20" s="130"/>
      <c r="BD20" s="3" t="str">
        <f t="shared" si="7"/>
        <v>Smutný</v>
      </c>
      <c r="BE20" s="84">
        <f t="shared" ca="1" si="3"/>
        <v>1</v>
      </c>
      <c r="BF20" s="62" t="str">
        <f t="shared" si="8"/>
        <v>F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4"/>
      <c r="BT20" s="104" t="s">
        <v>1403</v>
      </c>
      <c r="BU20" s="103">
        <v>0</v>
      </c>
      <c r="BV20" s="104" t="str">
        <f t="shared" si="14"/>
        <v>Daniel Kupec</v>
      </c>
      <c r="BW20" s="102">
        <f t="shared" si="15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206</v>
      </c>
      <c r="T21" s="102" t="s">
        <v>104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200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136</v>
      </c>
      <c r="AQ21" s="123">
        <v>187</v>
      </c>
      <c r="AR21" s="123">
        <v>83</v>
      </c>
      <c r="AS21" s="126" t="s">
        <v>228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16 OZ, 29 (15+14), +2 ±</v>
      </c>
      <c r="AY21" s="129" t="str">
        <f t="shared" ca="1" si="2"/>
        <v>34 OZ, 43 (24+19)</v>
      </c>
      <c r="AZ21" s="130"/>
      <c r="BA21" s="130"/>
      <c r="BB21" s="130"/>
      <c r="BC21" s="130"/>
      <c r="BD21" s="89" t="str">
        <f t="shared" si="7"/>
        <v>Stránský</v>
      </c>
      <c r="BE21" s="91">
        <f t="shared" ca="1" si="3"/>
        <v>1</v>
      </c>
      <c r="BF21" s="90" t="str">
        <f t="shared" si="8"/>
        <v>Š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4"/>
      <c r="BT21" s="104" t="s">
        <v>1404</v>
      </c>
      <c r="BU21" s="103">
        <v>0</v>
      </c>
      <c r="BV21" s="104" t="str">
        <f t="shared" si="14"/>
        <v>Jan Král</v>
      </c>
      <c r="BW21" s="102">
        <f t="shared" si="15"/>
        <v>0</v>
      </c>
    </row>
    <row r="22" spans="1:75" ht="15" customHeight="1" thickTop="1" thickBot="1" x14ac:dyDescent="0.25">
      <c r="S22" s="110" t="s">
        <v>1392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210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136</v>
      </c>
      <c r="AQ22" s="123">
        <v>187</v>
      </c>
      <c r="AR22" s="123">
        <v>82</v>
      </c>
      <c r="AS22" s="126" t="s">
        <v>229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16 OZ, 8 (6+2), -11 ±</v>
      </c>
      <c r="AY22" s="129" t="str">
        <f t="shared" ca="1" si="2"/>
        <v>57 OZ, 33 (21+12)</v>
      </c>
      <c r="AZ22" s="130"/>
      <c r="BA22" s="130"/>
      <c r="BB22" s="130"/>
      <c r="BC22" s="130"/>
      <c r="BD22" s="3" t="str">
        <f t="shared" si="7"/>
        <v>Světlík</v>
      </c>
      <c r="BE22" s="84">
        <f t="shared" ca="1" si="3"/>
        <v>1</v>
      </c>
      <c r="BF22" s="62" t="str">
        <f t="shared" si="8"/>
        <v>J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4" t="s">
        <v>37</v>
      </c>
      <c r="BT22" s="104" t="s">
        <v>905</v>
      </c>
      <c r="BU22" s="103">
        <v>17</v>
      </c>
      <c r="BV22" s="104" t="str">
        <f t="shared" si="14"/>
        <v>Prokop Ferdan</v>
      </c>
      <c r="BW22" s="102">
        <f t="shared" si="15"/>
        <v>17</v>
      </c>
    </row>
    <row r="23" spans="1:75" ht="15" customHeight="1" thickTop="1" thickBot="1" x14ac:dyDescent="0.25">
      <c r="A23" s="425" t="s">
        <v>199</v>
      </c>
      <c r="B23" s="426"/>
      <c r="C23" s="426"/>
      <c r="D23" s="426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427" t="s">
        <v>12</v>
      </c>
      <c r="I23" s="427"/>
      <c r="J23" s="427"/>
      <c r="K23" s="427"/>
      <c r="M23" s="425" t="s">
        <v>210</v>
      </c>
      <c r="N23" s="426"/>
      <c r="O23" s="426"/>
      <c r="P23" s="426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110" t="s">
        <v>1249</v>
      </c>
      <c r="T23" s="102" t="s">
        <v>106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NE</v>
      </c>
      <c r="AG23" s="121" t="s">
        <v>194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136</v>
      </c>
      <c r="AQ23" s="123">
        <v>177</v>
      </c>
      <c r="AR23" s="123">
        <v>74</v>
      </c>
      <c r="AS23" s="126" t="s">
        <v>75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16 OZ, 3 (2+1), -7 ±</v>
      </c>
      <c r="AY23" s="129" t="str">
        <f t="shared" ca="1" si="2"/>
        <v>110 OZ, 32 (22+10)</v>
      </c>
      <c r="AZ23" s="130"/>
      <c r="BA23" s="130"/>
      <c r="BB23" s="130"/>
      <c r="BC23" s="130"/>
      <c r="BD23" s="89" t="str">
        <f t="shared" si="7"/>
        <v>Šoltys</v>
      </c>
      <c r="BE23" s="91">
        <f t="shared" ca="1" si="3"/>
        <v>1</v>
      </c>
      <c r="BF23" s="90" t="str">
        <f t="shared" si="8"/>
        <v>J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4"/>
      <c r="BT23" s="104" t="s">
        <v>904</v>
      </c>
      <c r="BU23" s="103">
        <v>14</v>
      </c>
      <c r="BV23" s="104" t="str">
        <f t="shared" si="14"/>
        <v>Šimon Stránský</v>
      </c>
      <c r="BW23" s="102">
        <f t="shared" si="15"/>
        <v>14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428">
        <f ca="1">IFERROR(IF(VLOOKUP(A23,OFFSET($AG$2,,,COUNTIF($AG$2:$AG$49,"?*"),23),2,FALSE)&lt;&gt;0,YEAR(VLOOKUP(A23,OFFSET($AG$2,,,COUNTIF($AG$2:$AG$49,"?*"),23),2,FALSE)),""),"")</f>
        <v>1999</v>
      </c>
      <c r="C24" s="429"/>
      <c r="D24" s="94">
        <f ca="1">IFERROR(VLOOKUP(A23,OFFSET($AG$2,,,COUNTIF($AG$2:$AG$49,"?*"),23),15,FALSE),"")</f>
        <v>22</v>
      </c>
      <c r="E24" s="419" t="str">
        <f ca="1">IFERROR(VLOOKUP(A23,OFFSET($AG$2,,,COUNTIF($AG$2:$AG$49,"?*"),23),16,FALSE),"")</f>
        <v>164/60</v>
      </c>
      <c r="F24" s="420"/>
      <c r="M24" s="4" t="str">
        <f ca="1">IFERROR(IF(VLOOKUP(M23,OFFSET($AG$2,,,COUNTIF($AG$2:$AG$49,"?*"),23),10,FALSE)&lt;&gt;0,VLOOKUP(M23,OFFSET($AG$2,,,COUNTIF($AG$2:$AG$49,"?*"),23),10,FALSE),""),"")</f>
        <v>L</v>
      </c>
      <c r="N24" s="428">
        <f ca="1">IFERROR(IF(VLOOKUP(M23,OFFSET($AG$2,,,COUNTIF($AG$2:$AG$49,"?*"),23),2,FALSE)&lt;&gt;0,YEAR(VLOOKUP(M23,OFFSET($AG$2,,,COUNTIF($AG$2:$AG$49,"?*"),23),2,FALSE)),""),"")</f>
        <v>1998</v>
      </c>
      <c r="O24" s="429"/>
      <c r="P24" s="94">
        <f ca="1">IFERROR(VLOOKUP(M23,OFFSET($AG$2,,,COUNTIF($AG$2:$AG$49,"?*"),23),15,FALSE),"")</f>
        <v>23</v>
      </c>
      <c r="Q24" s="419" t="str">
        <f ca="1">IFERROR(VLOOKUP(M23,OFFSET($AG$2,,,COUNTIF($AG$2:$AG$49,"?*"),23),16,FALSE),"")</f>
        <v>187/82</v>
      </c>
      <c r="R24" s="420"/>
      <c r="S24" s="110" t="s">
        <v>1086</v>
      </c>
      <c r="U24" s="102">
        <v>3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1</v>
      </c>
      <c r="AC24" s="102" t="str">
        <f t="shared" ca="1" si="0"/>
        <v>NE</v>
      </c>
      <c r="AG24" s="121" t="s">
        <v>204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75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7"/>
        <v>Václavík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4"/>
      <c r="BT24" s="104" t="s">
        <v>1254</v>
      </c>
      <c r="BU24" s="103">
        <v>12</v>
      </c>
      <c r="BV24" s="104" t="str">
        <f t="shared" si="14"/>
        <v>Vojtěch Wiener</v>
      </c>
      <c r="BW24" s="102">
        <f t="shared" si="15"/>
        <v>12</v>
      </c>
    </row>
    <row r="25" spans="1:75" ht="15" customHeight="1" thickTop="1" thickBot="1" x14ac:dyDescent="0.25">
      <c r="A25" s="421" t="str">
        <f ca="1">IFERROR(VLOOKUP(A23,OFFSET($AG$2,,,COUNTIF($AG$2:$AG$49,"?*"),23),18,FALSE),"")</f>
        <v>16 OZ, 4 (1+3), -10 ±</v>
      </c>
      <c r="B25" s="422"/>
      <c r="C25" s="422"/>
      <c r="D25" s="423" t="str">
        <f ca="1">IFERROR(VLOOKUP(A23,OFFSET($AG$2,,,COUNTIF($AG$2:$AG$49,"?*"),23),19,FALSE),"")</f>
        <v>91 OZ, 48 (24+24)</v>
      </c>
      <c r="E25" s="423"/>
      <c r="F25" s="424"/>
      <c r="G25" s="425" t="s">
        <v>201</v>
      </c>
      <c r="H25" s="426"/>
      <c r="I25" s="426"/>
      <c r="J25" s="426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421" t="str">
        <f ca="1">IFERROR(VLOOKUP(M23,OFFSET($AG$2,,,COUNTIF($AG$2:$AG$49,"?*"),23),18,FALSE),"")</f>
        <v>16 OZ, 8 (6+2), -11 ±</v>
      </c>
      <c r="N25" s="422"/>
      <c r="O25" s="422"/>
      <c r="P25" s="423" t="str">
        <f ca="1">IFERROR(VLOOKUP(M23,OFFSET($AG$2,,,COUNTIF($AG$2:$AG$49,"?*"),23),19,FALSE),"")</f>
        <v>57 OZ, 33 (21+12)</v>
      </c>
      <c r="Q25" s="423"/>
      <c r="R25" s="424"/>
      <c r="S25" s="110" t="s">
        <v>748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195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136</v>
      </c>
      <c r="AQ25" s="123">
        <v>187</v>
      </c>
      <c r="AR25" s="123">
        <v>76</v>
      </c>
      <c r="AS25" s="126" t="s">
        <v>75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6"/>
        <v>16 OZ, 24 (14+10), +5 ±</v>
      </c>
      <c r="AY25" s="129" t="str">
        <f t="shared" ca="1" si="17"/>
        <v>205 OZ, 329 (180+149)</v>
      </c>
      <c r="AZ25" s="130"/>
      <c r="BA25" s="130"/>
      <c r="BB25" s="130"/>
      <c r="BC25" s="130"/>
      <c r="BD25" s="89" t="str">
        <f t="shared" si="7"/>
        <v>Valeš</v>
      </c>
      <c r="BE25" s="91">
        <f t="shared" ca="1" si="3"/>
        <v>1</v>
      </c>
      <c r="BF25" s="90" t="str">
        <f t="shared" si="8"/>
        <v>R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4"/>
      <c r="BT25" s="104" t="s">
        <v>1082</v>
      </c>
      <c r="BU25" s="103">
        <v>10</v>
      </c>
      <c r="BV25" s="104" t="str">
        <f t="shared" si="14"/>
        <v>Filip Smutný</v>
      </c>
      <c r="BW25" s="102">
        <f t="shared" si="15"/>
        <v>10</v>
      </c>
    </row>
    <row r="26" spans="1:75" ht="15" customHeight="1" thickBot="1" x14ac:dyDescent="0.25">
      <c r="A26" s="430" t="str">
        <f ca="1">IFERROR(IF(VLOOKUP(A23,OFFSET($AG$2,,,COUNTIF($AG$2:$AG$49,"?*"),23),13,FALSE)&lt;&gt;0,VLOOKUP(A23,OFFSET($AG$2,,,COUNTIF($AG$2:$AG$49,"?*"),23),13,FALSE),"?"),"")</f>
        <v>Florbal Mladá Boleslav</v>
      </c>
      <c r="B26" s="431"/>
      <c r="C26" s="432"/>
      <c r="D26" s="433">
        <f ca="1">IFERROR(IF(VLOOKUP(A23,OFFSET($AG$2,,,COUNTIF($AG$2:$AG$49,"?*"),23),14,FALSE)&lt;&gt;0,VLOOKUP(A23,OFFSET($AG$2,,,COUNTIF($AG$2:$AG$49,"?*"),23),14,FALSE),"?"),"")</f>
        <v>2008</v>
      </c>
      <c r="E26" s="434"/>
      <c r="F26" s="7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428">
        <f ca="1">IFERROR(IF(VLOOKUP(G25,OFFSET($AG$2,,,COUNTIF($AG$2:$AG$49,"?*"),23),2,FALSE)&lt;&gt;0,YEAR(VLOOKUP(G25,OFFSET($AG$2,,,COUNTIF($AG$2:$AG$49,"?*"),23),2,FALSE)),""),"")</f>
        <v>1994</v>
      </c>
      <c r="I26" s="429"/>
      <c r="J26" s="94">
        <f ca="1">IFERROR(VLOOKUP(G25,OFFSET($AG$2,,,COUNTIF($AG$2:$AG$49,"?*"),23),15,FALSE),"")</f>
        <v>27</v>
      </c>
      <c r="K26" s="419" t="str">
        <f ca="1">IFERROR(VLOOKUP(G25,OFFSET($AG$2,,,COUNTIF($AG$2:$AG$49,"?*"),23),16,FALSE),"")</f>
        <v>185/86</v>
      </c>
      <c r="L26" s="420"/>
      <c r="M26" s="430" t="str">
        <f ca="1">IFERROR(IF(VLOOKUP(M23,OFFSET($AG$2,,,COUNTIF($AG$2:$AG$49,"?*"),23),13,FALSE)&lt;&gt;0,VLOOKUP(M23,OFFSET($AG$2,,,COUNTIF($AG$2:$AG$49,"?*"),23),13,FALSE),"?"),"")</f>
        <v>DTJ Trutnov</v>
      </c>
      <c r="N26" s="431"/>
      <c r="O26" s="432"/>
      <c r="P26" s="433">
        <f ca="1">IFERROR(IF(VLOOKUP(M23,OFFSET($AG$2,,,COUNTIF($AG$2:$AG$49,"?*"),23),14,FALSE)&lt;&gt;0,VLOOKUP(M23,OFFSET($AG$2,,,COUNTIF($AG$2:$AG$49,"?*"),23),14,FALSE),"?"),"")</f>
        <v>2014</v>
      </c>
      <c r="Q26" s="434"/>
      <c r="R26" s="7">
        <f ca="1">IFERROR(IF(VLOOKUP(M23,OFFSET($AG$2,,,COUNTIF($AG$2:$AG$49,"?*"),23),7,FALSE)&lt;&gt;0,VLOOKUP(M23,OFFSET($AG$2,,,COUNTIF($AG$2:$AG$49,"?*"),23),7,FALSE),"?"),"")</f>
        <v>3</v>
      </c>
      <c r="S26" s="110" t="s">
        <v>212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205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136</v>
      </c>
      <c r="AQ26" s="123">
        <v>178</v>
      </c>
      <c r="AR26" s="123">
        <v>70</v>
      </c>
      <c r="AS26" s="126" t="s">
        <v>75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6"/>
        <v>16 OZ, 23 (11+12), +8 ±</v>
      </c>
      <c r="AY26" s="129" t="str">
        <f t="shared" ca="1" si="17"/>
        <v>38 OZ, 49 (20+29)</v>
      </c>
      <c r="AZ26" s="130"/>
      <c r="BA26" s="130"/>
      <c r="BB26" s="130"/>
      <c r="BC26" s="130"/>
      <c r="BD26" s="3" t="str">
        <f t="shared" si="7"/>
        <v>Wiener</v>
      </c>
      <c r="BE26" s="84">
        <f t="shared" ca="1" si="3"/>
        <v>1</v>
      </c>
      <c r="BF26" s="62" t="str">
        <f t="shared" si="8"/>
        <v>V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4"/>
      <c r="BT26" s="104" t="s">
        <v>1405</v>
      </c>
      <c r="BU26" s="103">
        <v>10</v>
      </c>
      <c r="BV26" s="104" t="str">
        <f t="shared" si="14"/>
        <v>Radek Valeš</v>
      </c>
      <c r="BW26" s="102">
        <f t="shared" si="15"/>
        <v>10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IFERROR(VLOOKUP(G25,OFFSET($AG$2,,,COUNTIF($AG$2:$AG$49,"?*"),23),18,FALSE),"")</f>
        <v>14 OZ, 4 (2+2), -12 ±</v>
      </c>
      <c r="H27" s="422"/>
      <c r="I27" s="422"/>
      <c r="J27" s="423" t="str">
        <f ca="1">IFERROR(VLOOKUP(G25,OFFSET($AG$2,,,COUNTIF($AG$2:$AG$49,"?*"),23),19,FALSE),"")</f>
        <v>132 OZ, 39 (28+11)</v>
      </c>
      <c r="K27" s="423"/>
      <c r="L27" s="424"/>
      <c r="S27" s="110" t="s">
        <v>214</v>
      </c>
      <c r="T27" s="102" t="s">
        <v>57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-5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49" ca="1" si="18">IF(AG27&lt;&gt;"",IF(AH27&lt;&gt;"",INT((TODAY()-AH27)/365),"?"),"")</f>
        <v/>
      </c>
      <c r="AV27" s="127" t="str">
        <f t="shared" ref="AV27:AV49" si="19">IF(AG27&lt;&gt;"",CONCATENATE(IF(AQ27&lt;&gt;"",AQ27,"? "),"/",IF(AR27&lt;&gt;"",AR27," ?")),"")</f>
        <v/>
      </c>
      <c r="AW27" s="128" t="str">
        <f t="shared" ref="AW27:AW49" si="20">IF(AG27&lt;&gt;"",IF(BE27=1,BD27,IF(BH27=1,BG27,IF(BJ27=1,BI27,IF(BL27=1,BK27,BM27)))),"")</f>
        <v/>
      </c>
      <c r="AX27" s="129" t="str">
        <f t="shared" ca="1" si="16"/>
        <v/>
      </c>
      <c r="AY27" s="129" t="str">
        <f t="shared" ca="1" si="17"/>
        <v/>
      </c>
      <c r="AZ27" s="130"/>
      <c r="BA27" s="130"/>
      <c r="BB27" s="130"/>
      <c r="BC27" s="130"/>
      <c r="BD27" s="89" t="str">
        <f t="shared" si="7"/>
        <v/>
      </c>
      <c r="BE27" s="91" t="str">
        <f t="shared" ca="1" si="3"/>
        <v/>
      </c>
      <c r="BF27" s="90" t="str">
        <f t="shared" si="8"/>
        <v/>
      </c>
      <c r="BG27" s="89" t="str">
        <f t="shared" ca="1" si="9"/>
        <v/>
      </c>
      <c r="BH27" s="90" t="str">
        <f t="shared" ca="1" si="4"/>
        <v/>
      </c>
      <c r="BI27" s="89" t="str">
        <f t="shared" ca="1" si="10"/>
        <v/>
      </c>
      <c r="BJ27" s="90" t="str">
        <f t="shared" ca="1" si="5"/>
        <v/>
      </c>
      <c r="BK27" s="89" t="str">
        <f t="shared" ca="1" si="11"/>
        <v/>
      </c>
      <c r="BL27" s="90" t="str">
        <f t="shared" ca="1" si="6"/>
        <v/>
      </c>
      <c r="BM27" s="89" t="str">
        <f t="shared" ca="1" si="12"/>
        <v/>
      </c>
      <c r="BS27" s="464" t="s">
        <v>38</v>
      </c>
      <c r="BT27" s="104" t="s">
        <v>1080</v>
      </c>
      <c r="BU27" s="103">
        <v>8</v>
      </c>
      <c r="BV27" s="104" t="str">
        <f t="shared" si="14"/>
        <v>Šimon Stránský</v>
      </c>
      <c r="BW27" s="102">
        <f t="shared" si="15"/>
        <v>8</v>
      </c>
    </row>
    <row r="28" spans="1:75" ht="15" customHeight="1" thickTop="1" thickBot="1" x14ac:dyDescent="0.25">
      <c r="A28" s="425" t="s">
        <v>198</v>
      </c>
      <c r="B28" s="426"/>
      <c r="C28" s="426"/>
      <c r="D28" s="426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430" t="str">
        <f ca="1">IFERROR(IF(VLOOKUP(G25,OFFSET($AG$2,,,COUNTIF($AG$2:$AG$49,"?*"),23),13,FALSE)&lt;&gt;0,VLOOKUP(G25,OFFSET($AG$2,,,COUNTIF($AG$2:$AG$49,"?*"),23),13,FALSE),"?"),"")</f>
        <v>Sokol Dvůr Králové</v>
      </c>
      <c r="H28" s="431"/>
      <c r="I28" s="432"/>
      <c r="J28" s="433">
        <f ca="1">IFERROR(IF(VLOOKUP(G25,OFFSET($AG$2,,,COUNTIF($AG$2:$AG$49,"?*"),23),14,FALSE)&lt;&gt;0,VLOOKUP(G25,OFFSET($AG$2,,,COUNTIF($AG$2:$AG$49,"?*"),23),14,FALSE),"?"),"")</f>
        <v>2001</v>
      </c>
      <c r="K28" s="434"/>
      <c r="L28" s="7">
        <f ca="1">IFERROR(IF(VLOOKUP(G25,OFFSET($AG$2,,,COUNTIF($AG$2:$AG$49,"?*"),23),7,FALSE)&lt;&gt;0,VLOOKUP(G25,OFFSET($AG$2,,,COUNTIF($AG$2:$AG$49,"?*"),23),7,FALSE),"?"),"")</f>
        <v>11</v>
      </c>
      <c r="M28" s="425" t="s">
        <v>196</v>
      </c>
      <c r="N28" s="426"/>
      <c r="O28" s="426"/>
      <c r="P28" s="426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110" t="s">
        <v>223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/>
      <c r="AH28" s="122"/>
      <c r="AI28" s="123"/>
      <c r="AJ28" s="123"/>
      <c r="AK28" s="123"/>
      <c r="AL28" s="124" t="str">
        <f t="shared" ref="AL28:AL49" si="21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7"/>
        <v/>
      </c>
      <c r="AZ28" s="130"/>
      <c r="BA28" s="130"/>
      <c r="BB28" s="130"/>
      <c r="BC28" s="130"/>
      <c r="BD28" s="3" t="str">
        <f t="shared" si="7"/>
        <v/>
      </c>
      <c r="BE28" s="84" t="str">
        <f t="shared" ca="1" si="3"/>
        <v/>
      </c>
      <c r="BF28" s="62" t="str">
        <f t="shared" si="8"/>
        <v/>
      </c>
      <c r="BG28" s="3" t="str">
        <f t="shared" ca="1" si="9"/>
        <v/>
      </c>
      <c r="BH28" s="62" t="str">
        <f t="shared" ca="1" si="4"/>
        <v/>
      </c>
      <c r="BI28" s="3" t="str">
        <f t="shared" ca="1" si="10"/>
        <v/>
      </c>
      <c r="BJ28" s="62" t="str">
        <f t="shared" ca="1" si="5"/>
        <v/>
      </c>
      <c r="BK28" s="3" t="str">
        <f t="shared" ca="1" si="11"/>
        <v/>
      </c>
      <c r="BL28" s="62" t="str">
        <f t="shared" ca="1" si="6"/>
        <v/>
      </c>
      <c r="BM28" s="3" t="str">
        <f t="shared" ca="1" si="12"/>
        <v/>
      </c>
      <c r="BS28" s="464"/>
      <c r="BT28" s="104" t="s">
        <v>1084</v>
      </c>
      <c r="BU28" s="103">
        <v>6</v>
      </c>
      <c r="BV28" s="104" t="str">
        <f t="shared" si="14"/>
        <v>Jan Světlík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428">
        <f ca="1">IFERROR(IF(VLOOKUP(A28,OFFSET($AG$2,,,COUNTIF($AG$2:$AG$49,"?*"),23),2,FALSE)&lt;&gt;0,YEAR(VLOOKUP(A28,OFFSET($AG$2,,,COUNTIF($AG$2:$AG$49,"?*"),23),2,FALSE)),""),"")</f>
        <v>2000</v>
      </c>
      <c r="C29" s="429"/>
      <c r="D29" s="94">
        <f ca="1">IFERROR(VLOOKUP(A28,OFFSET($AG$2,,,COUNTIF($AG$2:$AG$49,"?*"),23),15,FALSE),"")</f>
        <v>21</v>
      </c>
      <c r="E29" s="419" t="str">
        <f ca="1">IFERROR(VLOOKUP(A28,OFFSET($AG$2,,,COUNTIF($AG$2:$AG$49,"?*"),23),16,FALSE),"")</f>
        <v>180/72</v>
      </c>
      <c r="F29" s="420"/>
      <c r="M29" s="4" t="str">
        <f ca="1">IFERROR(IF(VLOOKUP(M28,OFFSET($AG$2,,,COUNTIF($AG$2:$AG$49,"?*"),23),10,FALSE)&lt;&gt;0,VLOOKUP(M28,OFFSET($AG$2,,,COUNTIF($AG$2:$AG$49,"?*"),23),10,FALSE),""),"")</f>
        <v>L</v>
      </c>
      <c r="N29" s="428">
        <f ca="1">IFERROR(IF(VLOOKUP(M28,OFFSET($AG$2,,,COUNTIF($AG$2:$AG$49,"?*"),23),2,FALSE)&lt;&gt;0,YEAR(VLOOKUP(M28,OFFSET($AG$2,,,COUNTIF($AG$2:$AG$49,"?*"),23),2,FALSE)),""),"")</f>
        <v>1989</v>
      </c>
      <c r="O29" s="429"/>
      <c r="P29" s="94">
        <f ca="1">IFERROR(VLOOKUP(M28,OFFSET($AG$2,,,COUNTIF($AG$2:$AG$49,"?*"),23),15,FALSE),"")</f>
        <v>32</v>
      </c>
      <c r="Q29" s="419" t="str">
        <f ca="1">IFERROR(VLOOKUP(M28,OFFSET($AG$2,,,COUNTIF($AG$2:$AG$49,"?*"),23),16,FALSE),"")</f>
        <v>194/98</v>
      </c>
      <c r="R29" s="420"/>
      <c r="S29" s="110" t="s">
        <v>209</v>
      </c>
      <c r="U29" s="102">
        <v>12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-3</v>
      </c>
      <c r="AC29" s="102" t="str">
        <f t="shared" ca="1" si="0"/>
        <v>ANO</v>
      </c>
      <c r="AG29" s="121"/>
      <c r="AH29" s="122"/>
      <c r="AI29" s="123"/>
      <c r="AJ29" s="123"/>
      <c r="AK29" s="123"/>
      <c r="AL29" s="124" t="str">
        <f t="shared" si="21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49" ca="1" si="22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7"/>
        <v/>
      </c>
      <c r="AZ29" s="130"/>
      <c r="BA29" s="130"/>
      <c r="BB29" s="130"/>
      <c r="BC29" s="130"/>
      <c r="BD29" s="89" t="str">
        <f t="shared" si="7"/>
        <v/>
      </c>
      <c r="BE29" s="91" t="str">
        <f t="shared" ca="1" si="3"/>
        <v/>
      </c>
      <c r="BF29" s="90" t="str">
        <f t="shared" si="8"/>
        <v/>
      </c>
      <c r="BG29" s="89" t="str">
        <f t="shared" ca="1" si="9"/>
        <v/>
      </c>
      <c r="BH29" s="90" t="str">
        <f t="shared" ca="1" si="4"/>
        <v/>
      </c>
      <c r="BI29" s="89" t="str">
        <f t="shared" ca="1" si="10"/>
        <v/>
      </c>
      <c r="BJ29" s="90" t="str">
        <f t="shared" ca="1" si="5"/>
        <v/>
      </c>
      <c r="BK29" s="89" t="str">
        <f t="shared" ca="1" si="11"/>
        <v/>
      </c>
      <c r="BL29" s="90" t="str">
        <f t="shared" ca="1" si="6"/>
        <v/>
      </c>
      <c r="BM29" s="89" t="str">
        <f t="shared" ca="1" si="12"/>
        <v/>
      </c>
      <c r="BS29" s="464"/>
      <c r="BT29" s="104" t="s">
        <v>1406</v>
      </c>
      <c r="BU29" s="103">
        <v>6</v>
      </c>
      <c r="BV29" s="104" t="str">
        <f t="shared" si="14"/>
        <v>Vojtěch Janeček</v>
      </c>
      <c r="BW29" s="102">
        <f t="shared" si="15"/>
        <v>6</v>
      </c>
    </row>
    <row r="30" spans="1:75" ht="15" customHeight="1" x14ac:dyDescent="0.2">
      <c r="A30" s="421" t="str">
        <f ca="1">IFERROR(VLOOKUP(A28,OFFSET($AG$2,,,COUNTIF($AG$2:$AG$49,"?*"),23),18,FALSE),"")</f>
        <v>7 OZ, 1 (0+1), -8 ±</v>
      </c>
      <c r="B30" s="422"/>
      <c r="C30" s="422"/>
      <c r="D30" s="423" t="str">
        <f ca="1">IFERROR(VLOOKUP(A28,OFFSET($AG$2,,,COUNTIF($AG$2:$AG$49,"?*"),23),19,FALSE),"")</f>
        <v>57 OZ, 14 (5+9)</v>
      </c>
      <c r="E30" s="423"/>
      <c r="F30" s="424"/>
      <c r="H30" s="435" t="str">
        <f>H$8</f>
        <v>LIB</v>
      </c>
      <c r="I30" s="435"/>
      <c r="J30" s="435"/>
      <c r="K30" s="435"/>
      <c r="M30" s="421" t="str">
        <f ca="1">IFERROR(VLOOKUP(M28,OFFSET($AG$2,,,COUNTIF($AG$2:$AG$49,"?*"),23),18,FALSE),"")</f>
        <v>14 OZ, 4 (3+1), -4 ±</v>
      </c>
      <c r="N30" s="422"/>
      <c r="O30" s="422"/>
      <c r="P30" s="423" t="str">
        <f ca="1">IFERROR(VLOOKUP(M28,OFFSET($AG$2,,,COUNTIF($AG$2:$AG$49,"?*"),23),19,FALSE),"")</f>
        <v>256 OZ, 122 (66+56)</v>
      </c>
      <c r="Q30" s="423"/>
      <c r="R30" s="42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1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2"/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4"/>
      <c r="BT30" s="104" t="s">
        <v>1253</v>
      </c>
      <c r="BU30" s="103">
        <v>6</v>
      </c>
      <c r="BV30" s="104" t="str">
        <f t="shared" si="14"/>
        <v>Vojtěch Wiener</v>
      </c>
      <c r="BW30" s="102">
        <f t="shared" si="15"/>
        <v>6</v>
      </c>
    </row>
    <row r="31" spans="1:75" ht="15" customHeight="1" thickBot="1" x14ac:dyDescent="0.25">
      <c r="A31" s="430" t="str">
        <f ca="1">IFERROR(IF(VLOOKUP(A28,OFFSET($AG$2,,,COUNTIF($AG$2:$AG$49,"?*"),23),13,FALSE)&lt;&gt;0,VLOOKUP(A28,OFFSET($AG$2,,,COUNTIF($AG$2:$AG$49,"?*"),23),13,FALSE),"?"),"")</f>
        <v>FA Mladá Boleslav</v>
      </c>
      <c r="B31" s="431"/>
      <c r="C31" s="432"/>
      <c r="D31" s="433">
        <f ca="1">IFERROR(IF(VLOOKUP(A28,OFFSET($AG$2,,,COUNTIF($AG$2:$AG$49,"?*"),23),14,FALSE)&lt;&gt;0,VLOOKUP(A28,OFFSET($AG$2,,,COUNTIF($AG$2:$AG$49,"?*"),23),14,FALSE),"?"),"")</f>
        <v>2006</v>
      </c>
      <c r="E31" s="434"/>
      <c r="F31" s="7">
        <f ca="1">IFERROR(IF(VLOOKUP(A28,OFFSET($AG$2,,,COUNTIF($AG$2:$AG$49,"?*"),23),7,FALSE)&lt;&gt;0,VLOOKUP(A28,OFFSET($AG$2,,,COUNTIF($AG$2:$AG$49,"?*"),23),7,FALSE),"?"),"")</f>
        <v>3</v>
      </c>
      <c r="H31" s="435"/>
      <c r="I31" s="435"/>
      <c r="J31" s="435"/>
      <c r="K31" s="435"/>
      <c r="M31" s="430" t="str">
        <f ca="1">IFERROR(IF(VLOOKUP(M28,OFFSET($AG$2,,,COUNTIF($AG$2:$AG$49,"?*"),23),13,FALSE)&lt;&gt;0,VLOOKUP(M28,OFFSET($AG$2,,,COUNTIF($AG$2:$AG$49,"?*"),23),13,FALSE),"?"),"")</f>
        <v>FBC Liberec</v>
      </c>
      <c r="N31" s="431"/>
      <c r="O31" s="432"/>
      <c r="P31" s="433">
        <f ca="1">IFERROR(IF(VLOOKUP(M28,OFFSET($AG$2,,,COUNTIF($AG$2:$AG$49,"?*"),23),14,FALSE)&lt;&gt;0,VLOOKUP(M28,OFFSET($AG$2,,,COUNTIF($AG$2:$AG$49,"?*"),23),14,FALSE),"?"),"")</f>
        <v>1999</v>
      </c>
      <c r="Q31" s="434"/>
      <c r="R31" s="7">
        <f ca="1">IFERROR(IF(VLOOKUP(M28,OFFSET($AG$2,,,COUNTIF($AG$2:$AG$49,"?*"),23),7,FALSE)&lt;&gt;0,VLOOKUP(M28,OFFSET($AG$2,,,COUNTIF($AG$2:$AG$49,"?*"),23),7,FALSE),"?"),"")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1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2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4"/>
      <c r="BT31" s="104" t="s">
        <v>1407</v>
      </c>
      <c r="BU31" s="103">
        <v>4</v>
      </c>
      <c r="BV31" s="104" t="str">
        <f t="shared" si="14"/>
        <v>Jan Baudisch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1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2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1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2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5" t="s">
        <v>211</v>
      </c>
      <c r="B34" s="426"/>
      <c r="C34" s="426"/>
      <c r="D34" s="426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436" t="s">
        <v>15</v>
      </c>
      <c r="J34" s="425" t="s">
        <v>207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1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2"/>
        <v/>
      </c>
      <c r="AY34" s="129" t="str">
        <f t="shared" ref="AY34:AY49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ca="1" si="3"/>
        <v/>
      </c>
      <c r="BF34" s="62" t="str">
        <f t="shared" si="8"/>
        <v/>
      </c>
      <c r="BG34" s="3" t="str">
        <f t="shared" ca="1" si="9"/>
        <v/>
      </c>
      <c r="BH34" s="62" t="str">
        <f t="shared" ca="1" si="4"/>
        <v/>
      </c>
      <c r="BI34" s="3" t="str">
        <f t="shared" ca="1" si="10"/>
        <v/>
      </c>
      <c r="BJ34" s="62" t="str">
        <f t="shared" ca="1" si="5"/>
        <v/>
      </c>
      <c r="BK34" s="3" t="str">
        <f t="shared" ca="1" si="11"/>
        <v/>
      </c>
      <c r="BL34" s="62" t="str">
        <f t="shared" ca="1" si="6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IFERROR(IF(VLOOKUP(A34,OFFSET($AG$2,,,COUNTIF($AG$2:$AG$49,"?*"),23),7,FALSE)&lt;&gt;0,VLOOKUP(A34,OFFSET($AG$2,,,COUNTIF($AG$2:$AG$49,"?*"),23),7,FALSE),"?"),"")</f>
        <v>2</v>
      </c>
      <c r="B35" s="428">
        <f ca="1">IFERROR(IF(VLOOKUP(A34,OFFSET($AG$2,,,COUNTIF($AG$2:$AG$49,"?*"),23),2,FALSE)&lt;&gt;0,YEAR(VLOOKUP(A34,OFFSET($AG$2,,,COUNTIF($AG$2:$AG$49,"?*"),23),2,FALSE)),""),"")</f>
        <v>2001</v>
      </c>
      <c r="C35" s="429"/>
      <c r="D35" s="94">
        <f ca="1">IFERROR(VLOOKUP(A34,OFFSET($AG$2,,,COUNTIF($AG$2:$AG$49,"?*"),23),15,FALSE),"")</f>
        <v>20</v>
      </c>
      <c r="E35" s="419" t="str">
        <f ca="1">IFERROR(VLOOKUP(A34,OFFSET($AG$2,,,COUNTIF($AG$2:$AG$49,"?*"),23),16,FALSE),"")</f>
        <v>195/93</v>
      </c>
      <c r="F35" s="420"/>
      <c r="H35" s="436"/>
      <c r="J35" s="4" t="str">
        <f ca="1">IFERROR(IF(VLOOKUP(J34,OFFSET($AG$2,,,COUNTIF($AG$2:$AG$49,"?*"),23),10,FALSE)&lt;&gt;0,VLOOKUP(J34,OFFSET($AG$2,,,COUNTIF($AG$2:$AG$49,"?*"),23),10,FALSE),""),"")</f>
        <v>P</v>
      </c>
      <c r="K35" s="429">
        <f ca="1">IFERROR(IF(VLOOKUP(J34,OFFSET($AG$2,,,COUNTIF($AG$2:$AG$49,"?*"),23),2,FALSE)&lt;&gt;0,YEAR(VLOOKUP(J34,OFFSET($AG$2,,,COUNTIF($AG$2:$AG$49,"?*"),23),2,FALSE)),""),"")</f>
        <v>2004</v>
      </c>
      <c r="L35" s="437"/>
      <c r="M35" s="93">
        <f ca="1">IFERROR(VLOOKUP(J34,OFFSET($AG$2,,,COUNTIF($AG$2:$AG$49,"?*"),23),15,FALSE),"")</f>
        <v>17</v>
      </c>
      <c r="N35" s="437" t="str">
        <f ca="1">IFERROR(VLOOKUP(J34,OFFSET($AG$2,,,COUNTIF($AG$2:$AG$49,"?*"),23),16,FALSE),"")</f>
        <v>183/79</v>
      </c>
      <c r="O35" s="437"/>
      <c r="P35" s="437" t="str">
        <f ca="1">IFERROR(VLOOKUP(J34,OFFSET($AG$2,,,COUNTIF($AG$2:$AG$49,"?*"),23),18,FALSE),"")</f>
        <v>15 OZ, 28 (18+10), +1 ±</v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e">
        <f>IF(#REF!&lt;&gt;"",AJ35+AK35,"")</f>
        <v>#REF!</v>
      </c>
      <c r="AM35" s="123"/>
      <c r="AN35" s="123"/>
      <c r="AO35" s="125"/>
      <c r="AP35" s="125"/>
      <c r="AQ35" s="123"/>
      <c r="AR35" s="123"/>
      <c r="AS35" s="126"/>
      <c r="AT35" s="123"/>
      <c r="AU35" s="127" t="e">
        <f ca="1">IF(#REF!&lt;&gt;"",IF(AH35&lt;&gt;"",INT((TODAY()-AH35)/365),"?"),"")</f>
        <v>#REF!</v>
      </c>
      <c r="AV35" s="127" t="e">
        <f>IF(#REF!&lt;&gt;"",CONCATENATE(IF(AQ35&lt;&gt;"",AQ35,"? "),"/",IF(AR35&lt;&gt;"",AR35," ?")),"")</f>
        <v>#REF!</v>
      </c>
      <c r="AW35" s="128" t="e">
        <f>IF(#REF!&lt;&gt;"",IF(BE35=1,BD35,IF(BH35=1,BG35,IF(BJ35=1,BI35,IF(BL35=1,BK35,BM35)))),"")</f>
        <v>#REF!</v>
      </c>
      <c r="AX35" s="129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129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AZ35" s="130"/>
      <c r="BA35" s="130"/>
      <c r="BB35" s="130"/>
      <c r="BC35" s="130"/>
      <c r="BD35" s="89" t="e">
        <f>IF(#REF!&lt;&gt;"",RIGHT(#REF!,LEN(#REF!)-SEARCH(" ",#REF!)),"")</f>
        <v>#REF!</v>
      </c>
      <c r="BE35" s="91" t="e">
        <f ca="1">IF(#REF!&lt;&gt;"",COUNTIF(OFFSET($BD$2,,,COUNTIF($AG$2:$AG$49,"?*")),BD35),"")</f>
        <v>#REF!</v>
      </c>
      <c r="BF35" s="90" t="e">
        <f>IF(#REF!&lt;&gt;"",LEFT(#REF!,1),"")</f>
        <v>#REF!</v>
      </c>
      <c r="BG35" s="89" t="e">
        <f ca="1">IF(AND(#REF!&lt;&gt;"",BE35&gt;1),CONCATENATE($BD35," ",LEFT(#REF!,MIN(1,SEARCH(" ",#REF!)-1)),IF(SEARCH(" ",#REF!)-1&gt;1,".",""),""),"")</f>
        <v>#REF!</v>
      </c>
      <c r="BH35" s="90" t="e">
        <f ca="1">IF(BG35&lt;&gt;"",COUNTIF(OFFSET(BG$2,,,COUNTIF($AG$2:$AG$49,"?*")),BG35),IF(#REF!&lt;&gt;"",0,""))</f>
        <v>#REF!</v>
      </c>
      <c r="BI35" s="89" t="e">
        <f ca="1">IF(AND(#REF!&lt;&gt;"",BH35&gt;1),CONCATENATE($BD35," ",LEFT(#REF!,MIN(2,SEARCH(" ",#REF!)-1)),IF(SEARCH(" ",#REF!)-1&gt;2,".",""),""),"")</f>
        <v>#REF!</v>
      </c>
      <c r="BJ35" s="90" t="e">
        <f ca="1">IF(BI35&lt;&gt;"",COUNTIF(OFFSET(BI$2,,,COUNTIF($AG$2:$AG$49,"?*")),BI35),IF(#REF!&lt;&gt;"",0,""))</f>
        <v>#REF!</v>
      </c>
      <c r="BK35" s="89" t="e">
        <f ca="1">IF(AND(#REF!&lt;&gt;"",BJ35&gt;1),CONCATENATE($BD35," ",LEFT(#REF!,MIN(3,SEARCH(" ",#REF!)-1)),IF(SEARCH(" ",#REF!)-1&gt;3,".",""),""),"")</f>
        <v>#REF!</v>
      </c>
      <c r="BL35" s="90" t="e">
        <f ca="1">IF(BK35&lt;&gt;"",COUNTIF(OFFSET(BK$2,,,COUNTIF($AG$2:$AG$49,"?*")),BK35),IF(#REF!&lt;&gt;"",0,""))</f>
        <v>#REF!</v>
      </c>
      <c r="BM35" s="89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6">
        <f ca="1">IFERROR(VLOOKUP(A34,OFFSET($S$45,,,COUNTIF($S$45:$S$50,"?*"),14),2,FALSE),"")</f>
        <v>11</v>
      </c>
      <c r="B36" s="445" t="str">
        <f ca="1">IFERROR(VLOOKUP(A34,OFFSET($AG$2,,,COUNTIF($AG$2:$AG$49,"?*"),23),18,FALSE),"")</f>
        <v>7 V, 4 P</v>
      </c>
      <c r="C36" s="445"/>
      <c r="D36" s="446">
        <f ca="1">IFERROR(VLOOKUP(A34,OFFSET($S$45,,,COUNTIF($S$45:$S$50,"?*"),14),5,FALSE),"")</f>
        <v>59</v>
      </c>
      <c r="E36" s="447"/>
      <c r="F36" s="17">
        <f ca="1">IFERROR(VLOOKUP(A34,OFFSET($S$45,,,COUNTIF($S$45:$S$50,"?*"),14),14,FALSE),"")</f>
        <v>76.113360323886639</v>
      </c>
      <c r="H36" s="436"/>
      <c r="J36" s="18">
        <f ca="1">IFERROR(IF(VLOOKUP(J34,OFFSET($AG$2,,,COUNTIF($AG$2:$AG$49,"?*"),23),7,FALSE)&lt;&gt;0,VLOOKUP(J34,OFFSET($AG$2,,,COUNTIF($AG$2:$AG$49,"?*"),23),7,FALSE),"?"),"")</f>
        <v>1</v>
      </c>
      <c r="K36" s="448" t="str">
        <f ca="1">IFERROR(VLOOKUP(J34,OFFSET($AG$2,,,COUNTIF($AG$2:$AG$49,"?*"),23),19,FALSE),"")</f>
        <v>15 OZ, 28 (18+10)</v>
      </c>
      <c r="L36" s="448"/>
      <c r="M36" s="448"/>
      <c r="N36" s="449" t="str">
        <f ca="1">IFERROR(IF(VLOOKUP(J34,OFFSET($AG$2,,,COUNTIF($AG$2:$AG$49,"?*"),23),13,FALSE)&lt;&gt;0,VLOOKUP(J34,OFFSET($AG$2,,,COUNTIF($AG$2:$AG$49,"?*"),23),13,FALSE),"?"),"")</f>
        <v>FBC Panthers Liberec</v>
      </c>
      <c r="O36" s="449"/>
      <c r="P36" s="449"/>
      <c r="Q36" s="448">
        <f ca="1">IFERROR(IF(VLOOKUP(J34,OFFSET($AG$2,,,COUNTIF($AG$2:$AG$49,"?*"),23),14,FALSE)&lt;&gt;0,VLOOKUP(J34,OFFSET($AG$2,,,COUNTIF($AG$2:$AG$49,"?*"),23),14,FALSE),"?"),"")</f>
        <v>2010</v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1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2"/>
        <v/>
      </c>
      <c r="AY36" s="129" t="str">
        <f t="shared" ca="1" si="23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ref="BE36:BE49" ca="1" si="24">IF(AG36&lt;&gt;"",COUNTIF(OFFSET($BD$2,,,COUNTIF($AG$2:$AG$49,"?*")),BD36),"")</f>
        <v/>
      </c>
      <c r="BF36" s="62" t="str">
        <f t="shared" si="8"/>
        <v/>
      </c>
      <c r="BG36" s="3" t="str">
        <f t="shared" ca="1" si="9"/>
        <v/>
      </c>
      <c r="BH36" s="62" t="str">
        <f t="shared" ref="BH36:BH49" ca="1" si="25">IF(BG36&lt;&gt;"",COUNTIF(OFFSET(BG$2,,,COUNTIF($AG$2:$AG$49,"?*")),BG36),IF($AG36&lt;&gt;"",0,""))</f>
        <v/>
      </c>
      <c r="BI36" s="3" t="str">
        <f t="shared" ca="1" si="10"/>
        <v/>
      </c>
      <c r="BJ36" s="62" t="str">
        <f t="shared" ref="BJ36:BJ49" ca="1" si="26">IF(BI36&lt;&gt;"",COUNTIF(OFFSET(BI$2,,,COUNTIF($AG$2:$AG$49,"?*")),BI36),IF($AG36&lt;&gt;"",0,""))</f>
        <v/>
      </c>
      <c r="BK36" s="3" t="str">
        <f t="shared" ca="1" si="11"/>
        <v/>
      </c>
      <c r="BL36" s="62" t="str">
        <f t="shared" ref="BL36:BL49" ca="1" si="27">IF(BK36&lt;&gt;"",COUNTIF(OFFSET(BK$2,,,COUNTIF($AG$2:$AG$49,"?*")),BK36),IF($AG36&lt;&gt;"",0,""))</f>
        <v/>
      </c>
      <c r="BM36" s="3" t="str">
        <f t="shared" ca="1" si="12"/>
        <v/>
      </c>
    </row>
    <row r="37" spans="1:65" ht="15" customHeight="1" thickTop="1" thickBot="1" x14ac:dyDescent="0.25">
      <c r="A37" s="438">
        <f ca="1">IFERROR(VLOOKUP(A34,OFFSET($S$45,,,COUNTIF($S$45:$S$50,"?*"),14),3,FALSE),"")</f>
        <v>629.4</v>
      </c>
      <c r="B37" s="439"/>
      <c r="C37" s="440">
        <f ca="1">IFERROR(VLOOKUP(A34,OFFSET($S$45,,,COUNTIF($S$45:$S$50,"?*"),14),13,FALSE),"")</f>
        <v>5.6244041944709249</v>
      </c>
      <c r="D37" s="441"/>
      <c r="E37" s="442" t="str">
        <f ca="1">IFERROR(VLOOKUP(A34,OFFSET($AG$2,,,COUNTIF($AG$2:$AG$49,"?*"),23),19,FALSE),"")</f>
        <v>11 OZ, 1 A</v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1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2"/>
        <v/>
      </c>
      <c r="AY37" s="129" t="str">
        <f t="shared" ca="1" si="23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4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25"/>
        <v/>
      </c>
      <c r="BI37" s="89" t="str">
        <f t="shared" ca="1" si="10"/>
        <v/>
      </c>
      <c r="BJ37" s="90" t="str">
        <f t="shared" ca="1" si="26"/>
        <v/>
      </c>
      <c r="BK37" s="89" t="str">
        <f t="shared" ca="1" si="11"/>
        <v/>
      </c>
      <c r="BL37" s="90" t="str">
        <f t="shared" ca="1" si="27"/>
        <v/>
      </c>
      <c r="BM37" s="89" t="str">
        <f t="shared" ca="1" si="12"/>
        <v/>
      </c>
    </row>
    <row r="38" spans="1:65" ht="15" customHeight="1" thickTop="1" thickBot="1" x14ac:dyDescent="0.25">
      <c r="A38" s="430" t="str">
        <f ca="1">IFERROR(IF(VLOOKUP(A34,OFFSET($AG$2,,,COUNTIF($AG$2:$AG$49,"?*"),23),13,FALSE)&lt;&gt;0,VLOOKUP(A34,OFFSET($AG$2,,,COUNTIF($AG$2:$AG$49,"?*"),23),13,FALSE),"?"),"")</f>
        <v>FBC Liberec</v>
      </c>
      <c r="B38" s="431"/>
      <c r="C38" s="432"/>
      <c r="D38" s="433">
        <f ca="1">IFERROR(IF(VLOOKUP(A34,OFFSET($AG$2,,,COUNTIF($AG$2:$AG$49,"?*"),23),14,FALSE)&lt;&gt;0,VLOOKUP(A34,OFFSET($AG$2,,,COUNTIF($AG$2:$AG$49,"?*"),23),14,FALSE),"?"),"")</f>
        <v>2014</v>
      </c>
      <c r="E38" s="434"/>
      <c r="F38" s="19">
        <f ca="1">IFERROR(VLOOKUP(A34,OFFSET($S$45,,,COUNTIF($S$45:$S$50,"?*"),14),6,FALSE),"")</f>
        <v>0</v>
      </c>
      <c r="H38" s="436"/>
      <c r="J38" s="425" t="s">
        <v>212</v>
      </c>
      <c r="K38" s="426"/>
      <c r="L38" s="426"/>
      <c r="M38" s="426"/>
      <c r="N38" s="426"/>
      <c r="O38" s="426"/>
      <c r="P38" s="426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1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2"/>
        <v/>
      </c>
      <c r="AY38" s="129" t="str">
        <f t="shared" ca="1" si="23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4"/>
        <v/>
      </c>
      <c r="BF38" s="62" t="str">
        <f t="shared" si="8"/>
        <v/>
      </c>
      <c r="BG38" s="3" t="str">
        <f t="shared" ca="1" si="9"/>
        <v/>
      </c>
      <c r="BH38" s="62" t="str">
        <f t="shared" ca="1" si="25"/>
        <v/>
      </c>
      <c r="BI38" s="3" t="str">
        <f t="shared" ca="1" si="10"/>
        <v/>
      </c>
      <c r="BJ38" s="62" t="str">
        <f t="shared" ca="1" si="26"/>
        <v/>
      </c>
      <c r="BK38" s="3" t="str">
        <f t="shared" ca="1" si="11"/>
        <v/>
      </c>
      <c r="BL38" s="62" t="str">
        <f t="shared" ca="1" si="27"/>
        <v/>
      </c>
      <c r="BM38" s="3" t="str">
        <f t="shared" ca="1" si="12"/>
        <v/>
      </c>
    </row>
    <row r="39" spans="1:65" ht="15" customHeight="1" thickTop="1" thickBot="1" x14ac:dyDescent="0.25">
      <c r="H39" s="436"/>
      <c r="J39" s="4" t="str">
        <f ca="1">IFERROR(IF(VLOOKUP(J38,OFFSET($AG$2,,,COUNTIF($AG$2:$AG$49,"?*"),23),10,FALSE)&lt;&gt;0,VLOOKUP(J38,OFFSET($AG$2,,,COUNTIF($AG$2:$AG$49,"?*"),23),10,FALSE),""),"")</f>
        <v>P</v>
      </c>
      <c r="K39" s="429">
        <f ca="1">IFERROR(IF(VLOOKUP(J38,OFFSET($AG$2,,,COUNTIF($AG$2:$AG$49,"?*"),23),2,FALSE)&lt;&gt;0,YEAR(VLOOKUP(J38,OFFSET($AG$2,,,COUNTIF($AG$2:$AG$49,"?*"),23),2,FALSE)),""),"")</f>
        <v>2001</v>
      </c>
      <c r="L39" s="437"/>
      <c r="M39" s="150">
        <f ca="1">IFERROR(VLOOKUP(J38,OFFSET($AG$2,,,COUNTIF($AG$2:$AG$49,"?*"),23),15,FALSE),"")</f>
        <v>20</v>
      </c>
      <c r="N39" s="437" t="str">
        <f ca="1">IFERROR(VLOOKUP(J38,OFFSET($AG$2,,,COUNTIF($AG$2:$AG$49,"?*"),23),16,FALSE),"")</f>
        <v>170/67</v>
      </c>
      <c r="O39" s="437"/>
      <c r="P39" s="437" t="str">
        <f ca="1">IFERROR(VLOOKUP(J38,OFFSET($AG$2,,,COUNTIF($AG$2:$AG$49,"?*"),23),18,FALSE),"")</f>
        <v>7 OZ, 0 (0+0), 0 ±</v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1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2"/>
        <v/>
      </c>
      <c r="AY39" s="129" t="str">
        <f t="shared" ca="1" si="23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4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25"/>
        <v/>
      </c>
      <c r="BI39" s="89" t="str">
        <f t="shared" ca="1" si="10"/>
        <v/>
      </c>
      <c r="BJ39" s="90" t="str">
        <f t="shared" ca="1" si="26"/>
        <v/>
      </c>
      <c r="BK39" s="89" t="str">
        <f t="shared" ca="1" si="11"/>
        <v/>
      </c>
      <c r="BL39" s="90" t="str">
        <f t="shared" ca="1" si="27"/>
        <v/>
      </c>
      <c r="BM39" s="89" t="str">
        <f t="shared" ca="1" si="12"/>
        <v/>
      </c>
    </row>
    <row r="40" spans="1:65" ht="15" customHeight="1" thickTop="1" thickBot="1" x14ac:dyDescent="0.25">
      <c r="A40" s="425" t="s">
        <v>748</v>
      </c>
      <c r="B40" s="426"/>
      <c r="C40" s="426"/>
      <c r="D40" s="426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436"/>
      <c r="J40" s="18">
        <f ca="1">IFERROR(IF(VLOOKUP(J38,OFFSET($AG$2,,,COUNTIF($AG$2:$AG$49,"?*"),23),7,FALSE)&lt;&gt;0,VLOOKUP(J38,OFFSET($AG$2,,,COUNTIF($AG$2:$AG$49,"?*"),23),7,FALSE),"?"),"")</f>
        <v>4</v>
      </c>
      <c r="K40" s="448" t="str">
        <f ca="1">IFERROR(VLOOKUP(J38,OFFSET($AG$2,,,COUNTIF($AG$2:$AG$49,"?*"),23),19,FALSE),"")</f>
        <v>21 OZ, 0 (0+0)</v>
      </c>
      <c r="L40" s="448"/>
      <c r="M40" s="448"/>
      <c r="N40" s="449" t="str">
        <f ca="1">IFERROR(IF(VLOOKUP(J38,OFFSET($AG$2,,,COUNTIF($AG$2:$AG$49,"?*"),23),13,FALSE)&lt;&gt;0,VLOOKUP(J38,OFFSET($AG$2,,,COUNTIF($AG$2:$AG$49,"?*"),23),13,FALSE),"?"),"")</f>
        <v>Sokol Benátky nad Jizerou</v>
      </c>
      <c r="O40" s="449"/>
      <c r="P40" s="449"/>
      <c r="Q40" s="448">
        <f ca="1">IFERROR(IF(VLOOKUP(J38,OFFSET($AG$2,,,COUNTIF($AG$2:$AG$49,"?*"),23),14,FALSE)&lt;&gt;0,VLOOKUP(J38,OFFSET($AG$2,,,COUNTIF($AG$2:$AG$49,"?*"),23),14,FALSE),"?"),"")</f>
        <v>2006</v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1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2"/>
        <v/>
      </c>
      <c r="AY40" s="129" t="str">
        <f t="shared" ca="1" si="23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4"/>
        <v/>
      </c>
      <c r="BF40" s="62" t="str">
        <f t="shared" si="8"/>
        <v/>
      </c>
      <c r="BG40" s="3" t="str">
        <f t="shared" ca="1" si="9"/>
        <v/>
      </c>
      <c r="BH40" s="62" t="str">
        <f t="shared" ca="1" si="25"/>
        <v/>
      </c>
      <c r="BI40" s="3" t="str">
        <f t="shared" ca="1" si="10"/>
        <v/>
      </c>
      <c r="BJ40" s="62" t="str">
        <f t="shared" ca="1" si="26"/>
        <v/>
      </c>
      <c r="BK40" s="3" t="str">
        <f t="shared" ca="1" si="11"/>
        <v/>
      </c>
      <c r="BL40" s="62" t="str">
        <f t="shared" ca="1" si="27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IFERROR(IF(VLOOKUP(A40,OFFSET($AG$2,,,COUNTIF($AG$2:$AG$49,"?*"),23),7,FALSE)&lt;&gt;0,VLOOKUP(A40,OFFSET($AG$2,,,COUNTIF($AG$2:$AG$49,"?*"),23),7,FALSE),"?"),"")</f>
        <v>?</v>
      </c>
      <c r="B41" s="428">
        <f ca="1">IFERROR(IF(VLOOKUP(A40,OFFSET($AG$2,,,COUNTIF($AG$2:$AG$49,"?*"),23),2,FALSE)&lt;&gt;0,YEAR(VLOOKUP(A40,OFFSET($AG$2,,,COUNTIF($AG$2:$AG$49,"?*"),23),2,FALSE)),""),"")</f>
        <v>1993</v>
      </c>
      <c r="C41" s="429"/>
      <c r="D41" s="94">
        <f ca="1">IFERROR(VLOOKUP(A40,OFFSET($AG$2,,,COUNTIF($AG$2:$AG$49,"?*"),23),15,FALSE),"")</f>
        <v>28</v>
      </c>
      <c r="E41" s="419" t="str">
        <f ca="1">IFERROR(VLOOKUP(A40,OFFSET($AG$2,,,COUNTIF($AG$2:$AG$49,"?*"),23),16,FALSE),"")</f>
        <v>187/81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1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2"/>
        <v/>
      </c>
      <c r="AY41" s="129" t="str">
        <f t="shared" ca="1" si="23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4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25"/>
        <v/>
      </c>
      <c r="BI41" s="89" t="str">
        <f t="shared" ca="1" si="10"/>
        <v/>
      </c>
      <c r="BJ41" s="90" t="str">
        <f t="shared" ca="1" si="26"/>
        <v/>
      </c>
      <c r="BK41" s="89" t="str">
        <f t="shared" ca="1" si="11"/>
        <v/>
      </c>
      <c r="BL41" s="90" t="str">
        <f t="shared" ca="1" si="27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45" t="str">
        <f ca="1">IFERROR(VLOOKUP(A40,OFFSET($AG$2,,,COUNTIF($AG$2:$AG$49,"?*"),23),18,FALSE),"")</f>
        <v>1 V, 1 P</v>
      </c>
      <c r="C42" s="445"/>
      <c r="D42" s="446">
        <f ca="1">IFERROR(VLOOKUP(A40,OFFSET($S$45,,,COUNTIF($S$45:$S$50,"?*"),14),5,FALSE),"")</f>
        <v>7</v>
      </c>
      <c r="E42" s="447"/>
      <c r="F42" s="17">
        <f ca="1">IFERROR(VLOOKUP(A40,OFFSET($S$45,,,COUNTIF($S$45:$S$50,"?*"),14),14,FALSE),"")</f>
        <v>77.41935483870968</v>
      </c>
      <c r="H42" s="436"/>
      <c r="J42" s="425"/>
      <c r="K42" s="426"/>
      <c r="L42" s="426"/>
      <c r="M42" s="426"/>
      <c r="N42" s="426"/>
      <c r="O42" s="426"/>
      <c r="P42" s="426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1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2"/>
        <v/>
      </c>
      <c r="AY42" s="129" t="str">
        <f t="shared" ca="1" si="23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4"/>
        <v/>
      </c>
      <c r="BF42" s="62" t="str">
        <f t="shared" si="8"/>
        <v/>
      </c>
      <c r="BG42" s="3" t="str">
        <f t="shared" ca="1" si="9"/>
        <v/>
      </c>
      <c r="BH42" s="62" t="str">
        <f t="shared" ca="1" si="25"/>
        <v/>
      </c>
      <c r="BI42" s="3" t="str">
        <f t="shared" ca="1" si="10"/>
        <v/>
      </c>
      <c r="BJ42" s="62" t="str">
        <f t="shared" ca="1" si="26"/>
        <v/>
      </c>
      <c r="BK42" s="3" t="str">
        <f t="shared" ca="1" si="11"/>
        <v/>
      </c>
      <c r="BL42" s="62" t="str">
        <f t="shared" ca="1" si="27"/>
        <v/>
      </c>
      <c r="BM42" s="3" t="str">
        <f t="shared" ca="1" si="12"/>
        <v/>
      </c>
    </row>
    <row r="43" spans="1:65" ht="15" customHeight="1" thickBot="1" x14ac:dyDescent="0.25">
      <c r="A43" s="438">
        <f ca="1">IFERROR(VLOOKUP(A40,OFFSET($S$45,,,COUNTIF($S$45:$S$50,"?*"),14),3,FALSE),"")</f>
        <v>74.48</v>
      </c>
      <c r="B43" s="439"/>
      <c r="C43" s="440">
        <f ca="1">IFERROR(VLOOKUP(A40,OFFSET($S$45,,,COUNTIF($S$45:$S$50,"?*"),14),13,FALSE),"")</f>
        <v>5.6390977443609023</v>
      </c>
      <c r="D43" s="441"/>
      <c r="E43" s="442" t="str">
        <f ca="1">IFERROR(VLOOKUP(A40,OFFSET($AG$2,,,COUNTIF($AG$2:$AG$49,"?*"),23),19,FALSE),"")</f>
        <v>2 OZ, 0 A</v>
      </c>
      <c r="F43" s="443"/>
      <c r="H43" s="436"/>
      <c r="J43" s="4" t="str">
        <f ca="1">IFERROR(IF(VLOOKUP(J42,OFFSET($AG$2,,,COUNTIF($AG$2:$AG$49,"?*"),23),10,FALSE)&lt;&gt;0,VLOOKUP(J42,OFFSET($AG$2,,,COUNTIF($AG$2:$AG$49,"?*"),23),10,FALSE),""),"")</f>
        <v/>
      </c>
      <c r="K43" s="429" t="str">
        <f ca="1">IFERROR(IF(VLOOKUP(J42,OFFSET($AG$2,,,COUNTIF($AG$2:$AG$49,"?*"),23),2,FALSE)&lt;&gt;0,YEAR(VLOOKUP(J42,OFFSET($AG$2,,,COUNTIF($AG$2:$AG$49,"?*"),23),2,FALSE)),""),"")</f>
        <v/>
      </c>
      <c r="L43" s="437"/>
      <c r="M43" s="150" t="str">
        <f ca="1">IFERROR(VLOOKUP(J42,OFFSET($AG$2,,,COUNTIF($AG$2:$AG$49,"?*"),23),15,FALSE),"")</f>
        <v/>
      </c>
      <c r="N43" s="437" t="str">
        <f ca="1">IFERROR(VLOOKUP(J42,OFFSET($AG$2,,,COUNTIF($AG$2:$AG$49,"?*"),23),16,FALSE),"")</f>
        <v/>
      </c>
      <c r="O43" s="437"/>
      <c r="P43" s="437" t="str">
        <f ca="1">IFERROR(VLOOKUP(J42,OFFSET($AG$2,,,COUNTIF($AG$2:$AG$49,"?*"),23),18,FALSE),"")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21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2"/>
        <v/>
      </c>
      <c r="AY43" s="129" t="str">
        <f t="shared" ca="1" si="23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4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25"/>
        <v/>
      </c>
      <c r="BI43" s="89" t="str">
        <f t="shared" ca="1" si="10"/>
        <v/>
      </c>
      <c r="BJ43" s="90" t="str">
        <f t="shared" ca="1" si="26"/>
        <v/>
      </c>
      <c r="BK43" s="89" t="str">
        <f t="shared" ca="1" si="11"/>
        <v/>
      </c>
      <c r="BL43" s="90" t="str">
        <f t="shared" ca="1" si="27"/>
        <v/>
      </c>
      <c r="BM43" s="89" t="str">
        <f t="shared" ca="1" si="12"/>
        <v/>
      </c>
    </row>
    <row r="44" spans="1:65" ht="15" customHeight="1" thickBot="1" x14ac:dyDescent="0.25">
      <c r="A44" s="430" t="str">
        <f ca="1">IFERROR(IF(VLOOKUP(A40,OFFSET($AG$2,,,COUNTIF($AG$2:$AG$49,"?*"),23),13,FALSE)&lt;&gt;0,VLOOKUP(A40,OFFSET($AG$2,,,COUNTIF($AG$2:$AG$49,"?*"),23),13,FALSE),"?"),"")</f>
        <v>Sokol Pardubice</v>
      </c>
      <c r="B44" s="431"/>
      <c r="C44" s="432"/>
      <c r="D44" s="433">
        <f ca="1">IFERROR(IF(VLOOKUP(A40,OFFSET($AG$2,,,COUNTIF($AG$2:$AG$49,"?*"),23),14,FALSE)&lt;&gt;0,VLOOKUP(A40,OFFSET($AG$2,,,COUNTIF($AG$2:$AG$49,"?*"),23),14,FALSE),"?"),"")</f>
        <v>2006</v>
      </c>
      <c r="E44" s="434"/>
      <c r="F44" s="19">
        <f ca="1">IFERROR(VLOOKUP(A40,OFFSET($S$45,,,COUNTIF($S$45:$S$50,"?*"),14),6,FALSE),"")</f>
        <v>0</v>
      </c>
      <c r="H44" s="436"/>
      <c r="J44" s="18" t="str">
        <f ca="1">IFERROR(IF(VLOOKUP(J42,OFFSET($AG$2,,,COUNTIF($AG$2:$AG$49,"?*"),23),7,FALSE)&lt;&gt;0,VLOOKUP(J42,OFFSET($AG$2,,,COUNTIF($AG$2:$AG$49,"?*"),23),7,FALSE),"?"),"")</f>
        <v/>
      </c>
      <c r="K44" s="448" t="str">
        <f ca="1">IFERROR(VLOOKUP(J42,OFFSET($AG$2,,,COUNTIF($AG$2:$AG$49,"?*"),23),19,FALSE),"")</f>
        <v/>
      </c>
      <c r="L44" s="448"/>
      <c r="M44" s="448"/>
      <c r="N44" s="449" t="str">
        <f ca="1">IFERROR(IF(VLOOKUP(J42,OFFSET($AG$2,,,COUNTIF($AG$2:$AG$49,"?*"),23),13,FALSE)&lt;&gt;0,VLOOKUP(J42,OFFSET($AG$2,,,COUNTIF($AG$2:$AG$49,"?*"),23),13,FALSE),"?"),"")</f>
        <v/>
      </c>
      <c r="O44" s="449"/>
      <c r="P44" s="449"/>
      <c r="Q44" s="448" t="str">
        <f ca="1">IFERROR(IF(VLOOKUP(J42,OFFSET($AG$2,,,COUNTIF($AG$2:$AG$49,"?*"),23),14,FALSE)&lt;&gt;0,VLOOKUP(J42,OFFSET($AG$2,,,COUNTIF($AG$2:$AG$49,"?*"),23),14,FALSE),"?"),"")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1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2"/>
        <v/>
      </c>
      <c r="AY44" s="129" t="str">
        <f t="shared" ca="1" si="23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4"/>
        <v/>
      </c>
      <c r="BF44" s="62" t="str">
        <f t="shared" si="8"/>
        <v/>
      </c>
      <c r="BG44" s="3" t="str">
        <f t="shared" ca="1" si="9"/>
        <v/>
      </c>
      <c r="BH44" s="62" t="str">
        <f t="shared" ca="1" si="25"/>
        <v/>
      </c>
      <c r="BI44" s="3" t="str">
        <f t="shared" ca="1" si="10"/>
        <v/>
      </c>
      <c r="BJ44" s="62" t="str">
        <f t="shared" ca="1" si="26"/>
        <v/>
      </c>
      <c r="BK44" s="3" t="str">
        <f t="shared" ca="1" si="11"/>
        <v/>
      </c>
      <c r="BL44" s="62" t="str">
        <f t="shared" ca="1" si="27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211</v>
      </c>
      <c r="T45" s="102">
        <v>11</v>
      </c>
      <c r="U45" s="112">
        <v>629.4</v>
      </c>
      <c r="V45" s="102">
        <v>7</v>
      </c>
      <c r="W45" s="102">
        <v>59</v>
      </c>
      <c r="X45" s="102">
        <v>0</v>
      </c>
      <c r="Y45" s="102">
        <v>247</v>
      </c>
      <c r="Z45" s="102">
        <v>0</v>
      </c>
      <c r="AA45" s="102">
        <v>4</v>
      </c>
      <c r="AB45" s="102">
        <v>188</v>
      </c>
      <c r="AC45" s="102">
        <v>1</v>
      </c>
      <c r="AD45" s="102">
        <v>0</v>
      </c>
      <c r="AE45" s="112">
        <f>IF(S45&lt;&gt;"",IF(T45&gt;0,W45/(U45/60),0),"")</f>
        <v>5.6244041944709249</v>
      </c>
      <c r="AF45" s="112">
        <f>IF(S45&lt;&gt;"",IF(Y45&gt;0,(AB45/Y45)*100,"-"),"")</f>
        <v>76.113360323886639</v>
      </c>
      <c r="AG45" s="121"/>
      <c r="AH45" s="122"/>
      <c r="AI45" s="123"/>
      <c r="AJ45" s="123"/>
      <c r="AK45" s="123"/>
      <c r="AL45" s="124" t="str">
        <f t="shared" si="21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2"/>
        <v/>
      </c>
      <c r="AY45" s="129" t="str">
        <f t="shared" ca="1" si="23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4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25"/>
        <v/>
      </c>
      <c r="BI45" s="89" t="str">
        <f t="shared" ca="1" si="10"/>
        <v/>
      </c>
      <c r="BJ45" s="90" t="str">
        <f t="shared" ca="1" si="26"/>
        <v/>
      </c>
      <c r="BK45" s="89" t="str">
        <f t="shared" ca="1" si="11"/>
        <v/>
      </c>
      <c r="BL45" s="90" t="str">
        <f t="shared" ca="1" si="27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223</v>
      </c>
      <c r="T46" s="102">
        <v>5</v>
      </c>
      <c r="U46" s="112">
        <v>259.89999999999998</v>
      </c>
      <c r="V46" s="102">
        <v>2</v>
      </c>
      <c r="W46" s="102">
        <v>27</v>
      </c>
      <c r="X46" s="102">
        <v>0</v>
      </c>
      <c r="Y46" s="102">
        <v>122</v>
      </c>
      <c r="Z46" s="102">
        <v>0</v>
      </c>
      <c r="AA46" s="102">
        <v>3</v>
      </c>
      <c r="AB46" s="102">
        <v>95</v>
      </c>
      <c r="AC46" s="102">
        <v>0</v>
      </c>
      <c r="AD46" s="102">
        <v>0</v>
      </c>
      <c r="AE46" s="112">
        <f t="shared" ref="AE46:AE50" si="28">IF(S46&lt;&gt;"",IF(T46&gt;0,W46/(U46/60),0),"")</f>
        <v>6.2331666025394394</v>
      </c>
      <c r="AF46" s="112">
        <f t="shared" ref="AF46:AF50" si="29">IF(S46&lt;&gt;"",IF(Y46&gt;0,(AB46/Y46)*100,"-"),"")</f>
        <v>77.868852459016395</v>
      </c>
      <c r="AG46" s="121"/>
      <c r="AH46" s="122"/>
      <c r="AI46" s="123"/>
      <c r="AJ46" s="123"/>
      <c r="AK46" s="123"/>
      <c r="AL46" s="124" t="str">
        <f t="shared" si="21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2"/>
        <v/>
      </c>
      <c r="AY46" s="129" t="str">
        <f t="shared" ca="1" si="23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4"/>
        <v/>
      </c>
      <c r="BF46" s="62" t="str">
        <f t="shared" si="8"/>
        <v/>
      </c>
      <c r="BG46" s="3" t="str">
        <f t="shared" ca="1" si="9"/>
        <v/>
      </c>
      <c r="BH46" s="62" t="str">
        <f t="shared" ca="1" si="25"/>
        <v/>
      </c>
      <c r="BI46" s="3" t="str">
        <f t="shared" ca="1" si="10"/>
        <v/>
      </c>
      <c r="BJ46" s="62" t="str">
        <f t="shared" ca="1" si="26"/>
        <v/>
      </c>
      <c r="BK46" s="3" t="str">
        <f t="shared" ca="1" si="11"/>
        <v/>
      </c>
      <c r="BL46" s="62" t="str">
        <f t="shared" ca="1" si="27"/>
        <v/>
      </c>
      <c r="BM46" s="3" t="str">
        <f t="shared" ca="1" si="12"/>
        <v/>
      </c>
    </row>
    <row r="47" spans="1:65" ht="15" customHeight="1" thickTop="1" x14ac:dyDescent="0.2">
      <c r="A47" s="465" t="s">
        <v>230</v>
      </c>
      <c r="B47" s="466"/>
      <c r="C47" s="466"/>
      <c r="D47" s="466"/>
      <c r="E47" s="461" t="str">
        <f ca="1">IFERROR(VLOOKUP(A47,OFFSET($BN$2,,,COUNTIF($BN$2:$BN$11,"?*"),5),3,FALSE),"")</f>
        <v>hlavní trenér</v>
      </c>
      <c r="F47" s="461"/>
      <c r="G47" s="461"/>
      <c r="H47" s="461"/>
      <c r="I47" s="462"/>
      <c r="J47" s="465" t="s">
        <v>231</v>
      </c>
      <c r="K47" s="466"/>
      <c r="L47" s="466"/>
      <c r="M47" s="466"/>
      <c r="N47" s="461" t="str">
        <f ca="1">IFERROR(VLOOKUP(J47,OFFSET($BN$2,,,COUNTIF($BN$2:$BN$11,"?*"),5),3,FALSE),"")</f>
        <v>asistent trenéra</v>
      </c>
      <c r="O47" s="461"/>
      <c r="P47" s="461"/>
      <c r="Q47" s="461"/>
      <c r="R47" s="462"/>
      <c r="S47" s="111" t="s">
        <v>748</v>
      </c>
      <c r="T47" s="102">
        <v>2</v>
      </c>
      <c r="U47" s="112">
        <v>74.48</v>
      </c>
      <c r="V47" s="102">
        <v>1</v>
      </c>
      <c r="W47" s="102">
        <v>7</v>
      </c>
      <c r="X47" s="102">
        <v>0</v>
      </c>
      <c r="Y47" s="102">
        <v>31</v>
      </c>
      <c r="Z47" s="102">
        <v>0</v>
      </c>
      <c r="AA47" s="102">
        <v>1</v>
      </c>
      <c r="AB47" s="102">
        <v>24</v>
      </c>
      <c r="AC47" s="102">
        <v>0</v>
      </c>
      <c r="AD47" s="102">
        <v>0</v>
      </c>
      <c r="AE47" s="112">
        <f t="shared" si="28"/>
        <v>5.6390977443609023</v>
      </c>
      <c r="AF47" s="112">
        <f t="shared" si="29"/>
        <v>77.41935483870968</v>
      </c>
      <c r="AG47" s="121"/>
      <c r="AH47" s="122"/>
      <c r="AI47" s="123"/>
      <c r="AJ47" s="123"/>
      <c r="AK47" s="123"/>
      <c r="AL47" s="124" t="str">
        <f t="shared" si="21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2"/>
        <v/>
      </c>
      <c r="AY47" s="129" t="str">
        <f t="shared" ca="1" si="23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4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25"/>
        <v/>
      </c>
      <c r="BI47" s="89" t="str">
        <f t="shared" ca="1" si="10"/>
        <v/>
      </c>
      <c r="BJ47" s="90" t="str">
        <f t="shared" ca="1" si="26"/>
        <v/>
      </c>
      <c r="BK47" s="89" t="str">
        <f t="shared" ca="1" si="11"/>
        <v/>
      </c>
      <c r="BL47" s="90" t="str">
        <f t="shared" ca="1" si="27"/>
        <v/>
      </c>
      <c r="BM47" s="89" t="str">
        <f t="shared" ca="1" si="12"/>
        <v/>
      </c>
    </row>
    <row r="48" spans="1:65" ht="15" customHeight="1" thickBot="1" x14ac:dyDescent="0.25">
      <c r="A48" s="451">
        <f ca="1">IFERROR(VLOOKUP(A47,OFFSET($BN$2,,,COUNTIF($BN$2:$BN$11,"?*"),5),5,FALSE),"")</f>
        <v>53</v>
      </c>
      <c r="B48" s="453" t="str">
        <f ca="1">IFERROR(IF(VLOOKUP(A47,OFFSET($BN$2,,,COUNTIF($BN$2:$BN$11,"?*"),5),4,FALSE)&lt;&gt;0,VLOOKUP(A47,OFFSET($BN$2,,,COUNTIF($BN$2:$BN$11,"?*"),5),4,FALSE),"-"),"")</f>
        <v>stříbro a bronz z MS</v>
      </c>
      <c r="C48" s="453"/>
      <c r="D48" s="453"/>
      <c r="E48" s="453"/>
      <c r="F48" s="453"/>
      <c r="G48" s="453"/>
      <c r="H48" s="453"/>
      <c r="I48" s="454"/>
      <c r="J48" s="92">
        <f ca="1">IFERROR(VLOOKUP(J47,OFFSET($BN$2,,,COUNTIF($BN$2:$BN$11,"?*"),5),5,FALSE),"")</f>
        <v>26</v>
      </c>
      <c r="K48" s="457" t="str">
        <f ca="1">IFERROR(IF(VLOOKUP(J47,OFFSET($BN$2,,,COUNTIF($BN$2:$BN$11,"?*"),5),4,FALSE)&lt;&gt;0,VLOOKUP(J47,OFFSET($BN$2,,,COUNTIF($BN$2:$BN$11,"?*"),5),4,FALSE),"-"),"")</f>
        <v>-</v>
      </c>
      <c r="L48" s="457"/>
      <c r="M48" s="457"/>
      <c r="N48" s="457"/>
      <c r="O48" s="457"/>
      <c r="P48" s="457"/>
      <c r="Q48" s="457"/>
      <c r="R48" s="458"/>
      <c r="S48" s="111" t="s">
        <v>1392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8"/>
        <v>0</v>
      </c>
      <c r="AF48" s="112" t="str">
        <f t="shared" si="29"/>
        <v>-</v>
      </c>
      <c r="AG48" s="121"/>
      <c r="AH48" s="122"/>
      <c r="AI48" s="123"/>
      <c r="AJ48" s="123"/>
      <c r="AK48" s="123"/>
      <c r="AL48" s="124" t="str">
        <f t="shared" si="21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2"/>
        <v/>
      </c>
      <c r="AY48" s="129" t="str">
        <f t="shared" ca="1" si="23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4"/>
        <v/>
      </c>
      <c r="BF48" s="62" t="str">
        <f t="shared" si="8"/>
        <v/>
      </c>
      <c r="BG48" s="3" t="str">
        <f t="shared" ca="1" si="9"/>
        <v/>
      </c>
      <c r="BH48" s="62" t="str">
        <f t="shared" ca="1" si="25"/>
        <v/>
      </c>
      <c r="BI48" s="3" t="str">
        <f t="shared" ca="1" si="10"/>
        <v/>
      </c>
      <c r="BJ48" s="62" t="str">
        <f t="shared" ca="1" si="26"/>
        <v/>
      </c>
      <c r="BK48" s="3" t="str">
        <f t="shared" ca="1" si="11"/>
        <v/>
      </c>
      <c r="BL48" s="62" t="str">
        <f t="shared" ca="1" si="27"/>
        <v/>
      </c>
      <c r="BM48" s="3" t="str">
        <f t="shared" ca="1" si="12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 t="s">
        <v>232</v>
      </c>
      <c r="K49" s="460"/>
      <c r="L49" s="460"/>
      <c r="M49" s="460"/>
      <c r="N49" s="461" t="str">
        <f ca="1">IFERROR(VLOOKUP(J49,OFFSET($BN$2,,,COUNTIF($BN$2:$BN$11,"?*"),5),3,FALSE),"")</f>
        <v>kondiční trenér</v>
      </c>
      <c r="O49" s="461"/>
      <c r="P49" s="461"/>
      <c r="Q49" s="461"/>
      <c r="R49" s="462"/>
      <c r="S49" s="111" t="s">
        <v>206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8"/>
        <v>0</v>
      </c>
      <c r="AF49" s="112" t="str">
        <f t="shared" si="29"/>
        <v>-</v>
      </c>
      <c r="AG49" s="121"/>
      <c r="AH49" s="122"/>
      <c r="AI49" s="123"/>
      <c r="AJ49" s="123"/>
      <c r="AK49" s="123"/>
      <c r="AL49" s="124" t="str">
        <f t="shared" si="21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2"/>
        <v/>
      </c>
      <c r="AY49" s="129" t="str">
        <f t="shared" ca="1" si="23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4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25"/>
        <v/>
      </c>
      <c r="BI49" s="89" t="str">
        <f t="shared" ca="1" si="10"/>
        <v/>
      </c>
      <c r="BJ49" s="90" t="str">
        <f t="shared" ca="1" si="26"/>
        <v/>
      </c>
      <c r="BK49" s="89" t="str">
        <f t="shared" ca="1" si="11"/>
        <v/>
      </c>
      <c r="BL49" s="90" t="str">
        <f t="shared" ca="1" si="27"/>
        <v/>
      </c>
      <c r="BM49" s="89" t="str">
        <f t="shared" ca="1" si="12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92">
        <f ca="1">IFERROR(VLOOKUP(J49,OFFSET($BN$2,,,COUNTIF($BN$2:$BN$11,"?*"),5),5,FALSE),"")</f>
        <v>42</v>
      </c>
      <c r="K50" s="457" t="str">
        <f ca="1">IFERROR(IF(VLOOKUP(J49,OFFSET($BN$2,,,COUNTIF($BN$2:$BN$11,"?*"),5),4,FALSE)&lt;&gt;0,VLOOKUP(J49,OFFSET($BN$2,,,COUNTIF($BN$2:$BN$11,"?*"),5),4,FALSE),"-"),"")</f>
        <v>-</v>
      </c>
      <c r="L50" s="457"/>
      <c r="M50" s="457"/>
      <c r="N50" s="457"/>
      <c r="O50" s="457"/>
      <c r="P50" s="457"/>
      <c r="Q50" s="457"/>
      <c r="R50" s="458"/>
      <c r="S50" s="111" t="s">
        <v>1391</v>
      </c>
      <c r="T50" s="102">
        <v>0</v>
      </c>
      <c r="U50" s="112">
        <v>0</v>
      </c>
      <c r="V50" s="102">
        <v>0</v>
      </c>
      <c r="W50" s="102">
        <v>0</v>
      </c>
      <c r="X50" s="102">
        <v>0</v>
      </c>
      <c r="Y50" s="102">
        <v>0</v>
      </c>
      <c r="Z50" s="102">
        <v>0</v>
      </c>
      <c r="AA50" s="102">
        <v>0</v>
      </c>
      <c r="AB50" s="102">
        <v>0</v>
      </c>
      <c r="AC50" s="102">
        <v>0</v>
      </c>
      <c r="AD50" s="102">
        <v>0</v>
      </c>
      <c r="AE50" s="112">
        <f t="shared" si="28"/>
        <v>0</v>
      </c>
      <c r="AF50" s="112" t="str">
        <f t="shared" si="29"/>
        <v>-</v>
      </c>
      <c r="AG50" s="236"/>
      <c r="AH50" s="122"/>
      <c r="AI50" s="123"/>
      <c r="AJ50" s="123"/>
      <c r="AK50" s="123"/>
      <c r="AL50" s="124" t="str">
        <f>IF(AG35&lt;&gt;"",AJ50+AK50,"")</f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IF(AG35&lt;&gt;"",IF(AH50&lt;&gt;"",INT((TODAY()-AH50)/365),"?"),"")</f>
        <v/>
      </c>
      <c r="AV50" s="127" t="str">
        <f>IF(AG35&lt;&gt;"",CONCATENATE(IF(AQ50&lt;&gt;"",AQ50,"? "),"/",IF(AR50&lt;&gt;"",AR50," ?")),"")</f>
        <v/>
      </c>
      <c r="AW50" s="128" t="str">
        <f>IF(AG35&lt;&gt;"",IF(BE50=1,BD50,IF(BH50=1,BG50,IF(BJ50=1,BI50,IF(BL50=1,BK50,BM50)))),"")</f>
        <v/>
      </c>
      <c r="AX50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129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AZ50" s="130"/>
      <c r="BA50" s="130"/>
      <c r="BB50" s="130"/>
      <c r="BC50" s="130"/>
      <c r="BD50" s="3" t="str">
        <f>IF(AG35&lt;&gt;"",RIGHT(AG35,LEN(AG35)-SEARCH(" ",AG35)),"")</f>
        <v/>
      </c>
      <c r="BE50" s="84" t="str">
        <f ca="1">IF(AG35&lt;&gt;"",COUNTIF(OFFSET($BD$2,,,COUNTIF($AG$2:$AG$49,"?*")),BD50),"")</f>
        <v/>
      </c>
      <c r="BF50" s="62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62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62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62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30" priority="15" stopIfTrue="1" operator="equal">
      <formula>"OTR"</formula>
    </cfRule>
    <cfRule type="cellIs" dxfId="429" priority="16" stopIfTrue="1" operator="equal">
      <formula>"PAR"</formula>
    </cfRule>
    <cfRule type="cellIs" dxfId="428" priority="17" stopIfTrue="1" operator="equal">
      <formula>"CLP"</formula>
    </cfRule>
    <cfRule type="cellIs" dxfId="427" priority="18" stopIfTrue="1" operator="equal">
      <formula>"HAT"</formula>
    </cfRule>
    <cfRule type="cellIs" dxfId="426" priority="19" stopIfTrue="1" operator="equal">
      <formula>"LIB"</formula>
    </cfRule>
    <cfRule type="cellIs" dxfId="425" priority="20" stopIfTrue="1" operator="equal">
      <formula>"BA"</formula>
    </cfRule>
    <cfRule type="cellIs" dxfId="424" priority="21" stopIfTrue="1" operator="equal">
      <formula>"SPA"</formula>
    </cfRule>
    <cfRule type="cellIs" dxfId="423" priority="22" stopIfTrue="1" operator="equal">
      <formula>"OST"</formula>
    </cfRule>
    <cfRule type="cellIs" dxfId="422" priority="23" stopIfTrue="1" operator="equal">
      <formula>"BOH"</formula>
    </cfRule>
    <cfRule type="cellIs" dxfId="421" priority="24" stopIfTrue="1" operator="equal">
      <formula>"TAT"</formula>
    </cfRule>
    <cfRule type="cellIs" dxfId="420" priority="25" stopIfTrue="1" operator="equal">
      <formula>"MB"</formula>
    </cfRule>
    <cfRule type="cellIs" dxfId="419" priority="26" stopIfTrue="1" operator="equal">
      <formula>"VIT"</formula>
    </cfRule>
    <cfRule type="cellIs" dxfId="418" priority="27" stopIfTrue="1" operator="equal">
      <formula>"CHO"</formula>
    </cfRule>
    <cfRule type="cellIs" dxfId="417" priority="28" stopIfTrue="1" operator="equal">
      <formula>"SKV"</formula>
    </cfRule>
  </conditionalFormatting>
  <conditionalFormatting sqref="H19:K20">
    <cfRule type="cellIs" dxfId="416" priority="43" stopIfTrue="1" operator="equal">
      <formula>"OTR"</formula>
    </cfRule>
    <cfRule type="cellIs" dxfId="415" priority="44" stopIfTrue="1" operator="equal">
      <formula>"PAR"</formula>
    </cfRule>
    <cfRule type="cellIs" dxfId="414" priority="45" stopIfTrue="1" operator="equal">
      <formula>"CLP"</formula>
    </cfRule>
    <cfRule type="cellIs" dxfId="413" priority="46" stopIfTrue="1" operator="equal">
      <formula>"HAT"</formula>
    </cfRule>
    <cfRule type="cellIs" dxfId="412" priority="47" stopIfTrue="1" operator="equal">
      <formula>"LIB"</formula>
    </cfRule>
    <cfRule type="cellIs" dxfId="411" priority="48" stopIfTrue="1" operator="equal">
      <formula>"BA"</formula>
    </cfRule>
    <cfRule type="cellIs" dxfId="410" priority="49" stopIfTrue="1" operator="equal">
      <formula>"SPA"</formula>
    </cfRule>
    <cfRule type="cellIs" dxfId="409" priority="50" stopIfTrue="1" operator="equal">
      <formula>"OST"</formula>
    </cfRule>
    <cfRule type="cellIs" dxfId="408" priority="51" stopIfTrue="1" operator="equal">
      <formula>"BOH"</formula>
    </cfRule>
    <cfRule type="cellIs" dxfId="407" priority="52" stopIfTrue="1" operator="equal">
      <formula>"TAT"</formula>
    </cfRule>
    <cfRule type="cellIs" dxfId="406" priority="53" stopIfTrue="1" operator="equal">
      <formula>"MB"</formula>
    </cfRule>
    <cfRule type="cellIs" dxfId="405" priority="54" stopIfTrue="1" operator="equal">
      <formula>"VIT"</formula>
    </cfRule>
    <cfRule type="cellIs" dxfId="404" priority="55" stopIfTrue="1" operator="equal">
      <formula>"CHO"</formula>
    </cfRule>
    <cfRule type="cellIs" dxfId="403" priority="56" stopIfTrue="1" operator="equal">
      <formula>"SKV"</formula>
    </cfRule>
  </conditionalFormatting>
  <conditionalFormatting sqref="H8:K9">
    <cfRule type="cellIs" dxfId="402" priority="29" stopIfTrue="1" operator="equal">
      <formula>"OTR"</formula>
    </cfRule>
    <cfRule type="cellIs" dxfId="401" priority="30" stopIfTrue="1" operator="equal">
      <formula>"PAR"</formula>
    </cfRule>
    <cfRule type="cellIs" dxfId="400" priority="31" stopIfTrue="1" operator="equal">
      <formula>"CLP"</formula>
    </cfRule>
    <cfRule type="cellIs" dxfId="399" priority="32" stopIfTrue="1" operator="equal">
      <formula>"HAT"</formula>
    </cfRule>
    <cfRule type="cellIs" dxfId="398" priority="33" stopIfTrue="1" operator="equal">
      <formula>"LIB"</formula>
    </cfRule>
    <cfRule type="cellIs" dxfId="397" priority="34" stopIfTrue="1" operator="equal">
      <formula>"BA"</formula>
    </cfRule>
    <cfRule type="cellIs" dxfId="396" priority="35" stopIfTrue="1" operator="equal">
      <formula>"SPA"</formula>
    </cfRule>
    <cfRule type="cellIs" dxfId="395" priority="36" stopIfTrue="1" operator="equal">
      <formula>"OST"</formula>
    </cfRule>
    <cfRule type="cellIs" dxfId="394" priority="37" stopIfTrue="1" operator="equal">
      <formula>"BOH"</formula>
    </cfRule>
    <cfRule type="cellIs" dxfId="393" priority="38" stopIfTrue="1" operator="equal">
      <formula>"TAT"</formula>
    </cfRule>
    <cfRule type="cellIs" dxfId="392" priority="39" stopIfTrue="1" operator="equal">
      <formula>"MB"</formula>
    </cfRule>
    <cfRule type="cellIs" dxfId="391" priority="40" stopIfTrue="1" operator="equal">
      <formula>"VIT"</formula>
    </cfRule>
    <cfRule type="cellIs" dxfId="390" priority="41" stopIfTrue="1" operator="equal">
      <formula>"CHO"</formula>
    </cfRule>
    <cfRule type="cellIs" dxfId="389" priority="42" stopIfTrue="1" operator="equal">
      <formula>"SKV"</formula>
    </cfRule>
  </conditionalFormatting>
  <conditionalFormatting sqref="AG2:AG34 AG36:AG49">
    <cfRule type="expression" dxfId="388" priority="5" stopIfTrue="1">
      <formula>OR($AH2="",$AI2="",$AJ2="",$AK2="",$AL2="",$AM2="",$AN2="",$AQ2="",$AR2="",$AS2="",$AT2="")</formula>
    </cfRule>
    <cfRule type="expression" dxfId="387" priority="6" stopIfTrue="1">
      <formula>IFERROR(IF(VLOOKUP($AG2,OFFSET($S$2,,,COUNTIF($S$2:$S$42,"?*")),1,FALSE)&lt;&gt;0,1,0),0)=0</formula>
    </cfRule>
    <cfRule type="expression" dxfId="386" priority="7">
      <formula>IFERROR(IF(VLOOKUP($AG2,OFFSET($S$2,,,COUNTIF($S$2:$S$42,"?*")),1,FALSE)&lt;&gt;0,1,0),0)&gt;0</formula>
    </cfRule>
  </conditionalFormatting>
  <conditionalFormatting sqref="AG35 AG2:BC34 AG36:BC49">
    <cfRule type="expression" dxfId="385" priority="4">
      <formula>AND($AG2&lt;&gt;"",MOD(ROW($AG2),2)=0)</formula>
    </cfRule>
  </conditionalFormatting>
  <conditionalFormatting sqref="BN2:BR11">
    <cfRule type="expression" dxfId="384" priority="3">
      <formula>AND($BN2&lt;&gt;"",MOD(ROW($BN2),2)=0)</formula>
    </cfRule>
  </conditionalFormatting>
  <conditionalFormatting sqref="S2:S42">
    <cfRule type="expression" dxfId="383" priority="112" stopIfTrue="1">
      <formula>IFERROR(IF(VLOOKUP($S2,OFFSET($AG$2,,,COUNTIF($AG$2:$AG$49,"?*")),1,FALSE)&lt;&gt;0,1,0),0)&gt;0</formula>
    </cfRule>
  </conditionalFormatting>
  <conditionalFormatting sqref="S2:S42 S45:S50">
    <cfRule type="expression" dxfId="382" priority="113">
      <formula>IFERROR(IF(VLOOKUP($S2,OFFSET($AG$2,,,COUNTIF($AG$2:$AG$49,"?*")),1,FALSE)&lt;&gt;0,1,0),0)=0</formula>
    </cfRule>
  </conditionalFormatting>
  <conditionalFormatting sqref="S45:S50">
    <cfRule type="expression" dxfId="381" priority="114">
      <formula>IFERROR(IF(VLOOKUP($S45,OFFSET($AG$2,,,COUNTIF($AG$2:$AG$49,"?*")),1,FALSE)&lt;&gt;0,1,0),0)&gt;0</formula>
    </cfRule>
  </conditionalFormatting>
  <conditionalFormatting sqref="AG35:AG36">
    <cfRule type="expression" dxfId="380" priority="119" stopIfTrue="1">
      <formula>OR($AH50="",$AI50="",$AJ50="",$AK50="",$AL50="",$AM50="",$AN50="",$AQ50="",$AR50="",$AS50="",$AT50="")</formula>
    </cfRule>
    <cfRule type="expression" dxfId="379" priority="120" stopIfTrue="1">
      <formula>IFERROR(IF(VLOOKUP($AG35,OFFSET($S$2,,,COUNTIF($S$2:$S$42,"?*")),1,FALSE)&lt;&gt;0,1,0),0)=0</formula>
    </cfRule>
    <cfRule type="expression" dxfId="378" priority="121">
      <formula>IFERROR(IF(VLOOKUP($AG35,OFFSET($S$2,,,COUNTIF($S$2:$S$42,"?*")),1,FALSE)&lt;&gt;0,1,0),0)&gt;0</formula>
    </cfRule>
  </conditionalFormatting>
  <conditionalFormatting sqref="AH50:BC50">
    <cfRule type="expression" dxfId="377" priority="123">
      <formula>AND($AG35&lt;&gt;"",MOD(ROW($AG35),2)=0)</formula>
    </cfRule>
  </conditionalFormatting>
  <conditionalFormatting sqref="AH35:BC35">
    <cfRule type="expression" dxfId="376" priority="124">
      <formula>AND(#REF!&lt;&gt;"",MOD(ROW(#REF!),2)=0)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 xr:uid="{00000000-0002-0000-0C00-000003000000}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topLeftCell="X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 t="s">
        <v>359</v>
      </c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27" t="s">
        <v>1</v>
      </c>
      <c r="I1" s="427"/>
      <c r="J1" s="427"/>
      <c r="K1" s="427"/>
      <c r="M1" s="425" t="s">
        <v>361</v>
      </c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8">
        <f ca="1">IFERROR(IF(VLOOKUP(A1,OFFSET($AG$2,,,COUNTIF($AG$2:$AG$50,"?*"),23),2,FALSE)&lt;&gt;0,YEAR(VLOOKUP(A1,OFFSET($AG$2,,,COUNTIF($AG$2:$AG$50,"?*"),23),2,FALSE)),""),"")</f>
        <v>1994</v>
      </c>
      <c r="C2" s="429"/>
      <c r="D2" s="117">
        <f ca="1">IFERROR(VLOOKUP(A1,OFFSET($AG$2,,,COUNTIF($AG$2:$AG$50,"?*"),23),15,FALSE),"")</f>
        <v>27</v>
      </c>
      <c r="E2" s="419" t="str">
        <f ca="1">IFERROR(VLOOKUP(A1,OFFSET($AG$2,,,COUNTIF($AG$2:$AG$50,"?*"),23),16,FALSE),"")</f>
        <v>177/82</v>
      </c>
      <c r="F2" s="420"/>
      <c r="M2" s="4" t="str">
        <f ca="1">IFERROR(IF(VLOOKUP(M1,OFFSET($AG$2,,,COUNTIF($AG$2:$AG$50,"?*"),23),10,FALSE)&lt;&gt;0,VLOOKUP(M1,OFFSET($AG$2,,,COUNTIF($AG$2:$AG$50,"?*"),23),10,FALSE),""),"")</f>
        <v>L</v>
      </c>
      <c r="N2" s="428">
        <f ca="1">IFERROR(IF(VLOOKUP(M1,OFFSET($AG$2,,,COUNTIF($AG$2:$AG$50,"?*"),23),2,FALSE)&lt;&gt;0,YEAR(VLOOKUP(M1,OFFSET($AG$2,,,COUNTIF($AG$2:$AG$50,"?*"),23),2,FALSE)),""),"")</f>
        <v>1998</v>
      </c>
      <c r="O2" s="429"/>
      <c r="P2" s="117">
        <f ca="1">IFERROR(VLOOKUP(M1,OFFSET($AG$2,,,COUNTIF($AG$2:$AG$50,"?*"),23),15,FALSE),"")</f>
        <v>23</v>
      </c>
      <c r="Q2" s="419" t="str">
        <f ca="1">IFERROR(VLOOKUP(M1,OFFSET($AG$2,,,COUNTIF($AG$2:$AG$50,"?*"),23),16,FALSE),"")</f>
        <v>181/62</v>
      </c>
      <c r="R2" s="420"/>
      <c r="S2" s="110" t="s">
        <v>353</v>
      </c>
      <c r="T2" s="102" t="s">
        <v>106</v>
      </c>
      <c r="U2" s="102">
        <v>16</v>
      </c>
      <c r="V2" s="102">
        <v>12</v>
      </c>
      <c r="W2" s="102">
        <v>0</v>
      </c>
      <c r="X2" s="102">
        <v>0</v>
      </c>
      <c r="Y2" s="102">
        <v>14</v>
      </c>
      <c r="Z2" s="102">
        <v>26</v>
      </c>
      <c r="AA2" s="102">
        <v>2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366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378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175 OZ, 11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t="shared" ref="BE2:BE33" ca="1" si="3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3" ca="1" si="4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3" ca="1" si="5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3" ca="1" si="6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390</v>
      </c>
      <c r="BO2" s="122">
        <v>30091</v>
      </c>
      <c r="BP2" s="131" t="s">
        <v>235</v>
      </c>
      <c r="BQ2" s="132" t="s">
        <v>391</v>
      </c>
      <c r="BR2" s="127">
        <f ca="1">IF(BN2&lt;&gt;"",IF(BO2&lt;&gt;"",INT((TODAY()-BO2)/365),"?"),"")</f>
        <v>39</v>
      </c>
      <c r="BS2" s="464" t="s">
        <v>35</v>
      </c>
      <c r="BT2" s="104" t="s">
        <v>824</v>
      </c>
      <c r="BU2" s="103">
        <v>26</v>
      </c>
      <c r="BV2" s="104" t="str">
        <f>IFERROR(RIGHT(BT2,LEN(BT2)-SEARCH(" ",BT2)),"")</f>
        <v>Jiří Curney</v>
      </c>
      <c r="BW2" s="102">
        <f>IF(BT2&lt;&gt;0,_xlfn.NUMBERVALUE(BU2,","),"")</f>
        <v>26</v>
      </c>
      <c r="BX2" s="463" t="s">
        <v>191</v>
      </c>
      <c r="BY2" s="103" t="s">
        <v>1048</v>
      </c>
      <c r="BZ2" s="103" t="s">
        <v>823</v>
      </c>
      <c r="CA2" s="115" t="s">
        <v>739</v>
      </c>
    </row>
    <row r="3" spans="1:79" ht="15" customHeight="1" thickTop="1" thickBot="1" x14ac:dyDescent="0.25">
      <c r="A3" s="421" t="str">
        <f ca="1">IFERROR(VLOOKUP(A1,OFFSET($AG$2,,,COUNTIF($AG$2:$AG$50,"?*"),23),18,FALSE),"")</f>
        <v>16 OZ, 12 (9+3), +15 ±</v>
      </c>
      <c r="B3" s="422"/>
      <c r="C3" s="422"/>
      <c r="D3" s="423" t="str">
        <f ca="1">IFERROR(VLOOKUP(A1,OFFSET($AG$2,,,COUNTIF($AG$2:$AG$50,"?*"),23),19,FALSE),"")</f>
        <v>226 OZ, 196 (120+76)</v>
      </c>
      <c r="E3" s="423"/>
      <c r="F3" s="424"/>
      <c r="G3" s="425" t="s">
        <v>353</v>
      </c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21" t="str">
        <f ca="1">IFERROR(VLOOKUP(M1,OFFSET($AG$2,,,COUNTIF($AG$2:$AG$50,"?*"),23),18,FALSE),"")</f>
        <v>16 OZ, 17 (14+3), +8 ±</v>
      </c>
      <c r="N3" s="422"/>
      <c r="O3" s="422"/>
      <c r="P3" s="423" t="str">
        <f ca="1">IFERROR(VLOOKUP(M1,OFFSET($AG$2,,,COUNTIF($AG$2:$AG$50,"?*"),23),19,FALSE),"")</f>
        <v>154 OZ, 131 (98+33)</v>
      </c>
      <c r="Q3" s="423"/>
      <c r="R3" s="424"/>
      <c r="S3" s="110" t="s">
        <v>355</v>
      </c>
      <c r="U3" s="102">
        <v>16</v>
      </c>
      <c r="V3" s="102">
        <v>12</v>
      </c>
      <c r="W3" s="102">
        <v>0</v>
      </c>
      <c r="X3" s="102">
        <v>0</v>
      </c>
      <c r="Y3" s="102">
        <v>8</v>
      </c>
      <c r="Z3" s="102">
        <v>20</v>
      </c>
      <c r="AA3" s="102">
        <v>14</v>
      </c>
      <c r="AB3" s="102">
        <v>25</v>
      </c>
      <c r="AC3" s="102" t="str">
        <f t="shared" ca="1" si="0"/>
        <v>ANO</v>
      </c>
      <c r="AG3" s="121" t="s">
        <v>358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136</v>
      </c>
      <c r="AQ3" s="123">
        <v>185</v>
      </c>
      <c r="AR3" s="123">
        <v>75</v>
      </c>
      <c r="AS3" s="126" t="s">
        <v>248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16 OZ, 18 (6+12), +25 ±</v>
      </c>
      <c r="AY3" s="129" t="str">
        <f t="shared" ca="1" si="2"/>
        <v>37 OZ, 40 (22+18)</v>
      </c>
      <c r="AZ3" s="130"/>
      <c r="BA3" s="130"/>
      <c r="BB3" s="130"/>
      <c r="BC3" s="130"/>
      <c r="BD3" s="89" t="str">
        <f t="shared" ref="BD3:BD49" si="7">IF(AG3&lt;&gt;"",RIGHT(AG3,LEN(AG3)-SEARCH(" ",AG3)),"")</f>
        <v>Beneš</v>
      </c>
      <c r="BE3" s="91">
        <f t="shared" ca="1" si="3"/>
        <v>1</v>
      </c>
      <c r="BF3" s="90" t="str">
        <f t="shared" ref="BF3:BF49" si="8">IF(AG3&lt;&gt;"",LEFT(AG3,1),"")</f>
        <v>D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392</v>
      </c>
      <c r="BO3" s="122">
        <v>33197</v>
      </c>
      <c r="BP3" s="131" t="s">
        <v>175</v>
      </c>
      <c r="BQ3" s="132" t="s">
        <v>393</v>
      </c>
      <c r="BR3" s="127">
        <f t="shared" ref="BR3:BR11" ca="1" si="13">IF(BN3&lt;&gt;"",IF(BO3&lt;&gt;"",INT((TODAY()-BO3)/365),"?"),"")</f>
        <v>31</v>
      </c>
      <c r="BS3" s="464"/>
      <c r="BT3" s="104" t="s">
        <v>1410</v>
      </c>
      <c r="BU3" s="103">
        <v>20</v>
      </c>
      <c r="BV3" s="104" t="str">
        <f t="shared" ref="BV3:BV31" si="14">IFERROR(RIGHT(BT3,LEN(BT3)-SEARCH(" ",BT3)),"")</f>
        <v>Martin Tokoš</v>
      </c>
      <c r="BW3" s="102">
        <f t="shared" ref="BW3:BW31" si="15">IF(BT3&lt;&gt;0,_xlfn.NUMBERVALUE(BU3,","),"")</f>
        <v>20</v>
      </c>
      <c r="BX3" s="463"/>
      <c r="BY3" s="103" t="s">
        <v>1039</v>
      </c>
      <c r="BZ3" s="103" t="s">
        <v>809</v>
      </c>
      <c r="CA3" s="115" t="s">
        <v>1288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>Vosy Praha</v>
      </c>
      <c r="B4" s="431"/>
      <c r="C4" s="432"/>
      <c r="D4" s="433">
        <f ca="1">IFERROR(IF(VLOOKUP(A1,OFFSET($AG$2,,,COUNTIF($AG$2:$AG$50,"?*"),23),14,FALSE)&lt;&gt;0,VLOOKUP(A1,OFFSET($AG$2,,,COUNTIF($AG$2:$AG$50,"?*"),23),14,FALSE),"?"),"")</f>
        <v>2005</v>
      </c>
      <c r="E4" s="434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8">
        <f ca="1">IFERROR(IF(VLOOKUP(G3,OFFSET($AG$2,,,COUNTIF($AG$2:$AG$50,"?*"),23),2,FALSE)&lt;&gt;0,YEAR(VLOOKUP(G3,OFFSET($AG$2,,,COUNTIF($AG$2:$AG$50,"?*"),23),2,FALSE)),""),"")</f>
        <v>1989</v>
      </c>
      <c r="I4" s="429"/>
      <c r="J4" s="117">
        <f ca="1">IFERROR(VLOOKUP(G3,OFFSET($AG$2,,,COUNTIF($AG$2:$AG$50,"?*"),23),15,FALSE),"")</f>
        <v>32</v>
      </c>
      <c r="K4" s="419" t="str">
        <f ca="1">IFERROR(VLOOKUP(G3,OFFSET($AG$2,,,COUNTIF($AG$2:$AG$50,"?*"),23),16,FALSE),"")</f>
        <v>180/77</v>
      </c>
      <c r="L4" s="420"/>
      <c r="M4" s="430" t="str">
        <f ca="1">IFERROR(IF(VLOOKUP(M1,OFFSET($AG$2,,,COUNTIF($AG$2:$AG$50,"?*"),23),13,FALSE)&lt;&gt;0,VLOOKUP(M1,OFFSET($AG$2,,,COUNTIF($AG$2:$AG$50,"?*"),23),13,FALSE),"?"),"")</f>
        <v>ED Havlíčkův Brod</v>
      </c>
      <c r="N4" s="431"/>
      <c r="O4" s="432"/>
      <c r="P4" s="433">
        <f ca="1">IFERROR(IF(VLOOKUP(M1,OFFSET($AG$2,,,COUNTIF($AG$2:$AG$50,"?*"),23),14,FALSE)&lt;&gt;0,VLOOKUP(M1,OFFSET($AG$2,,,COUNTIF($AG$2:$AG$50,"?*"),23),14,FALSE),"?"),"")</f>
        <v>2006</v>
      </c>
      <c r="Q4" s="434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363</v>
      </c>
      <c r="T4" s="102" t="s">
        <v>57</v>
      </c>
      <c r="U4" s="102">
        <v>16</v>
      </c>
      <c r="V4" s="102">
        <v>6</v>
      </c>
      <c r="W4" s="102">
        <v>3</v>
      </c>
      <c r="X4" s="102">
        <v>0</v>
      </c>
      <c r="Y4" s="102">
        <v>12</v>
      </c>
      <c r="Z4" s="102">
        <v>18</v>
      </c>
      <c r="AA4" s="102">
        <v>12</v>
      </c>
      <c r="AB4" s="102">
        <v>22</v>
      </c>
      <c r="AC4" s="102" t="str">
        <f t="shared" ca="1" si="0"/>
        <v>ANO</v>
      </c>
      <c r="AG4" s="121" t="s">
        <v>361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136</v>
      </c>
      <c r="AQ4" s="123">
        <v>181</v>
      </c>
      <c r="AR4" s="123">
        <v>62</v>
      </c>
      <c r="AS4" s="126" t="s">
        <v>379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16 OZ, 17 (14+3), +8 ±</v>
      </c>
      <c r="AY4" s="129" t="str">
        <f t="shared" ca="1" si="2"/>
        <v>154 OZ, 131 (98+33)</v>
      </c>
      <c r="AZ4" s="130"/>
      <c r="BA4" s="130"/>
      <c r="BB4" s="130"/>
      <c r="BC4" s="130"/>
      <c r="BD4" s="3" t="str">
        <f t="shared" si="7"/>
        <v>Bína</v>
      </c>
      <c r="BE4" s="84">
        <f t="shared" ca="1" si="3"/>
        <v>1</v>
      </c>
      <c r="BF4" s="62" t="str">
        <f t="shared" si="8"/>
        <v>J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394</v>
      </c>
      <c r="BO4" s="122">
        <v>30597</v>
      </c>
      <c r="BP4" s="131" t="s">
        <v>236</v>
      </c>
      <c r="BQ4" s="132" t="s">
        <v>395</v>
      </c>
      <c r="BR4" s="127">
        <f t="shared" ca="1" si="13"/>
        <v>38</v>
      </c>
      <c r="BS4" s="464"/>
      <c r="BT4" s="104" t="s">
        <v>1411</v>
      </c>
      <c r="BU4" s="103">
        <v>18</v>
      </c>
      <c r="BV4" s="104" t="str">
        <f t="shared" si="14"/>
        <v>Dominik Beneš</v>
      </c>
      <c r="BW4" s="102">
        <f t="shared" si="15"/>
        <v>18</v>
      </c>
      <c r="BX4" s="463"/>
      <c r="BY4" s="103" t="s">
        <v>1331</v>
      </c>
      <c r="BZ4" s="103" t="s">
        <v>826</v>
      </c>
      <c r="CA4" s="115" t="s">
        <v>1408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>16 OZ, 26 (12+14), +20 ±</v>
      </c>
      <c r="H5" s="422"/>
      <c r="I5" s="422"/>
      <c r="J5" s="423" t="str">
        <f ca="1">IFERROR(VLOOKUP(G3,OFFSET($AG$2,,,COUNTIF($AG$2:$AG$50,"?*"),23),19,FALSE),"")</f>
        <v>351 OZ, 761 (415+346)</v>
      </c>
      <c r="K5" s="423"/>
      <c r="L5" s="424"/>
      <c r="S5" s="110" t="s">
        <v>358</v>
      </c>
      <c r="U5" s="102">
        <v>16</v>
      </c>
      <c r="V5" s="102">
        <v>6</v>
      </c>
      <c r="W5" s="102">
        <v>0</v>
      </c>
      <c r="X5" s="102">
        <v>0</v>
      </c>
      <c r="Y5" s="102">
        <v>12</v>
      </c>
      <c r="Z5" s="102">
        <v>18</v>
      </c>
      <c r="AA5" s="102">
        <v>0</v>
      </c>
      <c r="AB5" s="102">
        <v>25</v>
      </c>
      <c r="AC5" s="102" t="str">
        <f t="shared" ca="1" si="0"/>
        <v>ANO</v>
      </c>
      <c r="AG5" s="121" t="s">
        <v>353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136</v>
      </c>
      <c r="AQ5" s="123">
        <v>180</v>
      </c>
      <c r="AR5" s="123">
        <v>77</v>
      </c>
      <c r="AS5" s="126" t="s">
        <v>380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16 OZ, 26 (12+14), +20 ±</v>
      </c>
      <c r="AY5" s="129" t="str">
        <f t="shared" ca="1" si="2"/>
        <v>351 OZ, 761 (415+346)</v>
      </c>
      <c r="AZ5" s="130"/>
      <c r="BA5" s="130"/>
      <c r="BB5" s="130"/>
      <c r="BC5" s="130"/>
      <c r="BD5" s="89" t="str">
        <f t="shared" si="7"/>
        <v>Curney</v>
      </c>
      <c r="BE5" s="91">
        <f t="shared" ca="1" si="3"/>
        <v>1</v>
      </c>
      <c r="BF5" s="90" t="str">
        <f t="shared" si="8"/>
        <v>J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396</v>
      </c>
      <c r="BO5" s="122">
        <v>34618</v>
      </c>
      <c r="BP5" s="131" t="s">
        <v>397</v>
      </c>
      <c r="BQ5" s="132" t="s">
        <v>398</v>
      </c>
      <c r="BR5" s="127">
        <f t="shared" ca="1" si="13"/>
        <v>27</v>
      </c>
      <c r="BS5" s="464"/>
      <c r="BT5" s="104" t="s">
        <v>1412</v>
      </c>
      <c r="BU5" s="103">
        <v>18</v>
      </c>
      <c r="BV5" s="104" t="str">
        <f t="shared" si="14"/>
        <v>Patrik Suchánek</v>
      </c>
      <c r="BW5" s="102">
        <f t="shared" si="15"/>
        <v>18</v>
      </c>
      <c r="BX5" s="463"/>
      <c r="BY5" s="103" t="s">
        <v>984</v>
      </c>
      <c r="BZ5" s="103" t="s">
        <v>790</v>
      </c>
      <c r="CA5" s="115" t="s">
        <v>1255</v>
      </c>
    </row>
    <row r="6" spans="1:79" ht="15" customHeight="1" thickTop="1" thickBot="1" x14ac:dyDescent="0.25">
      <c r="A6" s="425" t="s">
        <v>357</v>
      </c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30" t="str">
        <f ca="1">IFERROR(IF(VLOOKUP(G3,OFFSET($AG$2,,,COUNTIF($AG$2:$AG$50,"?*"),23),13,FALSE)&lt;&gt;0,VLOOKUP(G3,OFFSET($AG$2,,,COUNTIF($AG$2:$AG$50,"?*"),23),13,FALSE),"?"),"")</f>
        <v>SK FBC Třinec</v>
      </c>
      <c r="H6" s="431"/>
      <c r="I6" s="432"/>
      <c r="J6" s="433">
        <f ca="1">IFERROR(IF(VLOOKUP(G3,OFFSET($AG$2,,,COUNTIF($AG$2:$AG$50,"?*"),23),14,FALSE)&lt;&gt;0,VLOOKUP(G3,OFFSET($AG$2,,,COUNTIF($AG$2:$AG$50,"?*"),23),14,FALSE),"?"),"")</f>
        <v>2004</v>
      </c>
      <c r="K6" s="434"/>
      <c r="L6" s="7">
        <f ca="1">IFERROR(IF(VLOOKUP(G3,OFFSET($AG$2,,,COUNTIF($AG$2:$AG$50,"?*"),23),7,FALSE)&lt;&gt;0,VLOOKUP(G3,OFFSET($AG$2,,,COUNTIF($AG$2:$AG$50,"?*"),23),7,FALSE),"?"),"")</f>
        <v>16</v>
      </c>
      <c r="M6" s="425" t="s">
        <v>373</v>
      </c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361</v>
      </c>
      <c r="U6" s="102">
        <v>16</v>
      </c>
      <c r="V6" s="102">
        <v>14</v>
      </c>
      <c r="W6" s="102">
        <v>0</v>
      </c>
      <c r="X6" s="102">
        <v>0</v>
      </c>
      <c r="Y6" s="102">
        <v>3</v>
      </c>
      <c r="Z6" s="102">
        <v>17</v>
      </c>
      <c r="AA6" s="102">
        <v>0</v>
      </c>
      <c r="AB6" s="102">
        <v>8</v>
      </c>
      <c r="AC6" s="102" t="str">
        <f t="shared" ca="1" si="0"/>
        <v>ANO</v>
      </c>
      <c r="AG6" s="121" t="s">
        <v>777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136</v>
      </c>
      <c r="AQ6" s="123">
        <v>172</v>
      </c>
      <c r="AR6" s="123">
        <v>72</v>
      </c>
      <c r="AS6" s="126" t="s">
        <v>384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10 OZ, 0 (0+0), +2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7"/>
        <v>Fišera</v>
      </c>
      <c r="BE6" s="84">
        <f t="shared" ca="1" si="3"/>
        <v>1</v>
      </c>
      <c r="BF6" s="62" t="str">
        <f t="shared" si="8"/>
        <v>M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399</v>
      </c>
      <c r="BO6" s="122">
        <v>33694</v>
      </c>
      <c r="BP6" s="131" t="s">
        <v>400</v>
      </c>
      <c r="BQ6" s="132"/>
      <c r="BR6" s="127">
        <f t="shared" ca="1" si="13"/>
        <v>29</v>
      </c>
      <c r="BS6" s="464"/>
      <c r="BT6" s="104" t="s">
        <v>1413</v>
      </c>
      <c r="BU6" s="103">
        <v>17</v>
      </c>
      <c r="BV6" s="104" t="str">
        <f t="shared" si="14"/>
        <v>Jakub Bína</v>
      </c>
      <c r="BW6" s="102">
        <f t="shared" si="15"/>
        <v>17</v>
      </c>
      <c r="BX6" s="463"/>
      <c r="BY6" s="103" t="s">
        <v>1231</v>
      </c>
      <c r="BZ6" s="103" t="s">
        <v>797</v>
      </c>
      <c r="CA6" s="115" t="s">
        <v>1009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8">
        <f ca="1">IFERROR(IF(VLOOKUP(A6,OFFSET($AG$2,,,COUNTIF($AG$2:$AG$50,"?*"),23),2,FALSE)&lt;&gt;0,YEAR(VLOOKUP(A6,OFFSET($AG$2,,,COUNTIF($AG$2:$AG$50,"?*"),23),2,FALSE)),""),"")</f>
        <v>1994</v>
      </c>
      <c r="C7" s="429"/>
      <c r="D7" s="117">
        <f ca="1">IFERROR(VLOOKUP(A6,OFFSET($AG$2,,,COUNTIF($AG$2:$AG$50,"?*"),23),15,FALSE),"")</f>
        <v>27</v>
      </c>
      <c r="E7" s="419" t="str">
        <f ca="1">IFERROR(VLOOKUP(A6,OFFSET($AG$2,,,COUNTIF($AG$2:$AG$50,"?*"),23),16,FALSE),"")</f>
        <v>185/84</v>
      </c>
      <c r="F7" s="420"/>
      <c r="M7" s="4" t="str">
        <f ca="1">IFERROR(IF(VLOOKUP(M6,OFFSET($AG$2,,,COUNTIF($AG$2:$AG$50,"?*"),23),10,FALSE)&lt;&gt;0,VLOOKUP(M6,OFFSET($AG$2,,,COUNTIF($AG$2:$AG$50,"?*"),23),10,FALSE),""),"")</f>
        <v>L</v>
      </c>
      <c r="N7" s="428">
        <f ca="1">IFERROR(IF(VLOOKUP(M6,OFFSET($AG$2,,,COUNTIF($AG$2:$AG$50,"?*"),23),2,FALSE)&lt;&gt;0,YEAR(VLOOKUP(M6,OFFSET($AG$2,,,COUNTIF($AG$2:$AG$50,"?*"),23),2,FALSE)),""),"")</f>
        <v>2002</v>
      </c>
      <c r="O7" s="429"/>
      <c r="P7" s="117">
        <f ca="1">IFERROR(VLOOKUP(M6,OFFSET($AG$2,,,COUNTIF($AG$2:$AG$50,"?*"),23),15,FALSE),"")</f>
        <v>19</v>
      </c>
      <c r="Q7" s="419" t="str">
        <f ca="1">IFERROR(VLOOKUP(M6,OFFSET($AG$2,,,COUNTIF($AG$2:$AG$50,"?*"),23),16,FALSE),"")</f>
        <v>187/80</v>
      </c>
      <c r="R7" s="420"/>
      <c r="S7" s="110" t="s">
        <v>354</v>
      </c>
      <c r="U7" s="102">
        <v>16</v>
      </c>
      <c r="V7" s="102">
        <v>13</v>
      </c>
      <c r="W7" s="102">
        <v>2</v>
      </c>
      <c r="X7" s="102">
        <v>0</v>
      </c>
      <c r="Y7" s="102">
        <v>4</v>
      </c>
      <c r="Z7" s="102">
        <v>17</v>
      </c>
      <c r="AA7" s="102">
        <v>0</v>
      </c>
      <c r="AB7" s="102">
        <v>10</v>
      </c>
      <c r="AC7" s="102" t="str">
        <f t="shared" ca="1" si="0"/>
        <v>ANO</v>
      </c>
      <c r="AG7" s="121" t="s">
        <v>370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136</v>
      </c>
      <c r="AQ7" s="123">
        <v>181</v>
      </c>
      <c r="AR7" s="123">
        <v>70</v>
      </c>
      <c r="AS7" s="126" t="s">
        <v>248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16 OZ, 6 (4+2), +9 ±</v>
      </c>
      <c r="AY7" s="129" t="str">
        <f t="shared" ca="1" si="2"/>
        <v>16 OZ, 6 (4+2)</v>
      </c>
      <c r="AZ7" s="130"/>
      <c r="BA7" s="130"/>
      <c r="BB7" s="130"/>
      <c r="BC7" s="130"/>
      <c r="BD7" s="89" t="str">
        <f t="shared" si="7"/>
        <v>Fořt</v>
      </c>
      <c r="BE7" s="91">
        <f t="shared" ca="1" si="3"/>
        <v>1</v>
      </c>
      <c r="BF7" s="90" t="str">
        <f t="shared" si="8"/>
        <v>M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4" t="s">
        <v>39</v>
      </c>
      <c r="BT7" s="104" t="s">
        <v>401</v>
      </c>
      <c r="BU7" s="103" t="s">
        <v>1414</v>
      </c>
      <c r="BV7" s="104" t="str">
        <f t="shared" si="14"/>
        <v>Lukáš Bauer</v>
      </c>
      <c r="BW7" s="112">
        <f t="shared" si="15"/>
        <v>3.46</v>
      </c>
      <c r="BX7" s="463" t="s">
        <v>192</v>
      </c>
      <c r="BY7" s="103" t="s">
        <v>1075</v>
      </c>
      <c r="BZ7" s="103" t="s">
        <v>792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>16 OZ, 6 (0+6), +9 ±</v>
      </c>
      <c r="B8" s="422"/>
      <c r="C8" s="422"/>
      <c r="D8" s="423" t="str">
        <f ca="1">IFERROR(VLOOKUP(A6,OFFSET($AG$2,,,COUNTIF($AG$2:$AG$50,"?*"),23),19,FALSE),"")</f>
        <v>223 OZ, 141 (78+63)</v>
      </c>
      <c r="E8" s="423"/>
      <c r="F8" s="424"/>
      <c r="H8" s="435" t="s">
        <v>22</v>
      </c>
      <c r="I8" s="435"/>
      <c r="J8" s="435"/>
      <c r="K8" s="435"/>
      <c r="M8" s="421" t="str">
        <f ca="1">IFERROR(VLOOKUP(M6,OFFSET($AG$2,,,COUNTIF($AG$2:$AG$50,"?*"),23),18,FALSE),"")</f>
        <v>13 OZ, 10 (4+6), +16 ±</v>
      </c>
      <c r="N8" s="422"/>
      <c r="O8" s="422"/>
      <c r="P8" s="423" t="str">
        <f ca="1">IFERROR(VLOOKUP(M6,OFFSET($AG$2,,,COUNTIF($AG$2:$AG$50,"?*"),23),19,FALSE),"")</f>
        <v>26 OZ, 21 (11+10)</v>
      </c>
      <c r="Q8" s="423"/>
      <c r="R8" s="424"/>
      <c r="S8" s="110" t="s">
        <v>365</v>
      </c>
      <c r="U8" s="102">
        <v>14</v>
      </c>
      <c r="V8" s="102">
        <v>9</v>
      </c>
      <c r="W8" s="102">
        <v>0</v>
      </c>
      <c r="X8" s="102">
        <v>0</v>
      </c>
      <c r="Y8" s="102">
        <v>8</v>
      </c>
      <c r="Z8" s="102">
        <v>17</v>
      </c>
      <c r="AA8" s="102">
        <v>4</v>
      </c>
      <c r="AB8" s="102">
        <v>20</v>
      </c>
      <c r="AC8" s="102" t="str">
        <f t="shared" ca="1" si="0"/>
        <v>ANO</v>
      </c>
      <c r="AG8" s="121" t="s">
        <v>372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136</v>
      </c>
      <c r="AQ8" s="123">
        <v>178</v>
      </c>
      <c r="AR8" s="123">
        <v>64</v>
      </c>
      <c r="AS8" s="126" t="s">
        <v>381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7"/>
        <v>Goll</v>
      </c>
      <c r="BE8" s="84">
        <f t="shared" ca="1" si="3"/>
        <v>1</v>
      </c>
      <c r="BF8" s="62" t="str">
        <f t="shared" si="8"/>
        <v>D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4"/>
      <c r="BT8" s="104" t="s">
        <v>1089</v>
      </c>
      <c r="BU8" s="103" t="s">
        <v>182</v>
      </c>
      <c r="BV8" s="104" t="str">
        <f t="shared" si="14"/>
        <v>Dominik Hanuš</v>
      </c>
      <c r="BW8" s="112">
        <f t="shared" si="15"/>
        <v>0</v>
      </c>
      <c r="BX8" s="463"/>
      <c r="BY8" s="103" t="s">
        <v>1232</v>
      </c>
      <c r="BZ8" s="103" t="s">
        <v>807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>TJ SKV</v>
      </c>
      <c r="B9" s="431"/>
      <c r="C9" s="432"/>
      <c r="D9" s="433">
        <f ca="1">IFERROR(IF(VLOOKUP(A6,OFFSET($AG$2,,,COUNTIF($AG$2:$AG$50,"?*"),23),14,FALSE)&lt;&gt;0,VLOOKUP(A6,OFFSET($AG$2,,,COUNTIF($AG$2:$AG$50,"?*"),23),14,FALSE),"?"),"")</f>
        <v>2005</v>
      </c>
      <c r="E9" s="434"/>
      <c r="F9" s="7">
        <f ca="1">IFERROR(IF(VLOOKUP(A6,OFFSET($AG$2,,,COUNTIF($AG$2:$AG$50,"?*"),23),7,FALSE)&lt;&gt;0,VLOOKUP(A6,OFFSET($AG$2,,,COUNTIF($AG$2:$AG$50,"?*"),23),7,FALSE),"?"),"")</f>
        <v>11</v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>FBŠ Hattrick Brno</v>
      </c>
      <c r="N9" s="431"/>
      <c r="O9" s="432"/>
      <c r="P9" s="433">
        <f ca="1">IFERROR(IF(VLOOKUP(M6,OFFSET($AG$2,,,COUNTIF($AG$2:$AG$50,"?*"),23),14,FALSE)&lt;&gt;0,VLOOKUP(M6,OFFSET($AG$2,,,COUNTIF($AG$2:$AG$50,"?*"),23),14,FALSE),"?"),"")</f>
        <v>2011</v>
      </c>
      <c r="Q9" s="434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362</v>
      </c>
      <c r="T9" s="102" t="s">
        <v>106</v>
      </c>
      <c r="U9" s="102">
        <v>14</v>
      </c>
      <c r="V9" s="102">
        <v>8</v>
      </c>
      <c r="W9" s="102">
        <v>2</v>
      </c>
      <c r="X9" s="102">
        <v>1</v>
      </c>
      <c r="Y9" s="102">
        <v>9</v>
      </c>
      <c r="Z9" s="102">
        <v>17</v>
      </c>
      <c r="AA9" s="102">
        <v>0</v>
      </c>
      <c r="AB9" s="102">
        <v>20</v>
      </c>
      <c r="AC9" s="102" t="str">
        <f t="shared" ca="1" si="0"/>
        <v>ANO</v>
      </c>
      <c r="AG9" s="121" t="s">
        <v>357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26</v>
      </c>
      <c r="AQ9" s="123">
        <v>185</v>
      </c>
      <c r="AR9" s="123">
        <v>84</v>
      </c>
      <c r="AS9" s="126" t="s">
        <v>378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16 OZ, 6 (0+6), +9 ±</v>
      </c>
      <c r="AY9" s="129" t="str">
        <f t="shared" ca="1" si="2"/>
        <v>223 OZ, 141 (78+63)</v>
      </c>
      <c r="AZ9" s="130"/>
      <c r="BA9" s="130"/>
      <c r="BB9" s="130"/>
      <c r="BC9" s="130"/>
      <c r="BD9" s="89" t="str">
        <f t="shared" si="7"/>
        <v>Gruber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4"/>
      <c r="BT9" s="104" t="s">
        <v>1090</v>
      </c>
      <c r="BU9" s="103" t="s">
        <v>1091</v>
      </c>
      <c r="BV9" s="104" t="str">
        <f t="shared" si="14"/>
        <v>Ondřej Tomšík</v>
      </c>
      <c r="BW9" s="112">
        <f t="shared" si="15"/>
        <v>1</v>
      </c>
      <c r="BX9" s="463"/>
      <c r="BY9" s="103" t="s">
        <v>1236</v>
      </c>
      <c r="BZ9" s="103" t="s">
        <v>802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359</v>
      </c>
      <c r="T10" s="102" t="s">
        <v>106</v>
      </c>
      <c r="U10" s="102">
        <v>16</v>
      </c>
      <c r="V10" s="102">
        <v>9</v>
      </c>
      <c r="W10" s="102">
        <v>0</v>
      </c>
      <c r="X10" s="102">
        <v>0</v>
      </c>
      <c r="Y10" s="102">
        <v>3</v>
      </c>
      <c r="Z10" s="102">
        <v>12</v>
      </c>
      <c r="AA10" s="102">
        <v>2</v>
      </c>
      <c r="AB10" s="102">
        <v>15</v>
      </c>
      <c r="AC10" s="102" t="str">
        <f t="shared" ca="1" si="0"/>
        <v>ANO</v>
      </c>
      <c r="AG10" s="121" t="s">
        <v>1087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1134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7"/>
        <v>Hanuš</v>
      </c>
      <c r="BE10" s="84">
        <f t="shared" ca="1" si="3"/>
        <v>1</v>
      </c>
      <c r="BF10" s="62" t="str">
        <f t="shared" si="8"/>
        <v>D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4"/>
      <c r="BV10" s="104" t="str">
        <f t="shared" si="14"/>
        <v/>
      </c>
      <c r="BW10" s="112" t="str">
        <f t="shared" si="15"/>
        <v/>
      </c>
      <c r="BX10" s="463"/>
      <c r="BY10" s="103" t="s">
        <v>1306</v>
      </c>
      <c r="BZ10" s="103" t="s">
        <v>801</v>
      </c>
      <c r="CA10" s="115" t="s">
        <v>187</v>
      </c>
    </row>
    <row r="11" spans="1:79" ht="15" customHeight="1" thickTop="1" thickBot="1" x14ac:dyDescent="0.25">
      <c r="R11" s="13"/>
      <c r="S11" s="110" t="s">
        <v>364</v>
      </c>
      <c r="T11" s="102" t="s">
        <v>57</v>
      </c>
      <c r="U11" s="102">
        <v>13</v>
      </c>
      <c r="V11" s="102">
        <v>5</v>
      </c>
      <c r="W11" s="102">
        <v>0</v>
      </c>
      <c r="X11" s="102">
        <v>0</v>
      </c>
      <c r="Y11" s="102">
        <v>5</v>
      </c>
      <c r="Z11" s="102">
        <v>10</v>
      </c>
      <c r="AA11" s="102">
        <v>4</v>
      </c>
      <c r="AB11" s="102">
        <v>9</v>
      </c>
      <c r="AC11" s="102" t="str">
        <f t="shared" ca="1" si="0"/>
        <v>ANO</v>
      </c>
      <c r="AG11" s="121" t="s">
        <v>373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136</v>
      </c>
      <c r="AQ11" s="123">
        <v>187</v>
      </c>
      <c r="AR11" s="123">
        <v>80</v>
      </c>
      <c r="AS11" s="126" t="s">
        <v>382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13 OZ, 10 (4+6), +16 ±</v>
      </c>
      <c r="AY11" s="129" t="str">
        <f t="shared" ca="1" si="2"/>
        <v>26 OZ, 21 (11+10)</v>
      </c>
      <c r="AZ11" s="130"/>
      <c r="BA11" s="130"/>
      <c r="BB11" s="130"/>
      <c r="BC11" s="130"/>
      <c r="BD11" s="89" t="str">
        <f t="shared" si="7"/>
        <v>Hemerka</v>
      </c>
      <c r="BE11" s="91">
        <f t="shared" ca="1" si="3"/>
        <v>1</v>
      </c>
      <c r="BF11" s="90" t="str">
        <f t="shared" si="8"/>
        <v>A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4"/>
      <c r="BV11" s="104" t="str">
        <f t="shared" si="14"/>
        <v/>
      </c>
      <c r="BW11" s="112" t="str">
        <f t="shared" si="15"/>
        <v/>
      </c>
      <c r="BX11" s="463"/>
      <c r="BY11" s="103" t="s">
        <v>1307</v>
      </c>
      <c r="BZ11" s="103" t="s">
        <v>800</v>
      </c>
      <c r="CA11" s="115" t="s">
        <v>187</v>
      </c>
    </row>
    <row r="12" spans="1:79" ht="15" customHeight="1" thickTop="1" thickBot="1" x14ac:dyDescent="0.25">
      <c r="A12" s="425" t="s">
        <v>365</v>
      </c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27" t="s">
        <v>7</v>
      </c>
      <c r="I12" s="427"/>
      <c r="J12" s="427"/>
      <c r="K12" s="427"/>
      <c r="M12" s="425" t="s">
        <v>355</v>
      </c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373</v>
      </c>
      <c r="U12" s="102">
        <v>13</v>
      </c>
      <c r="V12" s="102">
        <v>4</v>
      </c>
      <c r="W12" s="102">
        <v>0</v>
      </c>
      <c r="X12" s="102">
        <v>0</v>
      </c>
      <c r="Y12" s="102">
        <v>6</v>
      </c>
      <c r="Z12" s="102">
        <v>10</v>
      </c>
      <c r="AA12" s="102">
        <v>10</v>
      </c>
      <c r="AB12" s="102">
        <v>16</v>
      </c>
      <c r="AC12" s="102" t="str">
        <f t="shared" ca="1" si="0"/>
        <v>ANO</v>
      </c>
      <c r="AG12" s="121" t="s">
        <v>359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26</v>
      </c>
      <c r="AQ12" s="123">
        <v>177</v>
      </c>
      <c r="AR12" s="123">
        <v>82</v>
      </c>
      <c r="AS12" s="126" t="s">
        <v>383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16 OZ, 12 (9+3), +15 ±</v>
      </c>
      <c r="AY12" s="129" t="str">
        <f t="shared" ca="1" si="2"/>
        <v>226 OZ, 196 (120+76)</v>
      </c>
      <c r="AZ12" s="130"/>
      <c r="BA12" s="130"/>
      <c r="BB12" s="130"/>
      <c r="BC12" s="130"/>
      <c r="BD12" s="3" t="str">
        <f t="shared" si="7"/>
        <v>Chroust</v>
      </c>
      <c r="BE12" s="84">
        <f t="shared" ca="1" si="3"/>
        <v>1</v>
      </c>
      <c r="BF12" s="62" t="str">
        <f t="shared" si="8"/>
        <v>T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4" t="s">
        <v>36</v>
      </c>
      <c r="BT12" s="104" t="s">
        <v>1257</v>
      </c>
      <c r="BU12" s="103">
        <v>14</v>
      </c>
      <c r="BV12" s="104" t="str">
        <f t="shared" si="14"/>
        <v>Jakub Bína</v>
      </c>
      <c r="BW12" s="102">
        <f t="shared" si="15"/>
        <v>14</v>
      </c>
      <c r="BX12" s="120" t="s">
        <v>190</v>
      </c>
      <c r="BY12" s="100" t="s">
        <v>1409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8">
        <f ca="1">IFERROR(IF(VLOOKUP(A12,OFFSET($AG$2,,,COUNTIF($AG$2:$AG$50,"?*"),23),2,FALSE)&lt;&gt;0,YEAR(VLOOKUP(A12,OFFSET($AG$2,,,COUNTIF($AG$2:$AG$50,"?*"),23),2,FALSE)),""),"")</f>
        <v>1989</v>
      </c>
      <c r="C13" s="429"/>
      <c r="D13" s="117">
        <f ca="1">IFERROR(VLOOKUP(A12,OFFSET($AG$2,,,COUNTIF($AG$2:$AG$50,"?*"),23),15,FALSE),"")</f>
        <v>32</v>
      </c>
      <c r="E13" s="419" t="str">
        <f ca="1">IFERROR(VLOOKUP(A12,OFFSET($AG$2,,,COUNTIF($AG$2:$AG$50,"?*"),23),16,FALSE),"")</f>
        <v>185/86</v>
      </c>
      <c r="F13" s="420"/>
      <c r="M13" s="4" t="str">
        <f ca="1">IFERROR(IF(VLOOKUP(M12,OFFSET($AG$2,,,COUNTIF($AG$2:$AG$50,"?*"),23),10,FALSE)&lt;&gt;0,VLOOKUP(M12,OFFSET($AG$2,,,COUNTIF($AG$2:$AG$50,"?*"),23),10,FALSE),""),"")</f>
        <v>L</v>
      </c>
      <c r="N13" s="428">
        <f ca="1">IFERROR(IF(VLOOKUP(M12,OFFSET($AG$2,,,COUNTIF($AG$2:$AG$50,"?*"),23),2,FALSE)&lt;&gt;0,YEAR(VLOOKUP(M12,OFFSET($AG$2,,,COUNTIF($AG$2:$AG$50,"?*"),23),2,FALSE)),""),"")</f>
        <v>1990</v>
      </c>
      <c r="O13" s="429"/>
      <c r="P13" s="117">
        <f ca="1">IFERROR(VLOOKUP(M12,OFFSET($AG$2,,,COUNTIF($AG$2:$AG$50,"?*"),23),15,FALSE),"")</f>
        <v>31</v>
      </c>
      <c r="Q13" s="419" t="str">
        <f ca="1">IFERROR(VLOOKUP(M12,OFFSET($AG$2,,,COUNTIF($AG$2:$AG$50,"?*"),23),16,FALSE),"")</f>
        <v>183/76</v>
      </c>
      <c r="R13" s="420"/>
      <c r="S13" s="110" t="s">
        <v>368</v>
      </c>
      <c r="U13" s="102">
        <v>16</v>
      </c>
      <c r="V13" s="102">
        <v>4</v>
      </c>
      <c r="W13" s="102">
        <v>0</v>
      </c>
      <c r="X13" s="102">
        <v>0</v>
      </c>
      <c r="Y13" s="102">
        <v>3</v>
      </c>
      <c r="Z13" s="102">
        <v>7</v>
      </c>
      <c r="AA13" s="102">
        <v>0</v>
      </c>
      <c r="AB13" s="102">
        <v>23</v>
      </c>
      <c r="AC13" s="102" t="str">
        <f t="shared" ca="1" si="0"/>
        <v>ANO</v>
      </c>
      <c r="AG13" s="121" t="s">
        <v>364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136</v>
      </c>
      <c r="AQ13" s="123">
        <v>185</v>
      </c>
      <c r="AR13" s="123">
        <v>77</v>
      </c>
      <c r="AS13" s="126" t="s">
        <v>140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13 OZ, 10 (5+5), +9 ±</v>
      </c>
      <c r="AY13" s="129" t="str">
        <f t="shared" ca="1" si="2"/>
        <v>104 OZ, 73 (41+32)</v>
      </c>
      <c r="AZ13" s="130"/>
      <c r="BA13" s="130"/>
      <c r="BB13" s="130"/>
      <c r="BC13" s="130"/>
      <c r="BD13" s="89" t="str">
        <f t="shared" si="7"/>
        <v>Koláčný</v>
      </c>
      <c r="BE13" s="91">
        <f t="shared" ca="1" si="3"/>
        <v>1</v>
      </c>
      <c r="BF13" s="90" t="str">
        <f t="shared" si="8"/>
        <v>P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4"/>
      <c r="BT13" s="104" t="s">
        <v>825</v>
      </c>
      <c r="BU13" s="103">
        <v>13</v>
      </c>
      <c r="BV13" s="104" t="str">
        <f t="shared" si="14"/>
        <v>Matěj Pěnička</v>
      </c>
      <c r="BW13" s="102">
        <f t="shared" si="15"/>
        <v>13</v>
      </c>
    </row>
    <row r="14" spans="1:79" ht="15" customHeight="1" thickTop="1" thickBot="1" x14ac:dyDescent="0.25">
      <c r="A14" s="421" t="str">
        <f ca="1">IFERROR(VLOOKUP(A12,OFFSET($AG$2,,,COUNTIF($AG$2:$AG$50,"?*"),23),18,FALSE),"")</f>
        <v>14 OZ, 17 (9+8), +20 ±</v>
      </c>
      <c r="B14" s="422"/>
      <c r="C14" s="422"/>
      <c r="D14" s="423" t="str">
        <f ca="1">IFERROR(VLOOKUP(A12,OFFSET($AG$2,,,COUNTIF($AG$2:$AG$50,"?*"),23),19,FALSE),"")</f>
        <v>155 OZ, 205 (110+95)</v>
      </c>
      <c r="E14" s="423"/>
      <c r="F14" s="424"/>
      <c r="G14" s="425" t="s">
        <v>358</v>
      </c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21" t="str">
        <f ca="1">IFERROR(VLOOKUP(M12,OFFSET($AG$2,,,COUNTIF($AG$2:$AG$50,"?*"),23),18,FALSE),"")</f>
        <v>16 OZ, 20 (12+8), +25 ±</v>
      </c>
      <c r="N14" s="422"/>
      <c r="O14" s="422"/>
      <c r="P14" s="423" t="str">
        <f ca="1">IFERROR(VLOOKUP(M12,OFFSET($AG$2,,,COUNTIF($AG$2:$AG$50,"?*"),23),19,FALSE),"")</f>
        <v>249 OZ, 315 (195+120)</v>
      </c>
      <c r="Q14" s="423"/>
      <c r="R14" s="424"/>
      <c r="S14" s="110" t="s">
        <v>367</v>
      </c>
      <c r="U14" s="102">
        <v>16</v>
      </c>
      <c r="V14" s="102">
        <v>1</v>
      </c>
      <c r="W14" s="102">
        <v>0</v>
      </c>
      <c r="X14" s="102">
        <v>0</v>
      </c>
      <c r="Y14" s="102">
        <v>6</v>
      </c>
      <c r="Z14" s="102">
        <v>7</v>
      </c>
      <c r="AA14" s="102">
        <v>0</v>
      </c>
      <c r="AB14" s="102">
        <v>8</v>
      </c>
      <c r="AC14" s="102" t="str">
        <f t="shared" ca="1" si="0"/>
        <v>ANO</v>
      </c>
      <c r="AG14" s="121" t="s">
        <v>369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136</v>
      </c>
      <c r="AQ14" s="123">
        <v>187</v>
      </c>
      <c r="AR14" s="123">
        <v>71</v>
      </c>
      <c r="AS14" s="126" t="s">
        <v>384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14 OZ, 6 (5+1), +3 ±</v>
      </c>
      <c r="AY14" s="129" t="str">
        <f t="shared" ca="1" si="2"/>
        <v>44 OZ, 20 (13+7)</v>
      </c>
      <c r="AZ14" s="130"/>
      <c r="BA14" s="130"/>
      <c r="BB14" s="130"/>
      <c r="BC14" s="130"/>
      <c r="BD14" s="3" t="str">
        <f t="shared" si="7"/>
        <v>Korych</v>
      </c>
      <c r="BE14" s="84">
        <f t="shared" ca="1" si="3"/>
        <v>1</v>
      </c>
      <c r="BF14" s="62" t="str">
        <f t="shared" si="8"/>
        <v>M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4"/>
      <c r="BT14" s="104" t="s">
        <v>993</v>
      </c>
      <c r="BU14" s="103">
        <v>12</v>
      </c>
      <c r="BV14" s="104" t="str">
        <f t="shared" si="14"/>
        <v>Jiří Curney</v>
      </c>
      <c r="BW14" s="102">
        <f t="shared" si="15"/>
        <v>12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>Faraos Praha</v>
      </c>
      <c r="B15" s="431"/>
      <c r="C15" s="432"/>
      <c r="D15" s="433">
        <f ca="1">IFERROR(IF(VLOOKUP(A12,OFFSET($AG$2,,,COUNTIF($AG$2:$AG$50,"?*"),23),14,FALSE)&lt;&gt;0,VLOOKUP(A12,OFFSET($AG$2,,,COUNTIF($AG$2:$AG$50,"?*"),23),14,FALSE),"?"),"")</f>
        <v>1999</v>
      </c>
      <c r="E15" s="434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8">
        <f ca="1">IFERROR(IF(VLOOKUP(G14,OFFSET($AG$2,,,COUNTIF($AG$2:$AG$50,"?*"),23),2,FALSE)&lt;&gt;0,YEAR(VLOOKUP(G14,OFFSET($AG$2,,,COUNTIF($AG$2:$AG$50,"?*"),23),2,FALSE)),""),"")</f>
        <v>2001</v>
      </c>
      <c r="I15" s="429"/>
      <c r="J15" s="117">
        <f ca="1">IFERROR(VLOOKUP(G14,OFFSET($AG$2,,,COUNTIF($AG$2:$AG$50,"?*"),23),15,FALSE),"")</f>
        <v>20</v>
      </c>
      <c r="K15" s="419" t="str">
        <f ca="1">IFERROR(VLOOKUP(G14,OFFSET($AG$2,,,COUNTIF($AG$2:$AG$50,"?*"),23),16,FALSE),"")</f>
        <v>185/75</v>
      </c>
      <c r="L15" s="420"/>
      <c r="M15" s="430" t="str">
        <f ca="1">IFERROR(IF(VLOOKUP(M12,OFFSET($AG$2,,,COUNTIF($AG$2:$AG$50,"?*"),23),13,FALSE)&lt;&gt;0,VLOOKUP(M12,OFFSET($AG$2,,,COUNTIF($AG$2:$AG$50,"?*"),23),13,FALSE),"?"),"")</f>
        <v>FBC Sok. Poruba Škorpioni</v>
      </c>
      <c r="N15" s="431"/>
      <c r="O15" s="432"/>
      <c r="P15" s="433">
        <f ca="1">IFERROR(IF(VLOOKUP(M12,OFFSET($AG$2,,,COUNTIF($AG$2:$AG$50,"?*"),23),14,FALSE)&lt;&gt;0,VLOOKUP(M12,OFFSET($AG$2,,,COUNTIF($AG$2:$AG$50,"?*"),23),14,FALSE),"?"),"")</f>
        <v>1998</v>
      </c>
      <c r="Q15" s="434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369</v>
      </c>
      <c r="T15" s="102" t="s">
        <v>106</v>
      </c>
      <c r="U15" s="102">
        <v>14</v>
      </c>
      <c r="V15" s="102">
        <v>5</v>
      </c>
      <c r="W15" s="102">
        <v>0</v>
      </c>
      <c r="X15" s="102">
        <v>0</v>
      </c>
      <c r="Y15" s="102">
        <v>1</v>
      </c>
      <c r="Z15" s="102">
        <v>6</v>
      </c>
      <c r="AA15" s="102">
        <v>0</v>
      </c>
      <c r="AB15" s="102">
        <v>3</v>
      </c>
      <c r="AC15" s="102" t="str">
        <f t="shared" ca="1" si="0"/>
        <v>ANO</v>
      </c>
      <c r="AG15" s="121" t="s">
        <v>374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136</v>
      </c>
      <c r="AQ15" s="123">
        <v>174</v>
      </c>
      <c r="AR15" s="123">
        <v>64</v>
      </c>
      <c r="AS15" s="126" t="s">
        <v>75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7"/>
        <v>Kučera</v>
      </c>
      <c r="BE15" s="91">
        <f t="shared" ca="1" si="3"/>
        <v>1</v>
      </c>
      <c r="BF15" s="90" t="str">
        <f t="shared" si="8"/>
        <v>F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4"/>
      <c r="BT15" s="104" t="s">
        <v>778</v>
      </c>
      <c r="BU15" s="103">
        <v>12</v>
      </c>
      <c r="BV15" s="104" t="str">
        <f t="shared" si="14"/>
        <v>Martin Tokoš</v>
      </c>
      <c r="BW15" s="102">
        <f t="shared" si="15"/>
        <v>12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>16 OZ, 18 (6+12), +25 ±</v>
      </c>
      <c r="H16" s="422"/>
      <c r="I16" s="422"/>
      <c r="J16" s="423" t="str">
        <f ca="1">IFERROR(VLOOKUP(G14,OFFSET($AG$2,,,COUNTIF($AG$2:$AG$50,"?*"),23),19,FALSE),"")</f>
        <v>37 OZ, 40 (22+18)</v>
      </c>
      <c r="K16" s="423"/>
      <c r="L16" s="424"/>
      <c r="S16" s="110" t="s">
        <v>356</v>
      </c>
      <c r="T16" s="102" t="s">
        <v>106</v>
      </c>
      <c r="U16" s="102">
        <v>9</v>
      </c>
      <c r="V16" s="102">
        <v>4</v>
      </c>
      <c r="W16" s="102">
        <v>2</v>
      </c>
      <c r="X16" s="102">
        <v>0</v>
      </c>
      <c r="Y16" s="102">
        <v>2</v>
      </c>
      <c r="Z16" s="102">
        <v>6</v>
      </c>
      <c r="AA16" s="102">
        <v>0</v>
      </c>
      <c r="AB16" s="102">
        <v>8</v>
      </c>
      <c r="AC16" s="102" t="str">
        <f t="shared" ca="1" si="0"/>
        <v>ANO</v>
      </c>
      <c r="AG16" s="121" t="s">
        <v>375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385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7"/>
        <v>Macík</v>
      </c>
      <c r="BE16" s="84">
        <f t="shared" ca="1" si="3"/>
        <v>1</v>
      </c>
      <c r="BF16" s="62" t="str">
        <f t="shared" si="8"/>
        <v>M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4"/>
      <c r="BT16" s="104" t="s">
        <v>1088</v>
      </c>
      <c r="BU16" s="103">
        <v>9</v>
      </c>
      <c r="BV16" s="104" t="str">
        <f t="shared" si="14"/>
        <v>Daniel Šebek</v>
      </c>
      <c r="BW16" s="102">
        <f t="shared" si="15"/>
        <v>9</v>
      </c>
    </row>
    <row r="17" spans="1:75" ht="15" customHeight="1" thickTop="1" thickBot="1" x14ac:dyDescent="0.25">
      <c r="A17" s="425" t="s">
        <v>363</v>
      </c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30" t="str">
        <f ca="1">IFERROR(IF(VLOOKUP(G14,OFFSET($AG$2,,,COUNTIF($AG$2:$AG$50,"?*"),23),13,FALSE)&lt;&gt;0,VLOOKUP(G14,OFFSET($AG$2,,,COUNTIF($AG$2:$AG$50,"?*"),23),13,FALSE),"?"),"")</f>
        <v>Florbal Ústí</v>
      </c>
      <c r="H17" s="431"/>
      <c r="I17" s="432"/>
      <c r="J17" s="433">
        <f ca="1">IFERROR(IF(VLOOKUP(G14,OFFSET($AG$2,,,COUNTIF($AG$2:$AG$50,"?*"),23),14,FALSE)&lt;&gt;0,VLOOKUP(G14,OFFSET($AG$2,,,COUNTIF($AG$2:$AG$50,"?*"),23),14,FALSE),"?"),"")</f>
        <v>2010</v>
      </c>
      <c r="K17" s="434"/>
      <c r="L17" s="7">
        <f ca="1">IFERROR(IF(VLOOKUP(G14,OFFSET($AG$2,,,COUNTIF($AG$2:$AG$50,"?*"),23),7,FALSE)&lt;&gt;0,VLOOKUP(G14,OFFSET($AG$2,,,COUNTIF($AG$2:$AG$50,"?*"),23),7,FALSE),"?"),"")</f>
        <v>2</v>
      </c>
      <c r="M17" s="425" t="s">
        <v>368</v>
      </c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370</v>
      </c>
      <c r="U17" s="102">
        <v>16</v>
      </c>
      <c r="V17" s="102">
        <v>4</v>
      </c>
      <c r="W17" s="102">
        <v>1</v>
      </c>
      <c r="X17" s="102">
        <v>0</v>
      </c>
      <c r="Y17" s="102">
        <v>2</v>
      </c>
      <c r="Z17" s="102">
        <v>6</v>
      </c>
      <c r="AA17" s="102">
        <v>6</v>
      </c>
      <c r="AB17" s="102">
        <v>9</v>
      </c>
      <c r="AC17" s="102" t="str">
        <f t="shared" ca="1" si="0"/>
        <v>ANO</v>
      </c>
      <c r="AG17" s="121" t="s">
        <v>356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149</v>
      </c>
      <c r="AP17" s="125" t="s">
        <v>26</v>
      </c>
      <c r="AQ17" s="123">
        <v>181</v>
      </c>
      <c r="AR17" s="123">
        <v>76</v>
      </c>
      <c r="AS17" s="126" t="s">
        <v>386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9 OZ, 6 (4+2), +8 ±</v>
      </c>
      <c r="AY17" s="129" t="str">
        <f t="shared" ca="1" si="2"/>
        <v>282 OZ, 462 (279+183)</v>
      </c>
      <c r="AZ17" s="130"/>
      <c r="BA17" s="130"/>
      <c r="BB17" s="130"/>
      <c r="BC17" s="130"/>
      <c r="BD17" s="89" t="str">
        <f t="shared" si="7"/>
        <v>Natov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4" t="s">
        <v>40</v>
      </c>
      <c r="BT17" s="104" t="s">
        <v>401</v>
      </c>
      <c r="BU17" s="103">
        <v>13</v>
      </c>
      <c r="BV17" s="104" t="str">
        <f t="shared" si="14"/>
        <v>Lukáš Bauer</v>
      </c>
      <c r="BW17" s="102">
        <f t="shared" si="15"/>
        <v>13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8">
        <f ca="1">IFERROR(IF(VLOOKUP(A17,OFFSET($AG$2,,,COUNTIF($AG$2:$AG$50,"?*"),23),2,FALSE)&lt;&gt;0,YEAR(VLOOKUP(A17,OFFSET($AG$2,,,COUNTIF($AG$2:$AG$50,"?*"),23),2,FALSE)),""),"")</f>
        <v>1990</v>
      </c>
      <c r="C18" s="429"/>
      <c r="D18" s="149">
        <f ca="1">IFERROR(VLOOKUP(A17,OFFSET($AG$2,,,COUNTIF($AG$2:$AG$50,"?*"),23),15,FALSE),"")</f>
        <v>31</v>
      </c>
      <c r="E18" s="419" t="str">
        <f ca="1">IFERROR(VLOOKUP(A17,OFFSET($AG$2,,,COUNTIF($AG$2:$AG$50,"?*"),23),16,FALSE),"")</f>
        <v>170/69</v>
      </c>
      <c r="F18" s="420"/>
      <c r="M18" s="4" t="str">
        <f ca="1">IFERROR(IF(VLOOKUP(M17,OFFSET($AG$2,,,COUNTIF($AG$2:$AG$50,"?*"),23),10,FALSE)&lt;&gt;0,VLOOKUP(M17,OFFSET($AG$2,,,COUNTIF($AG$2:$AG$50,"?*"),23),10,FALSE),""),"")</f>
        <v>L</v>
      </c>
      <c r="N18" s="428">
        <f ca="1">IFERROR(IF(VLOOKUP(M17,OFFSET($AG$2,,,COUNTIF($AG$2:$AG$50,"?*"),23),2,FALSE)&lt;&gt;0,YEAR(VLOOKUP(M17,OFFSET($AG$2,,,COUNTIF($AG$2:$AG$50,"?*"),23),2,FALSE)),""),"")</f>
        <v>1999</v>
      </c>
      <c r="O18" s="429"/>
      <c r="P18" s="117">
        <f ca="1">IFERROR(VLOOKUP(M17,OFFSET($AG$2,,,COUNTIF($AG$2:$AG$50,"?*"),23),15,FALSE),"")</f>
        <v>22</v>
      </c>
      <c r="Q18" s="419" t="str">
        <f ca="1">IFERROR(VLOOKUP(M17,OFFSET($AG$2,,,COUNTIF($AG$2:$AG$50,"?*"),23),16,FALSE),"")</f>
        <v>186/78</v>
      </c>
      <c r="R18" s="420"/>
      <c r="S18" s="110" t="s">
        <v>357</v>
      </c>
      <c r="T18" s="102" t="s">
        <v>57</v>
      </c>
      <c r="U18" s="102">
        <v>16</v>
      </c>
      <c r="V18" s="102">
        <v>0</v>
      </c>
      <c r="W18" s="102">
        <v>0</v>
      </c>
      <c r="X18" s="102">
        <v>0</v>
      </c>
      <c r="Y18" s="102">
        <v>6</v>
      </c>
      <c r="Z18" s="102">
        <v>6</v>
      </c>
      <c r="AA18" s="102">
        <v>0</v>
      </c>
      <c r="AB18" s="102">
        <v>9</v>
      </c>
      <c r="AC18" s="102" t="str">
        <f t="shared" ca="1" si="0"/>
        <v>ANO</v>
      </c>
      <c r="AG18" s="121" t="s">
        <v>209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26</v>
      </c>
      <c r="AQ18" s="123">
        <v>179</v>
      </c>
      <c r="AR18" s="123">
        <v>66</v>
      </c>
      <c r="AS18" s="126" t="s">
        <v>384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7"/>
        <v>Pařízek</v>
      </c>
      <c r="BE18" s="84">
        <f t="shared" ca="1" si="3"/>
        <v>1</v>
      </c>
      <c r="BF18" s="62" t="str">
        <f t="shared" si="8"/>
        <v>J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4"/>
      <c r="BT18" s="104" t="s">
        <v>402</v>
      </c>
      <c r="BU18" s="103">
        <v>1</v>
      </c>
      <c r="BV18" s="104" t="str">
        <f t="shared" si="14"/>
        <v>Ondřej Tomšík</v>
      </c>
      <c r="BW18" s="102">
        <f t="shared" si="15"/>
        <v>1</v>
      </c>
    </row>
    <row r="19" spans="1:75" ht="15" customHeight="1" x14ac:dyDescent="0.2">
      <c r="A19" s="421" t="str">
        <f ca="1">IFERROR(VLOOKUP(A17,OFFSET($AG$2,,,COUNTIF($AG$2:$AG$50,"?*"),23),18,FALSE),"")</f>
        <v>16 OZ, 18 (6+12), +22 ±</v>
      </c>
      <c r="B19" s="422"/>
      <c r="C19" s="422"/>
      <c r="D19" s="423" t="str">
        <f ca="1">IFERROR(VLOOKUP(A17,OFFSET($AG$2,,,COUNTIF($AG$2:$AG$50,"?*"),23),19,FALSE),"")</f>
        <v>199 OZ, 201 (93+108)</v>
      </c>
      <c r="E19" s="423"/>
      <c r="F19" s="424"/>
      <c r="H19" s="435" t="str">
        <f>H$8</f>
        <v>MB</v>
      </c>
      <c r="I19" s="435"/>
      <c r="J19" s="435"/>
      <c r="K19" s="435"/>
      <c r="M19" s="421" t="str">
        <f ca="1">IFERROR(VLOOKUP(M17,OFFSET($AG$2,,,COUNTIF($AG$2:$AG$50,"?*"),23),18,FALSE),"")</f>
        <v>16 OZ, 7 (4+3), +23 ±</v>
      </c>
      <c r="N19" s="422"/>
      <c r="O19" s="422"/>
      <c r="P19" s="423" t="str">
        <f ca="1">IFERROR(VLOOKUP(M17,OFFSET($AG$2,,,COUNTIF($AG$2:$AG$50,"?*"),23),19,FALSE),"")</f>
        <v>138 OZ, 50 (22+28)</v>
      </c>
      <c r="Q19" s="423"/>
      <c r="R19" s="424"/>
      <c r="S19" s="110" t="s">
        <v>360</v>
      </c>
      <c r="T19" s="102" t="s">
        <v>106</v>
      </c>
      <c r="U19" s="102">
        <v>12</v>
      </c>
      <c r="V19" s="102">
        <v>1</v>
      </c>
      <c r="W19" s="102">
        <v>0</v>
      </c>
      <c r="X19" s="102">
        <v>0</v>
      </c>
      <c r="Y19" s="102">
        <v>1</v>
      </c>
      <c r="Z19" s="102">
        <v>2</v>
      </c>
      <c r="AA19" s="102">
        <v>2</v>
      </c>
      <c r="AB19" s="102">
        <v>4</v>
      </c>
      <c r="AC19" s="102" t="str">
        <f t="shared" ca="1" si="0"/>
        <v>ANO</v>
      </c>
      <c r="AG19" s="121" t="s">
        <v>354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26</v>
      </c>
      <c r="AQ19" s="123">
        <v>168</v>
      </c>
      <c r="AR19" s="123">
        <v>75</v>
      </c>
      <c r="AS19" s="126" t="s">
        <v>383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16 OZ, 17 (13+4), +10 ±</v>
      </c>
      <c r="AY19" s="129" t="str">
        <f t="shared" ca="1" si="2"/>
        <v>49 OZ, 63 (44+19)</v>
      </c>
      <c r="AZ19" s="130"/>
      <c r="BA19" s="130"/>
      <c r="BB19" s="130"/>
      <c r="BC19" s="130"/>
      <c r="BD19" s="89" t="str">
        <f t="shared" si="7"/>
        <v>Pěnička</v>
      </c>
      <c r="BE19" s="91">
        <f t="shared" ca="1" si="3"/>
        <v>1</v>
      </c>
      <c r="BF19" s="90" t="str">
        <f t="shared" si="8"/>
        <v>M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4"/>
      <c r="BT19" s="104" t="s">
        <v>1092</v>
      </c>
      <c r="BU19" s="103">
        <v>0</v>
      </c>
      <c r="BV19" s="104" t="str">
        <f t="shared" si="14"/>
        <v>Dominik Hanuš</v>
      </c>
      <c r="BW19" s="102">
        <f t="shared" si="15"/>
        <v>0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>1. SC Vítkovice</v>
      </c>
      <c r="B20" s="431"/>
      <c r="C20" s="432"/>
      <c r="D20" s="433">
        <f ca="1">IFERROR(IF(VLOOKUP(A17,OFFSET($AG$2,,,COUNTIF($AG$2:$AG$50,"?*"),23),14,FALSE)&lt;&gt;0,VLOOKUP(A17,OFFSET($AG$2,,,COUNTIF($AG$2:$AG$50,"?*"),23),14,FALSE),"?"),"")</f>
        <v>2001</v>
      </c>
      <c r="E20" s="434"/>
      <c r="F20" s="7">
        <f ca="1">IFERROR(IF(VLOOKUP(A17,OFFSET($AG$2,,,COUNTIF($AG$2:$AG$50,"?*"),23),7,FALSE)&lt;&gt;0,VLOOKUP(A17,OFFSET($AG$2,,,COUNTIF($AG$2:$AG$50,"?*"),23),7,FALSE),"?"),"")</f>
        <v>10</v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>Mladá Boleslav</v>
      </c>
      <c r="N20" s="431"/>
      <c r="O20" s="432"/>
      <c r="P20" s="433">
        <f ca="1">IFERROR(IF(VLOOKUP(M17,OFFSET($AG$2,,,COUNTIF($AG$2:$AG$50,"?*"),23),14,FALSE)&lt;&gt;0,VLOOKUP(M17,OFFSET($AG$2,,,COUNTIF($AG$2:$AG$50,"?*"),23),14,FALSE),"?"),"")</f>
        <v>2009</v>
      </c>
      <c r="Q20" s="434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366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2</v>
      </c>
      <c r="Z20" s="102">
        <v>2</v>
      </c>
      <c r="AA20" s="102">
        <v>0</v>
      </c>
      <c r="AB20" s="102">
        <v>0</v>
      </c>
      <c r="AC20" s="102" t="str">
        <f t="shared" ca="1" si="0"/>
        <v>ANO</v>
      </c>
      <c r="AG20" s="121" t="s">
        <v>367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136</v>
      </c>
      <c r="AQ20" s="123">
        <v>187</v>
      </c>
      <c r="AR20" s="123">
        <v>73</v>
      </c>
      <c r="AS20" s="126" t="s">
        <v>140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16 OZ, 7 (1+6), +8 ±</v>
      </c>
      <c r="AY20" s="129" t="str">
        <f t="shared" ca="1" si="2"/>
        <v>31 OZ, 14 (5+9)</v>
      </c>
      <c r="AZ20" s="130"/>
      <c r="BA20" s="130"/>
      <c r="BB20" s="130"/>
      <c r="BC20" s="130"/>
      <c r="BD20" s="3" t="str">
        <f t="shared" si="7"/>
        <v>Punčochář</v>
      </c>
      <c r="BE20" s="84">
        <f t="shared" ca="1" si="3"/>
        <v>1</v>
      </c>
      <c r="BF20" s="62" t="str">
        <f t="shared" si="8"/>
        <v>L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4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1087</v>
      </c>
      <c r="T21" s="102" t="s">
        <v>104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363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26</v>
      </c>
      <c r="AQ21" s="123">
        <v>170</v>
      </c>
      <c r="AR21" s="123">
        <v>69</v>
      </c>
      <c r="AS21" s="126" t="s">
        <v>328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16 OZ, 18 (6+12), +22 ±</v>
      </c>
      <c r="AY21" s="129" t="str">
        <f t="shared" ca="1" si="2"/>
        <v>199 OZ, 201 (93+108)</v>
      </c>
      <c r="AZ21" s="130"/>
      <c r="BA21" s="130"/>
      <c r="BB21" s="130"/>
      <c r="BC21" s="130"/>
      <c r="BD21" s="89" t="str">
        <f t="shared" si="7"/>
        <v>Suchánek</v>
      </c>
      <c r="BE21" s="91">
        <f t="shared" ca="1" si="3"/>
        <v>1</v>
      </c>
      <c r="BF21" s="90" t="str">
        <f t="shared" si="8"/>
        <v>P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4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777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ANO</v>
      </c>
      <c r="AG22" s="121" t="s">
        <v>365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26</v>
      </c>
      <c r="AQ22" s="123">
        <v>185</v>
      </c>
      <c r="AR22" s="123">
        <v>86</v>
      </c>
      <c r="AS22" s="126" t="s">
        <v>287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14 OZ, 17 (9+8), +20 ±</v>
      </c>
      <c r="AY22" s="129" t="str">
        <f t="shared" ca="1" si="2"/>
        <v>155 OZ, 205 (110+95)</v>
      </c>
      <c r="AZ22" s="130"/>
      <c r="BA22" s="130"/>
      <c r="BB22" s="130"/>
      <c r="BC22" s="130"/>
      <c r="BD22" s="3" t="str">
        <f t="shared" si="7"/>
        <v>Šebek</v>
      </c>
      <c r="BE22" s="84">
        <f t="shared" ca="1" si="3"/>
        <v>1</v>
      </c>
      <c r="BF22" s="62" t="str">
        <f t="shared" si="8"/>
        <v>D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4" t="s">
        <v>37</v>
      </c>
      <c r="BT22" s="104" t="s">
        <v>824</v>
      </c>
      <c r="BU22" s="103">
        <v>14</v>
      </c>
      <c r="BV22" s="104" t="str">
        <f t="shared" si="14"/>
        <v>Jiří Curney</v>
      </c>
      <c r="BW22" s="102">
        <f t="shared" si="15"/>
        <v>14</v>
      </c>
    </row>
    <row r="23" spans="1:75" ht="15" customHeight="1" thickTop="1" thickBot="1" x14ac:dyDescent="0.25">
      <c r="A23" s="425" t="s">
        <v>354</v>
      </c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27" t="s">
        <v>12</v>
      </c>
      <c r="I23" s="427"/>
      <c r="J23" s="427"/>
      <c r="K23" s="427"/>
      <c r="M23" s="425" t="s">
        <v>369</v>
      </c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371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355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136</v>
      </c>
      <c r="AQ23" s="123">
        <v>183</v>
      </c>
      <c r="AR23" s="123">
        <v>76</v>
      </c>
      <c r="AS23" s="126" t="s">
        <v>389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16 OZ, 20 (12+8), +25 ±</v>
      </c>
      <c r="AY23" s="129" t="str">
        <f t="shared" ca="1" si="2"/>
        <v>249 OZ, 315 (195+120)</v>
      </c>
      <c r="AZ23" s="130"/>
      <c r="BA23" s="130"/>
      <c r="BB23" s="130"/>
      <c r="BC23" s="130"/>
      <c r="BD23" s="89" t="str">
        <f t="shared" si="7"/>
        <v>Tokoš</v>
      </c>
      <c r="BE23" s="91">
        <f t="shared" ca="1" si="3"/>
        <v>1</v>
      </c>
      <c r="BF23" s="90" t="str">
        <f t="shared" si="8"/>
        <v>M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4"/>
      <c r="BT23" s="104" t="s">
        <v>1093</v>
      </c>
      <c r="BU23" s="103">
        <v>12</v>
      </c>
      <c r="BV23" s="104" t="str">
        <f t="shared" si="14"/>
        <v>Dominik Beneš</v>
      </c>
      <c r="BW23" s="102">
        <f t="shared" si="15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8">
        <f ca="1">IFERROR(IF(VLOOKUP(A23,OFFSET($AG$2,,,COUNTIF($AG$2:$AG$50,"?*"),23),2,FALSE)&lt;&gt;0,YEAR(VLOOKUP(A23,OFFSET($AG$2,,,COUNTIF($AG$2:$AG$50,"?*"),23),2,FALSE)),""),"")</f>
        <v>2002</v>
      </c>
      <c r="C24" s="429"/>
      <c r="D24" s="117">
        <f ca="1">IFERROR(VLOOKUP(A23,OFFSET($AG$2,,,COUNTIF($AG$2:$AG$50,"?*"),23),15,FALSE),"")</f>
        <v>19</v>
      </c>
      <c r="E24" s="419" t="str">
        <f ca="1">IFERROR(VLOOKUP(A23,OFFSET($AG$2,,,COUNTIF($AG$2:$AG$50,"?*"),23),16,FALSE),"")</f>
        <v>168/75</v>
      </c>
      <c r="F24" s="420"/>
      <c r="M24" s="4" t="str">
        <f ca="1">IFERROR(IF(VLOOKUP(M23,OFFSET($AG$2,,,COUNTIF($AG$2:$AG$50,"?*"),23),10,FALSE)&lt;&gt;0,VLOOKUP(M23,OFFSET($AG$2,,,COUNTIF($AG$2:$AG$50,"?*"),23),10,FALSE),""),"")</f>
        <v>L</v>
      </c>
      <c r="N24" s="428">
        <f ca="1">IFERROR(IF(VLOOKUP(M23,OFFSET($AG$2,,,COUNTIF($AG$2:$AG$50,"?*"),23),2,FALSE)&lt;&gt;0,YEAR(VLOOKUP(M23,OFFSET($AG$2,,,COUNTIF($AG$2:$AG$50,"?*"),23),2,FALSE)),""),"")</f>
        <v>2002</v>
      </c>
      <c r="O24" s="429"/>
      <c r="P24" s="117">
        <f ca="1">IFERROR(VLOOKUP(M23,OFFSET($AG$2,,,COUNTIF($AG$2:$AG$50,"?*"),23),15,FALSE),"")</f>
        <v>19</v>
      </c>
      <c r="Q24" s="419" t="str">
        <f ca="1">IFERROR(VLOOKUP(M23,OFFSET($AG$2,,,COUNTIF($AG$2:$AG$50,"?*"),23),16,FALSE),"")</f>
        <v>187/71</v>
      </c>
      <c r="R24" s="420"/>
      <c r="S24" s="111"/>
      <c r="AC24" s="102" t="str">
        <f t="shared" ca="1" si="0"/>
        <v/>
      </c>
      <c r="AG24" s="121" t="s">
        <v>362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136</v>
      </c>
      <c r="AQ24" s="123">
        <v>181</v>
      </c>
      <c r="AR24" s="123">
        <v>85</v>
      </c>
      <c r="AS24" s="126" t="s">
        <v>389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14 OZ, 17 (8+9), +20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232 OZ, 375 (192+183)</v>
      </c>
      <c r="AZ24" s="130"/>
      <c r="BA24" s="130"/>
      <c r="BB24" s="130"/>
      <c r="BC24" s="130"/>
      <c r="BD24" s="3" t="str">
        <f t="shared" si="7"/>
        <v>Tomašík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4"/>
      <c r="BT24" s="104" t="s">
        <v>1094</v>
      </c>
      <c r="BU24" s="103">
        <v>12</v>
      </c>
      <c r="BV24" s="104" t="str">
        <f t="shared" si="14"/>
        <v>Patrik Suchánek</v>
      </c>
      <c r="BW24" s="102">
        <f t="shared" si="15"/>
        <v>12</v>
      </c>
    </row>
    <row r="25" spans="1:75" ht="15" customHeight="1" thickTop="1" thickBot="1" x14ac:dyDescent="0.25">
      <c r="A25" s="421" t="str">
        <f ca="1">IFERROR(VLOOKUP(A23,OFFSET($AG$2,,,COUNTIF($AG$2:$AG$50,"?*"),23),18,FALSE),"")</f>
        <v>16 OZ, 17 (13+4), +10 ±</v>
      </c>
      <c r="B25" s="422"/>
      <c r="C25" s="422"/>
      <c r="D25" s="423" t="str">
        <f ca="1">IFERROR(VLOOKUP(A23,OFFSET($AG$2,,,COUNTIF($AG$2:$AG$50,"?*"),23),19,FALSE),"")</f>
        <v>49 OZ, 63 (44+19)</v>
      </c>
      <c r="E25" s="423"/>
      <c r="F25" s="424"/>
      <c r="G25" s="425" t="s">
        <v>367</v>
      </c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21" t="str">
        <f ca="1">IFERROR(VLOOKUP(M23,OFFSET($AG$2,,,COUNTIF($AG$2:$AG$50,"?*"),23),18,FALSE),"")</f>
        <v>14 OZ, 6 (5+1), +3 ±</v>
      </c>
      <c r="N25" s="422"/>
      <c r="O25" s="422"/>
      <c r="P25" s="423" t="str">
        <f ca="1">IFERROR(VLOOKUP(M23,OFFSET($AG$2,,,COUNTIF($AG$2:$AG$50,"?*"),23),19,FALSE),"")</f>
        <v>44 OZ, 20 (13+7)</v>
      </c>
      <c r="Q25" s="423"/>
      <c r="R25" s="424"/>
      <c r="S25" s="111"/>
      <c r="AC25" s="102" t="str">
        <f t="shared" ca="1" si="0"/>
        <v/>
      </c>
      <c r="AG25" s="121" t="s">
        <v>371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220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6"/>
        <v>1 V, 0 P</v>
      </c>
      <c r="AY25" s="129" t="str">
        <f t="shared" ca="1" si="17"/>
        <v>2 OZ, 0 A</v>
      </c>
      <c r="AZ25" s="130"/>
      <c r="BA25" s="130"/>
      <c r="BB25" s="130"/>
      <c r="BC25" s="130"/>
      <c r="BD25" s="89" t="str">
        <f t="shared" si="7"/>
        <v>Tomšík</v>
      </c>
      <c r="BE25" s="91">
        <f t="shared" ca="1" si="3"/>
        <v>1</v>
      </c>
      <c r="BF25" s="90" t="str">
        <f t="shared" si="8"/>
        <v>O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4"/>
      <c r="BT25" s="104" t="s">
        <v>1415</v>
      </c>
      <c r="BU25" s="103">
        <v>9</v>
      </c>
      <c r="BV25" s="104" t="str">
        <f t="shared" si="14"/>
        <v>Milan Tomašík</v>
      </c>
      <c r="BW25" s="102">
        <f t="shared" si="15"/>
        <v>9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>Vosy Praha</v>
      </c>
      <c r="B26" s="431"/>
      <c r="C26" s="432"/>
      <c r="D26" s="433">
        <f ca="1">IFERROR(IF(VLOOKUP(A23,OFFSET($AG$2,,,COUNTIF($AG$2:$AG$50,"?*"),23),14,FALSE)&lt;&gt;0,VLOOKUP(A23,OFFSET($AG$2,,,COUNTIF($AG$2:$AG$50,"?*"),23),14,FALSE),"?"),"")</f>
        <v>2011</v>
      </c>
      <c r="E26" s="434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8">
        <f ca="1">IFERROR(IF(VLOOKUP(G25,OFFSET($AG$2,,,COUNTIF($AG$2:$AG$50,"?*"),23),2,FALSE)&lt;&gt;0,YEAR(VLOOKUP(G25,OFFSET($AG$2,,,COUNTIF($AG$2:$AG$50,"?*"),23),2,FALSE)),""),"")</f>
        <v>2002</v>
      </c>
      <c r="I26" s="429"/>
      <c r="J26" s="117">
        <f ca="1">IFERROR(VLOOKUP(G25,OFFSET($AG$2,,,COUNTIF($AG$2:$AG$50,"?*"),23),15,FALSE),"")</f>
        <v>19</v>
      </c>
      <c r="K26" s="419" t="str">
        <f ca="1">IFERROR(VLOOKUP(G25,OFFSET($AG$2,,,COUNTIF($AG$2:$AG$50,"?*"),23),16,FALSE),"")</f>
        <v>187/73</v>
      </c>
      <c r="L26" s="420"/>
      <c r="M26" s="430" t="str">
        <f ca="1">IFERROR(IF(VLOOKUP(M23,OFFSET($AG$2,,,COUNTIF($AG$2:$AG$50,"?*"),23),13,FALSE)&lt;&gt;0,VLOOKUP(M23,OFFSET($AG$2,,,COUNTIF($AG$2:$AG$50,"?*"),23),13,FALSE),"?"),"")</f>
        <v>Mladá Boleslav</v>
      </c>
      <c r="N26" s="431"/>
      <c r="O26" s="432"/>
      <c r="P26" s="433">
        <f ca="1">IFERROR(IF(VLOOKUP(M23,OFFSET($AG$2,,,COUNTIF($AG$2:$AG$50,"?*"),23),14,FALSE)&lt;&gt;0,VLOOKUP(M23,OFFSET($AG$2,,,COUNTIF($AG$2:$AG$50,"?*"),23),14,FALSE),"?"),"")</f>
        <v>2010</v>
      </c>
      <c r="Q26" s="434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377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136</v>
      </c>
      <c r="AQ26" s="123"/>
      <c r="AR26" s="123"/>
      <c r="AS26" s="126" t="s">
        <v>220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6"/>
        <v>0 OZ, 0 (0+0)</v>
      </c>
      <c r="AY26" s="129" t="str">
        <f t="shared" ca="1" si="17"/>
        <v>3 OZ, 0 (0+0)</v>
      </c>
      <c r="AZ26" s="130"/>
      <c r="BA26" s="130"/>
      <c r="BB26" s="130"/>
      <c r="BC26" s="130"/>
      <c r="BD26" s="3" t="str">
        <f t="shared" si="7"/>
        <v>Vyhnánek</v>
      </c>
      <c r="BE26" s="84">
        <f t="shared" ca="1" si="3"/>
        <v>1</v>
      </c>
      <c r="BF26" s="62" t="str">
        <f t="shared" si="8"/>
        <v>Z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4"/>
      <c r="BT26" s="104" t="s">
        <v>1088</v>
      </c>
      <c r="BU26" s="103">
        <v>8</v>
      </c>
      <c r="BV26" s="104" t="str">
        <f t="shared" si="14"/>
        <v>Daniel Šebek</v>
      </c>
      <c r="BW26" s="102">
        <f t="shared" si="15"/>
        <v>8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>16 OZ, 7 (1+6), +8 ±</v>
      </c>
      <c r="H27" s="422"/>
      <c r="I27" s="422"/>
      <c r="J27" s="423" t="str">
        <f ca="1">IFERROR(VLOOKUP(G25,OFFSET($AG$2,,,COUNTIF($AG$2:$AG$50,"?*"),23),19,FALSE),"")</f>
        <v>31 OZ, 14 (5+9)</v>
      </c>
      <c r="K27" s="423"/>
      <c r="L27" s="424"/>
      <c r="S27" s="111"/>
      <c r="AC27" s="102" t="str">
        <f t="shared" ca="1" si="0"/>
        <v/>
      </c>
      <c r="AG27" s="121" t="s">
        <v>368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136</v>
      </c>
      <c r="AQ27" s="123">
        <v>186</v>
      </c>
      <c r="AR27" s="123">
        <v>78</v>
      </c>
      <c r="AS27" s="126" t="s">
        <v>384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6"/>
        <v>16 OZ, 7 (4+3), +23 ±</v>
      </c>
      <c r="AY27" s="129" t="str">
        <f t="shared" ca="1" si="17"/>
        <v>138 OZ, 50 (22+28)</v>
      </c>
      <c r="AZ27" s="130"/>
      <c r="BA27" s="130"/>
      <c r="BB27" s="130"/>
      <c r="BC27" s="130"/>
      <c r="BD27" s="89" t="str">
        <f t="shared" si="7"/>
        <v>Zakonov</v>
      </c>
      <c r="BE27" s="91">
        <f t="shared" ca="1" si="3"/>
        <v>1</v>
      </c>
      <c r="BF27" s="90" t="str">
        <f t="shared" si="8"/>
        <v>F</v>
      </c>
      <c r="BG27" s="89" t="str">
        <f t="shared" ca="1" si="9"/>
        <v/>
      </c>
      <c r="BH27" s="90">
        <f t="shared" ca="1" si="4"/>
        <v>0</v>
      </c>
      <c r="BI27" s="89" t="str">
        <f t="shared" ca="1" si="10"/>
        <v/>
      </c>
      <c r="BJ27" s="90">
        <f t="shared" ca="1" si="5"/>
        <v>0</v>
      </c>
      <c r="BK27" s="89" t="str">
        <f t="shared" ca="1" si="11"/>
        <v/>
      </c>
      <c r="BL27" s="90">
        <f t="shared" ca="1" si="6"/>
        <v>0</v>
      </c>
      <c r="BM27" s="89" t="str">
        <f t="shared" ca="1" si="12"/>
        <v/>
      </c>
      <c r="BS27" s="464" t="s">
        <v>38</v>
      </c>
      <c r="BT27" s="104" t="s">
        <v>1095</v>
      </c>
      <c r="BU27" s="103">
        <v>14</v>
      </c>
      <c r="BV27" s="104" t="str">
        <f t="shared" si="14"/>
        <v>Martin Tokoš</v>
      </c>
      <c r="BW27" s="102">
        <f t="shared" si="15"/>
        <v>14</v>
      </c>
    </row>
    <row r="28" spans="1:75" ht="15" customHeight="1" thickTop="1" thickBot="1" x14ac:dyDescent="0.25">
      <c r="A28" s="425" t="s">
        <v>370</v>
      </c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30" t="str">
        <f ca="1">IFERROR(IF(VLOOKUP(G25,OFFSET($AG$2,,,COUNTIF($AG$2:$AG$50,"?*"),23),13,FALSE)&lt;&gt;0,VLOOKUP(G25,OFFSET($AG$2,,,COUNTIF($AG$2:$AG$50,"?*"),23),13,FALSE),"?"),"")</f>
        <v>Bulldogs Brno</v>
      </c>
      <c r="H28" s="431"/>
      <c r="I28" s="432"/>
      <c r="J28" s="433">
        <f ca="1">IFERROR(IF(VLOOKUP(G25,OFFSET($AG$2,,,COUNTIF($AG$2:$AG$50,"?*"),23),14,FALSE)&lt;&gt;0,VLOOKUP(G25,OFFSET($AG$2,,,COUNTIF($AG$2:$AG$50,"?*"),23),14,FALSE),"?"),"")</f>
        <v>2014</v>
      </c>
      <c r="K28" s="434"/>
      <c r="L28" s="7">
        <f ca="1">IFERROR(IF(VLOOKUP(G25,OFFSET($AG$2,,,COUNTIF($AG$2:$AG$50,"?*"),23),7,FALSE)&lt;&gt;0,VLOOKUP(G25,OFFSET($AG$2,,,COUNTIF($AG$2:$AG$50,"?*"),23),7,FALSE),"?"),"")</f>
        <v>2</v>
      </c>
      <c r="M28" s="425" t="s">
        <v>364</v>
      </c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360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136</v>
      </c>
      <c r="AQ28" s="123">
        <v>185</v>
      </c>
      <c r="AR28" s="123">
        <v>71</v>
      </c>
      <c r="AS28" s="126" t="s">
        <v>384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2 (1+1), +4 ±</v>
      </c>
      <c r="AY28" s="129" t="str">
        <f t="shared" ca="1" si="17"/>
        <v>37 OZ, 13 (7+6)</v>
      </c>
      <c r="AZ28" s="130"/>
      <c r="BA28" s="130"/>
      <c r="BB28" s="130"/>
      <c r="BC28" s="130"/>
      <c r="BD28" s="3" t="str">
        <f t="shared" si="7"/>
        <v>Zoufalý</v>
      </c>
      <c r="BE28" s="84">
        <f t="shared" ca="1" si="3"/>
        <v>1</v>
      </c>
      <c r="BF28" s="62" t="str">
        <f t="shared" si="8"/>
        <v>J</v>
      </c>
      <c r="BG28" s="3" t="str">
        <f t="shared" ca="1" si="9"/>
        <v/>
      </c>
      <c r="BH28" s="62">
        <f t="shared" ca="1" si="4"/>
        <v>0</v>
      </c>
      <c r="BI28" s="3" t="str">
        <f t="shared" ca="1" si="10"/>
        <v/>
      </c>
      <c r="BJ28" s="62">
        <f t="shared" ca="1" si="5"/>
        <v>0</v>
      </c>
      <c r="BK28" s="3" t="str">
        <f t="shared" ca="1" si="11"/>
        <v/>
      </c>
      <c r="BL28" s="62">
        <f t="shared" ca="1" si="6"/>
        <v>0</v>
      </c>
      <c r="BM28" s="3" t="str">
        <f t="shared" ca="1" si="12"/>
        <v/>
      </c>
      <c r="BS28" s="464"/>
      <c r="BT28" s="104" t="s">
        <v>992</v>
      </c>
      <c r="BU28" s="103">
        <v>12</v>
      </c>
      <c r="BV28" s="104" t="str">
        <f t="shared" si="14"/>
        <v>Patrik Suchánek</v>
      </c>
      <c r="BW28" s="102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8">
        <f ca="1">IFERROR(IF(VLOOKUP(A28,OFFSET($AG$2,,,COUNTIF($AG$2:$AG$50,"?*"),23),2,FALSE)&lt;&gt;0,YEAR(VLOOKUP(A28,OFFSET($AG$2,,,COUNTIF($AG$2:$AG$50,"?*"),23),2,FALSE)),""),"")</f>
        <v>2001</v>
      </c>
      <c r="C29" s="429"/>
      <c r="D29" s="117">
        <f ca="1">IFERROR(VLOOKUP(A28,OFFSET($AG$2,,,COUNTIF($AG$2:$AG$50,"?*"),23),15,FALSE),"")</f>
        <v>20</v>
      </c>
      <c r="E29" s="419" t="str">
        <f ca="1">IFERROR(VLOOKUP(A28,OFFSET($AG$2,,,COUNTIF($AG$2:$AG$50,"?*"),23),16,FALSE),"")</f>
        <v>181/70</v>
      </c>
      <c r="F29" s="420"/>
      <c r="M29" s="4" t="str">
        <f ca="1">IFERROR(IF(VLOOKUP(M28,OFFSET($AG$2,,,COUNTIF($AG$2:$AG$50,"?*"),23),10,FALSE)&lt;&gt;0,VLOOKUP(M28,OFFSET($AG$2,,,COUNTIF($AG$2:$AG$50,"?*"),23),10,FALSE),""),"")</f>
        <v>L</v>
      </c>
      <c r="N29" s="428">
        <f ca="1">IFERROR(IF(VLOOKUP(M28,OFFSET($AG$2,,,COUNTIF($AG$2:$AG$50,"?*"),23),2,FALSE)&lt;&gt;0,YEAR(VLOOKUP(M28,OFFSET($AG$2,,,COUNTIF($AG$2:$AG$50,"?*"),23),2,FALSE)),""),"")</f>
        <v>2000</v>
      </c>
      <c r="O29" s="429"/>
      <c r="P29" s="117">
        <f ca="1">IFERROR(VLOOKUP(M28,OFFSET($AG$2,,,COUNTIF($AG$2:$AG$50,"?*"),23),15,FALSE),"")</f>
        <v>21</v>
      </c>
      <c r="Q29" s="419" t="str">
        <f ca="1">IFERROR(VLOOKUP(M28,OFFSET($AG$2,,,COUNTIF($AG$2:$AG$50,"?*"),23),16,FALSE),"")</f>
        <v>185/77</v>
      </c>
      <c r="R29" s="42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" ca="1" si="18">IF(AG29&lt;&gt;"",IF(AH29&lt;&gt;"",INT((TODAY()-AH29)/365),"?"),"")</f>
        <v/>
      </c>
      <c r="AV29" s="127" t="str">
        <f t="shared" ref="AV29" si="19">IF(AG29&lt;&gt;"",CONCATENATE(IF(AQ29&lt;&gt;"",AQ29,"? "),"/",IF(AR29&lt;&gt;"",AR29," ?")),"")</f>
        <v/>
      </c>
      <c r="AW29" s="128" t="str">
        <f t="shared" ref="AW29" si="20">IF(AG29&lt;&gt;"",IF(BE29=1,BD29,IF(BH29=1,BG29,IF(BJ29=1,BI29,IF(BL29=1,BK29,BM29)))),"")</f>
        <v/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130"/>
      <c r="BA29" s="130"/>
      <c r="BB29" s="130"/>
      <c r="BC29" s="130"/>
      <c r="BD29" s="89" t="str">
        <f>IF(AG29&lt;&gt;"",RIGHT(AG29,LEN(AG29)-SEARCH(" ",AG29)),"")</f>
        <v/>
      </c>
      <c r="BE29" s="91" t="str">
        <f t="shared" ca="1" si="3"/>
        <v/>
      </c>
      <c r="BF29" s="90" t="str">
        <f>IF(AG29&lt;&gt;"",LEFT(AG29,1),"")</f>
        <v/>
      </c>
      <c r="BG29" s="89" t="str">
        <f ca="1">IF(AND($AG29&lt;&gt;"",BE29&gt;1),CONCATENATE($BD29," ",LEFT($AG29,MIN(1,SEARCH(" ",$AG29)-1)),IF(SEARCH(" ",$AG29)-1&gt;1,".",""),""),"")</f>
        <v/>
      </c>
      <c r="BH29" s="90" t="str">
        <f t="shared" ca="1" si="4"/>
        <v/>
      </c>
      <c r="BI29" s="89" t="str">
        <f ca="1">IF(AND($AG29&lt;&gt;"",BH29&gt;1),CONCATENATE($BD29," ",LEFT($AG29,MIN(2,SEARCH(" ",$AG29)-1)),IF(SEARCH(" ",$AG29)-1&gt;2,".",""),""),"")</f>
        <v/>
      </c>
      <c r="BJ29" s="90" t="str">
        <f t="shared" ca="1" si="5"/>
        <v/>
      </c>
      <c r="BK29" s="89" t="str">
        <f ca="1">IF(AND($AG29&lt;&gt;"",BJ29&gt;1),CONCATENATE($BD29," ",LEFT($AG29,MIN(3,SEARCH(" ",$AG29)-1)),IF(SEARCH(" ",$AG29)-1&gt;3,".",""),""),"")</f>
        <v/>
      </c>
      <c r="BL29" s="90" t="str">
        <f t="shared" ca="1" si="6"/>
        <v/>
      </c>
      <c r="BM29" s="89" t="str">
        <f ca="1">IF(AND($AG29&lt;&gt;"",BL29&gt;1),CONCATENATE($BD29," ",LEFT($AG29,MIN(4,SEARCH(" ",$AG29)-1)),IF(SEARCH(" ",$AG29)-1&gt;4,".",""),""),"")</f>
        <v/>
      </c>
      <c r="BS29" s="464"/>
      <c r="BT29" s="104" t="s">
        <v>1258</v>
      </c>
      <c r="BU29" s="103">
        <v>10</v>
      </c>
      <c r="BV29" s="104" t="str">
        <f t="shared" si="14"/>
        <v>Adam Hemerka</v>
      </c>
      <c r="BW29" s="102">
        <f t="shared" si="15"/>
        <v>10</v>
      </c>
    </row>
    <row r="30" spans="1:75" ht="15" customHeight="1" x14ac:dyDescent="0.2">
      <c r="A30" s="421" t="str">
        <f ca="1">IFERROR(VLOOKUP(A28,OFFSET($AG$2,,,COUNTIF($AG$2:$AG$50,"?*"),23),18,FALSE),"")</f>
        <v>16 OZ, 6 (4+2), +9 ±</v>
      </c>
      <c r="B30" s="422"/>
      <c r="C30" s="422"/>
      <c r="D30" s="423" t="str">
        <f ca="1">IFERROR(VLOOKUP(A28,OFFSET($AG$2,,,COUNTIF($AG$2:$AG$50,"?*"),23),19,FALSE),"")</f>
        <v>16 OZ, 6 (4+2)</v>
      </c>
      <c r="E30" s="423"/>
      <c r="F30" s="424"/>
      <c r="H30" s="435" t="str">
        <f>H$8</f>
        <v>MB</v>
      </c>
      <c r="I30" s="435"/>
      <c r="J30" s="435"/>
      <c r="K30" s="435"/>
      <c r="M30" s="421" t="str">
        <f ca="1">IFERROR(VLOOKUP(M28,OFFSET($AG$2,,,COUNTIF($AG$2:$AG$50,"?*"),23),18,FALSE),"")</f>
        <v>13 OZ, 10 (5+5), +9 ±</v>
      </c>
      <c r="N30" s="422"/>
      <c r="O30" s="422"/>
      <c r="P30" s="423" t="str">
        <f ca="1">IFERROR(VLOOKUP(M28,OFFSET($AG$2,,,COUNTIF($AG$2:$AG$50,"?*"),23),19,FALSE),"")</f>
        <v>104 OZ, 73 (41+32)</v>
      </c>
      <c r="Q30" s="423"/>
      <c r="R30" s="42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21">IF(AG30&lt;&gt;"",IF(AH30&lt;&gt;"",INT((TODAY()-AH30)/365),"?"),"")</f>
        <v/>
      </c>
      <c r="AV30" s="127" t="str">
        <f t="shared" ref="AV30" si="22">IF(AG30&lt;&gt;"",CONCATENATE(IF(AQ30&lt;&gt;"",AQ30,"? "),"/",IF(AR30&lt;&gt;"",AR30," ?")),"")</f>
        <v/>
      </c>
      <c r="AW30" s="128" t="str">
        <f t="shared" ref="AW30" si="23">IF(AG30&lt;&gt;"",IF(BE30=1,BD30,IF(BH30=1,BG30,IF(BJ30=1,BI30,IF(BL30=1,BK30,BM30)))),"")</f>
        <v/>
      </c>
      <c r="AX30" s="129" t="str">
        <f t="shared" ref="AX30:AX49" ca="1" si="24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4"/>
      <c r="BT30" s="104" t="s">
        <v>1259</v>
      </c>
      <c r="BU30" s="103">
        <v>6</v>
      </c>
      <c r="BV30" s="104" t="str">
        <f t="shared" si="14"/>
        <v>Miroslav Fořt</v>
      </c>
      <c r="BW30" s="102">
        <f t="shared" si="15"/>
        <v>6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>Florbal Ústí</v>
      </c>
      <c r="B31" s="431"/>
      <c r="C31" s="432"/>
      <c r="D31" s="433">
        <f ca="1">IFERROR(IF(VLOOKUP(A28,OFFSET($AG$2,,,COUNTIF($AG$2:$AG$50,"?*"),23),14,FALSE)&lt;&gt;0,VLOOKUP(A28,OFFSET($AG$2,,,COUNTIF($AG$2:$AG$50,"?*"),23),14,FALSE),"?"),"")</f>
        <v>2007</v>
      </c>
      <c r="E31" s="434"/>
      <c r="F31" s="7">
        <f ca="1">IFERROR(IF(VLOOKUP(A28,OFFSET($AG$2,,,COUNTIF($AG$2:$AG$50,"?*"),23),7,FALSE)&lt;&gt;0,VLOOKUP(A28,OFFSET($AG$2,,,COUNTIF($AG$2:$AG$50,"?*"),23),7,FALSE),"?"),"")</f>
        <v>1</v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>Bulldogs Brno</v>
      </c>
      <c r="N31" s="431"/>
      <c r="O31" s="432"/>
      <c r="P31" s="433">
        <f ca="1">IFERROR(IF(VLOOKUP(M28,OFFSET($AG$2,,,COUNTIF($AG$2:$AG$50,"?*"),23),14,FALSE)&lt;&gt;0,VLOOKUP(M28,OFFSET($AG$2,,,COUNTIF($AG$2:$AG$50,"?*"),23),14,FALSE),"?"),"")</f>
        <v>2008</v>
      </c>
      <c r="Q31" s="434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9" ca="1" si="25">IF(AG31&lt;&gt;"",IF(AH31&lt;&gt;"",INT((TODAY()-AH31)/365),"?"),"")</f>
        <v/>
      </c>
      <c r="AV31" s="127" t="str">
        <f t="shared" ref="AV31:AV49" si="26">IF(AG31&lt;&gt;"",CONCATENATE(IF(AQ31&lt;&gt;"",AQ31,"? "),"/",IF(AR31&lt;&gt;"",AR31," ?")),"")</f>
        <v/>
      </c>
      <c r="AW31" s="128" t="str">
        <f t="shared" ref="AW31:AW49" si="27">IF(AG31&lt;&gt;"",IF(BE31=1,BD31,IF(BH31=1,BG31,IF(BJ31=1,BI31,IF(BL31=1,BK31,BM31)))),"")</f>
        <v/>
      </c>
      <c r="AX31" s="129" t="str">
        <f t="shared" ca="1" si="24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4"/>
      <c r="BT31" s="104" t="s">
        <v>1088</v>
      </c>
      <c r="BU31" s="103">
        <v>4</v>
      </c>
      <c r="BV31" s="104" t="str">
        <f t="shared" si="14"/>
        <v>Daniel Šebek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5"/>
        <v/>
      </c>
      <c r="AV32" s="127" t="str">
        <f t="shared" si="26"/>
        <v/>
      </c>
      <c r="AW32" s="128" t="str">
        <f t="shared" si="27"/>
        <v/>
      </c>
      <c r="AX32" s="129" t="str">
        <f t="shared" ca="1" si="24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5"/>
        <v/>
      </c>
      <c r="AV33" s="127" t="str">
        <f t="shared" si="26"/>
        <v/>
      </c>
      <c r="AW33" s="128" t="str">
        <f t="shared" si="27"/>
        <v/>
      </c>
      <c r="AX33" s="129" t="str">
        <f t="shared" ca="1" si="24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5" t="s">
        <v>366</v>
      </c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6" t="s">
        <v>15</v>
      </c>
      <c r="J34" s="425" t="s">
        <v>777</v>
      </c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5"/>
        <v/>
      </c>
      <c r="AV34" s="127" t="str">
        <f t="shared" si="26"/>
        <v/>
      </c>
      <c r="AW34" s="128" t="str">
        <f t="shared" si="27"/>
        <v/>
      </c>
      <c r="AX34" s="129" t="str">
        <f t="shared" ca="1" si="24"/>
        <v/>
      </c>
      <c r="AY34" s="129" t="str">
        <f t="shared" ref="AY34:AY49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ref="BE34:BE50" ca="1" si="29">IF(AG34&lt;&gt;"",COUNTIF(OFFSET($BD$2,,,COUNTIF($AG$2:$AG$50,"?*")),BD34),"")</f>
        <v/>
      </c>
      <c r="BF34" s="62" t="str">
        <f t="shared" si="8"/>
        <v/>
      </c>
      <c r="BG34" s="3" t="str">
        <f t="shared" ca="1" si="9"/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ca="1" si="10"/>
        <v/>
      </c>
      <c r="BJ34" s="62" t="str">
        <f t="shared" ref="BJ34:BJ50" ca="1" si="31">IF(BI34&lt;&gt;"",COUNTIF(OFFSET(BI$2,,,COUNTIF($AG$2:$AG$50,"?*")),BI34),IF($AG34&lt;&gt;"",0,""))</f>
        <v/>
      </c>
      <c r="BK34" s="3" t="str">
        <f t="shared" ca="1" si="11"/>
        <v/>
      </c>
      <c r="BL34" s="62" t="str">
        <f t="shared" ref="BL34:BL50" ca="1" si="32">IF(BK34&lt;&gt;"",COUNTIF(OFFSET(BK$2,,,COUNTIF($AG$2:$AG$50,"?*")),BK34),IF($AG34&lt;&gt;"",0,""))</f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8">
        <f ca="1">IFERROR(IF(VLOOKUP(A34,OFFSET($AG$2,,,COUNTIF($AG$2:$AG$50,"?*"),23),2,FALSE)&lt;&gt;0,YEAR(VLOOKUP(A34,OFFSET($AG$2,,,COUNTIF($AG$2:$AG$50,"?*"),23),2,FALSE)),""),"")</f>
        <v>1991</v>
      </c>
      <c r="C35" s="429"/>
      <c r="D35" s="117">
        <f ca="1">IFERROR(VLOOKUP(A34,OFFSET($AG$2,,,COUNTIF($AG$2:$AG$50,"?*"),23),15,FALSE),"")</f>
        <v>30</v>
      </c>
      <c r="E35" s="419" t="str">
        <f ca="1">IFERROR(VLOOKUP(A34,OFFSET($AG$2,,,COUNTIF($AG$2:$AG$50,"?*"),23),16,FALSE),"")</f>
        <v>192/98</v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>L</v>
      </c>
      <c r="K35" s="429">
        <f ca="1">IFERROR(IF(VLOOKUP(J34,OFFSET($AG$2,,,COUNTIF($AG$2:$AG$50,"?*"),23),2,FALSE)&lt;&gt;0,YEAR(VLOOKUP(J34,OFFSET($AG$2,,,COUNTIF($AG$2:$AG$50,"?*"),23),2,FALSE)),""),"")</f>
        <v>2004</v>
      </c>
      <c r="L35" s="437"/>
      <c r="M35" s="118">
        <f ca="1">IFERROR(VLOOKUP(J34,OFFSET($AG$2,,,COUNTIF($AG$2:$AG$50,"?*"),23),15,FALSE),"")</f>
        <v>17</v>
      </c>
      <c r="N35" s="437" t="str">
        <f ca="1">IFERROR(VLOOKUP(J34,OFFSET($AG$2,,,COUNTIF($AG$2:$AG$50,"?*"),23),16,FALSE),"")</f>
        <v>172/72</v>
      </c>
      <c r="O35" s="437"/>
      <c r="P35" s="437" t="str">
        <f ca="1">IFERROR(VLOOKUP(J34,OFFSET($AG$2,,,COUNTIF($AG$2:$AG$50,"?*"),23),18,FALSE),"")</f>
        <v>10 OZ, 0 (0+0), +2 ±</v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5"/>
        <v/>
      </c>
      <c r="AV35" s="127" t="str">
        <f t="shared" si="26"/>
        <v/>
      </c>
      <c r="AW35" s="128" t="str">
        <f t="shared" si="27"/>
        <v/>
      </c>
      <c r="AX35" s="129" t="str">
        <f t="shared" ca="1" si="24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7"/>
        <v/>
      </c>
      <c r="BE35" s="91" t="str">
        <f t="shared" ca="1" si="29"/>
        <v/>
      </c>
      <c r="BF35" s="90" t="str">
        <f t="shared" si="8"/>
        <v/>
      </c>
      <c r="BG35" s="89" t="str">
        <f t="shared" ca="1" si="9"/>
        <v/>
      </c>
      <c r="BH35" s="90" t="str">
        <f t="shared" ca="1" si="30"/>
        <v/>
      </c>
      <c r="BI35" s="89" t="str">
        <f t="shared" ca="1" si="10"/>
        <v/>
      </c>
      <c r="BJ35" s="90" t="str">
        <f t="shared" ca="1" si="31"/>
        <v/>
      </c>
      <c r="BK35" s="89" t="str">
        <f t="shared" ca="1" si="11"/>
        <v/>
      </c>
      <c r="BL35" s="90" t="str">
        <f t="shared" ca="1" si="32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15</v>
      </c>
      <c r="B36" s="445" t="str">
        <f ca="1">IFERROR(VLOOKUP(A34,OFFSET($AG$2,,,COUNTIF($AG$2:$AG$50,"?*"),23),18,FALSE),"")</f>
        <v>13 V, 2 P</v>
      </c>
      <c r="C36" s="445"/>
      <c r="D36" s="446">
        <f ca="1">IFERROR(VLOOKUP(A34,OFFSET($S$45,,,COUNTIF($S$45:$S$50,"?*"),14),5,FALSE),"")</f>
        <v>52</v>
      </c>
      <c r="E36" s="447"/>
      <c r="F36" s="17">
        <f ca="1">IFERROR(VLOOKUP(A34,OFFSET($S$45,,,COUNTIF($S$45:$S$50,"?*"),14),14,FALSE),"")</f>
        <v>76.036866359447004</v>
      </c>
      <c r="H36" s="436"/>
      <c r="J36" s="18">
        <f ca="1">IFERROR(IF(VLOOKUP(J34,OFFSET($AG$2,,,COUNTIF($AG$2:$AG$50,"?*"),23),7,FALSE)&lt;&gt;0,VLOOKUP(J34,OFFSET($AG$2,,,COUNTIF($AG$2:$AG$50,"?*"),23),7,FALSE),"?"),"")</f>
        <v>1</v>
      </c>
      <c r="K36" s="448" t="str">
        <f ca="1">IFERROR(VLOOKUP(J34,OFFSET($AG$2,,,COUNTIF($AG$2:$AG$50,"?*"),23),19,FALSE),"")</f>
        <v>10 OZ, 0 (0+0)</v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>Mladá Boleslav</v>
      </c>
      <c r="O36" s="449"/>
      <c r="P36" s="449"/>
      <c r="Q36" s="448">
        <f ca="1">IFERROR(IF(VLOOKUP(J34,OFFSET($AG$2,,,COUNTIF($AG$2:$AG$50,"?*"),23),14,FALSE)&lt;&gt;0,VLOOKUP(J34,OFFSET($AG$2,,,COUNTIF($AG$2:$AG$50,"?*"),23),14,FALSE),"?"),"")</f>
        <v>2013</v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5"/>
        <v/>
      </c>
      <c r="AV36" s="127" t="str">
        <f t="shared" si="26"/>
        <v/>
      </c>
      <c r="AW36" s="128" t="str">
        <f t="shared" si="27"/>
        <v/>
      </c>
      <c r="AX36" s="129" t="str">
        <f t="shared" ca="1" si="24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ca="1" si="29"/>
        <v/>
      </c>
      <c r="BF36" s="62" t="str">
        <f t="shared" si="8"/>
        <v/>
      </c>
      <c r="BG36" s="3" t="str">
        <f t="shared" ca="1" si="9"/>
        <v/>
      </c>
      <c r="BH36" s="62" t="str">
        <f t="shared" ca="1" si="30"/>
        <v/>
      </c>
      <c r="BI36" s="3" t="str">
        <f t="shared" ca="1" si="10"/>
        <v/>
      </c>
      <c r="BJ36" s="62" t="str">
        <f t="shared" ca="1" si="31"/>
        <v/>
      </c>
      <c r="BK36" s="3" t="str">
        <f t="shared" ca="1" si="11"/>
        <v/>
      </c>
      <c r="BL36" s="62" t="str">
        <f t="shared" ca="1" si="32"/>
        <v/>
      </c>
      <c r="BM36" s="3" t="str">
        <f t="shared" ca="1" si="12"/>
        <v/>
      </c>
    </row>
    <row r="37" spans="1:65" ht="15" customHeight="1" thickTop="1" thickBot="1" x14ac:dyDescent="0.25">
      <c r="A37" s="438">
        <f ca="1">IFERROR(VLOOKUP(A34,OFFSET($S$45,,,COUNTIF($S$45:$S$50,"?*"),14),3,FALSE),"")</f>
        <v>902.72</v>
      </c>
      <c r="B37" s="439"/>
      <c r="C37" s="440">
        <f ca="1">IFERROR(VLOOKUP(A34,OFFSET($S$45,,,COUNTIF($S$45:$S$50,"?*"),14),13,FALSE),"")</f>
        <v>3.4562211981566819</v>
      </c>
      <c r="D37" s="441"/>
      <c r="E37" s="442" t="str">
        <f ca="1">IFERROR(VLOOKUP(A34,OFFSET($AG$2,,,COUNTIF($AG$2:$AG$50,"?*"),23),19,FALSE),"")</f>
        <v>175 OZ, 11 A</v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5"/>
        <v/>
      </c>
      <c r="AV37" s="127" t="str">
        <f t="shared" si="26"/>
        <v/>
      </c>
      <c r="AW37" s="128" t="str">
        <f t="shared" si="27"/>
        <v/>
      </c>
      <c r="AX37" s="129" t="str">
        <f t="shared" ca="1" si="24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9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30"/>
        <v/>
      </c>
      <c r="BI37" s="89" t="str">
        <f t="shared" ca="1" si="10"/>
        <v/>
      </c>
      <c r="BJ37" s="90" t="str">
        <f t="shared" ca="1" si="31"/>
        <v/>
      </c>
      <c r="BK37" s="89" t="str">
        <f t="shared" ca="1" si="11"/>
        <v/>
      </c>
      <c r="BL37" s="90" t="str">
        <f t="shared" ca="1" si="32"/>
        <v/>
      </c>
      <c r="BM37" s="89" t="str">
        <f t="shared" ca="1" si="12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>TJ SKV</v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>?</v>
      </c>
      <c r="E38" s="434"/>
      <c r="F38" s="19">
        <f ca="1">IFERROR(VLOOKUP(A34,OFFSET($S$45,,,COUNTIF($S$45:$S$50,"?*"),14),6,FALSE),"")</f>
        <v>0</v>
      </c>
      <c r="H38" s="436"/>
      <c r="J38" s="425" t="s">
        <v>360</v>
      </c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49" si="33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5"/>
        <v/>
      </c>
      <c r="AV38" s="127" t="str">
        <f t="shared" si="26"/>
        <v/>
      </c>
      <c r="AW38" s="128" t="str">
        <f t="shared" si="27"/>
        <v/>
      </c>
      <c r="AX38" s="129" t="str">
        <f t="shared" ca="1" si="24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9"/>
        <v/>
      </c>
      <c r="BF38" s="62" t="str">
        <f t="shared" si="8"/>
        <v/>
      </c>
      <c r="BG38" s="3" t="str">
        <f t="shared" ca="1" si="9"/>
        <v/>
      </c>
      <c r="BH38" s="62" t="str">
        <f t="shared" ca="1" si="30"/>
        <v/>
      </c>
      <c r="BI38" s="3" t="str">
        <f t="shared" ca="1" si="10"/>
        <v/>
      </c>
      <c r="BJ38" s="62" t="str">
        <f t="shared" ca="1" si="31"/>
        <v/>
      </c>
      <c r="BK38" s="3" t="str">
        <f t="shared" ca="1" si="11"/>
        <v/>
      </c>
      <c r="BL38" s="62" t="str">
        <f t="shared" ca="1" si="32"/>
        <v/>
      </c>
      <c r="BM38" s="3" t="str">
        <f t="shared" ca="1" si="12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>L</v>
      </c>
      <c r="K39" s="429">
        <f ca="1">IFERROR(IF(VLOOKUP(J38,OFFSET($AG$2,,,COUNTIF($AG$2:$AG$50,"?*"),23),2,FALSE)&lt;&gt;0,YEAR(VLOOKUP(J38,OFFSET($AG$2,,,COUNTIF($AG$2:$AG$50,"?*"),23),2,FALSE)),""),"")</f>
        <v>2003</v>
      </c>
      <c r="L39" s="437"/>
      <c r="M39" s="150">
        <f ca="1">IFERROR(VLOOKUP(J38,OFFSET($AG$2,,,COUNTIF($AG$2:$AG$50,"?*"),23),15,FALSE),"")</f>
        <v>18</v>
      </c>
      <c r="N39" s="437" t="str">
        <f ca="1">IFERROR(VLOOKUP(J38,OFFSET($AG$2,,,COUNTIF($AG$2:$AG$50,"?*"),23),16,FALSE),"")</f>
        <v>185/71</v>
      </c>
      <c r="O39" s="437"/>
      <c r="P39" s="437" t="str">
        <f ca="1">IFERROR(VLOOKUP(J38,OFFSET($AG$2,,,COUNTIF($AG$2:$AG$50,"?*"),23),18,FALSE),"")</f>
        <v>12 OZ, 2 (1+1), +4 ±</v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3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5"/>
        <v/>
      </c>
      <c r="AV39" s="127" t="str">
        <f t="shared" si="26"/>
        <v/>
      </c>
      <c r="AW39" s="128" t="str">
        <f t="shared" si="27"/>
        <v/>
      </c>
      <c r="AX39" s="129" t="str">
        <f t="shared" ca="1" si="24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9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30"/>
        <v/>
      </c>
      <c r="BI39" s="89" t="str">
        <f t="shared" ca="1" si="10"/>
        <v/>
      </c>
      <c r="BJ39" s="90" t="str">
        <f t="shared" ca="1" si="31"/>
        <v/>
      </c>
      <c r="BK39" s="89" t="str">
        <f t="shared" ca="1" si="11"/>
        <v/>
      </c>
      <c r="BL39" s="90" t="str">
        <f t="shared" ca="1" si="32"/>
        <v/>
      </c>
      <c r="BM39" s="89" t="str">
        <f t="shared" ca="1" si="12"/>
        <v/>
      </c>
    </row>
    <row r="40" spans="1:65" ht="15" customHeight="1" thickTop="1" thickBot="1" x14ac:dyDescent="0.25">
      <c r="A40" s="425" t="s">
        <v>371</v>
      </c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6"/>
      <c r="J40" s="18">
        <f ca="1">IFERROR(IF(VLOOKUP(J38,OFFSET($AG$2,,,COUNTIF($AG$2:$AG$50,"?*"),23),7,FALSE)&lt;&gt;0,VLOOKUP(J38,OFFSET($AG$2,,,COUNTIF($AG$2:$AG$50,"?*"),23),7,FALSE),"?"),"")</f>
        <v>2</v>
      </c>
      <c r="K40" s="448" t="str">
        <f ca="1">IFERROR(VLOOKUP(J38,OFFSET($AG$2,,,COUNTIF($AG$2:$AG$50,"?*"),23),19,FALSE),"")</f>
        <v>37 OZ, 13 (7+6)</v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>Mladá Boleslav</v>
      </c>
      <c r="O40" s="449"/>
      <c r="P40" s="449"/>
      <c r="Q40" s="448">
        <f ca="1">IFERROR(IF(VLOOKUP(J38,OFFSET($AG$2,,,COUNTIF($AG$2:$AG$50,"?*"),23),14,FALSE)&lt;&gt;0,VLOOKUP(J38,OFFSET($AG$2,,,COUNTIF($AG$2:$AG$50,"?*"),23),14,FALSE),"?"),"")</f>
        <v>2011</v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3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5"/>
        <v/>
      </c>
      <c r="AV40" s="127" t="str">
        <f t="shared" si="26"/>
        <v/>
      </c>
      <c r="AW40" s="128" t="str">
        <f t="shared" si="27"/>
        <v/>
      </c>
      <c r="AX40" s="129" t="str">
        <f t="shared" ca="1" si="24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9"/>
        <v/>
      </c>
      <c r="BF40" s="62" t="str">
        <f t="shared" si="8"/>
        <v/>
      </c>
      <c r="BG40" s="3" t="str">
        <f t="shared" ca="1" si="9"/>
        <v/>
      </c>
      <c r="BH40" s="62" t="str">
        <f t="shared" ca="1" si="30"/>
        <v/>
      </c>
      <c r="BI40" s="3" t="str">
        <f t="shared" ca="1" si="10"/>
        <v/>
      </c>
      <c r="BJ40" s="62" t="str">
        <f t="shared" ca="1" si="31"/>
        <v/>
      </c>
      <c r="BK40" s="3" t="str">
        <f t="shared" ca="1" si="11"/>
        <v/>
      </c>
      <c r="BL40" s="62" t="str">
        <f t="shared" ca="1" si="32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8">
        <f ca="1">IFERROR(IF(VLOOKUP(A40,OFFSET($AG$2,,,COUNTIF($AG$2:$AG$50,"?*"),23),2,FALSE)&lt;&gt;0,YEAR(VLOOKUP(A40,OFFSET($AG$2,,,COUNTIF($AG$2:$AG$50,"?*"),23),2,FALSE)),""),"")</f>
        <v>2003</v>
      </c>
      <c r="C41" s="429"/>
      <c r="D41" s="117">
        <f ca="1">IFERROR(VLOOKUP(A40,OFFSET($AG$2,,,COUNTIF($AG$2:$AG$50,"?*"),23),15,FALSE),"")</f>
        <v>18</v>
      </c>
      <c r="E41" s="419" t="str">
        <f ca="1">IFERROR(VLOOKUP(A40,OFFSET($AG$2,,,COUNTIF($AG$2:$AG$50,"?*"),23),16,FALSE),"")</f>
        <v>189/77</v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3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5"/>
        <v/>
      </c>
      <c r="AV41" s="127" t="str">
        <f t="shared" si="26"/>
        <v/>
      </c>
      <c r="AW41" s="128" t="str">
        <f t="shared" si="27"/>
        <v/>
      </c>
      <c r="AX41" s="129" t="str">
        <f t="shared" ca="1" si="24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9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30"/>
        <v/>
      </c>
      <c r="BI41" s="89" t="str">
        <f t="shared" ca="1" si="10"/>
        <v/>
      </c>
      <c r="BJ41" s="90" t="str">
        <f t="shared" ca="1" si="31"/>
        <v/>
      </c>
      <c r="BK41" s="89" t="str">
        <f t="shared" ca="1" si="11"/>
        <v/>
      </c>
      <c r="BL41" s="90" t="str">
        <f t="shared" ca="1" si="32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5" t="str">
        <f ca="1">IFERROR(VLOOKUP(A40,OFFSET($AG$2,,,COUNTIF($AG$2:$AG$50,"?*"),23),18,FALSE),"")</f>
        <v>1 V, 0 P</v>
      </c>
      <c r="C42" s="445"/>
      <c r="D42" s="446">
        <f ca="1">IFERROR(VLOOKUP(A40,OFFSET($S$45,,,COUNTIF($S$45:$S$50,"?*"),14),5,FALSE),"")</f>
        <v>1</v>
      </c>
      <c r="E42" s="447"/>
      <c r="F42" s="17">
        <f ca="1">IFERROR(VLOOKUP(A40,OFFSET($S$45,,,COUNTIF($S$45:$S$50,"?*"),14),14,FALSE),"")</f>
        <v>90.909090909090907</v>
      </c>
      <c r="H42" s="436"/>
      <c r="J42" s="425" t="s">
        <v>356</v>
      </c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3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5"/>
        <v/>
      </c>
      <c r="AV42" s="127" t="str">
        <f t="shared" si="26"/>
        <v/>
      </c>
      <c r="AW42" s="128" t="str">
        <f t="shared" si="27"/>
        <v/>
      </c>
      <c r="AX42" s="129" t="str">
        <f t="shared" ca="1" si="24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9"/>
        <v/>
      </c>
      <c r="BF42" s="62" t="str">
        <f t="shared" si="8"/>
        <v/>
      </c>
      <c r="BG42" s="3" t="str">
        <f t="shared" ca="1" si="9"/>
        <v/>
      </c>
      <c r="BH42" s="62" t="str">
        <f t="shared" ca="1" si="30"/>
        <v/>
      </c>
      <c r="BI42" s="3" t="str">
        <f t="shared" ca="1" si="10"/>
        <v/>
      </c>
      <c r="BJ42" s="62" t="str">
        <f t="shared" ca="1" si="31"/>
        <v/>
      </c>
      <c r="BK42" s="3" t="str">
        <f t="shared" ca="1" si="11"/>
        <v/>
      </c>
      <c r="BL42" s="62" t="str">
        <f t="shared" ca="1" si="32"/>
        <v/>
      </c>
      <c r="BM42" s="3" t="str">
        <f t="shared" ca="1" si="12"/>
        <v/>
      </c>
    </row>
    <row r="43" spans="1:65" ht="15" customHeight="1" thickBot="1" x14ac:dyDescent="0.25">
      <c r="A43" s="438">
        <f ca="1">IFERROR(VLOOKUP(A40,OFFSET($S$45,,,COUNTIF($S$45:$S$50,"?*"),14),3,FALSE),"")</f>
        <v>60</v>
      </c>
      <c r="B43" s="439"/>
      <c r="C43" s="440">
        <f ca="1">IFERROR(VLOOKUP(A40,OFFSET($S$45,,,COUNTIF($S$45:$S$50,"?*"),14),13,FALSE),"")</f>
        <v>1</v>
      </c>
      <c r="D43" s="441"/>
      <c r="E43" s="442" t="str">
        <f ca="1">IFERROR(VLOOKUP(A40,OFFSET($AG$2,,,COUNTIF($AG$2:$AG$50,"?*"),23),19,FALSE),"")</f>
        <v>2 OZ, 0 A</v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>P</v>
      </c>
      <c r="K43" s="429">
        <f ca="1">IFERROR(IF(VLOOKUP(J42,OFFSET($AG$2,,,COUNTIF($AG$2:$AG$50,"?*"),23),2,FALSE)&lt;&gt;0,YEAR(VLOOKUP(J42,OFFSET($AG$2,,,COUNTIF($AG$2:$AG$50,"?*"),23),2,FALSE)),""),"")</f>
        <v>1992</v>
      </c>
      <c r="L43" s="437"/>
      <c r="M43" s="150">
        <f ca="1">IFERROR(VLOOKUP(J42,OFFSET($AG$2,,,COUNTIF($AG$2:$AG$50,"?*"),23),15,FALSE),"")</f>
        <v>29</v>
      </c>
      <c r="N43" s="437" t="str">
        <f ca="1">IFERROR(VLOOKUP(J42,OFFSET($AG$2,,,COUNTIF($AG$2:$AG$50,"?*"),23),16,FALSE),"")</f>
        <v>181/76</v>
      </c>
      <c r="O43" s="437"/>
      <c r="P43" s="437" t="str">
        <f ca="1">IFERROR(VLOOKUP(J42,OFFSET($AG$2,,,COUNTIF($AG$2:$AG$50,"?*"),23),18,FALSE),"")</f>
        <v>9 OZ, 6 (4+2), +8 ±</v>
      </c>
      <c r="Q43" s="437"/>
      <c r="R43" s="444"/>
      <c r="AG43" s="121"/>
      <c r="AH43" s="122"/>
      <c r="AI43" s="123"/>
      <c r="AJ43" s="123"/>
      <c r="AK43" s="123"/>
      <c r="AL43" s="124" t="str">
        <f t="shared" si="3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5"/>
        <v/>
      </c>
      <c r="AV43" s="127" t="str">
        <f t="shared" si="26"/>
        <v/>
      </c>
      <c r="AW43" s="128" t="str">
        <f t="shared" si="27"/>
        <v/>
      </c>
      <c r="AX43" s="129" t="str">
        <f t="shared" ca="1" si="24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9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30"/>
        <v/>
      </c>
      <c r="BI43" s="89" t="str">
        <f t="shared" ca="1" si="10"/>
        <v/>
      </c>
      <c r="BJ43" s="90" t="str">
        <f t="shared" ca="1" si="31"/>
        <v/>
      </c>
      <c r="BK43" s="89" t="str">
        <f t="shared" ca="1" si="11"/>
        <v/>
      </c>
      <c r="BL43" s="90" t="str">
        <f t="shared" ca="1" si="32"/>
        <v/>
      </c>
      <c r="BM43" s="89" t="str">
        <f t="shared" ca="1" si="12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>FA Mladá Boleslav</v>
      </c>
      <c r="B44" s="431"/>
      <c r="C44" s="432"/>
      <c r="D44" s="433">
        <f ca="1">IFERROR(IF(VLOOKUP(A40,OFFSET($AG$2,,,COUNTIF($AG$2:$AG$50,"?*"),23),14,FALSE)&lt;&gt;0,VLOOKUP(A40,OFFSET($AG$2,,,COUNTIF($AG$2:$AG$50,"?*"),23),14,FALSE),"?"),"")</f>
        <v>2009</v>
      </c>
      <c r="E44" s="434"/>
      <c r="F44" s="19">
        <f ca="1">IFERROR(VLOOKUP(A40,OFFSET($S$45,,,COUNTIF($S$45:$S$50,"?*"),14),6,FALSE),"")</f>
        <v>0</v>
      </c>
      <c r="H44" s="436"/>
      <c r="J44" s="18">
        <f ca="1">IFERROR(IF(VLOOKUP(J42,OFFSET($AG$2,,,COUNTIF($AG$2:$AG$50,"?*"),23),7,FALSE)&lt;&gt;0,VLOOKUP(J42,OFFSET($AG$2,,,COUNTIF($AG$2:$AG$50,"?*"),23),7,FALSE),"?"),"")</f>
        <v>14</v>
      </c>
      <c r="K44" s="448" t="str">
        <f ca="1">IFERROR(VLOOKUP(J42,OFFSET($AG$2,,,COUNTIF($AG$2:$AG$50,"?*"),23),19,FALSE),"")</f>
        <v>282 OZ, 462 (279+183)</v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>Torpedo Havířov</v>
      </c>
      <c r="O44" s="449"/>
      <c r="P44" s="449"/>
      <c r="Q44" s="448">
        <f ca="1">IFERROR(IF(VLOOKUP(J42,OFFSET($AG$2,,,COUNTIF($AG$2:$AG$50,"?*"),23),14,FALSE)&lt;&gt;0,VLOOKUP(J42,OFFSET($AG$2,,,COUNTIF($AG$2:$AG$50,"?*"),23),14,FALSE),"?"),"")</f>
        <v>2000</v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3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5"/>
        <v/>
      </c>
      <c r="AV44" s="127" t="str">
        <f t="shared" si="26"/>
        <v/>
      </c>
      <c r="AW44" s="128" t="str">
        <f t="shared" si="27"/>
        <v/>
      </c>
      <c r="AX44" s="129" t="str">
        <f t="shared" ca="1" si="24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9"/>
        <v/>
      </c>
      <c r="BF44" s="62" t="str">
        <f t="shared" si="8"/>
        <v/>
      </c>
      <c r="BG44" s="3" t="str">
        <f t="shared" ca="1" si="9"/>
        <v/>
      </c>
      <c r="BH44" s="62" t="str">
        <f t="shared" ca="1" si="30"/>
        <v/>
      </c>
      <c r="BI44" s="3" t="str">
        <f t="shared" ca="1" si="10"/>
        <v/>
      </c>
      <c r="BJ44" s="62" t="str">
        <f t="shared" ca="1" si="31"/>
        <v/>
      </c>
      <c r="BK44" s="3" t="str">
        <f t="shared" ca="1" si="11"/>
        <v/>
      </c>
      <c r="BL44" s="62" t="str">
        <f t="shared" ca="1" si="32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366</v>
      </c>
      <c r="T45" s="102">
        <v>15</v>
      </c>
      <c r="U45" s="112">
        <v>902.72</v>
      </c>
      <c r="V45" s="102">
        <v>13</v>
      </c>
      <c r="W45" s="102">
        <v>52</v>
      </c>
      <c r="X45" s="102">
        <v>0</v>
      </c>
      <c r="Y45" s="102">
        <v>217</v>
      </c>
      <c r="Z45" s="102">
        <v>0</v>
      </c>
      <c r="AA45" s="102">
        <v>2</v>
      </c>
      <c r="AB45" s="102">
        <v>165</v>
      </c>
      <c r="AC45" s="102">
        <v>2</v>
      </c>
      <c r="AD45" s="102">
        <v>0</v>
      </c>
      <c r="AE45" s="112">
        <f>IF(S45&lt;&gt;"",IF(T45&gt;0,W45/(U45/60),0),"")</f>
        <v>3.4562211981566819</v>
      </c>
      <c r="AF45" s="112">
        <f>IF(S45&lt;&gt;"",IF(Y45&gt;0,(AB45/Y45)*100,"-"),"")</f>
        <v>76.036866359447004</v>
      </c>
      <c r="AG45" s="121"/>
      <c r="AH45" s="122"/>
      <c r="AI45" s="123"/>
      <c r="AJ45" s="123"/>
      <c r="AK45" s="123"/>
      <c r="AL45" s="124" t="str">
        <f t="shared" si="3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5"/>
        <v/>
      </c>
      <c r="AV45" s="127" t="str">
        <f t="shared" si="26"/>
        <v/>
      </c>
      <c r="AW45" s="128" t="str">
        <f t="shared" si="27"/>
        <v/>
      </c>
      <c r="AX45" s="129" t="str">
        <f t="shared" ca="1" si="24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9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30"/>
        <v/>
      </c>
      <c r="BI45" s="89" t="str">
        <f t="shared" ca="1" si="10"/>
        <v/>
      </c>
      <c r="BJ45" s="90" t="str">
        <f t="shared" ca="1" si="31"/>
        <v/>
      </c>
      <c r="BK45" s="89" t="str">
        <f t="shared" ca="1" si="11"/>
        <v/>
      </c>
      <c r="BL45" s="90" t="str">
        <f t="shared" ca="1" si="32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371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34">IF(S46&lt;&gt;"",IF(T46&gt;0,W46/(U46/60),0),"")</f>
        <v>1</v>
      </c>
      <c r="AF46" s="112">
        <f t="shared" ref="AF46:AF50" si="35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3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5"/>
        <v/>
      </c>
      <c r="AV46" s="127" t="str">
        <f t="shared" si="26"/>
        <v/>
      </c>
      <c r="AW46" s="128" t="str">
        <f t="shared" si="27"/>
        <v/>
      </c>
      <c r="AX46" s="129" t="str">
        <f t="shared" ca="1" si="24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9"/>
        <v/>
      </c>
      <c r="BF46" s="62" t="str">
        <f t="shared" si="8"/>
        <v/>
      </c>
      <c r="BG46" s="3" t="str">
        <f t="shared" ca="1" si="9"/>
        <v/>
      </c>
      <c r="BH46" s="62" t="str">
        <f t="shared" ca="1" si="30"/>
        <v/>
      </c>
      <c r="BI46" s="3" t="str">
        <f t="shared" ca="1" si="10"/>
        <v/>
      </c>
      <c r="BJ46" s="62" t="str">
        <f t="shared" ca="1" si="31"/>
        <v/>
      </c>
      <c r="BK46" s="3" t="str">
        <f t="shared" ca="1" si="11"/>
        <v/>
      </c>
      <c r="BL46" s="62" t="str">
        <f t="shared" ca="1" si="32"/>
        <v/>
      </c>
      <c r="BM46" s="3" t="str">
        <f t="shared" ca="1" si="12"/>
        <v/>
      </c>
    </row>
    <row r="47" spans="1:65" ht="15" customHeight="1" thickTop="1" x14ac:dyDescent="0.2">
      <c r="A47" s="465" t="s">
        <v>390</v>
      </c>
      <c r="B47" s="466"/>
      <c r="C47" s="466"/>
      <c r="D47" s="466"/>
      <c r="E47" s="461" t="str">
        <f ca="1">IFERROR(VLOOKUP(A47,OFFSET($BN$2,,,COUNTIF($BN$2:$BN$11,"?*"),5),3,FALSE),"")</f>
        <v>hlavní trenér</v>
      </c>
      <c r="F47" s="461"/>
      <c r="G47" s="461"/>
      <c r="H47" s="461"/>
      <c r="I47" s="462"/>
      <c r="J47" s="465" t="s">
        <v>392</v>
      </c>
      <c r="K47" s="466"/>
      <c r="L47" s="466"/>
      <c r="M47" s="466"/>
      <c r="N47" s="461" t="str">
        <f ca="1">IFERROR(VLOOKUP(J47,OFFSET($BN$2,,,COUNTIF($BN$2:$BN$11,"?*"),5),3,FALSE),"")</f>
        <v>kondiční trenér</v>
      </c>
      <c r="O47" s="461"/>
      <c r="P47" s="461"/>
      <c r="Q47" s="461"/>
      <c r="R47" s="462"/>
      <c r="S47" s="111" t="s">
        <v>1087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4"/>
        <v>0</v>
      </c>
      <c r="AF47" s="112" t="str">
        <f t="shared" si="35"/>
        <v>-</v>
      </c>
      <c r="AG47" s="121"/>
      <c r="AH47" s="122"/>
      <c r="AI47" s="123"/>
      <c r="AJ47" s="123"/>
      <c r="AK47" s="123"/>
      <c r="AL47" s="124" t="str">
        <f t="shared" si="3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5"/>
        <v/>
      </c>
      <c r="AV47" s="127" t="str">
        <f t="shared" si="26"/>
        <v/>
      </c>
      <c r="AW47" s="128" t="str">
        <f t="shared" si="27"/>
        <v/>
      </c>
      <c r="AX47" s="129" t="str">
        <f t="shared" ca="1" si="24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9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30"/>
        <v/>
      </c>
      <c r="BI47" s="89" t="str">
        <f t="shared" ca="1" si="10"/>
        <v/>
      </c>
      <c r="BJ47" s="90" t="str">
        <f t="shared" ca="1" si="31"/>
        <v/>
      </c>
      <c r="BK47" s="89" t="str">
        <f t="shared" ca="1" si="11"/>
        <v/>
      </c>
      <c r="BL47" s="90" t="str">
        <f t="shared" ca="1" si="32"/>
        <v/>
      </c>
      <c r="BM47" s="89" t="str">
        <f t="shared" ca="1" si="12"/>
        <v/>
      </c>
    </row>
    <row r="48" spans="1:65" ht="15" customHeight="1" thickBot="1" x14ac:dyDescent="0.25">
      <c r="A48" s="451">
        <f ca="1">IFERROR(VLOOKUP(A47,OFFSET($BN$2,,,COUNTIF($BN$2:$BN$11,"?*"),5),5,FALSE),"")</f>
        <v>39</v>
      </c>
      <c r="B48" s="453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53"/>
      <c r="D48" s="453"/>
      <c r="E48" s="453"/>
      <c r="F48" s="453"/>
      <c r="G48" s="453"/>
      <c r="H48" s="453"/>
      <c r="I48" s="454"/>
      <c r="J48" s="119">
        <f ca="1">IFERROR(VLOOKUP(J47,OFFSET($BN$2,,,COUNTIF($BN$2:$BN$11,"?*"),5),5,FALSE),"")</f>
        <v>31</v>
      </c>
      <c r="K48" s="457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34"/>
        <v/>
      </c>
      <c r="AF48" s="112" t="str">
        <f t="shared" si="35"/>
        <v/>
      </c>
      <c r="AG48" s="121"/>
      <c r="AH48" s="122"/>
      <c r="AI48" s="123"/>
      <c r="AJ48" s="123"/>
      <c r="AK48" s="123"/>
      <c r="AL48" s="124" t="str">
        <f t="shared" si="3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5"/>
        <v/>
      </c>
      <c r="AV48" s="127" t="str">
        <f t="shared" si="26"/>
        <v/>
      </c>
      <c r="AW48" s="128" t="str">
        <f t="shared" si="27"/>
        <v/>
      </c>
      <c r="AX48" s="129" t="str">
        <f t="shared" ca="1" si="24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9"/>
        <v/>
      </c>
      <c r="BF48" s="62" t="str">
        <f t="shared" si="8"/>
        <v/>
      </c>
      <c r="BG48" s="3" t="str">
        <f t="shared" ca="1" si="9"/>
        <v/>
      </c>
      <c r="BH48" s="62" t="str">
        <f t="shared" ca="1" si="30"/>
        <v/>
      </c>
      <c r="BI48" s="3" t="str">
        <f t="shared" ca="1" si="10"/>
        <v/>
      </c>
      <c r="BJ48" s="62" t="str">
        <f t="shared" ca="1" si="31"/>
        <v/>
      </c>
      <c r="BK48" s="3" t="str">
        <f t="shared" ca="1" si="11"/>
        <v/>
      </c>
      <c r="BL48" s="62" t="str">
        <f t="shared" ca="1" si="32"/>
        <v/>
      </c>
      <c r="BM48" s="3" t="str">
        <f t="shared" ca="1" si="12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 t="s">
        <v>394</v>
      </c>
      <c r="K49" s="460"/>
      <c r="L49" s="460"/>
      <c r="M49" s="460"/>
      <c r="N49" s="461" t="str">
        <f ca="1">IFERROR(VLOOKUP(J49,OFFSET($BN$2,,,COUNTIF($BN$2:$BN$11,"?*"),5),3,FALSE),"")</f>
        <v>asistent trenéra</v>
      </c>
      <c r="O49" s="461"/>
      <c r="P49" s="461"/>
      <c r="Q49" s="461"/>
      <c r="R49" s="462"/>
      <c r="S49" s="111"/>
      <c r="U49" s="112"/>
      <c r="AE49" s="112" t="str">
        <f t="shared" si="34"/>
        <v/>
      </c>
      <c r="AF49" s="112" t="str">
        <f t="shared" si="35"/>
        <v/>
      </c>
      <c r="AG49" s="121"/>
      <c r="AH49" s="122"/>
      <c r="AI49" s="123"/>
      <c r="AJ49" s="123"/>
      <c r="AK49" s="123"/>
      <c r="AL49" s="124" t="str">
        <f t="shared" si="3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5"/>
        <v/>
      </c>
      <c r="AV49" s="127" t="str">
        <f t="shared" si="26"/>
        <v/>
      </c>
      <c r="AW49" s="128" t="str">
        <f t="shared" si="27"/>
        <v/>
      </c>
      <c r="AX49" s="129" t="str">
        <f t="shared" ca="1" si="24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9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30"/>
        <v/>
      </c>
      <c r="BI49" s="89" t="str">
        <f t="shared" ca="1" si="10"/>
        <v/>
      </c>
      <c r="BJ49" s="90" t="str">
        <f t="shared" ca="1" si="31"/>
        <v/>
      </c>
      <c r="BK49" s="89" t="str">
        <f t="shared" ca="1" si="11"/>
        <v/>
      </c>
      <c r="BL49" s="90" t="str">
        <f t="shared" ca="1" si="32"/>
        <v/>
      </c>
      <c r="BM49" s="89" t="str">
        <f t="shared" ca="1" si="12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>
        <f ca="1">IFERROR(VLOOKUP(J49,OFFSET($BN$2,,,COUNTIF($BN$2:$BN$11,"?*"),5),5,FALSE),"")</f>
        <v>38</v>
      </c>
      <c r="K50" s="457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34"/>
        <v/>
      </c>
      <c r="AF50" s="112" t="str">
        <f t="shared" si="35"/>
        <v/>
      </c>
      <c r="AG50" s="12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122"/>
      <c r="AI50" s="123"/>
      <c r="AJ50" s="123"/>
      <c r="AK50" s="123"/>
      <c r="AL50" s="124">
        <f>IF(AG50&lt;&gt;"",AJ50+AK50,"")</f>
        <v>0</v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>?</v>
      </c>
      <c r="AV50" s="127" t="str">
        <f>IF(AG50&lt;&gt;"",CONCATENATE(IF(AQ50&lt;&gt;"",AQ50,"? "),"/",IF(AR50&lt;&gt;"",AR50," ?")),"")</f>
        <v>? / ?</v>
      </c>
      <c r="AW50" s="128" t="str">
        <f ca="1">IF(AG50&lt;&gt;"",IF(BE50=1,BD50,IF(BH50=1,BG50,IF(BJ50=1,BI50,IF(BL50=1,BK50,BM50)))),"")</f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AZ50" s="130"/>
      <c r="BA50" s="130"/>
      <c r="BB50" s="130"/>
      <c r="BC50" s="130"/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84">
        <f t="shared" ca="1" si="29"/>
        <v>0</v>
      </c>
      <c r="BF50" s="62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62">
        <f t="shared" ca="1" si="30"/>
        <v>0</v>
      </c>
      <c r="BI50" s="3" t="str">
        <f ca="1">IF(AND($AG50&lt;&gt;"",BH50&gt;1),CONCATENATE($BD50," ",LEFT($AG50,MIN(2,SEARCH(" ",$AG50)-1)),IF(SEARCH(" ",$AG50)-1&gt;2,".",""),""),"")</f>
        <v/>
      </c>
      <c r="BJ50" s="62">
        <f t="shared" ca="1" si="31"/>
        <v>0</v>
      </c>
      <c r="BK50" s="3" t="str">
        <f ca="1">IF(AND($AG50&lt;&gt;"",BJ50&gt;1),CONCATENATE($BD50," ",LEFT($AG50,MIN(3,SEARCH(" ",$AG50)-1)),IF(SEARCH(" ",$AG50)-1&gt;3,".",""),""),"")</f>
        <v/>
      </c>
      <c r="BL50" s="62">
        <f t="shared" ca="1" si="32"/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75" priority="12" stopIfTrue="1" operator="equal">
      <formula>"OTR"</formula>
    </cfRule>
    <cfRule type="cellIs" dxfId="374" priority="13" stopIfTrue="1" operator="equal">
      <formula>"PAR"</formula>
    </cfRule>
    <cfRule type="cellIs" dxfId="373" priority="14" stopIfTrue="1" operator="equal">
      <formula>"CLP"</formula>
    </cfRule>
    <cfRule type="cellIs" dxfId="372" priority="15" stopIfTrue="1" operator="equal">
      <formula>"HAT"</formula>
    </cfRule>
    <cfRule type="cellIs" dxfId="371" priority="16" stopIfTrue="1" operator="equal">
      <formula>"LIB"</formula>
    </cfRule>
    <cfRule type="cellIs" dxfId="370" priority="17" stopIfTrue="1" operator="equal">
      <formula>"BA"</formula>
    </cfRule>
    <cfRule type="cellIs" dxfId="369" priority="18" stopIfTrue="1" operator="equal">
      <formula>"SPA"</formula>
    </cfRule>
    <cfRule type="cellIs" dxfId="368" priority="19" stopIfTrue="1" operator="equal">
      <formula>"OST"</formula>
    </cfRule>
    <cfRule type="cellIs" dxfId="367" priority="20" stopIfTrue="1" operator="equal">
      <formula>"BOH"</formula>
    </cfRule>
    <cfRule type="cellIs" dxfId="366" priority="21" stopIfTrue="1" operator="equal">
      <formula>"TAT"</formula>
    </cfRule>
    <cfRule type="cellIs" dxfId="365" priority="22" stopIfTrue="1" operator="equal">
      <formula>"MB"</formula>
    </cfRule>
    <cfRule type="cellIs" dxfId="364" priority="23" stopIfTrue="1" operator="equal">
      <formula>"VIT"</formula>
    </cfRule>
    <cfRule type="cellIs" dxfId="363" priority="24" stopIfTrue="1" operator="equal">
      <formula>"CHO"</formula>
    </cfRule>
    <cfRule type="cellIs" dxfId="362" priority="25" stopIfTrue="1" operator="equal">
      <formula>"SKV"</formula>
    </cfRule>
  </conditionalFormatting>
  <conditionalFormatting sqref="H19:K20">
    <cfRule type="cellIs" dxfId="361" priority="40" stopIfTrue="1" operator="equal">
      <formula>"OTR"</formula>
    </cfRule>
    <cfRule type="cellIs" dxfId="360" priority="41" stopIfTrue="1" operator="equal">
      <formula>"PAR"</formula>
    </cfRule>
    <cfRule type="cellIs" dxfId="359" priority="42" stopIfTrue="1" operator="equal">
      <formula>"CLP"</formula>
    </cfRule>
    <cfRule type="cellIs" dxfId="358" priority="43" stopIfTrue="1" operator="equal">
      <formula>"HAT"</formula>
    </cfRule>
    <cfRule type="cellIs" dxfId="357" priority="44" stopIfTrue="1" operator="equal">
      <formula>"LIB"</formula>
    </cfRule>
    <cfRule type="cellIs" dxfId="356" priority="45" stopIfTrue="1" operator="equal">
      <formula>"BA"</formula>
    </cfRule>
    <cfRule type="cellIs" dxfId="355" priority="46" stopIfTrue="1" operator="equal">
      <formula>"SPA"</formula>
    </cfRule>
    <cfRule type="cellIs" dxfId="354" priority="47" stopIfTrue="1" operator="equal">
      <formula>"OST"</formula>
    </cfRule>
    <cfRule type="cellIs" dxfId="353" priority="48" stopIfTrue="1" operator="equal">
      <formula>"BOH"</formula>
    </cfRule>
    <cfRule type="cellIs" dxfId="352" priority="49" stopIfTrue="1" operator="equal">
      <formula>"TAT"</formula>
    </cfRule>
    <cfRule type="cellIs" dxfId="351" priority="50" stopIfTrue="1" operator="equal">
      <formula>"MB"</formula>
    </cfRule>
    <cfRule type="cellIs" dxfId="350" priority="51" stopIfTrue="1" operator="equal">
      <formula>"VIT"</formula>
    </cfRule>
    <cfRule type="cellIs" dxfId="349" priority="52" stopIfTrue="1" operator="equal">
      <formula>"CHO"</formula>
    </cfRule>
    <cfRule type="cellIs" dxfId="348" priority="53" stopIfTrue="1" operator="equal">
      <formula>"SKV"</formula>
    </cfRule>
  </conditionalFormatting>
  <conditionalFormatting sqref="H8:K9">
    <cfRule type="cellIs" dxfId="347" priority="26" stopIfTrue="1" operator="equal">
      <formula>"OTR"</formula>
    </cfRule>
    <cfRule type="cellIs" dxfId="346" priority="27" stopIfTrue="1" operator="equal">
      <formula>"PAR"</formula>
    </cfRule>
    <cfRule type="cellIs" dxfId="345" priority="28" stopIfTrue="1" operator="equal">
      <formula>"CLP"</formula>
    </cfRule>
    <cfRule type="cellIs" dxfId="344" priority="29" stopIfTrue="1" operator="equal">
      <formula>"HAT"</formula>
    </cfRule>
    <cfRule type="cellIs" dxfId="343" priority="30" stopIfTrue="1" operator="equal">
      <formula>"LIB"</formula>
    </cfRule>
    <cfRule type="cellIs" dxfId="342" priority="31" stopIfTrue="1" operator="equal">
      <formula>"BA"</formula>
    </cfRule>
    <cfRule type="cellIs" dxfId="341" priority="32" stopIfTrue="1" operator="equal">
      <formula>"SPA"</formula>
    </cfRule>
    <cfRule type="cellIs" dxfId="340" priority="33" stopIfTrue="1" operator="equal">
      <formula>"OST"</formula>
    </cfRule>
    <cfRule type="cellIs" dxfId="339" priority="34" stopIfTrue="1" operator="equal">
      <formula>"BOH"</formula>
    </cfRule>
    <cfRule type="cellIs" dxfId="338" priority="35" stopIfTrue="1" operator="equal">
      <formula>"TAT"</formula>
    </cfRule>
    <cfRule type="cellIs" dxfId="337" priority="36" stopIfTrue="1" operator="equal">
      <formula>"MB"</formula>
    </cfRule>
    <cfRule type="cellIs" dxfId="336" priority="37" stopIfTrue="1" operator="equal">
      <formula>"VIT"</formula>
    </cfRule>
    <cfRule type="cellIs" dxfId="335" priority="38" stopIfTrue="1" operator="equal">
      <formula>"CHO"</formula>
    </cfRule>
    <cfRule type="cellIs" dxfId="334" priority="39" stopIfTrue="1" operator="equal">
      <formula>"SKV"</formula>
    </cfRule>
  </conditionalFormatting>
  <conditionalFormatting sqref="S2:S42">
    <cfRule type="expression" dxfId="333" priority="10" stopIfTrue="1">
      <formula>IFERROR(IF(VLOOKUP($S2,OFFSET($AG$2,,,COUNTIF($AG$2:$AG$50,"?*")),1,FALSE)&lt;&gt;0,1,0),0)&gt;0</formula>
    </cfRule>
  </conditionalFormatting>
  <conditionalFormatting sqref="S2:S42">
    <cfRule type="expression" dxfId="332" priority="11">
      <formula>IFERROR(IF(VLOOKUP($S2,OFFSET($AG$2,,,COUNTIF($AG$2:$AG$50,"?*")),1,FALSE)&lt;&gt;0,1,0),0)=0</formula>
    </cfRule>
  </conditionalFormatting>
  <conditionalFormatting sqref="S45:S50">
    <cfRule type="expression" dxfId="331" priority="9">
      <formula>IFERROR(IF(VLOOKUP($S45,OFFSET($AG$2,,,COUNTIF($AG$2:$AG$50,"?*")),1,FALSE)&lt;&gt;0,1,0),0)&gt;0</formula>
    </cfRule>
  </conditionalFormatting>
  <conditionalFormatting sqref="S45:S50">
    <cfRule type="expression" dxfId="330" priority="8">
      <formula>IFERROR(IF(VLOOKUP($S45,OFFSET($AG$2,,,COUNTIF($AG$2:$AG$50,"?*")),1,FALSE)&lt;&gt;0,1,0),0)=0</formula>
    </cfRule>
  </conditionalFormatting>
  <conditionalFormatting sqref="AG2:AG50">
    <cfRule type="expression" dxfId="329" priority="5" stopIfTrue="1">
      <formula>OR($AH2="",$AI2="",$AJ2="",$AK2="",$AL2="",$AM2="",$AN2="",$AQ2="",$AR2="",$AS2="",$AT2="")</formula>
    </cfRule>
    <cfRule type="expression" dxfId="328" priority="6" stopIfTrue="1">
      <formula>IFERROR(IF(VLOOKUP($AG2,OFFSET($S$2,,,COUNTIF($S$2:$S$42,"?*")),1,FALSE)&lt;&gt;0,1,0),0)=0</formula>
    </cfRule>
    <cfRule type="expression" dxfId="327" priority="7">
      <formula>IFERROR(IF(VLOOKUP($AG2,OFFSET($S$2,,,COUNTIF($S$2:$S$42,"?*")),1,FALSE)&lt;&gt;0,1,0),0)&gt;0</formula>
    </cfRule>
  </conditionalFormatting>
  <conditionalFormatting sqref="AM2:BC50 AG2:AK50">
    <cfRule type="expression" dxfId="326" priority="4">
      <formula>AND($AG2&lt;&gt;"",MOD(ROW($AG2),2)=0)</formula>
    </cfRule>
  </conditionalFormatting>
  <conditionalFormatting sqref="BN2:BR11">
    <cfRule type="expression" dxfId="325" priority="3">
      <formula>AND($BN2&lt;&gt;"",MOD(ROW($BN2),2)=0)</formula>
    </cfRule>
  </conditionalFormatting>
  <conditionalFormatting sqref="AL2:AL50">
    <cfRule type="expression" dxfId="32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/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7" t="s">
        <v>1</v>
      </c>
      <c r="I1" s="427"/>
      <c r="J1" s="427"/>
      <c r="K1" s="427"/>
      <c r="M1" s="425"/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3">
      <c r="A2" s="4" t="str">
        <f ca="1">IFERROR(IF(VLOOKUP(A1,OFFSET($AG$2,,,COUNTIF($AG$2:$AG$50,"?*"),23),10,FALSE)&lt;&gt;0,VLOOKUP(A1,OFFSET($AG$2,,,COUNTIF($AG$2:$AG$50,"?*"),23),10,FALSE),""),"")</f>
        <v/>
      </c>
      <c r="B2" s="428" t="str">
        <f ca="1">IFERROR(IF(VLOOKUP(A1,OFFSET($AG$2,,,COUNTIF($AG$2:$AG$50,"?*"),23),2,FALSE)&lt;&gt;0,YEAR(VLOOKUP(A1,OFFSET($AG$2,,,COUNTIF($AG$2:$AG$50,"?*"),23),2,FALSE)),""),"")</f>
        <v/>
      </c>
      <c r="C2" s="429"/>
      <c r="D2" s="117" t="str">
        <f ca="1">IFERROR(VLOOKUP(A1,OFFSET($AG$2,,,COUNTIF($AG$2:$AG$50,"?*"),23),15,FALSE),"")</f>
        <v/>
      </c>
      <c r="E2" s="419" t="str">
        <f ca="1">IFERROR(VLOOKUP(A1,OFFSET($AG$2,,,COUNTIF($AG$2:$AG$50,"?*"),23),16,FALSE),"")</f>
        <v/>
      </c>
      <c r="F2" s="420"/>
      <c r="M2" s="4" t="str">
        <f ca="1">IFERROR(IF(VLOOKUP(M1,OFFSET($AG$2,,,COUNTIF($AG$2:$AG$50,"?*"),23),10,FALSE)&lt;&gt;0,VLOOKUP(M1,OFFSET($AG$2,,,COUNTIF($AG$2:$AG$50,"?*"),23),10,FALSE),""),"")</f>
        <v/>
      </c>
      <c r="N2" s="428" t="str">
        <f ca="1">IFERROR(IF(VLOOKUP(M1,OFFSET($AG$2,,,COUNTIF($AG$2:$AG$50,"?*"),23),2,FALSE)&lt;&gt;0,YEAR(VLOOKUP(M1,OFFSET($AG$2,,,COUNTIF($AG$2:$AG$50,"?*"),23),2,FALSE)),""),"")</f>
        <v/>
      </c>
      <c r="O2" s="429"/>
      <c r="P2" s="117" t="str">
        <f ca="1">IFERROR(VLOOKUP(M1,OFFSET($AG$2,,,COUNTIF($AG$2:$AG$50,"?*"),23),15,FALSE),"")</f>
        <v/>
      </c>
      <c r="Q2" s="419" t="str">
        <f ca="1">IFERROR(VLOOKUP(M1,OFFSET($AG$2,,,COUNTIF($AG$2:$AG$50,"?*"),23),16,FALSE),"")</f>
        <v/>
      </c>
      <c r="R2" s="420"/>
      <c r="S2" s="110" t="s">
        <v>701</v>
      </c>
      <c r="T2" s="102" t="s">
        <v>106</v>
      </c>
      <c r="U2" s="102">
        <v>16</v>
      </c>
      <c r="V2" s="102">
        <v>15</v>
      </c>
      <c r="W2" s="102">
        <v>4</v>
      </c>
      <c r="X2" s="102">
        <v>0</v>
      </c>
      <c r="Y2" s="102">
        <v>16</v>
      </c>
      <c r="Z2" s="102">
        <v>31</v>
      </c>
      <c r="AA2" s="102">
        <v>2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V, 6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4" t="s">
        <v>35</v>
      </c>
      <c r="BT2" s="104" t="s">
        <v>1099</v>
      </c>
      <c r="BU2" s="103">
        <v>31</v>
      </c>
      <c r="BV2" s="104" t="str">
        <f>IFERROR(RIGHT(BT2,LEN(BT2)-SEARCH(" ",BT2)),"")</f>
        <v>Michal Sládek</v>
      </c>
      <c r="BW2" s="102">
        <f>IF(BT2&lt;&gt;0,_xlfn.NUMBERVALUE(BU2,","),"")</f>
        <v>31</v>
      </c>
      <c r="BX2" s="463" t="s">
        <v>191</v>
      </c>
      <c r="BY2" s="103" t="s">
        <v>1048</v>
      </c>
      <c r="CA2"/>
    </row>
    <row r="3" spans="1:79" ht="15" customHeight="1" thickTop="1" thickBot="1" x14ac:dyDescent="0.3">
      <c r="A3" s="421" t="str">
        <f ca="1">IFERROR(VLOOKUP(A1,OFFSET($AG$2,,,COUNTIF($AG$2:$AG$50,"?*"),23),18,FALSE),"")</f>
        <v/>
      </c>
      <c r="B3" s="422"/>
      <c r="C3" s="422"/>
      <c r="D3" s="423" t="str">
        <f ca="1">IFERROR(VLOOKUP(A1,OFFSET($AG$2,,,COUNTIF($AG$2:$AG$50,"?*"),23),19,FALSE),"")</f>
        <v/>
      </c>
      <c r="E3" s="423"/>
      <c r="F3" s="424"/>
      <c r="G3" s="425"/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1" t="str">
        <f ca="1">IFERROR(VLOOKUP(M1,OFFSET($AG$2,,,COUNTIF($AG$2:$AG$50,"?*"),23),18,FALSE),"")</f>
        <v/>
      </c>
      <c r="N3" s="422"/>
      <c r="O3" s="422"/>
      <c r="P3" s="423" t="str">
        <f ca="1">IFERROR(VLOOKUP(M1,OFFSET($AG$2,,,COUNTIF($AG$2:$AG$50,"?*"),23),19,FALSE),"")</f>
        <v/>
      </c>
      <c r="Q3" s="423"/>
      <c r="R3" s="424"/>
      <c r="S3" s="110" t="s">
        <v>702</v>
      </c>
      <c r="T3" s="102" t="s">
        <v>106</v>
      </c>
      <c r="U3" s="102">
        <v>15</v>
      </c>
      <c r="V3" s="102">
        <v>9</v>
      </c>
      <c r="W3" s="102">
        <v>1</v>
      </c>
      <c r="X3" s="102">
        <v>0</v>
      </c>
      <c r="Y3" s="102">
        <v>18</v>
      </c>
      <c r="Z3" s="102">
        <v>27</v>
      </c>
      <c r="AA3" s="102">
        <v>4</v>
      </c>
      <c r="AB3" s="102">
        <v>24</v>
      </c>
      <c r="AC3" s="102" t="str">
        <f t="shared" ca="1" si="0"/>
        <v>ANO</v>
      </c>
      <c r="AG3" s="121" t="s">
        <v>473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16 OZ, 19 (15+4), +8 ±</v>
      </c>
      <c r="AY3" s="129" t="str">
        <f t="shared" ca="1" si="2"/>
        <v>16 OZ, 19 (15+4)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4"/>
      <c r="BT3" s="104" t="s">
        <v>1100</v>
      </c>
      <c r="BU3" s="103">
        <v>27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27</v>
      </c>
      <c r="BX3" s="463"/>
      <c r="BY3" s="103" t="s">
        <v>1039</v>
      </c>
      <c r="CA3"/>
    </row>
    <row r="4" spans="1:79" ht="15" customHeight="1" thickBot="1" x14ac:dyDescent="0.3">
      <c r="A4" s="430" t="str">
        <f ca="1">IFERROR(IF(VLOOKUP(A1,OFFSET($AG$2,,,COUNTIF($AG$2:$AG$50,"?*"),23),13,FALSE)&lt;&gt;0,VLOOKUP(A1,OFFSET($AG$2,,,COUNTIF($AG$2:$AG$50,"?*"),23),13,FALSE),"?"),"")</f>
        <v/>
      </c>
      <c r="B4" s="431"/>
      <c r="C4" s="432"/>
      <c r="D4" s="433" t="str">
        <f ca="1">IFERROR(IF(VLOOKUP(A1,OFFSET($AG$2,,,COUNTIF($AG$2:$AG$50,"?*"),23),14,FALSE)&lt;&gt;0,VLOOKUP(A1,OFFSET($AG$2,,,COUNTIF($AG$2:$AG$50,"?*"),23),14,FALSE),"?"),"")</f>
        <v/>
      </c>
      <c r="E4" s="43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8" t="str">
        <f ca="1">IFERROR(IF(VLOOKUP(G3,OFFSET($AG$2,,,COUNTIF($AG$2:$AG$50,"?*"),23),2,FALSE)&lt;&gt;0,YEAR(VLOOKUP(G3,OFFSET($AG$2,,,COUNTIF($AG$2:$AG$50,"?*"),23),2,FALSE)),""),"")</f>
        <v/>
      </c>
      <c r="I4" s="429"/>
      <c r="J4" s="117" t="str">
        <f ca="1">IFERROR(VLOOKUP(G3,OFFSET($AG$2,,,COUNTIF($AG$2:$AG$50,"?*"),23),15,FALSE),"")</f>
        <v/>
      </c>
      <c r="K4" s="419" t="str">
        <f ca="1">IFERROR(VLOOKUP(G3,OFFSET($AG$2,,,COUNTIF($AG$2:$AG$50,"?*"),23),16,FALSE),"")</f>
        <v/>
      </c>
      <c r="L4" s="420"/>
      <c r="M4" s="430" t="str">
        <f ca="1">IFERROR(IF(VLOOKUP(M1,OFFSET($AG$2,,,COUNTIF($AG$2:$AG$50,"?*"),23),13,FALSE)&lt;&gt;0,VLOOKUP(M1,OFFSET($AG$2,,,COUNTIF($AG$2:$AG$50,"?*"),23),13,FALSE),"?"),"")</f>
        <v/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/>
      </c>
      <c r="Q4" s="43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703</v>
      </c>
      <c r="U4" s="102">
        <v>16</v>
      </c>
      <c r="V4" s="102">
        <v>18</v>
      </c>
      <c r="W4" s="102">
        <v>3</v>
      </c>
      <c r="X4" s="102">
        <v>0</v>
      </c>
      <c r="Y4" s="102">
        <v>6</v>
      </c>
      <c r="Z4" s="102">
        <v>24</v>
      </c>
      <c r="AA4" s="102">
        <v>4</v>
      </c>
      <c r="AB4" s="102">
        <v>0</v>
      </c>
      <c r="AC4" s="102" t="str">
        <f t="shared" ca="1" si="0"/>
        <v>ANO</v>
      </c>
      <c r="AG4" s="121" t="s">
        <v>709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16 OZ, 6 (5+1), -1 ±</v>
      </c>
      <c r="AY4" s="129" t="str">
        <f t="shared" ca="1" si="2"/>
        <v>16 OZ, 6 (5+1)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4"/>
      <c r="BT4" s="104" t="s">
        <v>1416</v>
      </c>
      <c r="BU4" s="103">
        <v>24</v>
      </c>
      <c r="BV4" s="104" t="str">
        <f t="shared" si="13"/>
        <v>Daniel Chatrný</v>
      </c>
      <c r="BW4" s="102">
        <f t="shared" si="14"/>
        <v>24</v>
      </c>
      <c r="BX4" s="463"/>
      <c r="BY4" s="103" t="s">
        <v>1331</v>
      </c>
      <c r="CA4"/>
    </row>
    <row r="5" spans="1:79" ht="15" customHeight="1" thickTop="1" thickBot="1" x14ac:dyDescent="0.3">
      <c r="A5" s="8"/>
      <c r="B5" s="8"/>
      <c r="C5" s="8"/>
      <c r="D5" s="8"/>
      <c r="G5" s="421" t="str">
        <f ca="1">IFERROR(VLOOKUP(G3,OFFSET($AG$2,,,COUNTIF($AG$2:$AG$50,"?*"),23),18,FALSE),"")</f>
        <v/>
      </c>
      <c r="H5" s="422"/>
      <c r="I5" s="422"/>
      <c r="J5" s="423" t="str">
        <f ca="1">IFERROR(VLOOKUP(G3,OFFSET($AG$2,,,COUNTIF($AG$2:$AG$50,"?*"),23),19,FALSE),"")</f>
        <v/>
      </c>
      <c r="K5" s="423"/>
      <c r="L5" s="424"/>
      <c r="S5" s="110" t="s">
        <v>700</v>
      </c>
      <c r="U5" s="102">
        <v>12</v>
      </c>
      <c r="V5" s="102">
        <v>11</v>
      </c>
      <c r="W5" s="102">
        <v>4</v>
      </c>
      <c r="X5" s="102">
        <v>0</v>
      </c>
      <c r="Y5" s="102">
        <v>9</v>
      </c>
      <c r="Z5" s="102">
        <v>20</v>
      </c>
      <c r="AA5" s="102">
        <v>2</v>
      </c>
      <c r="AB5" s="102">
        <v>16</v>
      </c>
      <c r="AC5" s="102" t="str">
        <f t="shared" ca="1" si="0"/>
        <v>ANO</v>
      </c>
      <c r="AG5" s="121" t="s">
        <v>711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14 OZ, 1 (1+0), -8 ±</v>
      </c>
      <c r="AY5" s="129" t="str">
        <f t="shared" ca="1" si="2"/>
        <v>14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4"/>
      <c r="BT5" s="104" t="s">
        <v>756</v>
      </c>
      <c r="BU5" s="103">
        <v>20</v>
      </c>
      <c r="BV5" s="104" t="str">
        <f t="shared" si="13"/>
        <v>Wojciech Malajka</v>
      </c>
      <c r="BW5" s="102">
        <f t="shared" si="14"/>
        <v>20</v>
      </c>
      <c r="BX5" s="463"/>
      <c r="BY5" s="103" t="s">
        <v>997</v>
      </c>
      <c r="CA5"/>
    </row>
    <row r="6" spans="1:79" ht="15" customHeight="1" thickTop="1" thickBot="1" x14ac:dyDescent="0.3">
      <c r="A6" s="425"/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0" t="str">
        <f ca="1">IFERROR(IF(VLOOKUP(G3,OFFSET($AG$2,,,COUNTIF($AG$2:$AG$50,"?*"),23),13,FALSE)&lt;&gt;0,VLOOKUP(G3,OFFSET($AG$2,,,COUNTIF($AG$2:$AG$50,"?*"),23),13,FALSE),"?"),"")</f>
        <v/>
      </c>
      <c r="H6" s="431"/>
      <c r="I6" s="432"/>
      <c r="J6" s="433" t="str">
        <f ca="1">IFERROR(IF(VLOOKUP(G3,OFFSET($AG$2,,,COUNTIF($AG$2:$AG$50,"?*"),23),14,FALSE)&lt;&gt;0,VLOOKUP(G3,OFFSET($AG$2,,,COUNTIF($AG$2:$AG$50,"?*"),23),14,FALSE),"?"),"")</f>
        <v/>
      </c>
      <c r="K6" s="434"/>
      <c r="L6" s="7" t="str">
        <f ca="1">IFERROR(IF(VLOOKUP(G3,OFFSET($AG$2,,,COUNTIF($AG$2:$AG$50,"?*"),23),7,FALSE)&lt;&gt;0,VLOOKUP(G3,OFFSET($AG$2,,,COUNTIF($AG$2:$AG$50,"?*"),23),7,FALSE),"?"),"")</f>
        <v/>
      </c>
      <c r="M6" s="425"/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473</v>
      </c>
      <c r="T6" s="102" t="s">
        <v>106</v>
      </c>
      <c r="U6" s="102">
        <v>16</v>
      </c>
      <c r="V6" s="102">
        <v>15</v>
      </c>
      <c r="W6" s="102">
        <v>1</v>
      </c>
      <c r="X6" s="102">
        <v>0</v>
      </c>
      <c r="Y6" s="102">
        <v>4</v>
      </c>
      <c r="Z6" s="102">
        <v>19</v>
      </c>
      <c r="AA6" s="102">
        <v>6</v>
      </c>
      <c r="AB6" s="102">
        <v>8</v>
      </c>
      <c r="AC6" s="102" t="str">
        <f t="shared" ca="1" si="0"/>
        <v>ANO</v>
      </c>
      <c r="AG6" s="121" t="s">
        <v>703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16 OZ, 24 (18+6), 0 ±</v>
      </c>
      <c r="AY6" s="129" t="str">
        <f t="shared" ca="1" si="2"/>
        <v>16 OZ, 24 (18+6)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4"/>
      <c r="BT6" s="104" t="s">
        <v>1417</v>
      </c>
      <c r="BU6" s="103">
        <v>19</v>
      </c>
      <c r="BV6" s="104" t="str">
        <f t="shared" si="13"/>
        <v>Ladislav Gál</v>
      </c>
      <c r="BW6" s="102">
        <f t="shared" si="14"/>
        <v>19</v>
      </c>
      <c r="BX6" s="463"/>
      <c r="BY6" s="103" t="s">
        <v>1200</v>
      </c>
      <c r="CA6"/>
    </row>
    <row r="7" spans="1:79" ht="15" customHeight="1" thickBot="1" x14ac:dyDescent="0.3">
      <c r="A7" s="4" t="str">
        <f ca="1">IFERROR(IF(VLOOKUP(A6,OFFSET($AG$2,,,COUNTIF($AG$2:$AG$50,"?*"),23),10,FALSE)&lt;&gt;0,VLOOKUP(A6,OFFSET($AG$2,,,COUNTIF($AG$2:$AG$50,"?*"),23),10,FALSE),""),"")</f>
        <v/>
      </c>
      <c r="B7" s="428" t="str">
        <f ca="1">IFERROR(IF(VLOOKUP(A6,OFFSET($AG$2,,,COUNTIF($AG$2:$AG$50,"?*"),23),2,FALSE)&lt;&gt;0,YEAR(VLOOKUP(A6,OFFSET($AG$2,,,COUNTIF($AG$2:$AG$50,"?*"),23),2,FALSE)),""),"")</f>
        <v/>
      </c>
      <c r="C7" s="429"/>
      <c r="D7" s="117" t="str">
        <f ca="1">IFERROR(VLOOKUP(A6,OFFSET($AG$2,,,COUNTIF($AG$2:$AG$50,"?*"),23),15,FALSE),"")</f>
        <v/>
      </c>
      <c r="E7" s="419" t="str">
        <f ca="1">IFERROR(VLOOKUP(A6,OFFSET($AG$2,,,COUNTIF($AG$2:$AG$50,"?*"),23),16,FALSE),"")</f>
        <v/>
      </c>
      <c r="F7" s="420"/>
      <c r="M7" s="4" t="str">
        <f ca="1">IFERROR(IF(VLOOKUP(M6,OFFSET($AG$2,,,COUNTIF($AG$2:$AG$50,"?*"),23),10,FALSE)&lt;&gt;0,VLOOKUP(M6,OFFSET($AG$2,,,COUNTIF($AG$2:$AG$50,"?*"),23),10,FALSE),""),"")</f>
        <v/>
      </c>
      <c r="N7" s="428" t="str">
        <f ca="1">IFERROR(IF(VLOOKUP(M6,OFFSET($AG$2,,,COUNTIF($AG$2:$AG$50,"?*"),23),2,FALSE)&lt;&gt;0,YEAR(VLOOKUP(M6,OFFSET($AG$2,,,COUNTIF($AG$2:$AG$50,"?*"),23),2,FALSE)),""),"")</f>
        <v/>
      </c>
      <c r="O7" s="429"/>
      <c r="P7" s="117" t="str">
        <f ca="1">IFERROR(VLOOKUP(M6,OFFSET($AG$2,,,COUNTIF($AG$2:$AG$50,"?*"),23),15,FALSE),"")</f>
        <v/>
      </c>
      <c r="Q7" s="419" t="str">
        <f ca="1">IFERROR(VLOOKUP(M6,OFFSET($AG$2,,,COUNTIF($AG$2:$AG$50,"?*"),23),16,FALSE),"")</f>
        <v/>
      </c>
      <c r="R7" s="420"/>
      <c r="S7" s="110" t="s">
        <v>320</v>
      </c>
      <c r="T7" s="102" t="s">
        <v>57</v>
      </c>
      <c r="U7" s="102">
        <v>16</v>
      </c>
      <c r="V7" s="102">
        <v>5</v>
      </c>
      <c r="W7" s="102">
        <v>0</v>
      </c>
      <c r="X7" s="102">
        <v>0</v>
      </c>
      <c r="Y7" s="102">
        <v>13</v>
      </c>
      <c r="Z7" s="102">
        <v>18</v>
      </c>
      <c r="AA7" s="102">
        <v>2</v>
      </c>
      <c r="AB7" s="102">
        <v>18</v>
      </c>
      <c r="AC7" s="102" t="str">
        <f t="shared" ca="1" si="0"/>
        <v>ANO</v>
      </c>
      <c r="AG7" s="121" t="s">
        <v>317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9 OZ, 0 (0+0), -8 ±</v>
      </c>
      <c r="AY7" s="129" t="str">
        <f t="shared" ca="1" si="2"/>
        <v>9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714</v>
      </c>
      <c r="BU7" s="103" t="s">
        <v>1418</v>
      </c>
      <c r="BV7" s="104" t="str">
        <f t="shared" si="13"/>
        <v>Jan Binder</v>
      </c>
      <c r="BW7" s="112">
        <f t="shared" si="14"/>
        <v>5.05</v>
      </c>
      <c r="BX7" s="463" t="s">
        <v>192</v>
      </c>
      <c r="BY7" s="103" t="s">
        <v>1075</v>
      </c>
      <c r="CA7"/>
    </row>
    <row r="8" spans="1:79" ht="15" customHeight="1" x14ac:dyDescent="0.25">
      <c r="A8" s="421" t="str">
        <f ca="1">IFERROR(VLOOKUP(A6,OFFSET($AG$2,,,COUNTIF($AG$2:$AG$50,"?*"),23),18,FALSE),"")</f>
        <v/>
      </c>
      <c r="B8" s="422"/>
      <c r="C8" s="422"/>
      <c r="D8" s="423" t="str">
        <f ca="1">IFERROR(VLOOKUP(A6,OFFSET($AG$2,,,COUNTIF($AG$2:$AG$50,"?*"),23),19,FALSE),"")</f>
        <v/>
      </c>
      <c r="E8" s="423"/>
      <c r="F8" s="424"/>
      <c r="H8" s="435" t="s">
        <v>92</v>
      </c>
      <c r="I8" s="435"/>
      <c r="J8" s="435"/>
      <c r="K8" s="435"/>
      <c r="M8" s="421" t="str">
        <f ca="1">IFERROR(VLOOKUP(M6,OFFSET($AG$2,,,COUNTIF($AG$2:$AG$50,"?*"),23),18,FALSE),"")</f>
        <v/>
      </c>
      <c r="N8" s="422"/>
      <c r="O8" s="422"/>
      <c r="P8" s="423" t="str">
        <f ca="1">IFERROR(VLOOKUP(M6,OFFSET($AG$2,,,COUNTIF($AG$2:$AG$50,"?*"),23),19,FALSE),"")</f>
        <v/>
      </c>
      <c r="Q8" s="423"/>
      <c r="R8" s="424"/>
      <c r="S8" s="110" t="s">
        <v>713</v>
      </c>
      <c r="U8" s="102">
        <v>16</v>
      </c>
      <c r="V8" s="102">
        <v>5</v>
      </c>
      <c r="W8" s="102">
        <v>1</v>
      </c>
      <c r="X8" s="102">
        <v>0</v>
      </c>
      <c r="Y8" s="102">
        <v>8</v>
      </c>
      <c r="Z8" s="102">
        <v>13</v>
      </c>
      <c r="AA8" s="102">
        <v>4</v>
      </c>
      <c r="AB8" s="102">
        <v>17</v>
      </c>
      <c r="AC8" s="102" t="str">
        <f t="shared" ca="1" si="0"/>
        <v>ANO</v>
      </c>
      <c r="AG8" s="121" t="s">
        <v>704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16 OZ, 5 (3+2), -3 ±</v>
      </c>
      <c r="AY8" s="129" t="str">
        <f t="shared" ca="1" si="2"/>
        <v>16 OZ, 5 (3+2)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754</v>
      </c>
      <c r="BU8" s="103" t="s">
        <v>1101</v>
      </c>
      <c r="BV8" s="104" t="str">
        <f t="shared" si="13"/>
        <v>Martin Janík</v>
      </c>
      <c r="BW8" s="112">
        <f t="shared" si="14"/>
        <v>4.37</v>
      </c>
      <c r="BX8" s="463"/>
      <c r="BY8" s="103" t="s">
        <v>1232</v>
      </c>
      <c r="CA8"/>
    </row>
    <row r="9" spans="1:79" ht="15" customHeight="1" thickBot="1" x14ac:dyDescent="0.3">
      <c r="A9" s="430" t="str">
        <f ca="1">IFERROR(IF(VLOOKUP(A6,OFFSET($AG$2,,,COUNTIF($AG$2:$AG$50,"?*"),23),13,FALSE)&lt;&gt;0,VLOOKUP(A6,OFFSET($AG$2,,,COUNTIF($AG$2:$AG$50,"?*"),23),13,FALSE),"?"),"")</f>
        <v/>
      </c>
      <c r="B9" s="431"/>
      <c r="C9" s="432"/>
      <c r="D9" s="433" t="str">
        <f ca="1">IFERROR(IF(VLOOKUP(A6,OFFSET($AG$2,,,COUNTIF($AG$2:$AG$50,"?*"),23),14,FALSE)&lt;&gt;0,VLOOKUP(A6,OFFSET($AG$2,,,COUNTIF($AG$2:$AG$50,"?*"),23),14,FALSE),"?"),"")</f>
        <v/>
      </c>
      <c r="E9" s="434"/>
      <c r="F9" s="7" t="str">
        <f ca="1">IFERROR(IF(VLOOKUP(A6,OFFSET($AG$2,,,COUNTIF($AG$2:$AG$50,"?*"),23),7,FALSE)&lt;&gt;0,VLOOKUP(A6,OFFSET($AG$2,,,COUNTIF($AG$2:$AG$50,"?*"),23),7,FALSE),"?"),"")</f>
        <v/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/>
      </c>
      <c r="N9" s="431"/>
      <c r="O9" s="432"/>
      <c r="P9" s="433" t="str">
        <f ca="1">IFERROR(IF(VLOOKUP(M6,OFFSET($AG$2,,,COUNTIF($AG$2:$AG$50,"?*"),23),14,FALSE)&lt;&gt;0,VLOOKUP(M6,OFFSET($AG$2,,,COUNTIF($AG$2:$AG$50,"?*"),23),14,FALSE),"?"),"")</f>
        <v/>
      </c>
      <c r="Q9" s="43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712</v>
      </c>
      <c r="U9" s="102">
        <v>16</v>
      </c>
      <c r="V9" s="102">
        <v>3</v>
      </c>
      <c r="W9" s="102">
        <v>0</v>
      </c>
      <c r="X9" s="102">
        <v>0</v>
      </c>
      <c r="Y9" s="102">
        <v>6</v>
      </c>
      <c r="Z9" s="102">
        <v>9</v>
      </c>
      <c r="AA9" s="102">
        <v>0</v>
      </c>
      <c r="AB9" s="102">
        <v>-3</v>
      </c>
      <c r="AC9" s="102" t="str">
        <f t="shared" ca="1" si="0"/>
        <v>ANO</v>
      </c>
      <c r="AG9" s="121" t="s">
        <v>713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16 OZ, 13 (5+8), +17 ±</v>
      </c>
      <c r="AY9" s="129" t="str">
        <f t="shared" ca="1" si="2"/>
        <v>16 OZ, 13 (5+8)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755</v>
      </c>
      <c r="BU9" s="103" t="s">
        <v>1260</v>
      </c>
      <c r="BV9" s="104" t="str">
        <f t="shared" si="13"/>
        <v>Jan Klinka</v>
      </c>
      <c r="BW9" s="112">
        <f t="shared" si="14"/>
        <v>4.68</v>
      </c>
      <c r="BX9" s="463"/>
      <c r="BY9" s="103" t="s">
        <v>1236</v>
      </c>
      <c r="CA9"/>
    </row>
    <row r="10" spans="1:79" ht="15" customHeight="1" thickTop="1" thickBot="1" x14ac:dyDescent="0.3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709</v>
      </c>
      <c r="U10" s="102">
        <v>16</v>
      </c>
      <c r="V10" s="102">
        <v>5</v>
      </c>
      <c r="W10" s="102">
        <v>0</v>
      </c>
      <c r="X10" s="102">
        <v>0</v>
      </c>
      <c r="Y10" s="102">
        <v>1</v>
      </c>
      <c r="Z10" s="102">
        <v>6</v>
      </c>
      <c r="AA10" s="102">
        <v>2</v>
      </c>
      <c r="AB10" s="102">
        <v>-1</v>
      </c>
      <c r="AC10" s="102" t="str">
        <f t="shared" ca="1" si="0"/>
        <v>ANO</v>
      </c>
      <c r="AG10" s="121" t="s">
        <v>706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V10" s="104" t="str">
        <f t="shared" si="13"/>
        <v/>
      </c>
      <c r="BW10" s="112" t="str">
        <f t="shared" si="14"/>
        <v/>
      </c>
      <c r="BX10" s="463"/>
      <c r="BY10" s="103" t="s">
        <v>1306</v>
      </c>
      <c r="CA10"/>
    </row>
    <row r="11" spans="1:79" ht="15" customHeight="1" thickTop="1" thickBot="1" x14ac:dyDescent="0.3">
      <c r="R11" s="13"/>
      <c r="S11" s="110" t="s">
        <v>704</v>
      </c>
      <c r="U11" s="102">
        <v>16</v>
      </c>
      <c r="V11" s="102">
        <v>3</v>
      </c>
      <c r="W11" s="102">
        <v>0</v>
      </c>
      <c r="X11" s="102">
        <v>0</v>
      </c>
      <c r="Y11" s="102">
        <v>2</v>
      </c>
      <c r="Z11" s="102">
        <v>5</v>
      </c>
      <c r="AA11" s="102">
        <v>6</v>
      </c>
      <c r="AB11" s="102">
        <v>-3</v>
      </c>
      <c r="AC11" s="102" t="str">
        <f t="shared" ca="1" si="0"/>
        <v>ANO</v>
      </c>
      <c r="AG11" s="121" t="s">
        <v>320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16 OZ, 18 (5+13), +18 ±</v>
      </c>
      <c r="AY11" s="129" t="str">
        <f t="shared" ca="1" si="2"/>
        <v>16 OZ, 18 (5+13)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CA11"/>
    </row>
    <row r="12" spans="1:79" ht="15" customHeight="1" thickTop="1" thickBot="1" x14ac:dyDescent="0.3">
      <c r="A12" s="425"/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7" t="s">
        <v>7</v>
      </c>
      <c r="I12" s="427"/>
      <c r="J12" s="427"/>
      <c r="K12" s="427"/>
      <c r="M12" s="425"/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710</v>
      </c>
      <c r="U12" s="102">
        <v>9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0</v>
      </c>
      <c r="AB12" s="102">
        <v>4</v>
      </c>
      <c r="AC12" s="102" t="str">
        <f t="shared" ca="1" si="0"/>
        <v>ANO</v>
      </c>
      <c r="AG12" s="121" t="s">
        <v>708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1103</v>
      </c>
      <c r="BU12" s="103">
        <v>18</v>
      </c>
      <c r="BV12" s="104" t="str">
        <f t="shared" si="13"/>
        <v>Daniel Chatrný</v>
      </c>
      <c r="BW12" s="102">
        <f t="shared" si="14"/>
        <v>18</v>
      </c>
      <c r="BX12" s="120" t="s">
        <v>190</v>
      </c>
      <c r="BY12" s="100"/>
      <c r="BZ12" s="100"/>
      <c r="CA1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8" t="str">
        <f ca="1">IFERROR(IF(VLOOKUP(A12,OFFSET($AG$2,,,COUNTIF($AG$2:$AG$50,"?*"),23),2,FALSE)&lt;&gt;0,YEAR(VLOOKUP(A12,OFFSET($AG$2,,,COUNTIF($AG$2:$AG$50,"?*"),23),2,FALSE)),""),"")</f>
        <v/>
      </c>
      <c r="C13" s="429"/>
      <c r="D13" s="117" t="str">
        <f ca="1">IFERROR(VLOOKUP(A12,OFFSET($AG$2,,,COUNTIF($AG$2:$AG$50,"?*"),23),15,FALSE),"")</f>
        <v/>
      </c>
      <c r="E13" s="419" t="str">
        <f ca="1">IFERROR(VLOOKUP(A12,OFFSET($AG$2,,,COUNTIF($AG$2:$AG$50,"?*"),23),16,FALSE),"")</f>
        <v/>
      </c>
      <c r="F13" s="420"/>
      <c r="M13" s="4" t="str">
        <f ca="1">IFERROR(IF(VLOOKUP(M12,OFFSET($AG$2,,,COUNTIF($AG$2:$AG$50,"?*"),23),10,FALSE)&lt;&gt;0,VLOOKUP(M12,OFFSET($AG$2,,,COUNTIF($AG$2:$AG$50,"?*"),23),10,FALSE),""),"")</f>
        <v/>
      </c>
      <c r="N13" s="428" t="str">
        <f ca="1">IFERROR(IF(VLOOKUP(M12,OFFSET($AG$2,,,COUNTIF($AG$2:$AG$50,"?*"),23),2,FALSE)&lt;&gt;0,YEAR(VLOOKUP(M12,OFFSET($AG$2,,,COUNTIF($AG$2:$AG$50,"?*"),23),2,FALSE)),""),"")</f>
        <v/>
      </c>
      <c r="O13" s="429"/>
      <c r="P13" s="117" t="str">
        <f ca="1">IFERROR(VLOOKUP(M12,OFFSET($AG$2,,,COUNTIF($AG$2:$AG$50,"?*"),23),15,FALSE),"")</f>
        <v/>
      </c>
      <c r="Q13" s="419" t="str">
        <f ca="1">IFERROR(VLOOKUP(M12,OFFSET($AG$2,,,COUNTIF($AG$2:$AG$50,"?*"),23),16,FALSE),"")</f>
        <v/>
      </c>
      <c r="R13" s="420"/>
      <c r="S13" s="110" t="s">
        <v>708</v>
      </c>
      <c r="T13" s="102" t="s">
        <v>57</v>
      </c>
      <c r="U13" s="102">
        <v>7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700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12 OZ, 20 (11+9), +16 ±</v>
      </c>
      <c r="AY13" s="129" t="str">
        <f t="shared" ca="1" si="2"/>
        <v>12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1261</v>
      </c>
      <c r="BU13" s="103">
        <v>15</v>
      </c>
      <c r="BV13" s="104" t="str">
        <f t="shared" si="13"/>
        <v>Ladislav Gál</v>
      </c>
      <c r="BW13" s="102">
        <f t="shared" si="14"/>
        <v>15</v>
      </c>
    </row>
    <row r="14" spans="1:79" ht="15" customHeight="1" thickTop="1" thickBot="1" x14ac:dyDescent="0.25">
      <c r="A14" s="421" t="str">
        <f ca="1">IFERROR(VLOOKUP(A12,OFFSET($AG$2,,,COUNTIF($AG$2:$AG$50,"?*"),23),18,FALSE),"")</f>
        <v/>
      </c>
      <c r="B14" s="422"/>
      <c r="C14" s="422"/>
      <c r="D14" s="423" t="str">
        <f ca="1">IFERROR(VLOOKUP(A12,OFFSET($AG$2,,,COUNTIF($AG$2:$AG$50,"?*"),23),19,FALSE),"")</f>
        <v/>
      </c>
      <c r="E14" s="423"/>
      <c r="F14" s="424"/>
      <c r="G14" s="425"/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1" t="str">
        <f ca="1">IFERROR(VLOOKUP(M12,OFFSET($AG$2,,,COUNTIF($AG$2:$AG$50,"?*"),23),18,FALSE),"")</f>
        <v/>
      </c>
      <c r="N14" s="422"/>
      <c r="O14" s="422"/>
      <c r="P14" s="423" t="str">
        <f ca="1">IFERROR(VLOOKUP(M12,OFFSET($AG$2,,,COUNTIF($AG$2:$AG$50,"?*"),23),19,FALSE),"")</f>
        <v/>
      </c>
      <c r="Q14" s="423"/>
      <c r="R14" s="424"/>
      <c r="S14" s="110" t="s">
        <v>711</v>
      </c>
      <c r="U14" s="102">
        <v>14</v>
      </c>
      <c r="V14" s="102">
        <v>1</v>
      </c>
      <c r="W14" s="102">
        <v>1</v>
      </c>
      <c r="X14" s="102">
        <v>0</v>
      </c>
      <c r="Y14" s="102">
        <v>0</v>
      </c>
      <c r="Z14" s="102">
        <v>1</v>
      </c>
      <c r="AA14" s="102">
        <v>2</v>
      </c>
      <c r="AB14" s="102">
        <v>-8</v>
      </c>
      <c r="AC14" s="102" t="str">
        <f t="shared" ca="1" si="0"/>
        <v>ANO</v>
      </c>
      <c r="AG14" s="121" t="s">
        <v>702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15 OZ, 27 (9+18), +24 ±</v>
      </c>
      <c r="AY14" s="129" t="str">
        <f t="shared" ca="1" si="2"/>
        <v>15 OZ, 27 (9+18)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994</v>
      </c>
      <c r="BU14" s="103">
        <v>15</v>
      </c>
      <c r="BV14" s="104" t="str">
        <f t="shared" si="13"/>
        <v>Michal Sládek</v>
      </c>
      <c r="BW14" s="102">
        <f t="shared" si="14"/>
        <v>15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/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/>
      </c>
      <c r="E15" s="43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8" t="str">
        <f ca="1">IFERROR(IF(VLOOKUP(G14,OFFSET($AG$2,,,COUNTIF($AG$2:$AG$50,"?*"),23),2,FALSE)&lt;&gt;0,YEAR(VLOOKUP(G14,OFFSET($AG$2,,,COUNTIF($AG$2:$AG$50,"?*"),23),2,FALSE)),""),"")</f>
        <v/>
      </c>
      <c r="I15" s="429"/>
      <c r="J15" s="117" t="str">
        <f ca="1">IFERROR(VLOOKUP(G14,OFFSET($AG$2,,,COUNTIF($AG$2:$AG$50,"?*"),23),15,FALSE),"")</f>
        <v/>
      </c>
      <c r="K15" s="419" t="str">
        <f ca="1">IFERROR(VLOOKUP(G14,OFFSET($AG$2,,,COUNTIF($AG$2:$AG$50,"?*"),23),16,FALSE),"")</f>
        <v/>
      </c>
      <c r="L15" s="420"/>
      <c r="M15" s="430" t="str">
        <f ca="1">IFERROR(IF(VLOOKUP(M12,OFFSET($AG$2,,,COUNTIF($AG$2:$AG$50,"?*"),23),13,FALSE)&lt;&gt;0,VLOOKUP(M12,OFFSET($AG$2,,,COUNTIF($AG$2:$AG$50,"?*"),23),13,FALSE),"?"),"")</f>
        <v/>
      </c>
      <c r="N15" s="431"/>
      <c r="O15" s="432"/>
      <c r="P15" s="433" t="str">
        <f ca="1">IFERROR(IF(VLOOKUP(M12,OFFSET($AG$2,,,COUNTIF($AG$2:$AG$50,"?*"),23),14,FALSE)&lt;&gt;0,VLOOKUP(M12,OFFSET($AG$2,,,COUNTIF($AG$2:$AG$50,"?*"),23),14,FALSE),"?"),"")</f>
        <v/>
      </c>
      <c r="Q15" s="43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751</v>
      </c>
      <c r="T15" s="102" t="s">
        <v>106</v>
      </c>
      <c r="U15" s="102">
        <v>11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707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13 OZ, 0 (0+0), -6 ±</v>
      </c>
      <c r="AY15" s="129" t="str">
        <f t="shared" ca="1" si="2"/>
        <v>13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756</v>
      </c>
      <c r="BU15" s="103">
        <v>11</v>
      </c>
      <c r="BV15" s="104" t="str">
        <f t="shared" si="13"/>
        <v>Wojciech Malajka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/>
      </c>
      <c r="H16" s="422"/>
      <c r="I16" s="422"/>
      <c r="J16" s="423" t="str">
        <f ca="1">IFERROR(VLOOKUP(G14,OFFSET($AG$2,,,COUNTIF($AG$2:$AG$50,"?*"),23),19,FALSE),"")</f>
        <v/>
      </c>
      <c r="K16" s="423"/>
      <c r="L16" s="424"/>
      <c r="S16" s="110" t="s">
        <v>749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701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16 OZ, 31 (15+16), +10 ±</v>
      </c>
      <c r="AY16" s="129" t="str">
        <f t="shared" ca="1" si="2"/>
        <v>16 OZ, 31 (15+16)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995</v>
      </c>
      <c r="BU16" s="103">
        <v>9</v>
      </c>
      <c r="BV16" s="104" t="str">
        <f t="shared" si="13"/>
        <v>Lukáš Pešat</v>
      </c>
      <c r="BW16" s="102">
        <f t="shared" si="14"/>
        <v>9</v>
      </c>
    </row>
    <row r="17" spans="1:75" ht="15" customHeight="1" thickTop="1" thickBot="1" x14ac:dyDescent="0.25">
      <c r="A17" s="425"/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0" t="str">
        <f ca="1">IFERROR(IF(VLOOKUP(G14,OFFSET($AG$2,,,COUNTIF($AG$2:$AG$50,"?*"),23),13,FALSE)&lt;&gt;0,VLOOKUP(G14,OFFSET($AG$2,,,COUNTIF($AG$2:$AG$50,"?*"),23),13,FALSE),"?"),"")</f>
        <v/>
      </c>
      <c r="H17" s="431"/>
      <c r="I17" s="432"/>
      <c r="J17" s="433" t="str">
        <f ca="1">IFERROR(IF(VLOOKUP(G14,OFFSET($AG$2,,,COUNTIF($AG$2:$AG$50,"?*"),23),14,FALSE)&lt;&gt;0,VLOOKUP(G14,OFFSET($AG$2,,,COUNTIF($AG$2:$AG$50,"?*"),23),14,FALSE),"?"),"")</f>
        <v/>
      </c>
      <c r="K17" s="434"/>
      <c r="L17" s="7" t="str">
        <f ca="1">IFERROR(IF(VLOOKUP(G14,OFFSET($AG$2,,,COUNTIF($AG$2:$AG$50,"?*"),23),7,FALSE)&lt;&gt;0,VLOOKUP(G14,OFFSET($AG$2,,,COUNTIF($AG$2:$AG$50,"?*"),23),7,FALSE),"?"),"")</f>
        <v/>
      </c>
      <c r="M17" s="425"/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1097</v>
      </c>
      <c r="U17" s="102">
        <v>7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NE</v>
      </c>
      <c r="AG17" s="121" t="s">
        <v>712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16 OZ, 9 (3+6), -3 ±</v>
      </c>
      <c r="AY17" s="129" t="str">
        <f t="shared" ca="1" si="2"/>
        <v>16 OZ, 9 (3+6)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714</v>
      </c>
      <c r="BU17" s="103">
        <v>7</v>
      </c>
      <c r="BV17" s="104" t="str">
        <f t="shared" si="13"/>
        <v>Jan Binder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8" t="str">
        <f ca="1">IFERROR(IF(VLOOKUP(A17,OFFSET($AG$2,,,COUNTIF($AG$2:$AG$50,"?*"),23),2,FALSE)&lt;&gt;0,YEAR(VLOOKUP(A17,OFFSET($AG$2,,,COUNTIF($AG$2:$AG$50,"?*"),23),2,FALSE)),""),"")</f>
        <v/>
      </c>
      <c r="C18" s="429"/>
      <c r="D18" s="149" t="str">
        <f ca="1">IFERROR(VLOOKUP(A17,OFFSET($AG$2,,,COUNTIF($AG$2:$AG$50,"?*"),23),15,FALSE),"")</f>
        <v/>
      </c>
      <c r="E18" s="419" t="str">
        <f ca="1">IFERROR(VLOOKUP(A17,OFFSET($AG$2,,,COUNTIF($AG$2:$AG$50,"?*"),23),16,FALSE),"")</f>
        <v/>
      </c>
      <c r="F18" s="420"/>
      <c r="M18" s="4" t="str">
        <f ca="1">IFERROR(IF(VLOOKUP(M17,OFFSET($AG$2,,,COUNTIF($AG$2:$AG$50,"?*"),23),10,FALSE)&lt;&gt;0,VLOOKUP(M17,OFFSET($AG$2,,,COUNTIF($AG$2:$AG$50,"?*"),23),10,FALSE),""),"")</f>
        <v/>
      </c>
      <c r="N18" s="428" t="str">
        <f ca="1">IFERROR(IF(VLOOKUP(M17,OFFSET($AG$2,,,COUNTIF($AG$2:$AG$50,"?*"),23),2,FALSE)&lt;&gt;0,YEAR(VLOOKUP(M17,OFFSET($AG$2,,,COUNTIF($AG$2:$AG$50,"?*"),23),2,FALSE)),""),"")</f>
        <v/>
      </c>
      <c r="O18" s="429"/>
      <c r="P18" s="117" t="str">
        <f ca="1">IFERROR(VLOOKUP(M17,OFFSET($AG$2,,,COUNTIF($AG$2:$AG$50,"?*"),23),15,FALSE),"")</f>
        <v/>
      </c>
      <c r="Q18" s="419" t="str">
        <f ca="1">IFERROR(VLOOKUP(M17,OFFSET($AG$2,,,COUNTIF($AG$2:$AG$50,"?*"),23),16,FALSE),"")</f>
        <v/>
      </c>
      <c r="R18" s="420"/>
      <c r="S18" s="110" t="s">
        <v>1096</v>
      </c>
      <c r="T18" s="102" t="s">
        <v>57</v>
      </c>
      <c r="U18" s="102">
        <v>8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-5</v>
      </c>
      <c r="AC18" s="102" t="str">
        <f t="shared" ca="1" si="0"/>
        <v>NE</v>
      </c>
      <c r="AG18" s="121" t="s">
        <v>710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9 OZ, 4 (1+3), +4 ±</v>
      </c>
      <c r="AY18" s="129" t="str">
        <f t="shared" ca="1" si="2"/>
        <v>9 OZ, 4 (1+3)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715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21" t="str">
        <f ca="1">IFERROR(VLOOKUP(A17,OFFSET($AG$2,,,COUNTIF($AG$2:$AG$50,"?*"),23),18,FALSE),"")</f>
        <v/>
      </c>
      <c r="B19" s="422"/>
      <c r="C19" s="422"/>
      <c r="D19" s="423" t="str">
        <f ca="1">IFERROR(VLOOKUP(A17,OFFSET($AG$2,,,COUNTIF($AG$2:$AG$50,"?*"),23),19,FALSE),"")</f>
        <v/>
      </c>
      <c r="E19" s="423"/>
      <c r="F19" s="424"/>
      <c r="H19" s="435" t="str">
        <f>H$8</f>
        <v>OST</v>
      </c>
      <c r="I19" s="435"/>
      <c r="J19" s="435"/>
      <c r="K19" s="435"/>
      <c r="M19" s="421" t="str">
        <f ca="1">IFERROR(VLOOKUP(M17,OFFSET($AG$2,,,COUNTIF($AG$2:$AG$50,"?*"),23),18,FALSE),"")</f>
        <v/>
      </c>
      <c r="N19" s="422"/>
      <c r="O19" s="422"/>
      <c r="P19" s="423" t="str">
        <f ca="1">IFERROR(VLOOKUP(M17,OFFSET($AG$2,,,COUNTIF($AG$2:$AG$50,"?*"),23),19,FALSE),"")</f>
        <v/>
      </c>
      <c r="Q19" s="423"/>
      <c r="R19" s="424"/>
      <c r="S19" s="110" t="s">
        <v>996</v>
      </c>
      <c r="U19" s="102">
        <v>8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493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13 OZ, 0 (0+0), -9 ±</v>
      </c>
      <c r="AY19" s="129" t="str">
        <f t="shared" ca="1" si="2"/>
        <v>13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753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/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/>
      </c>
      <c r="E20" s="434"/>
      <c r="F20" s="7" t="str">
        <f ca="1">IFERROR(IF(VLOOKUP(A17,OFFSET($AG$2,,,COUNTIF($AG$2:$AG$50,"?*"),23),7,FALSE)&lt;&gt;0,VLOOKUP(A17,OFFSET($AG$2,,,COUNTIF($AG$2:$AG$50,"?*"),23),7,FALSE),"?"),"")</f>
        <v/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/>
      </c>
      <c r="N20" s="431"/>
      <c r="O20" s="432"/>
      <c r="P20" s="433" t="str">
        <f ca="1">IFERROR(IF(VLOOKUP(M17,OFFSET($AG$2,,,COUNTIF($AG$2:$AG$50,"?*"),23),14,FALSE)&lt;&gt;0,VLOOKUP(M17,OFFSET($AG$2,,,COUNTIF($AG$2:$AG$50,"?*"),23),14,FALSE),"?"),"")</f>
        <v/>
      </c>
      <c r="Q20" s="43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9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0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317</v>
      </c>
      <c r="T21" s="102" t="s">
        <v>106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-8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752</v>
      </c>
      <c r="U22" s="102">
        <v>11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NE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4" t="s">
        <v>37</v>
      </c>
      <c r="BT22" s="104" t="s">
        <v>1102</v>
      </c>
      <c r="BU22" s="103">
        <v>18</v>
      </c>
      <c r="BV22" s="104" t="str">
        <f t="shared" si="13"/>
        <v>Lukáš Pešat</v>
      </c>
      <c r="BW22" s="102">
        <f t="shared" si="14"/>
        <v>18</v>
      </c>
    </row>
    <row r="23" spans="1:75" ht="15" customHeight="1" thickTop="1" thickBot="1" x14ac:dyDescent="0.25">
      <c r="A23" s="425"/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7" t="s">
        <v>12</v>
      </c>
      <c r="I23" s="427"/>
      <c r="J23" s="427"/>
      <c r="K23" s="427"/>
      <c r="M23" s="425"/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707</v>
      </c>
      <c r="U23" s="102">
        <v>13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-6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4"/>
      <c r="BT23" s="104" t="s">
        <v>1419</v>
      </c>
      <c r="BU23" s="103">
        <v>16</v>
      </c>
      <c r="BV23" s="104" t="str">
        <f t="shared" si="13"/>
        <v>Michal Sládek</v>
      </c>
      <c r="BW23" s="102">
        <f t="shared" si="14"/>
        <v>16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 t="str">
        <f ca="1">IFERROR(IF(VLOOKUP(A23,OFFSET($AG$2,,,COUNTIF($AG$2:$AG$50,"?*"),23),2,FALSE)&lt;&gt;0,YEAR(VLOOKUP(A23,OFFSET($AG$2,,,COUNTIF($AG$2:$AG$50,"?*"),23),2,FALSE)),""),"")</f>
        <v/>
      </c>
      <c r="C24" s="429"/>
      <c r="D24" s="117" t="str">
        <f ca="1">IFERROR(VLOOKUP(A23,OFFSET($AG$2,,,COUNTIF($AG$2:$AG$50,"?*"),23),15,FALSE),"")</f>
        <v/>
      </c>
      <c r="E24" s="419" t="str">
        <f ca="1">IFERROR(VLOOKUP(A23,OFFSET($AG$2,,,COUNTIF($AG$2:$AG$50,"?*"),23),16,FALSE),"")</f>
        <v/>
      </c>
      <c r="F24" s="420"/>
      <c r="M24" s="4" t="str">
        <f ca="1">IFERROR(IF(VLOOKUP(M23,OFFSET($AG$2,,,COUNTIF($AG$2:$AG$50,"?*"),23),10,FALSE)&lt;&gt;0,VLOOKUP(M23,OFFSET($AG$2,,,COUNTIF($AG$2:$AG$50,"?*"),23),10,FALSE),""),"")</f>
        <v/>
      </c>
      <c r="N24" s="428" t="str">
        <f ca="1">IFERROR(IF(VLOOKUP(M23,OFFSET($AG$2,,,COUNTIF($AG$2:$AG$50,"?*"),23),2,FALSE)&lt;&gt;0,YEAR(VLOOKUP(M23,OFFSET($AG$2,,,COUNTIF($AG$2:$AG$50,"?*"),23),2,FALSE)),""),"")</f>
        <v/>
      </c>
      <c r="O24" s="429"/>
      <c r="P24" s="117" t="str">
        <f ca="1">IFERROR(VLOOKUP(M23,OFFSET($AG$2,,,COUNTIF($AG$2:$AG$50,"?*"),23),15,FALSE),"")</f>
        <v/>
      </c>
      <c r="Q24" s="419" t="str">
        <f ca="1">IFERROR(VLOOKUP(M23,OFFSET($AG$2,,,COUNTIF($AG$2:$AG$50,"?*"),23),16,FALSE),"")</f>
        <v/>
      </c>
      <c r="R24" s="420"/>
      <c r="S24" s="110" t="s">
        <v>706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4"/>
      <c r="BT24" s="104" t="s">
        <v>1420</v>
      </c>
      <c r="BU24" s="103">
        <v>13</v>
      </c>
      <c r="BV24" s="104" t="str">
        <f t="shared" si="13"/>
        <v>Šimon Kuczera</v>
      </c>
      <c r="BW24" s="102">
        <f t="shared" si="14"/>
        <v>13</v>
      </c>
    </row>
    <row r="25" spans="1:75" ht="15" customHeight="1" thickTop="1" thickBot="1" x14ac:dyDescent="0.25">
      <c r="A25" s="421" t="str">
        <f ca="1">IFERROR(VLOOKUP(A23,OFFSET($AG$2,,,COUNTIF($AG$2:$AG$50,"?*"),23),18,FALSE),"")</f>
        <v/>
      </c>
      <c r="B25" s="422"/>
      <c r="C25" s="422"/>
      <c r="D25" s="423" t="str">
        <f ca="1">IFERROR(VLOOKUP(A23,OFFSET($AG$2,,,COUNTIF($AG$2:$AG$50,"?*"),23),19,FALSE),"")</f>
        <v/>
      </c>
      <c r="E25" s="423"/>
      <c r="F25" s="424"/>
      <c r="G25" s="425"/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1" t="str">
        <f ca="1">IFERROR(VLOOKUP(M23,OFFSET($AG$2,,,COUNTIF($AG$2:$AG$50,"?*"),23),18,FALSE),"")</f>
        <v/>
      </c>
      <c r="N25" s="422"/>
      <c r="O25" s="422"/>
      <c r="P25" s="423" t="str">
        <f ca="1">IFERROR(VLOOKUP(M23,OFFSET($AG$2,,,COUNTIF($AG$2:$AG$50,"?*"),23),19,FALSE),"")</f>
        <v/>
      </c>
      <c r="Q25" s="423"/>
      <c r="R25" s="424"/>
      <c r="S25" s="110" t="s">
        <v>493</v>
      </c>
      <c r="T25" s="102" t="s">
        <v>57</v>
      </c>
      <c r="U25" s="102">
        <v>13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-9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4"/>
      <c r="BT25" s="104" t="s">
        <v>756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/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/>
      </c>
      <c r="E26" s="43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8" t="str">
        <f ca="1">IFERROR(IF(VLOOKUP(G25,OFFSET($AG$2,,,COUNTIF($AG$2:$AG$50,"?*"),23),2,FALSE)&lt;&gt;0,YEAR(VLOOKUP(G25,OFFSET($AG$2,,,COUNTIF($AG$2:$AG$50,"?*"),23),2,FALSE)),""),"")</f>
        <v/>
      </c>
      <c r="I26" s="429"/>
      <c r="J26" s="117" t="str">
        <f ca="1">IFERROR(VLOOKUP(G25,OFFSET($AG$2,,,COUNTIF($AG$2:$AG$50,"?*"),23),15,FALSE),"")</f>
        <v/>
      </c>
      <c r="K26" s="419" t="str">
        <f ca="1">IFERROR(VLOOKUP(G25,OFFSET($AG$2,,,COUNTIF($AG$2:$AG$50,"?*"),23),16,FALSE),"")</f>
        <v/>
      </c>
      <c r="L26" s="420"/>
      <c r="M26" s="430" t="str">
        <f ca="1">IFERROR(IF(VLOOKUP(M23,OFFSET($AG$2,,,COUNTIF($AG$2:$AG$50,"?*"),23),13,FALSE)&lt;&gt;0,VLOOKUP(M23,OFFSET($AG$2,,,COUNTIF($AG$2:$AG$50,"?*"),23),13,FALSE),"?"),"")</f>
        <v/>
      </c>
      <c r="N26" s="431"/>
      <c r="O26" s="432"/>
      <c r="P26" s="433" t="str">
        <f ca="1">IFERROR(IF(VLOOKUP(M23,OFFSET($AG$2,,,COUNTIF($AG$2:$AG$50,"?*"),23),14,FALSE)&lt;&gt;0,VLOOKUP(M23,OFFSET($AG$2,,,COUNTIF($AG$2:$AG$50,"?*"),23),14,FALSE),"?"),"")</f>
        <v/>
      </c>
      <c r="Q26" s="43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705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4"/>
      <c r="BT26" s="104" t="s">
        <v>1421</v>
      </c>
      <c r="BU26" s="103">
        <v>8</v>
      </c>
      <c r="BV26" s="104" t="str">
        <f t="shared" si="13"/>
        <v>Dominik Klimscha</v>
      </c>
      <c r="BW26" s="102">
        <f t="shared" si="14"/>
        <v>8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/>
      </c>
      <c r="H27" s="422"/>
      <c r="I27" s="422"/>
      <c r="J27" s="423" t="str">
        <f ca="1">IFERROR(VLOOKUP(G25,OFFSET($AG$2,,,COUNTIF($AG$2:$AG$50,"?*"),23),19,FALSE),"")</f>
        <v/>
      </c>
      <c r="K27" s="423"/>
      <c r="L27" s="424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4" t="s">
        <v>38</v>
      </c>
      <c r="BT27" s="104" t="s">
        <v>1422</v>
      </c>
      <c r="BU27" s="103">
        <v>6</v>
      </c>
      <c r="BV27" s="104" t="str">
        <f t="shared" si="13"/>
        <v>Ladislav Gál</v>
      </c>
      <c r="BW27" s="102">
        <f t="shared" si="14"/>
        <v>6</v>
      </c>
    </row>
    <row r="28" spans="1:75" ht="15" customHeight="1" thickTop="1" thickBot="1" x14ac:dyDescent="0.25">
      <c r="A28" s="425"/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/>
      </c>
      <c r="H28" s="431"/>
      <c r="I28" s="432"/>
      <c r="J28" s="433" t="str">
        <f ca="1">IFERROR(IF(VLOOKUP(G25,OFFSET($AG$2,,,COUNTIF($AG$2:$AG$50,"?*"),23),14,FALSE)&lt;&gt;0,VLOOKUP(G25,OFFSET($AG$2,,,COUNTIF($AG$2:$AG$50,"?*"),23),14,FALSE),"?"),"")</f>
        <v/>
      </c>
      <c r="K28" s="434"/>
      <c r="L28" s="7" t="str">
        <f ca="1">IFERROR(IF(VLOOKUP(G25,OFFSET($AG$2,,,COUNTIF($AG$2:$AG$50,"?*"),23),7,FALSE)&lt;&gt;0,VLOOKUP(G25,OFFSET($AG$2,,,COUNTIF($AG$2:$AG$50,"?*"),23),7,FALSE),"?"),"")</f>
        <v/>
      </c>
      <c r="M28" s="425"/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4"/>
      <c r="BT28" s="104" t="s">
        <v>1423</v>
      </c>
      <c r="BU28" s="103">
        <v>6</v>
      </c>
      <c r="BV28" s="104" t="str">
        <f t="shared" si="13"/>
        <v>Marcel Jakubec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/>
      </c>
      <c r="E29" s="419" t="str">
        <f ca="1">IFERROR(VLOOKUP(A28,OFFSET($AG$2,,,COUNTIF($AG$2:$AG$50,"?*"),23),16,FALSE),"")</f>
        <v/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4"/>
      <c r="BT29" s="104" t="s">
        <v>1416</v>
      </c>
      <c r="BU29" s="103">
        <v>4</v>
      </c>
      <c r="BV29" s="104" t="str">
        <f t="shared" si="13"/>
        <v>Daniel Chatrný</v>
      </c>
      <c r="BW29" s="102">
        <f t="shared" si="14"/>
        <v>4</v>
      </c>
    </row>
    <row r="30" spans="1:75" ht="15" customHeight="1" x14ac:dyDescent="0.2">
      <c r="A30" s="421" t="str">
        <f ca="1">IFERROR(VLOOKUP(A28,OFFSET($AG$2,,,COUNTIF($AG$2:$AG$50,"?*"),23),18,FALSE),"")</f>
        <v/>
      </c>
      <c r="B30" s="422"/>
      <c r="C30" s="422"/>
      <c r="D30" s="423" t="str">
        <f ca="1">IFERROR(VLOOKUP(A28,OFFSET($AG$2,,,COUNTIF($AG$2:$AG$50,"?*"),23),19,FALSE),"")</f>
        <v/>
      </c>
      <c r="E30" s="423"/>
      <c r="F30" s="424"/>
      <c r="H30" s="435" t="str">
        <f>H$8</f>
        <v>OST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4"/>
      <c r="BT30" s="104" t="s">
        <v>1424</v>
      </c>
      <c r="BU30" s="103">
        <v>4</v>
      </c>
      <c r="BV30" s="104" t="str">
        <f t="shared" si="13"/>
        <v>Denis Zimmer</v>
      </c>
      <c r="BW30" s="102">
        <f t="shared" si="14"/>
        <v>4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/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/>
      </c>
      <c r="E31" s="434"/>
      <c r="F31" s="7" t="str">
        <f ca="1">IFERROR(IF(VLOOKUP(A28,OFFSET($AG$2,,,COUNTIF($AG$2:$AG$50,"?*"),23),7,FALSE)&lt;&gt;0,VLOOKUP(A28,OFFSET($AG$2,,,COUNTIF($AG$2:$AG$50,"?*"),23),7,FALSE),"?"),"")</f>
        <v/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4"/>
      <c r="BT31" s="104" t="s">
        <v>1421</v>
      </c>
      <c r="BU31" s="103">
        <v>4</v>
      </c>
      <c r="BV31" s="104" t="str">
        <f t="shared" si="13"/>
        <v>Dominik Klimscha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5"/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6" t="s">
        <v>15</v>
      </c>
      <c r="J34" s="425"/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8" t="str">
        <f ca="1">IFERROR(IF(VLOOKUP(A34,OFFSET($AG$2,,,COUNTIF($AG$2:$AG$50,"?*"),23),2,FALSE)&lt;&gt;0,YEAR(VLOOKUP(A34,OFFSET($AG$2,,,COUNTIF($AG$2:$AG$50,"?*"),23),2,FALSE)),""),"")</f>
        <v/>
      </c>
      <c r="C35" s="429"/>
      <c r="D35" s="117" t="str">
        <f ca="1">IFERROR(VLOOKUP(A34,OFFSET($AG$2,,,COUNTIF($AG$2:$AG$50,"?*"),23),15,FALSE),"")</f>
        <v/>
      </c>
      <c r="E35" s="419" t="str">
        <f ca="1">IFERROR(VLOOKUP(A34,OFFSET($AG$2,,,COUNTIF($AG$2:$AG$50,"?*"),23),16,FALSE),"")</f>
        <v/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/>
      </c>
      <c r="K35" s="429" t="str">
        <f ca="1">IFERROR(IF(VLOOKUP(J34,OFFSET($AG$2,,,COUNTIF($AG$2:$AG$50,"?*"),23),2,FALSE)&lt;&gt;0,YEAR(VLOOKUP(J34,OFFSET($AG$2,,,COUNTIF($AG$2:$AG$50,"?*"),23),2,FALSE)),""),"")</f>
        <v/>
      </c>
      <c r="L35" s="437"/>
      <c r="M35" s="118" t="str">
        <f ca="1">IFERROR(VLOOKUP(J34,OFFSET($AG$2,,,COUNTIF($AG$2:$AG$50,"?*"),23),15,FALSE),"")</f>
        <v/>
      </c>
      <c r="N35" s="437" t="str">
        <f ca="1">IFERROR(VLOOKUP(J34,OFFSET($AG$2,,,COUNTIF($AG$2:$AG$50,"?*"),23),16,FALSE),"")</f>
        <v/>
      </c>
      <c r="O35" s="437"/>
      <c r="P35" s="437" t="str">
        <f ca="1">IFERROR(VLOOKUP(J34,OFFSET($AG$2,,,COUNTIF($AG$2:$AG$50,"?*"),23),18,FALSE),"")</f>
        <v/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5" t="str">
        <f ca="1">IFERROR(VLOOKUP(A34,OFFSET($AG$2,,,COUNTIF($AG$2:$AG$50,"?*"),23),18,FALSE),"")</f>
        <v/>
      </c>
      <c r="C36" s="445"/>
      <c r="D36" s="446" t="str">
        <f ca="1">IFERROR(VLOOKUP(A34,OFFSET($S$45,,,COUNTIF($S$45:$S$50,"?*"),14),5,FALSE),"")</f>
        <v/>
      </c>
      <c r="E36" s="447"/>
      <c r="F36" s="17" t="str">
        <f ca="1">IFERROR(VLOOKUP(A34,OFFSET($S$45,,,COUNTIF($S$45:$S$50,"?*"),14),14,FALSE),"")</f>
        <v/>
      </c>
      <c r="H36" s="436"/>
      <c r="J36" s="18" t="str">
        <f ca="1">IFERROR(IF(VLOOKUP(J34,OFFSET($AG$2,,,COUNTIF($AG$2:$AG$50,"?*"),23),7,FALSE)&lt;&gt;0,VLOOKUP(J34,OFFSET($AG$2,,,COUNTIF($AG$2:$AG$50,"?*"),23),7,FALSE),"?"),"")</f>
        <v/>
      </c>
      <c r="K36" s="448" t="str">
        <f ca="1">IFERROR(VLOOKUP(J34,OFFSET($AG$2,,,COUNTIF($AG$2:$AG$50,"?*"),23),19,FALSE),"")</f>
        <v/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/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/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 t="str">
        <f ca="1">IFERROR(VLOOKUP(A34,OFFSET($S$45,,,COUNTIF($S$45:$S$50,"?*"),14),3,FALSE),"")</f>
        <v/>
      </c>
      <c r="B37" s="439"/>
      <c r="C37" s="440" t="str">
        <f ca="1">IFERROR(VLOOKUP(A34,OFFSET($S$45,,,COUNTIF($S$45:$S$50,"?*"),14),13,FALSE),"")</f>
        <v/>
      </c>
      <c r="D37" s="441"/>
      <c r="E37" s="442" t="str">
        <f ca="1">IFERROR(VLOOKUP(A34,OFFSET($AG$2,,,COUNTIF($AG$2:$AG$50,"?*"),23),19,FALSE),"")</f>
        <v/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/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/>
      </c>
      <c r="E38" s="434"/>
      <c r="F38" s="19" t="str">
        <f ca="1">IFERROR(VLOOKUP(A34,OFFSET($S$45,,,COUNTIF($S$45:$S$50,"?*"),14),6,FALSE),"")</f>
        <v/>
      </c>
      <c r="H38" s="436"/>
      <c r="J38" s="425"/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 t="str">
        <f ca="1">IFERROR(IF(VLOOKUP(J38,OFFSET($AG$2,,,COUNTIF($AG$2:$AG$50,"?*"),23),2,FALSE)&lt;&gt;0,YEAR(VLOOKUP(J38,OFFSET($AG$2,,,COUNTIF($AG$2:$AG$50,"?*"),23),2,FALSE)),""),"")</f>
        <v/>
      </c>
      <c r="L39" s="437"/>
      <c r="M39" s="150" t="str">
        <f ca="1">IFERROR(VLOOKUP(J38,OFFSET($AG$2,,,COUNTIF($AG$2:$AG$50,"?*"),23),15,FALSE),"")</f>
        <v/>
      </c>
      <c r="N39" s="437" t="str">
        <f ca="1">IFERROR(VLOOKUP(J38,OFFSET($AG$2,,,COUNTIF($AG$2:$AG$50,"?*"),23),16,FALSE),"")</f>
        <v/>
      </c>
      <c r="O39" s="437"/>
      <c r="P39" s="437" t="str">
        <f ca="1">IFERROR(VLOOKUP(J38,OFFSET($AG$2,,,COUNTIF($AG$2:$AG$50,"?*"),23),18,FALSE),"")</f>
        <v/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/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6"/>
      <c r="J40" s="18" t="str">
        <f ca="1">IFERROR(IF(VLOOKUP(J38,OFFSET($AG$2,,,COUNTIF($AG$2:$AG$50,"?*"),23),7,FALSE)&lt;&gt;0,VLOOKUP(J38,OFFSET($AG$2,,,COUNTIF($AG$2:$AG$50,"?*"),23),7,FALSE),"?"),"")</f>
        <v/>
      </c>
      <c r="K40" s="448" t="str">
        <f ca="1">IFERROR(VLOOKUP(J38,OFFSET($AG$2,,,COUNTIF($AG$2:$AG$50,"?*"),23),19,FALSE),"")</f>
        <v/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/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/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8" t="str">
        <f ca="1">IFERROR(IF(VLOOKUP(A40,OFFSET($AG$2,,,COUNTIF($AG$2:$AG$50,"?*"),23),2,FALSE)&lt;&gt;0,YEAR(VLOOKUP(A40,OFFSET($AG$2,,,COUNTIF($AG$2:$AG$50,"?*"),23),2,FALSE)),""),"")</f>
        <v/>
      </c>
      <c r="C41" s="429"/>
      <c r="D41" s="117" t="str">
        <f ca="1">IFERROR(VLOOKUP(A40,OFFSET($AG$2,,,COUNTIF($AG$2:$AG$50,"?*"),23),15,FALSE),"")</f>
        <v/>
      </c>
      <c r="E41" s="419" t="str">
        <f ca="1">IFERROR(VLOOKUP(A40,OFFSET($AG$2,,,COUNTIF($AG$2:$AG$50,"?*"),23),16,FALSE),"")</f>
        <v/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5" t="str">
        <f ca="1">IFERROR(VLOOKUP(A40,OFFSET($AG$2,,,COUNTIF($AG$2:$AG$50,"?*"),23),18,FALSE),"")</f>
        <v/>
      </c>
      <c r="C42" s="445"/>
      <c r="D42" s="446" t="str">
        <f ca="1">IFERROR(VLOOKUP(A40,OFFSET($S$45,,,COUNTIF($S$45:$S$50,"?*"),14),5,FALSE),"")</f>
        <v/>
      </c>
      <c r="E42" s="447"/>
      <c r="F42" s="17" t="str">
        <f ca="1">IFERROR(VLOOKUP(A40,OFFSET($S$45,,,COUNTIF($S$45:$S$50,"?*"),14),14,FALSE),"")</f>
        <v/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 t="str">
        <f ca="1">IFERROR(VLOOKUP(A40,OFFSET($S$45,,,COUNTIF($S$45:$S$50,"?*"),14),3,FALSE),"")</f>
        <v/>
      </c>
      <c r="B43" s="439"/>
      <c r="C43" s="440" t="str">
        <f ca="1">IFERROR(VLOOKUP(A40,OFFSET($S$45,,,COUNTIF($S$45:$S$50,"?*"),14),13,FALSE),"")</f>
        <v/>
      </c>
      <c r="D43" s="441"/>
      <c r="E43" s="442" t="str">
        <f ca="1">IFERROR(VLOOKUP(A40,OFFSET($AG$2,,,COUNTIF($AG$2:$AG$50,"?*"),23),19,FALSE),"")</f>
        <v/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/>
      </c>
      <c r="B44" s="431"/>
      <c r="C44" s="432"/>
      <c r="D44" s="433" t="str">
        <f ca="1">IFERROR(IF(VLOOKUP(A40,OFFSET($AG$2,,,COUNTIF($AG$2:$AG$50,"?*"),23),14,FALSE)&lt;&gt;0,VLOOKUP(A40,OFFSET($AG$2,,,COUNTIF($AG$2:$AG$50,"?*"),23),14,FALSE),"?"),"")</f>
        <v/>
      </c>
      <c r="E44" s="434"/>
      <c r="F44" s="19" t="str">
        <f ca="1">IFERROR(VLOOKUP(A40,OFFSET($S$45,,,COUNTIF($S$45:$S$50,"?*"),14),6,FALSE),"")</f>
        <v/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705</v>
      </c>
      <c r="T45" s="102">
        <v>13</v>
      </c>
      <c r="U45" s="112">
        <v>736.29</v>
      </c>
      <c r="V45" s="102">
        <v>7</v>
      </c>
      <c r="W45" s="102">
        <v>62</v>
      </c>
      <c r="X45" s="102">
        <v>0</v>
      </c>
      <c r="Y45" s="102">
        <v>281</v>
      </c>
      <c r="Z45" s="102">
        <v>0</v>
      </c>
      <c r="AA45" s="102">
        <v>6</v>
      </c>
      <c r="AB45" s="102">
        <v>219</v>
      </c>
      <c r="AC45" s="102">
        <v>0</v>
      </c>
      <c r="AD45" s="102">
        <v>2</v>
      </c>
      <c r="AE45" s="112">
        <f>IF(S45&lt;&gt;"",IF(T45&gt;0,W45/(U45/60),0),"")</f>
        <v>5.0523570875606083</v>
      </c>
      <c r="AF45" s="112">
        <f>IF(S45&lt;&gt;"",IF(Y45&gt;0,(AB45/Y45)*100,"-"),"")</f>
        <v>77.935943060498232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749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/>
      <c r="B47" s="466"/>
      <c r="C47" s="466"/>
      <c r="D47" s="466"/>
      <c r="E47" s="461" t="str">
        <f ca="1">IFERROR(VLOOKUP(A47,OFFSET($BN$2,,,COUNTIF($BN$2:$BN$11,"?*"),5),3,FALSE),"")</f>
        <v/>
      </c>
      <c r="F47" s="461"/>
      <c r="G47" s="461"/>
      <c r="H47" s="461"/>
      <c r="I47" s="462"/>
      <c r="J47" s="465"/>
      <c r="K47" s="466"/>
      <c r="L47" s="466"/>
      <c r="M47" s="466"/>
      <c r="N47" s="461" t="str">
        <f ca="1">IFERROR(VLOOKUP(J47,OFFSET($BN$2,,,COUNTIF($BN$2:$BN$11,"?*"),5),3,FALSE),"")</f>
        <v/>
      </c>
      <c r="O47" s="461"/>
      <c r="P47" s="461"/>
      <c r="Q47" s="461"/>
      <c r="R47" s="462"/>
      <c r="S47" s="111" t="s">
        <v>706</v>
      </c>
      <c r="T47" s="102">
        <v>4</v>
      </c>
      <c r="U47" s="112">
        <v>153.74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4.683231429686483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 t="str">
        <f ca="1">IFERROR(VLOOKUP(A47,OFFSET($BN$2,,,COUNTIF($BN$2:$BN$11,"?*"),5),5,FALSE),"")</f>
        <v/>
      </c>
      <c r="B48" s="453" t="str">
        <f ca="1">IFERROR(IF(VLOOKUP(A47,OFFSET($BN$2,,,COUNTIF($BN$2:$BN$11,"?*"),5),4,FALSE)&lt;&gt;0,VLOOKUP(A47,OFFSET($BN$2,,,COUNTIF($BN$2:$BN$11,"?*"),5),4,FALSE),"-"),"")</f>
        <v/>
      </c>
      <c r="C48" s="453"/>
      <c r="D48" s="453"/>
      <c r="E48" s="453"/>
      <c r="F48" s="453"/>
      <c r="G48" s="453"/>
      <c r="H48" s="453"/>
      <c r="I48" s="454"/>
      <c r="J48" s="119" t="str">
        <f ca="1">IFERROR(VLOOKUP(J47,OFFSET($BN$2,,,COUNTIF($BN$2:$BN$11,"?*"),5),5,FALSE),"")</f>
        <v/>
      </c>
      <c r="K48" s="457" t="str">
        <f ca="1">IFERROR(IF(VLOOKUP(J47,OFFSET($BN$2,,,COUNTIF($BN$2:$BN$11,"?*"),5),4,FALSE)&lt;&gt;0,VLOOKUP(J47,OFFSET($BN$2,,,COUNTIF($BN$2:$BN$11,"?*"),5),4,FALSE),"-"),"")</f>
        <v/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/>
      <c r="K49" s="460"/>
      <c r="L49" s="460"/>
      <c r="M49" s="460"/>
      <c r="N49" s="461" t="str">
        <f ca="1">IFERROR(VLOOKUP(J49,OFFSET($BN$2,,,COUNTIF($BN$2:$BN$11,"?*"),5),3,FALSE),"")</f>
        <v/>
      </c>
      <c r="O49" s="461"/>
      <c r="P49" s="461"/>
      <c r="Q49" s="461"/>
      <c r="R49" s="462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 t="str">
        <f ca="1">IFERROR(VLOOKUP(J49,OFFSET($BN$2,,,COUNTIF($BN$2:$BN$11,"?*"),5),5,FALSE),"")</f>
        <v/>
      </c>
      <c r="K50" s="457" t="str">
        <f ca="1">IFERROR(IF(VLOOKUP(J49,OFFSET($BN$2,,,COUNTIF($BN$2:$BN$11,"?*"),5),4,FALSE)&lt;&gt;0,VLOOKUP(J49,OFFSET($BN$2,,,COUNTIF($BN$2:$BN$11,"?*"),5),4,FALSE),"-"),"")</f>
        <v/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23" priority="11" stopIfTrue="1" operator="equal">
      <formula>"OTR"</formula>
    </cfRule>
    <cfRule type="cellIs" dxfId="322" priority="12" stopIfTrue="1" operator="equal">
      <formula>"PAR"</formula>
    </cfRule>
    <cfRule type="cellIs" dxfId="321" priority="13" stopIfTrue="1" operator="equal">
      <formula>"CLP"</formula>
    </cfRule>
    <cfRule type="cellIs" dxfId="320" priority="14" stopIfTrue="1" operator="equal">
      <formula>"HAT"</formula>
    </cfRule>
    <cfRule type="cellIs" dxfId="319" priority="15" stopIfTrue="1" operator="equal">
      <formula>"LIB"</formula>
    </cfRule>
    <cfRule type="cellIs" dxfId="318" priority="16" stopIfTrue="1" operator="equal">
      <formula>"BA"</formula>
    </cfRule>
    <cfRule type="cellIs" dxfId="317" priority="17" stopIfTrue="1" operator="equal">
      <formula>"SPA"</formula>
    </cfRule>
    <cfRule type="cellIs" dxfId="316" priority="18" stopIfTrue="1" operator="equal">
      <formula>"OST"</formula>
    </cfRule>
    <cfRule type="cellIs" dxfId="315" priority="19" stopIfTrue="1" operator="equal">
      <formula>"BOH"</formula>
    </cfRule>
    <cfRule type="cellIs" dxfId="314" priority="20" stopIfTrue="1" operator="equal">
      <formula>"TAT"</formula>
    </cfRule>
    <cfRule type="cellIs" dxfId="313" priority="21" stopIfTrue="1" operator="equal">
      <formula>"MB"</formula>
    </cfRule>
    <cfRule type="cellIs" dxfId="312" priority="22" stopIfTrue="1" operator="equal">
      <formula>"VIT"</formula>
    </cfRule>
    <cfRule type="cellIs" dxfId="311" priority="23" stopIfTrue="1" operator="equal">
      <formula>"CHO"</formula>
    </cfRule>
    <cfRule type="cellIs" dxfId="310" priority="24" stopIfTrue="1" operator="equal">
      <formula>"SKV"</formula>
    </cfRule>
  </conditionalFormatting>
  <conditionalFormatting sqref="H19:K20">
    <cfRule type="cellIs" dxfId="309" priority="39" stopIfTrue="1" operator="equal">
      <formula>"OTR"</formula>
    </cfRule>
    <cfRule type="cellIs" dxfId="308" priority="40" stopIfTrue="1" operator="equal">
      <formula>"PAR"</formula>
    </cfRule>
    <cfRule type="cellIs" dxfId="307" priority="41" stopIfTrue="1" operator="equal">
      <formula>"CLP"</formula>
    </cfRule>
    <cfRule type="cellIs" dxfId="306" priority="42" stopIfTrue="1" operator="equal">
      <formula>"HAT"</formula>
    </cfRule>
    <cfRule type="cellIs" dxfId="305" priority="43" stopIfTrue="1" operator="equal">
      <formula>"LIB"</formula>
    </cfRule>
    <cfRule type="cellIs" dxfId="304" priority="44" stopIfTrue="1" operator="equal">
      <formula>"BA"</formula>
    </cfRule>
    <cfRule type="cellIs" dxfId="303" priority="45" stopIfTrue="1" operator="equal">
      <formula>"SPA"</formula>
    </cfRule>
    <cfRule type="cellIs" dxfId="302" priority="46" stopIfTrue="1" operator="equal">
      <formula>"OST"</formula>
    </cfRule>
    <cfRule type="cellIs" dxfId="301" priority="47" stopIfTrue="1" operator="equal">
      <formula>"BOH"</formula>
    </cfRule>
    <cfRule type="cellIs" dxfId="300" priority="48" stopIfTrue="1" operator="equal">
      <formula>"TAT"</formula>
    </cfRule>
    <cfRule type="cellIs" dxfId="299" priority="49" stopIfTrue="1" operator="equal">
      <formula>"MB"</formula>
    </cfRule>
    <cfRule type="cellIs" dxfId="298" priority="50" stopIfTrue="1" operator="equal">
      <formula>"VIT"</formula>
    </cfRule>
    <cfRule type="cellIs" dxfId="297" priority="51" stopIfTrue="1" operator="equal">
      <formula>"CHO"</formula>
    </cfRule>
    <cfRule type="cellIs" dxfId="296" priority="52" stopIfTrue="1" operator="equal">
      <formula>"SKV"</formula>
    </cfRule>
  </conditionalFormatting>
  <conditionalFormatting sqref="H8:K9">
    <cfRule type="cellIs" dxfId="295" priority="25" stopIfTrue="1" operator="equal">
      <formula>"OTR"</formula>
    </cfRule>
    <cfRule type="cellIs" dxfId="294" priority="26" stopIfTrue="1" operator="equal">
      <formula>"PAR"</formula>
    </cfRule>
    <cfRule type="cellIs" dxfId="293" priority="27" stopIfTrue="1" operator="equal">
      <formula>"CLP"</formula>
    </cfRule>
    <cfRule type="cellIs" dxfId="292" priority="28" stopIfTrue="1" operator="equal">
      <formula>"HAT"</formula>
    </cfRule>
    <cfRule type="cellIs" dxfId="291" priority="29" stopIfTrue="1" operator="equal">
      <formula>"LIB"</formula>
    </cfRule>
    <cfRule type="cellIs" dxfId="290" priority="30" stopIfTrue="1" operator="equal">
      <formula>"BA"</formula>
    </cfRule>
    <cfRule type="cellIs" dxfId="289" priority="31" stopIfTrue="1" operator="equal">
      <formula>"SPA"</formula>
    </cfRule>
    <cfRule type="cellIs" dxfId="288" priority="32" stopIfTrue="1" operator="equal">
      <formula>"OST"</formula>
    </cfRule>
    <cfRule type="cellIs" dxfId="287" priority="33" stopIfTrue="1" operator="equal">
      <formula>"BOH"</formula>
    </cfRule>
    <cfRule type="cellIs" dxfId="286" priority="34" stopIfTrue="1" operator="equal">
      <formula>"TAT"</formula>
    </cfRule>
    <cfRule type="cellIs" dxfId="285" priority="35" stopIfTrue="1" operator="equal">
      <formula>"MB"</formula>
    </cfRule>
    <cfRule type="cellIs" dxfId="284" priority="36" stopIfTrue="1" operator="equal">
      <formula>"VIT"</formula>
    </cfRule>
    <cfRule type="cellIs" dxfId="283" priority="37" stopIfTrue="1" operator="equal">
      <formula>"CHO"</formula>
    </cfRule>
    <cfRule type="cellIs" dxfId="282" priority="38" stopIfTrue="1" operator="equal">
      <formula>"SKV"</formula>
    </cfRule>
  </conditionalFormatting>
  <conditionalFormatting sqref="S2:S42">
    <cfRule type="expression" dxfId="281" priority="9" stopIfTrue="1">
      <formula>IFERROR(IF(VLOOKUP($S2,OFFSET($AG$2,,,COUNTIF($AG$2:$AG$50,"?*")),1,FALSE)&lt;&gt;0,1,0),0)&gt;0</formula>
    </cfRule>
  </conditionalFormatting>
  <conditionalFormatting sqref="S2:S42">
    <cfRule type="expression" dxfId="280" priority="10">
      <formula>IFERROR(IF(VLOOKUP($S2,OFFSET($AG$2,,,COUNTIF($AG$2:$AG$50,"?*")),1,FALSE)&lt;&gt;0,1,0),0)=0</formula>
    </cfRule>
  </conditionalFormatting>
  <conditionalFormatting sqref="S45:S50">
    <cfRule type="expression" dxfId="279" priority="8">
      <formula>IFERROR(IF(VLOOKUP($S45,OFFSET($AG$2,,,COUNTIF($AG$2:$AG$50,"?*")),1,FALSE)&lt;&gt;0,1,0),0)&gt;0</formula>
    </cfRule>
  </conditionalFormatting>
  <conditionalFormatting sqref="S45:S50">
    <cfRule type="expression" dxfId="278" priority="7">
      <formula>IFERROR(IF(VLOOKUP($S45,OFFSET($AG$2,,,COUNTIF($AG$2:$AG$50,"?*")),1,FALSE)&lt;&gt;0,1,0),0)=0</formula>
    </cfRule>
  </conditionalFormatting>
  <conditionalFormatting sqref="AG2:AG50">
    <cfRule type="expression" dxfId="277" priority="4" stopIfTrue="1">
      <formula>OR($AH2="",$AI2="",$AJ2="",$AK2="",$AL2="",$AM2="",$AN2="",$AQ2="",$AR2="",$AS2="",$AT2="")</formula>
    </cfRule>
    <cfRule type="expression" dxfId="276" priority="5" stopIfTrue="1">
      <formula>IFERROR(IF(VLOOKUP($AG2,OFFSET($S$2,,,COUNTIF($S$2:$S$42,"?*")),1,FALSE)&lt;&gt;0,1,0),0)=0</formula>
    </cfRule>
    <cfRule type="expression" dxfId="275" priority="6">
      <formula>IFERROR(IF(VLOOKUP($AG2,OFFSET($S$2,,,COUNTIF($S$2:$S$42,"?*")),1,FALSE)&lt;&gt;0,1,0),0)&gt;0</formula>
    </cfRule>
  </conditionalFormatting>
  <conditionalFormatting sqref="AG2:AK50 AM2:BC50">
    <cfRule type="expression" dxfId="274" priority="3">
      <formula>AND($AG2&lt;&gt;"",MOD(ROW($AG2),2)=0)</formula>
    </cfRule>
  </conditionalFormatting>
  <conditionalFormatting sqref="BN2:BR11">
    <cfRule type="expression" dxfId="273" priority="2">
      <formula>AND($BN2&lt;&gt;"",MOD(ROW($BN2),2)=0)</formula>
    </cfRule>
  </conditionalFormatting>
  <conditionalFormatting sqref="AL2:AL50">
    <cfRule type="expression" dxfId="2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Y34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/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7" t="s">
        <v>1</v>
      </c>
      <c r="I1" s="427"/>
      <c r="J1" s="427"/>
      <c r="K1" s="427"/>
      <c r="M1" s="425"/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8" t="str">
        <f ca="1">IFERROR(IF(VLOOKUP(A1,OFFSET($AG$2,,,COUNTIF($AG$2:$AG$50,"?*"),23),2,FALSE)&lt;&gt;0,YEAR(VLOOKUP(A1,OFFSET($AG$2,,,COUNTIF($AG$2:$AG$50,"?*"),23),2,FALSE)),""),"")</f>
        <v/>
      </c>
      <c r="C2" s="429"/>
      <c r="D2" s="117" t="str">
        <f ca="1">IFERROR(VLOOKUP(A1,OFFSET($AG$2,,,COUNTIF($AG$2:$AG$50,"?*"),23),15,FALSE),"")</f>
        <v/>
      </c>
      <c r="E2" s="419" t="str">
        <f ca="1">IFERROR(VLOOKUP(A1,OFFSET($AG$2,,,COUNTIF($AG$2:$AG$50,"?*"),23),16,FALSE),"")</f>
        <v/>
      </c>
      <c r="F2" s="420"/>
      <c r="M2" s="4" t="str">
        <f ca="1">IFERROR(IF(VLOOKUP(M1,OFFSET($AG$2,,,COUNTIF($AG$2:$AG$50,"?*"),23),10,FALSE)&lt;&gt;0,VLOOKUP(M1,OFFSET($AG$2,,,COUNTIF($AG$2:$AG$50,"?*"),23),10,FALSE),""),"")</f>
        <v/>
      </c>
      <c r="N2" s="428" t="str">
        <f ca="1">IFERROR(IF(VLOOKUP(M1,OFFSET($AG$2,,,COUNTIF($AG$2:$AG$50,"?*"),23),2,FALSE)&lt;&gt;0,YEAR(VLOOKUP(M1,OFFSET($AG$2,,,COUNTIF($AG$2:$AG$50,"?*"),23),2,FALSE)),""),"")</f>
        <v/>
      </c>
      <c r="O2" s="429"/>
      <c r="P2" s="117" t="str">
        <f ca="1">IFERROR(VLOOKUP(M1,OFFSET($AG$2,,,COUNTIF($AG$2:$AG$50,"?*"),23),15,FALSE),"")</f>
        <v/>
      </c>
      <c r="Q2" s="419" t="str">
        <f ca="1">IFERROR(VLOOKUP(M1,OFFSET($AG$2,,,COUNTIF($AG$2:$AG$50,"?*"),23),16,FALSE),"")</f>
        <v/>
      </c>
      <c r="R2" s="420"/>
      <c r="S2" s="110" t="s">
        <v>454</v>
      </c>
      <c r="U2" s="102">
        <v>15</v>
      </c>
      <c r="V2" s="102">
        <v>16</v>
      </c>
      <c r="W2" s="102">
        <v>1</v>
      </c>
      <c r="X2" s="102">
        <v>1</v>
      </c>
      <c r="Y2" s="102">
        <v>19</v>
      </c>
      <c r="Z2" s="102">
        <v>35</v>
      </c>
      <c r="AA2" s="102">
        <v>6</v>
      </c>
      <c r="AB2" s="102">
        <v>15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472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26</v>
      </c>
      <c r="AQ2" s="123">
        <v>187</v>
      </c>
      <c r="AR2" s="123">
        <v>77</v>
      </c>
      <c r="AS2" s="126" t="s">
        <v>494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513</v>
      </c>
      <c r="BO2" s="122">
        <v>27314</v>
      </c>
      <c r="BP2" s="131" t="s">
        <v>235</v>
      </c>
      <c r="BQ2" s="132"/>
      <c r="BR2" s="127">
        <f ca="1">IF(BN2&lt;&gt;"",IF(BO2&lt;&gt;"",INT((TODAY()-BO2)/365),"?"),"")</f>
        <v>47</v>
      </c>
      <c r="BS2" s="464" t="s">
        <v>35</v>
      </c>
      <c r="BT2" s="104" t="s">
        <v>757</v>
      </c>
      <c r="BU2" s="103">
        <v>35</v>
      </c>
      <c r="BV2" s="104" t="str">
        <f>IFERROR(RIGHT(BT2,LEN(BT2)-SEARCH(" ",BT2)),"")</f>
        <v>Ronald Gašparík</v>
      </c>
      <c r="BW2" s="102">
        <f>IF(BT2&lt;&gt;0,_xlfn.NUMBERVALUE(BU2,","),"")</f>
        <v>35</v>
      </c>
      <c r="BX2" s="463" t="s">
        <v>191</v>
      </c>
      <c r="BY2" s="103" t="s">
        <v>1048</v>
      </c>
      <c r="BZ2" s="103" t="s">
        <v>792</v>
      </c>
      <c r="CA2" s="115" t="s">
        <v>1076</v>
      </c>
    </row>
    <row r="3" spans="1:79" ht="15" customHeight="1" thickTop="1" thickBot="1" x14ac:dyDescent="0.25">
      <c r="A3" s="421" t="str">
        <f ca="1">IFERROR(VLOOKUP(A1,OFFSET($AG$2,,,COUNTIF($AG$2:$AG$50,"?*"),23),18,FALSE),"")</f>
        <v/>
      </c>
      <c r="B3" s="422"/>
      <c r="C3" s="422"/>
      <c r="D3" s="423" t="str">
        <f ca="1">IFERROR(VLOOKUP(A1,OFFSET($AG$2,,,COUNTIF($AG$2:$AG$50,"?*"),23),19,FALSE),"")</f>
        <v/>
      </c>
      <c r="E3" s="423"/>
      <c r="F3" s="424"/>
      <c r="G3" s="425"/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1" t="str">
        <f ca="1">IFERROR(VLOOKUP(M1,OFFSET($AG$2,,,COUNTIF($AG$2:$AG$50,"?*"),23),18,FALSE),"")</f>
        <v/>
      </c>
      <c r="N3" s="422"/>
      <c r="O3" s="422"/>
      <c r="P3" s="423" t="str">
        <f ca="1">IFERROR(VLOOKUP(M1,OFFSET($AG$2,,,COUNTIF($AG$2:$AG$50,"?*"),23),19,FALSE),"")</f>
        <v/>
      </c>
      <c r="Q3" s="423"/>
      <c r="R3" s="424"/>
      <c r="S3" s="110" t="s">
        <v>453</v>
      </c>
      <c r="T3" s="102" t="s">
        <v>106</v>
      </c>
      <c r="U3" s="102">
        <v>14</v>
      </c>
      <c r="V3" s="102">
        <v>22</v>
      </c>
      <c r="W3" s="102">
        <v>4</v>
      </c>
      <c r="X3" s="102">
        <v>0</v>
      </c>
      <c r="Y3" s="102">
        <v>9</v>
      </c>
      <c r="Z3" s="102">
        <v>31</v>
      </c>
      <c r="AA3" s="102">
        <v>2</v>
      </c>
      <c r="AB3" s="102">
        <v>4</v>
      </c>
      <c r="AC3" s="102" t="str">
        <f t="shared" ca="1" si="0"/>
        <v>ANO</v>
      </c>
      <c r="AG3" s="121" t="s">
        <v>470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136</v>
      </c>
      <c r="AQ3" s="123">
        <v>177</v>
      </c>
      <c r="AR3" s="123">
        <v>70</v>
      </c>
      <c r="AS3" s="126" t="s">
        <v>495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16 OZ, 4 (2+2), -13 ±</v>
      </c>
      <c r="AY3" s="129" t="str">
        <f t="shared" ca="1" si="2"/>
        <v>64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514</v>
      </c>
      <c r="BO3" s="122">
        <v>33731</v>
      </c>
      <c r="BP3" s="131" t="s">
        <v>236</v>
      </c>
      <c r="BQ3" s="132"/>
      <c r="BR3" s="127">
        <f t="shared" ref="BR3:BR11" ca="1" si="12">IF(BN3&lt;&gt;"",IF(BO3&lt;&gt;"",INT((TODAY()-BO3)/365),"?"),"")</f>
        <v>29</v>
      </c>
      <c r="BS3" s="464"/>
      <c r="BT3" s="104" t="s">
        <v>1262</v>
      </c>
      <c r="BU3" s="103">
        <v>31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31</v>
      </c>
      <c r="BX3" s="463"/>
      <c r="BY3" s="103" t="s">
        <v>1039</v>
      </c>
      <c r="BZ3" s="103" t="s">
        <v>786</v>
      </c>
      <c r="CA3" s="115" t="s">
        <v>1425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/>
      </c>
      <c r="B4" s="431"/>
      <c r="C4" s="432"/>
      <c r="D4" s="433" t="str">
        <f ca="1">IFERROR(IF(VLOOKUP(A1,OFFSET($AG$2,,,COUNTIF($AG$2:$AG$50,"?*"),23),14,FALSE)&lt;&gt;0,VLOOKUP(A1,OFFSET($AG$2,,,COUNTIF($AG$2:$AG$50,"?*"),23),14,FALSE),"?"),"")</f>
        <v/>
      </c>
      <c r="E4" s="43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8" t="str">
        <f ca="1">IFERROR(IF(VLOOKUP(G3,OFFSET($AG$2,,,COUNTIF($AG$2:$AG$50,"?*"),23),2,FALSE)&lt;&gt;0,YEAR(VLOOKUP(G3,OFFSET($AG$2,,,COUNTIF($AG$2:$AG$50,"?*"),23),2,FALSE)),""),"")</f>
        <v/>
      </c>
      <c r="I4" s="429"/>
      <c r="J4" s="117" t="str">
        <f ca="1">IFERROR(VLOOKUP(G3,OFFSET($AG$2,,,COUNTIF($AG$2:$AG$50,"?*"),23),15,FALSE),"")</f>
        <v/>
      </c>
      <c r="K4" s="419" t="str">
        <f ca="1">IFERROR(VLOOKUP(G3,OFFSET($AG$2,,,COUNTIF($AG$2:$AG$50,"?*"),23),16,FALSE),"")</f>
        <v/>
      </c>
      <c r="L4" s="420"/>
      <c r="M4" s="430" t="str">
        <f ca="1">IFERROR(IF(VLOOKUP(M1,OFFSET($AG$2,,,COUNTIF($AG$2:$AG$50,"?*"),23),13,FALSE)&lt;&gt;0,VLOOKUP(M1,OFFSET($AG$2,,,COUNTIF($AG$2:$AG$50,"?*"),23),13,FALSE),"?"),"")</f>
        <v/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/>
      </c>
      <c r="Q4" s="43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457</v>
      </c>
      <c r="U4" s="102">
        <v>16</v>
      </c>
      <c r="V4" s="102">
        <v>13</v>
      </c>
      <c r="W4" s="102">
        <v>0</v>
      </c>
      <c r="X4" s="102">
        <v>0</v>
      </c>
      <c r="Y4" s="102">
        <v>10</v>
      </c>
      <c r="Z4" s="102">
        <v>23</v>
      </c>
      <c r="AA4" s="102">
        <v>2</v>
      </c>
      <c r="AB4" s="102">
        <v>-7</v>
      </c>
      <c r="AC4" s="102" t="str">
        <f t="shared" ca="1" si="0"/>
        <v>ANO</v>
      </c>
      <c r="AG4" s="121" t="s">
        <v>473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136</v>
      </c>
      <c r="AQ4" s="123">
        <v>177</v>
      </c>
      <c r="AR4" s="123">
        <v>77</v>
      </c>
      <c r="AS4" s="126" t="s">
        <v>496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515</v>
      </c>
      <c r="BO4" s="122">
        <v>25991</v>
      </c>
      <c r="BP4" s="131" t="s">
        <v>175</v>
      </c>
      <c r="BQ4" s="132"/>
      <c r="BR4" s="127">
        <f t="shared" ca="1" si="12"/>
        <v>50</v>
      </c>
      <c r="BS4" s="464"/>
      <c r="BT4" s="104" t="s">
        <v>1104</v>
      </c>
      <c r="BU4" s="103">
        <v>23</v>
      </c>
      <c r="BV4" s="104" t="str">
        <f t="shared" si="13"/>
        <v>Peter Nehila</v>
      </c>
      <c r="BW4" s="102">
        <f t="shared" si="14"/>
        <v>23</v>
      </c>
      <c r="BX4" s="463"/>
      <c r="BY4" s="103" t="s">
        <v>1331</v>
      </c>
      <c r="BZ4" s="103" t="s">
        <v>787</v>
      </c>
      <c r="CA4" s="115" t="s">
        <v>1380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/>
      </c>
      <c r="H5" s="422"/>
      <c r="I5" s="422"/>
      <c r="J5" s="423" t="str">
        <f ca="1">IFERROR(VLOOKUP(G3,OFFSET($AG$2,,,COUNTIF($AG$2:$AG$50,"?*"),23),19,FALSE),"")</f>
        <v/>
      </c>
      <c r="K5" s="423"/>
      <c r="L5" s="424"/>
      <c r="S5" s="110" t="s">
        <v>455</v>
      </c>
      <c r="T5" s="102" t="s">
        <v>106</v>
      </c>
      <c r="U5" s="102">
        <v>16</v>
      </c>
      <c r="V5" s="102">
        <v>10</v>
      </c>
      <c r="W5" s="102">
        <v>3</v>
      </c>
      <c r="X5" s="102">
        <v>0</v>
      </c>
      <c r="Y5" s="102">
        <v>4</v>
      </c>
      <c r="Z5" s="102">
        <v>14</v>
      </c>
      <c r="AA5" s="102">
        <v>6</v>
      </c>
      <c r="AB5" s="102">
        <v>-8</v>
      </c>
      <c r="AC5" s="102" t="str">
        <f t="shared" ca="1" si="0"/>
        <v>NE</v>
      </c>
      <c r="AG5" s="121" t="s">
        <v>474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136</v>
      </c>
      <c r="AQ5" s="123">
        <v>193</v>
      </c>
      <c r="AR5" s="123">
        <v>77</v>
      </c>
      <c r="AS5" s="126" t="s">
        <v>497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4"/>
      <c r="BT5" s="104" t="s">
        <v>1264</v>
      </c>
      <c r="BU5" s="103">
        <v>14</v>
      </c>
      <c r="BV5" s="104" t="str">
        <f t="shared" si="13"/>
        <v>Martin Ležatka</v>
      </c>
      <c r="BW5" s="102">
        <f t="shared" si="14"/>
        <v>14</v>
      </c>
      <c r="BX5" s="463"/>
      <c r="BY5" s="103" t="s">
        <v>997</v>
      </c>
      <c r="BZ5" s="103" t="s">
        <v>1304</v>
      </c>
      <c r="CA5" s="115" t="s">
        <v>1267</v>
      </c>
    </row>
    <row r="6" spans="1:79" ht="15" customHeight="1" thickTop="1" thickBot="1" x14ac:dyDescent="0.25">
      <c r="A6" s="425"/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0" t="str">
        <f ca="1">IFERROR(IF(VLOOKUP(G3,OFFSET($AG$2,,,COUNTIF($AG$2:$AG$50,"?*"),23),13,FALSE)&lt;&gt;0,VLOOKUP(G3,OFFSET($AG$2,,,COUNTIF($AG$2:$AG$50,"?*"),23),13,FALSE),"?"),"")</f>
        <v/>
      </c>
      <c r="H6" s="431"/>
      <c r="I6" s="432"/>
      <c r="J6" s="433" t="str">
        <f ca="1">IFERROR(IF(VLOOKUP(G3,OFFSET($AG$2,,,COUNTIF($AG$2:$AG$50,"?*"),23),14,FALSE)&lt;&gt;0,VLOOKUP(G3,OFFSET($AG$2,,,COUNTIF($AG$2:$AG$50,"?*"),23),14,FALSE),"?"),"")</f>
        <v/>
      </c>
      <c r="K6" s="434"/>
      <c r="L6" s="7" t="str">
        <f ca="1">IFERROR(IF(VLOOKUP(G3,OFFSET($AG$2,,,COUNTIF($AG$2:$AG$50,"?*"),23),7,FALSE)&lt;&gt;0,VLOOKUP(G3,OFFSET($AG$2,,,COUNTIF($AG$2:$AG$50,"?*"),23),7,FALSE),"?"),"")</f>
        <v/>
      </c>
      <c r="M6" s="425"/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460</v>
      </c>
      <c r="T6" s="102" t="s">
        <v>106</v>
      </c>
      <c r="U6" s="102">
        <v>16</v>
      </c>
      <c r="V6" s="102">
        <v>4</v>
      </c>
      <c r="W6" s="102">
        <v>0</v>
      </c>
      <c r="X6" s="102">
        <v>0</v>
      </c>
      <c r="Y6" s="102">
        <v>9</v>
      </c>
      <c r="Z6" s="102">
        <v>13</v>
      </c>
      <c r="AA6" s="102">
        <v>0</v>
      </c>
      <c r="AB6" s="102">
        <v>-14</v>
      </c>
      <c r="AC6" s="102" t="str">
        <f t="shared" ca="1" si="0"/>
        <v>ANO</v>
      </c>
      <c r="AG6" s="121" t="s">
        <v>469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136</v>
      </c>
      <c r="AQ6" s="123">
        <v>180</v>
      </c>
      <c r="AR6" s="123">
        <v>80</v>
      </c>
      <c r="AS6" s="126" t="s">
        <v>495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4"/>
      <c r="BT6" s="104" t="s">
        <v>1427</v>
      </c>
      <c r="BU6" s="103">
        <v>13</v>
      </c>
      <c r="BV6" s="104" t="str">
        <f t="shared" si="13"/>
        <v>Lukáš Petřík</v>
      </c>
      <c r="BW6" s="102">
        <f t="shared" si="14"/>
        <v>13</v>
      </c>
      <c r="BX6" s="463"/>
      <c r="BY6" s="103" t="s">
        <v>1231</v>
      </c>
      <c r="BZ6" s="103" t="s">
        <v>814</v>
      </c>
      <c r="CA6" s="115" t="s">
        <v>1268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8" t="str">
        <f ca="1">IFERROR(IF(VLOOKUP(A6,OFFSET($AG$2,,,COUNTIF($AG$2:$AG$50,"?*"),23),2,FALSE)&lt;&gt;0,YEAR(VLOOKUP(A6,OFFSET($AG$2,,,COUNTIF($AG$2:$AG$50,"?*"),23),2,FALSE)),""),"")</f>
        <v/>
      </c>
      <c r="C7" s="429"/>
      <c r="D7" s="117" t="str">
        <f ca="1">IFERROR(VLOOKUP(A6,OFFSET($AG$2,,,COUNTIF($AG$2:$AG$50,"?*"),23),15,FALSE),"")</f>
        <v/>
      </c>
      <c r="E7" s="419" t="str">
        <f ca="1">IFERROR(VLOOKUP(A6,OFFSET($AG$2,,,COUNTIF($AG$2:$AG$50,"?*"),23),16,FALSE),"")</f>
        <v/>
      </c>
      <c r="F7" s="420"/>
      <c r="M7" s="4" t="str">
        <f ca="1">IFERROR(IF(VLOOKUP(M6,OFFSET($AG$2,,,COUNTIF($AG$2:$AG$50,"?*"),23),10,FALSE)&lt;&gt;0,VLOOKUP(M6,OFFSET($AG$2,,,COUNTIF($AG$2:$AG$50,"?*"),23),10,FALSE),""),"")</f>
        <v/>
      </c>
      <c r="N7" s="428" t="str">
        <f ca="1">IFERROR(IF(VLOOKUP(M6,OFFSET($AG$2,,,COUNTIF($AG$2:$AG$50,"?*"),23),2,FALSE)&lt;&gt;0,YEAR(VLOOKUP(M6,OFFSET($AG$2,,,COUNTIF($AG$2:$AG$50,"?*"),23),2,FALSE)),""),"")</f>
        <v/>
      </c>
      <c r="O7" s="429"/>
      <c r="P7" s="117" t="str">
        <f ca="1">IFERROR(VLOOKUP(M6,OFFSET($AG$2,,,COUNTIF($AG$2:$AG$50,"?*"),23),15,FALSE),"")</f>
        <v/>
      </c>
      <c r="Q7" s="419" t="str">
        <f ca="1">IFERROR(VLOOKUP(M6,OFFSET($AG$2,,,COUNTIF($AG$2:$AG$50,"?*"),23),16,FALSE),"")</f>
        <v/>
      </c>
      <c r="R7" s="420"/>
      <c r="S7" s="110" t="s">
        <v>487</v>
      </c>
      <c r="T7" s="102" t="s">
        <v>106</v>
      </c>
      <c r="U7" s="102">
        <v>14</v>
      </c>
      <c r="V7" s="102">
        <v>2</v>
      </c>
      <c r="W7" s="102">
        <v>0</v>
      </c>
      <c r="X7" s="102">
        <v>0</v>
      </c>
      <c r="Y7" s="102">
        <v>11</v>
      </c>
      <c r="Z7" s="102">
        <v>13</v>
      </c>
      <c r="AA7" s="102">
        <v>10</v>
      </c>
      <c r="AB7" s="102">
        <v>6</v>
      </c>
      <c r="AC7" s="102" t="str">
        <f t="shared" ca="1" si="0"/>
        <v>ANO</v>
      </c>
      <c r="AG7" s="121" t="s">
        <v>458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136</v>
      </c>
      <c r="AQ7" s="123">
        <v>174</v>
      </c>
      <c r="AR7" s="123">
        <v>73</v>
      </c>
      <c r="AS7" s="126" t="s">
        <v>498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14 OZ, 7 (3+4), -4 ±</v>
      </c>
      <c r="AY7" s="129" t="str">
        <f t="shared" ca="1" si="2"/>
        <v>185 OZ, 167 (102+65)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827</v>
      </c>
      <c r="BU7" s="103" t="s">
        <v>1428</v>
      </c>
      <c r="BV7" s="104" t="str">
        <f t="shared" si="13"/>
        <v>Adam Kohút</v>
      </c>
      <c r="BW7" s="112">
        <f t="shared" si="14"/>
        <v>6.21</v>
      </c>
      <c r="BX7" s="463" t="s">
        <v>192</v>
      </c>
      <c r="BY7" s="103" t="s">
        <v>1232</v>
      </c>
      <c r="BZ7" s="103" t="s">
        <v>794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/>
      </c>
      <c r="B8" s="422"/>
      <c r="C8" s="422"/>
      <c r="D8" s="423" t="str">
        <f ca="1">IFERROR(VLOOKUP(A6,OFFSET($AG$2,,,COUNTIF($AG$2:$AG$50,"?*"),23),19,FALSE),"")</f>
        <v/>
      </c>
      <c r="E8" s="423"/>
      <c r="F8" s="424"/>
      <c r="H8" s="435" t="s">
        <v>93</v>
      </c>
      <c r="I8" s="435"/>
      <c r="J8" s="435"/>
      <c r="K8" s="435"/>
      <c r="M8" s="421" t="str">
        <f ca="1">IFERROR(VLOOKUP(M6,OFFSET($AG$2,,,COUNTIF($AG$2:$AG$50,"?*"),23),18,FALSE),"")</f>
        <v/>
      </c>
      <c r="N8" s="422"/>
      <c r="O8" s="422"/>
      <c r="P8" s="423" t="str">
        <f ca="1">IFERROR(VLOOKUP(M6,OFFSET($AG$2,,,COUNTIF($AG$2:$AG$50,"?*"),23),19,FALSE),"")</f>
        <v/>
      </c>
      <c r="Q8" s="423"/>
      <c r="R8" s="424"/>
      <c r="S8" s="110" t="s">
        <v>998</v>
      </c>
      <c r="U8" s="102">
        <v>10</v>
      </c>
      <c r="V8" s="102">
        <v>8</v>
      </c>
      <c r="W8" s="102">
        <v>0</v>
      </c>
      <c r="X8" s="102">
        <v>0</v>
      </c>
      <c r="Y8" s="102">
        <v>4</v>
      </c>
      <c r="Z8" s="102">
        <v>12</v>
      </c>
      <c r="AA8" s="102">
        <v>0</v>
      </c>
      <c r="AB8" s="102">
        <v>11</v>
      </c>
      <c r="AC8" s="102" t="str">
        <f t="shared" ca="1" si="0"/>
        <v>NE</v>
      </c>
      <c r="AG8" s="121" t="s">
        <v>475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136</v>
      </c>
      <c r="AQ8" s="123">
        <v>185</v>
      </c>
      <c r="AR8" s="123">
        <v>75</v>
      </c>
      <c r="AS8" s="126" t="s">
        <v>499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828</v>
      </c>
      <c r="BU8" s="103" t="s">
        <v>829</v>
      </c>
      <c r="BV8" s="104" t="str">
        <f t="shared" si="13"/>
        <v>Kevin Majrich</v>
      </c>
      <c r="BW8" s="112">
        <f t="shared" si="14"/>
        <v>8.09</v>
      </c>
      <c r="BX8" s="463"/>
      <c r="BY8" s="103" t="s">
        <v>1236</v>
      </c>
      <c r="BZ8" s="103" t="s">
        <v>795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/>
      </c>
      <c r="B9" s="431"/>
      <c r="C9" s="432"/>
      <c r="D9" s="433" t="str">
        <f ca="1">IFERROR(IF(VLOOKUP(A6,OFFSET($AG$2,,,COUNTIF($AG$2:$AG$50,"?*"),23),14,FALSE)&lt;&gt;0,VLOOKUP(A6,OFFSET($AG$2,,,COUNTIF($AG$2:$AG$50,"?*"),23),14,FALSE),"?"),"")</f>
        <v/>
      </c>
      <c r="E9" s="434"/>
      <c r="F9" s="7" t="str">
        <f ca="1">IFERROR(IF(VLOOKUP(A6,OFFSET($AG$2,,,COUNTIF($AG$2:$AG$50,"?*"),23),7,FALSE)&lt;&gt;0,VLOOKUP(A6,OFFSET($AG$2,,,COUNTIF($AG$2:$AG$50,"?*"),23),7,FALSE),"?"),"")</f>
        <v/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/>
      </c>
      <c r="N9" s="431"/>
      <c r="O9" s="432"/>
      <c r="P9" s="433" t="str">
        <f ca="1">IFERROR(IF(VLOOKUP(M6,OFFSET($AG$2,,,COUNTIF($AG$2:$AG$50,"?*"),23),14,FALSE)&lt;&gt;0,VLOOKUP(M6,OFFSET($AG$2,,,COUNTIF($AG$2:$AG$50,"?*"),23),14,FALSE),"?"),"")</f>
        <v/>
      </c>
      <c r="Q9" s="43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463</v>
      </c>
      <c r="T9" s="102" t="s">
        <v>106</v>
      </c>
      <c r="U9" s="102">
        <v>16</v>
      </c>
      <c r="V9" s="102">
        <v>8</v>
      </c>
      <c r="W9" s="102">
        <v>0</v>
      </c>
      <c r="X9" s="102">
        <v>0</v>
      </c>
      <c r="Y9" s="102">
        <v>2</v>
      </c>
      <c r="Z9" s="102">
        <v>10</v>
      </c>
      <c r="AA9" s="102">
        <v>2</v>
      </c>
      <c r="AB9" s="102">
        <v>-8</v>
      </c>
      <c r="AC9" s="102" t="str">
        <f t="shared" ca="1" si="0"/>
        <v>ANO</v>
      </c>
      <c r="AG9" s="121" t="s">
        <v>476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136</v>
      </c>
      <c r="AQ9" s="123">
        <v>193</v>
      </c>
      <c r="AR9" s="123">
        <v>90</v>
      </c>
      <c r="AS9" s="126" t="s">
        <v>500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830</v>
      </c>
      <c r="BU9" s="103" t="s">
        <v>1263</v>
      </c>
      <c r="BV9" s="104" t="str">
        <f t="shared" si="13"/>
        <v>Miroslav Steiger</v>
      </c>
      <c r="BW9" s="112">
        <f t="shared" si="14"/>
        <v>9.57</v>
      </c>
      <c r="BX9" s="463"/>
      <c r="BY9" s="103" t="s">
        <v>1333</v>
      </c>
      <c r="BZ9" s="103" t="s">
        <v>793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458</v>
      </c>
      <c r="T10" s="102" t="s">
        <v>106</v>
      </c>
      <c r="U10" s="102">
        <v>14</v>
      </c>
      <c r="V10" s="102">
        <v>3</v>
      </c>
      <c r="W10" s="102">
        <v>2</v>
      </c>
      <c r="X10" s="102">
        <v>0</v>
      </c>
      <c r="Y10" s="102">
        <v>4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318</v>
      </c>
      <c r="AH10" s="122"/>
      <c r="AI10" s="123"/>
      <c r="AJ10" s="123"/>
      <c r="AK10" s="123"/>
      <c r="AL10" s="124">
        <f>IF(AG10&lt;&gt;"",AJ10+AK10,"")</f>
        <v>0</v>
      </c>
      <c r="AM10" s="123" t="s">
        <v>275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V10" s="104" t="str">
        <f t="shared" si="13"/>
        <v/>
      </c>
      <c r="BW10" s="112" t="str">
        <f t="shared" si="14"/>
        <v/>
      </c>
      <c r="BX10" s="463"/>
      <c r="BY10" s="103" t="s">
        <v>1306</v>
      </c>
      <c r="BZ10" s="103" t="s">
        <v>818</v>
      </c>
      <c r="CA10" s="115" t="s">
        <v>187</v>
      </c>
    </row>
    <row r="11" spans="1:79" ht="15" customHeight="1" thickTop="1" thickBot="1" x14ac:dyDescent="0.25">
      <c r="R11" s="13"/>
      <c r="S11" s="110" t="s">
        <v>456</v>
      </c>
      <c r="T11" s="102" t="s">
        <v>106</v>
      </c>
      <c r="U11" s="102">
        <v>11</v>
      </c>
      <c r="V11" s="102">
        <v>2</v>
      </c>
      <c r="W11" s="102">
        <v>0</v>
      </c>
      <c r="X11" s="102">
        <v>0</v>
      </c>
      <c r="Y11" s="102">
        <v>4</v>
      </c>
      <c r="Z11" s="102">
        <v>6</v>
      </c>
      <c r="AA11" s="102">
        <v>0</v>
      </c>
      <c r="AB11" s="102">
        <v>-1</v>
      </c>
      <c r="AC11" s="102" t="str">
        <f t="shared" ca="1" si="0"/>
        <v>NE</v>
      </c>
      <c r="AG11" s="121" t="s">
        <v>477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136</v>
      </c>
      <c r="AQ11" s="123">
        <v>188</v>
      </c>
      <c r="AR11" s="123">
        <v>78</v>
      </c>
      <c r="AS11" s="126" t="s">
        <v>495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BZ11" s="103" t="s">
        <v>799</v>
      </c>
      <c r="CA11" s="115" t="s">
        <v>187</v>
      </c>
    </row>
    <row r="12" spans="1:79" ht="15" customHeight="1" thickTop="1" thickBot="1" x14ac:dyDescent="0.25">
      <c r="A12" s="425"/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7" t="s">
        <v>7</v>
      </c>
      <c r="I12" s="427"/>
      <c r="J12" s="427"/>
      <c r="K12" s="427"/>
      <c r="M12" s="425"/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462</v>
      </c>
      <c r="U12" s="102">
        <v>16</v>
      </c>
      <c r="V12" s="102">
        <v>2</v>
      </c>
      <c r="W12" s="102">
        <v>0</v>
      </c>
      <c r="X12" s="102">
        <v>0</v>
      </c>
      <c r="Y12" s="102">
        <v>4</v>
      </c>
      <c r="Z12" s="102">
        <v>6</v>
      </c>
      <c r="AA12" s="102">
        <v>6</v>
      </c>
      <c r="AB12" s="102">
        <v>-8</v>
      </c>
      <c r="AC12" s="102" t="str">
        <f t="shared" ca="1" si="0"/>
        <v>NE</v>
      </c>
      <c r="AG12" s="121" t="s">
        <v>463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26</v>
      </c>
      <c r="AQ12" s="123">
        <v>176</v>
      </c>
      <c r="AR12" s="123">
        <v>80</v>
      </c>
      <c r="AS12" s="126" t="s">
        <v>501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16 OZ, 10 (8+2), -8 ±</v>
      </c>
      <c r="AY12" s="129" t="str">
        <f t="shared" ca="1" si="2"/>
        <v>157 OZ, 71 (49+22)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516</v>
      </c>
      <c r="BU12" s="103">
        <v>22</v>
      </c>
      <c r="BV12" s="104" t="str">
        <f t="shared" si="13"/>
        <v>František Vykopal</v>
      </c>
      <c r="BW12" s="102">
        <f t="shared" si="14"/>
        <v>22</v>
      </c>
      <c r="BX12" s="120" t="s">
        <v>190</v>
      </c>
      <c r="BY12" s="100" t="s">
        <v>1426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8" t="str">
        <f ca="1">IFERROR(IF(VLOOKUP(A12,OFFSET($AG$2,,,COUNTIF($AG$2:$AG$50,"?*"),23),2,FALSE)&lt;&gt;0,YEAR(VLOOKUP(A12,OFFSET($AG$2,,,COUNTIF($AG$2:$AG$50,"?*"),23),2,FALSE)),""),"")</f>
        <v/>
      </c>
      <c r="C13" s="429"/>
      <c r="D13" s="117" t="str">
        <f ca="1">IFERROR(VLOOKUP(A12,OFFSET($AG$2,,,COUNTIF($AG$2:$AG$50,"?*"),23),15,FALSE),"")</f>
        <v/>
      </c>
      <c r="E13" s="419" t="str">
        <f ca="1">IFERROR(VLOOKUP(A12,OFFSET($AG$2,,,COUNTIF($AG$2:$AG$50,"?*"),23),16,FALSE),"")</f>
        <v/>
      </c>
      <c r="F13" s="420"/>
      <c r="M13" s="4" t="str">
        <f ca="1">IFERROR(IF(VLOOKUP(M12,OFFSET($AG$2,,,COUNTIF($AG$2:$AG$50,"?*"),23),10,FALSE)&lt;&gt;0,VLOOKUP(M12,OFFSET($AG$2,,,COUNTIF($AG$2:$AG$50,"?*"),23),10,FALSE),""),"")</f>
        <v/>
      </c>
      <c r="N13" s="428" t="str">
        <f ca="1">IFERROR(IF(VLOOKUP(M12,OFFSET($AG$2,,,COUNTIF($AG$2:$AG$50,"?*"),23),2,FALSE)&lt;&gt;0,YEAR(VLOOKUP(M12,OFFSET($AG$2,,,COUNTIF($AG$2:$AG$50,"?*"),23),2,FALSE)),""),"")</f>
        <v/>
      </c>
      <c r="O13" s="429"/>
      <c r="P13" s="117" t="str">
        <f ca="1">IFERROR(VLOOKUP(M12,OFFSET($AG$2,,,COUNTIF($AG$2:$AG$50,"?*"),23),15,FALSE),"")</f>
        <v/>
      </c>
      <c r="Q13" s="419" t="str">
        <f ca="1">IFERROR(VLOOKUP(M12,OFFSET($AG$2,,,COUNTIF($AG$2:$AG$50,"?*"),23),16,FALSE),"")</f>
        <v/>
      </c>
      <c r="R13" s="420"/>
      <c r="S13" s="110" t="s">
        <v>466</v>
      </c>
      <c r="T13" s="102" t="s">
        <v>57</v>
      </c>
      <c r="U13" s="102">
        <v>7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2</v>
      </c>
      <c r="AB13" s="102">
        <v>7</v>
      </c>
      <c r="AC13" s="102" t="str">
        <f t="shared" ca="1" si="0"/>
        <v>ANO</v>
      </c>
      <c r="AG13" s="121" t="s">
        <v>478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136</v>
      </c>
      <c r="AQ13" s="123">
        <v>172</v>
      </c>
      <c r="AR13" s="123">
        <v>67</v>
      </c>
      <c r="AS13" s="126" t="s">
        <v>500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1429</v>
      </c>
      <c r="BU13" s="103">
        <v>16</v>
      </c>
      <c r="BV13" s="104" t="str">
        <f t="shared" si="13"/>
        <v>Ronald Gašparík</v>
      </c>
      <c r="BW13" s="102">
        <f t="shared" si="14"/>
        <v>16</v>
      </c>
    </row>
    <row r="14" spans="1:79" ht="15" customHeight="1" thickTop="1" thickBot="1" x14ac:dyDescent="0.25">
      <c r="A14" s="421" t="str">
        <f ca="1">IFERROR(VLOOKUP(A12,OFFSET($AG$2,,,COUNTIF($AG$2:$AG$50,"?*"),23),18,FALSE),"")</f>
        <v/>
      </c>
      <c r="B14" s="422"/>
      <c r="C14" s="422"/>
      <c r="D14" s="423" t="str">
        <f ca="1">IFERROR(VLOOKUP(A12,OFFSET($AG$2,,,COUNTIF($AG$2:$AG$50,"?*"),23),19,FALSE),"")</f>
        <v/>
      </c>
      <c r="E14" s="423"/>
      <c r="F14" s="424"/>
      <c r="G14" s="425"/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1" t="str">
        <f ca="1">IFERROR(VLOOKUP(M12,OFFSET($AG$2,,,COUNTIF($AG$2:$AG$50,"?*"),23),18,FALSE),"")</f>
        <v/>
      </c>
      <c r="N14" s="422"/>
      <c r="O14" s="422"/>
      <c r="P14" s="423" t="str">
        <f ca="1">IFERROR(VLOOKUP(M12,OFFSET($AG$2,,,COUNTIF($AG$2:$AG$50,"?*"),23),19,FALSE),"")</f>
        <v/>
      </c>
      <c r="Q14" s="423"/>
      <c r="R14" s="424"/>
      <c r="S14" s="110" t="s">
        <v>470</v>
      </c>
      <c r="T14" s="102" t="s">
        <v>106</v>
      </c>
      <c r="U14" s="102">
        <v>16</v>
      </c>
      <c r="V14" s="102">
        <v>2</v>
      </c>
      <c r="W14" s="102">
        <v>0</v>
      </c>
      <c r="X14" s="102">
        <v>0</v>
      </c>
      <c r="Y14" s="102">
        <v>2</v>
      </c>
      <c r="Z14" s="102">
        <v>4</v>
      </c>
      <c r="AA14" s="102">
        <v>0</v>
      </c>
      <c r="AB14" s="102">
        <v>-13</v>
      </c>
      <c r="AC14" s="102" t="str">
        <f t="shared" ca="1" si="0"/>
        <v>ANO</v>
      </c>
      <c r="AG14" s="121" t="s">
        <v>479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136</v>
      </c>
      <c r="AQ14" s="123">
        <v>181</v>
      </c>
      <c r="AR14" s="123">
        <v>80</v>
      </c>
      <c r="AS14" s="126" t="s">
        <v>502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1104</v>
      </c>
      <c r="BU14" s="103">
        <v>13</v>
      </c>
      <c r="BV14" s="104" t="str">
        <f t="shared" si="13"/>
        <v>Peter Nehila</v>
      </c>
      <c r="BW14" s="102">
        <f t="shared" si="14"/>
        <v>13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/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/>
      </c>
      <c r="E15" s="43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8" t="str">
        <f ca="1">IFERROR(IF(VLOOKUP(G14,OFFSET($AG$2,,,COUNTIF($AG$2:$AG$50,"?*"),23),2,FALSE)&lt;&gt;0,YEAR(VLOOKUP(G14,OFFSET($AG$2,,,COUNTIF($AG$2:$AG$50,"?*"),23),2,FALSE)),""),"")</f>
        <v/>
      </c>
      <c r="I15" s="429"/>
      <c r="J15" s="117" t="str">
        <f ca="1">IFERROR(VLOOKUP(G14,OFFSET($AG$2,,,COUNTIF($AG$2:$AG$50,"?*"),23),15,FALSE),"")</f>
        <v/>
      </c>
      <c r="K15" s="419" t="str">
        <f ca="1">IFERROR(VLOOKUP(G14,OFFSET($AG$2,,,COUNTIF($AG$2:$AG$50,"?*"),23),16,FALSE),"")</f>
        <v/>
      </c>
      <c r="L15" s="420"/>
      <c r="M15" s="430" t="str">
        <f ca="1">IFERROR(IF(VLOOKUP(M12,OFFSET($AG$2,,,COUNTIF($AG$2:$AG$50,"?*"),23),13,FALSE)&lt;&gt;0,VLOOKUP(M12,OFFSET($AG$2,,,COUNTIF($AG$2:$AG$50,"?*"),23),13,FALSE),"?"),"")</f>
        <v/>
      </c>
      <c r="N15" s="431"/>
      <c r="O15" s="432"/>
      <c r="P15" s="433" t="str">
        <f ca="1">IFERROR(IF(VLOOKUP(M12,OFFSET($AG$2,,,COUNTIF($AG$2:$AG$50,"?*"),23),14,FALSE)&lt;&gt;0,VLOOKUP(M12,OFFSET($AG$2,,,COUNTIF($AG$2:$AG$50,"?*"),23),14,FALSE),"?"),"")</f>
        <v/>
      </c>
      <c r="Q15" s="43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459</v>
      </c>
      <c r="U15" s="102">
        <v>16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-9</v>
      </c>
      <c r="AC15" s="102" t="str">
        <f t="shared" ca="1" si="0"/>
        <v>NE</v>
      </c>
      <c r="AG15" s="121" t="s">
        <v>364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136</v>
      </c>
      <c r="AQ15" s="123">
        <v>185</v>
      </c>
      <c r="AR15" s="123">
        <v>77</v>
      </c>
      <c r="AS15" s="126" t="s">
        <v>140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1264</v>
      </c>
      <c r="BU15" s="103">
        <v>10</v>
      </c>
      <c r="BV15" s="104" t="str">
        <f t="shared" si="13"/>
        <v>Martin Ležatka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/>
      </c>
      <c r="H16" s="422"/>
      <c r="I16" s="422"/>
      <c r="J16" s="423" t="str">
        <f ca="1">IFERROR(VLOOKUP(G14,OFFSET($AG$2,,,COUNTIF($AG$2:$AG$50,"?*"),23),19,FALSE),"")</f>
        <v/>
      </c>
      <c r="K16" s="423"/>
      <c r="L16" s="424"/>
      <c r="S16" s="110" t="s">
        <v>467</v>
      </c>
      <c r="T16" s="102" t="s">
        <v>57</v>
      </c>
      <c r="U16" s="102">
        <v>13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-10</v>
      </c>
      <c r="AC16" s="102" t="str">
        <f t="shared" ca="1" si="0"/>
        <v>ANO</v>
      </c>
      <c r="AG16" s="121" t="s">
        <v>480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136</v>
      </c>
      <c r="AQ16" s="123">
        <v>196</v>
      </c>
      <c r="AR16" s="123">
        <v>91</v>
      </c>
      <c r="AS16" s="126" t="s">
        <v>500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2 OZ, 0 (0+0), 0 ±</v>
      </c>
      <c r="AY16" s="129" t="str">
        <f t="shared" ca="1" si="2"/>
        <v>7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1265</v>
      </c>
      <c r="BU16" s="103">
        <v>8</v>
      </c>
      <c r="BV16" s="104" t="str">
        <f t="shared" si="13"/>
        <v>Jakub Grich</v>
      </c>
      <c r="BW16" s="102">
        <f t="shared" si="14"/>
        <v>8</v>
      </c>
    </row>
    <row r="17" spans="1:75" ht="15" customHeight="1" thickTop="1" thickBot="1" x14ac:dyDescent="0.25">
      <c r="A17" s="425"/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0" t="str">
        <f ca="1">IFERROR(IF(VLOOKUP(G14,OFFSET($AG$2,,,COUNTIF($AG$2:$AG$50,"?*"),23),13,FALSE)&lt;&gt;0,VLOOKUP(G14,OFFSET($AG$2,,,COUNTIF($AG$2:$AG$50,"?*"),23),13,FALSE),"?"),"")</f>
        <v/>
      </c>
      <c r="H17" s="431"/>
      <c r="I17" s="432"/>
      <c r="J17" s="433" t="str">
        <f ca="1">IFERROR(IF(VLOOKUP(G14,OFFSET($AG$2,,,COUNTIF($AG$2:$AG$50,"?*"),23),14,FALSE)&lt;&gt;0,VLOOKUP(G14,OFFSET($AG$2,,,COUNTIF($AG$2:$AG$50,"?*"),23),14,FALSE),"?"),"")</f>
        <v/>
      </c>
      <c r="K17" s="434"/>
      <c r="L17" s="7" t="str">
        <f ca="1">IFERROR(IF(VLOOKUP(G14,OFFSET($AG$2,,,COUNTIF($AG$2:$AG$50,"?*"),23),7,FALSE)&lt;&gt;0,VLOOKUP(G14,OFFSET($AG$2,,,COUNTIF($AG$2:$AG$50,"?*"),23),7,FALSE),"?"),"")</f>
        <v/>
      </c>
      <c r="M17" s="425"/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832</v>
      </c>
      <c r="T17" s="102" t="s">
        <v>57</v>
      </c>
      <c r="U17" s="102">
        <v>12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2</v>
      </c>
      <c r="AB17" s="102">
        <v>-10</v>
      </c>
      <c r="AC17" s="102" t="str">
        <f t="shared" ca="1" si="0"/>
        <v>NE</v>
      </c>
      <c r="AG17" s="121" t="s">
        <v>481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503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827</v>
      </c>
      <c r="BU17" s="103">
        <v>4</v>
      </c>
      <c r="BV17" s="104" t="str">
        <f t="shared" si="13"/>
        <v>Adam Kohút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8" t="str">
        <f ca="1">IFERROR(IF(VLOOKUP(A17,OFFSET($AG$2,,,COUNTIF($AG$2:$AG$50,"?*"),23),2,FALSE)&lt;&gt;0,YEAR(VLOOKUP(A17,OFFSET($AG$2,,,COUNTIF($AG$2:$AG$50,"?*"),23),2,FALSE)),""),"")</f>
        <v/>
      </c>
      <c r="C18" s="429"/>
      <c r="D18" s="149" t="str">
        <f ca="1">IFERROR(VLOOKUP(A17,OFFSET($AG$2,,,COUNTIF($AG$2:$AG$50,"?*"),23),15,FALSE),"")</f>
        <v/>
      </c>
      <c r="E18" s="419" t="str">
        <f ca="1">IFERROR(VLOOKUP(A17,OFFSET($AG$2,,,COUNTIF($AG$2:$AG$50,"?*"),23),16,FALSE),"")</f>
        <v/>
      </c>
      <c r="F18" s="420"/>
      <c r="M18" s="4" t="str">
        <f ca="1">IFERROR(IF(VLOOKUP(M17,OFFSET($AG$2,,,COUNTIF($AG$2:$AG$50,"?*"),23),10,FALSE)&lt;&gt;0,VLOOKUP(M17,OFFSET($AG$2,,,COUNTIF($AG$2:$AG$50,"?*"),23),10,FALSE),""),"")</f>
        <v/>
      </c>
      <c r="N18" s="428" t="str">
        <f ca="1">IFERROR(IF(VLOOKUP(M17,OFFSET($AG$2,,,COUNTIF($AG$2:$AG$50,"?*"),23),2,FALSE)&lt;&gt;0,YEAR(VLOOKUP(M17,OFFSET($AG$2,,,COUNTIF($AG$2:$AG$50,"?*"),23),2,FALSE)),""),"")</f>
        <v/>
      </c>
      <c r="O18" s="429"/>
      <c r="P18" s="117" t="str">
        <f ca="1">IFERROR(VLOOKUP(M17,OFFSET($AG$2,,,COUNTIF($AG$2:$AG$50,"?*"),23),15,FALSE),"")</f>
        <v/>
      </c>
      <c r="Q18" s="419" t="str">
        <f ca="1">IFERROR(VLOOKUP(M17,OFFSET($AG$2,,,COUNTIF($AG$2:$AG$50,"?*"),23),16,FALSE),"")</f>
        <v/>
      </c>
      <c r="R18" s="420"/>
      <c r="S18" s="110" t="s">
        <v>469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467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149</v>
      </c>
      <c r="AP18" s="125" t="s">
        <v>26</v>
      </c>
      <c r="AQ18" s="123">
        <v>181</v>
      </c>
      <c r="AR18" s="123">
        <v>72</v>
      </c>
      <c r="AS18" s="126" t="s">
        <v>385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13 OZ, 2 (1+1), -10 ±</v>
      </c>
      <c r="AY18" s="129" t="str">
        <f t="shared" ca="1" si="2"/>
        <v>101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828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21" t="str">
        <f ca="1">IFERROR(VLOOKUP(A17,OFFSET($AG$2,,,COUNTIF($AG$2:$AG$50,"?*"),23),18,FALSE),"")</f>
        <v/>
      </c>
      <c r="B19" s="422"/>
      <c r="C19" s="422"/>
      <c r="D19" s="423" t="str">
        <f ca="1">IFERROR(VLOOKUP(A17,OFFSET($AG$2,,,COUNTIF($AG$2:$AG$50,"?*"),23),19,FALSE),"")</f>
        <v/>
      </c>
      <c r="E19" s="423"/>
      <c r="F19" s="424"/>
      <c r="H19" s="435" t="str">
        <f>H$8</f>
        <v>OTR</v>
      </c>
      <c r="I19" s="435"/>
      <c r="J19" s="435"/>
      <c r="K19" s="435"/>
      <c r="M19" s="421" t="str">
        <f ca="1">IFERROR(VLOOKUP(M17,OFFSET($AG$2,,,COUNTIF($AG$2:$AG$50,"?*"),23),18,FALSE),"")</f>
        <v/>
      </c>
      <c r="N19" s="422"/>
      <c r="O19" s="422"/>
      <c r="P19" s="423" t="str">
        <f ca="1">IFERROR(VLOOKUP(M17,OFFSET($AG$2,,,COUNTIF($AG$2:$AG$50,"?*"),23),19,FALSE),"")</f>
        <v/>
      </c>
      <c r="Q19" s="423"/>
      <c r="R19" s="424"/>
      <c r="S19" s="110" t="s">
        <v>480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482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830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/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/>
      </c>
      <c r="E20" s="434"/>
      <c r="F20" s="7" t="str">
        <f ca="1">IFERROR(IF(VLOOKUP(A17,OFFSET($AG$2,,,COUNTIF($AG$2:$AG$50,"?*"),23),7,FALSE)&lt;&gt;0,VLOOKUP(A17,OFFSET($AG$2,,,COUNTIF($AG$2:$AG$50,"?*"),23),7,FALSE),"?"),"")</f>
        <v/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/>
      </c>
      <c r="N20" s="431"/>
      <c r="O20" s="432"/>
      <c r="P20" s="433" t="str">
        <f ca="1">IFERROR(IF(VLOOKUP(M17,OFFSET($AG$2,,,COUNTIF($AG$2:$AG$50,"?*"),23),14,FALSE)&lt;&gt;0,VLOOKUP(M17,OFFSET($AG$2,,,COUNTIF($AG$2:$AG$50,"?*"),23),14,FALSE),"?"),"")</f>
        <v/>
      </c>
      <c r="Q20" s="43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464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464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504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471</v>
      </c>
      <c r="T21" s="102" t="s">
        <v>106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466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136</v>
      </c>
      <c r="AQ21" s="123">
        <v>182</v>
      </c>
      <c r="AR21" s="123">
        <v>74</v>
      </c>
      <c r="AS21" s="126" t="s">
        <v>505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7 OZ, 5 (1+4), +7 ±</v>
      </c>
      <c r="AY21" s="129" t="str">
        <f t="shared" ca="1" si="2"/>
        <v>45 OZ, 16 (3+13)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461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NE</v>
      </c>
      <c r="AG22" s="121" t="s">
        <v>483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136</v>
      </c>
      <c r="AQ22" s="123">
        <v>182</v>
      </c>
      <c r="AR22" s="123">
        <v>79</v>
      </c>
      <c r="AS22" s="126" t="s">
        <v>500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4" t="s">
        <v>37</v>
      </c>
      <c r="BT22" s="104" t="s">
        <v>757</v>
      </c>
      <c r="BU22" s="103">
        <v>19</v>
      </c>
      <c r="BV22" s="104" t="str">
        <f t="shared" si="13"/>
        <v>Ronald Gašparík</v>
      </c>
      <c r="BW22" s="102">
        <f t="shared" si="14"/>
        <v>19</v>
      </c>
    </row>
    <row r="23" spans="1:75" ht="15" customHeight="1" thickTop="1" thickBot="1" x14ac:dyDescent="0.25">
      <c r="A23" s="425"/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7" t="s">
        <v>12</v>
      </c>
      <c r="I23" s="427"/>
      <c r="J23" s="427"/>
      <c r="K23" s="427"/>
      <c r="M23" s="425"/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465</v>
      </c>
      <c r="T23" s="102" t="s">
        <v>106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-5</v>
      </c>
      <c r="AC23" s="102" t="str">
        <f t="shared" ca="1" si="0"/>
        <v>ANO</v>
      </c>
      <c r="AG23" s="121" t="s">
        <v>457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136</v>
      </c>
      <c r="AQ23" s="123">
        <v>179</v>
      </c>
      <c r="AR23" s="123">
        <v>77</v>
      </c>
      <c r="AS23" s="126" t="s">
        <v>506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16 OZ, 23 (13+10), -7 ±</v>
      </c>
      <c r="AY23" s="129" t="str">
        <f t="shared" ca="1" si="2"/>
        <v>78 OZ, 56 (32+24)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4"/>
      <c r="BT23" s="104" t="s">
        <v>1105</v>
      </c>
      <c r="BU23" s="103">
        <v>11</v>
      </c>
      <c r="BV23" s="104" t="str">
        <f t="shared" si="13"/>
        <v>Tomáš Sovják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 t="str">
        <f ca="1">IFERROR(IF(VLOOKUP(A23,OFFSET($AG$2,,,COUNTIF($AG$2:$AG$50,"?*"),23),2,FALSE)&lt;&gt;0,YEAR(VLOOKUP(A23,OFFSET($AG$2,,,COUNTIF($AG$2:$AG$50,"?*"),23),2,FALSE)),""),"")</f>
        <v/>
      </c>
      <c r="C24" s="429"/>
      <c r="D24" s="117" t="str">
        <f ca="1">IFERROR(VLOOKUP(A23,OFFSET($AG$2,,,COUNTIF($AG$2:$AG$50,"?*"),23),15,FALSE),"")</f>
        <v/>
      </c>
      <c r="E24" s="419" t="str">
        <f ca="1">IFERROR(VLOOKUP(A23,OFFSET($AG$2,,,COUNTIF($AG$2:$AG$50,"?*"),23),16,FALSE),"")</f>
        <v/>
      </c>
      <c r="F24" s="420"/>
      <c r="M24" s="4" t="str">
        <f ca="1">IFERROR(IF(VLOOKUP(M23,OFFSET($AG$2,,,COUNTIF($AG$2:$AG$50,"?*"),23),10,FALSE)&lt;&gt;0,VLOOKUP(M23,OFFSET($AG$2,,,COUNTIF($AG$2:$AG$50,"?*"),23),10,FALSE),""),"")</f>
        <v/>
      </c>
      <c r="N24" s="428" t="str">
        <f ca="1">IFERROR(IF(VLOOKUP(M23,OFFSET($AG$2,,,COUNTIF($AG$2:$AG$50,"?*"),23),2,FALSE)&lt;&gt;0,YEAR(VLOOKUP(M23,OFFSET($AG$2,,,COUNTIF($AG$2:$AG$50,"?*"),23),2,FALSE)),""),"")</f>
        <v/>
      </c>
      <c r="O24" s="429"/>
      <c r="P24" s="117" t="str">
        <f ca="1">IFERROR(VLOOKUP(M23,OFFSET($AG$2,,,COUNTIF($AG$2:$AG$50,"?*"),23),15,FALSE),"")</f>
        <v/>
      </c>
      <c r="Q24" s="419" t="str">
        <f ca="1">IFERROR(VLOOKUP(M23,OFFSET($AG$2,,,COUNTIF($AG$2:$AG$50,"?*"),23),16,FALSE),"")</f>
        <v/>
      </c>
      <c r="R24" s="420"/>
      <c r="S24" s="110" t="s">
        <v>833</v>
      </c>
      <c r="U24" s="102">
        <v>12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0"/>
        <v>NE</v>
      </c>
      <c r="AG24" s="121" t="s">
        <v>460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136</v>
      </c>
      <c r="AQ24" s="123">
        <v>192</v>
      </c>
      <c r="AR24" s="123">
        <v>81</v>
      </c>
      <c r="AS24" s="126" t="s">
        <v>507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13 (4+9), -14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322 OZ, 275 (125+150)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4"/>
      <c r="BT24" s="104" t="s">
        <v>1104</v>
      </c>
      <c r="BU24" s="103">
        <v>10</v>
      </c>
      <c r="BV24" s="104" t="str">
        <f t="shared" si="13"/>
        <v>Peter Nehila</v>
      </c>
      <c r="BW24" s="102">
        <f t="shared" si="14"/>
        <v>10</v>
      </c>
    </row>
    <row r="25" spans="1:75" ht="15" customHeight="1" thickTop="1" thickBot="1" x14ac:dyDescent="0.25">
      <c r="A25" s="421" t="str">
        <f ca="1">IFERROR(VLOOKUP(A23,OFFSET($AG$2,,,COUNTIF($AG$2:$AG$50,"?*"),23),18,FALSE),"")</f>
        <v/>
      </c>
      <c r="B25" s="422"/>
      <c r="C25" s="422"/>
      <c r="D25" s="423" t="str">
        <f ca="1">IFERROR(VLOOKUP(A23,OFFSET($AG$2,,,COUNTIF($AG$2:$AG$50,"?*"),23),19,FALSE),"")</f>
        <v/>
      </c>
      <c r="E25" s="423"/>
      <c r="F25" s="424"/>
      <c r="G25" s="425"/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1" t="str">
        <f ca="1">IFERROR(VLOOKUP(M23,OFFSET($AG$2,,,COUNTIF($AG$2:$AG$50,"?*"),23),18,FALSE),"")</f>
        <v/>
      </c>
      <c r="N25" s="422"/>
      <c r="O25" s="422"/>
      <c r="P25" s="423" t="str">
        <f ca="1">IFERROR(VLOOKUP(M23,OFFSET($AG$2,,,COUNTIF($AG$2:$AG$50,"?*"),23),19,FALSE),"")</f>
        <v/>
      </c>
      <c r="Q25" s="423"/>
      <c r="R25" s="424"/>
      <c r="S25" s="110" t="s">
        <v>831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484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136</v>
      </c>
      <c r="AQ25" s="123">
        <v>187</v>
      </c>
      <c r="AR25" s="123">
        <v>78</v>
      </c>
      <c r="AS25" s="126" t="s">
        <v>500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4"/>
      <c r="BT25" s="104" t="s">
        <v>1430</v>
      </c>
      <c r="BU25" s="103">
        <v>9</v>
      </c>
      <c r="BV25" s="104" t="str">
        <f t="shared" si="13"/>
        <v>František Vykopal</v>
      </c>
      <c r="BW25" s="102">
        <f t="shared" si="14"/>
        <v>9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/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/>
      </c>
      <c r="E26" s="43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8" t="str">
        <f ca="1">IFERROR(IF(VLOOKUP(G25,OFFSET($AG$2,,,COUNTIF($AG$2:$AG$50,"?*"),23),2,FALSE)&lt;&gt;0,YEAR(VLOOKUP(G25,OFFSET($AG$2,,,COUNTIF($AG$2:$AG$50,"?*"),23),2,FALSE)),""),"")</f>
        <v/>
      </c>
      <c r="I26" s="429"/>
      <c r="J26" s="117" t="str">
        <f ca="1">IFERROR(VLOOKUP(G25,OFFSET($AG$2,,,COUNTIF($AG$2:$AG$50,"?*"),23),15,FALSE),"")</f>
        <v/>
      </c>
      <c r="K26" s="419" t="str">
        <f ca="1">IFERROR(VLOOKUP(G25,OFFSET($AG$2,,,COUNTIF($AG$2:$AG$50,"?*"),23),16,FALSE),"")</f>
        <v/>
      </c>
      <c r="L26" s="420"/>
      <c r="M26" s="430" t="str">
        <f ca="1">IFERROR(IF(VLOOKUP(M23,OFFSET($AG$2,,,COUNTIF($AG$2:$AG$50,"?*"),23),13,FALSE)&lt;&gt;0,VLOOKUP(M23,OFFSET($AG$2,,,COUNTIF($AG$2:$AG$50,"?*"),23),13,FALSE),"?"),"")</f>
        <v/>
      </c>
      <c r="N26" s="431"/>
      <c r="O26" s="432"/>
      <c r="P26" s="433" t="str">
        <f ca="1">IFERROR(IF(VLOOKUP(M23,OFFSET($AG$2,,,COUNTIF($AG$2:$AG$50,"?*"),23),14,FALSE)&lt;&gt;0,VLOOKUP(M23,OFFSET($AG$2,,,COUNTIF($AG$2:$AG$50,"?*"),23),14,FALSE),"?"),"")</f>
        <v/>
      </c>
      <c r="Q26" s="43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468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485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508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4"/>
      <c r="BT26" s="104" t="s">
        <v>1427</v>
      </c>
      <c r="BU26" s="103">
        <v>9</v>
      </c>
      <c r="BV26" s="104" t="str">
        <f t="shared" si="13"/>
        <v>Lukáš Petřík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/>
      </c>
      <c r="H27" s="422"/>
      <c r="I27" s="422"/>
      <c r="J27" s="423" t="str">
        <f ca="1">IFERROR(VLOOKUP(G25,OFFSET($AG$2,,,COUNTIF($AG$2:$AG$50,"?*"),23),19,FALSE),"")</f>
        <v/>
      </c>
      <c r="K27" s="423"/>
      <c r="L27" s="424"/>
      <c r="S27" s="111"/>
      <c r="AC27" s="102" t="str">
        <f t="shared" ca="1" si="0"/>
        <v/>
      </c>
      <c r="AG27" s="121" t="s">
        <v>486</v>
      </c>
      <c r="AH27" s="122"/>
      <c r="AI27" s="123"/>
      <c r="AJ27" s="123"/>
      <c r="AK27" s="123"/>
      <c r="AL27" s="124">
        <f>IF(AG27&lt;&gt;"",AJ27+AK27,"")</f>
        <v>0</v>
      </c>
      <c r="AM27" s="123" t="s">
        <v>275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4" t="s">
        <v>38</v>
      </c>
      <c r="BT27" s="104" t="s">
        <v>1266</v>
      </c>
      <c r="BU27" s="103">
        <v>10</v>
      </c>
      <c r="BV27" s="104" t="str">
        <f t="shared" si="13"/>
        <v>Tomáš Sovják</v>
      </c>
      <c r="BW27" s="102">
        <f t="shared" si="14"/>
        <v>10</v>
      </c>
    </row>
    <row r="28" spans="1:75" ht="15" customHeight="1" thickTop="1" thickBot="1" x14ac:dyDescent="0.25">
      <c r="A28" s="425"/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/>
      </c>
      <c r="H28" s="431"/>
      <c r="I28" s="432"/>
      <c r="J28" s="433" t="str">
        <f ca="1">IFERROR(IF(VLOOKUP(G25,OFFSET($AG$2,,,COUNTIF($AG$2:$AG$50,"?*"),23),14,FALSE)&lt;&gt;0,VLOOKUP(G25,OFFSET($AG$2,,,COUNTIF($AG$2:$AG$50,"?*"),23),14,FALSE),"?"),"")</f>
        <v/>
      </c>
      <c r="K28" s="434"/>
      <c r="L28" s="7" t="str">
        <f ca="1">IFERROR(IF(VLOOKUP(G25,OFFSET($AG$2,,,COUNTIF($AG$2:$AG$50,"?*"),23),7,FALSE)&lt;&gt;0,VLOOKUP(G25,OFFSET($AG$2,,,COUNTIF($AG$2:$AG$50,"?*"),23),7,FALSE),"?"),"")</f>
        <v/>
      </c>
      <c r="M28" s="425"/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487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136</v>
      </c>
      <c r="AQ28" s="123">
        <v>190</v>
      </c>
      <c r="AR28" s="123">
        <v>82</v>
      </c>
      <c r="AS28" s="126" t="s">
        <v>500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14 OZ, 13 (2+11), +6 ±</v>
      </c>
      <c r="AY28" s="129" t="str">
        <f t="shared" ca="1" si="16"/>
        <v>223 OZ, 183 (109+74)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4"/>
      <c r="BT28" s="104" t="s">
        <v>1431</v>
      </c>
      <c r="BU28" s="103">
        <v>6</v>
      </c>
      <c r="BV28" s="104" t="str">
        <f t="shared" si="13"/>
        <v>Jiří Halama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/>
      </c>
      <c r="E29" s="419" t="str">
        <f ca="1">IFERROR(VLOOKUP(A28,OFFSET($AG$2,,,COUNTIF($AG$2:$AG$50,"?*"),23),16,FALSE),"")</f>
        <v/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1"/>
      <c r="AC29" s="102" t="str">
        <f t="shared" ca="1" si="0"/>
        <v/>
      </c>
      <c r="AG29" s="121" t="s">
        <v>488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136</v>
      </c>
      <c r="AQ29" s="123">
        <v>185</v>
      </c>
      <c r="AR29" s="123">
        <v>78</v>
      </c>
      <c r="AS29" s="126" t="s">
        <v>509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4"/>
      <c r="BT29" s="104" t="s">
        <v>1432</v>
      </c>
      <c r="BU29" s="103">
        <v>6</v>
      </c>
      <c r="BV29" s="104" t="str">
        <f t="shared" si="13"/>
        <v>Martin Ležatka</v>
      </c>
      <c r="BW29" s="102">
        <f t="shared" si="14"/>
        <v>6</v>
      </c>
    </row>
    <row r="30" spans="1:75" ht="15" customHeight="1" x14ac:dyDescent="0.2">
      <c r="A30" s="421" t="str">
        <f ca="1">IFERROR(VLOOKUP(A28,OFFSET($AG$2,,,COUNTIF($AG$2:$AG$50,"?*"),23),18,FALSE),"")</f>
        <v/>
      </c>
      <c r="B30" s="422"/>
      <c r="C30" s="422"/>
      <c r="D30" s="423" t="str">
        <f ca="1">IFERROR(VLOOKUP(A28,OFFSET($AG$2,,,COUNTIF($AG$2:$AG$50,"?*"),23),19,FALSE),"")</f>
        <v/>
      </c>
      <c r="E30" s="423"/>
      <c r="F30" s="424"/>
      <c r="H30" s="435" t="str">
        <f>H$8</f>
        <v>OTR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t="shared" ca="1" si="0"/>
        <v/>
      </c>
      <c r="AG30" s="121" t="s">
        <v>489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4"/>
      <c r="BT30" s="104" t="s">
        <v>1433</v>
      </c>
      <c r="BU30" s="103">
        <v>6</v>
      </c>
      <c r="BV30" s="104" t="str">
        <f t="shared" si="13"/>
        <v>Ronald Gašparík</v>
      </c>
      <c r="BW30" s="102">
        <f t="shared" si="14"/>
        <v>6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/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/>
      </c>
      <c r="E31" s="434"/>
      <c r="F31" s="7" t="str">
        <f ca="1">IFERROR(IF(VLOOKUP(A28,OFFSET($AG$2,,,COUNTIF($AG$2:$AG$50,"?*"),23),7,FALSE)&lt;&gt;0,VLOOKUP(A28,OFFSET($AG$2,,,COUNTIF($AG$2:$AG$50,"?*"),23),7,FALSE),"?"),"")</f>
        <v/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465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136</v>
      </c>
      <c r="AQ31" s="123">
        <v>184</v>
      </c>
      <c r="AR31" s="123">
        <v>72</v>
      </c>
      <c r="AS31" s="126" t="s">
        <v>500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9 OZ, 0 (0+0), -5 ±</v>
      </c>
      <c r="AY31" s="129" t="str">
        <f t="shared" ca="1" si="16"/>
        <v>28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4"/>
      <c r="BT31" s="104" t="s">
        <v>1434</v>
      </c>
      <c r="BU31" s="103">
        <v>4</v>
      </c>
      <c r="BV31" s="104" t="str">
        <f t="shared" si="13"/>
        <v>Josef Štourač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490</v>
      </c>
      <c r="AH32" s="122"/>
      <c r="AI32" s="123"/>
      <c r="AJ32" s="123"/>
      <c r="AK32" s="123"/>
      <c r="AL32" s="124">
        <f>IF(AG32&lt;&gt;"",AJ32+AK32,"")</f>
        <v>0</v>
      </c>
      <c r="AM32" s="123" t="s">
        <v>275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491</v>
      </c>
      <c r="AH33" s="122"/>
      <c r="AI33" s="123"/>
      <c r="AJ33" s="123"/>
      <c r="AK33" s="123"/>
      <c r="AL33" s="124">
        <f>IF(AG33&lt;&gt;"",AJ33+AK33,"")</f>
        <v>0</v>
      </c>
      <c r="AM33" s="123" t="s">
        <v>275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5"/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6" t="s">
        <v>15</v>
      </c>
      <c r="J34" s="425"/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453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26</v>
      </c>
      <c r="AQ34" s="123">
        <v>180</v>
      </c>
      <c r="AR34" s="123">
        <v>73</v>
      </c>
      <c r="AS34" s="126" t="s">
        <v>510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14 OZ, 31 (22+9), +4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113 OZ, 101 (63+38)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8" t="str">
        <f ca="1">IFERROR(IF(VLOOKUP(A34,OFFSET($AG$2,,,COUNTIF($AG$2:$AG$50,"?*"),23),2,FALSE)&lt;&gt;0,YEAR(VLOOKUP(A34,OFFSET($AG$2,,,COUNTIF($AG$2:$AG$50,"?*"),23),2,FALSE)),""),"")</f>
        <v/>
      </c>
      <c r="C35" s="429"/>
      <c r="D35" s="117" t="str">
        <f ca="1">IFERROR(VLOOKUP(A34,OFFSET($AG$2,,,COUNTIF($AG$2:$AG$50,"?*"),23),15,FALSE),"")</f>
        <v/>
      </c>
      <c r="E35" s="419" t="str">
        <f ca="1">IFERROR(VLOOKUP(A34,OFFSET($AG$2,,,COUNTIF($AG$2:$AG$50,"?*"),23),16,FALSE),"")</f>
        <v/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/>
      </c>
      <c r="K35" s="429" t="str">
        <f ca="1">IFERROR(IF(VLOOKUP(J34,OFFSET($AG$2,,,COUNTIF($AG$2:$AG$50,"?*"),23),2,FALSE)&lt;&gt;0,YEAR(VLOOKUP(J34,OFFSET($AG$2,,,COUNTIF($AG$2:$AG$50,"?*"),23),2,FALSE)),""),"")</f>
        <v/>
      </c>
      <c r="L35" s="437"/>
      <c r="M35" s="118" t="str">
        <f ca="1">IFERROR(VLOOKUP(J34,OFFSET($AG$2,,,COUNTIF($AG$2:$AG$50,"?*"),23),15,FALSE),"")</f>
        <v/>
      </c>
      <c r="N35" s="437" t="str">
        <f ca="1">IFERROR(VLOOKUP(J34,OFFSET($AG$2,,,COUNTIF($AG$2:$AG$50,"?*"),23),16,FALSE),"")</f>
        <v/>
      </c>
      <c r="O35" s="437"/>
      <c r="P35" s="437" t="str">
        <f ca="1">IFERROR(VLOOKUP(J34,OFFSET($AG$2,,,COUNTIF($AG$2:$AG$50,"?*"),23),18,FALSE),"")</f>
        <v/>
      </c>
      <c r="Q35" s="437"/>
      <c r="R35" s="444"/>
      <c r="S35" s="111"/>
      <c r="AC35" s="102" t="str">
        <f t="shared" ca="1" si="0"/>
        <v/>
      </c>
      <c r="AG35" s="121" t="s">
        <v>492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26</v>
      </c>
      <c r="AQ35" s="123">
        <v>180</v>
      </c>
      <c r="AR35" s="123">
        <v>80</v>
      </c>
      <c r="AS35" s="126" t="s">
        <v>511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5" t="str">
        <f ca="1">IFERROR(VLOOKUP(A34,OFFSET($AG$2,,,COUNTIF($AG$2:$AG$50,"?*"),23),18,FALSE),"")</f>
        <v/>
      </c>
      <c r="C36" s="445"/>
      <c r="D36" s="446" t="str">
        <f ca="1">IFERROR(VLOOKUP(A34,OFFSET($S$45,,,COUNTIF($S$45:$S$50,"?*"),14),5,FALSE),"")</f>
        <v/>
      </c>
      <c r="E36" s="447"/>
      <c r="F36" s="17" t="str">
        <f ca="1">IFERROR(VLOOKUP(A34,OFFSET($S$45,,,COUNTIF($S$45:$S$50,"?*"),14),14,FALSE),"")</f>
        <v/>
      </c>
      <c r="H36" s="436"/>
      <c r="J36" s="18" t="str">
        <f ca="1">IFERROR(IF(VLOOKUP(J34,OFFSET($AG$2,,,COUNTIF($AG$2:$AG$50,"?*"),23),7,FALSE)&lt;&gt;0,VLOOKUP(J34,OFFSET($AG$2,,,COUNTIF($AG$2:$AG$50,"?*"),23),7,FALSE),"?"),"")</f>
        <v/>
      </c>
      <c r="K36" s="448" t="str">
        <f ca="1">IFERROR(VLOOKUP(J34,OFFSET($AG$2,,,COUNTIF($AG$2:$AG$50,"?*"),23),19,FALSE),"")</f>
        <v/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/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/>
      </c>
      <c r="R36" s="450"/>
      <c r="S36" s="111"/>
      <c r="AC36" s="102" t="str">
        <f t="shared" ca="1" si="0"/>
        <v/>
      </c>
      <c r="AG36" s="121" t="s">
        <v>493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136</v>
      </c>
      <c r="AQ36" s="123">
        <v>188</v>
      </c>
      <c r="AR36" s="123">
        <v>85</v>
      </c>
      <c r="AS36" s="126" t="s">
        <v>512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38" t="str">
        <f ca="1">IFERROR(VLOOKUP(A34,OFFSET($S$45,,,COUNTIF($S$45:$S$50,"?*"),14),3,FALSE),"")</f>
        <v/>
      </c>
      <c r="B37" s="439"/>
      <c r="C37" s="440" t="str">
        <f ca="1">IFERROR(VLOOKUP(A34,OFFSET($S$45,,,COUNTIF($S$45:$S$50,"?*"),14),13,FALSE),"")</f>
        <v/>
      </c>
      <c r="D37" s="441"/>
      <c r="E37" s="442" t="str">
        <f ca="1">IFERROR(VLOOKUP(A34,OFFSET($AG$2,,,COUNTIF($AG$2:$AG$50,"?*"),23),19,FALSE),"")</f>
        <v/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/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/>
      </c>
      <c r="E38" s="434"/>
      <c r="F38" s="19" t="str">
        <f ca="1">IFERROR(VLOOKUP(A34,OFFSET($S$45,,,COUNTIF($S$45:$S$50,"?*"),14),6,FALSE),"")</f>
        <v/>
      </c>
      <c r="H38" s="436"/>
      <c r="J38" s="425"/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 t="str">
        <f ca="1">IFERROR(IF(VLOOKUP(J38,OFFSET($AG$2,,,COUNTIF($AG$2:$AG$50,"?*"),23),2,FALSE)&lt;&gt;0,YEAR(VLOOKUP(J38,OFFSET($AG$2,,,COUNTIF($AG$2:$AG$50,"?*"),23),2,FALSE)),""),"")</f>
        <v/>
      </c>
      <c r="L39" s="437"/>
      <c r="M39" s="150" t="str">
        <f ca="1">IFERROR(VLOOKUP(J38,OFFSET($AG$2,,,COUNTIF($AG$2:$AG$50,"?*"),23),15,FALSE),"")</f>
        <v/>
      </c>
      <c r="N39" s="437" t="str">
        <f ca="1">IFERROR(VLOOKUP(J38,OFFSET($AG$2,,,COUNTIF($AG$2:$AG$50,"?*"),23),16,FALSE),"")</f>
        <v/>
      </c>
      <c r="O39" s="437"/>
      <c r="P39" s="437" t="str">
        <f ca="1">IFERROR(VLOOKUP(J38,OFFSET($AG$2,,,COUNTIF($AG$2:$AG$50,"?*"),23),18,FALSE),"")</f>
        <v/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/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6"/>
      <c r="J40" s="18" t="str">
        <f ca="1">IFERROR(IF(VLOOKUP(J38,OFFSET($AG$2,,,COUNTIF($AG$2:$AG$50,"?*"),23),7,FALSE)&lt;&gt;0,VLOOKUP(J38,OFFSET($AG$2,,,COUNTIF($AG$2:$AG$50,"?*"),23),7,FALSE),"?"),"")</f>
        <v/>
      </c>
      <c r="K40" s="448" t="str">
        <f ca="1">IFERROR(VLOOKUP(J38,OFFSET($AG$2,,,COUNTIF($AG$2:$AG$50,"?*"),23),19,FALSE),"")</f>
        <v/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/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/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8" t="str">
        <f ca="1">IFERROR(IF(VLOOKUP(A40,OFFSET($AG$2,,,COUNTIF($AG$2:$AG$50,"?*"),23),2,FALSE)&lt;&gt;0,YEAR(VLOOKUP(A40,OFFSET($AG$2,,,COUNTIF($AG$2:$AG$50,"?*"),23),2,FALSE)),""),"")</f>
        <v/>
      </c>
      <c r="C41" s="429"/>
      <c r="D41" s="117" t="str">
        <f ca="1">IFERROR(VLOOKUP(A40,OFFSET($AG$2,,,COUNTIF($AG$2:$AG$50,"?*"),23),15,FALSE),"")</f>
        <v/>
      </c>
      <c r="E41" s="419" t="str">
        <f ca="1">IFERROR(VLOOKUP(A40,OFFSET($AG$2,,,COUNTIF($AG$2:$AG$50,"?*"),23),16,FALSE),"")</f>
        <v/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5" t="str">
        <f ca="1">IFERROR(VLOOKUP(A40,OFFSET($AG$2,,,COUNTIF($AG$2:$AG$50,"?*"),23),18,FALSE),"")</f>
        <v/>
      </c>
      <c r="C42" s="445"/>
      <c r="D42" s="446" t="str">
        <f ca="1">IFERROR(VLOOKUP(A40,OFFSET($S$45,,,COUNTIF($S$45:$S$50,"?*"),14),5,FALSE),"")</f>
        <v/>
      </c>
      <c r="E42" s="447"/>
      <c r="F42" s="17" t="str">
        <f ca="1">IFERROR(VLOOKUP(A40,OFFSET($S$45,,,COUNTIF($S$45:$S$50,"?*"),14),14,FALSE),"")</f>
        <v/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 t="str">
        <f ca="1">IFERROR(VLOOKUP(A40,OFFSET($S$45,,,COUNTIF($S$45:$S$50,"?*"),14),3,FALSE),"")</f>
        <v/>
      </c>
      <c r="B43" s="439"/>
      <c r="C43" s="440" t="str">
        <f ca="1">IFERROR(VLOOKUP(A40,OFFSET($S$45,,,COUNTIF($S$45:$S$50,"?*"),14),13,FALSE),"")</f>
        <v/>
      </c>
      <c r="D43" s="441"/>
      <c r="E43" s="442" t="str">
        <f ca="1">IFERROR(VLOOKUP(A40,OFFSET($AG$2,,,COUNTIF($AG$2:$AG$50,"?*"),23),19,FALSE),"")</f>
        <v/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/>
      </c>
      <c r="B44" s="431"/>
      <c r="C44" s="432"/>
      <c r="D44" s="433" t="str">
        <f ca="1">IFERROR(IF(VLOOKUP(A40,OFFSET($AG$2,,,COUNTIF($AG$2:$AG$50,"?*"),23),14,FALSE)&lt;&gt;0,VLOOKUP(A40,OFFSET($AG$2,,,COUNTIF($AG$2:$AG$50,"?*"),23),14,FALSE),"?"),"")</f>
        <v/>
      </c>
      <c r="E44" s="434"/>
      <c r="F44" s="19" t="str">
        <f ca="1">IFERROR(VLOOKUP(A40,OFFSET($S$45,,,COUNTIF($S$45:$S$50,"?*"),14),6,FALSE),"")</f>
        <v/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468</v>
      </c>
      <c r="T45" s="102">
        <v>13</v>
      </c>
      <c r="U45" s="112">
        <v>763.01</v>
      </c>
      <c r="V45" s="102">
        <v>4</v>
      </c>
      <c r="W45" s="102">
        <v>79</v>
      </c>
      <c r="X45" s="102">
        <v>0</v>
      </c>
      <c r="Y45" s="102">
        <v>290</v>
      </c>
      <c r="Z45" s="102">
        <v>0</v>
      </c>
      <c r="AA45" s="102">
        <v>9</v>
      </c>
      <c r="AB45" s="102">
        <v>211</v>
      </c>
      <c r="AC45" s="102">
        <v>0</v>
      </c>
      <c r="AD45" s="102">
        <v>0</v>
      </c>
      <c r="AE45" s="112">
        <f>IF(S45&lt;&gt;"",IF(T45&gt;0,W45/(U45/60),0),"")</f>
        <v>6.2122383717120346</v>
      </c>
      <c r="AF45" s="112">
        <f>IF(S45&lt;&gt;"",IF(Y45&gt;0,(AB45/Y45)*100,"-"),"")</f>
        <v>72.758620689655174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464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/>
      <c r="B47" s="466"/>
      <c r="C47" s="466"/>
      <c r="D47" s="466"/>
      <c r="E47" s="461" t="str">
        <f ca="1">IFERROR(VLOOKUP(A47,OFFSET($BN$2,,,COUNTIF($BN$2:$BN$11,"?*"),5),3,FALSE),"")</f>
        <v/>
      </c>
      <c r="F47" s="461"/>
      <c r="G47" s="461"/>
      <c r="H47" s="461"/>
      <c r="I47" s="462"/>
      <c r="J47" s="465"/>
      <c r="K47" s="466"/>
      <c r="L47" s="466"/>
      <c r="M47" s="466"/>
      <c r="N47" s="461" t="str">
        <f ca="1">IFERROR(VLOOKUP(J47,OFFSET($BN$2,,,COUNTIF($BN$2:$BN$11,"?*"),5),3,FALSE),"")</f>
        <v/>
      </c>
      <c r="O47" s="461"/>
      <c r="P47" s="461"/>
      <c r="Q47" s="461"/>
      <c r="R47" s="462"/>
      <c r="S47" s="111" t="s">
        <v>831</v>
      </c>
      <c r="T47" s="102">
        <v>3</v>
      </c>
      <c r="U47" s="112">
        <v>94</v>
      </c>
      <c r="V47" s="102">
        <v>0</v>
      </c>
      <c r="W47" s="102">
        <v>15</v>
      </c>
      <c r="X47" s="102">
        <v>0</v>
      </c>
      <c r="Y47" s="102">
        <v>42</v>
      </c>
      <c r="Z47" s="102">
        <v>0</v>
      </c>
      <c r="AA47" s="102">
        <v>3</v>
      </c>
      <c r="AB47" s="102">
        <v>27</v>
      </c>
      <c r="AC47" s="102">
        <v>0</v>
      </c>
      <c r="AD47" s="102">
        <v>0</v>
      </c>
      <c r="AE47" s="112">
        <f t="shared" si="23"/>
        <v>9.5744680851063837</v>
      </c>
      <c r="AF47" s="112">
        <f t="shared" si="24"/>
        <v>64.285714285714292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 t="str">
        <f ca="1">IFERROR(VLOOKUP(A47,OFFSET($BN$2,,,COUNTIF($BN$2:$BN$11,"?*"),5),5,FALSE),"")</f>
        <v/>
      </c>
      <c r="B48" s="453" t="str">
        <f ca="1">IFERROR(IF(VLOOKUP(A47,OFFSET($BN$2,,,COUNTIF($BN$2:$BN$11,"?*"),5),4,FALSE)&lt;&gt;0,VLOOKUP(A47,OFFSET($BN$2,,,COUNTIF($BN$2:$BN$11,"?*"),5),4,FALSE),"-"),"")</f>
        <v/>
      </c>
      <c r="C48" s="453"/>
      <c r="D48" s="453"/>
      <c r="E48" s="453"/>
      <c r="F48" s="453"/>
      <c r="G48" s="453"/>
      <c r="H48" s="453"/>
      <c r="I48" s="454"/>
      <c r="J48" s="119" t="str">
        <f ca="1">IFERROR(VLOOKUP(J47,OFFSET($BN$2,,,COUNTIF($BN$2:$BN$11,"?*"),5),5,FALSE),"")</f>
        <v/>
      </c>
      <c r="K48" s="457" t="str">
        <f ca="1">IFERROR(IF(VLOOKUP(J47,OFFSET($BN$2,,,COUNTIF($BN$2:$BN$11,"?*"),5),4,FALSE)&lt;&gt;0,VLOOKUP(J47,OFFSET($BN$2,,,COUNTIF($BN$2:$BN$11,"?*"),5),4,FALSE),"-"),"")</f>
        <v/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/>
      <c r="K49" s="460"/>
      <c r="L49" s="460"/>
      <c r="M49" s="460"/>
      <c r="N49" s="461" t="str">
        <f ca="1">IFERROR(VLOOKUP(J49,OFFSET($BN$2,,,COUNTIF($BN$2:$BN$11,"?*"),5),3,FALSE),"")</f>
        <v/>
      </c>
      <c r="O49" s="461"/>
      <c r="P49" s="461"/>
      <c r="Q49" s="461"/>
      <c r="R49" s="462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 t="str">
        <f ca="1">IFERROR(VLOOKUP(J49,OFFSET($BN$2,,,COUNTIF($BN$2:$BN$11,"?*"),5),5,FALSE),"")</f>
        <v/>
      </c>
      <c r="K50" s="457" t="str">
        <f ca="1">IFERROR(IF(VLOOKUP(J49,OFFSET($BN$2,,,COUNTIF($BN$2:$BN$11,"?*"),5),4,FALSE)&lt;&gt;0,VLOOKUP(J49,OFFSET($BN$2,,,COUNTIF($BN$2:$BN$11,"?*"),5),4,FALSE),"-"),"")</f>
        <v/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71" priority="12" stopIfTrue="1" operator="equal">
      <formula>"OTR"</formula>
    </cfRule>
    <cfRule type="cellIs" dxfId="270" priority="13" stopIfTrue="1" operator="equal">
      <formula>"PAR"</formula>
    </cfRule>
    <cfRule type="cellIs" dxfId="269" priority="14" stopIfTrue="1" operator="equal">
      <formula>"CLP"</formula>
    </cfRule>
    <cfRule type="cellIs" dxfId="268" priority="15" stopIfTrue="1" operator="equal">
      <formula>"HAT"</formula>
    </cfRule>
    <cfRule type="cellIs" dxfId="267" priority="16" stopIfTrue="1" operator="equal">
      <formula>"LIB"</formula>
    </cfRule>
    <cfRule type="cellIs" dxfId="266" priority="17" stopIfTrue="1" operator="equal">
      <formula>"BA"</formula>
    </cfRule>
    <cfRule type="cellIs" dxfId="265" priority="18" stopIfTrue="1" operator="equal">
      <formula>"SPA"</formula>
    </cfRule>
    <cfRule type="cellIs" dxfId="264" priority="19" stopIfTrue="1" operator="equal">
      <formula>"OST"</formula>
    </cfRule>
    <cfRule type="cellIs" dxfId="263" priority="20" stopIfTrue="1" operator="equal">
      <formula>"BOH"</formula>
    </cfRule>
    <cfRule type="cellIs" dxfId="262" priority="21" stopIfTrue="1" operator="equal">
      <formula>"TAT"</formula>
    </cfRule>
    <cfRule type="cellIs" dxfId="261" priority="22" stopIfTrue="1" operator="equal">
      <formula>"MB"</formula>
    </cfRule>
    <cfRule type="cellIs" dxfId="260" priority="23" stopIfTrue="1" operator="equal">
      <formula>"VIT"</formula>
    </cfRule>
    <cfRule type="cellIs" dxfId="259" priority="24" stopIfTrue="1" operator="equal">
      <formula>"CHO"</formula>
    </cfRule>
    <cfRule type="cellIs" dxfId="258" priority="25" stopIfTrue="1" operator="equal">
      <formula>"SKV"</formula>
    </cfRule>
  </conditionalFormatting>
  <conditionalFormatting sqref="H19:K20">
    <cfRule type="cellIs" dxfId="257" priority="40" stopIfTrue="1" operator="equal">
      <formula>"OTR"</formula>
    </cfRule>
    <cfRule type="cellIs" dxfId="256" priority="41" stopIfTrue="1" operator="equal">
      <formula>"PAR"</formula>
    </cfRule>
    <cfRule type="cellIs" dxfId="255" priority="42" stopIfTrue="1" operator="equal">
      <formula>"CLP"</formula>
    </cfRule>
    <cfRule type="cellIs" dxfId="254" priority="43" stopIfTrue="1" operator="equal">
      <formula>"HAT"</formula>
    </cfRule>
    <cfRule type="cellIs" dxfId="253" priority="44" stopIfTrue="1" operator="equal">
      <formula>"LIB"</formula>
    </cfRule>
    <cfRule type="cellIs" dxfId="252" priority="45" stopIfTrue="1" operator="equal">
      <formula>"BA"</formula>
    </cfRule>
    <cfRule type="cellIs" dxfId="251" priority="46" stopIfTrue="1" operator="equal">
      <formula>"SPA"</formula>
    </cfRule>
    <cfRule type="cellIs" dxfId="250" priority="47" stopIfTrue="1" operator="equal">
      <formula>"OST"</formula>
    </cfRule>
    <cfRule type="cellIs" dxfId="249" priority="48" stopIfTrue="1" operator="equal">
      <formula>"BOH"</formula>
    </cfRule>
    <cfRule type="cellIs" dxfId="248" priority="49" stopIfTrue="1" operator="equal">
      <formula>"TAT"</formula>
    </cfRule>
    <cfRule type="cellIs" dxfId="247" priority="50" stopIfTrue="1" operator="equal">
      <formula>"MB"</formula>
    </cfRule>
    <cfRule type="cellIs" dxfId="246" priority="51" stopIfTrue="1" operator="equal">
      <formula>"VIT"</formula>
    </cfRule>
    <cfRule type="cellIs" dxfId="245" priority="52" stopIfTrue="1" operator="equal">
      <formula>"CHO"</formula>
    </cfRule>
    <cfRule type="cellIs" dxfId="244" priority="53" stopIfTrue="1" operator="equal">
      <formula>"SKV"</formula>
    </cfRule>
  </conditionalFormatting>
  <conditionalFormatting sqref="H8:K9">
    <cfRule type="cellIs" dxfId="243" priority="26" stopIfTrue="1" operator="equal">
      <formula>"OTR"</formula>
    </cfRule>
    <cfRule type="cellIs" dxfId="242" priority="27" stopIfTrue="1" operator="equal">
      <formula>"PAR"</formula>
    </cfRule>
    <cfRule type="cellIs" dxfId="241" priority="28" stopIfTrue="1" operator="equal">
      <formula>"CLP"</formula>
    </cfRule>
    <cfRule type="cellIs" dxfId="240" priority="29" stopIfTrue="1" operator="equal">
      <formula>"HAT"</formula>
    </cfRule>
    <cfRule type="cellIs" dxfId="239" priority="30" stopIfTrue="1" operator="equal">
      <formula>"LIB"</formula>
    </cfRule>
    <cfRule type="cellIs" dxfId="238" priority="31" stopIfTrue="1" operator="equal">
      <formula>"BA"</formula>
    </cfRule>
    <cfRule type="cellIs" dxfId="237" priority="32" stopIfTrue="1" operator="equal">
      <formula>"SPA"</formula>
    </cfRule>
    <cfRule type="cellIs" dxfId="236" priority="33" stopIfTrue="1" operator="equal">
      <formula>"OST"</formula>
    </cfRule>
    <cfRule type="cellIs" dxfId="235" priority="34" stopIfTrue="1" operator="equal">
      <formula>"BOH"</formula>
    </cfRule>
    <cfRule type="cellIs" dxfId="234" priority="35" stopIfTrue="1" operator="equal">
      <formula>"TAT"</formula>
    </cfRule>
    <cfRule type="cellIs" dxfId="233" priority="36" stopIfTrue="1" operator="equal">
      <formula>"MB"</formula>
    </cfRule>
    <cfRule type="cellIs" dxfId="232" priority="37" stopIfTrue="1" operator="equal">
      <formula>"VIT"</formula>
    </cfRule>
    <cfRule type="cellIs" dxfId="231" priority="38" stopIfTrue="1" operator="equal">
      <formula>"CHO"</formula>
    </cfRule>
    <cfRule type="cellIs" dxfId="230" priority="39" stopIfTrue="1" operator="equal">
      <formula>"SKV"</formula>
    </cfRule>
  </conditionalFormatting>
  <conditionalFormatting sqref="S2:S42">
    <cfRule type="expression" dxfId="229" priority="10" stopIfTrue="1">
      <formula>IFERROR(IF(VLOOKUP($S2,OFFSET($AG$2,,,COUNTIF($AG$2:$AG$50,"?*")),1,FALSE)&lt;&gt;0,1,0),0)&gt;0</formula>
    </cfRule>
  </conditionalFormatting>
  <conditionalFormatting sqref="S2:S42">
    <cfRule type="expression" dxfId="228" priority="11">
      <formula>IFERROR(IF(VLOOKUP($S2,OFFSET($AG$2,,,COUNTIF($AG$2:$AG$50,"?*")),1,FALSE)&lt;&gt;0,1,0),0)=0</formula>
    </cfRule>
  </conditionalFormatting>
  <conditionalFormatting sqref="S45:S50">
    <cfRule type="expression" dxfId="227" priority="9">
      <formula>IFERROR(IF(VLOOKUP($S45,OFFSET($AG$2,,,COUNTIF($AG$2:$AG$50,"?*")),1,FALSE)&lt;&gt;0,1,0),0)&gt;0</formula>
    </cfRule>
  </conditionalFormatting>
  <conditionalFormatting sqref="S45:S50">
    <cfRule type="expression" dxfId="226" priority="8">
      <formula>IFERROR(IF(VLOOKUP($S45,OFFSET($AG$2,,,COUNTIF($AG$2:$AG$50,"?*")),1,FALSE)&lt;&gt;0,1,0),0)=0</formula>
    </cfRule>
  </conditionalFormatting>
  <conditionalFormatting sqref="AG2:AG50">
    <cfRule type="expression" dxfId="225" priority="5" stopIfTrue="1">
      <formula>OR($AH2="",$AI2="",$AJ2="",$AK2="",$AL2="",$AM2="",$AN2="",$AQ2="",$AR2="",$AS2="",$AT2="")</formula>
    </cfRule>
    <cfRule type="expression" dxfId="224" priority="6" stopIfTrue="1">
      <formula>IFERROR(IF(VLOOKUP($AG2,OFFSET($S$2,,,COUNTIF($S$2:$S$42,"?*")),1,FALSE)&lt;&gt;0,1,0),0)=0</formula>
    </cfRule>
    <cfRule type="expression" dxfId="223" priority="7">
      <formula>IFERROR(IF(VLOOKUP($AG2,OFFSET($S$2,,,COUNTIF($S$2:$S$42,"?*")),1,FALSE)&lt;&gt;0,1,0),0)&gt;0</formula>
    </cfRule>
  </conditionalFormatting>
  <conditionalFormatting sqref="AG2:AK50 AM2:BC50">
    <cfRule type="expression" dxfId="222" priority="4">
      <formula>AND($AG2&lt;&gt;"",MOD(ROW($AG2),2)=0)</formula>
    </cfRule>
  </conditionalFormatting>
  <conditionalFormatting sqref="BN2:BR11">
    <cfRule type="expression" dxfId="221" priority="3">
      <formula>AND($BN2&lt;&gt;"",MOD(ROW($BN2),2)=0)</formula>
    </cfRule>
  </conditionalFormatting>
  <conditionalFormatting sqref="AL2:AL50">
    <cfRule type="expression" dxfId="220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/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7" t="s">
        <v>1</v>
      </c>
      <c r="I1" s="427"/>
      <c r="J1" s="427"/>
      <c r="K1" s="427"/>
      <c r="M1" s="425"/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8" t="str">
        <f ca="1">IFERROR(IF(VLOOKUP(A1,OFFSET($AG$2,,,COUNTIF($AG$2:$AG$50,"?*"),23),2,FALSE)&lt;&gt;0,YEAR(VLOOKUP(A1,OFFSET($AG$2,,,COUNTIF($AG$2:$AG$50,"?*"),23),2,FALSE)),""),"")</f>
        <v/>
      </c>
      <c r="C2" s="429"/>
      <c r="D2" s="117" t="str">
        <f ca="1">IFERROR(VLOOKUP(A1,OFFSET($AG$2,,,COUNTIF($AG$2:$AG$50,"?*"),23),15,FALSE),"")</f>
        <v/>
      </c>
      <c r="E2" s="419" t="str">
        <f ca="1">IFERROR(VLOOKUP(A1,OFFSET($AG$2,,,COUNTIF($AG$2:$AG$50,"?*"),23),16,FALSE),"")</f>
        <v/>
      </c>
      <c r="F2" s="420"/>
      <c r="M2" s="4" t="str">
        <f ca="1">IFERROR(IF(VLOOKUP(M1,OFFSET($AG$2,,,COUNTIF($AG$2:$AG$50,"?*"),23),10,FALSE)&lt;&gt;0,VLOOKUP(M1,OFFSET($AG$2,,,COUNTIF($AG$2:$AG$50,"?*"),23),10,FALSE),""),"")</f>
        <v/>
      </c>
      <c r="N2" s="428" t="str">
        <f ca="1">IFERROR(IF(VLOOKUP(M1,OFFSET($AG$2,,,COUNTIF($AG$2:$AG$50,"?*"),23),2,FALSE)&lt;&gt;0,YEAR(VLOOKUP(M1,OFFSET($AG$2,,,COUNTIF($AG$2:$AG$50,"?*"),23),2,FALSE)),""),"")</f>
        <v/>
      </c>
      <c r="O2" s="429"/>
      <c r="P2" s="117" t="str">
        <f ca="1">IFERROR(VLOOKUP(M1,OFFSET($AG$2,,,COUNTIF($AG$2:$AG$50,"?*"),23),15,FALSE),"")</f>
        <v/>
      </c>
      <c r="Q2" s="419" t="str">
        <f ca="1">IFERROR(VLOOKUP(M1,OFFSET($AG$2,,,COUNTIF($AG$2:$AG$50,"?*"),23),16,FALSE),"")</f>
        <v/>
      </c>
      <c r="R2" s="420"/>
      <c r="S2" s="110" t="s">
        <v>719</v>
      </c>
      <c r="U2" s="102">
        <v>14</v>
      </c>
      <c r="V2" s="102">
        <v>10</v>
      </c>
      <c r="W2" s="102">
        <v>1</v>
      </c>
      <c r="X2" s="102">
        <v>0</v>
      </c>
      <c r="Y2" s="102">
        <v>9</v>
      </c>
      <c r="Z2" s="102">
        <v>19</v>
      </c>
      <c r="AA2" s="102">
        <v>33</v>
      </c>
      <c r="AB2" s="102">
        <v>-18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730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4" t="s">
        <v>35</v>
      </c>
      <c r="BT2" s="104" t="s">
        <v>1108</v>
      </c>
      <c r="BU2" s="103">
        <v>19</v>
      </c>
      <c r="BV2" s="104" t="str">
        <f>IFERROR(RIGHT(BT2,LEN(BT2)-SEARCH(" ",BT2)),"")</f>
        <v>Adam Šmíd</v>
      </c>
      <c r="BW2" s="102">
        <f>IF(BT2&lt;&gt;0,_xlfn.NUMBERVALUE(BU2,","),"")</f>
        <v>19</v>
      </c>
      <c r="BX2" s="463" t="s">
        <v>191</v>
      </c>
      <c r="BY2" s="103" t="s">
        <v>1048</v>
      </c>
      <c r="BZ2" s="103" t="s">
        <v>808</v>
      </c>
      <c r="CA2" s="115" t="s">
        <v>1107</v>
      </c>
    </row>
    <row r="3" spans="1:79" ht="15" customHeight="1" thickTop="1" thickBot="1" x14ac:dyDescent="0.25">
      <c r="A3" s="421" t="str">
        <f ca="1">IFERROR(VLOOKUP(A1,OFFSET($AG$2,,,COUNTIF($AG$2:$AG$50,"?*"),23),18,FALSE),"")</f>
        <v/>
      </c>
      <c r="B3" s="422"/>
      <c r="C3" s="422"/>
      <c r="D3" s="423" t="str">
        <f ca="1">IFERROR(VLOOKUP(A1,OFFSET($AG$2,,,COUNTIF($AG$2:$AG$50,"?*"),23),19,FALSE),"")</f>
        <v/>
      </c>
      <c r="E3" s="423"/>
      <c r="F3" s="424"/>
      <c r="G3" s="425"/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1" t="str">
        <f ca="1">IFERROR(VLOOKUP(M1,OFFSET($AG$2,,,COUNTIF($AG$2:$AG$50,"?*"),23),18,FALSE),"")</f>
        <v/>
      </c>
      <c r="N3" s="422"/>
      <c r="O3" s="422"/>
      <c r="P3" s="423" t="str">
        <f ca="1">IFERROR(VLOOKUP(M1,OFFSET($AG$2,,,COUNTIF($AG$2:$AG$50,"?*"),23),19,FALSE),"")</f>
        <v/>
      </c>
      <c r="Q3" s="423"/>
      <c r="R3" s="424"/>
      <c r="S3" s="110" t="s">
        <v>725</v>
      </c>
      <c r="T3" s="102" t="s">
        <v>106</v>
      </c>
      <c r="U3" s="102">
        <v>16</v>
      </c>
      <c r="V3" s="102">
        <v>10</v>
      </c>
      <c r="W3" s="102">
        <v>3</v>
      </c>
      <c r="X3" s="102">
        <v>0</v>
      </c>
      <c r="Y3" s="102">
        <v>5</v>
      </c>
      <c r="Z3" s="102">
        <v>15</v>
      </c>
      <c r="AA3" s="102">
        <v>6</v>
      </c>
      <c r="AB3" s="102">
        <v>-28</v>
      </c>
      <c r="AC3" s="102" t="str">
        <f t="shared" ca="1" si="0"/>
        <v>ANO</v>
      </c>
      <c r="AG3" s="121" t="s">
        <v>723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10 OZ, 4 (3+1), -6 ±</v>
      </c>
      <c r="AY3" s="129" t="str">
        <f t="shared" ca="1" si="2"/>
        <v>10 OZ, 4 (3+1)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4"/>
      <c r="BT3" s="104" t="s">
        <v>1438</v>
      </c>
      <c r="BU3" s="103">
        <v>15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15</v>
      </c>
      <c r="BX3" s="463"/>
      <c r="BY3" s="103" t="s">
        <v>1039</v>
      </c>
      <c r="BZ3" s="103" t="s">
        <v>801</v>
      </c>
      <c r="CA3" s="115" t="s">
        <v>1255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/>
      </c>
      <c r="B4" s="431"/>
      <c r="C4" s="432"/>
      <c r="D4" s="433" t="str">
        <f ca="1">IFERROR(IF(VLOOKUP(A1,OFFSET($AG$2,,,COUNTIF($AG$2:$AG$50,"?*"),23),14,FALSE)&lt;&gt;0,VLOOKUP(A1,OFFSET($AG$2,,,COUNTIF($AG$2:$AG$50,"?*"),23),14,FALSE),"?"),"")</f>
        <v/>
      </c>
      <c r="E4" s="43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8" t="str">
        <f ca="1">IFERROR(IF(VLOOKUP(G3,OFFSET($AG$2,,,COUNTIF($AG$2:$AG$50,"?*"),23),2,FALSE)&lt;&gt;0,YEAR(VLOOKUP(G3,OFFSET($AG$2,,,COUNTIF($AG$2:$AG$50,"?*"),23),2,FALSE)),""),"")</f>
        <v/>
      </c>
      <c r="I4" s="429"/>
      <c r="J4" s="117" t="str">
        <f ca="1">IFERROR(VLOOKUP(G3,OFFSET($AG$2,,,COUNTIF($AG$2:$AG$50,"?*"),23),15,FALSE),"")</f>
        <v/>
      </c>
      <c r="K4" s="419" t="str">
        <f ca="1">IFERROR(VLOOKUP(G3,OFFSET($AG$2,,,COUNTIF($AG$2:$AG$50,"?*"),23),16,FALSE),"")</f>
        <v/>
      </c>
      <c r="L4" s="420"/>
      <c r="M4" s="430" t="str">
        <f ca="1">IFERROR(IF(VLOOKUP(M1,OFFSET($AG$2,,,COUNTIF($AG$2:$AG$50,"?*"),23),13,FALSE)&lt;&gt;0,VLOOKUP(M1,OFFSET($AG$2,,,COUNTIF($AG$2:$AG$50,"?*"),23),13,FALSE),"?"),"")</f>
        <v/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/>
      </c>
      <c r="Q4" s="43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590</v>
      </c>
      <c r="U4" s="102">
        <v>16</v>
      </c>
      <c r="V4" s="102">
        <v>9</v>
      </c>
      <c r="W4" s="102">
        <v>1</v>
      </c>
      <c r="X4" s="102">
        <v>0</v>
      </c>
      <c r="Y4" s="102">
        <v>5</v>
      </c>
      <c r="Z4" s="102">
        <v>14</v>
      </c>
      <c r="AA4" s="102">
        <v>0</v>
      </c>
      <c r="AB4" s="102">
        <v>-34</v>
      </c>
      <c r="AC4" s="102" t="str">
        <f t="shared" ca="1" si="0"/>
        <v>ANO</v>
      </c>
      <c r="AG4" s="121" t="s">
        <v>728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11 P</v>
      </c>
      <c r="AY4" s="129" t="str">
        <f t="shared" ca="1" si="2"/>
        <v>13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4"/>
      <c r="BT4" s="104" t="s">
        <v>1439</v>
      </c>
      <c r="BU4" s="103">
        <v>14</v>
      </c>
      <c r="BV4" s="104" t="str">
        <f t="shared" si="13"/>
        <v>Matyáš Velc</v>
      </c>
      <c r="BW4" s="102">
        <f t="shared" si="14"/>
        <v>14</v>
      </c>
      <c r="BX4" s="463"/>
      <c r="BY4" s="103" t="s">
        <v>1331</v>
      </c>
      <c r="BZ4" s="103" t="s">
        <v>802</v>
      </c>
      <c r="CA4" s="115" t="s">
        <v>1436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/>
      </c>
      <c r="H5" s="422"/>
      <c r="I5" s="422"/>
      <c r="J5" s="423" t="str">
        <f ca="1">IFERROR(VLOOKUP(G3,OFFSET($AG$2,,,COUNTIF($AG$2:$AG$50,"?*"),23),19,FALSE),"")</f>
        <v/>
      </c>
      <c r="K5" s="423"/>
      <c r="L5" s="424"/>
      <c r="S5" s="110" t="s">
        <v>727</v>
      </c>
      <c r="T5" s="102" t="s">
        <v>106</v>
      </c>
      <c r="U5" s="102">
        <v>16</v>
      </c>
      <c r="V5" s="102">
        <v>4</v>
      </c>
      <c r="W5" s="102">
        <v>1</v>
      </c>
      <c r="X5" s="102">
        <v>0</v>
      </c>
      <c r="Y5" s="102">
        <v>10</v>
      </c>
      <c r="Z5" s="102">
        <v>14</v>
      </c>
      <c r="AA5" s="102">
        <v>2</v>
      </c>
      <c r="AB5" s="102">
        <v>-22</v>
      </c>
      <c r="AC5" s="102" t="str">
        <f t="shared" ca="1" si="0"/>
        <v>ANO</v>
      </c>
      <c r="AG5" s="121" t="s">
        <v>718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16 OZ, 2 (2+0), -11 ±</v>
      </c>
      <c r="AY5" s="129" t="str">
        <f t="shared" ca="1" si="2"/>
        <v>16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4"/>
      <c r="BT5" s="104" t="s">
        <v>779</v>
      </c>
      <c r="BU5" s="103">
        <v>14</v>
      </c>
      <c r="BV5" s="104" t="str">
        <f t="shared" si="13"/>
        <v>Přemek Pakosta</v>
      </c>
      <c r="BW5" s="102">
        <f t="shared" si="14"/>
        <v>14</v>
      </c>
      <c r="BX5" s="463"/>
      <c r="BY5" s="103" t="s">
        <v>984</v>
      </c>
      <c r="BZ5" s="103" t="s">
        <v>818</v>
      </c>
      <c r="CA5" s="115" t="s">
        <v>1269</v>
      </c>
    </row>
    <row r="6" spans="1:79" ht="15" customHeight="1" thickTop="1" thickBot="1" x14ac:dyDescent="0.25">
      <c r="A6" s="425"/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0" t="str">
        <f ca="1">IFERROR(IF(VLOOKUP(G3,OFFSET($AG$2,,,COUNTIF($AG$2:$AG$50,"?*"),23),13,FALSE)&lt;&gt;0,VLOOKUP(G3,OFFSET($AG$2,,,COUNTIF($AG$2:$AG$50,"?*"),23),13,FALSE),"?"),"")</f>
        <v/>
      </c>
      <c r="H6" s="431"/>
      <c r="I6" s="432"/>
      <c r="J6" s="433" t="str">
        <f ca="1">IFERROR(IF(VLOOKUP(G3,OFFSET($AG$2,,,COUNTIF($AG$2:$AG$50,"?*"),23),14,FALSE)&lt;&gt;0,VLOOKUP(G3,OFFSET($AG$2,,,COUNTIF($AG$2:$AG$50,"?*"),23),14,FALSE),"?"),"")</f>
        <v/>
      </c>
      <c r="K6" s="434"/>
      <c r="L6" s="7" t="str">
        <f ca="1">IFERROR(IF(VLOOKUP(G3,OFFSET($AG$2,,,COUNTIF($AG$2:$AG$50,"?*"),23),7,FALSE)&lt;&gt;0,VLOOKUP(G3,OFFSET($AG$2,,,COUNTIF($AG$2:$AG$50,"?*"),23),7,FALSE),"?"),"")</f>
        <v/>
      </c>
      <c r="M6" s="425"/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717</v>
      </c>
      <c r="U6" s="102">
        <v>16</v>
      </c>
      <c r="V6" s="102">
        <v>6</v>
      </c>
      <c r="W6" s="102">
        <v>0</v>
      </c>
      <c r="X6" s="102">
        <v>0</v>
      </c>
      <c r="Y6" s="102">
        <v>3</v>
      </c>
      <c r="Z6" s="102">
        <v>9</v>
      </c>
      <c r="AA6" s="102">
        <v>2</v>
      </c>
      <c r="AB6" s="102">
        <v>-21</v>
      </c>
      <c r="AC6" s="102" t="str">
        <f t="shared" ca="1" si="0"/>
        <v>ANO</v>
      </c>
      <c r="AG6" s="121" t="s">
        <v>724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14 OZ, 0 (0+0), -4 ±</v>
      </c>
      <c r="AY6" s="129" t="str">
        <f t="shared" ca="1" si="2"/>
        <v>14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4"/>
      <c r="BT6" s="104" t="s">
        <v>1440</v>
      </c>
      <c r="BU6" s="103">
        <v>9</v>
      </c>
      <c r="BV6" s="104" t="str">
        <f t="shared" si="13"/>
        <v>Vojtěch Rusin</v>
      </c>
      <c r="BW6" s="102">
        <f t="shared" si="14"/>
        <v>9</v>
      </c>
      <c r="BX6" s="463"/>
      <c r="BY6" s="103" t="s">
        <v>1231</v>
      </c>
      <c r="BZ6" s="103" t="s">
        <v>823</v>
      </c>
      <c r="CA6" s="115" t="s">
        <v>999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8" t="str">
        <f ca="1">IFERROR(IF(VLOOKUP(A6,OFFSET($AG$2,,,COUNTIF($AG$2:$AG$50,"?*"),23),2,FALSE)&lt;&gt;0,YEAR(VLOOKUP(A6,OFFSET($AG$2,,,COUNTIF($AG$2:$AG$50,"?*"),23),2,FALSE)),""),"")</f>
        <v/>
      </c>
      <c r="C7" s="429"/>
      <c r="D7" s="117" t="str">
        <f ca="1">IFERROR(VLOOKUP(A6,OFFSET($AG$2,,,COUNTIF($AG$2:$AG$50,"?*"),23),15,FALSE),"")</f>
        <v/>
      </c>
      <c r="E7" s="419" t="str">
        <f ca="1">IFERROR(VLOOKUP(A6,OFFSET($AG$2,,,COUNTIF($AG$2:$AG$50,"?*"),23),16,FALSE),"")</f>
        <v/>
      </c>
      <c r="F7" s="420"/>
      <c r="M7" s="4" t="str">
        <f ca="1">IFERROR(IF(VLOOKUP(M6,OFFSET($AG$2,,,COUNTIF($AG$2:$AG$50,"?*"),23),10,FALSE)&lt;&gt;0,VLOOKUP(M6,OFFSET($AG$2,,,COUNTIF($AG$2:$AG$50,"?*"),23),10,FALSE),""),"")</f>
        <v/>
      </c>
      <c r="N7" s="428" t="str">
        <f ca="1">IFERROR(IF(VLOOKUP(M6,OFFSET($AG$2,,,COUNTIF($AG$2:$AG$50,"?*"),23),2,FALSE)&lt;&gt;0,YEAR(VLOOKUP(M6,OFFSET($AG$2,,,COUNTIF($AG$2:$AG$50,"?*"),23),2,FALSE)),""),"")</f>
        <v/>
      </c>
      <c r="O7" s="429"/>
      <c r="P7" s="117" t="str">
        <f ca="1">IFERROR(VLOOKUP(M6,OFFSET($AG$2,,,COUNTIF($AG$2:$AG$50,"?*"),23),15,FALSE),"")</f>
        <v/>
      </c>
      <c r="Q7" s="419" t="str">
        <f ca="1">IFERROR(VLOOKUP(M6,OFFSET($AG$2,,,COUNTIF($AG$2:$AG$50,"?*"),23),16,FALSE),"")</f>
        <v/>
      </c>
      <c r="R7" s="420"/>
      <c r="S7" s="110" t="s">
        <v>731</v>
      </c>
      <c r="T7" s="102" t="s">
        <v>106</v>
      </c>
      <c r="U7" s="102">
        <v>11</v>
      </c>
      <c r="V7" s="102">
        <v>4</v>
      </c>
      <c r="W7" s="102">
        <v>1</v>
      </c>
      <c r="X7" s="102">
        <v>0</v>
      </c>
      <c r="Y7" s="102">
        <v>4</v>
      </c>
      <c r="Z7" s="102">
        <v>8</v>
      </c>
      <c r="AA7" s="102">
        <v>0</v>
      </c>
      <c r="AB7" s="102">
        <v>-12</v>
      </c>
      <c r="AC7" s="102" t="str">
        <f t="shared" ca="1" si="0"/>
        <v>ANO</v>
      </c>
      <c r="AG7" s="121" t="s">
        <v>688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16 OZ, 5 (2+3), -13 ±</v>
      </c>
      <c r="AY7" s="129" t="str">
        <f t="shared" ca="1" si="2"/>
        <v>16 OZ, 5 (2+3)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732</v>
      </c>
      <c r="BU7" s="103" t="s">
        <v>1441</v>
      </c>
      <c r="BV7" s="104" t="str">
        <f t="shared" si="13"/>
        <v>Martin Haleš</v>
      </c>
      <c r="BW7" s="112">
        <f t="shared" si="14"/>
        <v>7.79</v>
      </c>
      <c r="BX7" s="463" t="s">
        <v>192</v>
      </c>
      <c r="BY7" s="103" t="s">
        <v>1075</v>
      </c>
      <c r="BZ7" s="103" t="s">
        <v>799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/>
      </c>
      <c r="B8" s="422"/>
      <c r="C8" s="422"/>
      <c r="D8" s="423" t="str">
        <f ca="1">IFERROR(VLOOKUP(A6,OFFSET($AG$2,,,COUNTIF($AG$2:$AG$50,"?*"),23),19,FALSE),"")</f>
        <v/>
      </c>
      <c r="E8" s="423"/>
      <c r="F8" s="424"/>
      <c r="H8" s="435" t="s">
        <v>97</v>
      </c>
      <c r="I8" s="435"/>
      <c r="J8" s="435"/>
      <c r="K8" s="435"/>
      <c r="M8" s="421" t="str">
        <f ca="1">IFERROR(VLOOKUP(M6,OFFSET($AG$2,,,COUNTIF($AG$2:$AG$50,"?*"),23),18,FALSE),"")</f>
        <v/>
      </c>
      <c r="N8" s="422"/>
      <c r="O8" s="422"/>
      <c r="P8" s="423" t="str">
        <f ca="1">IFERROR(VLOOKUP(M6,OFFSET($AG$2,,,COUNTIF($AG$2:$AG$50,"?*"),23),19,FALSE),"")</f>
        <v/>
      </c>
      <c r="Q8" s="423"/>
      <c r="R8" s="424"/>
      <c r="S8" s="110" t="s">
        <v>720</v>
      </c>
      <c r="U8" s="102">
        <v>16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6</v>
      </c>
      <c r="AB8" s="102">
        <v>-20</v>
      </c>
      <c r="AC8" s="102" t="str">
        <f t="shared" ca="1" si="0"/>
        <v>ANO</v>
      </c>
      <c r="AG8" s="121" t="s">
        <v>729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10 OZ, 0 (0+0), -9 ±</v>
      </c>
      <c r="AY8" s="129" t="str">
        <f t="shared" ca="1" si="2"/>
        <v>10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733</v>
      </c>
      <c r="BU8" s="103" t="s">
        <v>1109</v>
      </c>
      <c r="BV8" s="104" t="str">
        <f t="shared" si="13"/>
        <v>Karel Aubus</v>
      </c>
      <c r="BW8" s="112">
        <f t="shared" si="14"/>
        <v>7.32</v>
      </c>
      <c r="BX8" s="463"/>
      <c r="BY8" s="103" t="s">
        <v>1232</v>
      </c>
      <c r="BZ8" s="103" t="s">
        <v>798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/>
      </c>
      <c r="B9" s="431"/>
      <c r="C9" s="432"/>
      <c r="D9" s="433" t="str">
        <f ca="1">IFERROR(IF(VLOOKUP(A6,OFFSET($AG$2,,,COUNTIF($AG$2:$AG$50,"?*"),23),14,FALSE)&lt;&gt;0,VLOOKUP(A6,OFFSET($AG$2,,,COUNTIF($AG$2:$AG$50,"?*"),23),14,FALSE),"?"),"")</f>
        <v/>
      </c>
      <c r="E9" s="434"/>
      <c r="F9" s="7" t="str">
        <f ca="1">IFERROR(IF(VLOOKUP(A6,OFFSET($AG$2,,,COUNTIF($AG$2:$AG$50,"?*"),23),7,FALSE)&lt;&gt;0,VLOOKUP(A6,OFFSET($AG$2,,,COUNTIF($AG$2:$AG$50,"?*"),23),7,FALSE),"?"),"")</f>
        <v/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/>
      </c>
      <c r="N9" s="431"/>
      <c r="O9" s="432"/>
      <c r="P9" s="433" t="str">
        <f ca="1">IFERROR(IF(VLOOKUP(M6,OFFSET($AG$2,,,COUNTIF($AG$2:$AG$50,"?*"),23),14,FALSE)&lt;&gt;0,VLOOKUP(M6,OFFSET($AG$2,,,COUNTIF($AG$2:$AG$50,"?*"),23),14,FALSE),"?"),"")</f>
        <v/>
      </c>
      <c r="Q9" s="43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722</v>
      </c>
      <c r="U9" s="102">
        <v>13</v>
      </c>
      <c r="V9" s="102">
        <v>3</v>
      </c>
      <c r="W9" s="102">
        <v>0</v>
      </c>
      <c r="X9" s="102">
        <v>0</v>
      </c>
      <c r="Y9" s="102">
        <v>2</v>
      </c>
      <c r="Z9" s="102">
        <v>5</v>
      </c>
      <c r="AA9" s="102">
        <v>2</v>
      </c>
      <c r="AB9" s="102">
        <v>-18</v>
      </c>
      <c r="AC9" s="102" t="str">
        <f t="shared" ca="1" si="0"/>
        <v>ANO</v>
      </c>
      <c r="AG9" s="121" t="s">
        <v>727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16 OZ, 14 (4+10), -22 ±</v>
      </c>
      <c r="AY9" s="129" t="str">
        <f t="shared" ca="1" si="2"/>
        <v>16 OZ, 14 (4+10)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834</v>
      </c>
      <c r="BU9" s="103" t="s">
        <v>1442</v>
      </c>
      <c r="BV9" s="104" t="str">
        <f t="shared" si="13"/>
        <v>Matěj Denemark</v>
      </c>
      <c r="BW9" s="112">
        <f t="shared" si="14"/>
        <v>9.42</v>
      </c>
      <c r="BX9" s="463"/>
      <c r="BY9" s="103" t="s">
        <v>1236</v>
      </c>
      <c r="BZ9" s="103" t="s">
        <v>815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688</v>
      </c>
      <c r="U10" s="102">
        <v>16</v>
      </c>
      <c r="V10" s="102">
        <v>2</v>
      </c>
      <c r="W10" s="102">
        <v>0</v>
      </c>
      <c r="X10" s="102">
        <v>0</v>
      </c>
      <c r="Y10" s="102">
        <v>3</v>
      </c>
      <c r="Z10" s="102">
        <v>5</v>
      </c>
      <c r="AA10" s="102">
        <v>4</v>
      </c>
      <c r="AB10" s="102">
        <v>-13</v>
      </c>
      <c r="AC10" s="102" t="str">
        <f t="shared" ca="1" si="0"/>
        <v>ANO</v>
      </c>
      <c r="AG10" s="121" t="s">
        <v>721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16 OZ, 2 (2+0), -17 ±</v>
      </c>
      <c r="AY10" s="129" t="str">
        <f t="shared" ca="1" si="2"/>
        <v>16 OZ, 2 (2+0)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V10" s="104" t="str">
        <f t="shared" si="13"/>
        <v/>
      </c>
      <c r="BW10" s="112" t="str">
        <f t="shared" si="14"/>
        <v/>
      </c>
      <c r="BX10" s="463"/>
      <c r="BY10" s="103" t="s">
        <v>1306</v>
      </c>
      <c r="BZ10" s="103" t="s">
        <v>790</v>
      </c>
      <c r="CA10" s="115" t="s">
        <v>187</v>
      </c>
    </row>
    <row r="11" spans="1:79" ht="15" customHeight="1" thickTop="1" thickBot="1" x14ac:dyDescent="0.25">
      <c r="R11" s="13"/>
      <c r="S11" s="110" t="s">
        <v>723</v>
      </c>
      <c r="U11" s="102">
        <v>10</v>
      </c>
      <c r="V11" s="102">
        <v>3</v>
      </c>
      <c r="W11" s="102">
        <v>0</v>
      </c>
      <c r="X11" s="102">
        <v>0</v>
      </c>
      <c r="Y11" s="102">
        <v>1</v>
      </c>
      <c r="Z11" s="102">
        <v>4</v>
      </c>
      <c r="AA11" s="102">
        <v>0</v>
      </c>
      <c r="AB11" s="102">
        <v>-6</v>
      </c>
      <c r="AC11" s="102" t="str">
        <f t="shared" ca="1" si="0"/>
        <v>ANO</v>
      </c>
      <c r="AG11" s="121" t="s">
        <v>716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14 OZ, 4 (1+3), -5 ±</v>
      </c>
      <c r="AY11" s="129" t="str">
        <f t="shared" ca="1" si="2"/>
        <v>14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BZ11" s="103" t="s">
        <v>1348</v>
      </c>
      <c r="CA11" s="115" t="s">
        <v>187</v>
      </c>
    </row>
    <row r="12" spans="1:79" ht="15" customHeight="1" thickTop="1" thickBot="1" x14ac:dyDescent="0.25">
      <c r="A12" s="425"/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7" t="s">
        <v>7</v>
      </c>
      <c r="I12" s="427"/>
      <c r="J12" s="427"/>
      <c r="K12" s="427"/>
      <c r="M12" s="425"/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716</v>
      </c>
      <c r="U12" s="102">
        <v>14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2</v>
      </c>
      <c r="AB12" s="102">
        <v>-5</v>
      </c>
      <c r="AC12" s="102" t="str">
        <f t="shared" ca="1" si="0"/>
        <v>ANO</v>
      </c>
      <c r="AG12" s="121" t="s">
        <v>720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16 OZ, 7 (3+4), -20 ±</v>
      </c>
      <c r="AY12" s="129" t="str">
        <f t="shared" ca="1" si="2"/>
        <v>16 OZ, 7 (3+4)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1108</v>
      </c>
      <c r="BU12" s="103">
        <v>10</v>
      </c>
      <c r="BV12" s="104" t="str">
        <f t="shared" si="13"/>
        <v>Adam Šmíd</v>
      </c>
      <c r="BW12" s="102">
        <f t="shared" si="14"/>
        <v>10</v>
      </c>
      <c r="BX12" s="120" t="s">
        <v>190</v>
      </c>
      <c r="BY12" s="100" t="s">
        <v>1437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8" t="str">
        <f ca="1">IFERROR(IF(VLOOKUP(A12,OFFSET($AG$2,,,COUNTIF($AG$2:$AG$50,"?*"),23),2,FALSE)&lt;&gt;0,YEAR(VLOOKUP(A12,OFFSET($AG$2,,,COUNTIF($AG$2:$AG$50,"?*"),23),2,FALSE)),""),"")</f>
        <v/>
      </c>
      <c r="C13" s="429"/>
      <c r="D13" s="117" t="str">
        <f ca="1">IFERROR(VLOOKUP(A12,OFFSET($AG$2,,,COUNTIF($AG$2:$AG$50,"?*"),23),15,FALSE),"")</f>
        <v/>
      </c>
      <c r="E13" s="419" t="str">
        <f ca="1">IFERROR(VLOOKUP(A12,OFFSET($AG$2,,,COUNTIF($AG$2:$AG$50,"?*"),23),16,FALSE),"")</f>
        <v/>
      </c>
      <c r="F13" s="420"/>
      <c r="M13" s="4" t="str">
        <f ca="1">IFERROR(IF(VLOOKUP(M12,OFFSET($AG$2,,,COUNTIF($AG$2:$AG$50,"?*"),23),10,FALSE)&lt;&gt;0,VLOOKUP(M12,OFFSET($AG$2,,,COUNTIF($AG$2:$AG$50,"?*"),23),10,FALSE),""),"")</f>
        <v/>
      </c>
      <c r="N13" s="428" t="str">
        <f ca="1">IFERROR(IF(VLOOKUP(M12,OFFSET($AG$2,,,COUNTIF($AG$2:$AG$50,"?*"),23),2,FALSE)&lt;&gt;0,YEAR(VLOOKUP(M12,OFFSET($AG$2,,,COUNTIF($AG$2:$AG$50,"?*"),23),2,FALSE)),""),"")</f>
        <v/>
      </c>
      <c r="O13" s="429"/>
      <c r="P13" s="117" t="str">
        <f ca="1">IFERROR(VLOOKUP(M12,OFFSET($AG$2,,,COUNTIF($AG$2:$AG$50,"?*"),23),15,FALSE),"")</f>
        <v/>
      </c>
      <c r="Q13" s="419" t="str">
        <f ca="1">IFERROR(VLOOKUP(M12,OFFSET($AG$2,,,COUNTIF($AG$2:$AG$50,"?*"),23),16,FALSE),"")</f>
        <v/>
      </c>
      <c r="R13" s="420"/>
      <c r="S13" s="110" t="s">
        <v>766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-13</v>
      </c>
      <c r="AC13" s="102" t="str">
        <f t="shared" ca="1" si="0"/>
        <v>NE</v>
      </c>
      <c r="AG13" s="121" t="s">
        <v>717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16 OZ, 9 (6+3), -21 ±</v>
      </c>
      <c r="AY13" s="129" t="str">
        <f t="shared" ca="1" si="2"/>
        <v>16 OZ, 9 (6+3)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1438</v>
      </c>
      <c r="BU13" s="103">
        <v>10</v>
      </c>
      <c r="BV13" s="104" t="str">
        <f t="shared" si="13"/>
        <v>Ivo Teichman</v>
      </c>
      <c r="BW13" s="102">
        <f t="shared" si="14"/>
        <v>10</v>
      </c>
    </row>
    <row r="14" spans="1:79" ht="15" customHeight="1" thickTop="1" thickBot="1" x14ac:dyDescent="0.25">
      <c r="A14" s="421" t="str">
        <f ca="1">IFERROR(VLOOKUP(A12,OFFSET($AG$2,,,COUNTIF($AG$2:$AG$50,"?*"),23),18,FALSE),"")</f>
        <v/>
      </c>
      <c r="B14" s="422"/>
      <c r="C14" s="422"/>
      <c r="D14" s="423" t="str">
        <f ca="1">IFERROR(VLOOKUP(A12,OFFSET($AG$2,,,COUNTIF($AG$2:$AG$50,"?*"),23),19,FALSE),"")</f>
        <v/>
      </c>
      <c r="E14" s="423"/>
      <c r="F14" s="424"/>
      <c r="G14" s="425"/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1" t="str">
        <f ca="1">IFERROR(VLOOKUP(M12,OFFSET($AG$2,,,COUNTIF($AG$2:$AG$50,"?*"),23),18,FALSE),"")</f>
        <v/>
      </c>
      <c r="N14" s="422"/>
      <c r="O14" s="422"/>
      <c r="P14" s="423" t="str">
        <f ca="1">IFERROR(VLOOKUP(M12,OFFSET($AG$2,,,COUNTIF($AG$2:$AG$50,"?*"),23),19,FALSE),"")</f>
        <v/>
      </c>
      <c r="Q14" s="423"/>
      <c r="R14" s="424"/>
      <c r="S14" s="110" t="s">
        <v>726</v>
      </c>
      <c r="U14" s="102">
        <v>16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2</v>
      </c>
      <c r="AB14" s="102">
        <v>-34</v>
      </c>
      <c r="AC14" s="102" t="str">
        <f t="shared" ca="1" si="0"/>
        <v>ANO</v>
      </c>
      <c r="AG14" s="121" t="s">
        <v>731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11 OZ, 8 (4+4), -12 ±</v>
      </c>
      <c r="AY14" s="129" t="str">
        <f t="shared" ca="1" si="2"/>
        <v>11 OZ, 8 (4+4)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1439</v>
      </c>
      <c r="BU14" s="103">
        <v>9</v>
      </c>
      <c r="BV14" s="104" t="str">
        <f t="shared" si="13"/>
        <v>Matyáš Velc</v>
      </c>
      <c r="BW14" s="102">
        <f t="shared" si="14"/>
        <v>9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/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/>
      </c>
      <c r="E15" s="43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8" t="str">
        <f ca="1">IFERROR(IF(VLOOKUP(G14,OFFSET($AG$2,,,COUNTIF($AG$2:$AG$50,"?*"),23),2,FALSE)&lt;&gt;0,YEAR(VLOOKUP(G14,OFFSET($AG$2,,,COUNTIF($AG$2:$AG$50,"?*"),23),2,FALSE)),""),"")</f>
        <v/>
      </c>
      <c r="I15" s="429"/>
      <c r="J15" s="117" t="str">
        <f ca="1">IFERROR(VLOOKUP(G14,OFFSET($AG$2,,,COUNTIF($AG$2:$AG$50,"?*"),23),15,FALSE),"")</f>
        <v/>
      </c>
      <c r="K15" s="419" t="str">
        <f ca="1">IFERROR(VLOOKUP(G14,OFFSET($AG$2,,,COUNTIF($AG$2:$AG$50,"?*"),23),16,FALSE),"")</f>
        <v/>
      </c>
      <c r="L15" s="420"/>
      <c r="M15" s="430" t="str">
        <f ca="1">IFERROR(IF(VLOOKUP(M12,OFFSET($AG$2,,,COUNTIF($AG$2:$AG$50,"?*"),23),13,FALSE)&lt;&gt;0,VLOOKUP(M12,OFFSET($AG$2,,,COUNTIF($AG$2:$AG$50,"?*"),23),13,FALSE),"?"),"")</f>
        <v/>
      </c>
      <c r="N15" s="431"/>
      <c r="O15" s="432"/>
      <c r="P15" s="433" t="str">
        <f ca="1">IFERROR(IF(VLOOKUP(M12,OFFSET($AG$2,,,COUNTIF($AG$2:$AG$50,"?*"),23),14,FALSE)&lt;&gt;0,VLOOKUP(M12,OFFSET($AG$2,,,COUNTIF($AG$2:$AG$50,"?*"),23),14,FALSE),"?"),"")</f>
        <v/>
      </c>
      <c r="Q15" s="43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718</v>
      </c>
      <c r="T15" s="102" t="s">
        <v>57</v>
      </c>
      <c r="U15" s="102">
        <v>16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12</v>
      </c>
      <c r="AB15" s="102">
        <v>-11</v>
      </c>
      <c r="AC15" s="102" t="str">
        <f t="shared" ca="1" si="0"/>
        <v>ANO</v>
      </c>
      <c r="AG15" s="121" t="s">
        <v>726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16 OZ, 3 (1+2), -34 ±</v>
      </c>
      <c r="AY15" s="129" t="str">
        <f t="shared" ca="1" si="2"/>
        <v>16 OZ, 3 (1+2)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1443</v>
      </c>
      <c r="BU15" s="103">
        <v>6</v>
      </c>
      <c r="BV15" s="104" t="str">
        <f t="shared" si="13"/>
        <v>Vojtěch Rusin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/>
      </c>
      <c r="H16" s="422"/>
      <c r="I16" s="422"/>
      <c r="J16" s="423" t="str">
        <f ca="1">IFERROR(VLOOKUP(G14,OFFSET($AG$2,,,COUNTIF($AG$2:$AG$50,"?*"),23),19,FALSE),"")</f>
        <v/>
      </c>
      <c r="K16" s="423"/>
      <c r="L16" s="424"/>
      <c r="S16" s="110" t="s">
        <v>721</v>
      </c>
      <c r="T16" s="102" t="s">
        <v>106</v>
      </c>
      <c r="U16" s="102">
        <v>16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6</v>
      </c>
      <c r="AB16" s="102">
        <v>-17</v>
      </c>
      <c r="AC16" s="102" t="str">
        <f t="shared" ca="1" si="0"/>
        <v>ANO</v>
      </c>
      <c r="AG16" s="121" t="s">
        <v>719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14 OZ, 19 (10+9), -18 ±</v>
      </c>
      <c r="AY16" s="129" t="str">
        <f t="shared" ca="1" si="2"/>
        <v>14 OZ, 19 (10+9)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1000</v>
      </c>
      <c r="BU16" s="103">
        <v>4</v>
      </c>
      <c r="BV16" s="104" t="str">
        <f t="shared" si="13"/>
        <v>Jan Savický</v>
      </c>
      <c r="BW16" s="102">
        <f t="shared" si="14"/>
        <v>4</v>
      </c>
    </row>
    <row r="17" spans="1:75" ht="15" customHeight="1" thickTop="1" thickBot="1" x14ac:dyDescent="0.25">
      <c r="A17" s="425"/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0" t="str">
        <f ca="1">IFERROR(IF(VLOOKUP(G14,OFFSET($AG$2,,,COUNTIF($AG$2:$AG$50,"?*"),23),13,FALSE)&lt;&gt;0,VLOOKUP(G14,OFFSET($AG$2,,,COUNTIF($AG$2:$AG$50,"?*"),23),13,FALSE),"?"),"")</f>
        <v/>
      </c>
      <c r="H17" s="431"/>
      <c r="I17" s="432"/>
      <c r="J17" s="433" t="str">
        <f ca="1">IFERROR(IF(VLOOKUP(G14,OFFSET($AG$2,,,COUNTIF($AG$2:$AG$50,"?*"),23),14,FALSE)&lt;&gt;0,VLOOKUP(G14,OFFSET($AG$2,,,COUNTIF($AG$2:$AG$50,"?*"),23),14,FALSE),"?"),"")</f>
        <v/>
      </c>
      <c r="K17" s="434"/>
      <c r="L17" s="7" t="str">
        <f ca="1">IFERROR(IF(VLOOKUP(G14,OFFSET($AG$2,,,COUNTIF($AG$2:$AG$50,"?*"),23),7,FALSE)&lt;&gt;0,VLOOKUP(G14,OFFSET($AG$2,,,COUNTIF($AG$2:$AG$50,"?*"),23),7,FALSE),"?"),"")</f>
        <v/>
      </c>
      <c r="M17" s="425"/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765</v>
      </c>
      <c r="T17" s="102" t="s">
        <v>57</v>
      </c>
      <c r="U17" s="102">
        <v>15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-29</v>
      </c>
      <c r="AC17" s="102" t="str">
        <f t="shared" ca="1" si="0"/>
        <v>NE</v>
      </c>
      <c r="AG17" s="121" t="s">
        <v>725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16 OZ, 15 (10+5), -28 ±</v>
      </c>
      <c r="AY17" s="129" t="str">
        <f t="shared" ca="1" si="2"/>
        <v>16 OZ, 15 (10+5)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732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8" t="str">
        <f ca="1">IFERROR(IF(VLOOKUP(A17,OFFSET($AG$2,,,COUNTIF($AG$2:$AG$50,"?*"),23),2,FALSE)&lt;&gt;0,YEAR(VLOOKUP(A17,OFFSET($AG$2,,,COUNTIF($AG$2:$AG$50,"?*"),23),2,FALSE)),""),"")</f>
        <v/>
      </c>
      <c r="C18" s="429"/>
      <c r="D18" s="149" t="str">
        <f ca="1">IFERROR(VLOOKUP(A17,OFFSET($AG$2,,,COUNTIF($AG$2:$AG$50,"?*"),23),15,FALSE),"")</f>
        <v/>
      </c>
      <c r="E18" s="419" t="str">
        <f ca="1">IFERROR(VLOOKUP(A17,OFFSET($AG$2,,,COUNTIF($AG$2:$AG$50,"?*"),23),16,FALSE),"")</f>
        <v/>
      </c>
      <c r="F18" s="420"/>
      <c r="M18" s="4" t="str">
        <f ca="1">IFERROR(IF(VLOOKUP(M17,OFFSET($AG$2,,,COUNTIF($AG$2:$AG$50,"?*"),23),10,FALSE)&lt;&gt;0,VLOOKUP(M17,OFFSET($AG$2,,,COUNTIF($AG$2:$AG$50,"?*"),23),10,FALSE),""),"")</f>
        <v/>
      </c>
      <c r="N18" s="428" t="str">
        <f ca="1">IFERROR(IF(VLOOKUP(M17,OFFSET($AG$2,,,COUNTIF($AG$2:$AG$50,"?*"),23),2,FALSE)&lt;&gt;0,YEAR(VLOOKUP(M17,OFFSET($AG$2,,,COUNTIF($AG$2:$AG$50,"?*"),23),2,FALSE)),""),"")</f>
        <v/>
      </c>
      <c r="O18" s="429"/>
      <c r="P18" s="117" t="str">
        <f ca="1">IFERROR(VLOOKUP(M17,OFFSET($AG$2,,,COUNTIF($AG$2:$AG$50,"?*"),23),15,FALSE),"")</f>
        <v/>
      </c>
      <c r="Q18" s="419" t="str">
        <f ca="1">IFERROR(VLOOKUP(M17,OFFSET($AG$2,,,COUNTIF($AG$2:$AG$50,"?*"),23),16,FALSE),"")</f>
        <v/>
      </c>
      <c r="R18" s="420"/>
      <c r="S18" s="110" t="s">
        <v>1435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16 OZ, 14 (9+5), -34 ±</v>
      </c>
      <c r="AY18" s="129" t="str">
        <f t="shared" ca="1" si="2"/>
        <v>16 OZ, 14 (9+5)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733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21" t="str">
        <f ca="1">IFERROR(VLOOKUP(A17,OFFSET($AG$2,,,COUNTIF($AG$2:$AG$50,"?*"),23),18,FALSE),"")</f>
        <v/>
      </c>
      <c r="B19" s="422"/>
      <c r="C19" s="422"/>
      <c r="D19" s="423" t="str">
        <f ca="1">IFERROR(VLOOKUP(A17,OFFSET($AG$2,,,COUNTIF($AG$2:$AG$50,"?*"),23),19,FALSE),"")</f>
        <v/>
      </c>
      <c r="E19" s="423"/>
      <c r="F19" s="424"/>
      <c r="H19" s="435" t="str">
        <f>H$8</f>
        <v>PAR</v>
      </c>
      <c r="I19" s="435"/>
      <c r="J19" s="435"/>
      <c r="K19" s="435"/>
      <c r="M19" s="421" t="str">
        <f ca="1">IFERROR(VLOOKUP(M17,OFFSET($AG$2,,,COUNTIF($AG$2:$AG$50,"?*"),23),18,FALSE),"")</f>
        <v/>
      </c>
      <c r="N19" s="422"/>
      <c r="O19" s="422"/>
      <c r="P19" s="423" t="str">
        <f ca="1">IFERROR(VLOOKUP(M17,OFFSET($AG$2,,,COUNTIF($AG$2:$AG$50,"?*"),23),19,FALSE),"")</f>
        <v/>
      </c>
      <c r="Q19" s="423"/>
      <c r="R19" s="424"/>
      <c r="S19" s="110" t="s">
        <v>835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722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13 OZ, 5 (3+2), -18 ±</v>
      </c>
      <c r="AY19" s="129" t="str">
        <f t="shared" ca="1" si="2"/>
        <v>13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834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/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/>
      </c>
      <c r="E20" s="434"/>
      <c r="F20" s="7" t="str">
        <f ca="1">IFERROR(IF(VLOOKUP(A17,OFFSET($AG$2,,,COUNTIF($AG$2:$AG$50,"?*"),23),7,FALSE)&lt;&gt;0,VLOOKUP(A17,OFFSET($AG$2,,,COUNTIF($AG$2:$AG$50,"?*"),23),7,FALSE),"?"),"")</f>
        <v/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/>
      </c>
      <c r="N20" s="431"/>
      <c r="O20" s="432"/>
      <c r="P20" s="433" t="str">
        <f ca="1">IFERROR(IF(VLOOKUP(M17,OFFSET($AG$2,,,COUNTIF($AG$2:$AG$50,"?*"),23),14,FALSE)&lt;&gt;0,VLOOKUP(M17,OFFSET($AG$2,,,COUNTIF($AG$2:$AG$50,"?*"),23),14,FALSE),"?"),"")</f>
        <v/>
      </c>
      <c r="Q20" s="43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729</v>
      </c>
      <c r="T20" s="102" t="s">
        <v>106</v>
      </c>
      <c r="U20" s="102">
        <v>10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-9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730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724</v>
      </c>
      <c r="U22" s="102">
        <v>14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4" t="s">
        <v>37</v>
      </c>
      <c r="BT22" s="104" t="s">
        <v>1444</v>
      </c>
      <c r="BU22" s="103">
        <v>10</v>
      </c>
      <c r="BV22" s="104" t="str">
        <f t="shared" si="13"/>
        <v>Přemek Pakosta</v>
      </c>
      <c r="BW22" s="102">
        <f t="shared" si="14"/>
        <v>10</v>
      </c>
    </row>
    <row r="23" spans="1:75" ht="15" customHeight="1" thickTop="1" thickBot="1" x14ac:dyDescent="0.25">
      <c r="A23" s="425"/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7" t="s">
        <v>12</v>
      </c>
      <c r="I23" s="427"/>
      <c r="J23" s="427"/>
      <c r="K23" s="427"/>
      <c r="M23" s="425"/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728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4"/>
      <c r="BT23" s="104" t="s">
        <v>1445</v>
      </c>
      <c r="BU23" s="103">
        <v>9</v>
      </c>
      <c r="BV23" s="104" t="str">
        <f t="shared" si="13"/>
        <v>Adam Šmíd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 t="str">
        <f ca="1">IFERROR(IF(VLOOKUP(A23,OFFSET($AG$2,,,COUNTIF($AG$2:$AG$50,"?*"),23),2,FALSE)&lt;&gt;0,YEAR(VLOOKUP(A23,OFFSET($AG$2,,,COUNTIF($AG$2:$AG$50,"?*"),23),2,FALSE)),""),"")</f>
        <v/>
      </c>
      <c r="C24" s="429"/>
      <c r="D24" s="117" t="str">
        <f ca="1">IFERROR(VLOOKUP(A23,OFFSET($AG$2,,,COUNTIF($AG$2:$AG$50,"?*"),23),15,FALSE),"")</f>
        <v/>
      </c>
      <c r="E24" s="419" t="str">
        <f ca="1">IFERROR(VLOOKUP(A23,OFFSET($AG$2,,,COUNTIF($AG$2:$AG$50,"?*"),23),16,FALSE),"")</f>
        <v/>
      </c>
      <c r="F24" s="420"/>
      <c r="M24" s="4" t="str">
        <f ca="1">IFERROR(IF(VLOOKUP(M23,OFFSET($AG$2,,,COUNTIF($AG$2:$AG$50,"?*"),23),10,FALSE)&lt;&gt;0,VLOOKUP(M23,OFFSET($AG$2,,,COUNTIF($AG$2:$AG$50,"?*"),23),10,FALSE),""),"")</f>
        <v/>
      </c>
      <c r="N24" s="428" t="str">
        <f ca="1">IFERROR(IF(VLOOKUP(M23,OFFSET($AG$2,,,COUNTIF($AG$2:$AG$50,"?*"),23),2,FALSE)&lt;&gt;0,YEAR(VLOOKUP(M23,OFFSET($AG$2,,,COUNTIF($AG$2:$AG$50,"?*"),23),2,FALSE)),""),"")</f>
        <v/>
      </c>
      <c r="O24" s="429"/>
      <c r="P24" s="117" t="str">
        <f ca="1">IFERROR(VLOOKUP(M23,OFFSET($AG$2,,,COUNTIF($AG$2:$AG$50,"?*"),23),15,FALSE),"")</f>
        <v/>
      </c>
      <c r="Q24" s="419" t="str">
        <f ca="1">IFERROR(VLOOKUP(M23,OFFSET($AG$2,,,COUNTIF($AG$2:$AG$50,"?*"),23),16,FALSE),"")</f>
        <v/>
      </c>
      <c r="R24" s="420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4"/>
      <c r="BT24" s="104" t="s">
        <v>1110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21" t="str">
        <f ca="1">IFERROR(VLOOKUP(A23,OFFSET($AG$2,,,COUNTIF($AG$2:$AG$50,"?*"),23),18,FALSE),"")</f>
        <v/>
      </c>
      <c r="B25" s="422"/>
      <c r="C25" s="422"/>
      <c r="D25" s="423" t="str">
        <f ca="1">IFERROR(VLOOKUP(A23,OFFSET($AG$2,,,COUNTIF($AG$2:$AG$50,"?*"),23),19,FALSE),"")</f>
        <v/>
      </c>
      <c r="E25" s="423"/>
      <c r="F25" s="424"/>
      <c r="G25" s="425"/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1" t="str">
        <f ca="1">IFERROR(VLOOKUP(M23,OFFSET($AG$2,,,COUNTIF($AG$2:$AG$50,"?*"),23),18,FALSE),"")</f>
        <v/>
      </c>
      <c r="N25" s="422"/>
      <c r="O25" s="422"/>
      <c r="P25" s="423" t="str">
        <f ca="1">IFERROR(VLOOKUP(M23,OFFSET($AG$2,,,COUNTIF($AG$2:$AG$50,"?*"),23),19,FALSE),"")</f>
        <v/>
      </c>
      <c r="Q25" s="423"/>
      <c r="R25" s="424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4"/>
      <c r="BT25" s="104" t="s">
        <v>1446</v>
      </c>
      <c r="BU25" s="103">
        <v>5</v>
      </c>
      <c r="BV25" s="104" t="str">
        <f t="shared" si="13"/>
        <v>Matyáš Velc</v>
      </c>
      <c r="BW25" s="102">
        <f t="shared" si="14"/>
        <v>5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/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/>
      </c>
      <c r="E26" s="43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8" t="str">
        <f ca="1">IFERROR(IF(VLOOKUP(G25,OFFSET($AG$2,,,COUNTIF($AG$2:$AG$50,"?*"),23),2,FALSE)&lt;&gt;0,YEAR(VLOOKUP(G25,OFFSET($AG$2,,,COUNTIF($AG$2:$AG$50,"?*"),23),2,FALSE)),""),"")</f>
        <v/>
      </c>
      <c r="I26" s="429"/>
      <c r="J26" s="117" t="str">
        <f ca="1">IFERROR(VLOOKUP(G25,OFFSET($AG$2,,,COUNTIF($AG$2:$AG$50,"?*"),23),15,FALSE),"")</f>
        <v/>
      </c>
      <c r="K26" s="419" t="str">
        <f ca="1">IFERROR(VLOOKUP(G25,OFFSET($AG$2,,,COUNTIF($AG$2:$AG$50,"?*"),23),16,FALSE),"")</f>
        <v/>
      </c>
      <c r="L26" s="420"/>
      <c r="M26" s="430" t="str">
        <f ca="1">IFERROR(IF(VLOOKUP(M23,OFFSET($AG$2,,,COUNTIF($AG$2:$AG$50,"?*"),23),13,FALSE)&lt;&gt;0,VLOOKUP(M23,OFFSET($AG$2,,,COUNTIF($AG$2:$AG$50,"?*"),23),13,FALSE),"?"),"")</f>
        <v/>
      </c>
      <c r="N26" s="431"/>
      <c r="O26" s="432"/>
      <c r="P26" s="433" t="str">
        <f ca="1">IFERROR(IF(VLOOKUP(M23,OFFSET($AG$2,,,COUNTIF($AG$2:$AG$50,"?*"),23),14,FALSE)&lt;&gt;0,VLOOKUP(M23,OFFSET($AG$2,,,COUNTIF($AG$2:$AG$50,"?*"),23),14,FALSE),"?"),"")</f>
        <v/>
      </c>
      <c r="Q26" s="43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4"/>
      <c r="BT26" s="104" t="s">
        <v>1000</v>
      </c>
      <c r="BU26" s="103">
        <v>4</v>
      </c>
      <c r="BV26" s="104" t="str">
        <f t="shared" si="13"/>
        <v>Jan Savický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/>
      </c>
      <c r="H27" s="422"/>
      <c r="I27" s="422"/>
      <c r="J27" s="423" t="str">
        <f ca="1">IFERROR(VLOOKUP(G25,OFFSET($AG$2,,,COUNTIF($AG$2:$AG$50,"?*"),23),19,FALSE),"")</f>
        <v/>
      </c>
      <c r="K27" s="423"/>
      <c r="L27" s="424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4" t="s">
        <v>38</v>
      </c>
      <c r="BT27" s="104" t="s">
        <v>1108</v>
      </c>
      <c r="BU27" s="103">
        <v>33</v>
      </c>
      <c r="BV27" s="104" t="str">
        <f t="shared" si="13"/>
        <v>Adam Šmíd</v>
      </c>
      <c r="BW27" s="102">
        <f t="shared" si="14"/>
        <v>33</v>
      </c>
    </row>
    <row r="28" spans="1:75" ht="15" customHeight="1" thickTop="1" thickBot="1" x14ac:dyDescent="0.25">
      <c r="A28" s="425"/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/>
      </c>
      <c r="H28" s="431"/>
      <c r="I28" s="432"/>
      <c r="J28" s="433" t="str">
        <f ca="1">IFERROR(IF(VLOOKUP(G25,OFFSET($AG$2,,,COUNTIF($AG$2:$AG$50,"?*"),23),14,FALSE)&lt;&gt;0,VLOOKUP(G25,OFFSET($AG$2,,,COUNTIF($AG$2:$AG$50,"?*"),23),14,FALSE),"?"),"")</f>
        <v/>
      </c>
      <c r="K28" s="434"/>
      <c r="L28" s="7" t="str">
        <f ca="1">IFERROR(IF(VLOOKUP(G25,OFFSET($AG$2,,,COUNTIF($AG$2:$AG$50,"?*"),23),7,FALSE)&lt;&gt;0,VLOOKUP(G25,OFFSET($AG$2,,,COUNTIF($AG$2:$AG$50,"?*"),23),7,FALSE),"?"),"")</f>
        <v/>
      </c>
      <c r="M28" s="425"/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4"/>
      <c r="BT28" s="104" t="s">
        <v>1270</v>
      </c>
      <c r="BU28" s="103">
        <v>12</v>
      </c>
      <c r="BV28" s="104" t="str">
        <f t="shared" si="13"/>
        <v>Vojtěch Klein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/>
      </c>
      <c r="E29" s="419" t="str">
        <f ca="1">IFERROR(VLOOKUP(A28,OFFSET($AG$2,,,COUNTIF($AG$2:$AG$50,"?*"),23),16,FALSE),"")</f>
        <v/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4"/>
      <c r="BT29" s="104" t="s">
        <v>1110</v>
      </c>
      <c r="BU29" s="103">
        <v>6</v>
      </c>
      <c r="BV29" s="104" t="str">
        <f t="shared" si="13"/>
        <v>Ivo Teichman</v>
      </c>
      <c r="BW29" s="102">
        <f t="shared" si="14"/>
        <v>6</v>
      </c>
    </row>
    <row r="30" spans="1:75" ht="15" customHeight="1" x14ac:dyDescent="0.2">
      <c r="A30" s="421" t="str">
        <f ca="1">IFERROR(VLOOKUP(A28,OFFSET($AG$2,,,COUNTIF($AG$2:$AG$50,"?*"),23),18,FALSE),"")</f>
        <v/>
      </c>
      <c r="B30" s="422"/>
      <c r="C30" s="422"/>
      <c r="D30" s="423" t="str">
        <f ca="1">IFERROR(VLOOKUP(A28,OFFSET($AG$2,,,COUNTIF($AG$2:$AG$50,"?*"),23),19,FALSE),"")</f>
        <v/>
      </c>
      <c r="E30" s="423"/>
      <c r="F30" s="424"/>
      <c r="H30" s="435" t="str">
        <f>H$8</f>
        <v>PAR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4"/>
      <c r="BT30" s="104" t="s">
        <v>1447</v>
      </c>
      <c r="BU30" s="103">
        <v>6</v>
      </c>
      <c r="BV30" s="104" t="str">
        <f t="shared" si="13"/>
        <v>Lukáš Prix</v>
      </c>
      <c r="BW30" s="102">
        <f t="shared" si="14"/>
        <v>6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/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/>
      </c>
      <c r="E31" s="434"/>
      <c r="F31" s="7" t="str">
        <f ca="1">IFERROR(IF(VLOOKUP(A28,OFFSET($AG$2,,,COUNTIF($AG$2:$AG$50,"?*"),23),7,FALSE)&lt;&gt;0,VLOOKUP(A28,OFFSET($AG$2,,,COUNTIF($AG$2:$AG$50,"?*"),23),7,FALSE),"?"),"")</f>
        <v/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4"/>
      <c r="BT31" s="104" t="s">
        <v>1448</v>
      </c>
      <c r="BU31" s="103">
        <v>6</v>
      </c>
      <c r="BV31" s="104" t="str">
        <f t="shared" si="13"/>
        <v>Patrik Petr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5"/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6" t="s">
        <v>15</v>
      </c>
      <c r="J34" s="425"/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8" t="str">
        <f ca="1">IFERROR(IF(VLOOKUP(A34,OFFSET($AG$2,,,COUNTIF($AG$2:$AG$50,"?*"),23),2,FALSE)&lt;&gt;0,YEAR(VLOOKUP(A34,OFFSET($AG$2,,,COUNTIF($AG$2:$AG$50,"?*"),23),2,FALSE)),""),"")</f>
        <v/>
      </c>
      <c r="C35" s="429"/>
      <c r="D35" s="117" t="str">
        <f ca="1">IFERROR(VLOOKUP(A34,OFFSET($AG$2,,,COUNTIF($AG$2:$AG$50,"?*"),23),15,FALSE),"")</f>
        <v/>
      </c>
      <c r="E35" s="419" t="str">
        <f ca="1">IFERROR(VLOOKUP(A34,OFFSET($AG$2,,,COUNTIF($AG$2:$AG$50,"?*"),23),16,FALSE),"")</f>
        <v/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/>
      </c>
      <c r="K35" s="429" t="str">
        <f ca="1">IFERROR(IF(VLOOKUP(J34,OFFSET($AG$2,,,COUNTIF($AG$2:$AG$50,"?*"),23),2,FALSE)&lt;&gt;0,YEAR(VLOOKUP(J34,OFFSET($AG$2,,,COUNTIF($AG$2:$AG$50,"?*"),23),2,FALSE)),""),"")</f>
        <v/>
      </c>
      <c r="L35" s="437"/>
      <c r="M35" s="118" t="str">
        <f ca="1">IFERROR(VLOOKUP(J34,OFFSET($AG$2,,,COUNTIF($AG$2:$AG$50,"?*"),23),15,FALSE),"")</f>
        <v/>
      </c>
      <c r="N35" s="437" t="str">
        <f ca="1">IFERROR(VLOOKUP(J34,OFFSET($AG$2,,,COUNTIF($AG$2:$AG$50,"?*"),23),16,FALSE),"")</f>
        <v/>
      </c>
      <c r="O35" s="437"/>
      <c r="P35" s="437" t="str">
        <f ca="1">IFERROR(VLOOKUP(J34,OFFSET($AG$2,,,COUNTIF($AG$2:$AG$50,"?*"),23),18,FALSE),"")</f>
        <v/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5" t="str">
        <f ca="1">IFERROR(VLOOKUP(A34,OFFSET($AG$2,,,COUNTIF($AG$2:$AG$50,"?*"),23),18,FALSE),"")</f>
        <v/>
      </c>
      <c r="C36" s="445"/>
      <c r="D36" s="446" t="str">
        <f ca="1">IFERROR(VLOOKUP(A34,OFFSET($S$45,,,COUNTIF($S$45:$S$50,"?*"),14),5,FALSE),"")</f>
        <v/>
      </c>
      <c r="E36" s="447"/>
      <c r="F36" s="17" t="str">
        <f ca="1">IFERROR(VLOOKUP(A34,OFFSET($S$45,,,COUNTIF($S$45:$S$50,"?*"),14),14,FALSE),"")</f>
        <v/>
      </c>
      <c r="H36" s="436"/>
      <c r="J36" s="18" t="str">
        <f ca="1">IFERROR(IF(VLOOKUP(J34,OFFSET($AG$2,,,COUNTIF($AG$2:$AG$50,"?*"),23),7,FALSE)&lt;&gt;0,VLOOKUP(J34,OFFSET($AG$2,,,COUNTIF($AG$2:$AG$50,"?*"),23),7,FALSE),"?"),"")</f>
        <v/>
      </c>
      <c r="K36" s="448" t="str">
        <f ca="1">IFERROR(VLOOKUP(J34,OFFSET($AG$2,,,COUNTIF($AG$2:$AG$50,"?*"),23),19,FALSE),"")</f>
        <v/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/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/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 t="str">
        <f ca="1">IFERROR(VLOOKUP(A34,OFFSET($S$45,,,COUNTIF($S$45:$S$50,"?*"),14),3,FALSE),"")</f>
        <v/>
      </c>
      <c r="B37" s="439"/>
      <c r="C37" s="440" t="str">
        <f ca="1">IFERROR(VLOOKUP(A34,OFFSET($S$45,,,COUNTIF($S$45:$S$50,"?*"),14),13,FALSE),"")</f>
        <v/>
      </c>
      <c r="D37" s="441"/>
      <c r="E37" s="442" t="str">
        <f ca="1">IFERROR(VLOOKUP(A34,OFFSET($AG$2,,,COUNTIF($AG$2:$AG$50,"?*"),23),19,FALSE),"")</f>
        <v/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/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/>
      </c>
      <c r="E38" s="434"/>
      <c r="F38" s="19" t="str">
        <f ca="1">IFERROR(VLOOKUP(A34,OFFSET($S$45,,,COUNTIF($S$45:$S$50,"?*"),14),6,FALSE),"")</f>
        <v/>
      </c>
      <c r="H38" s="436"/>
      <c r="J38" s="425"/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 t="str">
        <f ca="1">IFERROR(IF(VLOOKUP(J38,OFFSET($AG$2,,,COUNTIF($AG$2:$AG$50,"?*"),23),2,FALSE)&lt;&gt;0,YEAR(VLOOKUP(J38,OFFSET($AG$2,,,COUNTIF($AG$2:$AG$50,"?*"),23),2,FALSE)),""),"")</f>
        <v/>
      </c>
      <c r="L39" s="437"/>
      <c r="M39" s="150" t="str">
        <f ca="1">IFERROR(VLOOKUP(J38,OFFSET($AG$2,,,COUNTIF($AG$2:$AG$50,"?*"),23),15,FALSE),"")</f>
        <v/>
      </c>
      <c r="N39" s="437" t="str">
        <f ca="1">IFERROR(VLOOKUP(J38,OFFSET($AG$2,,,COUNTIF($AG$2:$AG$50,"?*"),23),16,FALSE),"")</f>
        <v/>
      </c>
      <c r="O39" s="437"/>
      <c r="P39" s="437" t="str">
        <f ca="1">IFERROR(VLOOKUP(J38,OFFSET($AG$2,,,COUNTIF($AG$2:$AG$50,"?*"),23),18,FALSE),"")</f>
        <v/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/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6"/>
      <c r="J40" s="18" t="str">
        <f ca="1">IFERROR(IF(VLOOKUP(J38,OFFSET($AG$2,,,COUNTIF($AG$2:$AG$50,"?*"),23),7,FALSE)&lt;&gt;0,VLOOKUP(J38,OFFSET($AG$2,,,COUNTIF($AG$2:$AG$50,"?*"),23),7,FALSE),"?"),"")</f>
        <v/>
      </c>
      <c r="K40" s="448" t="str">
        <f ca="1">IFERROR(VLOOKUP(J38,OFFSET($AG$2,,,COUNTIF($AG$2:$AG$50,"?*"),23),19,FALSE),"")</f>
        <v/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/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/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8" t="str">
        <f ca="1">IFERROR(IF(VLOOKUP(A40,OFFSET($AG$2,,,COUNTIF($AG$2:$AG$50,"?*"),23),2,FALSE)&lt;&gt;0,YEAR(VLOOKUP(A40,OFFSET($AG$2,,,COUNTIF($AG$2:$AG$50,"?*"),23),2,FALSE)),""),"")</f>
        <v/>
      </c>
      <c r="C41" s="429"/>
      <c r="D41" s="117" t="str">
        <f ca="1">IFERROR(VLOOKUP(A40,OFFSET($AG$2,,,COUNTIF($AG$2:$AG$50,"?*"),23),15,FALSE),"")</f>
        <v/>
      </c>
      <c r="E41" s="419" t="str">
        <f ca="1">IFERROR(VLOOKUP(A40,OFFSET($AG$2,,,COUNTIF($AG$2:$AG$50,"?*"),23),16,FALSE),"")</f>
        <v/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5" t="str">
        <f ca="1">IFERROR(VLOOKUP(A40,OFFSET($AG$2,,,COUNTIF($AG$2:$AG$50,"?*"),23),18,FALSE),"")</f>
        <v/>
      </c>
      <c r="C42" s="445"/>
      <c r="D42" s="446" t="str">
        <f ca="1">IFERROR(VLOOKUP(A40,OFFSET($S$45,,,COUNTIF($S$45:$S$50,"?*"),14),5,FALSE),"")</f>
        <v/>
      </c>
      <c r="E42" s="447"/>
      <c r="F42" s="17" t="str">
        <f ca="1">IFERROR(VLOOKUP(A40,OFFSET($S$45,,,COUNTIF($S$45:$S$50,"?*"),14),14,FALSE),"")</f>
        <v/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 t="str">
        <f ca="1">IFERROR(VLOOKUP(A40,OFFSET($S$45,,,COUNTIF($S$45:$S$50,"?*"),14),3,FALSE),"")</f>
        <v/>
      </c>
      <c r="B43" s="439"/>
      <c r="C43" s="440" t="str">
        <f ca="1">IFERROR(VLOOKUP(A40,OFFSET($S$45,,,COUNTIF($S$45:$S$50,"?*"),14),13,FALSE),"")</f>
        <v/>
      </c>
      <c r="D43" s="441"/>
      <c r="E43" s="442" t="str">
        <f ca="1">IFERROR(VLOOKUP(A40,OFFSET($AG$2,,,COUNTIF($AG$2:$AG$50,"?*"),23),19,FALSE),"")</f>
        <v/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/>
      </c>
      <c r="B44" s="431"/>
      <c r="C44" s="432"/>
      <c r="D44" s="433" t="str">
        <f ca="1">IFERROR(IF(VLOOKUP(A40,OFFSET($AG$2,,,COUNTIF($AG$2:$AG$50,"?*"),23),14,FALSE)&lt;&gt;0,VLOOKUP(A40,OFFSET($AG$2,,,COUNTIF($AG$2:$AG$50,"?*"),23),14,FALSE),"?"),"")</f>
        <v/>
      </c>
      <c r="E44" s="434"/>
      <c r="F44" s="19" t="str">
        <f ca="1">IFERROR(VLOOKUP(A40,OFFSET($S$45,,,COUNTIF($S$45:$S$50,"?*"),14),6,FALSE),"")</f>
        <v/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728</v>
      </c>
      <c r="T45" s="102">
        <v>13</v>
      </c>
      <c r="U45" s="112">
        <v>670.43</v>
      </c>
      <c r="V45" s="102">
        <v>2</v>
      </c>
      <c r="W45" s="102">
        <v>87</v>
      </c>
      <c r="X45" s="102">
        <v>0</v>
      </c>
      <c r="Y45" s="102">
        <v>325</v>
      </c>
      <c r="Z45" s="102">
        <v>0</v>
      </c>
      <c r="AA45" s="102">
        <v>11</v>
      </c>
      <c r="AB45" s="102">
        <v>238</v>
      </c>
      <c r="AC45" s="102">
        <v>0</v>
      </c>
      <c r="AD45" s="102">
        <v>0</v>
      </c>
      <c r="AE45" s="112">
        <f>IF(S45&lt;&gt;"",IF(T45&gt;0,W45/(U45/60),0),"")</f>
        <v>7.7860477603925844</v>
      </c>
      <c r="AF45" s="112">
        <f>IF(S45&lt;&gt;"",IF(Y45&gt;0,(AB45/Y45)*100,"-"),"")</f>
        <v>73.230769230769226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730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51</v>
      </c>
      <c r="Z46" s="102">
        <v>0</v>
      </c>
      <c r="AA46" s="102">
        <v>3</v>
      </c>
      <c r="AB46" s="102">
        <v>38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74.509803921568633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/>
      <c r="B47" s="466"/>
      <c r="C47" s="466"/>
      <c r="D47" s="466"/>
      <c r="E47" s="461" t="str">
        <f ca="1">IFERROR(VLOOKUP(A47,OFFSET($BN$2,,,COUNTIF($BN$2:$BN$11,"?*"),5),3,FALSE),"")</f>
        <v/>
      </c>
      <c r="F47" s="461"/>
      <c r="G47" s="461"/>
      <c r="H47" s="461"/>
      <c r="I47" s="462"/>
      <c r="J47" s="465"/>
      <c r="K47" s="466"/>
      <c r="L47" s="466"/>
      <c r="M47" s="466"/>
      <c r="N47" s="461" t="str">
        <f ca="1">IFERROR(VLOOKUP(J47,OFFSET($BN$2,,,COUNTIF($BN$2:$BN$11,"?*"),5),3,FALSE),"")</f>
        <v/>
      </c>
      <c r="O47" s="461"/>
      <c r="P47" s="461"/>
      <c r="Q47" s="461"/>
      <c r="R47" s="462"/>
      <c r="S47" s="111" t="s">
        <v>835</v>
      </c>
      <c r="T47" s="102">
        <v>3</v>
      </c>
      <c r="U47" s="112">
        <v>178.4</v>
      </c>
      <c r="V47" s="102">
        <v>0</v>
      </c>
      <c r="W47" s="102">
        <v>28</v>
      </c>
      <c r="X47" s="102">
        <v>0</v>
      </c>
      <c r="Y47" s="102">
        <v>93</v>
      </c>
      <c r="Z47" s="102">
        <v>0</v>
      </c>
      <c r="AA47" s="102">
        <v>3</v>
      </c>
      <c r="AB47" s="102">
        <v>65</v>
      </c>
      <c r="AC47" s="102">
        <v>0</v>
      </c>
      <c r="AD47" s="102">
        <v>0</v>
      </c>
      <c r="AE47" s="112">
        <f t="shared" si="25"/>
        <v>9.4170403587443943</v>
      </c>
      <c r="AF47" s="112">
        <f t="shared" si="26"/>
        <v>69.892473118279568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 t="str">
        <f ca="1">IFERROR(VLOOKUP(A47,OFFSET($BN$2,,,COUNTIF($BN$2:$BN$11,"?*"),5),5,FALSE),"")</f>
        <v/>
      </c>
      <c r="B48" s="453" t="str">
        <f ca="1">IFERROR(IF(VLOOKUP(A47,OFFSET($BN$2,,,COUNTIF($BN$2:$BN$11,"?*"),5),4,FALSE)&lt;&gt;0,VLOOKUP(A47,OFFSET($BN$2,,,COUNTIF($BN$2:$BN$11,"?*"),5),4,FALSE),"-"),"")</f>
        <v/>
      </c>
      <c r="C48" s="453"/>
      <c r="D48" s="453"/>
      <c r="E48" s="453"/>
      <c r="F48" s="453"/>
      <c r="G48" s="453"/>
      <c r="H48" s="453"/>
      <c r="I48" s="454"/>
      <c r="J48" s="119" t="str">
        <f ca="1">IFERROR(VLOOKUP(J47,OFFSET($BN$2,,,COUNTIF($BN$2:$BN$11,"?*"),5),5,FALSE),"")</f>
        <v/>
      </c>
      <c r="K48" s="457" t="str">
        <f ca="1">IFERROR(IF(VLOOKUP(J47,OFFSET($BN$2,,,COUNTIF($BN$2:$BN$11,"?*"),5),4,FALSE)&lt;&gt;0,VLOOKUP(J47,OFFSET($BN$2,,,COUNTIF($BN$2:$BN$11,"?*"),5),4,FALSE),"-"),"")</f>
        <v/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/>
      <c r="K49" s="460"/>
      <c r="L49" s="460"/>
      <c r="M49" s="460"/>
      <c r="N49" s="461" t="str">
        <f ca="1">IFERROR(VLOOKUP(J49,OFFSET($BN$2,,,COUNTIF($BN$2:$BN$11,"?*"),5),3,FALSE),"")</f>
        <v/>
      </c>
      <c r="O49" s="461"/>
      <c r="P49" s="461"/>
      <c r="Q49" s="461"/>
      <c r="R49" s="462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 t="str">
        <f ca="1">IFERROR(VLOOKUP(J49,OFFSET($BN$2,,,COUNTIF($BN$2:$BN$11,"?*"),5),5,FALSE),"")</f>
        <v/>
      </c>
      <c r="K50" s="457" t="str">
        <f ca="1">IFERROR(IF(VLOOKUP(J49,OFFSET($BN$2,,,COUNTIF($BN$2:$BN$11,"?*"),5),4,FALSE)&lt;&gt;0,VLOOKUP(J49,OFFSET($BN$2,,,COUNTIF($BN$2:$BN$11,"?*"),5),4,FALSE),"-"),"")</f>
        <v/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19" priority="11" stopIfTrue="1" operator="equal">
      <formula>"OTR"</formula>
    </cfRule>
    <cfRule type="cellIs" dxfId="218" priority="12" stopIfTrue="1" operator="equal">
      <formula>"PAR"</formula>
    </cfRule>
    <cfRule type="cellIs" dxfId="217" priority="13" stopIfTrue="1" operator="equal">
      <formula>"CLP"</formula>
    </cfRule>
    <cfRule type="cellIs" dxfId="216" priority="14" stopIfTrue="1" operator="equal">
      <formula>"HAT"</formula>
    </cfRule>
    <cfRule type="cellIs" dxfId="215" priority="15" stopIfTrue="1" operator="equal">
      <formula>"LIB"</formula>
    </cfRule>
    <cfRule type="cellIs" dxfId="214" priority="16" stopIfTrue="1" operator="equal">
      <formula>"BA"</formula>
    </cfRule>
    <cfRule type="cellIs" dxfId="213" priority="17" stopIfTrue="1" operator="equal">
      <formula>"SPA"</formula>
    </cfRule>
    <cfRule type="cellIs" dxfId="212" priority="18" stopIfTrue="1" operator="equal">
      <formula>"OST"</formula>
    </cfRule>
    <cfRule type="cellIs" dxfId="211" priority="19" stopIfTrue="1" operator="equal">
      <formula>"BOH"</formula>
    </cfRule>
    <cfRule type="cellIs" dxfId="210" priority="20" stopIfTrue="1" operator="equal">
      <formula>"TAT"</formula>
    </cfRule>
    <cfRule type="cellIs" dxfId="209" priority="21" stopIfTrue="1" operator="equal">
      <formula>"MB"</formula>
    </cfRule>
    <cfRule type="cellIs" dxfId="208" priority="22" stopIfTrue="1" operator="equal">
      <formula>"VIT"</formula>
    </cfRule>
    <cfRule type="cellIs" dxfId="207" priority="23" stopIfTrue="1" operator="equal">
      <formula>"CHO"</formula>
    </cfRule>
    <cfRule type="cellIs" dxfId="206" priority="24" stopIfTrue="1" operator="equal">
      <formula>"SKV"</formula>
    </cfRule>
  </conditionalFormatting>
  <conditionalFormatting sqref="H19:K20">
    <cfRule type="cellIs" dxfId="205" priority="39" stopIfTrue="1" operator="equal">
      <formula>"OTR"</formula>
    </cfRule>
    <cfRule type="cellIs" dxfId="204" priority="40" stopIfTrue="1" operator="equal">
      <formula>"PAR"</formula>
    </cfRule>
    <cfRule type="cellIs" dxfId="203" priority="41" stopIfTrue="1" operator="equal">
      <formula>"CLP"</formula>
    </cfRule>
    <cfRule type="cellIs" dxfId="202" priority="42" stopIfTrue="1" operator="equal">
      <formula>"HAT"</formula>
    </cfRule>
    <cfRule type="cellIs" dxfId="201" priority="43" stopIfTrue="1" operator="equal">
      <formula>"LIB"</formula>
    </cfRule>
    <cfRule type="cellIs" dxfId="200" priority="44" stopIfTrue="1" operator="equal">
      <formula>"BA"</formula>
    </cfRule>
    <cfRule type="cellIs" dxfId="199" priority="45" stopIfTrue="1" operator="equal">
      <formula>"SPA"</formula>
    </cfRule>
    <cfRule type="cellIs" dxfId="198" priority="46" stopIfTrue="1" operator="equal">
      <formula>"OST"</formula>
    </cfRule>
    <cfRule type="cellIs" dxfId="197" priority="47" stopIfTrue="1" operator="equal">
      <formula>"BOH"</formula>
    </cfRule>
    <cfRule type="cellIs" dxfId="196" priority="48" stopIfTrue="1" operator="equal">
      <formula>"TAT"</formula>
    </cfRule>
    <cfRule type="cellIs" dxfId="195" priority="49" stopIfTrue="1" operator="equal">
      <formula>"MB"</formula>
    </cfRule>
    <cfRule type="cellIs" dxfId="194" priority="50" stopIfTrue="1" operator="equal">
      <formula>"VIT"</formula>
    </cfRule>
    <cfRule type="cellIs" dxfId="193" priority="51" stopIfTrue="1" operator="equal">
      <formula>"CHO"</formula>
    </cfRule>
    <cfRule type="cellIs" dxfId="192" priority="52" stopIfTrue="1" operator="equal">
      <formula>"SKV"</formula>
    </cfRule>
  </conditionalFormatting>
  <conditionalFormatting sqref="H8:K9">
    <cfRule type="cellIs" dxfId="191" priority="25" stopIfTrue="1" operator="equal">
      <formula>"OTR"</formula>
    </cfRule>
    <cfRule type="cellIs" dxfId="190" priority="26" stopIfTrue="1" operator="equal">
      <formula>"PAR"</formula>
    </cfRule>
    <cfRule type="cellIs" dxfId="189" priority="27" stopIfTrue="1" operator="equal">
      <formula>"CLP"</formula>
    </cfRule>
    <cfRule type="cellIs" dxfId="188" priority="28" stopIfTrue="1" operator="equal">
      <formula>"HAT"</formula>
    </cfRule>
    <cfRule type="cellIs" dxfId="187" priority="29" stopIfTrue="1" operator="equal">
      <formula>"LIB"</formula>
    </cfRule>
    <cfRule type="cellIs" dxfId="186" priority="30" stopIfTrue="1" operator="equal">
      <formula>"BA"</formula>
    </cfRule>
    <cfRule type="cellIs" dxfId="185" priority="31" stopIfTrue="1" operator="equal">
      <formula>"SPA"</formula>
    </cfRule>
    <cfRule type="cellIs" dxfId="184" priority="32" stopIfTrue="1" operator="equal">
      <formula>"OST"</formula>
    </cfRule>
    <cfRule type="cellIs" dxfId="183" priority="33" stopIfTrue="1" operator="equal">
      <formula>"BOH"</formula>
    </cfRule>
    <cfRule type="cellIs" dxfId="182" priority="34" stopIfTrue="1" operator="equal">
      <formula>"TAT"</formula>
    </cfRule>
    <cfRule type="cellIs" dxfId="181" priority="35" stopIfTrue="1" operator="equal">
      <formula>"MB"</formula>
    </cfRule>
    <cfRule type="cellIs" dxfId="180" priority="36" stopIfTrue="1" operator="equal">
      <formula>"VIT"</formula>
    </cfRule>
    <cfRule type="cellIs" dxfId="179" priority="37" stopIfTrue="1" operator="equal">
      <formula>"CHO"</formula>
    </cfRule>
    <cfRule type="cellIs" dxfId="178" priority="38" stopIfTrue="1" operator="equal">
      <formula>"SKV"</formula>
    </cfRule>
  </conditionalFormatting>
  <conditionalFormatting sqref="S2:S42">
    <cfRule type="expression" dxfId="177" priority="9" stopIfTrue="1">
      <formula>IFERROR(IF(VLOOKUP($S2,OFFSET($AG$2,,,COUNTIF($AG$2:$AG$50,"?*")),1,FALSE)&lt;&gt;0,1,0),0)&gt;0</formula>
    </cfRule>
  </conditionalFormatting>
  <conditionalFormatting sqref="S2:S42">
    <cfRule type="expression" dxfId="176" priority="10">
      <formula>IFERROR(IF(VLOOKUP($S2,OFFSET($AG$2,,,COUNTIF($AG$2:$AG$50,"?*")),1,FALSE)&lt;&gt;0,1,0),0)=0</formula>
    </cfRule>
  </conditionalFormatting>
  <conditionalFormatting sqref="S45:S50">
    <cfRule type="expression" dxfId="175" priority="8">
      <formula>IFERROR(IF(VLOOKUP($S45,OFFSET($AG$2,,,COUNTIF($AG$2:$AG$50,"?*")),1,FALSE)&lt;&gt;0,1,0),0)&gt;0</formula>
    </cfRule>
  </conditionalFormatting>
  <conditionalFormatting sqref="S45:S50">
    <cfRule type="expression" dxfId="174" priority="7">
      <formula>IFERROR(IF(VLOOKUP($S45,OFFSET($AG$2,,,COUNTIF($AG$2:$AG$50,"?*")),1,FALSE)&lt;&gt;0,1,0),0)=0</formula>
    </cfRule>
  </conditionalFormatting>
  <conditionalFormatting sqref="AG2:AG50">
    <cfRule type="expression" dxfId="173" priority="4" stopIfTrue="1">
      <formula>OR($AH2="",$AI2="",$AJ2="",$AK2="",$AL2="",$AM2="",$AN2="",$AQ2="",$AR2="",$AS2="",$AT2="")</formula>
    </cfRule>
    <cfRule type="expression" dxfId="172" priority="5" stopIfTrue="1">
      <formula>IFERROR(IF(VLOOKUP($AG2,OFFSET($S$2,,,COUNTIF($S$2:$S$42,"?*")),1,FALSE)&lt;&gt;0,1,0),0)=0</formula>
    </cfRule>
    <cfRule type="expression" dxfId="171" priority="6">
      <formula>IFERROR(IF(VLOOKUP($AG2,OFFSET($S$2,,,COUNTIF($S$2:$S$42,"?*")),1,FALSE)&lt;&gt;0,1,0),0)&gt;0</formula>
    </cfRule>
  </conditionalFormatting>
  <conditionalFormatting sqref="AG2:AK50 AM2:BC50">
    <cfRule type="expression" dxfId="170" priority="3">
      <formula>AND($AG2&lt;&gt;"",MOD(ROW($AG2),2)=0)</formula>
    </cfRule>
  </conditionalFormatting>
  <conditionalFormatting sqref="BN2:BR11">
    <cfRule type="expression" dxfId="169" priority="2">
      <formula>AND($BN2&lt;&gt;"",MOD(ROW($BN2),2)=0)</formula>
    </cfRule>
  </conditionalFormatting>
  <conditionalFormatting sqref="AL2:AL50">
    <cfRule type="expression" dxfId="168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W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/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7" t="s">
        <v>1</v>
      </c>
      <c r="I1" s="427"/>
      <c r="J1" s="427"/>
      <c r="K1" s="427"/>
      <c r="M1" s="425"/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8" t="str">
        <f ca="1">IFERROR(IF(VLOOKUP(A1,OFFSET($AG$2,,,COUNTIF($AG$2:$AG$50,"?*"),23),2,FALSE)&lt;&gt;0,YEAR(VLOOKUP(A1,OFFSET($AG$2,,,COUNTIF($AG$2:$AG$50,"?*"),23),2,FALSE)),""),"")</f>
        <v/>
      </c>
      <c r="C2" s="429"/>
      <c r="D2" s="117" t="str">
        <f ca="1">IFERROR(VLOOKUP(A1,OFFSET($AG$2,,,COUNTIF($AG$2:$AG$50,"?*"),23),15,FALSE),"")</f>
        <v/>
      </c>
      <c r="E2" s="419" t="str">
        <f ca="1">IFERROR(VLOOKUP(A1,OFFSET($AG$2,,,COUNTIF($AG$2:$AG$50,"?*"),23),16,FALSE),"")</f>
        <v/>
      </c>
      <c r="F2" s="420"/>
      <c r="M2" s="4" t="str">
        <f ca="1">IFERROR(IF(VLOOKUP(M1,OFFSET($AG$2,,,COUNTIF($AG$2:$AG$50,"?*"),23),10,FALSE)&lt;&gt;0,VLOOKUP(M1,OFFSET($AG$2,,,COUNTIF($AG$2:$AG$50,"?*"),23),10,FALSE),""),"")</f>
        <v/>
      </c>
      <c r="N2" s="428" t="str">
        <f ca="1">IFERROR(IF(VLOOKUP(M1,OFFSET($AG$2,,,COUNTIF($AG$2:$AG$50,"?*"),23),2,FALSE)&lt;&gt;0,YEAR(VLOOKUP(M1,OFFSET($AG$2,,,COUNTIF($AG$2:$AG$50,"?*"),23),2,FALSE)),""),"")</f>
        <v/>
      </c>
      <c r="O2" s="429"/>
      <c r="P2" s="117" t="str">
        <f ca="1">IFERROR(VLOOKUP(M1,OFFSET($AG$2,,,COUNTIF($AG$2:$AG$50,"?*"),23),15,FALSE),"")</f>
        <v/>
      </c>
      <c r="Q2" s="419" t="str">
        <f ca="1">IFERROR(VLOOKUP(M1,OFFSET($AG$2,,,COUNTIF($AG$2:$AG$50,"?*"),23),16,FALSE),"")</f>
        <v/>
      </c>
      <c r="R2" s="420"/>
      <c r="S2" s="110" t="s">
        <v>564</v>
      </c>
      <c r="U2" s="102">
        <v>16</v>
      </c>
      <c r="V2" s="102">
        <v>17</v>
      </c>
      <c r="W2" s="102">
        <v>1</v>
      </c>
      <c r="X2" s="102">
        <v>2</v>
      </c>
      <c r="Y2" s="102">
        <v>12</v>
      </c>
      <c r="Z2" s="102">
        <v>29</v>
      </c>
      <c r="AA2" s="102">
        <v>6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581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136</v>
      </c>
      <c r="AQ2" s="123">
        <v>173</v>
      </c>
      <c r="AR2" s="123">
        <v>62</v>
      </c>
      <c r="AS2" s="126" t="s">
        <v>593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607</v>
      </c>
      <c r="BO2" s="122">
        <v>29384</v>
      </c>
      <c r="BP2" s="131" t="s">
        <v>235</v>
      </c>
      <c r="BQ2" s="132" t="s">
        <v>608</v>
      </c>
      <c r="BR2" s="127">
        <f ca="1">IF(BN2&lt;&gt;"",IF(BO2&lt;&gt;"",INT((TODAY()-BO2)/365),"?"),"")</f>
        <v>41</v>
      </c>
      <c r="BS2" s="464" t="s">
        <v>35</v>
      </c>
      <c r="BT2" s="104" t="s">
        <v>1449</v>
      </c>
      <c r="BU2" s="103">
        <v>29</v>
      </c>
      <c r="BV2" s="104" t="str">
        <f>IFERROR(RIGHT(BT2,LEN(BT2)-SEARCH(" ",BT2)),"")</f>
        <v>Mikuláš Krbec</v>
      </c>
      <c r="BW2" s="102">
        <f>IF(BT2&lt;&gt;0,_xlfn.NUMBERVALUE(BU2,","),"")</f>
        <v>29</v>
      </c>
      <c r="BX2" s="463" t="s">
        <v>191</v>
      </c>
      <c r="BY2" s="103" t="s">
        <v>1049</v>
      </c>
      <c r="BZ2" s="103" t="s">
        <v>787</v>
      </c>
      <c r="CA2" s="115" t="s">
        <v>517</v>
      </c>
    </row>
    <row r="3" spans="1:79" ht="15" customHeight="1" thickTop="1" thickBot="1" x14ac:dyDescent="0.25">
      <c r="A3" s="421" t="str">
        <f ca="1">IFERROR(VLOOKUP(A1,OFFSET($AG$2,,,COUNTIF($AG$2:$AG$50,"?*"),23),18,FALSE),"")</f>
        <v/>
      </c>
      <c r="B3" s="422"/>
      <c r="C3" s="422"/>
      <c r="D3" s="423" t="str">
        <f ca="1">IFERROR(VLOOKUP(A1,OFFSET($AG$2,,,COUNTIF($AG$2:$AG$50,"?*"),23),19,FALSE),"")</f>
        <v/>
      </c>
      <c r="E3" s="423"/>
      <c r="F3" s="424"/>
      <c r="G3" s="425"/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1" t="str">
        <f ca="1">IFERROR(VLOOKUP(M1,OFFSET($AG$2,,,COUNTIF($AG$2:$AG$50,"?*"),23),18,FALSE),"")</f>
        <v/>
      </c>
      <c r="N3" s="422"/>
      <c r="O3" s="422"/>
      <c r="P3" s="423" t="str">
        <f ca="1">IFERROR(VLOOKUP(M1,OFFSET($AG$2,,,COUNTIF($AG$2:$AG$50,"?*"),23),19,FALSE),"")</f>
        <v/>
      </c>
      <c r="Q3" s="423"/>
      <c r="R3" s="424"/>
      <c r="S3" s="110" t="s">
        <v>562</v>
      </c>
      <c r="T3" s="102" t="s">
        <v>106</v>
      </c>
      <c r="U3" s="102">
        <v>16</v>
      </c>
      <c r="V3" s="102">
        <v>14</v>
      </c>
      <c r="W3" s="102">
        <v>4</v>
      </c>
      <c r="X3" s="102">
        <v>1</v>
      </c>
      <c r="Y3" s="102">
        <v>13</v>
      </c>
      <c r="Z3" s="102">
        <v>27</v>
      </c>
      <c r="AA3" s="102">
        <v>8</v>
      </c>
      <c r="AB3" s="102">
        <v>12</v>
      </c>
      <c r="AC3" s="102" t="str">
        <f t="shared" ca="1" si="0"/>
        <v>NE</v>
      </c>
      <c r="AG3" s="121" t="s">
        <v>567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26</v>
      </c>
      <c r="AQ3" s="123">
        <v>174</v>
      </c>
      <c r="AR3" s="123">
        <v>74</v>
      </c>
      <c r="AS3" s="126" t="s">
        <v>594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16 OZ, 10 (3+7), +8 ±</v>
      </c>
      <c r="AY3" s="129" t="str">
        <f t="shared" ca="1" si="2"/>
        <v>143 OZ, 36 (12+24)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609</v>
      </c>
      <c r="BO3" s="122">
        <v>31166</v>
      </c>
      <c r="BP3" s="131" t="s">
        <v>236</v>
      </c>
      <c r="BQ3" s="132" t="s">
        <v>610</v>
      </c>
      <c r="BR3" s="127">
        <f t="shared" ref="BR3:BR11" ca="1" si="12">IF(BN3&lt;&gt;"",IF(BO3&lt;&gt;"",INT((TODAY()-BO3)/365),"?"),"")</f>
        <v>36</v>
      </c>
      <c r="BS3" s="464"/>
      <c r="BT3" s="104" t="s">
        <v>1272</v>
      </c>
      <c r="BU3" s="103">
        <v>27</v>
      </c>
      <c r="BV3" s="104" t="str">
        <f t="shared" ref="BV3:BV31" si="13">IFERROR(RIGHT(BT3,LEN(BT3)-SEARCH(" ",BT3)),"")</f>
        <v>Lukáš Ujhélyi</v>
      </c>
      <c r="BW3" s="102">
        <f t="shared" ref="BW3:BW31" si="14">IF(BT3&lt;&gt;0,_xlfn.NUMBERVALUE(BU3,","),"")</f>
        <v>27</v>
      </c>
      <c r="BX3" s="463"/>
      <c r="BY3" s="103" t="s">
        <v>1250</v>
      </c>
      <c r="BZ3" s="103" t="s">
        <v>788</v>
      </c>
      <c r="CA3" s="115" t="s">
        <v>782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/>
      </c>
      <c r="B4" s="431"/>
      <c r="C4" s="432"/>
      <c r="D4" s="433" t="str">
        <f ca="1">IFERROR(IF(VLOOKUP(A1,OFFSET($AG$2,,,COUNTIF($AG$2:$AG$50,"?*"),23),14,FALSE)&lt;&gt;0,VLOOKUP(A1,OFFSET($AG$2,,,COUNTIF($AG$2:$AG$50,"?*"),23),14,FALSE),"?"),"")</f>
        <v/>
      </c>
      <c r="E4" s="43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8" t="str">
        <f ca="1">IFERROR(IF(VLOOKUP(G3,OFFSET($AG$2,,,COUNTIF($AG$2:$AG$50,"?*"),23),2,FALSE)&lt;&gt;0,YEAR(VLOOKUP(G3,OFFSET($AG$2,,,COUNTIF($AG$2:$AG$50,"?*"),23),2,FALSE)),""),"")</f>
        <v/>
      </c>
      <c r="I4" s="429"/>
      <c r="J4" s="117" t="str">
        <f ca="1">IFERROR(VLOOKUP(G3,OFFSET($AG$2,,,COUNTIF($AG$2:$AG$50,"?*"),23),15,FALSE),"")</f>
        <v/>
      </c>
      <c r="K4" s="419" t="str">
        <f ca="1">IFERROR(VLOOKUP(G3,OFFSET($AG$2,,,COUNTIF($AG$2:$AG$50,"?*"),23),16,FALSE),"")</f>
        <v/>
      </c>
      <c r="L4" s="420"/>
      <c r="M4" s="430" t="str">
        <f ca="1">IFERROR(IF(VLOOKUP(M1,OFFSET($AG$2,,,COUNTIF($AG$2:$AG$50,"?*"),23),13,FALSE)&lt;&gt;0,VLOOKUP(M1,OFFSET($AG$2,,,COUNTIF($AG$2:$AG$50,"?*"),23),13,FALSE),"?"),"")</f>
        <v/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/>
      </c>
      <c r="Q4" s="43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565</v>
      </c>
      <c r="T4" s="102" t="s">
        <v>106</v>
      </c>
      <c r="U4" s="102">
        <v>16</v>
      </c>
      <c r="V4" s="102">
        <v>10</v>
      </c>
      <c r="W4" s="102">
        <v>2</v>
      </c>
      <c r="X4" s="102">
        <v>0</v>
      </c>
      <c r="Y4" s="102">
        <v>14</v>
      </c>
      <c r="Z4" s="102">
        <v>24</v>
      </c>
      <c r="AA4" s="102">
        <v>2</v>
      </c>
      <c r="AB4" s="102">
        <v>16</v>
      </c>
      <c r="AC4" s="102" t="str">
        <f t="shared" ca="1" si="0"/>
        <v>ANO</v>
      </c>
      <c r="AG4" s="121" t="s">
        <v>358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136</v>
      </c>
      <c r="AQ4" s="123">
        <v>185</v>
      </c>
      <c r="AR4" s="123">
        <v>75</v>
      </c>
      <c r="AS4" s="126" t="s">
        <v>248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611</v>
      </c>
      <c r="BO4" s="122">
        <v>32564</v>
      </c>
      <c r="BP4" s="131" t="s">
        <v>236</v>
      </c>
      <c r="BQ4" s="132" t="s">
        <v>612</v>
      </c>
      <c r="BR4" s="127">
        <f t="shared" ca="1" si="12"/>
        <v>32</v>
      </c>
      <c r="BS4" s="464"/>
      <c r="BT4" s="104" t="s">
        <v>1271</v>
      </c>
      <c r="BU4" s="103">
        <v>24</v>
      </c>
      <c r="BV4" s="104" t="str">
        <f t="shared" si="13"/>
        <v>Marek Zouzal</v>
      </c>
      <c r="BW4" s="102">
        <f t="shared" si="14"/>
        <v>24</v>
      </c>
      <c r="BX4" s="463"/>
      <c r="BY4" s="103" t="s">
        <v>1331</v>
      </c>
      <c r="BZ4" s="103" t="s">
        <v>1348</v>
      </c>
      <c r="CA4" s="115" t="s">
        <v>1455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/>
      </c>
      <c r="H5" s="422"/>
      <c r="I5" s="422"/>
      <c r="J5" s="423" t="str">
        <f ca="1">IFERROR(VLOOKUP(G3,OFFSET($AG$2,,,COUNTIF($AG$2:$AG$50,"?*"),23),19,FALSE),"")</f>
        <v/>
      </c>
      <c r="K5" s="423"/>
      <c r="L5" s="424"/>
      <c r="S5" s="110" t="s">
        <v>563</v>
      </c>
      <c r="U5" s="102">
        <v>16</v>
      </c>
      <c r="V5" s="102">
        <v>13</v>
      </c>
      <c r="W5" s="102">
        <v>0</v>
      </c>
      <c r="X5" s="102">
        <v>0</v>
      </c>
      <c r="Y5" s="102">
        <v>7</v>
      </c>
      <c r="Z5" s="102">
        <v>20</v>
      </c>
      <c r="AA5" s="102">
        <v>4</v>
      </c>
      <c r="AB5" s="102">
        <v>14</v>
      </c>
      <c r="AC5" s="102" t="str">
        <f t="shared" ca="1" si="0"/>
        <v>ANO</v>
      </c>
      <c r="AG5" s="121" t="s">
        <v>577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595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9 V, 6 P</v>
      </c>
      <c r="AY5" s="129" t="str">
        <f t="shared" ca="1" si="2"/>
        <v>222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613</v>
      </c>
      <c r="BO5" s="122">
        <v>33689</v>
      </c>
      <c r="BP5" s="131" t="s">
        <v>400</v>
      </c>
      <c r="BQ5" s="132"/>
      <c r="BR5" s="127">
        <f t="shared" ca="1" si="12"/>
        <v>29</v>
      </c>
      <c r="BS5" s="464"/>
      <c r="BT5" s="104" t="s">
        <v>1119</v>
      </c>
      <c r="BU5" s="103">
        <v>20</v>
      </c>
      <c r="BV5" s="104" t="str">
        <f t="shared" si="13"/>
        <v>Josef Juha</v>
      </c>
      <c r="BW5" s="102">
        <f t="shared" si="14"/>
        <v>20</v>
      </c>
      <c r="BX5" s="463"/>
      <c r="BY5" s="103" t="s">
        <v>979</v>
      </c>
      <c r="BZ5" s="103" t="s">
        <v>815</v>
      </c>
      <c r="CA5" s="115" t="s">
        <v>1274</v>
      </c>
    </row>
    <row r="6" spans="1:79" ht="15" customHeight="1" thickTop="1" thickBot="1" x14ac:dyDescent="0.25">
      <c r="A6" s="425"/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0" t="str">
        <f ca="1">IFERROR(IF(VLOOKUP(G3,OFFSET($AG$2,,,COUNTIF($AG$2:$AG$50,"?*"),23),13,FALSE)&lt;&gt;0,VLOOKUP(G3,OFFSET($AG$2,,,COUNTIF($AG$2:$AG$50,"?*"),23),13,FALSE),"?"),"")</f>
        <v/>
      </c>
      <c r="H6" s="431"/>
      <c r="I6" s="432"/>
      <c r="J6" s="433" t="str">
        <f ca="1">IFERROR(IF(VLOOKUP(G3,OFFSET($AG$2,,,COUNTIF($AG$2:$AG$50,"?*"),23),14,FALSE)&lt;&gt;0,VLOOKUP(G3,OFFSET($AG$2,,,COUNTIF($AG$2:$AG$50,"?*"),23),14,FALSE),"?"),"")</f>
        <v/>
      </c>
      <c r="K6" s="434"/>
      <c r="L6" s="7" t="str">
        <f ca="1">IFERROR(IF(VLOOKUP(G3,OFFSET($AG$2,,,COUNTIF($AG$2:$AG$50,"?*"),23),7,FALSE)&lt;&gt;0,VLOOKUP(G3,OFFSET($AG$2,,,COUNTIF($AG$2:$AG$50,"?*"),23),7,FALSE),"?"),"")</f>
        <v/>
      </c>
      <c r="M6" s="425"/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566</v>
      </c>
      <c r="U6" s="102">
        <v>16</v>
      </c>
      <c r="V6" s="102">
        <v>9</v>
      </c>
      <c r="W6" s="102">
        <v>0</v>
      </c>
      <c r="X6" s="102">
        <v>0</v>
      </c>
      <c r="Y6" s="102">
        <v>9</v>
      </c>
      <c r="Z6" s="102">
        <v>18</v>
      </c>
      <c r="AA6" s="102">
        <v>2</v>
      </c>
      <c r="AB6" s="102">
        <v>12</v>
      </c>
      <c r="AC6" s="102" t="str">
        <f t="shared" ca="1" si="0"/>
        <v>ANO</v>
      </c>
      <c r="AG6" s="121" t="s">
        <v>569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136</v>
      </c>
      <c r="AQ6" s="123">
        <v>185</v>
      </c>
      <c r="AR6" s="123">
        <v>79</v>
      </c>
      <c r="AS6" s="126" t="s">
        <v>596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16 OZ, 11 (7+4), 0 ±</v>
      </c>
      <c r="AY6" s="129" t="str">
        <f t="shared" ca="1" si="2"/>
        <v>68 OZ, 57 (32+25)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614</v>
      </c>
      <c r="BO6" s="122">
        <v>35048</v>
      </c>
      <c r="BP6" s="131" t="s">
        <v>175</v>
      </c>
      <c r="BQ6" s="132" t="s">
        <v>608</v>
      </c>
      <c r="BR6" s="127">
        <f t="shared" ca="1" si="12"/>
        <v>25</v>
      </c>
      <c r="BS6" s="464"/>
      <c r="BT6" s="104" t="s">
        <v>1003</v>
      </c>
      <c r="BU6" s="103">
        <v>18</v>
      </c>
      <c r="BV6" s="104" t="str">
        <f t="shared" si="13"/>
        <v>Jakub Kolstrunk</v>
      </c>
      <c r="BW6" s="102">
        <f t="shared" si="14"/>
        <v>18</v>
      </c>
      <c r="BX6" s="463"/>
      <c r="BY6" s="103" t="s">
        <v>1231</v>
      </c>
      <c r="BZ6" s="103" t="s">
        <v>791</v>
      </c>
      <c r="CA6" s="115" t="s">
        <v>1054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8" t="str">
        <f ca="1">IFERROR(IF(VLOOKUP(A6,OFFSET($AG$2,,,COUNTIF($AG$2:$AG$50,"?*"),23),2,FALSE)&lt;&gt;0,YEAR(VLOOKUP(A6,OFFSET($AG$2,,,COUNTIF($AG$2:$AG$50,"?*"),23),2,FALSE)),""),"")</f>
        <v/>
      </c>
      <c r="C7" s="429"/>
      <c r="D7" s="117" t="str">
        <f ca="1">IFERROR(VLOOKUP(A6,OFFSET($AG$2,,,COUNTIF($AG$2:$AG$50,"?*"),23),15,FALSE),"")</f>
        <v/>
      </c>
      <c r="E7" s="419" t="str">
        <f ca="1">IFERROR(VLOOKUP(A6,OFFSET($AG$2,,,COUNTIF($AG$2:$AG$50,"?*"),23),16,FALSE),"")</f>
        <v/>
      </c>
      <c r="F7" s="420"/>
      <c r="M7" s="4" t="str">
        <f ca="1">IFERROR(IF(VLOOKUP(M6,OFFSET($AG$2,,,COUNTIF($AG$2:$AG$50,"?*"),23),10,FALSE)&lt;&gt;0,VLOOKUP(M6,OFFSET($AG$2,,,COUNTIF($AG$2:$AG$50,"?*"),23),10,FALSE),""),"")</f>
        <v/>
      </c>
      <c r="N7" s="428" t="str">
        <f ca="1">IFERROR(IF(VLOOKUP(M6,OFFSET($AG$2,,,COUNTIF($AG$2:$AG$50,"?*"),23),2,FALSE)&lt;&gt;0,YEAR(VLOOKUP(M6,OFFSET($AG$2,,,COUNTIF($AG$2:$AG$50,"?*"),23),2,FALSE)),""),"")</f>
        <v/>
      </c>
      <c r="O7" s="429"/>
      <c r="P7" s="117" t="str">
        <f ca="1">IFERROR(VLOOKUP(M6,OFFSET($AG$2,,,COUNTIF($AG$2:$AG$50,"?*"),23),15,FALSE),"")</f>
        <v/>
      </c>
      <c r="Q7" s="419" t="str">
        <f ca="1">IFERROR(VLOOKUP(M6,OFFSET($AG$2,,,COUNTIF($AG$2:$AG$50,"?*"),23),16,FALSE),"")</f>
        <v/>
      </c>
      <c r="R7" s="420"/>
      <c r="S7" s="110" t="s">
        <v>569</v>
      </c>
      <c r="U7" s="102">
        <v>16</v>
      </c>
      <c r="V7" s="102">
        <v>7</v>
      </c>
      <c r="W7" s="102">
        <v>0</v>
      </c>
      <c r="X7" s="102">
        <v>0</v>
      </c>
      <c r="Y7" s="102">
        <v>4</v>
      </c>
      <c r="Z7" s="102">
        <v>11</v>
      </c>
      <c r="AA7" s="102">
        <v>2</v>
      </c>
      <c r="AB7" s="102">
        <v>0</v>
      </c>
      <c r="AC7" s="102" t="str">
        <f t="shared" ca="1" si="0"/>
        <v>ANO</v>
      </c>
      <c r="AG7" s="121" t="s">
        <v>582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26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615</v>
      </c>
      <c r="BU7" s="103" t="s">
        <v>1260</v>
      </c>
      <c r="BV7" s="104" t="str">
        <f t="shared" si="13"/>
        <v>Martin Beneš</v>
      </c>
      <c r="BW7" s="112">
        <f t="shared" si="14"/>
        <v>4.68</v>
      </c>
      <c r="BX7" s="463" t="s">
        <v>192</v>
      </c>
      <c r="BY7" s="103" t="s">
        <v>1232</v>
      </c>
      <c r="BZ7" s="103" t="s">
        <v>812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/>
      </c>
      <c r="B8" s="422"/>
      <c r="C8" s="422"/>
      <c r="D8" s="423" t="str">
        <f ca="1">IFERROR(VLOOKUP(A6,OFFSET($AG$2,,,COUNTIF($AG$2:$AG$50,"?*"),23),19,FALSE),"")</f>
        <v/>
      </c>
      <c r="E8" s="423"/>
      <c r="F8" s="424"/>
      <c r="H8" s="435" t="s">
        <v>94</v>
      </c>
      <c r="I8" s="435"/>
      <c r="J8" s="435"/>
      <c r="K8" s="435"/>
      <c r="M8" s="421" t="str">
        <f ca="1">IFERROR(VLOOKUP(M6,OFFSET($AG$2,,,COUNTIF($AG$2:$AG$50,"?*"),23),18,FALSE),"")</f>
        <v/>
      </c>
      <c r="N8" s="422"/>
      <c r="O8" s="422"/>
      <c r="P8" s="423" t="str">
        <f ca="1">IFERROR(VLOOKUP(M6,OFFSET($AG$2,,,COUNTIF($AG$2:$AG$50,"?*"),23),19,FALSE),"")</f>
        <v/>
      </c>
      <c r="Q8" s="423"/>
      <c r="R8" s="424"/>
      <c r="S8" s="110" t="s">
        <v>571</v>
      </c>
      <c r="T8" s="102" t="s">
        <v>106</v>
      </c>
      <c r="U8" s="102">
        <v>16</v>
      </c>
      <c r="V8" s="102">
        <v>6</v>
      </c>
      <c r="W8" s="102">
        <v>0</v>
      </c>
      <c r="X8" s="102">
        <v>0</v>
      </c>
      <c r="Y8" s="102">
        <v>5</v>
      </c>
      <c r="Z8" s="102">
        <v>11</v>
      </c>
      <c r="AA8" s="102">
        <v>2</v>
      </c>
      <c r="AB8" s="102">
        <v>13</v>
      </c>
      <c r="AC8" s="102" t="str">
        <f t="shared" ca="1" si="0"/>
        <v>ANO</v>
      </c>
      <c r="AG8" s="121" t="s">
        <v>583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597</v>
      </c>
      <c r="AT8" s="123">
        <v>2012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1115</v>
      </c>
      <c r="BU8" s="103" t="s">
        <v>182</v>
      </c>
      <c r="BV8" s="104" t="str">
        <f t="shared" si="13"/>
        <v>Roman Nový</v>
      </c>
      <c r="BW8" s="112">
        <f t="shared" si="14"/>
        <v>0</v>
      </c>
      <c r="BX8" s="463"/>
      <c r="BY8" s="103" t="s">
        <v>1236</v>
      </c>
      <c r="BZ8" s="103" t="s">
        <v>793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/>
      </c>
      <c r="B9" s="431"/>
      <c r="C9" s="432"/>
      <c r="D9" s="433" t="str">
        <f ca="1">IFERROR(IF(VLOOKUP(A6,OFFSET($AG$2,,,COUNTIF($AG$2:$AG$50,"?*"),23),14,FALSE)&lt;&gt;0,VLOOKUP(A6,OFFSET($AG$2,,,COUNTIF($AG$2:$AG$50,"?*"),23),14,FALSE),"?"),"")</f>
        <v/>
      </c>
      <c r="E9" s="434"/>
      <c r="F9" s="7" t="str">
        <f ca="1">IFERROR(IF(VLOOKUP(A6,OFFSET($AG$2,,,COUNTIF($AG$2:$AG$50,"?*"),23),7,FALSE)&lt;&gt;0,VLOOKUP(A6,OFFSET($AG$2,,,COUNTIF($AG$2:$AG$50,"?*"),23),7,FALSE),"?"),"")</f>
        <v/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/>
      </c>
      <c r="N9" s="431"/>
      <c r="O9" s="432"/>
      <c r="P9" s="433" t="str">
        <f ca="1">IFERROR(IF(VLOOKUP(M6,OFFSET($AG$2,,,COUNTIF($AG$2:$AG$50,"?*"),23),14,FALSE)&lt;&gt;0,VLOOKUP(M6,OFFSET($AG$2,,,COUNTIF($AG$2:$AG$50,"?*"),23),14,FALSE),"?"),"")</f>
        <v/>
      </c>
      <c r="Q9" s="43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578</v>
      </c>
      <c r="T9" s="102" t="s">
        <v>57</v>
      </c>
      <c r="U9" s="102">
        <v>16</v>
      </c>
      <c r="V9" s="102">
        <v>4</v>
      </c>
      <c r="W9" s="102">
        <v>2</v>
      </c>
      <c r="X9" s="102">
        <v>0</v>
      </c>
      <c r="Y9" s="102">
        <v>7</v>
      </c>
      <c r="Z9" s="102">
        <v>11</v>
      </c>
      <c r="AA9" s="102">
        <v>31</v>
      </c>
      <c r="AB9" s="102">
        <v>13</v>
      </c>
      <c r="AC9" s="102" t="str">
        <f t="shared" ca="1" si="0"/>
        <v>ANO</v>
      </c>
      <c r="AG9" s="121" t="s">
        <v>570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149</v>
      </c>
      <c r="AP9" s="125" t="s">
        <v>136</v>
      </c>
      <c r="AQ9" s="123">
        <v>180</v>
      </c>
      <c r="AR9" s="123">
        <v>81</v>
      </c>
      <c r="AS9" s="126" t="s">
        <v>75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16 OZ, 9 (5+4), 0 ±</v>
      </c>
      <c r="AY9" s="129" t="str">
        <f t="shared" ca="1" si="2"/>
        <v>304 OZ, 296 (160+136)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1116</v>
      </c>
      <c r="BU9" s="103" t="s">
        <v>352</v>
      </c>
      <c r="BV9" s="104" t="str">
        <f t="shared" si="13"/>
        <v>Viktor Hejna</v>
      </c>
      <c r="BW9" s="112">
        <f t="shared" si="14"/>
        <v>4</v>
      </c>
      <c r="BX9" s="463"/>
      <c r="BY9" s="103" t="s">
        <v>1333</v>
      </c>
      <c r="BZ9" s="103" t="s">
        <v>786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567</v>
      </c>
      <c r="T10" s="102" t="s">
        <v>57</v>
      </c>
      <c r="U10" s="102">
        <v>16</v>
      </c>
      <c r="V10" s="102">
        <v>3</v>
      </c>
      <c r="W10" s="102">
        <v>0</v>
      </c>
      <c r="X10" s="102">
        <v>0</v>
      </c>
      <c r="Y10" s="102">
        <v>7</v>
      </c>
      <c r="Z10" s="102">
        <v>10</v>
      </c>
      <c r="AA10" s="102">
        <v>4</v>
      </c>
      <c r="AB10" s="102">
        <v>8</v>
      </c>
      <c r="AC10" s="102" t="str">
        <f t="shared" ca="1" si="0"/>
        <v>ANO</v>
      </c>
      <c r="AG10" s="121" t="s">
        <v>579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26</v>
      </c>
      <c r="AQ10" s="123">
        <v>189</v>
      </c>
      <c r="AR10" s="123">
        <v>89</v>
      </c>
      <c r="AS10" s="126" t="s">
        <v>224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12 OZ, 0 (0+0), -6 ±</v>
      </c>
      <c r="AY10" s="129" t="str">
        <f t="shared" ca="1" si="2"/>
        <v>38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V10" s="104" t="str">
        <f t="shared" si="13"/>
        <v/>
      </c>
      <c r="BW10" s="112" t="str">
        <f t="shared" si="14"/>
        <v/>
      </c>
      <c r="BX10" s="463"/>
      <c r="BY10" s="103" t="s">
        <v>1306</v>
      </c>
      <c r="BZ10" s="103" t="s">
        <v>794</v>
      </c>
      <c r="CA10" s="115" t="s">
        <v>187</v>
      </c>
    </row>
    <row r="11" spans="1:79" ht="15" customHeight="1" thickTop="1" thickBot="1" x14ac:dyDescent="0.25">
      <c r="R11" s="13"/>
      <c r="S11" s="110" t="s">
        <v>570</v>
      </c>
      <c r="T11" s="102" t="s">
        <v>57</v>
      </c>
      <c r="U11" s="102">
        <v>16</v>
      </c>
      <c r="V11" s="102">
        <v>5</v>
      </c>
      <c r="W11" s="102">
        <v>0</v>
      </c>
      <c r="X11" s="102">
        <v>0</v>
      </c>
      <c r="Y11" s="102">
        <v>4</v>
      </c>
      <c r="Z11" s="102">
        <v>9</v>
      </c>
      <c r="AA11" s="102">
        <v>2</v>
      </c>
      <c r="AB11" s="102">
        <v>0</v>
      </c>
      <c r="AC11" s="102" t="str">
        <f t="shared" ca="1" si="0"/>
        <v>ANO</v>
      </c>
      <c r="AG11" s="121" t="s">
        <v>563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136</v>
      </c>
      <c r="AQ11" s="123">
        <v>179</v>
      </c>
      <c r="AR11" s="123">
        <v>82</v>
      </c>
      <c r="AS11" s="126" t="s">
        <v>67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16 OZ, 20 (13+7), +14 ±</v>
      </c>
      <c r="AY11" s="129" t="str">
        <f t="shared" ca="1" si="2"/>
        <v>85 OZ, 81 (46+35)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BZ11" s="103" t="s">
        <v>795</v>
      </c>
      <c r="CA11" s="115" t="s">
        <v>187</v>
      </c>
    </row>
    <row r="12" spans="1:79" ht="15" customHeight="1" thickTop="1" thickBot="1" x14ac:dyDescent="0.25">
      <c r="A12" s="425"/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7" t="s">
        <v>7</v>
      </c>
      <c r="I12" s="427"/>
      <c r="J12" s="427"/>
      <c r="K12" s="427"/>
      <c r="M12" s="425"/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574</v>
      </c>
      <c r="T12" s="102" t="s">
        <v>106</v>
      </c>
      <c r="U12" s="102">
        <v>16</v>
      </c>
      <c r="V12" s="102">
        <v>4</v>
      </c>
      <c r="W12" s="102">
        <v>0</v>
      </c>
      <c r="X12" s="102">
        <v>0</v>
      </c>
      <c r="Y12" s="102">
        <v>3</v>
      </c>
      <c r="Z12" s="102">
        <v>7</v>
      </c>
      <c r="AA12" s="102">
        <v>2</v>
      </c>
      <c r="AB12" s="102">
        <v>8</v>
      </c>
      <c r="AC12" s="102" t="str">
        <f t="shared" ca="1" si="0"/>
        <v>ANO</v>
      </c>
      <c r="AG12" s="121" t="s">
        <v>574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136</v>
      </c>
      <c r="AQ12" s="123">
        <v>186</v>
      </c>
      <c r="AR12" s="123">
        <v>89</v>
      </c>
      <c r="AS12" s="126" t="s">
        <v>598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16 OZ, 7 (4+3), +8 ±</v>
      </c>
      <c r="AY12" s="129" t="str">
        <f t="shared" ca="1" si="2"/>
        <v>125 OZ, 66 (38+28)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1449</v>
      </c>
      <c r="BU12" s="103">
        <v>17</v>
      </c>
      <c r="BV12" s="104" t="str">
        <f t="shared" si="13"/>
        <v>Mikuláš Krbec</v>
      </c>
      <c r="BW12" s="102">
        <f t="shared" si="14"/>
        <v>17</v>
      </c>
      <c r="BX12" s="120" t="s">
        <v>190</v>
      </c>
      <c r="BY12" s="100" t="s">
        <v>1456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8" t="str">
        <f ca="1">IFERROR(IF(VLOOKUP(A12,OFFSET($AG$2,,,COUNTIF($AG$2:$AG$50,"?*"),23),2,FALSE)&lt;&gt;0,YEAR(VLOOKUP(A12,OFFSET($AG$2,,,COUNTIF($AG$2:$AG$50,"?*"),23),2,FALSE)),""),"")</f>
        <v/>
      </c>
      <c r="C13" s="429"/>
      <c r="D13" s="117" t="str">
        <f ca="1">IFERROR(VLOOKUP(A12,OFFSET($AG$2,,,COUNTIF($AG$2:$AG$50,"?*"),23),15,FALSE),"")</f>
        <v/>
      </c>
      <c r="E13" s="419" t="str">
        <f ca="1">IFERROR(VLOOKUP(A12,OFFSET($AG$2,,,COUNTIF($AG$2:$AG$50,"?*"),23),16,FALSE),"")</f>
        <v/>
      </c>
      <c r="F13" s="420"/>
      <c r="M13" s="4" t="str">
        <f ca="1">IFERROR(IF(VLOOKUP(M12,OFFSET($AG$2,,,COUNTIF($AG$2:$AG$50,"?*"),23),10,FALSE)&lt;&gt;0,VLOOKUP(M12,OFFSET($AG$2,,,COUNTIF($AG$2:$AG$50,"?*"),23),10,FALSE),""),"")</f>
        <v/>
      </c>
      <c r="N13" s="428" t="str">
        <f ca="1">IFERROR(IF(VLOOKUP(M12,OFFSET($AG$2,,,COUNTIF($AG$2:$AG$50,"?*"),23),2,FALSE)&lt;&gt;0,YEAR(VLOOKUP(M12,OFFSET($AG$2,,,COUNTIF($AG$2:$AG$50,"?*"),23),2,FALSE)),""),"")</f>
        <v/>
      </c>
      <c r="O13" s="429"/>
      <c r="P13" s="117" t="str">
        <f ca="1">IFERROR(VLOOKUP(M12,OFFSET($AG$2,,,COUNTIF($AG$2:$AG$50,"?*"),23),15,FALSE),"")</f>
        <v/>
      </c>
      <c r="Q13" s="419" t="str">
        <f ca="1">IFERROR(VLOOKUP(M12,OFFSET($AG$2,,,COUNTIF($AG$2:$AG$50,"?*"),23),16,FALSE),"")</f>
        <v/>
      </c>
      <c r="R13" s="420"/>
      <c r="S13" s="110" t="s">
        <v>576</v>
      </c>
      <c r="U13" s="102">
        <v>16</v>
      </c>
      <c r="V13" s="102">
        <v>4</v>
      </c>
      <c r="W13" s="102">
        <v>0</v>
      </c>
      <c r="X13" s="102">
        <v>0</v>
      </c>
      <c r="Y13" s="102">
        <v>2</v>
      </c>
      <c r="Z13" s="102">
        <v>6</v>
      </c>
      <c r="AA13" s="102">
        <v>2</v>
      </c>
      <c r="AB13" s="102">
        <v>-2</v>
      </c>
      <c r="AC13" s="102" t="str">
        <f t="shared" ca="1" si="0"/>
        <v>NE</v>
      </c>
      <c r="AG13" s="121" t="s">
        <v>566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136</v>
      </c>
      <c r="AQ13" s="123">
        <v>189</v>
      </c>
      <c r="AR13" s="123">
        <v>86</v>
      </c>
      <c r="AS13" s="126" t="s">
        <v>248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16 OZ, 18 (9+9), +12 ±</v>
      </c>
      <c r="AY13" s="129" t="str">
        <f t="shared" ca="1" si="2"/>
        <v>104 OZ, 101 (69+32)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1272</v>
      </c>
      <c r="BU13" s="103">
        <v>14</v>
      </c>
      <c r="BV13" s="104" t="str">
        <f t="shared" si="13"/>
        <v>Lukáš Ujhélyi</v>
      </c>
      <c r="BW13" s="102">
        <f t="shared" si="14"/>
        <v>14</v>
      </c>
    </row>
    <row r="14" spans="1:79" ht="15" customHeight="1" thickTop="1" thickBot="1" x14ac:dyDescent="0.25">
      <c r="A14" s="421" t="str">
        <f ca="1">IFERROR(VLOOKUP(A12,OFFSET($AG$2,,,COUNTIF($AG$2:$AG$50,"?*"),23),18,FALSE),"")</f>
        <v/>
      </c>
      <c r="B14" s="422"/>
      <c r="C14" s="422"/>
      <c r="D14" s="423" t="str">
        <f ca="1">IFERROR(VLOOKUP(A12,OFFSET($AG$2,,,COUNTIF($AG$2:$AG$50,"?*"),23),19,FALSE),"")</f>
        <v/>
      </c>
      <c r="E14" s="423"/>
      <c r="F14" s="424"/>
      <c r="G14" s="425"/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1" t="str">
        <f ca="1">IFERROR(VLOOKUP(M12,OFFSET($AG$2,,,COUNTIF($AG$2:$AG$50,"?*"),23),18,FALSE),"")</f>
        <v/>
      </c>
      <c r="N14" s="422"/>
      <c r="O14" s="422"/>
      <c r="P14" s="423" t="str">
        <f ca="1">IFERROR(VLOOKUP(M12,OFFSET($AG$2,,,COUNTIF($AG$2:$AG$50,"?*"),23),19,FALSE),"")</f>
        <v/>
      </c>
      <c r="Q14" s="423"/>
      <c r="R14" s="424"/>
      <c r="S14" s="110" t="s">
        <v>580</v>
      </c>
      <c r="T14" s="102" t="s">
        <v>57</v>
      </c>
      <c r="U14" s="102">
        <v>16</v>
      </c>
      <c r="V14" s="102">
        <v>2</v>
      </c>
      <c r="W14" s="102">
        <v>0</v>
      </c>
      <c r="X14" s="102">
        <v>0</v>
      </c>
      <c r="Y14" s="102">
        <v>4</v>
      </c>
      <c r="Z14" s="102">
        <v>6</v>
      </c>
      <c r="AA14" s="102">
        <v>8</v>
      </c>
      <c r="AB14" s="102">
        <v>2</v>
      </c>
      <c r="AC14" s="102" t="str">
        <f t="shared" ca="1" si="0"/>
        <v>ANO</v>
      </c>
      <c r="AG14" s="121" t="s">
        <v>584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275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1120</v>
      </c>
      <c r="BU14" s="103">
        <v>13</v>
      </c>
      <c r="BV14" s="104" t="str">
        <f t="shared" si="13"/>
        <v>Josef Juha</v>
      </c>
      <c r="BW14" s="102">
        <f t="shared" si="14"/>
        <v>13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/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/>
      </c>
      <c r="E15" s="43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8" t="str">
        <f ca="1">IFERROR(IF(VLOOKUP(G14,OFFSET($AG$2,,,COUNTIF($AG$2:$AG$50,"?*"),23),2,FALSE)&lt;&gt;0,YEAR(VLOOKUP(G14,OFFSET($AG$2,,,COUNTIF($AG$2:$AG$50,"?*"),23),2,FALSE)),""),"")</f>
        <v/>
      </c>
      <c r="I15" s="429"/>
      <c r="J15" s="117" t="str">
        <f ca="1">IFERROR(VLOOKUP(G14,OFFSET($AG$2,,,COUNTIF($AG$2:$AG$50,"?*"),23),15,FALSE),"")</f>
        <v/>
      </c>
      <c r="K15" s="419" t="str">
        <f ca="1">IFERROR(VLOOKUP(G14,OFFSET($AG$2,,,COUNTIF($AG$2:$AG$50,"?*"),23),16,FALSE),"")</f>
        <v/>
      </c>
      <c r="L15" s="420"/>
      <c r="M15" s="430" t="str">
        <f ca="1">IFERROR(IF(VLOOKUP(M12,OFFSET($AG$2,,,COUNTIF($AG$2:$AG$50,"?*"),23),13,FALSE)&lt;&gt;0,VLOOKUP(M12,OFFSET($AG$2,,,COUNTIF($AG$2:$AG$50,"?*"),23),13,FALSE),"?"),"")</f>
        <v/>
      </c>
      <c r="N15" s="431"/>
      <c r="O15" s="432"/>
      <c r="P15" s="433" t="str">
        <f ca="1">IFERROR(IF(VLOOKUP(M12,OFFSET($AG$2,,,COUNTIF($AG$2:$AG$50,"?*"),23),14,FALSE)&lt;&gt;0,VLOOKUP(M12,OFFSET($AG$2,,,COUNTIF($AG$2:$AG$50,"?*"),23),14,FALSE),"?"),"")</f>
        <v/>
      </c>
      <c r="Q15" s="43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585</v>
      </c>
      <c r="U15" s="102">
        <v>15</v>
      </c>
      <c r="V15" s="102">
        <v>1</v>
      </c>
      <c r="W15" s="102">
        <v>0</v>
      </c>
      <c r="X15" s="102">
        <v>0</v>
      </c>
      <c r="Y15" s="102">
        <v>3</v>
      </c>
      <c r="Z15" s="102">
        <v>4</v>
      </c>
      <c r="AA15" s="102">
        <v>6</v>
      </c>
      <c r="AB15" s="102">
        <v>0</v>
      </c>
      <c r="AC15" s="102" t="str">
        <f t="shared" ca="1" si="0"/>
        <v>ANO</v>
      </c>
      <c r="AG15" s="121" t="s">
        <v>585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26</v>
      </c>
      <c r="AQ15" s="123">
        <v>185</v>
      </c>
      <c r="AR15" s="123">
        <v>83</v>
      </c>
      <c r="AS15" s="126" t="s">
        <v>599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15 OZ, 4 (1+3), 0 ±</v>
      </c>
      <c r="AY15" s="129" t="str">
        <f t="shared" ca="1" si="2"/>
        <v>63 OZ, 14 (9+5)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1114</v>
      </c>
      <c r="BU15" s="103">
        <v>10</v>
      </c>
      <c r="BV15" s="104" t="str">
        <f t="shared" si="13"/>
        <v>Marek Zouzal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/>
      </c>
      <c r="H16" s="422"/>
      <c r="I16" s="422"/>
      <c r="J16" s="423" t="str">
        <f ca="1">IFERROR(VLOOKUP(G14,OFFSET($AG$2,,,COUNTIF($AG$2:$AG$50,"?*"),23),19,FALSE),"")</f>
        <v/>
      </c>
      <c r="K16" s="423"/>
      <c r="L16" s="424"/>
      <c r="S16" s="110" t="s">
        <v>573</v>
      </c>
      <c r="T16" s="102" t="s">
        <v>106</v>
      </c>
      <c r="U16" s="102">
        <v>15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-1</v>
      </c>
      <c r="AC16" s="102" t="str">
        <f t="shared" ca="1" si="0"/>
        <v>ANO</v>
      </c>
      <c r="AG16" s="121" t="s">
        <v>564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136</v>
      </c>
      <c r="AQ16" s="123">
        <v>189</v>
      </c>
      <c r="AR16" s="123">
        <v>87</v>
      </c>
      <c r="AS16" s="126" t="s">
        <v>600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16 OZ, 29 (17+12), +19 ±</v>
      </c>
      <c r="AY16" s="129" t="str">
        <f t="shared" ca="1" si="2"/>
        <v>115 OZ, 171 (72+99)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1003</v>
      </c>
      <c r="BU16" s="103">
        <v>9</v>
      </c>
      <c r="BV16" s="104" t="str">
        <f t="shared" si="13"/>
        <v>Jakub Kolstrunk</v>
      </c>
      <c r="BW16" s="102">
        <f t="shared" si="14"/>
        <v>9</v>
      </c>
    </row>
    <row r="17" spans="1:75" ht="15" customHeight="1" thickTop="1" thickBot="1" x14ac:dyDescent="0.25">
      <c r="A17" s="425"/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0" t="str">
        <f ca="1">IFERROR(IF(VLOOKUP(G14,OFFSET($AG$2,,,COUNTIF($AG$2:$AG$50,"?*"),23),13,FALSE)&lt;&gt;0,VLOOKUP(G14,OFFSET($AG$2,,,COUNTIF($AG$2:$AG$50,"?*"),23),13,FALSE),"?"),"")</f>
        <v/>
      </c>
      <c r="H17" s="431"/>
      <c r="I17" s="432"/>
      <c r="J17" s="433" t="str">
        <f ca="1">IFERROR(IF(VLOOKUP(G14,OFFSET($AG$2,,,COUNTIF($AG$2:$AG$50,"?*"),23),14,FALSE)&lt;&gt;0,VLOOKUP(G14,OFFSET($AG$2,,,COUNTIF($AG$2:$AG$50,"?*"),23),14,FALSE),"?"),"")</f>
        <v/>
      </c>
      <c r="K17" s="434"/>
      <c r="L17" s="7" t="str">
        <f ca="1">IFERROR(IF(VLOOKUP(G14,OFFSET($AG$2,,,COUNTIF($AG$2:$AG$50,"?*"),23),7,FALSE)&lt;&gt;0,VLOOKUP(G14,OFFSET($AG$2,,,COUNTIF($AG$2:$AG$50,"?*"),23),7,FALSE),"?"),"")</f>
        <v/>
      </c>
      <c r="M17" s="425"/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836</v>
      </c>
      <c r="T17" s="102" t="s">
        <v>57</v>
      </c>
      <c r="U17" s="102">
        <v>6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-2</v>
      </c>
      <c r="AC17" s="102" t="str">
        <f t="shared" ca="1" si="0"/>
        <v>NE</v>
      </c>
      <c r="AG17" s="121" t="s">
        <v>578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136</v>
      </c>
      <c r="AQ17" s="123">
        <v>184</v>
      </c>
      <c r="AR17" s="123">
        <v>74</v>
      </c>
      <c r="AS17" s="126" t="s">
        <v>286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16 OZ, 11 (4+7), +13 ±</v>
      </c>
      <c r="AY17" s="129" t="str">
        <f t="shared" ca="1" si="2"/>
        <v>357 OZ, 327 (145+182)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615</v>
      </c>
      <c r="BU17" s="103">
        <v>9</v>
      </c>
      <c r="BV17" s="104" t="str">
        <f t="shared" si="13"/>
        <v>Martin Beneš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8" t="str">
        <f ca="1">IFERROR(IF(VLOOKUP(A17,OFFSET($AG$2,,,COUNTIF($AG$2:$AG$50,"?*"),23),2,FALSE)&lt;&gt;0,YEAR(VLOOKUP(A17,OFFSET($AG$2,,,COUNTIF($AG$2:$AG$50,"?*"),23),2,FALSE)),""),"")</f>
        <v/>
      </c>
      <c r="C18" s="429"/>
      <c r="D18" s="149" t="str">
        <f ca="1">IFERROR(VLOOKUP(A17,OFFSET($AG$2,,,COUNTIF($AG$2:$AG$50,"?*"),23),15,FALSE),"")</f>
        <v/>
      </c>
      <c r="E18" s="419" t="str">
        <f ca="1">IFERROR(VLOOKUP(A17,OFFSET($AG$2,,,COUNTIF($AG$2:$AG$50,"?*"),23),16,FALSE),"")</f>
        <v/>
      </c>
      <c r="F18" s="420"/>
      <c r="M18" s="4" t="str">
        <f ca="1">IFERROR(IF(VLOOKUP(M17,OFFSET($AG$2,,,COUNTIF($AG$2:$AG$50,"?*"),23),10,FALSE)&lt;&gt;0,VLOOKUP(M17,OFFSET($AG$2,,,COUNTIF($AG$2:$AG$50,"?*"),23),10,FALSE),""),"")</f>
        <v/>
      </c>
      <c r="N18" s="428" t="str">
        <f ca="1">IFERROR(IF(VLOOKUP(M17,OFFSET($AG$2,,,COUNTIF($AG$2:$AG$50,"?*"),23),2,FALSE)&lt;&gt;0,YEAR(VLOOKUP(M17,OFFSET($AG$2,,,COUNTIF($AG$2:$AG$50,"?*"),23),2,FALSE)),""),"")</f>
        <v/>
      </c>
      <c r="O18" s="429"/>
      <c r="P18" s="117" t="str">
        <f ca="1">IFERROR(VLOOKUP(M17,OFFSET($AG$2,,,COUNTIF($AG$2:$AG$50,"?*"),23),15,FALSE),"")</f>
        <v/>
      </c>
      <c r="Q18" s="419" t="str">
        <f ca="1">IFERROR(VLOOKUP(M17,OFFSET($AG$2,,,COUNTIF($AG$2:$AG$50,"?*"),23),16,FALSE),"")</f>
        <v/>
      </c>
      <c r="R18" s="420"/>
      <c r="S18" s="110" t="s">
        <v>1111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575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136</v>
      </c>
      <c r="AQ18" s="123">
        <v>179</v>
      </c>
      <c r="AR18" s="123">
        <v>78</v>
      </c>
      <c r="AS18" s="126" t="s">
        <v>224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780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21" t="str">
        <f ca="1">IFERROR(VLOOKUP(A17,OFFSET($AG$2,,,COUNTIF($AG$2:$AG$50,"?*"),23),18,FALSE),"")</f>
        <v/>
      </c>
      <c r="B19" s="422"/>
      <c r="C19" s="422"/>
      <c r="D19" s="423" t="str">
        <f ca="1">IFERROR(VLOOKUP(A17,OFFSET($AG$2,,,COUNTIF($AG$2:$AG$50,"?*"),23),19,FALSE),"")</f>
        <v/>
      </c>
      <c r="E19" s="423"/>
      <c r="F19" s="424"/>
      <c r="H19" s="435" t="str">
        <f>H$8</f>
        <v>SPA</v>
      </c>
      <c r="I19" s="435"/>
      <c r="J19" s="435"/>
      <c r="K19" s="435"/>
      <c r="M19" s="421" t="str">
        <f ca="1">IFERROR(VLOOKUP(M17,OFFSET($AG$2,,,COUNTIF($AG$2:$AG$50,"?*"),23),18,FALSE),"")</f>
        <v/>
      </c>
      <c r="N19" s="422"/>
      <c r="O19" s="422"/>
      <c r="P19" s="423" t="str">
        <f ca="1">IFERROR(VLOOKUP(M17,OFFSET($AG$2,,,COUNTIF($AG$2:$AG$50,"?*"),23),19,FALSE),"")</f>
        <v/>
      </c>
      <c r="Q19" s="423"/>
      <c r="R19" s="424"/>
      <c r="S19" s="110" t="s">
        <v>1112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586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1117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/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/>
      </c>
      <c r="E20" s="434"/>
      <c r="F20" s="7" t="str">
        <f ca="1">IFERROR(IF(VLOOKUP(A17,OFFSET($AG$2,,,COUNTIF($AG$2:$AG$50,"?*"),23),7,FALSE)&lt;&gt;0,VLOOKUP(A17,OFFSET($AG$2,,,COUNTIF($AG$2:$AG$50,"?*"),23),7,FALSE),"?"),"")</f>
        <v/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/>
      </c>
      <c r="N20" s="431"/>
      <c r="O20" s="432"/>
      <c r="P20" s="433" t="str">
        <f ca="1">IFERROR(IF(VLOOKUP(M17,OFFSET($AG$2,,,COUNTIF($AG$2:$AG$50,"?*"),23),14,FALSE)&lt;&gt;0,VLOOKUP(M17,OFFSET($AG$2,,,COUNTIF($AG$2:$AG$50,"?*"),23),14,FALSE),"?"),"")</f>
        <v/>
      </c>
      <c r="Q20" s="43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575</v>
      </c>
      <c r="T20" s="102" t="s">
        <v>57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573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26</v>
      </c>
      <c r="AQ20" s="123">
        <v>186</v>
      </c>
      <c r="AR20" s="123">
        <v>80</v>
      </c>
      <c r="AS20" s="126" t="s">
        <v>599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15 OZ, 2 (1+1), -1 ±</v>
      </c>
      <c r="AY20" s="129" t="str">
        <f t="shared" ca="1" si="2"/>
        <v>81 OZ, 39 (19+20)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568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587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601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579</v>
      </c>
      <c r="U22" s="102">
        <v>12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571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136</v>
      </c>
      <c r="AQ22" s="123">
        <v>191</v>
      </c>
      <c r="AR22" s="123">
        <v>87</v>
      </c>
      <c r="AS22" s="126" t="s">
        <v>602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16 OZ, 11 (6+5), +13 ±</v>
      </c>
      <c r="AY22" s="129" t="str">
        <f t="shared" ca="1" si="2"/>
        <v>160 OZ, 106 (49+57)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4" t="s">
        <v>37</v>
      </c>
      <c r="BT22" s="104" t="s">
        <v>1118</v>
      </c>
      <c r="BU22" s="103">
        <v>14</v>
      </c>
      <c r="BV22" s="104" t="str">
        <f t="shared" si="13"/>
        <v>Marek Zouzal</v>
      </c>
      <c r="BW22" s="102">
        <f t="shared" si="14"/>
        <v>14</v>
      </c>
    </row>
    <row r="23" spans="1:75" ht="15" customHeight="1" thickTop="1" thickBot="1" x14ac:dyDescent="0.25">
      <c r="A23" s="425"/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7" t="s">
        <v>12</v>
      </c>
      <c r="I23" s="427"/>
      <c r="J23" s="427"/>
      <c r="K23" s="427"/>
      <c r="M23" s="425"/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572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588</v>
      </c>
      <c r="AH23" s="122"/>
      <c r="AI23" s="123"/>
      <c r="AJ23" s="123"/>
      <c r="AK23" s="123"/>
      <c r="AL23" s="124">
        <f>IF(AG23&lt;&gt;"",AJ23+AK23,"")</f>
        <v>0</v>
      </c>
      <c r="AM23" s="123" t="s">
        <v>275</v>
      </c>
      <c r="AN23" s="123"/>
      <c r="AO23" s="125"/>
      <c r="AP23" s="125" t="s">
        <v>26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4"/>
      <c r="BT23" s="104" t="s">
        <v>1272</v>
      </c>
      <c r="BU23" s="103">
        <v>13</v>
      </c>
      <c r="BV23" s="104" t="str">
        <f t="shared" si="13"/>
        <v>Lukáš Ujhélyi</v>
      </c>
      <c r="BW23" s="102">
        <f t="shared" si="14"/>
        <v>13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 t="str">
        <f ca="1">IFERROR(IF(VLOOKUP(A23,OFFSET($AG$2,,,COUNTIF($AG$2:$AG$50,"?*"),23),2,FALSE)&lt;&gt;0,YEAR(VLOOKUP(A23,OFFSET($AG$2,,,COUNTIF($AG$2:$AG$50,"?*"),23),2,FALSE)),""),"")</f>
        <v/>
      </c>
      <c r="C24" s="429"/>
      <c r="D24" s="117" t="str">
        <f ca="1">IFERROR(VLOOKUP(A23,OFFSET($AG$2,,,COUNTIF($AG$2:$AG$50,"?*"),23),15,FALSE),"")</f>
        <v/>
      </c>
      <c r="E24" s="419" t="str">
        <f ca="1">IFERROR(VLOOKUP(A23,OFFSET($AG$2,,,COUNTIF($AG$2:$AG$50,"?*"),23),16,FALSE),"")</f>
        <v/>
      </c>
      <c r="F24" s="420"/>
      <c r="M24" s="4" t="str">
        <f ca="1">IFERROR(IF(VLOOKUP(M23,OFFSET($AG$2,,,COUNTIF($AG$2:$AG$50,"?*"),23),10,FALSE)&lt;&gt;0,VLOOKUP(M23,OFFSET($AG$2,,,COUNTIF($AG$2:$AG$50,"?*"),23),10,FALSE),""),"")</f>
        <v/>
      </c>
      <c r="N24" s="428" t="str">
        <f ca="1">IFERROR(IF(VLOOKUP(M23,OFFSET($AG$2,,,COUNTIF($AG$2:$AG$50,"?*"),23),2,FALSE)&lt;&gt;0,YEAR(VLOOKUP(M23,OFFSET($AG$2,,,COUNTIF($AG$2:$AG$50,"?*"),23),2,FALSE)),""),"")</f>
        <v/>
      </c>
      <c r="O24" s="429"/>
      <c r="P24" s="117" t="str">
        <f ca="1">IFERROR(VLOOKUP(M23,OFFSET($AG$2,,,COUNTIF($AG$2:$AG$50,"?*"),23),15,FALSE),"")</f>
        <v/>
      </c>
      <c r="Q24" s="419" t="str">
        <f ca="1">IFERROR(VLOOKUP(M23,OFFSET($AG$2,,,COUNTIF($AG$2:$AG$50,"?*"),23),16,FALSE),"")</f>
        <v/>
      </c>
      <c r="R24" s="420"/>
      <c r="S24" s="110" t="s">
        <v>577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589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26</v>
      </c>
      <c r="AQ24" s="123">
        <v>187</v>
      </c>
      <c r="AR24" s="123">
        <v>70</v>
      </c>
      <c r="AS24" s="126" t="s">
        <v>603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4"/>
      <c r="BT24" s="104" t="s">
        <v>1002</v>
      </c>
      <c r="BU24" s="103">
        <v>12</v>
      </c>
      <c r="BV24" s="104" t="str">
        <f t="shared" si="13"/>
        <v>Mikuláš Krbec</v>
      </c>
      <c r="BW24" s="102">
        <f t="shared" si="14"/>
        <v>12</v>
      </c>
    </row>
    <row r="25" spans="1:75" ht="15" customHeight="1" thickTop="1" thickBot="1" x14ac:dyDescent="0.25">
      <c r="A25" s="421" t="str">
        <f ca="1">IFERROR(VLOOKUP(A23,OFFSET($AG$2,,,COUNTIF($AG$2:$AG$50,"?*"),23),18,FALSE),"")</f>
        <v/>
      </c>
      <c r="B25" s="422"/>
      <c r="C25" s="422"/>
      <c r="D25" s="423" t="str">
        <f ca="1">IFERROR(VLOOKUP(A23,OFFSET($AG$2,,,COUNTIF($AG$2:$AG$50,"?*"),23),19,FALSE),"")</f>
        <v/>
      </c>
      <c r="E25" s="423"/>
      <c r="F25" s="424"/>
      <c r="G25" s="425"/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1" t="str">
        <f ca="1">IFERROR(VLOOKUP(M23,OFFSET($AG$2,,,COUNTIF($AG$2:$AG$50,"?*"),23),18,FALSE),"")</f>
        <v/>
      </c>
      <c r="N25" s="422"/>
      <c r="O25" s="422"/>
      <c r="P25" s="423" t="str">
        <f ca="1">IFERROR(VLOOKUP(M23,OFFSET($AG$2,,,COUNTIF($AG$2:$AG$50,"?*"),23),19,FALSE),"")</f>
        <v/>
      </c>
      <c r="Q25" s="423"/>
      <c r="R25" s="424"/>
      <c r="S25" s="111"/>
      <c r="AC25" s="102" t="str">
        <f t="shared" ca="1" si="0"/>
        <v/>
      </c>
      <c r="AG25" s="121" t="s">
        <v>590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136</v>
      </c>
      <c r="AQ25" s="123">
        <v>181</v>
      </c>
      <c r="AR25" s="123">
        <v>76</v>
      </c>
      <c r="AS25" s="126" t="s">
        <v>604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4"/>
      <c r="BT25" s="104" t="s">
        <v>1273</v>
      </c>
      <c r="BU25" s="103">
        <v>9</v>
      </c>
      <c r="BV25" s="104" t="str">
        <f t="shared" si="13"/>
        <v>Jakub Kolstrunk</v>
      </c>
      <c r="BW25" s="102">
        <f t="shared" si="14"/>
        <v>9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/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/>
      </c>
      <c r="E26" s="43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8" t="str">
        <f ca="1">IFERROR(IF(VLOOKUP(G25,OFFSET($AG$2,,,COUNTIF($AG$2:$AG$50,"?*"),23),2,FALSE)&lt;&gt;0,YEAR(VLOOKUP(G25,OFFSET($AG$2,,,COUNTIF($AG$2:$AG$50,"?*"),23),2,FALSE)),""),"")</f>
        <v/>
      </c>
      <c r="I26" s="429"/>
      <c r="J26" s="117" t="str">
        <f ca="1">IFERROR(VLOOKUP(G25,OFFSET($AG$2,,,COUNTIF($AG$2:$AG$50,"?*"),23),15,FALSE),"")</f>
        <v/>
      </c>
      <c r="K26" s="419" t="str">
        <f ca="1">IFERROR(VLOOKUP(G25,OFFSET($AG$2,,,COUNTIF($AG$2:$AG$50,"?*"),23),16,FALSE),"")</f>
        <v/>
      </c>
      <c r="L26" s="420"/>
      <c r="M26" s="430" t="str">
        <f ca="1">IFERROR(IF(VLOOKUP(M23,OFFSET($AG$2,,,COUNTIF($AG$2:$AG$50,"?*"),23),13,FALSE)&lt;&gt;0,VLOOKUP(M23,OFFSET($AG$2,,,COUNTIF($AG$2:$AG$50,"?*"),23),13,FALSE),"?"),"")</f>
        <v/>
      </c>
      <c r="N26" s="431"/>
      <c r="O26" s="432"/>
      <c r="P26" s="433" t="str">
        <f ca="1">IFERROR(IF(VLOOKUP(M23,OFFSET($AG$2,,,COUNTIF($AG$2:$AG$50,"?*"),23),14,FALSE)&lt;&gt;0,VLOOKUP(M23,OFFSET($AG$2,,,COUNTIF($AG$2:$AG$50,"?*"),23),14,FALSE),"?"),"")</f>
        <v/>
      </c>
      <c r="Q26" s="43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591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136</v>
      </c>
      <c r="AQ26" s="123">
        <v>190</v>
      </c>
      <c r="AR26" s="123">
        <v>77</v>
      </c>
      <c r="AS26" s="126" t="s">
        <v>605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4"/>
      <c r="BT26" s="104" t="s">
        <v>1450</v>
      </c>
      <c r="BU26" s="103">
        <v>7</v>
      </c>
      <c r="BV26" s="104" t="str">
        <f t="shared" si="13"/>
        <v>Dominik Bartoš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/>
      </c>
      <c r="H27" s="422"/>
      <c r="I27" s="422"/>
      <c r="J27" s="423" t="str">
        <f ca="1">IFERROR(VLOOKUP(G25,OFFSET($AG$2,,,COUNTIF($AG$2:$AG$50,"?*"),23),19,FALSE),"")</f>
        <v/>
      </c>
      <c r="K27" s="423"/>
      <c r="L27" s="424"/>
      <c r="S27" s="111"/>
      <c r="AC27" s="102" t="str">
        <f t="shared" ca="1" si="0"/>
        <v/>
      </c>
      <c r="AG27" s="121" t="s">
        <v>580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136</v>
      </c>
      <c r="AQ27" s="123">
        <v>192</v>
      </c>
      <c r="AR27" s="123">
        <v>86</v>
      </c>
      <c r="AS27" s="126" t="s">
        <v>387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16 OZ, 6 (2+4), +2 ±</v>
      </c>
      <c r="AY27" s="129" t="str">
        <f t="shared" ca="1" si="16"/>
        <v>142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4" t="s">
        <v>38</v>
      </c>
      <c r="BT27" s="104" t="s">
        <v>1451</v>
      </c>
      <c r="BU27" s="103">
        <v>31</v>
      </c>
      <c r="BV27" s="104" t="str">
        <f t="shared" si="13"/>
        <v>Radim Křenek</v>
      </c>
      <c r="BW27" s="102">
        <f t="shared" si="14"/>
        <v>31</v>
      </c>
    </row>
    <row r="28" spans="1:75" ht="15" customHeight="1" thickTop="1" thickBot="1" x14ac:dyDescent="0.25">
      <c r="A28" s="425"/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/>
      </c>
      <c r="H28" s="431"/>
      <c r="I28" s="432"/>
      <c r="J28" s="433" t="str">
        <f ca="1">IFERROR(IF(VLOOKUP(G25,OFFSET($AG$2,,,COUNTIF($AG$2:$AG$50,"?*"),23),14,FALSE)&lt;&gt;0,VLOOKUP(G25,OFFSET($AG$2,,,COUNTIF($AG$2:$AG$50,"?*"),23),14,FALSE),"?"),"")</f>
        <v/>
      </c>
      <c r="K28" s="434"/>
      <c r="L28" s="7" t="str">
        <f ca="1">IFERROR(IF(VLOOKUP(G25,OFFSET($AG$2,,,COUNTIF($AG$2:$AG$50,"?*"),23),7,FALSE)&lt;&gt;0,VLOOKUP(G25,OFFSET($AG$2,,,COUNTIF($AG$2:$AG$50,"?*"),23),7,FALSE),"?"),"")</f>
        <v/>
      </c>
      <c r="M28" s="425"/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592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606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4"/>
      <c r="BT28" s="104" t="s">
        <v>1272</v>
      </c>
      <c r="BU28" s="103">
        <v>8</v>
      </c>
      <c r="BV28" s="104" t="str">
        <f t="shared" si="13"/>
        <v>Lukáš Ujhélyi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/>
      </c>
      <c r="E29" s="419" t="str">
        <f ca="1">IFERROR(VLOOKUP(A28,OFFSET($AG$2,,,COUNTIF($AG$2:$AG$50,"?*"),23),16,FALSE),"")</f>
        <v/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1"/>
      <c r="AC29" s="102" t="str">
        <f t="shared" ca="1" si="0"/>
        <v/>
      </c>
      <c r="AG29" s="121" t="s">
        <v>565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136</v>
      </c>
      <c r="AQ29" s="123">
        <v>173</v>
      </c>
      <c r="AR29" s="123">
        <v>64</v>
      </c>
      <c r="AS29" s="126" t="s">
        <v>224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16 OZ, 24 (10+14), +16 ±</v>
      </c>
      <c r="AY29" s="129" t="str">
        <f t="shared" ca="1" si="16"/>
        <v>155 OZ, 160 (73+87)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4"/>
      <c r="BT29" s="104" t="s">
        <v>1452</v>
      </c>
      <c r="BU29" s="103">
        <v>8</v>
      </c>
      <c r="BV29" s="104" t="str">
        <f t="shared" si="13"/>
        <v>Michal Zeman</v>
      </c>
      <c r="BW29" s="102">
        <f t="shared" si="14"/>
        <v>8</v>
      </c>
    </row>
    <row r="30" spans="1:75" ht="15" customHeight="1" x14ac:dyDescent="0.2">
      <c r="A30" s="421" t="str">
        <f ca="1">IFERROR(VLOOKUP(A28,OFFSET($AG$2,,,COUNTIF($AG$2:$AG$50,"?*"),23),18,FALSE),"")</f>
        <v/>
      </c>
      <c r="B30" s="422"/>
      <c r="C30" s="422"/>
      <c r="D30" s="423" t="str">
        <f ca="1">IFERROR(VLOOKUP(A28,OFFSET($AG$2,,,COUNTIF($AG$2:$AG$50,"?*"),23),19,FALSE),"")</f>
        <v/>
      </c>
      <c r="E30" s="423"/>
      <c r="F30" s="424"/>
      <c r="H30" s="435" t="str">
        <f>H$8</f>
        <v>SPA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4"/>
      <c r="BT30" s="104" t="s">
        <v>1453</v>
      </c>
      <c r="BU30" s="103">
        <v>6</v>
      </c>
      <c r="BV30" s="104" t="str">
        <f t="shared" si="13"/>
        <v>Kristián Kozák</v>
      </c>
      <c r="BW30" s="102">
        <f t="shared" si="14"/>
        <v>6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/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/>
      </c>
      <c r="E31" s="434"/>
      <c r="F31" s="7" t="str">
        <f ca="1">IFERROR(IF(VLOOKUP(A28,OFFSET($AG$2,,,COUNTIF($AG$2:$AG$50,"?*"),23),7,FALSE)&lt;&gt;0,VLOOKUP(A28,OFFSET($AG$2,,,COUNTIF($AG$2:$AG$50,"?*"),23),7,FALSE),"?"),"")</f>
        <v/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4"/>
      <c r="BT31" s="104" t="s">
        <v>1454</v>
      </c>
      <c r="BU31" s="103">
        <v>6</v>
      </c>
      <c r="BV31" s="104" t="str">
        <f t="shared" si="13"/>
        <v>Mikuláš Krbec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5"/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6" t="s">
        <v>15</v>
      </c>
      <c r="J34" s="425"/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8" t="str">
        <f ca="1">IFERROR(IF(VLOOKUP(A34,OFFSET($AG$2,,,COUNTIF($AG$2:$AG$50,"?*"),23),2,FALSE)&lt;&gt;0,YEAR(VLOOKUP(A34,OFFSET($AG$2,,,COUNTIF($AG$2:$AG$50,"?*"),23),2,FALSE)),""),"")</f>
        <v/>
      </c>
      <c r="C35" s="429"/>
      <c r="D35" s="117" t="str">
        <f ca="1">IFERROR(VLOOKUP(A34,OFFSET($AG$2,,,COUNTIF($AG$2:$AG$50,"?*"),23),15,FALSE),"")</f>
        <v/>
      </c>
      <c r="E35" s="419" t="str">
        <f ca="1">IFERROR(VLOOKUP(A34,OFFSET($AG$2,,,COUNTIF($AG$2:$AG$50,"?*"),23),16,FALSE),"")</f>
        <v/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/>
      </c>
      <c r="K35" s="429" t="str">
        <f ca="1">IFERROR(IF(VLOOKUP(J34,OFFSET($AG$2,,,COUNTIF($AG$2:$AG$50,"?*"),23),2,FALSE)&lt;&gt;0,YEAR(VLOOKUP(J34,OFFSET($AG$2,,,COUNTIF($AG$2:$AG$50,"?*"),23),2,FALSE)),""),"")</f>
        <v/>
      </c>
      <c r="L35" s="437"/>
      <c r="M35" s="118" t="str">
        <f ca="1">IFERROR(VLOOKUP(J34,OFFSET($AG$2,,,COUNTIF($AG$2:$AG$50,"?*"),23),15,FALSE),"")</f>
        <v/>
      </c>
      <c r="N35" s="437" t="str">
        <f ca="1">IFERROR(VLOOKUP(J34,OFFSET($AG$2,,,COUNTIF($AG$2:$AG$50,"?*"),23),16,FALSE),"")</f>
        <v/>
      </c>
      <c r="O35" s="437"/>
      <c r="P35" s="437" t="str">
        <f ca="1">IFERROR(VLOOKUP(J34,OFFSET($AG$2,,,COUNTIF($AG$2:$AG$50,"?*"),23),18,FALSE),"")</f>
        <v/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5" t="str">
        <f ca="1">IFERROR(VLOOKUP(A34,OFFSET($AG$2,,,COUNTIF($AG$2:$AG$50,"?*"),23),18,FALSE),"")</f>
        <v/>
      </c>
      <c r="C36" s="445"/>
      <c r="D36" s="446" t="str">
        <f ca="1">IFERROR(VLOOKUP(A34,OFFSET($S$45,,,COUNTIF($S$45:$S$50,"?*"),14),5,FALSE),"")</f>
        <v/>
      </c>
      <c r="E36" s="447"/>
      <c r="F36" s="17" t="str">
        <f ca="1">IFERROR(VLOOKUP(A34,OFFSET($S$45,,,COUNTIF($S$45:$S$50,"?*"),14),14,FALSE),"")</f>
        <v/>
      </c>
      <c r="H36" s="436"/>
      <c r="J36" s="18" t="str">
        <f ca="1">IFERROR(IF(VLOOKUP(J34,OFFSET($AG$2,,,COUNTIF($AG$2:$AG$50,"?*"),23),7,FALSE)&lt;&gt;0,VLOOKUP(J34,OFFSET($AG$2,,,COUNTIF($AG$2:$AG$50,"?*"),23),7,FALSE),"?"),"")</f>
        <v/>
      </c>
      <c r="K36" s="448" t="str">
        <f ca="1">IFERROR(VLOOKUP(J34,OFFSET($AG$2,,,COUNTIF($AG$2:$AG$50,"?*"),23),19,FALSE),"")</f>
        <v/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/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/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 t="str">
        <f ca="1">IFERROR(VLOOKUP(A34,OFFSET($S$45,,,COUNTIF($S$45:$S$50,"?*"),14),3,FALSE),"")</f>
        <v/>
      </c>
      <c r="B37" s="439"/>
      <c r="C37" s="440" t="str">
        <f ca="1">IFERROR(VLOOKUP(A34,OFFSET($S$45,,,COUNTIF($S$45:$S$50,"?*"),14),13,FALSE),"")</f>
        <v/>
      </c>
      <c r="D37" s="441"/>
      <c r="E37" s="442" t="str">
        <f ca="1">IFERROR(VLOOKUP(A34,OFFSET($AG$2,,,COUNTIF($AG$2:$AG$50,"?*"),23),19,FALSE),"")</f>
        <v/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/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/>
      </c>
      <c r="E38" s="434"/>
      <c r="F38" s="19" t="str">
        <f ca="1">IFERROR(VLOOKUP(A34,OFFSET($S$45,,,COUNTIF($S$45:$S$50,"?*"),14),6,FALSE),"")</f>
        <v/>
      </c>
      <c r="H38" s="436"/>
      <c r="J38" s="425"/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 t="str">
        <f ca="1">IFERROR(IF(VLOOKUP(J38,OFFSET($AG$2,,,COUNTIF($AG$2:$AG$50,"?*"),23),2,FALSE)&lt;&gt;0,YEAR(VLOOKUP(J38,OFFSET($AG$2,,,COUNTIF($AG$2:$AG$50,"?*"),23),2,FALSE)),""),"")</f>
        <v/>
      </c>
      <c r="L39" s="437"/>
      <c r="M39" s="150" t="str">
        <f ca="1">IFERROR(VLOOKUP(J38,OFFSET($AG$2,,,COUNTIF($AG$2:$AG$50,"?*"),23),15,FALSE),"")</f>
        <v/>
      </c>
      <c r="N39" s="437" t="str">
        <f ca="1">IFERROR(VLOOKUP(J38,OFFSET($AG$2,,,COUNTIF($AG$2:$AG$50,"?*"),23),16,FALSE),"")</f>
        <v/>
      </c>
      <c r="O39" s="437"/>
      <c r="P39" s="437" t="str">
        <f ca="1">IFERROR(VLOOKUP(J38,OFFSET($AG$2,,,COUNTIF($AG$2:$AG$50,"?*"),23),18,FALSE),"")</f>
        <v/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/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6"/>
      <c r="J40" s="18" t="str">
        <f ca="1">IFERROR(IF(VLOOKUP(J38,OFFSET($AG$2,,,COUNTIF($AG$2:$AG$50,"?*"),23),7,FALSE)&lt;&gt;0,VLOOKUP(J38,OFFSET($AG$2,,,COUNTIF($AG$2:$AG$50,"?*"),23),7,FALSE),"?"),"")</f>
        <v/>
      </c>
      <c r="K40" s="448" t="str">
        <f ca="1">IFERROR(VLOOKUP(J38,OFFSET($AG$2,,,COUNTIF($AG$2:$AG$50,"?*"),23),19,FALSE),"")</f>
        <v/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/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/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8" t="str">
        <f ca="1">IFERROR(IF(VLOOKUP(A40,OFFSET($AG$2,,,COUNTIF($AG$2:$AG$50,"?*"),23),2,FALSE)&lt;&gt;0,YEAR(VLOOKUP(A40,OFFSET($AG$2,,,COUNTIF($AG$2:$AG$50,"?*"),23),2,FALSE)),""),"")</f>
        <v/>
      </c>
      <c r="C41" s="429"/>
      <c r="D41" s="117" t="str">
        <f ca="1">IFERROR(VLOOKUP(A40,OFFSET($AG$2,,,COUNTIF($AG$2:$AG$50,"?*"),23),15,FALSE),"")</f>
        <v/>
      </c>
      <c r="E41" s="419" t="str">
        <f ca="1">IFERROR(VLOOKUP(A40,OFFSET($AG$2,,,COUNTIF($AG$2:$AG$50,"?*"),23),16,FALSE),"")</f>
        <v/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5" t="str">
        <f ca="1">IFERROR(VLOOKUP(A40,OFFSET($AG$2,,,COUNTIF($AG$2:$AG$50,"?*"),23),18,FALSE),"")</f>
        <v/>
      </c>
      <c r="C42" s="445"/>
      <c r="D42" s="446" t="str">
        <f ca="1">IFERROR(VLOOKUP(A40,OFFSET($S$45,,,COUNTIF($S$45:$S$50,"?*"),14),5,FALSE),"")</f>
        <v/>
      </c>
      <c r="E42" s="447"/>
      <c r="F42" s="17" t="str">
        <f ca="1">IFERROR(VLOOKUP(A40,OFFSET($S$45,,,COUNTIF($S$45:$S$50,"?*"),14),14,FALSE),"")</f>
        <v/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 t="str">
        <f ca="1">IFERROR(VLOOKUP(A40,OFFSET($S$45,,,COUNTIF($S$45:$S$50,"?*"),14),3,FALSE),"")</f>
        <v/>
      </c>
      <c r="B43" s="439"/>
      <c r="C43" s="440" t="str">
        <f ca="1">IFERROR(VLOOKUP(A40,OFFSET($S$45,,,COUNTIF($S$45:$S$50,"?*"),14),13,FALSE),"")</f>
        <v/>
      </c>
      <c r="D43" s="441"/>
      <c r="E43" s="442" t="str">
        <f ca="1">IFERROR(VLOOKUP(A40,OFFSET($AG$2,,,COUNTIF($AG$2:$AG$50,"?*"),23),19,FALSE),"")</f>
        <v/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/>
      </c>
      <c r="B44" s="431"/>
      <c r="C44" s="432"/>
      <c r="D44" s="433" t="str">
        <f ca="1">IFERROR(IF(VLOOKUP(A40,OFFSET($AG$2,,,COUNTIF($AG$2:$AG$50,"?*"),23),14,FALSE)&lt;&gt;0,VLOOKUP(A40,OFFSET($AG$2,,,COUNTIF($AG$2:$AG$50,"?*"),23),14,FALSE),"?"),"")</f>
        <v/>
      </c>
      <c r="E44" s="434"/>
      <c r="F44" s="19" t="str">
        <f ca="1">IFERROR(VLOOKUP(A40,OFFSET($S$45,,,COUNTIF($S$45:$S$50,"?*"),14),6,FALSE),"")</f>
        <v/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577</v>
      </c>
      <c r="T45" s="102">
        <v>15</v>
      </c>
      <c r="U45" s="112">
        <v>896.56</v>
      </c>
      <c r="V45" s="102">
        <v>9</v>
      </c>
      <c r="W45" s="102">
        <v>70</v>
      </c>
      <c r="X45" s="102">
        <v>0</v>
      </c>
      <c r="Y45" s="102">
        <v>314</v>
      </c>
      <c r="Z45" s="102">
        <v>0</v>
      </c>
      <c r="AA45" s="102">
        <v>6</v>
      </c>
      <c r="AB45" s="102">
        <v>244</v>
      </c>
      <c r="AC45" s="102">
        <v>0</v>
      </c>
      <c r="AD45" s="102">
        <v>0</v>
      </c>
      <c r="AE45" s="112">
        <f>IF(S45&lt;&gt;"",IF(T45&gt;0,W45/(U45/60),0),"")</f>
        <v>4.6845721424109934</v>
      </c>
      <c r="AF45" s="112">
        <f>IF(S45&lt;&gt;"",IF(Y45&gt;0,(AB45/Y45)*100,"-"),"")</f>
        <v>77.70700636942675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/>
      <c r="B47" s="466"/>
      <c r="C47" s="466"/>
      <c r="D47" s="466"/>
      <c r="E47" s="461" t="str">
        <f ca="1">IFERROR(VLOOKUP(A47,OFFSET($BN$2,,,COUNTIF($BN$2:$BN$11,"?*"),5),3,FALSE),"")</f>
        <v/>
      </c>
      <c r="F47" s="461"/>
      <c r="G47" s="461"/>
      <c r="H47" s="461"/>
      <c r="I47" s="462"/>
      <c r="J47" s="465"/>
      <c r="K47" s="466"/>
      <c r="L47" s="466"/>
      <c r="M47" s="466"/>
      <c r="N47" s="461" t="str">
        <f ca="1">IFERROR(VLOOKUP(J47,OFFSET($BN$2,,,COUNTIF($BN$2:$BN$11,"?*"),5),3,FALSE),"")</f>
        <v/>
      </c>
      <c r="O47" s="461"/>
      <c r="P47" s="461"/>
      <c r="Q47" s="461"/>
      <c r="R47" s="462"/>
      <c r="S47" s="111" t="s">
        <v>1111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 t="str">
        <f ca="1">IFERROR(VLOOKUP(A47,OFFSET($BN$2,,,COUNTIF($BN$2:$BN$11,"?*"),5),5,FALSE),"")</f>
        <v/>
      </c>
      <c r="B48" s="453" t="str">
        <f ca="1">IFERROR(IF(VLOOKUP(A47,OFFSET($BN$2,,,COUNTIF($BN$2:$BN$11,"?*"),5),4,FALSE)&lt;&gt;0,VLOOKUP(A47,OFFSET($BN$2,,,COUNTIF($BN$2:$BN$11,"?*"),5),4,FALSE),"-"),"")</f>
        <v/>
      </c>
      <c r="C48" s="453"/>
      <c r="D48" s="453"/>
      <c r="E48" s="453"/>
      <c r="F48" s="453"/>
      <c r="G48" s="453"/>
      <c r="H48" s="453"/>
      <c r="I48" s="454"/>
      <c r="J48" s="119" t="str">
        <f ca="1">IFERROR(VLOOKUP(J47,OFFSET($BN$2,,,COUNTIF($BN$2:$BN$11,"?*"),5),5,FALSE),"")</f>
        <v/>
      </c>
      <c r="K48" s="457" t="str">
        <f ca="1">IFERROR(IF(VLOOKUP(J47,OFFSET($BN$2,,,COUNTIF($BN$2:$BN$11,"?*"),5),4,FALSE)&lt;&gt;0,VLOOKUP(J47,OFFSET($BN$2,,,COUNTIF($BN$2:$BN$11,"?*"),5),4,FALSE),"-"),"")</f>
        <v/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/>
      <c r="K49" s="460"/>
      <c r="L49" s="460"/>
      <c r="M49" s="460"/>
      <c r="N49" s="461" t="str">
        <f ca="1">IFERROR(VLOOKUP(J49,OFFSET($BN$2,,,COUNTIF($BN$2:$BN$11,"?*"),5),3,FALSE),"")</f>
        <v/>
      </c>
      <c r="O49" s="461"/>
      <c r="P49" s="461"/>
      <c r="Q49" s="461"/>
      <c r="R49" s="462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 t="str">
        <f ca="1">IFERROR(VLOOKUP(J49,OFFSET($BN$2,,,COUNTIF($BN$2:$BN$11,"?*"),5),5,FALSE),"")</f>
        <v/>
      </c>
      <c r="K50" s="457" t="str">
        <f ca="1">IFERROR(IF(VLOOKUP(J49,OFFSET($BN$2,,,COUNTIF($BN$2:$BN$11,"?*"),5),4,FALSE)&lt;&gt;0,VLOOKUP(J49,OFFSET($BN$2,,,COUNTIF($BN$2:$BN$11,"?*"),5),4,FALSE),"-"),"")</f>
        <v/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67" priority="11" stopIfTrue="1" operator="equal">
      <formula>"OTR"</formula>
    </cfRule>
    <cfRule type="cellIs" dxfId="166" priority="12" stopIfTrue="1" operator="equal">
      <formula>"PAR"</formula>
    </cfRule>
    <cfRule type="cellIs" dxfId="165" priority="13" stopIfTrue="1" operator="equal">
      <formula>"CLP"</formula>
    </cfRule>
    <cfRule type="cellIs" dxfId="164" priority="14" stopIfTrue="1" operator="equal">
      <formula>"HAT"</formula>
    </cfRule>
    <cfRule type="cellIs" dxfId="163" priority="15" stopIfTrue="1" operator="equal">
      <formula>"LIB"</formula>
    </cfRule>
    <cfRule type="cellIs" dxfId="162" priority="16" stopIfTrue="1" operator="equal">
      <formula>"BA"</formula>
    </cfRule>
    <cfRule type="cellIs" dxfId="161" priority="17" stopIfTrue="1" operator="equal">
      <formula>"SPA"</formula>
    </cfRule>
    <cfRule type="cellIs" dxfId="160" priority="18" stopIfTrue="1" operator="equal">
      <formula>"OST"</formula>
    </cfRule>
    <cfRule type="cellIs" dxfId="159" priority="19" stopIfTrue="1" operator="equal">
      <formula>"BOH"</formula>
    </cfRule>
    <cfRule type="cellIs" dxfId="158" priority="20" stopIfTrue="1" operator="equal">
      <formula>"TAT"</formula>
    </cfRule>
    <cfRule type="cellIs" dxfId="157" priority="21" stopIfTrue="1" operator="equal">
      <formula>"MB"</formula>
    </cfRule>
    <cfRule type="cellIs" dxfId="156" priority="22" stopIfTrue="1" operator="equal">
      <formula>"VIT"</formula>
    </cfRule>
    <cfRule type="cellIs" dxfId="155" priority="23" stopIfTrue="1" operator="equal">
      <formula>"CHO"</formula>
    </cfRule>
    <cfRule type="cellIs" dxfId="154" priority="24" stopIfTrue="1" operator="equal">
      <formula>"SKV"</formula>
    </cfRule>
  </conditionalFormatting>
  <conditionalFormatting sqref="H19:K20">
    <cfRule type="cellIs" dxfId="153" priority="39" stopIfTrue="1" operator="equal">
      <formula>"OTR"</formula>
    </cfRule>
    <cfRule type="cellIs" dxfId="152" priority="40" stopIfTrue="1" operator="equal">
      <formula>"PAR"</formula>
    </cfRule>
    <cfRule type="cellIs" dxfId="151" priority="41" stopIfTrue="1" operator="equal">
      <formula>"CLP"</formula>
    </cfRule>
    <cfRule type="cellIs" dxfId="150" priority="42" stopIfTrue="1" operator="equal">
      <formula>"HAT"</formula>
    </cfRule>
    <cfRule type="cellIs" dxfId="149" priority="43" stopIfTrue="1" operator="equal">
      <formula>"LIB"</formula>
    </cfRule>
    <cfRule type="cellIs" dxfId="148" priority="44" stopIfTrue="1" operator="equal">
      <formula>"BA"</formula>
    </cfRule>
    <cfRule type="cellIs" dxfId="147" priority="45" stopIfTrue="1" operator="equal">
      <formula>"SPA"</formula>
    </cfRule>
    <cfRule type="cellIs" dxfId="146" priority="46" stopIfTrue="1" operator="equal">
      <formula>"OST"</formula>
    </cfRule>
    <cfRule type="cellIs" dxfId="145" priority="47" stopIfTrue="1" operator="equal">
      <formula>"BOH"</formula>
    </cfRule>
    <cfRule type="cellIs" dxfId="144" priority="48" stopIfTrue="1" operator="equal">
      <formula>"TAT"</formula>
    </cfRule>
    <cfRule type="cellIs" dxfId="143" priority="49" stopIfTrue="1" operator="equal">
      <formula>"MB"</formula>
    </cfRule>
    <cfRule type="cellIs" dxfId="142" priority="50" stopIfTrue="1" operator="equal">
      <formula>"VIT"</formula>
    </cfRule>
    <cfRule type="cellIs" dxfId="141" priority="51" stopIfTrue="1" operator="equal">
      <formula>"CHO"</formula>
    </cfRule>
    <cfRule type="cellIs" dxfId="140" priority="52" stopIfTrue="1" operator="equal">
      <formula>"SKV"</formula>
    </cfRule>
  </conditionalFormatting>
  <conditionalFormatting sqref="H8:K9">
    <cfRule type="cellIs" dxfId="139" priority="25" stopIfTrue="1" operator="equal">
      <formula>"OTR"</formula>
    </cfRule>
    <cfRule type="cellIs" dxfId="138" priority="26" stopIfTrue="1" operator="equal">
      <formula>"PAR"</formula>
    </cfRule>
    <cfRule type="cellIs" dxfId="137" priority="27" stopIfTrue="1" operator="equal">
      <formula>"CLP"</formula>
    </cfRule>
    <cfRule type="cellIs" dxfId="136" priority="28" stopIfTrue="1" operator="equal">
      <formula>"HAT"</formula>
    </cfRule>
    <cfRule type="cellIs" dxfId="135" priority="29" stopIfTrue="1" operator="equal">
      <formula>"LIB"</formula>
    </cfRule>
    <cfRule type="cellIs" dxfId="134" priority="30" stopIfTrue="1" operator="equal">
      <formula>"BA"</formula>
    </cfRule>
    <cfRule type="cellIs" dxfId="133" priority="31" stopIfTrue="1" operator="equal">
      <formula>"SPA"</formula>
    </cfRule>
    <cfRule type="cellIs" dxfId="132" priority="32" stopIfTrue="1" operator="equal">
      <formula>"OST"</formula>
    </cfRule>
    <cfRule type="cellIs" dxfId="131" priority="33" stopIfTrue="1" operator="equal">
      <formula>"BOH"</formula>
    </cfRule>
    <cfRule type="cellIs" dxfId="130" priority="34" stopIfTrue="1" operator="equal">
      <formula>"TAT"</formula>
    </cfRule>
    <cfRule type="cellIs" dxfId="129" priority="35" stopIfTrue="1" operator="equal">
      <formula>"MB"</formula>
    </cfRule>
    <cfRule type="cellIs" dxfId="128" priority="36" stopIfTrue="1" operator="equal">
      <formula>"VIT"</formula>
    </cfRule>
    <cfRule type="cellIs" dxfId="127" priority="37" stopIfTrue="1" operator="equal">
      <formula>"CHO"</formula>
    </cfRule>
    <cfRule type="cellIs" dxfId="126" priority="38" stopIfTrue="1" operator="equal">
      <formula>"SKV"</formula>
    </cfRule>
  </conditionalFormatting>
  <conditionalFormatting sqref="S2:S42">
    <cfRule type="expression" dxfId="125" priority="9" stopIfTrue="1">
      <formula>IFERROR(IF(VLOOKUP($S2,OFFSET($AG$2,,,COUNTIF($AG$2:$AG$50,"?*")),1,FALSE)&lt;&gt;0,1,0),0)&gt;0</formula>
    </cfRule>
  </conditionalFormatting>
  <conditionalFormatting sqref="S2:S42">
    <cfRule type="expression" dxfId="124" priority="10">
      <formula>IFERROR(IF(VLOOKUP($S2,OFFSET($AG$2,,,COUNTIF($AG$2:$AG$50,"?*")),1,FALSE)&lt;&gt;0,1,0),0)=0</formula>
    </cfRule>
  </conditionalFormatting>
  <conditionalFormatting sqref="S45:S50">
    <cfRule type="expression" dxfId="123" priority="8">
      <formula>IFERROR(IF(VLOOKUP($S45,OFFSET($AG$2,,,COUNTIF($AG$2:$AG$50,"?*")),1,FALSE)&lt;&gt;0,1,0),0)&gt;0</formula>
    </cfRule>
  </conditionalFormatting>
  <conditionalFormatting sqref="S45:S50">
    <cfRule type="expression" dxfId="122" priority="7">
      <formula>IFERROR(IF(VLOOKUP($S45,OFFSET($AG$2,,,COUNTIF($AG$2:$AG$50,"?*")),1,FALSE)&lt;&gt;0,1,0),0)=0</formula>
    </cfRule>
  </conditionalFormatting>
  <conditionalFormatting sqref="AG2:AG50">
    <cfRule type="expression" dxfId="121" priority="4" stopIfTrue="1">
      <formula>OR($AH2="",$AI2="",$AJ2="",$AK2="",$AL2="",$AM2="",$AN2="",$AQ2="",$AR2="",$AS2="",$AT2="")</formula>
    </cfRule>
    <cfRule type="expression" dxfId="120" priority="5" stopIfTrue="1">
      <formula>IFERROR(IF(VLOOKUP($AG2,OFFSET($S$2,,,COUNTIF($S$2:$S$42,"?*")),1,FALSE)&lt;&gt;0,1,0),0)=0</formula>
    </cfRule>
    <cfRule type="expression" dxfId="119" priority="6">
      <formula>IFERROR(IF(VLOOKUP($AG2,OFFSET($S$2,,,COUNTIF($S$2:$S$42,"?*")),1,FALSE)&lt;&gt;0,1,0),0)&gt;0</formula>
    </cfRule>
  </conditionalFormatting>
  <conditionalFormatting sqref="AG2:AK50 AM2:BC50">
    <cfRule type="expression" dxfId="118" priority="3">
      <formula>AND($AG2&lt;&gt;"",MOD(ROW($AG2),2)=0)</formula>
    </cfRule>
  </conditionalFormatting>
  <conditionalFormatting sqref="BN2:BR11">
    <cfRule type="expression" dxfId="117" priority="2">
      <formula>AND($BN2&lt;&gt;"",MOD(ROW($BN2),2)=0)</formula>
    </cfRule>
  </conditionalFormatting>
  <conditionalFormatting sqref="AL2:AL50">
    <cfRule type="expression" dxfId="1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U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/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7" t="s">
        <v>1</v>
      </c>
      <c r="I1" s="427"/>
      <c r="J1" s="427"/>
      <c r="K1" s="427"/>
      <c r="M1" s="425"/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8" t="str">
        <f ca="1">IFERROR(IF(VLOOKUP(A1,OFFSET($AG$2,,,COUNTIF($AG$2:$AG$50,"?*"),23),2,FALSE)&lt;&gt;0,YEAR(VLOOKUP(A1,OFFSET($AG$2,,,COUNTIF($AG$2:$AG$50,"?*"),23),2,FALSE)),""),"")</f>
        <v/>
      </c>
      <c r="C2" s="429"/>
      <c r="D2" s="117" t="str">
        <f ca="1">IFERROR(VLOOKUP(A1,OFFSET($AG$2,,,COUNTIF($AG$2:$AG$50,"?*"),23),15,FALSE),"")</f>
        <v/>
      </c>
      <c r="E2" s="419" t="str">
        <f ca="1">IFERROR(VLOOKUP(A1,OFFSET($AG$2,,,COUNTIF($AG$2:$AG$50,"?*"),23),16,FALSE),"")</f>
        <v/>
      </c>
      <c r="F2" s="420"/>
      <c r="M2" s="4" t="str">
        <f ca="1">IFERROR(IF(VLOOKUP(M1,OFFSET($AG$2,,,COUNTIF($AG$2:$AG$50,"?*"),23),10,FALSE)&lt;&gt;0,VLOOKUP(M1,OFFSET($AG$2,,,COUNTIF($AG$2:$AG$50,"?*"),23),10,FALSE),""),"")</f>
        <v/>
      </c>
      <c r="N2" s="428" t="str">
        <f ca="1">IFERROR(IF(VLOOKUP(M1,OFFSET($AG$2,,,COUNTIF($AG$2:$AG$50,"?*"),23),2,FALSE)&lt;&gt;0,YEAR(VLOOKUP(M1,OFFSET($AG$2,,,COUNTIF($AG$2:$AG$50,"?*"),23),2,FALSE)),""),"")</f>
        <v/>
      </c>
      <c r="O2" s="429"/>
      <c r="P2" s="117" t="str">
        <f ca="1">IFERROR(VLOOKUP(M1,OFFSET($AG$2,,,COUNTIF($AG$2:$AG$50,"?*"),23),15,FALSE),"")</f>
        <v/>
      </c>
      <c r="Q2" s="419" t="str">
        <f ca="1">IFERROR(VLOOKUP(M1,OFFSET($AG$2,,,COUNTIF($AG$2:$AG$50,"?*"),23),16,FALSE),"")</f>
        <v/>
      </c>
      <c r="R2" s="420"/>
      <c r="S2" s="110" t="s">
        <v>403</v>
      </c>
      <c r="U2" s="102">
        <v>9</v>
      </c>
      <c r="V2" s="102">
        <v>15</v>
      </c>
      <c r="W2" s="102">
        <v>1</v>
      </c>
      <c r="X2" s="102">
        <v>0</v>
      </c>
      <c r="Y2" s="102">
        <v>15</v>
      </c>
      <c r="Z2" s="102">
        <v>30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412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136</v>
      </c>
      <c r="AQ2" s="123">
        <v>183</v>
      </c>
      <c r="AR2" s="123">
        <v>79</v>
      </c>
      <c r="AS2" s="126" t="s">
        <v>67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15 (8+7), +13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112 OZ, 99 (67+32)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444</v>
      </c>
      <c r="BO2" s="122">
        <v>29164</v>
      </c>
      <c r="BP2" s="131" t="s">
        <v>174</v>
      </c>
      <c r="BQ2" s="132" t="s">
        <v>445</v>
      </c>
      <c r="BR2" s="127">
        <f ca="1">IF(BN2&lt;&gt;"",IF(BO2&lt;&gt;"",INT((TODAY()-BO2)/365),"?"),"")</f>
        <v>42</v>
      </c>
      <c r="BS2" s="464" t="s">
        <v>35</v>
      </c>
      <c r="BT2" s="104" t="s">
        <v>450</v>
      </c>
      <c r="BU2" s="103">
        <v>30</v>
      </c>
      <c r="BV2" s="104" t="str">
        <f>IFERROR(RIGHT(BT2,LEN(BT2)-SEARCH(" ",BT2)),"")</f>
        <v>Marek Beneš</v>
      </c>
      <c r="BW2" s="102">
        <f>IF(BT2&lt;&gt;0,_xlfn.NUMBERVALUE(BU2,","),"")</f>
        <v>30</v>
      </c>
      <c r="BX2" s="463" t="s">
        <v>191</v>
      </c>
      <c r="BY2" s="103" t="s">
        <v>1048</v>
      </c>
      <c r="BZ2" s="103" t="s">
        <v>1348</v>
      </c>
      <c r="CA2" s="115" t="s">
        <v>803</v>
      </c>
    </row>
    <row r="3" spans="1:79" ht="15" customHeight="1" thickTop="1" thickBot="1" x14ac:dyDescent="0.25">
      <c r="A3" s="421" t="str">
        <f ca="1">IFERROR(VLOOKUP(A1,OFFSET($AG$2,,,COUNTIF($AG$2:$AG$50,"?*"),23),18,FALSE),"")</f>
        <v/>
      </c>
      <c r="B3" s="422"/>
      <c r="C3" s="422"/>
      <c r="D3" s="423" t="str">
        <f ca="1">IFERROR(VLOOKUP(A1,OFFSET($AG$2,,,COUNTIF($AG$2:$AG$50,"?*"),23),19,FALSE),"")</f>
        <v/>
      </c>
      <c r="E3" s="423"/>
      <c r="F3" s="424"/>
      <c r="G3" s="425"/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1" t="str">
        <f ca="1">IFERROR(VLOOKUP(M1,OFFSET($AG$2,,,COUNTIF($AG$2:$AG$50,"?*"),23),18,FALSE),"")</f>
        <v/>
      </c>
      <c r="N3" s="422"/>
      <c r="O3" s="422"/>
      <c r="P3" s="423" t="str">
        <f ca="1">IFERROR(VLOOKUP(M1,OFFSET($AG$2,,,COUNTIF($AG$2:$AG$50,"?*"),23),19,FALSE),"")</f>
        <v/>
      </c>
      <c r="Q3" s="423"/>
      <c r="R3" s="424"/>
      <c r="S3" s="110" t="s">
        <v>407</v>
      </c>
      <c r="U3" s="102">
        <v>16</v>
      </c>
      <c r="V3" s="102">
        <v>17</v>
      </c>
      <c r="W3" s="102">
        <v>3</v>
      </c>
      <c r="X3" s="102">
        <v>0</v>
      </c>
      <c r="Y3" s="102">
        <v>12</v>
      </c>
      <c r="Z3" s="102">
        <v>29</v>
      </c>
      <c r="AA3" s="102">
        <v>2</v>
      </c>
      <c r="AB3" s="102">
        <v>20</v>
      </c>
      <c r="AC3" s="102" t="str">
        <f t="shared" ca="1" si="0"/>
        <v>NE</v>
      </c>
      <c r="AG3" s="121" t="s">
        <v>423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435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446</v>
      </c>
      <c r="BO3" s="122">
        <v>27190</v>
      </c>
      <c r="BP3" s="131" t="s">
        <v>294</v>
      </c>
      <c r="BQ3" s="132"/>
      <c r="BR3" s="127">
        <f t="shared" ref="BR3:BR11" ca="1" si="12">IF(BN3&lt;&gt;"",IF(BO3&lt;&gt;"",INT((TODAY()-BO3)/365),"?"),"")</f>
        <v>47</v>
      </c>
      <c r="BS3" s="464"/>
      <c r="BT3" s="104" t="s">
        <v>1458</v>
      </c>
      <c r="BU3" s="103">
        <v>29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29</v>
      </c>
      <c r="BX3" s="463"/>
      <c r="BY3" s="103" t="s">
        <v>1039</v>
      </c>
      <c r="BZ3" s="103" t="s">
        <v>791</v>
      </c>
      <c r="CA3" s="115" t="s">
        <v>1457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/>
      </c>
      <c r="B4" s="431"/>
      <c r="C4" s="432"/>
      <c r="D4" s="433" t="str">
        <f ca="1">IFERROR(IF(VLOOKUP(A1,OFFSET($AG$2,,,COUNTIF($AG$2:$AG$50,"?*"),23),14,FALSE)&lt;&gt;0,VLOOKUP(A1,OFFSET($AG$2,,,COUNTIF($AG$2:$AG$50,"?*"),23),14,FALSE),"?"),"")</f>
        <v/>
      </c>
      <c r="E4" s="43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8" t="str">
        <f ca="1">IFERROR(IF(VLOOKUP(G3,OFFSET($AG$2,,,COUNTIF($AG$2:$AG$50,"?*"),23),2,FALSE)&lt;&gt;0,YEAR(VLOOKUP(G3,OFFSET($AG$2,,,COUNTIF($AG$2:$AG$50,"?*"),23),2,FALSE)),""),"")</f>
        <v/>
      </c>
      <c r="I4" s="429"/>
      <c r="J4" s="117" t="str">
        <f ca="1">IFERROR(VLOOKUP(G3,OFFSET($AG$2,,,COUNTIF($AG$2:$AG$50,"?*"),23),15,FALSE),"")</f>
        <v/>
      </c>
      <c r="K4" s="419" t="str">
        <f ca="1">IFERROR(VLOOKUP(G3,OFFSET($AG$2,,,COUNTIF($AG$2:$AG$50,"?*"),23),16,FALSE),"")</f>
        <v/>
      </c>
      <c r="L4" s="420"/>
      <c r="M4" s="430" t="str">
        <f ca="1">IFERROR(IF(VLOOKUP(M1,OFFSET($AG$2,,,COUNTIF($AG$2:$AG$50,"?*"),23),13,FALSE)&lt;&gt;0,VLOOKUP(M1,OFFSET($AG$2,,,COUNTIF($AG$2:$AG$50,"?*"),23),13,FALSE),"?"),"")</f>
        <v/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/>
      </c>
      <c r="Q4" s="43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404</v>
      </c>
      <c r="T4" s="102" t="s">
        <v>106</v>
      </c>
      <c r="U4" s="102">
        <v>15</v>
      </c>
      <c r="V4" s="102">
        <v>9</v>
      </c>
      <c r="W4" s="102">
        <v>4</v>
      </c>
      <c r="X4" s="102">
        <v>0</v>
      </c>
      <c r="Y4" s="102">
        <v>15</v>
      </c>
      <c r="Z4" s="102">
        <v>24</v>
      </c>
      <c r="AA4" s="102">
        <v>2</v>
      </c>
      <c r="AB4" s="102">
        <v>3</v>
      </c>
      <c r="AC4" s="102" t="str">
        <f t="shared" ca="1" si="0"/>
        <v>ANO</v>
      </c>
      <c r="AG4" s="121" t="s">
        <v>418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136</v>
      </c>
      <c r="AQ4" s="123">
        <v>181</v>
      </c>
      <c r="AR4" s="123">
        <v>66</v>
      </c>
      <c r="AS4" s="126" t="s">
        <v>63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16 OZ, 21 (13+8), +12 ±</v>
      </c>
      <c r="AY4" s="129" t="str">
        <f t="shared" ca="1" si="2"/>
        <v>40 OZ, 66 (35+31)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447</v>
      </c>
      <c r="BO4" s="122"/>
      <c r="BP4" s="131" t="s">
        <v>175</v>
      </c>
      <c r="BQ4" s="132"/>
      <c r="BR4" s="127" t="str">
        <f t="shared" ca="1" si="12"/>
        <v>?</v>
      </c>
      <c r="BS4" s="464"/>
      <c r="BT4" s="104" t="s">
        <v>838</v>
      </c>
      <c r="BU4" s="103">
        <v>24</v>
      </c>
      <c r="BV4" s="104" t="str">
        <f t="shared" si="13"/>
        <v>Martin Šindelář</v>
      </c>
      <c r="BW4" s="102">
        <f t="shared" si="14"/>
        <v>24</v>
      </c>
      <c r="BX4" s="463"/>
      <c r="BY4" s="103" t="s">
        <v>1038</v>
      </c>
      <c r="BZ4" s="103" t="s">
        <v>815</v>
      </c>
      <c r="CA4" s="115" t="s">
        <v>1123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/>
      </c>
      <c r="H5" s="422"/>
      <c r="I5" s="422"/>
      <c r="J5" s="423" t="str">
        <f ca="1">IFERROR(VLOOKUP(G3,OFFSET($AG$2,,,COUNTIF($AG$2:$AG$50,"?*"),23),19,FALSE),"")</f>
        <v/>
      </c>
      <c r="K5" s="423"/>
      <c r="L5" s="424"/>
      <c r="S5" s="110" t="s">
        <v>418</v>
      </c>
      <c r="U5" s="102">
        <v>16</v>
      </c>
      <c r="V5" s="102">
        <v>13</v>
      </c>
      <c r="W5" s="102">
        <v>3</v>
      </c>
      <c r="X5" s="102">
        <v>1</v>
      </c>
      <c r="Y5" s="102">
        <v>8</v>
      </c>
      <c r="Z5" s="102">
        <v>21</v>
      </c>
      <c r="AA5" s="102">
        <v>6</v>
      </c>
      <c r="AB5" s="102">
        <v>12</v>
      </c>
      <c r="AC5" s="102" t="str">
        <f t="shared" ca="1" si="0"/>
        <v>ANO</v>
      </c>
      <c r="AG5" s="121" t="s">
        <v>424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436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2 V, 2 P</v>
      </c>
      <c r="AY5" s="129" t="str">
        <f t="shared" ca="1" si="2"/>
        <v>8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448</v>
      </c>
      <c r="BO5" s="122"/>
      <c r="BP5" s="131" t="s">
        <v>238</v>
      </c>
      <c r="BQ5" s="132"/>
      <c r="BR5" s="127" t="str">
        <f t="shared" ca="1" si="12"/>
        <v>?</v>
      </c>
      <c r="BS5" s="464"/>
      <c r="BT5" s="104" t="s">
        <v>1459</v>
      </c>
      <c r="BU5" s="103">
        <v>21</v>
      </c>
      <c r="BV5" s="104" t="str">
        <f t="shared" si="13"/>
        <v>Matěj Havlas</v>
      </c>
      <c r="BW5" s="102">
        <f t="shared" si="14"/>
        <v>21</v>
      </c>
      <c r="BX5" s="463"/>
      <c r="BY5" s="103" t="s">
        <v>984</v>
      </c>
      <c r="BZ5" s="103" t="s">
        <v>799</v>
      </c>
      <c r="CA5" s="115" t="s">
        <v>1275</v>
      </c>
    </row>
    <row r="6" spans="1:79" ht="15" customHeight="1" thickTop="1" thickBot="1" x14ac:dyDescent="0.25">
      <c r="A6" s="425"/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0" t="str">
        <f ca="1">IFERROR(IF(VLOOKUP(G3,OFFSET($AG$2,,,COUNTIF($AG$2:$AG$50,"?*"),23),13,FALSE)&lt;&gt;0,VLOOKUP(G3,OFFSET($AG$2,,,COUNTIF($AG$2:$AG$50,"?*"),23),13,FALSE),"?"),"")</f>
        <v/>
      </c>
      <c r="H6" s="431"/>
      <c r="I6" s="432"/>
      <c r="J6" s="433" t="str">
        <f ca="1">IFERROR(IF(VLOOKUP(G3,OFFSET($AG$2,,,COUNTIF($AG$2:$AG$50,"?*"),23),14,FALSE)&lt;&gt;0,VLOOKUP(G3,OFFSET($AG$2,,,COUNTIF($AG$2:$AG$50,"?*"),23),14,FALSE),"?"),"")</f>
        <v/>
      </c>
      <c r="K6" s="434"/>
      <c r="L6" s="7" t="str">
        <f ca="1">IFERROR(IF(VLOOKUP(G3,OFFSET($AG$2,,,COUNTIF($AG$2:$AG$50,"?*"),23),7,FALSE)&lt;&gt;0,VLOOKUP(G3,OFFSET($AG$2,,,COUNTIF($AG$2:$AG$50,"?*"),23),7,FALSE),"?"),"")</f>
        <v/>
      </c>
      <c r="M6" s="425"/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405</v>
      </c>
      <c r="U6" s="102">
        <v>16</v>
      </c>
      <c r="V6" s="102">
        <v>12</v>
      </c>
      <c r="W6" s="102">
        <v>6</v>
      </c>
      <c r="X6" s="102">
        <v>0</v>
      </c>
      <c r="Y6" s="102">
        <v>9</v>
      </c>
      <c r="Z6" s="102">
        <v>21</v>
      </c>
      <c r="AA6" s="102">
        <v>4</v>
      </c>
      <c r="AB6" s="102">
        <v>21</v>
      </c>
      <c r="AC6" s="102" t="str">
        <f t="shared" ca="1" si="0"/>
        <v>ANO</v>
      </c>
      <c r="AG6" s="121" t="s">
        <v>425</v>
      </c>
      <c r="AH6" s="122"/>
      <c r="AI6" s="123"/>
      <c r="AJ6" s="123"/>
      <c r="AK6" s="123"/>
      <c r="AL6" s="124">
        <f>IF(AG6&lt;&gt;"",AJ6+AK6,"")</f>
        <v>0</v>
      </c>
      <c r="AM6" s="123" t="s">
        <v>275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449</v>
      </c>
      <c r="BO6" s="122"/>
      <c r="BP6" s="131" t="s">
        <v>174</v>
      </c>
      <c r="BQ6" s="132"/>
      <c r="BR6" s="127" t="str">
        <f t="shared" ca="1" si="12"/>
        <v>?</v>
      </c>
      <c r="BS6" s="464"/>
      <c r="BT6" s="104" t="s">
        <v>840</v>
      </c>
      <c r="BU6" s="103">
        <v>21</v>
      </c>
      <c r="BV6" s="104" t="str">
        <f t="shared" si="13"/>
        <v>Ondřej Němeček</v>
      </c>
      <c r="BW6" s="102">
        <f t="shared" si="14"/>
        <v>21</v>
      </c>
      <c r="BX6" s="463"/>
      <c r="BY6" s="103" t="s">
        <v>1231</v>
      </c>
      <c r="BZ6" s="103" t="s">
        <v>800</v>
      </c>
      <c r="CA6" s="115" t="s">
        <v>1276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8" t="str">
        <f ca="1">IFERROR(IF(VLOOKUP(A6,OFFSET($AG$2,,,COUNTIF($AG$2:$AG$50,"?*"),23),2,FALSE)&lt;&gt;0,YEAR(VLOOKUP(A6,OFFSET($AG$2,,,COUNTIF($AG$2:$AG$50,"?*"),23),2,FALSE)),""),"")</f>
        <v/>
      </c>
      <c r="C7" s="429"/>
      <c r="D7" s="117" t="str">
        <f ca="1">IFERROR(VLOOKUP(A6,OFFSET($AG$2,,,COUNTIF($AG$2:$AG$50,"?*"),23),15,FALSE),"")</f>
        <v/>
      </c>
      <c r="E7" s="419" t="str">
        <f ca="1">IFERROR(VLOOKUP(A6,OFFSET($AG$2,,,COUNTIF($AG$2:$AG$50,"?*"),23),16,FALSE),"")</f>
        <v/>
      </c>
      <c r="F7" s="420"/>
      <c r="M7" s="4" t="str">
        <f ca="1">IFERROR(IF(VLOOKUP(M6,OFFSET($AG$2,,,COUNTIF($AG$2:$AG$50,"?*"),23),10,FALSE)&lt;&gt;0,VLOOKUP(M6,OFFSET($AG$2,,,COUNTIF($AG$2:$AG$50,"?*"),23),10,FALSE),""),"")</f>
        <v/>
      </c>
      <c r="N7" s="428" t="str">
        <f ca="1">IFERROR(IF(VLOOKUP(M6,OFFSET($AG$2,,,COUNTIF($AG$2:$AG$50,"?*"),23),2,FALSE)&lt;&gt;0,YEAR(VLOOKUP(M6,OFFSET($AG$2,,,COUNTIF($AG$2:$AG$50,"?*"),23),2,FALSE)),""),"")</f>
        <v/>
      </c>
      <c r="O7" s="429"/>
      <c r="P7" s="117" t="str">
        <f ca="1">IFERROR(VLOOKUP(M6,OFFSET($AG$2,,,COUNTIF($AG$2:$AG$50,"?*"),23),15,FALSE),"")</f>
        <v/>
      </c>
      <c r="Q7" s="419" t="str">
        <f ca="1">IFERROR(VLOOKUP(M6,OFFSET($AG$2,,,COUNTIF($AG$2:$AG$50,"?*"),23),16,FALSE),"")</f>
        <v/>
      </c>
      <c r="R7" s="420"/>
      <c r="S7" s="110" t="s">
        <v>410</v>
      </c>
      <c r="T7" s="102" t="s">
        <v>106</v>
      </c>
      <c r="U7" s="102">
        <v>16</v>
      </c>
      <c r="V7" s="102">
        <v>11</v>
      </c>
      <c r="W7" s="102">
        <v>0</v>
      </c>
      <c r="X7" s="102">
        <v>0</v>
      </c>
      <c r="Y7" s="102">
        <v>9</v>
      </c>
      <c r="Z7" s="102">
        <v>20</v>
      </c>
      <c r="AA7" s="102">
        <v>6</v>
      </c>
      <c r="AB7" s="102">
        <v>20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26</v>
      </c>
      <c r="AQ7" s="123">
        <v>185</v>
      </c>
      <c r="AR7" s="123">
        <v>71</v>
      </c>
      <c r="AS7" s="126" t="s">
        <v>144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451</v>
      </c>
      <c r="BU7" s="103" t="s">
        <v>1460</v>
      </c>
      <c r="BV7" s="104" t="str">
        <f t="shared" si="13"/>
        <v>Lukáš Kříž</v>
      </c>
      <c r="BW7" s="112">
        <f t="shared" si="14"/>
        <v>3.81</v>
      </c>
      <c r="BX7" s="463" t="s">
        <v>192</v>
      </c>
      <c r="BY7" s="103" t="s">
        <v>1393</v>
      </c>
      <c r="BZ7" s="103" t="s">
        <v>788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/>
      </c>
      <c r="B8" s="422"/>
      <c r="C8" s="422"/>
      <c r="D8" s="423" t="str">
        <f ca="1">IFERROR(VLOOKUP(A6,OFFSET($AG$2,,,COUNTIF($AG$2:$AG$50,"?*"),23),19,FALSE),"")</f>
        <v/>
      </c>
      <c r="E8" s="423"/>
      <c r="F8" s="424"/>
      <c r="H8" s="435" t="s">
        <v>87</v>
      </c>
      <c r="I8" s="435"/>
      <c r="J8" s="435"/>
      <c r="K8" s="435"/>
      <c r="M8" s="421" t="str">
        <f ca="1">IFERROR(VLOOKUP(M6,OFFSET($AG$2,,,COUNTIF($AG$2:$AG$50,"?*"),23),18,FALSE),"")</f>
        <v/>
      </c>
      <c r="N8" s="422"/>
      <c r="O8" s="422"/>
      <c r="P8" s="423" t="str">
        <f ca="1">IFERROR(VLOOKUP(M6,OFFSET($AG$2,,,COUNTIF($AG$2:$AG$50,"?*"),23),19,FALSE),"")</f>
        <v/>
      </c>
      <c r="Q8" s="423"/>
      <c r="R8" s="424"/>
      <c r="S8" s="110" t="s">
        <v>412</v>
      </c>
      <c r="U8" s="102">
        <v>13</v>
      </c>
      <c r="V8" s="102">
        <v>8</v>
      </c>
      <c r="W8" s="102">
        <v>0</v>
      </c>
      <c r="X8" s="102">
        <v>1</v>
      </c>
      <c r="Y8" s="102">
        <v>7</v>
      </c>
      <c r="Z8" s="102">
        <v>15</v>
      </c>
      <c r="AA8" s="102">
        <v>16</v>
      </c>
      <c r="AB8" s="102">
        <v>13</v>
      </c>
      <c r="AC8" s="102" t="str">
        <f t="shared" ca="1" si="0"/>
        <v>ANO</v>
      </c>
      <c r="AG8" s="121" t="s">
        <v>410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26</v>
      </c>
      <c r="AQ8" s="123">
        <v>185</v>
      </c>
      <c r="AR8" s="123">
        <v>75</v>
      </c>
      <c r="AS8" s="126" t="s">
        <v>63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16 OZ, 20 (11+9), +20 ±</v>
      </c>
      <c r="AY8" s="129" t="str">
        <f t="shared" ca="1" si="2"/>
        <v>136 OZ, 112 (67+45)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452</v>
      </c>
      <c r="BU8" s="103" t="s">
        <v>1124</v>
      </c>
      <c r="BV8" s="104" t="str">
        <f t="shared" si="13"/>
        <v>Jan Buzík</v>
      </c>
      <c r="BW8" s="112">
        <f t="shared" si="14"/>
        <v>1.5</v>
      </c>
      <c r="BX8" s="463"/>
      <c r="BY8" s="103" t="s">
        <v>1232</v>
      </c>
      <c r="BZ8" s="103" t="s">
        <v>787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/>
      </c>
      <c r="B9" s="431"/>
      <c r="C9" s="432"/>
      <c r="D9" s="433" t="str">
        <f ca="1">IFERROR(IF(VLOOKUP(A6,OFFSET($AG$2,,,COUNTIF($AG$2:$AG$50,"?*"),23),14,FALSE)&lt;&gt;0,VLOOKUP(A6,OFFSET($AG$2,,,COUNTIF($AG$2:$AG$50,"?*"),23),14,FALSE),"?"),"")</f>
        <v/>
      </c>
      <c r="E9" s="434"/>
      <c r="F9" s="7" t="str">
        <f ca="1">IFERROR(IF(VLOOKUP(A6,OFFSET($AG$2,,,COUNTIF($AG$2:$AG$50,"?*"),23),7,FALSE)&lt;&gt;0,VLOOKUP(A6,OFFSET($AG$2,,,COUNTIF($AG$2:$AG$50,"?*"),23),7,FALSE),"?"),"")</f>
        <v/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/>
      </c>
      <c r="N9" s="431"/>
      <c r="O9" s="432"/>
      <c r="P9" s="433" t="str">
        <f ca="1">IFERROR(IF(VLOOKUP(M6,OFFSET($AG$2,,,COUNTIF($AG$2:$AG$50,"?*"),23),14,FALSE)&lt;&gt;0,VLOOKUP(M6,OFFSET($AG$2,,,COUNTIF($AG$2:$AG$50,"?*"),23),14,FALSE),"?"),"")</f>
        <v/>
      </c>
      <c r="Q9" s="43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408</v>
      </c>
      <c r="T9" s="102" t="s">
        <v>106</v>
      </c>
      <c r="U9" s="102">
        <v>12</v>
      </c>
      <c r="V9" s="102">
        <v>6</v>
      </c>
      <c r="W9" s="102">
        <v>3</v>
      </c>
      <c r="X9" s="102">
        <v>0</v>
      </c>
      <c r="Y9" s="102">
        <v>8</v>
      </c>
      <c r="Z9" s="102">
        <v>14</v>
      </c>
      <c r="AA9" s="102">
        <v>4</v>
      </c>
      <c r="AB9" s="102">
        <v>7</v>
      </c>
      <c r="AC9" s="102" t="str">
        <f t="shared" ca="1" si="0"/>
        <v>ANO</v>
      </c>
      <c r="AG9" s="121" t="s">
        <v>426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149</v>
      </c>
      <c r="AP9" s="125" t="s">
        <v>26</v>
      </c>
      <c r="AQ9" s="123">
        <v>189</v>
      </c>
      <c r="AR9" s="123">
        <v>82</v>
      </c>
      <c r="AS9" s="126" t="s">
        <v>63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1125</v>
      </c>
      <c r="BU9" s="103" t="s">
        <v>1461</v>
      </c>
      <c r="BV9" s="104" t="str">
        <f t="shared" si="13"/>
        <v>Tomáš Jurco</v>
      </c>
      <c r="BW9" s="112">
        <f t="shared" si="14"/>
        <v>3.1</v>
      </c>
      <c r="BX9" s="463"/>
      <c r="BY9" s="103" t="s">
        <v>1236</v>
      </c>
      <c r="BZ9" s="103" t="s">
        <v>786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406</v>
      </c>
      <c r="U10" s="102">
        <v>16</v>
      </c>
      <c r="V10" s="102">
        <v>7</v>
      </c>
      <c r="W10" s="102">
        <v>0</v>
      </c>
      <c r="X10" s="102">
        <v>0</v>
      </c>
      <c r="Y10" s="102">
        <v>5</v>
      </c>
      <c r="Z10" s="102">
        <v>12</v>
      </c>
      <c r="AA10" s="102">
        <v>4</v>
      </c>
      <c r="AB10" s="102">
        <v>-5</v>
      </c>
      <c r="AC10" s="102" t="str">
        <f t="shared" ca="1" si="0"/>
        <v>ANO</v>
      </c>
      <c r="AG10" s="121" t="s">
        <v>406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136</v>
      </c>
      <c r="AQ10" s="123">
        <v>196</v>
      </c>
      <c r="AR10" s="123">
        <v>92</v>
      </c>
      <c r="AS10" s="126" t="s">
        <v>437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16 OZ, 12 (7+5), -5 ±</v>
      </c>
      <c r="AY10" s="129" t="str">
        <f t="shared" ca="1" si="2"/>
        <v>84 OZ, 65 (43+22)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V10" s="104" t="str">
        <f t="shared" si="13"/>
        <v/>
      </c>
      <c r="BW10" s="112" t="str">
        <f t="shared" si="14"/>
        <v/>
      </c>
      <c r="BX10" s="463"/>
      <c r="BY10" s="103" t="s">
        <v>1306</v>
      </c>
      <c r="BZ10" s="103" t="s">
        <v>812</v>
      </c>
      <c r="CA10" s="115" t="s">
        <v>187</v>
      </c>
    </row>
    <row r="11" spans="1:79" ht="15" customHeight="1" thickTop="1" thickBot="1" x14ac:dyDescent="0.25">
      <c r="R11" s="13"/>
      <c r="S11" s="110" t="s">
        <v>422</v>
      </c>
      <c r="T11" s="102" t="s">
        <v>57</v>
      </c>
      <c r="U11" s="102">
        <v>16</v>
      </c>
      <c r="V11" s="102">
        <v>7</v>
      </c>
      <c r="W11" s="102">
        <v>0</v>
      </c>
      <c r="X11" s="102">
        <v>0</v>
      </c>
      <c r="Y11" s="102">
        <v>3</v>
      </c>
      <c r="Z11" s="102">
        <v>10</v>
      </c>
      <c r="AA11" s="102">
        <v>2</v>
      </c>
      <c r="AB11" s="102">
        <v>15</v>
      </c>
      <c r="AC11" s="102" t="str">
        <f t="shared" ca="1" si="0"/>
        <v>ANO</v>
      </c>
      <c r="AG11" s="121" t="s">
        <v>411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438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12 V, 1 P</v>
      </c>
      <c r="AY11" s="129" t="str">
        <f t="shared" ca="1" si="2"/>
        <v>49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V11" s="104" t="str">
        <f t="shared" si="13"/>
        <v/>
      </c>
      <c r="BW11" s="112" t="str">
        <f t="shared" si="14"/>
        <v/>
      </c>
      <c r="BX11" s="463"/>
      <c r="BY11" s="103" t="s">
        <v>1307</v>
      </c>
      <c r="BZ11" s="103" t="s">
        <v>793</v>
      </c>
      <c r="CA11" s="115" t="s">
        <v>187</v>
      </c>
    </row>
    <row r="12" spans="1:79" ht="15" customHeight="1" thickTop="1" thickBot="1" x14ac:dyDescent="0.25">
      <c r="A12" s="425"/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7" t="s">
        <v>7</v>
      </c>
      <c r="I12" s="427"/>
      <c r="J12" s="427"/>
      <c r="K12" s="427"/>
      <c r="M12" s="425"/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409</v>
      </c>
      <c r="T12" s="102" t="s">
        <v>57</v>
      </c>
      <c r="U12" s="102">
        <v>13</v>
      </c>
      <c r="V12" s="102">
        <v>3</v>
      </c>
      <c r="W12" s="102">
        <v>0</v>
      </c>
      <c r="X12" s="102">
        <v>1</v>
      </c>
      <c r="Y12" s="102">
        <v>6</v>
      </c>
      <c r="Z12" s="102">
        <v>9</v>
      </c>
      <c r="AA12" s="102">
        <v>0</v>
      </c>
      <c r="AB12" s="102">
        <v>13</v>
      </c>
      <c r="AC12" s="102" t="str">
        <f t="shared" ca="1" si="0"/>
        <v>ANO</v>
      </c>
      <c r="AG12" s="121" t="s">
        <v>427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136</v>
      </c>
      <c r="AQ12" s="123">
        <v>184</v>
      </c>
      <c r="AR12" s="123">
        <v>78</v>
      </c>
      <c r="AS12" s="126" t="s">
        <v>63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1004</v>
      </c>
      <c r="BU12" s="103">
        <v>17</v>
      </c>
      <c r="BV12" s="104" t="str">
        <f t="shared" si="13"/>
        <v>David Šimek</v>
      </c>
      <c r="BW12" s="102">
        <f t="shared" si="14"/>
        <v>17</v>
      </c>
      <c r="BX12" s="120" t="s">
        <v>190</v>
      </c>
      <c r="BY12" s="100" t="s">
        <v>1256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8" t="str">
        <f ca="1">IFERROR(IF(VLOOKUP(A12,OFFSET($AG$2,,,COUNTIF($AG$2:$AG$50,"?*"),23),2,FALSE)&lt;&gt;0,YEAR(VLOOKUP(A12,OFFSET($AG$2,,,COUNTIF($AG$2:$AG$50,"?*"),23),2,FALSE)),""),"")</f>
        <v/>
      </c>
      <c r="C13" s="429"/>
      <c r="D13" s="117" t="str">
        <f ca="1">IFERROR(VLOOKUP(A12,OFFSET($AG$2,,,COUNTIF($AG$2:$AG$50,"?*"),23),15,FALSE),"")</f>
        <v/>
      </c>
      <c r="E13" s="419" t="str">
        <f ca="1">IFERROR(VLOOKUP(A12,OFFSET($AG$2,,,COUNTIF($AG$2:$AG$50,"?*"),23),16,FALSE),"")</f>
        <v/>
      </c>
      <c r="F13" s="420"/>
      <c r="M13" s="4" t="str">
        <f ca="1">IFERROR(IF(VLOOKUP(M12,OFFSET($AG$2,,,COUNTIF($AG$2:$AG$50,"?*"),23),10,FALSE)&lt;&gt;0,VLOOKUP(M12,OFFSET($AG$2,,,COUNTIF($AG$2:$AG$50,"?*"),23),10,FALSE),""),"")</f>
        <v/>
      </c>
      <c r="N13" s="428" t="str">
        <f ca="1">IFERROR(IF(VLOOKUP(M12,OFFSET($AG$2,,,COUNTIF($AG$2:$AG$50,"?*"),23),2,FALSE)&lt;&gt;0,YEAR(VLOOKUP(M12,OFFSET($AG$2,,,COUNTIF($AG$2:$AG$50,"?*"),23),2,FALSE)),""),"")</f>
        <v/>
      </c>
      <c r="O13" s="429"/>
      <c r="P13" s="117" t="str">
        <f ca="1">IFERROR(VLOOKUP(M12,OFFSET($AG$2,,,COUNTIF($AG$2:$AG$50,"?*"),23),15,FALSE),"")</f>
        <v/>
      </c>
      <c r="Q13" s="419" t="str">
        <f ca="1">IFERROR(VLOOKUP(M12,OFFSET($AG$2,,,COUNTIF($AG$2:$AG$50,"?*"),23),16,FALSE),"")</f>
        <v/>
      </c>
      <c r="R13" s="420"/>
      <c r="S13" s="110" t="s">
        <v>421</v>
      </c>
      <c r="U13" s="102">
        <v>15</v>
      </c>
      <c r="V13" s="102">
        <v>5</v>
      </c>
      <c r="W13" s="102">
        <v>0</v>
      </c>
      <c r="X13" s="102">
        <v>0</v>
      </c>
      <c r="Y13" s="102">
        <v>2</v>
      </c>
      <c r="Z13" s="102">
        <v>7</v>
      </c>
      <c r="AA13" s="102">
        <v>4</v>
      </c>
      <c r="AB13" s="102">
        <v>-7</v>
      </c>
      <c r="AC13" s="102" t="str">
        <f t="shared" ca="1" si="0"/>
        <v>NE</v>
      </c>
      <c r="AG13" s="121" t="s">
        <v>408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26</v>
      </c>
      <c r="AQ13" s="123">
        <v>178</v>
      </c>
      <c r="AR13" s="123">
        <v>76</v>
      </c>
      <c r="AS13" s="126" t="s">
        <v>67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12 OZ, 14 (6+8), +7 ±</v>
      </c>
      <c r="AY13" s="129" t="str">
        <f t="shared" ca="1" si="2"/>
        <v>150 OZ, 181 (94+87)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1005</v>
      </c>
      <c r="BU13" s="103">
        <v>15</v>
      </c>
      <c r="BV13" s="104" t="str">
        <f t="shared" si="13"/>
        <v>Marek Beneš</v>
      </c>
      <c r="BW13" s="102">
        <f t="shared" si="14"/>
        <v>15</v>
      </c>
    </row>
    <row r="14" spans="1:79" ht="15" customHeight="1" thickTop="1" thickBot="1" x14ac:dyDescent="0.25">
      <c r="A14" s="421" t="str">
        <f ca="1">IFERROR(VLOOKUP(A12,OFFSET($AG$2,,,COUNTIF($AG$2:$AG$50,"?*"),23),18,FALSE),"")</f>
        <v/>
      </c>
      <c r="B14" s="422"/>
      <c r="C14" s="422"/>
      <c r="D14" s="423" t="str">
        <f ca="1">IFERROR(VLOOKUP(A12,OFFSET($AG$2,,,COUNTIF($AG$2:$AG$50,"?*"),23),19,FALSE),"")</f>
        <v/>
      </c>
      <c r="E14" s="423"/>
      <c r="F14" s="424"/>
      <c r="G14" s="425"/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1" t="str">
        <f ca="1">IFERROR(VLOOKUP(M12,OFFSET($AG$2,,,COUNTIF($AG$2:$AG$50,"?*"),23),18,FALSE),"")</f>
        <v/>
      </c>
      <c r="N14" s="422"/>
      <c r="O14" s="422"/>
      <c r="P14" s="423" t="str">
        <f ca="1">IFERROR(VLOOKUP(M12,OFFSET($AG$2,,,COUNTIF($AG$2:$AG$50,"?*"),23),19,FALSE),"")</f>
        <v/>
      </c>
      <c r="Q14" s="423"/>
      <c r="R14" s="424"/>
      <c r="S14" s="110" t="s">
        <v>413</v>
      </c>
      <c r="U14" s="102">
        <v>13</v>
      </c>
      <c r="V14" s="102">
        <v>3</v>
      </c>
      <c r="W14" s="102">
        <v>0</v>
      </c>
      <c r="X14" s="102">
        <v>0</v>
      </c>
      <c r="Y14" s="102">
        <v>1</v>
      </c>
      <c r="Z14" s="102">
        <v>4</v>
      </c>
      <c r="AA14" s="102">
        <v>2</v>
      </c>
      <c r="AB14" s="102">
        <v>8</v>
      </c>
      <c r="AC14" s="102" t="str">
        <f t="shared" ca="1" si="0"/>
        <v>ANO</v>
      </c>
      <c r="AG14" s="121" t="s">
        <v>414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136</v>
      </c>
      <c r="AQ14" s="123">
        <v>172</v>
      </c>
      <c r="AR14" s="123">
        <v>72</v>
      </c>
      <c r="AS14" s="126" t="s">
        <v>435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16 OZ, 3 (1+2), +12 ±</v>
      </c>
      <c r="AY14" s="129" t="str">
        <f t="shared" ca="1" si="2"/>
        <v>143 OZ, 31 (13+18)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1126</v>
      </c>
      <c r="BU14" s="103">
        <v>13</v>
      </c>
      <c r="BV14" s="104" t="str">
        <f t="shared" si="13"/>
        <v>Matěj Havlas</v>
      </c>
      <c r="BW14" s="102">
        <f t="shared" si="14"/>
        <v>13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/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/>
      </c>
      <c r="E15" s="43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8" t="str">
        <f ca="1">IFERROR(IF(VLOOKUP(G14,OFFSET($AG$2,,,COUNTIF($AG$2:$AG$50,"?*"),23),2,FALSE)&lt;&gt;0,YEAR(VLOOKUP(G14,OFFSET($AG$2,,,COUNTIF($AG$2:$AG$50,"?*"),23),2,FALSE)),""),"")</f>
        <v/>
      </c>
      <c r="I15" s="429"/>
      <c r="J15" s="117" t="str">
        <f ca="1">IFERROR(VLOOKUP(G14,OFFSET($AG$2,,,COUNTIF($AG$2:$AG$50,"?*"),23),15,FALSE),"")</f>
        <v/>
      </c>
      <c r="K15" s="419" t="str">
        <f ca="1">IFERROR(VLOOKUP(G14,OFFSET($AG$2,,,COUNTIF($AG$2:$AG$50,"?*"),23),16,FALSE),"")</f>
        <v/>
      </c>
      <c r="L15" s="420"/>
      <c r="M15" s="430" t="str">
        <f ca="1">IFERROR(IF(VLOOKUP(M12,OFFSET($AG$2,,,COUNTIF($AG$2:$AG$50,"?*"),23),13,FALSE)&lt;&gt;0,VLOOKUP(M12,OFFSET($AG$2,,,COUNTIF($AG$2:$AG$50,"?*"),23),13,FALSE),"?"),"")</f>
        <v/>
      </c>
      <c r="N15" s="431"/>
      <c r="O15" s="432"/>
      <c r="P15" s="433" t="str">
        <f ca="1">IFERROR(IF(VLOOKUP(M12,OFFSET($AG$2,,,COUNTIF($AG$2:$AG$50,"?*"),23),14,FALSE)&lt;&gt;0,VLOOKUP(M12,OFFSET($AG$2,,,COUNTIF($AG$2:$AG$50,"?*"),23),14,FALSE),"?"),"")</f>
        <v/>
      </c>
      <c r="Q15" s="43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414</v>
      </c>
      <c r="T15" s="102" t="s">
        <v>57</v>
      </c>
      <c r="U15" s="102">
        <v>16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12</v>
      </c>
      <c r="AC15" s="102" t="str">
        <f t="shared" ca="1" si="0"/>
        <v>ANO</v>
      </c>
      <c r="AG15" s="121" t="s">
        <v>428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136</v>
      </c>
      <c r="AQ15" s="123">
        <v>18</v>
      </c>
      <c r="AR15" s="123">
        <v>68</v>
      </c>
      <c r="AS15" s="126" t="s">
        <v>63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839</v>
      </c>
      <c r="BU15" s="103">
        <v>12</v>
      </c>
      <c r="BV15" s="104" t="str">
        <f t="shared" si="13"/>
        <v>Ondřej Němeček</v>
      </c>
      <c r="BW15" s="102">
        <f t="shared" si="14"/>
        <v>12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/>
      </c>
      <c r="H16" s="422"/>
      <c r="I16" s="422"/>
      <c r="J16" s="423" t="str">
        <f ca="1">IFERROR(VLOOKUP(G14,OFFSET($AG$2,,,COUNTIF($AG$2:$AG$50,"?*"),23),19,FALSE),"")</f>
        <v/>
      </c>
      <c r="K16" s="423"/>
      <c r="L16" s="424"/>
      <c r="S16" s="110" t="s">
        <v>759</v>
      </c>
      <c r="U16" s="102">
        <v>12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3</v>
      </c>
      <c r="AC16" s="102" t="str">
        <f t="shared" ca="1" si="0"/>
        <v>NE</v>
      </c>
      <c r="AG16" s="121" t="s">
        <v>405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26</v>
      </c>
      <c r="AQ16" s="123">
        <v>191</v>
      </c>
      <c r="AR16" s="123">
        <v>82</v>
      </c>
      <c r="AS16" s="126" t="s">
        <v>63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16 OZ, 21 (12+9), +21 ±</v>
      </c>
      <c r="AY16" s="129" t="str">
        <f t="shared" ca="1" si="2"/>
        <v>89 OZ, 104 (46+58)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1462</v>
      </c>
      <c r="BU16" s="103">
        <v>11</v>
      </c>
      <c r="BV16" s="104" t="str">
        <f t="shared" si="13"/>
        <v>Jakub Kolísko</v>
      </c>
      <c r="BW16" s="102">
        <f t="shared" si="14"/>
        <v>11</v>
      </c>
    </row>
    <row r="17" spans="1:75" ht="15" customHeight="1" thickTop="1" thickBot="1" x14ac:dyDescent="0.25">
      <c r="A17" s="425"/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0" t="str">
        <f ca="1">IFERROR(IF(VLOOKUP(G14,OFFSET($AG$2,,,COUNTIF($AG$2:$AG$50,"?*"),23),13,FALSE)&lt;&gt;0,VLOOKUP(G14,OFFSET($AG$2,,,COUNTIF($AG$2:$AG$50,"?*"),23),13,FALSE),"?"),"")</f>
        <v/>
      </c>
      <c r="H17" s="431"/>
      <c r="I17" s="432"/>
      <c r="J17" s="433" t="str">
        <f ca="1">IFERROR(IF(VLOOKUP(G14,OFFSET($AG$2,,,COUNTIF($AG$2:$AG$50,"?*"),23),14,FALSE)&lt;&gt;0,VLOOKUP(G14,OFFSET($AG$2,,,COUNTIF($AG$2:$AG$50,"?*"),23),14,FALSE),"?"),"")</f>
        <v/>
      </c>
      <c r="K17" s="434"/>
      <c r="L17" s="7" t="str">
        <f ca="1">IFERROR(IF(VLOOKUP(G14,OFFSET($AG$2,,,COUNTIF($AG$2:$AG$50,"?*"),23),7,FALSE)&lt;&gt;0,VLOOKUP(G14,OFFSET($AG$2,,,COUNTIF($AG$2:$AG$50,"?*"),23),7,FALSE),"?"),"")</f>
        <v/>
      </c>
      <c r="M17" s="425"/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1121</v>
      </c>
      <c r="U17" s="102">
        <v>6</v>
      </c>
      <c r="V17" s="102">
        <v>0</v>
      </c>
      <c r="W17" s="102">
        <v>0</v>
      </c>
      <c r="X17" s="102">
        <v>0</v>
      </c>
      <c r="Y17" s="102">
        <v>2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390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136</v>
      </c>
      <c r="AQ17" s="123">
        <v>175</v>
      </c>
      <c r="AR17" s="123">
        <v>74</v>
      </c>
      <c r="AS17" s="126" t="s">
        <v>439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451</v>
      </c>
      <c r="BU17" s="103">
        <v>12</v>
      </c>
      <c r="BV17" s="104" t="str">
        <f t="shared" si="13"/>
        <v>Lukáš Kříž</v>
      </c>
      <c r="BW17" s="102">
        <f t="shared" si="14"/>
        <v>12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8" t="str">
        <f ca="1">IFERROR(IF(VLOOKUP(A17,OFFSET($AG$2,,,COUNTIF($AG$2:$AG$50,"?*"),23),2,FALSE)&lt;&gt;0,YEAR(VLOOKUP(A17,OFFSET($AG$2,,,COUNTIF($AG$2:$AG$50,"?*"),23),2,FALSE)),""),"")</f>
        <v/>
      </c>
      <c r="C18" s="429"/>
      <c r="D18" s="149" t="str">
        <f ca="1">IFERROR(VLOOKUP(A17,OFFSET($AG$2,,,COUNTIF($AG$2:$AG$50,"?*"),23),15,FALSE),"")</f>
        <v/>
      </c>
      <c r="E18" s="419" t="str">
        <f ca="1">IFERROR(VLOOKUP(A17,OFFSET($AG$2,,,COUNTIF($AG$2:$AG$50,"?*"),23),16,FALSE),"")</f>
        <v/>
      </c>
      <c r="F18" s="420"/>
      <c r="M18" s="4" t="str">
        <f ca="1">IFERROR(IF(VLOOKUP(M17,OFFSET($AG$2,,,COUNTIF($AG$2:$AG$50,"?*"),23),10,FALSE)&lt;&gt;0,VLOOKUP(M17,OFFSET($AG$2,,,COUNTIF($AG$2:$AG$50,"?*"),23),10,FALSE),""),"")</f>
        <v/>
      </c>
      <c r="N18" s="428" t="str">
        <f ca="1">IFERROR(IF(VLOOKUP(M17,OFFSET($AG$2,,,COUNTIF($AG$2:$AG$50,"?*"),23),2,FALSE)&lt;&gt;0,YEAR(VLOOKUP(M17,OFFSET($AG$2,,,COUNTIF($AG$2:$AG$50,"?*"),23),2,FALSE)),""),"")</f>
        <v/>
      </c>
      <c r="O18" s="429"/>
      <c r="P18" s="117" t="str">
        <f ca="1">IFERROR(VLOOKUP(M17,OFFSET($AG$2,,,COUNTIF($AG$2:$AG$50,"?*"),23),15,FALSE),"")</f>
        <v/>
      </c>
      <c r="Q18" s="419" t="str">
        <f ca="1">IFERROR(VLOOKUP(M17,OFFSET($AG$2,,,COUNTIF($AG$2:$AG$50,"?*"),23),16,FALSE),"")</f>
        <v/>
      </c>
      <c r="R18" s="420"/>
      <c r="S18" s="110" t="s">
        <v>417</v>
      </c>
      <c r="U18" s="102">
        <v>6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409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136</v>
      </c>
      <c r="AQ18" s="123">
        <v>178</v>
      </c>
      <c r="AR18" s="123">
        <v>65</v>
      </c>
      <c r="AS18" s="126" t="s">
        <v>284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13 OZ, 9 (3+6), +13 ±</v>
      </c>
      <c r="AY18" s="129" t="str">
        <f t="shared" ca="1" si="2"/>
        <v>101 OZ, 87 (32+55)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1463</v>
      </c>
      <c r="BU18" s="103">
        <v>2</v>
      </c>
      <c r="BV18" s="104" t="str">
        <f t="shared" si="13"/>
        <v>Tomáš Jurco</v>
      </c>
      <c r="BW18" s="102">
        <f t="shared" si="14"/>
        <v>2</v>
      </c>
    </row>
    <row r="19" spans="1:75" ht="15" customHeight="1" x14ac:dyDescent="0.2">
      <c r="A19" s="421" t="str">
        <f ca="1">IFERROR(VLOOKUP(A17,OFFSET($AG$2,,,COUNTIF($AG$2:$AG$50,"?*"),23),18,FALSE),"")</f>
        <v/>
      </c>
      <c r="B19" s="422"/>
      <c r="C19" s="422"/>
      <c r="D19" s="423" t="str">
        <f ca="1">IFERROR(VLOOKUP(A17,OFFSET($AG$2,,,COUNTIF($AG$2:$AG$50,"?*"),23),19,FALSE),"")</f>
        <v/>
      </c>
      <c r="E19" s="423"/>
      <c r="F19" s="424"/>
      <c r="H19" s="435" t="str">
        <f>H$8</f>
        <v>TAT</v>
      </c>
      <c r="I19" s="435"/>
      <c r="J19" s="435"/>
      <c r="K19" s="435"/>
      <c r="M19" s="421" t="str">
        <f ca="1">IFERROR(VLOOKUP(M17,OFFSET($AG$2,,,COUNTIF($AG$2:$AG$50,"?*"),23),18,FALSE),"")</f>
        <v/>
      </c>
      <c r="N19" s="422"/>
      <c r="O19" s="422"/>
      <c r="P19" s="423" t="str">
        <f ca="1">IFERROR(VLOOKUP(M17,OFFSET($AG$2,,,COUNTIF($AG$2:$AG$50,"?*"),23),19,FALSE),"")</f>
        <v/>
      </c>
      <c r="Q19" s="423"/>
      <c r="R19" s="424"/>
      <c r="S19" s="110" t="s">
        <v>1122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2</v>
      </c>
      <c r="AB19" s="102">
        <v>0</v>
      </c>
      <c r="AC19" s="102" t="str">
        <f t="shared" ca="1" si="0"/>
        <v>NE</v>
      </c>
      <c r="AG19" s="121" t="s">
        <v>429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136</v>
      </c>
      <c r="AQ19" s="123">
        <v>187</v>
      </c>
      <c r="AR19" s="123">
        <v>77</v>
      </c>
      <c r="AS19" s="126" t="s">
        <v>63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1464</v>
      </c>
      <c r="BU19" s="103">
        <v>1</v>
      </c>
      <c r="BV19" s="104" t="str">
        <f t="shared" si="13"/>
        <v>Jan Buzík</v>
      </c>
      <c r="BW19" s="102">
        <f t="shared" si="14"/>
        <v>1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/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/>
      </c>
      <c r="E20" s="434"/>
      <c r="F20" s="7" t="str">
        <f ca="1">IFERROR(IF(VLOOKUP(A17,OFFSET($AG$2,,,COUNTIF($AG$2:$AG$50,"?*"),23),7,FALSE)&lt;&gt;0,VLOOKUP(A17,OFFSET($AG$2,,,COUNTIF($AG$2:$AG$50,"?*"),23),7,FALSE),"?"),"")</f>
        <v/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/>
      </c>
      <c r="N20" s="431"/>
      <c r="O20" s="432"/>
      <c r="P20" s="433" t="str">
        <f ca="1">IFERROR(IF(VLOOKUP(M17,OFFSET($AG$2,,,COUNTIF($AG$2:$AG$50,"?*"),23),14,FALSE)&lt;&gt;0,VLOOKUP(M17,OFFSET($AG$2,,,COUNTIF($AG$2:$AG$50,"?*"),23),14,FALSE),"?"),"")</f>
        <v/>
      </c>
      <c r="Q20" s="43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416</v>
      </c>
      <c r="T20" s="102" t="s">
        <v>106</v>
      </c>
      <c r="U20" s="102">
        <v>12</v>
      </c>
      <c r="V20" s="102">
        <v>1</v>
      </c>
      <c r="W20" s="102">
        <v>0</v>
      </c>
      <c r="X20" s="102">
        <v>0</v>
      </c>
      <c r="Y20" s="102">
        <v>0</v>
      </c>
      <c r="Z20" s="102">
        <v>1</v>
      </c>
      <c r="AA20" s="102">
        <v>0</v>
      </c>
      <c r="AB20" s="102">
        <v>5</v>
      </c>
      <c r="AC20" s="102" t="str">
        <f t="shared" ca="1" si="0"/>
        <v>NE</v>
      </c>
      <c r="AG20" s="121" t="s">
        <v>413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136</v>
      </c>
      <c r="AQ20" s="123">
        <v>181</v>
      </c>
      <c r="AR20" s="123">
        <v>66</v>
      </c>
      <c r="AS20" s="126" t="s">
        <v>63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13 OZ, 4 (3+1), +8 ±</v>
      </c>
      <c r="AY20" s="129" t="str">
        <f t="shared" ca="1" si="2"/>
        <v>29 OZ, 10 (9+1)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420</v>
      </c>
      <c r="T21" s="102" t="s">
        <v>57</v>
      </c>
      <c r="U21" s="102">
        <v>16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2</v>
      </c>
      <c r="AB21" s="102">
        <v>-10</v>
      </c>
      <c r="AC21" s="102" t="str">
        <f t="shared" ca="1" si="0"/>
        <v>ANO</v>
      </c>
      <c r="AG21" s="121" t="s">
        <v>430</v>
      </c>
      <c r="AH21" s="122"/>
      <c r="AI21" s="123"/>
      <c r="AJ21" s="123"/>
      <c r="AK21" s="123"/>
      <c r="AL21" s="124">
        <f>IF(AG21&lt;&gt;"",AJ21+AK21,"")</f>
        <v>0</v>
      </c>
      <c r="AM21" s="123" t="s">
        <v>275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842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431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136</v>
      </c>
      <c r="AQ22" s="123">
        <v>185</v>
      </c>
      <c r="AR22" s="123">
        <v>75</v>
      </c>
      <c r="AS22" s="126" t="s">
        <v>63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4" t="s">
        <v>37</v>
      </c>
      <c r="BT22" s="104" t="s">
        <v>450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5"/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7" t="s">
        <v>12</v>
      </c>
      <c r="I23" s="427"/>
      <c r="J23" s="427"/>
      <c r="K23" s="427"/>
      <c r="M23" s="425"/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843</v>
      </c>
      <c r="T23" s="102" t="s">
        <v>106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417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136</v>
      </c>
      <c r="AQ23" s="123">
        <v>183</v>
      </c>
      <c r="AR23" s="123">
        <v>82</v>
      </c>
      <c r="AS23" s="126" t="s">
        <v>63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4"/>
      <c r="BT23" s="104" t="s">
        <v>1277</v>
      </c>
      <c r="BU23" s="103">
        <v>15</v>
      </c>
      <c r="BV23" s="104" t="str">
        <f t="shared" si="13"/>
        <v>Martin Šindelář</v>
      </c>
      <c r="BW23" s="102">
        <f t="shared" si="14"/>
        <v>15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 t="str">
        <f ca="1">IFERROR(IF(VLOOKUP(A23,OFFSET($AG$2,,,COUNTIF($AG$2:$AG$50,"?*"),23),2,FALSE)&lt;&gt;0,YEAR(VLOOKUP(A23,OFFSET($AG$2,,,COUNTIF($AG$2:$AG$50,"?*"),23),2,FALSE)),""),"")</f>
        <v/>
      </c>
      <c r="C24" s="429"/>
      <c r="D24" s="117" t="str">
        <f ca="1">IFERROR(VLOOKUP(A23,OFFSET($AG$2,,,COUNTIF($AG$2:$AG$50,"?*"),23),15,FALSE),"")</f>
        <v/>
      </c>
      <c r="E24" s="419" t="str">
        <f ca="1">IFERROR(VLOOKUP(A23,OFFSET($AG$2,,,COUNTIF($AG$2:$AG$50,"?*"),23),16,FALSE),"")</f>
        <v/>
      </c>
      <c r="F24" s="420"/>
      <c r="M24" s="4" t="str">
        <f ca="1">IFERROR(IF(VLOOKUP(M23,OFFSET($AG$2,,,COUNTIF($AG$2:$AG$50,"?*"),23),10,FALSE)&lt;&gt;0,VLOOKUP(M23,OFFSET($AG$2,,,COUNTIF($AG$2:$AG$50,"?*"),23),10,FALSE),""),"")</f>
        <v/>
      </c>
      <c r="N24" s="428" t="str">
        <f ca="1">IFERROR(IF(VLOOKUP(M23,OFFSET($AG$2,,,COUNTIF($AG$2:$AG$50,"?*"),23),2,FALSE)&lt;&gt;0,YEAR(VLOOKUP(M23,OFFSET($AG$2,,,COUNTIF($AG$2:$AG$50,"?*"),23),2,FALSE)),""),"")</f>
        <v/>
      </c>
      <c r="O24" s="429"/>
      <c r="P24" s="117" t="str">
        <f ca="1">IFERROR(VLOOKUP(M23,OFFSET($AG$2,,,COUNTIF($AG$2:$AG$50,"?*"),23),15,FALSE),"")</f>
        <v/>
      </c>
      <c r="Q24" s="419" t="str">
        <f ca="1">IFERROR(VLOOKUP(M23,OFFSET($AG$2,,,COUNTIF($AG$2:$AG$50,"?*"),23),16,FALSE),"")</f>
        <v/>
      </c>
      <c r="R24" s="420"/>
      <c r="S24" s="110" t="s">
        <v>432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420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136</v>
      </c>
      <c r="AQ24" s="123">
        <v>179</v>
      </c>
      <c r="AR24" s="123">
        <v>80</v>
      </c>
      <c r="AS24" s="126" t="s">
        <v>440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1 (0+1), -10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108 OZ, 54 (26+28)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4"/>
      <c r="BT24" s="104" t="s">
        <v>1278</v>
      </c>
      <c r="BU24" s="103">
        <v>12</v>
      </c>
      <c r="BV24" s="104" t="str">
        <f t="shared" si="13"/>
        <v>David Šimek</v>
      </c>
      <c r="BW24" s="102">
        <f t="shared" si="14"/>
        <v>12</v>
      </c>
    </row>
    <row r="25" spans="1:75" ht="15" customHeight="1" thickTop="1" thickBot="1" x14ac:dyDescent="0.25">
      <c r="A25" s="421" t="str">
        <f ca="1">IFERROR(VLOOKUP(A23,OFFSET($AG$2,,,COUNTIF($AG$2:$AG$50,"?*"),23),18,FALSE),"")</f>
        <v/>
      </c>
      <c r="B25" s="422"/>
      <c r="C25" s="422"/>
      <c r="D25" s="423" t="str">
        <f ca="1">IFERROR(VLOOKUP(A23,OFFSET($AG$2,,,COUNTIF($AG$2:$AG$50,"?*"),23),19,FALSE),"")</f>
        <v/>
      </c>
      <c r="E25" s="423"/>
      <c r="F25" s="424"/>
      <c r="G25" s="425"/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1" t="str">
        <f ca="1">IFERROR(VLOOKUP(M23,OFFSET($AG$2,,,COUNTIF($AG$2:$AG$50,"?*"),23),18,FALSE),"")</f>
        <v/>
      </c>
      <c r="N25" s="422"/>
      <c r="O25" s="422"/>
      <c r="P25" s="423" t="str">
        <f ca="1">IFERROR(VLOOKUP(M23,OFFSET($AG$2,,,COUNTIF($AG$2:$AG$50,"?*"),23),19,FALSE),"")</f>
        <v/>
      </c>
      <c r="Q25" s="423"/>
      <c r="R25" s="424"/>
      <c r="S25" s="110" t="s">
        <v>841</v>
      </c>
      <c r="T25" s="102" t="s">
        <v>106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404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136</v>
      </c>
      <c r="AQ25" s="123">
        <v>185</v>
      </c>
      <c r="AR25" s="123">
        <v>83</v>
      </c>
      <c r="AS25" s="126" t="s">
        <v>284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15 OZ, 24 (9+15), +3 ±</v>
      </c>
      <c r="AY25" s="129" t="str">
        <f t="shared" ca="1" si="16"/>
        <v>115 OZ, 157 (79+78)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4"/>
      <c r="BT25" s="104" t="s">
        <v>837</v>
      </c>
      <c r="BU25" s="103">
        <v>9</v>
      </c>
      <c r="BV25" s="104" t="str">
        <f t="shared" si="13"/>
        <v>Jakub Kolísko</v>
      </c>
      <c r="BW25" s="102">
        <f t="shared" si="14"/>
        <v>9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/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/>
      </c>
      <c r="E26" s="43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8" t="str">
        <f ca="1">IFERROR(IF(VLOOKUP(G25,OFFSET($AG$2,,,COUNTIF($AG$2:$AG$50,"?*"),23),2,FALSE)&lt;&gt;0,YEAR(VLOOKUP(G25,OFFSET($AG$2,,,COUNTIF($AG$2:$AG$50,"?*"),23),2,FALSE)),""),"")</f>
        <v/>
      </c>
      <c r="I26" s="429"/>
      <c r="J26" s="117" t="str">
        <f ca="1">IFERROR(VLOOKUP(G25,OFFSET($AG$2,,,COUNTIF($AG$2:$AG$50,"?*"),23),15,FALSE),"")</f>
        <v/>
      </c>
      <c r="K26" s="419" t="str">
        <f ca="1">IFERROR(VLOOKUP(G25,OFFSET($AG$2,,,COUNTIF($AG$2:$AG$50,"?*"),23),16,FALSE),"")</f>
        <v/>
      </c>
      <c r="L26" s="420"/>
      <c r="M26" s="430" t="str">
        <f ca="1">IFERROR(IF(VLOOKUP(M23,OFFSET($AG$2,,,COUNTIF($AG$2:$AG$50,"?*"),23),13,FALSE)&lt;&gt;0,VLOOKUP(M23,OFFSET($AG$2,,,COUNTIF($AG$2:$AG$50,"?*"),23),13,FALSE),"?"),"")</f>
        <v/>
      </c>
      <c r="N26" s="431"/>
      <c r="O26" s="432"/>
      <c r="P26" s="433" t="str">
        <f ca="1">IFERROR(IF(VLOOKUP(M23,OFFSET($AG$2,,,COUNTIF($AG$2:$AG$50,"?*"),23),14,FALSE)&lt;&gt;0,VLOOKUP(M23,OFFSET($AG$2,,,COUNTIF($AG$2:$AG$50,"?*"),23),14,FALSE),"?"),"")</f>
        <v/>
      </c>
      <c r="Q26" s="43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424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432</v>
      </c>
      <c r="AH26" s="122"/>
      <c r="AI26" s="123"/>
      <c r="AJ26" s="123"/>
      <c r="AK26" s="123"/>
      <c r="AL26" s="124">
        <f>IF(AG26&lt;&gt;"",AJ26+AK26,"")</f>
        <v>0</v>
      </c>
      <c r="AM26" s="123" t="s">
        <v>275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4"/>
      <c r="BT26" s="104" t="s">
        <v>840</v>
      </c>
      <c r="BU26" s="103">
        <v>9</v>
      </c>
      <c r="BV26" s="104" t="str">
        <f t="shared" si="13"/>
        <v>Ondřej Němeček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/>
      </c>
      <c r="H27" s="422"/>
      <c r="I27" s="422"/>
      <c r="J27" s="423" t="str">
        <f ca="1">IFERROR(VLOOKUP(G25,OFFSET($AG$2,,,COUNTIF($AG$2:$AG$50,"?*"),23),19,FALSE),"")</f>
        <v/>
      </c>
      <c r="K27" s="423"/>
      <c r="L27" s="424"/>
      <c r="S27" s="110" t="s">
        <v>415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NE</v>
      </c>
      <c r="AG27" s="121" t="s">
        <v>419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136</v>
      </c>
      <c r="AQ27" s="123">
        <v>185</v>
      </c>
      <c r="AR27" s="123">
        <v>90</v>
      </c>
      <c r="AS27" s="126" t="s">
        <v>441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10 OZ, 0 (0+0), +2 ±</v>
      </c>
      <c r="AY27" s="129" t="str">
        <f t="shared" ca="1" si="16"/>
        <v>64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4" t="s">
        <v>38</v>
      </c>
      <c r="BT27" s="104" t="s">
        <v>1279</v>
      </c>
      <c r="BU27" s="103">
        <v>16</v>
      </c>
      <c r="BV27" s="104" t="str">
        <f t="shared" si="13"/>
        <v>Petr Brautferger</v>
      </c>
      <c r="BW27" s="102">
        <f t="shared" si="14"/>
        <v>16</v>
      </c>
    </row>
    <row r="28" spans="1:75" ht="15" customHeight="1" thickTop="1" thickBot="1" x14ac:dyDescent="0.25">
      <c r="A28" s="425"/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/>
      </c>
      <c r="H28" s="431"/>
      <c r="I28" s="432"/>
      <c r="J28" s="433" t="str">
        <f ca="1">IFERROR(IF(VLOOKUP(G25,OFFSET($AG$2,,,COUNTIF($AG$2:$AG$50,"?*"),23),14,FALSE)&lt;&gt;0,VLOOKUP(G25,OFFSET($AG$2,,,COUNTIF($AG$2:$AG$50,"?*"),23),14,FALSE),"?"),"")</f>
        <v/>
      </c>
      <c r="K28" s="434"/>
      <c r="L28" s="7" t="str">
        <f ca="1">IFERROR(IF(VLOOKUP(G25,OFFSET($AG$2,,,COUNTIF($AG$2:$AG$50,"?*"),23),7,FALSE)&lt;&gt;0,VLOOKUP(G25,OFFSET($AG$2,,,COUNTIF($AG$2:$AG$50,"?*"),23),7,FALSE),"?"),"")</f>
        <v/>
      </c>
      <c r="M28" s="425"/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419</v>
      </c>
      <c r="U28" s="102">
        <v>10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2</v>
      </c>
      <c r="AC28" s="102" t="str">
        <f t="shared" ca="1" si="0"/>
        <v>ANO</v>
      </c>
      <c r="AG28" s="121" t="s">
        <v>422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136</v>
      </c>
      <c r="AQ28" s="123">
        <v>180</v>
      </c>
      <c r="AR28" s="123">
        <v>70</v>
      </c>
      <c r="AS28" s="126" t="s">
        <v>442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16 OZ, 10 (7+3), +15 ±</v>
      </c>
      <c r="AY28" s="129" t="str">
        <f t="shared" ca="1" si="16"/>
        <v>135 OZ, 67 (32+35)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4"/>
      <c r="BT28" s="104" t="s">
        <v>1465</v>
      </c>
      <c r="BU28" s="103">
        <v>6</v>
      </c>
      <c r="BV28" s="104" t="str">
        <f t="shared" si="13"/>
        <v>Jakub Kolísko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/>
      </c>
      <c r="E29" s="419" t="str">
        <f ca="1">IFERROR(VLOOKUP(A28,OFFSET($AG$2,,,COUNTIF($AG$2:$AG$50,"?*"),23),16,FALSE),"")</f>
        <v/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0" t="s">
        <v>411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433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275</v>
      </c>
      <c r="AN29" s="123">
        <v>50</v>
      </c>
      <c r="AO29" s="125"/>
      <c r="AP29" s="125" t="s">
        <v>136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4"/>
      <c r="BT29" s="104" t="s">
        <v>1126</v>
      </c>
      <c r="BU29" s="103">
        <v>6</v>
      </c>
      <c r="BV29" s="104" t="str">
        <f t="shared" si="13"/>
        <v>Matěj Havlas</v>
      </c>
      <c r="BW29" s="102">
        <f t="shared" si="14"/>
        <v>6</v>
      </c>
    </row>
    <row r="30" spans="1:75" ht="15" customHeight="1" x14ac:dyDescent="0.2">
      <c r="A30" s="421" t="str">
        <f ca="1">IFERROR(VLOOKUP(A28,OFFSET($AG$2,,,COUNTIF($AG$2:$AG$50,"?*"),23),18,FALSE),"")</f>
        <v/>
      </c>
      <c r="B30" s="422"/>
      <c r="C30" s="422"/>
      <c r="D30" s="423" t="str">
        <f ca="1">IFERROR(VLOOKUP(A28,OFFSET($AG$2,,,COUNTIF($AG$2:$AG$50,"?*"),23),19,FALSE),"")</f>
        <v/>
      </c>
      <c r="E30" s="423"/>
      <c r="F30" s="424"/>
      <c r="H30" s="435" t="str">
        <f>H$8</f>
        <v>TAT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t="shared" ca="1" si="0"/>
        <v/>
      </c>
      <c r="AG30" s="121" t="s">
        <v>434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4"/>
      <c r="BT30" s="104" t="s">
        <v>1466</v>
      </c>
      <c r="BU30" s="103">
        <v>4</v>
      </c>
      <c r="BV30" s="104" t="str">
        <f t="shared" si="13"/>
        <v>Jonáš Kreysa</v>
      </c>
      <c r="BW30" s="102">
        <f t="shared" si="14"/>
        <v>4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/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/>
      </c>
      <c r="E31" s="434"/>
      <c r="F31" s="7" t="str">
        <f ca="1">IFERROR(IF(VLOOKUP(A28,OFFSET($AG$2,,,COUNTIF($AG$2:$AG$50,"?*"),23),7,FALSE)&lt;&gt;0,VLOOKUP(A28,OFFSET($AG$2,,,COUNTIF($AG$2:$AG$50,"?*"),23),7,FALSE),"?"),"")</f>
        <v/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308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136</v>
      </c>
      <c r="AQ31" s="123">
        <v>183</v>
      </c>
      <c r="AR31" s="123">
        <v>81</v>
      </c>
      <c r="AS31" s="126" t="s">
        <v>443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4"/>
      <c r="BT31" s="104" t="s">
        <v>1467</v>
      </c>
      <c r="BU31" s="103">
        <v>4</v>
      </c>
      <c r="BV31" s="104" t="str">
        <f t="shared" si="13"/>
        <v>Marek Beneš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5"/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6" t="s">
        <v>15</v>
      </c>
      <c r="J34" s="425"/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8" t="str">
        <f ca="1">IFERROR(IF(VLOOKUP(A34,OFFSET($AG$2,,,COUNTIF($AG$2:$AG$50,"?*"),23),2,FALSE)&lt;&gt;0,YEAR(VLOOKUP(A34,OFFSET($AG$2,,,COUNTIF($AG$2:$AG$50,"?*"),23),2,FALSE)),""),"")</f>
        <v/>
      </c>
      <c r="C35" s="429"/>
      <c r="D35" s="117" t="str">
        <f ca="1">IFERROR(VLOOKUP(A34,OFFSET($AG$2,,,COUNTIF($AG$2:$AG$50,"?*"),23),15,FALSE),"")</f>
        <v/>
      </c>
      <c r="E35" s="419" t="str">
        <f ca="1">IFERROR(VLOOKUP(A34,OFFSET($AG$2,,,COUNTIF($AG$2:$AG$50,"?*"),23),16,FALSE),"")</f>
        <v/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/>
      </c>
      <c r="K35" s="429" t="str">
        <f ca="1">IFERROR(IF(VLOOKUP(J34,OFFSET($AG$2,,,COUNTIF($AG$2:$AG$50,"?*"),23),2,FALSE)&lt;&gt;0,YEAR(VLOOKUP(J34,OFFSET($AG$2,,,COUNTIF($AG$2:$AG$50,"?*"),23),2,FALSE)),""),"")</f>
        <v/>
      </c>
      <c r="L35" s="437"/>
      <c r="M35" s="118" t="str">
        <f ca="1">IFERROR(VLOOKUP(J34,OFFSET($AG$2,,,COUNTIF($AG$2:$AG$50,"?*"),23),15,FALSE),"")</f>
        <v/>
      </c>
      <c r="N35" s="437" t="str">
        <f ca="1">IFERROR(VLOOKUP(J34,OFFSET($AG$2,,,COUNTIF($AG$2:$AG$50,"?*"),23),16,FALSE),"")</f>
        <v/>
      </c>
      <c r="O35" s="437"/>
      <c r="P35" s="437" t="str">
        <f ca="1">IFERROR(VLOOKUP(J34,OFFSET($AG$2,,,COUNTIF($AG$2:$AG$50,"?*"),23),18,FALSE),"")</f>
        <v/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5" t="str">
        <f ca="1">IFERROR(VLOOKUP(A34,OFFSET($AG$2,,,COUNTIF($AG$2:$AG$50,"?*"),23),18,FALSE),"")</f>
        <v/>
      </c>
      <c r="C36" s="445"/>
      <c r="D36" s="446" t="str">
        <f ca="1">IFERROR(VLOOKUP(A34,OFFSET($S$45,,,COUNTIF($S$45:$S$50,"?*"),14),5,FALSE),"")</f>
        <v/>
      </c>
      <c r="E36" s="447"/>
      <c r="F36" s="17" t="str">
        <f ca="1">IFERROR(VLOOKUP(A34,OFFSET($S$45,,,COUNTIF($S$45:$S$50,"?*"),14),14,FALSE),"")</f>
        <v/>
      </c>
      <c r="H36" s="436"/>
      <c r="J36" s="18" t="str">
        <f ca="1">IFERROR(IF(VLOOKUP(J34,OFFSET($AG$2,,,COUNTIF($AG$2:$AG$50,"?*"),23),7,FALSE)&lt;&gt;0,VLOOKUP(J34,OFFSET($AG$2,,,COUNTIF($AG$2:$AG$50,"?*"),23),7,FALSE),"?"),"")</f>
        <v/>
      </c>
      <c r="K36" s="448" t="str">
        <f ca="1">IFERROR(VLOOKUP(J34,OFFSET($AG$2,,,COUNTIF($AG$2:$AG$50,"?*"),23),19,FALSE),"")</f>
        <v/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/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/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 t="str">
        <f ca="1">IFERROR(VLOOKUP(A34,OFFSET($S$45,,,COUNTIF($S$45:$S$50,"?*"),14),3,FALSE),"")</f>
        <v/>
      </c>
      <c r="B37" s="439"/>
      <c r="C37" s="440" t="str">
        <f ca="1">IFERROR(VLOOKUP(A34,OFFSET($S$45,,,COUNTIF($S$45:$S$50,"?*"),14),13,FALSE),"")</f>
        <v/>
      </c>
      <c r="D37" s="441"/>
      <c r="E37" s="442" t="str">
        <f ca="1">IFERROR(VLOOKUP(A34,OFFSET($AG$2,,,COUNTIF($AG$2:$AG$50,"?*"),23),19,FALSE),"")</f>
        <v/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/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/>
      </c>
      <c r="E38" s="434"/>
      <c r="F38" s="19" t="str">
        <f ca="1">IFERROR(VLOOKUP(A34,OFFSET($S$45,,,COUNTIF($S$45:$S$50,"?*"),14),6,FALSE),"")</f>
        <v/>
      </c>
      <c r="H38" s="436"/>
      <c r="J38" s="425"/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 t="str">
        <f ca="1">IFERROR(IF(VLOOKUP(J38,OFFSET($AG$2,,,COUNTIF($AG$2:$AG$50,"?*"),23),2,FALSE)&lt;&gt;0,YEAR(VLOOKUP(J38,OFFSET($AG$2,,,COUNTIF($AG$2:$AG$50,"?*"),23),2,FALSE)),""),"")</f>
        <v/>
      </c>
      <c r="L39" s="437"/>
      <c r="M39" s="150" t="str">
        <f ca="1">IFERROR(VLOOKUP(J38,OFFSET($AG$2,,,COUNTIF($AG$2:$AG$50,"?*"),23),15,FALSE),"")</f>
        <v/>
      </c>
      <c r="N39" s="437" t="str">
        <f ca="1">IFERROR(VLOOKUP(J38,OFFSET($AG$2,,,COUNTIF($AG$2:$AG$50,"?*"),23),16,FALSE),"")</f>
        <v/>
      </c>
      <c r="O39" s="437"/>
      <c r="P39" s="437" t="str">
        <f ca="1">IFERROR(VLOOKUP(J38,OFFSET($AG$2,,,COUNTIF($AG$2:$AG$50,"?*"),23),18,FALSE),"")</f>
        <v/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/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6"/>
      <c r="J40" s="18" t="str">
        <f ca="1">IFERROR(IF(VLOOKUP(J38,OFFSET($AG$2,,,COUNTIF($AG$2:$AG$50,"?*"),23),7,FALSE)&lt;&gt;0,VLOOKUP(J38,OFFSET($AG$2,,,COUNTIF($AG$2:$AG$50,"?*"),23),7,FALSE),"?"),"")</f>
        <v/>
      </c>
      <c r="K40" s="448" t="str">
        <f ca="1">IFERROR(VLOOKUP(J38,OFFSET($AG$2,,,COUNTIF($AG$2:$AG$50,"?*"),23),19,FALSE),"")</f>
        <v/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/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/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8" t="str">
        <f ca="1">IFERROR(IF(VLOOKUP(A40,OFFSET($AG$2,,,COUNTIF($AG$2:$AG$50,"?*"),23),2,FALSE)&lt;&gt;0,YEAR(VLOOKUP(A40,OFFSET($AG$2,,,COUNTIF($AG$2:$AG$50,"?*"),23),2,FALSE)),""),"")</f>
        <v/>
      </c>
      <c r="C41" s="429"/>
      <c r="D41" s="117" t="str">
        <f ca="1">IFERROR(VLOOKUP(A40,OFFSET($AG$2,,,COUNTIF($AG$2:$AG$50,"?*"),23),15,FALSE),"")</f>
        <v/>
      </c>
      <c r="E41" s="419" t="str">
        <f ca="1">IFERROR(VLOOKUP(A40,OFFSET($AG$2,,,COUNTIF($AG$2:$AG$50,"?*"),23),16,FALSE),"")</f>
        <v/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5" t="str">
        <f ca="1">IFERROR(VLOOKUP(A40,OFFSET($AG$2,,,COUNTIF($AG$2:$AG$50,"?*"),23),18,FALSE),"")</f>
        <v/>
      </c>
      <c r="C42" s="445"/>
      <c r="D42" s="446" t="str">
        <f ca="1">IFERROR(VLOOKUP(A40,OFFSET($S$45,,,COUNTIF($S$45:$S$50,"?*"),14),5,FALSE),"")</f>
        <v/>
      </c>
      <c r="E42" s="447"/>
      <c r="F42" s="17" t="str">
        <f ca="1">IFERROR(VLOOKUP(A40,OFFSET($S$45,,,COUNTIF($S$45:$S$50,"?*"),14),14,FALSE),"")</f>
        <v/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 t="str">
        <f ca="1">IFERROR(VLOOKUP(A40,OFFSET($S$45,,,COUNTIF($S$45:$S$50,"?*"),14),3,FALSE),"")</f>
        <v/>
      </c>
      <c r="B43" s="439"/>
      <c r="C43" s="440" t="str">
        <f ca="1">IFERROR(VLOOKUP(A40,OFFSET($S$45,,,COUNTIF($S$45:$S$50,"?*"),14),13,FALSE),"")</f>
        <v/>
      </c>
      <c r="D43" s="441"/>
      <c r="E43" s="442" t="str">
        <f ca="1">IFERROR(VLOOKUP(A40,OFFSET($AG$2,,,COUNTIF($AG$2:$AG$50,"?*"),23),19,FALSE),"")</f>
        <v/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/>
      </c>
      <c r="B44" s="431"/>
      <c r="C44" s="432"/>
      <c r="D44" s="433" t="str">
        <f ca="1">IFERROR(IF(VLOOKUP(A40,OFFSET($AG$2,,,COUNTIF($AG$2:$AG$50,"?*"),23),14,FALSE)&lt;&gt;0,VLOOKUP(A40,OFFSET($AG$2,,,COUNTIF($AG$2:$AG$50,"?*"),23),14,FALSE),"?"),"")</f>
        <v/>
      </c>
      <c r="E44" s="434"/>
      <c r="F44" s="19" t="str">
        <f ca="1">IFERROR(VLOOKUP(A40,OFFSET($S$45,,,COUNTIF($S$45:$S$50,"?*"),14),6,FALSE),"")</f>
        <v/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411</v>
      </c>
      <c r="T45" s="102">
        <v>13</v>
      </c>
      <c r="U45" s="112">
        <v>723.67</v>
      </c>
      <c r="V45" s="102">
        <v>12</v>
      </c>
      <c r="W45" s="102">
        <v>46</v>
      </c>
      <c r="X45" s="102">
        <v>0</v>
      </c>
      <c r="Y45" s="102">
        <v>247</v>
      </c>
      <c r="Z45" s="102">
        <v>0</v>
      </c>
      <c r="AA45" s="102">
        <v>1</v>
      </c>
      <c r="AB45" s="102">
        <v>201</v>
      </c>
      <c r="AC45" s="102">
        <v>0</v>
      </c>
      <c r="AD45" s="102">
        <v>0</v>
      </c>
      <c r="AE45" s="112">
        <f>IF(S45&lt;&gt;"",IF(T45&gt;0,W45/(U45/60),0),"")</f>
        <v>3.8138930728094298</v>
      </c>
      <c r="AF45" s="112">
        <f>IF(S45&lt;&gt;"",IF(Y45&gt;0,(AB45/Y45)*100,"-"),"")</f>
        <v>81.376518218623488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415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/>
      <c r="B47" s="466"/>
      <c r="C47" s="466"/>
      <c r="D47" s="466"/>
      <c r="E47" s="461" t="str">
        <f ca="1">IFERROR(VLOOKUP(A47,OFFSET($BN$2,,,COUNTIF($BN$2:$BN$11,"?*"),5),3,FALSE),"")</f>
        <v/>
      </c>
      <c r="F47" s="461"/>
      <c r="G47" s="461"/>
      <c r="H47" s="461"/>
      <c r="I47" s="462"/>
      <c r="J47" s="465"/>
      <c r="K47" s="466"/>
      <c r="L47" s="466"/>
      <c r="M47" s="466"/>
      <c r="N47" s="461" t="str">
        <f ca="1">IFERROR(VLOOKUP(J47,OFFSET($BN$2,,,COUNTIF($BN$2:$BN$11,"?*"),5),3,FALSE),"")</f>
        <v/>
      </c>
      <c r="O47" s="461"/>
      <c r="P47" s="461"/>
      <c r="Q47" s="461"/>
      <c r="R47" s="462"/>
      <c r="S47" s="111" t="s">
        <v>424</v>
      </c>
      <c r="T47" s="102">
        <v>4</v>
      </c>
      <c r="U47" s="112">
        <v>193.32</v>
      </c>
      <c r="V47" s="102">
        <v>2</v>
      </c>
      <c r="W47" s="102">
        <v>10</v>
      </c>
      <c r="X47" s="102">
        <v>0</v>
      </c>
      <c r="Y47" s="102">
        <v>57</v>
      </c>
      <c r="Z47" s="102">
        <v>0</v>
      </c>
      <c r="AA47" s="102">
        <v>2</v>
      </c>
      <c r="AB47" s="102">
        <v>47</v>
      </c>
      <c r="AC47" s="102">
        <v>0</v>
      </c>
      <c r="AD47" s="102">
        <v>0</v>
      </c>
      <c r="AE47" s="112">
        <f t="shared" si="23"/>
        <v>3.1036623215394163</v>
      </c>
      <c r="AF47" s="112">
        <f t="shared" si="24"/>
        <v>82.456140350877192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 t="str">
        <f ca="1">IFERROR(VLOOKUP(A47,OFFSET($BN$2,,,COUNTIF($BN$2:$BN$11,"?*"),5),5,FALSE),"")</f>
        <v/>
      </c>
      <c r="B48" s="453" t="str">
        <f ca="1">IFERROR(IF(VLOOKUP(A47,OFFSET($BN$2,,,COUNTIF($BN$2:$BN$11,"?*"),5),4,FALSE)&lt;&gt;0,VLOOKUP(A47,OFFSET($BN$2,,,COUNTIF($BN$2:$BN$11,"?*"),5),4,FALSE),"-"),"")</f>
        <v/>
      </c>
      <c r="C48" s="453"/>
      <c r="D48" s="453"/>
      <c r="E48" s="453"/>
      <c r="F48" s="453"/>
      <c r="G48" s="453"/>
      <c r="H48" s="453"/>
      <c r="I48" s="454"/>
      <c r="J48" s="119" t="str">
        <f ca="1">IFERROR(VLOOKUP(J47,OFFSET($BN$2,,,COUNTIF($BN$2:$BN$11,"?*"),5),5,FALSE),"")</f>
        <v/>
      </c>
      <c r="K48" s="457" t="str">
        <f ca="1">IFERROR(IF(VLOOKUP(J47,OFFSET($BN$2,,,COUNTIF($BN$2:$BN$11,"?*"),5),4,FALSE)&lt;&gt;0,VLOOKUP(J47,OFFSET($BN$2,,,COUNTIF($BN$2:$BN$11,"?*"),5),4,FALSE),"-"),"")</f>
        <v/>
      </c>
      <c r="L48" s="457"/>
      <c r="M48" s="457"/>
      <c r="N48" s="457"/>
      <c r="O48" s="457"/>
      <c r="P48" s="457"/>
      <c r="Q48" s="457"/>
      <c r="R48" s="458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/>
      <c r="K49" s="460"/>
      <c r="L49" s="460"/>
      <c r="M49" s="460"/>
      <c r="N49" s="461" t="str">
        <f ca="1">IFERROR(VLOOKUP(J49,OFFSET($BN$2,,,COUNTIF($BN$2:$BN$11,"?*"),5),3,FALSE),"")</f>
        <v/>
      </c>
      <c r="O49" s="461"/>
      <c r="P49" s="461"/>
      <c r="Q49" s="461"/>
      <c r="R49" s="462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 t="str">
        <f ca="1">IFERROR(VLOOKUP(J49,OFFSET($BN$2,,,COUNTIF($BN$2:$BN$11,"?*"),5),5,FALSE),"")</f>
        <v/>
      </c>
      <c r="K50" s="457" t="str">
        <f ca="1">IFERROR(IF(VLOOKUP(J49,OFFSET($BN$2,,,COUNTIF($BN$2:$BN$11,"?*"),5),4,FALSE)&lt;&gt;0,VLOOKUP(J49,OFFSET($BN$2,,,COUNTIF($BN$2:$BN$11,"?*"),5),4,FALSE),"-"),"")</f>
        <v/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15" priority="12" stopIfTrue="1" operator="equal">
      <formula>"OTR"</formula>
    </cfRule>
    <cfRule type="cellIs" dxfId="114" priority="13" stopIfTrue="1" operator="equal">
      <formula>"PAR"</formula>
    </cfRule>
    <cfRule type="cellIs" dxfId="113" priority="14" stopIfTrue="1" operator="equal">
      <formula>"CLP"</formula>
    </cfRule>
    <cfRule type="cellIs" dxfId="112" priority="15" stopIfTrue="1" operator="equal">
      <formula>"HAT"</formula>
    </cfRule>
    <cfRule type="cellIs" dxfId="111" priority="16" stopIfTrue="1" operator="equal">
      <formula>"LIB"</formula>
    </cfRule>
    <cfRule type="cellIs" dxfId="110" priority="17" stopIfTrue="1" operator="equal">
      <formula>"BA"</formula>
    </cfRule>
    <cfRule type="cellIs" dxfId="109" priority="18" stopIfTrue="1" operator="equal">
      <formula>"SPA"</formula>
    </cfRule>
    <cfRule type="cellIs" dxfId="108" priority="19" stopIfTrue="1" operator="equal">
      <formula>"OST"</formula>
    </cfRule>
    <cfRule type="cellIs" dxfId="107" priority="20" stopIfTrue="1" operator="equal">
      <formula>"BOH"</formula>
    </cfRule>
    <cfRule type="cellIs" dxfId="106" priority="21" stopIfTrue="1" operator="equal">
      <formula>"TAT"</formula>
    </cfRule>
    <cfRule type="cellIs" dxfId="105" priority="22" stopIfTrue="1" operator="equal">
      <formula>"MB"</formula>
    </cfRule>
    <cfRule type="cellIs" dxfId="104" priority="23" stopIfTrue="1" operator="equal">
      <formula>"VIT"</formula>
    </cfRule>
    <cfRule type="cellIs" dxfId="103" priority="24" stopIfTrue="1" operator="equal">
      <formula>"CHO"</formula>
    </cfRule>
    <cfRule type="cellIs" dxfId="102" priority="25" stopIfTrue="1" operator="equal">
      <formula>"SKV"</formula>
    </cfRule>
  </conditionalFormatting>
  <conditionalFormatting sqref="H19:K20">
    <cfRule type="cellIs" dxfId="101" priority="40" stopIfTrue="1" operator="equal">
      <formula>"OTR"</formula>
    </cfRule>
    <cfRule type="cellIs" dxfId="100" priority="41" stopIfTrue="1" operator="equal">
      <formula>"PAR"</formula>
    </cfRule>
    <cfRule type="cellIs" dxfId="99" priority="42" stopIfTrue="1" operator="equal">
      <formula>"CLP"</formula>
    </cfRule>
    <cfRule type="cellIs" dxfId="98" priority="43" stopIfTrue="1" operator="equal">
      <formula>"HAT"</formula>
    </cfRule>
    <cfRule type="cellIs" dxfId="97" priority="44" stopIfTrue="1" operator="equal">
      <formula>"LIB"</formula>
    </cfRule>
    <cfRule type="cellIs" dxfId="96" priority="45" stopIfTrue="1" operator="equal">
      <formula>"BA"</formula>
    </cfRule>
    <cfRule type="cellIs" dxfId="95" priority="46" stopIfTrue="1" operator="equal">
      <formula>"SPA"</formula>
    </cfRule>
    <cfRule type="cellIs" dxfId="94" priority="47" stopIfTrue="1" operator="equal">
      <formula>"OST"</formula>
    </cfRule>
    <cfRule type="cellIs" dxfId="93" priority="48" stopIfTrue="1" operator="equal">
      <formula>"BOH"</formula>
    </cfRule>
    <cfRule type="cellIs" dxfId="92" priority="49" stopIfTrue="1" operator="equal">
      <formula>"TAT"</formula>
    </cfRule>
    <cfRule type="cellIs" dxfId="91" priority="50" stopIfTrue="1" operator="equal">
      <formula>"MB"</formula>
    </cfRule>
    <cfRule type="cellIs" dxfId="90" priority="51" stopIfTrue="1" operator="equal">
      <formula>"VIT"</formula>
    </cfRule>
    <cfRule type="cellIs" dxfId="89" priority="52" stopIfTrue="1" operator="equal">
      <formula>"CHO"</formula>
    </cfRule>
    <cfRule type="cellIs" dxfId="88" priority="53" stopIfTrue="1" operator="equal">
      <formula>"SKV"</formula>
    </cfRule>
  </conditionalFormatting>
  <conditionalFormatting sqref="H8:K9">
    <cfRule type="cellIs" dxfId="87" priority="26" stopIfTrue="1" operator="equal">
      <formula>"OTR"</formula>
    </cfRule>
    <cfRule type="cellIs" dxfId="86" priority="27" stopIfTrue="1" operator="equal">
      <formula>"PAR"</formula>
    </cfRule>
    <cfRule type="cellIs" dxfId="85" priority="28" stopIfTrue="1" operator="equal">
      <formula>"CLP"</formula>
    </cfRule>
    <cfRule type="cellIs" dxfId="84" priority="29" stopIfTrue="1" operator="equal">
      <formula>"HAT"</formula>
    </cfRule>
    <cfRule type="cellIs" dxfId="83" priority="30" stopIfTrue="1" operator="equal">
      <formula>"LIB"</formula>
    </cfRule>
    <cfRule type="cellIs" dxfId="82" priority="31" stopIfTrue="1" operator="equal">
      <formula>"BA"</formula>
    </cfRule>
    <cfRule type="cellIs" dxfId="81" priority="32" stopIfTrue="1" operator="equal">
      <formula>"SPA"</formula>
    </cfRule>
    <cfRule type="cellIs" dxfId="80" priority="33" stopIfTrue="1" operator="equal">
      <formula>"OST"</formula>
    </cfRule>
    <cfRule type="cellIs" dxfId="79" priority="34" stopIfTrue="1" operator="equal">
      <formula>"BOH"</formula>
    </cfRule>
    <cfRule type="cellIs" dxfId="78" priority="35" stopIfTrue="1" operator="equal">
      <formula>"TAT"</formula>
    </cfRule>
    <cfRule type="cellIs" dxfId="77" priority="36" stopIfTrue="1" operator="equal">
      <formula>"MB"</formula>
    </cfRule>
    <cfRule type="cellIs" dxfId="76" priority="37" stopIfTrue="1" operator="equal">
      <formula>"VIT"</formula>
    </cfRule>
    <cfRule type="cellIs" dxfId="75" priority="38" stopIfTrue="1" operator="equal">
      <formula>"CHO"</formula>
    </cfRule>
    <cfRule type="cellIs" dxfId="74" priority="39" stopIfTrue="1" operator="equal">
      <formula>"SKV"</formula>
    </cfRule>
  </conditionalFormatting>
  <conditionalFormatting sqref="S2:S42">
    <cfRule type="expression" dxfId="73" priority="10" stopIfTrue="1">
      <formula>IFERROR(IF(VLOOKUP($S2,OFFSET($AG$2,,,COUNTIF($AG$2:$AG$50,"?*")),1,FALSE)&lt;&gt;0,1,0),0)&gt;0</formula>
    </cfRule>
  </conditionalFormatting>
  <conditionalFormatting sqref="S2:S42">
    <cfRule type="expression" dxfId="72" priority="11">
      <formula>IFERROR(IF(VLOOKUP($S2,OFFSET($AG$2,,,COUNTIF($AG$2:$AG$50,"?*")),1,FALSE)&lt;&gt;0,1,0),0)=0</formula>
    </cfRule>
  </conditionalFormatting>
  <conditionalFormatting sqref="S45:S50">
    <cfRule type="expression" dxfId="71" priority="9">
      <formula>IFERROR(IF(VLOOKUP($S45,OFFSET($AG$2,,,COUNTIF($AG$2:$AG$50,"?*")),1,FALSE)&lt;&gt;0,1,0),0)&gt;0</formula>
    </cfRule>
  </conditionalFormatting>
  <conditionalFormatting sqref="S45:S50">
    <cfRule type="expression" dxfId="70" priority="8">
      <formula>IFERROR(IF(VLOOKUP($S45,OFFSET($AG$2,,,COUNTIF($AG$2:$AG$50,"?*")),1,FALSE)&lt;&gt;0,1,0),0)=0</formula>
    </cfRule>
  </conditionalFormatting>
  <conditionalFormatting sqref="AG2:AG50">
    <cfRule type="expression" dxfId="69" priority="5" stopIfTrue="1">
      <formula>OR($AH2="",$AI2="",$AJ2="",$AK2="",$AL2="",$AM2="",$AN2="",$AQ2="",$AR2="",$AS2="",$AT2="")</formula>
    </cfRule>
    <cfRule type="expression" dxfId="68" priority="6" stopIfTrue="1">
      <formula>IFERROR(IF(VLOOKUP($AG2,OFFSET($S$2,,,COUNTIF($S$2:$S$42,"?*")),1,FALSE)&lt;&gt;0,1,0),0)=0</formula>
    </cfRule>
    <cfRule type="expression" dxfId="67" priority="7">
      <formula>IFERROR(IF(VLOOKUP($AG2,OFFSET($S$2,,,COUNTIF($S$2:$S$42,"?*")),1,FALSE)&lt;&gt;0,1,0),0)&gt;0</formula>
    </cfRule>
  </conditionalFormatting>
  <conditionalFormatting sqref="AG2:AK50 AM2:BC50">
    <cfRule type="expression" dxfId="66" priority="4">
      <formula>AND($AG2&lt;&gt;"",MOD(ROW($AG2),2)=0)</formula>
    </cfRule>
  </conditionalFormatting>
  <conditionalFormatting sqref="BN2:BR11">
    <cfRule type="expression" dxfId="65" priority="3">
      <formula>AND($BN2&lt;&gt;"",MOD(ROW($BN2),2)=0)</formula>
    </cfRule>
  </conditionalFormatting>
  <conditionalFormatting sqref="AL2:AL50">
    <cfRule type="expression" dxfId="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topLeftCell="V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5"/>
      <c r="B1" s="426"/>
      <c r="C1" s="426"/>
      <c r="D1" s="4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7" t="s">
        <v>1</v>
      </c>
      <c r="I1" s="427"/>
      <c r="J1" s="427"/>
      <c r="K1" s="427"/>
      <c r="M1" s="425"/>
      <c r="N1" s="426"/>
      <c r="O1" s="426"/>
      <c r="P1" s="4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8" t="str">
        <f ca="1">IFERROR(IF(VLOOKUP(A1,OFFSET($AG$2,,,COUNTIF($AG$2:$AG$50,"?*"),23),2,FALSE)&lt;&gt;0,YEAR(VLOOKUP(A1,OFFSET($AG$2,,,COUNTIF($AG$2:$AG$50,"?*"),23),2,FALSE)),""),"")</f>
        <v/>
      </c>
      <c r="C2" s="429"/>
      <c r="D2" s="117" t="str">
        <f ca="1">IFERROR(VLOOKUP(A1,OFFSET($AG$2,,,COUNTIF($AG$2:$AG$50,"?*"),23),15,FALSE),"")</f>
        <v/>
      </c>
      <c r="E2" s="419" t="str">
        <f ca="1">IFERROR(VLOOKUP(A1,OFFSET($AG$2,,,COUNTIF($AG$2:$AG$50,"?*"),23),16,FALSE),"")</f>
        <v/>
      </c>
      <c r="F2" s="420"/>
      <c r="M2" s="4" t="str">
        <f ca="1">IFERROR(IF(VLOOKUP(M1,OFFSET($AG$2,,,COUNTIF($AG$2:$AG$50,"?*"),23),10,FALSE)&lt;&gt;0,VLOOKUP(M1,OFFSET($AG$2,,,COUNTIF($AG$2:$AG$50,"?*"),23),10,FALSE),""),"")</f>
        <v/>
      </c>
      <c r="N2" s="428" t="str">
        <f ca="1">IFERROR(IF(VLOOKUP(M1,OFFSET($AG$2,,,COUNTIF($AG$2:$AG$50,"?*"),23),2,FALSE)&lt;&gt;0,YEAR(VLOOKUP(M1,OFFSET($AG$2,,,COUNTIF($AG$2:$AG$50,"?*"),23),2,FALSE)),""),"")</f>
        <v/>
      </c>
      <c r="O2" s="429"/>
      <c r="P2" s="117" t="str">
        <f ca="1">IFERROR(VLOOKUP(M1,OFFSET($AG$2,,,COUNTIF($AG$2:$AG$50,"?*"),23),15,FALSE),"")</f>
        <v/>
      </c>
      <c r="Q2" s="419" t="str">
        <f ca="1">IFERROR(VLOOKUP(M1,OFFSET($AG$2,,,COUNTIF($AG$2:$AG$50,"?*"),23),16,FALSE),"")</f>
        <v/>
      </c>
      <c r="R2" s="420"/>
      <c r="S2" s="110" t="s">
        <v>297</v>
      </c>
      <c r="T2" s="102" t="s">
        <v>106</v>
      </c>
      <c r="U2" s="102">
        <v>15</v>
      </c>
      <c r="V2" s="102">
        <v>20</v>
      </c>
      <c r="W2" s="102">
        <v>3</v>
      </c>
      <c r="X2" s="102">
        <v>0</v>
      </c>
      <c r="Y2" s="102">
        <v>12</v>
      </c>
      <c r="Z2" s="102">
        <v>32</v>
      </c>
      <c r="AA2" s="102">
        <v>2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314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136</v>
      </c>
      <c r="AQ2" s="123">
        <v>179</v>
      </c>
      <c r="AR2" s="123">
        <v>76</v>
      </c>
      <c r="AS2" s="126" t="s">
        <v>327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15 OZ, 14 (8+6), +19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142 OZ, 105 (46+59)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343</v>
      </c>
      <c r="BO2" s="122">
        <v>31830</v>
      </c>
      <c r="BP2" s="131" t="s">
        <v>235</v>
      </c>
      <c r="BQ2" s="132" t="s">
        <v>344</v>
      </c>
      <c r="BR2" s="127">
        <f ca="1">IF(BN2&lt;&gt;"",IF(BO2&lt;&gt;"",INT((TODAY()-BO2)/365),"?"),"")</f>
        <v>34</v>
      </c>
      <c r="BS2" s="464" t="s">
        <v>35</v>
      </c>
      <c r="BT2" s="104" t="s">
        <v>350</v>
      </c>
      <c r="BU2" s="103">
        <v>32</v>
      </c>
      <c r="BV2" s="104" t="str">
        <f>IFERROR(RIGHT(BT2,LEN(BT2)-SEARCH(" ",BT2)),"")</f>
        <v>Adam Delong</v>
      </c>
      <c r="BW2" s="102">
        <f>IF(BT2&lt;&gt;0,_xlfn.NUMBERVALUE(BU2,","),"")</f>
        <v>32</v>
      </c>
      <c r="BX2" s="463" t="s">
        <v>191</v>
      </c>
      <c r="BY2" s="103" t="s">
        <v>1040</v>
      </c>
      <c r="BZ2" s="103" t="s">
        <v>818</v>
      </c>
      <c r="CA2" s="115" t="s">
        <v>987</v>
      </c>
    </row>
    <row r="3" spans="1:79" ht="15" customHeight="1" thickTop="1" thickBot="1" x14ac:dyDescent="0.25">
      <c r="A3" s="421" t="str">
        <f ca="1">IFERROR(VLOOKUP(A1,OFFSET($AG$2,,,COUNTIF($AG$2:$AG$50,"?*"),23),18,FALSE),"")</f>
        <v/>
      </c>
      <c r="B3" s="422"/>
      <c r="C3" s="422"/>
      <c r="D3" s="423" t="str">
        <f ca="1">IFERROR(VLOOKUP(A1,OFFSET($AG$2,,,COUNTIF($AG$2:$AG$50,"?*"),23),19,FALSE),"")</f>
        <v/>
      </c>
      <c r="E3" s="423"/>
      <c r="F3" s="424"/>
      <c r="G3" s="425"/>
      <c r="H3" s="426"/>
      <c r="I3" s="426"/>
      <c r="J3" s="4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1" t="str">
        <f ca="1">IFERROR(VLOOKUP(M1,OFFSET($AG$2,,,COUNTIF($AG$2:$AG$50,"?*"),23),18,FALSE),"")</f>
        <v/>
      </c>
      <c r="N3" s="422"/>
      <c r="O3" s="422"/>
      <c r="P3" s="423" t="str">
        <f ca="1">IFERROR(VLOOKUP(M1,OFFSET($AG$2,,,COUNTIF($AG$2:$AG$50,"?*"),23),19,FALSE),"")</f>
        <v/>
      </c>
      <c r="Q3" s="423"/>
      <c r="R3" s="424"/>
      <c r="S3" s="110" t="s">
        <v>298</v>
      </c>
      <c r="T3" s="102" t="s">
        <v>106</v>
      </c>
      <c r="U3" s="102">
        <v>15</v>
      </c>
      <c r="V3" s="102">
        <v>18</v>
      </c>
      <c r="W3" s="102">
        <v>2</v>
      </c>
      <c r="X3" s="102">
        <v>0</v>
      </c>
      <c r="Y3" s="102">
        <v>9</v>
      </c>
      <c r="Z3" s="102">
        <v>27</v>
      </c>
      <c r="AA3" s="102">
        <v>6</v>
      </c>
      <c r="AB3" s="102">
        <v>15</v>
      </c>
      <c r="AC3" s="102" t="str">
        <f t="shared" ca="1" si="0"/>
        <v>ANO</v>
      </c>
      <c r="AG3" s="121" t="s">
        <v>304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136</v>
      </c>
      <c r="AQ3" s="123">
        <v>183</v>
      </c>
      <c r="AR3" s="123">
        <v>72</v>
      </c>
      <c r="AS3" s="126" t="s">
        <v>328</v>
      </c>
      <c r="AT3" s="123">
        <v>2001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16 OZ, 15 (12+3), +7 ±</v>
      </c>
      <c r="AY3" s="129" t="str">
        <f t="shared" ca="1" si="2"/>
        <v>186 OZ, 170 (134+36)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345</v>
      </c>
      <c r="BO3" s="122">
        <v>33988</v>
      </c>
      <c r="BP3" s="131" t="s">
        <v>236</v>
      </c>
      <c r="BQ3" s="132"/>
      <c r="BR3" s="127">
        <f t="shared" ref="BR3:BR11" ca="1" si="12">IF(BN3&lt;&gt;"",IF(BO3&lt;&gt;"",INT((TODAY()-BO3)/365),"?"),"")</f>
        <v>28</v>
      </c>
      <c r="BS3" s="464"/>
      <c r="BT3" s="104" t="s">
        <v>1128</v>
      </c>
      <c r="BU3" s="103">
        <v>27</v>
      </c>
      <c r="BV3" s="104" t="str">
        <f t="shared" ref="BV3:BV31" si="13">IFERROR(RIGHT(BT3,LEN(BT3)-SEARCH(" ",BT3)),"")</f>
        <v>Rostislav Gattnar</v>
      </c>
      <c r="BW3" s="102">
        <f t="shared" ref="BW3:BW31" si="14">IF(BT3&lt;&gt;0,_xlfn.NUMBERVALUE(BU3,","),"")</f>
        <v>27</v>
      </c>
      <c r="BX3" s="463"/>
      <c r="BY3" s="103" t="s">
        <v>1039</v>
      </c>
      <c r="BZ3" s="103" t="s">
        <v>793</v>
      </c>
      <c r="CA3" s="115" t="s">
        <v>1098</v>
      </c>
    </row>
    <row r="4" spans="1:79" ht="15" customHeight="1" thickBot="1" x14ac:dyDescent="0.25">
      <c r="A4" s="430" t="str">
        <f ca="1">IFERROR(IF(VLOOKUP(A1,OFFSET($AG$2,,,COUNTIF($AG$2:$AG$50,"?*"),23),13,FALSE)&lt;&gt;0,VLOOKUP(A1,OFFSET($AG$2,,,COUNTIF($AG$2:$AG$50,"?*"),23),13,FALSE),"?"),"")</f>
        <v/>
      </c>
      <c r="B4" s="431"/>
      <c r="C4" s="432"/>
      <c r="D4" s="433" t="str">
        <f ca="1">IFERROR(IF(VLOOKUP(A1,OFFSET($AG$2,,,COUNTIF($AG$2:$AG$50,"?*"),23),14,FALSE)&lt;&gt;0,VLOOKUP(A1,OFFSET($AG$2,,,COUNTIF($AG$2:$AG$50,"?*"),23),14,FALSE),"?"),"")</f>
        <v/>
      </c>
      <c r="E4" s="43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8" t="str">
        <f ca="1">IFERROR(IF(VLOOKUP(G3,OFFSET($AG$2,,,COUNTIF($AG$2:$AG$50,"?*"),23),2,FALSE)&lt;&gt;0,YEAR(VLOOKUP(G3,OFFSET($AG$2,,,COUNTIF($AG$2:$AG$50,"?*"),23),2,FALSE)),""),"")</f>
        <v/>
      </c>
      <c r="I4" s="429"/>
      <c r="J4" s="117" t="str">
        <f ca="1">IFERROR(VLOOKUP(G3,OFFSET($AG$2,,,COUNTIF($AG$2:$AG$50,"?*"),23),15,FALSE),"")</f>
        <v/>
      </c>
      <c r="K4" s="419" t="str">
        <f ca="1">IFERROR(VLOOKUP(G3,OFFSET($AG$2,,,COUNTIF($AG$2:$AG$50,"?*"),23),16,FALSE),"")</f>
        <v/>
      </c>
      <c r="L4" s="420"/>
      <c r="M4" s="430" t="str">
        <f ca="1">IFERROR(IF(VLOOKUP(M1,OFFSET($AG$2,,,COUNTIF($AG$2:$AG$50,"?*"),23),13,FALSE)&lt;&gt;0,VLOOKUP(M1,OFFSET($AG$2,,,COUNTIF($AG$2:$AG$50,"?*"),23),13,FALSE),"?"),"")</f>
        <v/>
      </c>
      <c r="N4" s="431"/>
      <c r="O4" s="432"/>
      <c r="P4" s="433" t="str">
        <f ca="1">IFERROR(IF(VLOOKUP(M1,OFFSET($AG$2,,,COUNTIF($AG$2:$AG$50,"?*"),23),14,FALSE)&lt;&gt;0,VLOOKUP(M1,OFFSET($AG$2,,,COUNTIF($AG$2:$AG$50,"?*"),23),14,FALSE),"?"),"")</f>
        <v/>
      </c>
      <c r="Q4" s="43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300</v>
      </c>
      <c r="T4" s="102" t="s">
        <v>106</v>
      </c>
      <c r="U4" s="102">
        <v>16</v>
      </c>
      <c r="V4" s="102">
        <v>12</v>
      </c>
      <c r="W4" s="102">
        <v>0</v>
      </c>
      <c r="X4" s="102">
        <v>0</v>
      </c>
      <c r="Y4" s="102">
        <v>15</v>
      </c>
      <c r="Z4" s="102">
        <v>27</v>
      </c>
      <c r="AA4" s="102">
        <v>0</v>
      </c>
      <c r="AB4" s="102">
        <v>20</v>
      </c>
      <c r="AC4" s="102" t="str">
        <f t="shared" ca="1" si="0"/>
        <v>ANO</v>
      </c>
      <c r="AG4" s="121" t="s">
        <v>299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136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15 OZ, 9 (5+4), +3 ±</v>
      </c>
      <c r="AY4" s="129" t="str">
        <f t="shared" ca="1" si="2"/>
        <v>79 OZ, 49 (23+26)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346</v>
      </c>
      <c r="BO4" s="122">
        <v>35289</v>
      </c>
      <c r="BP4" s="131" t="s">
        <v>347</v>
      </c>
      <c r="BQ4" s="132"/>
      <c r="BR4" s="127">
        <f t="shared" ca="1" si="12"/>
        <v>25</v>
      </c>
      <c r="BS4" s="464"/>
      <c r="BT4" s="104" t="s">
        <v>1470</v>
      </c>
      <c r="BU4" s="103">
        <v>27</v>
      </c>
      <c r="BV4" s="104" t="str">
        <f t="shared" si="13"/>
        <v>Matyáš Šindler</v>
      </c>
      <c r="BW4" s="102">
        <f t="shared" si="14"/>
        <v>27</v>
      </c>
      <c r="BX4" s="463"/>
      <c r="BY4" s="103" t="s">
        <v>1331</v>
      </c>
      <c r="BZ4" s="103" t="s">
        <v>812</v>
      </c>
      <c r="CA4" s="115" t="s">
        <v>1468</v>
      </c>
    </row>
    <row r="5" spans="1:79" ht="15" customHeight="1" thickTop="1" thickBot="1" x14ac:dyDescent="0.25">
      <c r="A5" s="8"/>
      <c r="B5" s="8"/>
      <c r="C5" s="8"/>
      <c r="D5" s="8"/>
      <c r="G5" s="421" t="str">
        <f ca="1">IFERROR(VLOOKUP(G3,OFFSET($AG$2,,,COUNTIF($AG$2:$AG$50,"?*"),23),18,FALSE),"")</f>
        <v/>
      </c>
      <c r="H5" s="422"/>
      <c r="I5" s="422"/>
      <c r="J5" s="423" t="str">
        <f ca="1">IFERROR(VLOOKUP(G3,OFFSET($AG$2,,,COUNTIF($AG$2:$AG$50,"?*"),23),19,FALSE),"")</f>
        <v/>
      </c>
      <c r="K5" s="423"/>
      <c r="L5" s="424"/>
      <c r="S5" s="110" t="s">
        <v>302</v>
      </c>
      <c r="T5" s="102" t="s">
        <v>106</v>
      </c>
      <c r="U5" s="102">
        <v>15</v>
      </c>
      <c r="V5" s="102">
        <v>9</v>
      </c>
      <c r="W5" s="102">
        <v>0</v>
      </c>
      <c r="X5" s="102">
        <v>0</v>
      </c>
      <c r="Y5" s="102">
        <v>11</v>
      </c>
      <c r="Z5" s="102">
        <v>20</v>
      </c>
      <c r="AA5" s="102">
        <v>0</v>
      </c>
      <c r="AB5" s="102">
        <v>16</v>
      </c>
      <c r="AC5" s="102" t="str">
        <f t="shared" ca="1" si="0"/>
        <v>NE</v>
      </c>
      <c r="AG5" s="121" t="s">
        <v>297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136</v>
      </c>
      <c r="AQ5" s="123">
        <v>183</v>
      </c>
      <c r="AR5" s="123">
        <v>75</v>
      </c>
      <c r="AS5" s="126" t="s">
        <v>329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15 OZ, 32 (20+12), +24 ±</v>
      </c>
      <c r="AY5" s="129" t="str">
        <f t="shared" ca="1" si="2"/>
        <v>156 OZ, 251 (142+109)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348</v>
      </c>
      <c r="BO5" s="122">
        <v>24331</v>
      </c>
      <c r="BP5" s="131" t="s">
        <v>347</v>
      </c>
      <c r="BQ5" s="132"/>
      <c r="BR5" s="127">
        <f t="shared" ca="1" si="12"/>
        <v>55</v>
      </c>
      <c r="BS5" s="464"/>
      <c r="BT5" s="104" t="s">
        <v>851</v>
      </c>
      <c r="BU5" s="103">
        <v>20</v>
      </c>
      <c r="BV5" s="104" t="str">
        <f t="shared" si="13"/>
        <v>Adam Zubek</v>
      </c>
      <c r="BW5" s="102">
        <f t="shared" si="14"/>
        <v>20</v>
      </c>
      <c r="BX5" s="463"/>
      <c r="BY5" s="103" t="s">
        <v>979</v>
      </c>
      <c r="BZ5" s="103" t="s">
        <v>809</v>
      </c>
      <c r="CA5" s="115" t="s">
        <v>739</v>
      </c>
    </row>
    <row r="6" spans="1:79" ht="15" customHeight="1" thickTop="1" thickBot="1" x14ac:dyDescent="0.25">
      <c r="A6" s="425"/>
      <c r="B6" s="426"/>
      <c r="C6" s="426"/>
      <c r="D6" s="4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30" t="str">
        <f ca="1">IFERROR(IF(VLOOKUP(G3,OFFSET($AG$2,,,COUNTIF($AG$2:$AG$50,"?*"),23),13,FALSE)&lt;&gt;0,VLOOKUP(G3,OFFSET($AG$2,,,COUNTIF($AG$2:$AG$50,"?*"),23),13,FALSE),"?"),"")</f>
        <v/>
      </c>
      <c r="H6" s="431"/>
      <c r="I6" s="432"/>
      <c r="J6" s="433" t="str">
        <f ca="1">IFERROR(IF(VLOOKUP(G3,OFFSET($AG$2,,,COUNTIF($AG$2:$AG$50,"?*"),23),14,FALSE)&lt;&gt;0,VLOOKUP(G3,OFFSET($AG$2,,,COUNTIF($AG$2:$AG$50,"?*"),23),14,FALSE),"?"),"")</f>
        <v/>
      </c>
      <c r="K6" s="434"/>
      <c r="L6" s="7" t="str">
        <f ca="1">IFERROR(IF(VLOOKUP(G3,OFFSET($AG$2,,,COUNTIF($AG$2:$AG$50,"?*"),23),7,FALSE)&lt;&gt;0,VLOOKUP(G3,OFFSET($AG$2,,,COUNTIF($AG$2:$AG$50,"?*"),23),7,FALSE),"?"),"")</f>
        <v/>
      </c>
      <c r="M6" s="425"/>
      <c r="N6" s="426"/>
      <c r="O6" s="426"/>
      <c r="P6" s="4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301</v>
      </c>
      <c r="T6" s="102" t="s">
        <v>106</v>
      </c>
      <c r="U6" s="102">
        <v>13</v>
      </c>
      <c r="V6" s="102">
        <v>6</v>
      </c>
      <c r="W6" s="102">
        <v>0</v>
      </c>
      <c r="X6" s="102">
        <v>0</v>
      </c>
      <c r="Y6" s="102">
        <v>14</v>
      </c>
      <c r="Z6" s="102">
        <v>20</v>
      </c>
      <c r="AA6" s="102">
        <v>2</v>
      </c>
      <c r="AB6" s="102">
        <v>17</v>
      </c>
      <c r="AC6" s="102" t="str">
        <f t="shared" ca="1" si="0"/>
        <v>ANO</v>
      </c>
      <c r="AG6" s="121" t="s">
        <v>298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26</v>
      </c>
      <c r="AQ6" s="123">
        <v>171</v>
      </c>
      <c r="AR6" s="123">
        <v>70</v>
      </c>
      <c r="AS6" s="126" t="s">
        <v>328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15 OZ, 27 (18+9), +15 ±</v>
      </c>
      <c r="AY6" s="129" t="str">
        <f t="shared" ca="1" si="2"/>
        <v>86 OZ, 100 (63+37)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349</v>
      </c>
      <c r="BO6" s="122">
        <v>31439</v>
      </c>
      <c r="BP6" s="131" t="s">
        <v>175</v>
      </c>
      <c r="BQ6" s="132"/>
      <c r="BR6" s="127">
        <f t="shared" ca="1" si="12"/>
        <v>35</v>
      </c>
      <c r="BS6" s="464"/>
      <c r="BT6" s="104" t="s">
        <v>1471</v>
      </c>
      <c r="BU6" s="103">
        <v>20</v>
      </c>
      <c r="BV6" s="104" t="str">
        <f t="shared" si="13"/>
        <v>Marek Matejčík</v>
      </c>
      <c r="BW6" s="102">
        <f t="shared" si="14"/>
        <v>20</v>
      </c>
      <c r="BX6" s="463"/>
      <c r="BY6" s="103" t="s">
        <v>1231</v>
      </c>
      <c r="BZ6" s="103" t="s">
        <v>826</v>
      </c>
      <c r="CA6" s="115" t="s">
        <v>978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8" t="str">
        <f ca="1">IFERROR(IF(VLOOKUP(A6,OFFSET($AG$2,,,COUNTIF($AG$2:$AG$50,"?*"),23),2,FALSE)&lt;&gt;0,YEAR(VLOOKUP(A6,OFFSET($AG$2,,,COUNTIF($AG$2:$AG$50,"?*"),23),2,FALSE)),""),"")</f>
        <v/>
      </c>
      <c r="C7" s="429"/>
      <c r="D7" s="117" t="str">
        <f ca="1">IFERROR(VLOOKUP(A6,OFFSET($AG$2,,,COUNTIF($AG$2:$AG$50,"?*"),23),15,FALSE),"")</f>
        <v/>
      </c>
      <c r="E7" s="419" t="str">
        <f ca="1">IFERROR(VLOOKUP(A6,OFFSET($AG$2,,,COUNTIF($AG$2:$AG$50,"?*"),23),16,FALSE),"")</f>
        <v/>
      </c>
      <c r="F7" s="420"/>
      <c r="M7" s="4" t="str">
        <f ca="1">IFERROR(IF(VLOOKUP(M6,OFFSET($AG$2,,,COUNTIF($AG$2:$AG$50,"?*"),23),10,FALSE)&lt;&gt;0,VLOOKUP(M6,OFFSET($AG$2,,,COUNTIF($AG$2:$AG$50,"?*"),23),10,FALSE),""),"")</f>
        <v/>
      </c>
      <c r="N7" s="428" t="str">
        <f ca="1">IFERROR(IF(VLOOKUP(M6,OFFSET($AG$2,,,COUNTIF($AG$2:$AG$50,"?*"),23),2,FALSE)&lt;&gt;0,YEAR(VLOOKUP(M6,OFFSET($AG$2,,,COUNTIF($AG$2:$AG$50,"?*"),23),2,FALSE)),""),"")</f>
        <v/>
      </c>
      <c r="O7" s="429"/>
      <c r="P7" s="117" t="str">
        <f ca="1">IFERROR(VLOOKUP(M6,OFFSET($AG$2,,,COUNTIF($AG$2:$AG$50,"?*"),23),15,FALSE),"")</f>
        <v/>
      </c>
      <c r="Q7" s="419" t="str">
        <f ca="1">IFERROR(VLOOKUP(M6,OFFSET($AG$2,,,COUNTIF($AG$2:$AG$50,"?*"),23),16,FALSE),"")</f>
        <v/>
      </c>
      <c r="R7" s="420"/>
      <c r="S7" s="110" t="s">
        <v>304</v>
      </c>
      <c r="T7" s="102" t="s">
        <v>106</v>
      </c>
      <c r="U7" s="102">
        <v>16</v>
      </c>
      <c r="V7" s="102">
        <v>12</v>
      </c>
      <c r="W7" s="102">
        <v>0</v>
      </c>
      <c r="X7" s="102">
        <v>0</v>
      </c>
      <c r="Y7" s="102">
        <v>3</v>
      </c>
      <c r="Z7" s="102">
        <v>15</v>
      </c>
      <c r="AA7" s="102">
        <v>4</v>
      </c>
      <c r="AB7" s="102">
        <v>7</v>
      </c>
      <c r="AC7" s="102" t="str">
        <f t="shared" ca="1" si="0"/>
        <v>ANO</v>
      </c>
      <c r="AG7" s="121" t="s">
        <v>316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136</v>
      </c>
      <c r="AQ7" s="123">
        <v>182</v>
      </c>
      <c r="AR7" s="123">
        <v>81</v>
      </c>
      <c r="AS7" s="126" t="s">
        <v>330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4" t="s">
        <v>39</v>
      </c>
      <c r="BT7" s="104" t="s">
        <v>351</v>
      </c>
      <c r="BU7" s="103" t="s">
        <v>1472</v>
      </c>
      <c r="BV7" s="104" t="str">
        <f t="shared" si="13"/>
        <v>Denis Jasiok</v>
      </c>
      <c r="BW7" s="112">
        <f t="shared" si="14"/>
        <v>3.8</v>
      </c>
      <c r="BX7" s="463" t="s">
        <v>192</v>
      </c>
      <c r="BY7" s="103" t="s">
        <v>1075</v>
      </c>
      <c r="BZ7" s="103" t="s">
        <v>801</v>
      </c>
      <c r="CA7" s="115" t="s">
        <v>187</v>
      </c>
    </row>
    <row r="8" spans="1:79" ht="15" customHeight="1" x14ac:dyDescent="0.2">
      <c r="A8" s="421" t="str">
        <f ca="1">IFERROR(VLOOKUP(A6,OFFSET($AG$2,,,COUNTIF($AG$2:$AG$50,"?*"),23),18,FALSE),"")</f>
        <v/>
      </c>
      <c r="B8" s="422"/>
      <c r="C8" s="422"/>
      <c r="D8" s="423" t="str">
        <f ca="1">IFERROR(VLOOKUP(A6,OFFSET($AG$2,,,COUNTIF($AG$2:$AG$50,"?*"),23),19,FALSE),"")</f>
        <v/>
      </c>
      <c r="E8" s="423"/>
      <c r="F8" s="424"/>
      <c r="H8" s="435" t="s">
        <v>89</v>
      </c>
      <c r="I8" s="435"/>
      <c r="J8" s="435"/>
      <c r="K8" s="435"/>
      <c r="M8" s="421" t="str">
        <f ca="1">IFERROR(VLOOKUP(M6,OFFSET($AG$2,,,COUNTIF($AG$2:$AG$50,"?*"),23),18,FALSE),"")</f>
        <v/>
      </c>
      <c r="N8" s="422"/>
      <c r="O8" s="422"/>
      <c r="P8" s="423" t="str">
        <f ca="1">IFERROR(VLOOKUP(M6,OFFSET($AG$2,,,COUNTIF($AG$2:$AG$50,"?*"),23),19,FALSE),"")</f>
        <v/>
      </c>
      <c r="Q8" s="423"/>
      <c r="R8" s="424"/>
      <c r="S8" s="110" t="s">
        <v>305</v>
      </c>
      <c r="T8" s="102" t="s">
        <v>57</v>
      </c>
      <c r="U8" s="102">
        <v>13</v>
      </c>
      <c r="V8" s="102">
        <v>8</v>
      </c>
      <c r="W8" s="102">
        <v>4</v>
      </c>
      <c r="X8" s="102">
        <v>0</v>
      </c>
      <c r="Y8" s="102">
        <v>6</v>
      </c>
      <c r="Z8" s="102">
        <v>14</v>
      </c>
      <c r="AA8" s="102">
        <v>2</v>
      </c>
      <c r="AB8" s="102">
        <v>12</v>
      </c>
      <c r="AC8" s="102" t="str">
        <f t="shared" ca="1" si="0"/>
        <v>ANO</v>
      </c>
      <c r="AG8" s="121" t="s">
        <v>307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136</v>
      </c>
      <c r="AQ8" s="123">
        <v>189</v>
      </c>
      <c r="AR8" s="123">
        <v>80</v>
      </c>
      <c r="AS8" s="126" t="s">
        <v>331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13 OZ, 5 (2+3), +12 ±</v>
      </c>
      <c r="AY8" s="129" t="str">
        <f t="shared" ca="1" si="2"/>
        <v>64 OZ, 19 (7+12)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4"/>
      <c r="BT8" s="104" t="s">
        <v>846</v>
      </c>
      <c r="BU8" s="103" t="s">
        <v>1473</v>
      </c>
      <c r="BV8" s="104" t="str">
        <f t="shared" si="13"/>
        <v>Lukáš Souček</v>
      </c>
      <c r="BW8" s="112">
        <f t="shared" si="14"/>
        <v>4.29</v>
      </c>
      <c r="BX8" s="463"/>
      <c r="BY8" s="103" t="s">
        <v>1232</v>
      </c>
      <c r="BZ8" s="103" t="s">
        <v>800</v>
      </c>
      <c r="CA8" s="115" t="s">
        <v>187</v>
      </c>
    </row>
    <row r="9" spans="1:79" ht="15" customHeight="1" thickBot="1" x14ac:dyDescent="0.25">
      <c r="A9" s="430" t="str">
        <f ca="1">IFERROR(IF(VLOOKUP(A6,OFFSET($AG$2,,,COUNTIF($AG$2:$AG$50,"?*"),23),13,FALSE)&lt;&gt;0,VLOOKUP(A6,OFFSET($AG$2,,,COUNTIF($AG$2:$AG$50,"?*"),23),13,FALSE),"?"),"")</f>
        <v/>
      </c>
      <c r="B9" s="431"/>
      <c r="C9" s="432"/>
      <c r="D9" s="433" t="str">
        <f ca="1">IFERROR(IF(VLOOKUP(A6,OFFSET($AG$2,,,COUNTIF($AG$2:$AG$50,"?*"),23),14,FALSE)&lt;&gt;0,VLOOKUP(A6,OFFSET($AG$2,,,COUNTIF($AG$2:$AG$50,"?*"),23),14,FALSE),"?"),"")</f>
        <v/>
      </c>
      <c r="E9" s="434"/>
      <c r="F9" s="7" t="str">
        <f ca="1">IFERROR(IF(VLOOKUP(A6,OFFSET($AG$2,,,COUNTIF($AG$2:$AG$50,"?*"),23),7,FALSE)&lt;&gt;0,VLOOKUP(A6,OFFSET($AG$2,,,COUNTIF($AG$2:$AG$50,"?*"),23),7,FALSE),"?"),"")</f>
        <v/>
      </c>
      <c r="H9" s="435"/>
      <c r="I9" s="435"/>
      <c r="J9" s="435"/>
      <c r="K9" s="435"/>
      <c r="M9" s="430" t="str">
        <f ca="1">IFERROR(IF(VLOOKUP(M6,OFFSET($AG$2,,,COUNTIF($AG$2:$AG$50,"?*"),23),13,FALSE)&lt;&gt;0,VLOOKUP(M6,OFFSET($AG$2,,,COUNTIF($AG$2:$AG$50,"?*"),23),13,FALSE),"?"),"")</f>
        <v/>
      </c>
      <c r="N9" s="431"/>
      <c r="O9" s="432"/>
      <c r="P9" s="433" t="str">
        <f ca="1">IFERROR(IF(VLOOKUP(M6,OFFSET($AG$2,,,COUNTIF($AG$2:$AG$50,"?*"),23),14,FALSE)&lt;&gt;0,VLOOKUP(M6,OFFSET($AG$2,,,COUNTIF($AG$2:$AG$50,"?*"),23),14,FALSE),"?"),"")</f>
        <v/>
      </c>
      <c r="Q9" s="43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314</v>
      </c>
      <c r="T9" s="102" t="s">
        <v>106</v>
      </c>
      <c r="U9" s="102">
        <v>15</v>
      </c>
      <c r="V9" s="102">
        <v>8</v>
      </c>
      <c r="W9" s="102">
        <v>0</v>
      </c>
      <c r="X9" s="102">
        <v>0</v>
      </c>
      <c r="Y9" s="102">
        <v>6</v>
      </c>
      <c r="Z9" s="102">
        <v>14</v>
      </c>
      <c r="AA9" s="102">
        <v>4</v>
      </c>
      <c r="AB9" s="102">
        <v>19</v>
      </c>
      <c r="AC9" s="102" t="str">
        <f t="shared" ca="1" si="0"/>
        <v>ANO</v>
      </c>
      <c r="AG9" s="121" t="s">
        <v>305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26</v>
      </c>
      <c r="AQ9" s="123">
        <v>182</v>
      </c>
      <c r="AR9" s="123">
        <v>70</v>
      </c>
      <c r="AS9" s="126" t="s">
        <v>328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13 OZ, 14 (8+6), +12 ±</v>
      </c>
      <c r="AY9" s="129" t="str">
        <f t="shared" ca="1" si="2"/>
        <v>203 OZ, 175 (85+90)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4"/>
      <c r="BT9" s="104" t="s">
        <v>847</v>
      </c>
      <c r="BU9" s="103" t="s">
        <v>182</v>
      </c>
      <c r="BV9" s="104" t="str">
        <f t="shared" si="13"/>
        <v>Michael Chalupecký</v>
      </c>
      <c r="BW9" s="112">
        <f t="shared" si="14"/>
        <v>0</v>
      </c>
      <c r="BX9" s="463"/>
      <c r="BY9" s="103" t="s">
        <v>1236</v>
      </c>
      <c r="BZ9" s="103" t="s">
        <v>799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303</v>
      </c>
      <c r="U10" s="102">
        <v>16</v>
      </c>
      <c r="V10" s="102">
        <v>10</v>
      </c>
      <c r="W10" s="102">
        <v>0</v>
      </c>
      <c r="X10" s="102">
        <v>0</v>
      </c>
      <c r="Y10" s="102">
        <v>3</v>
      </c>
      <c r="Z10" s="102">
        <v>13</v>
      </c>
      <c r="AA10" s="102">
        <v>2</v>
      </c>
      <c r="AB10" s="102">
        <v>19</v>
      </c>
      <c r="AC10" s="102" t="str">
        <f t="shared" ca="1" si="0"/>
        <v>NE</v>
      </c>
      <c r="AG10" s="121" t="s">
        <v>317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136</v>
      </c>
      <c r="AQ10" s="123">
        <v>178</v>
      </c>
      <c r="AR10" s="123">
        <v>70</v>
      </c>
      <c r="AS10" s="126" t="s">
        <v>280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4"/>
      <c r="BT10" s="104" t="s">
        <v>848</v>
      </c>
      <c r="BU10" s="103" t="s">
        <v>182</v>
      </c>
      <c r="BV10" s="104" t="str">
        <f t="shared" si="13"/>
        <v>Michal Bartoň</v>
      </c>
      <c r="BW10" s="112">
        <f t="shared" si="14"/>
        <v>0</v>
      </c>
      <c r="BX10" s="463"/>
      <c r="BY10" s="103" t="s">
        <v>1306</v>
      </c>
      <c r="BZ10" s="103" t="s">
        <v>798</v>
      </c>
      <c r="CA10" s="115" t="s">
        <v>187</v>
      </c>
    </row>
    <row r="11" spans="1:79" ht="15" customHeight="1" thickTop="1" thickBot="1" x14ac:dyDescent="0.25">
      <c r="R11" s="13"/>
      <c r="S11" s="110" t="s">
        <v>308</v>
      </c>
      <c r="U11" s="102">
        <v>16</v>
      </c>
      <c r="V11" s="102">
        <v>3</v>
      </c>
      <c r="W11" s="102">
        <v>2</v>
      </c>
      <c r="X11" s="102">
        <v>1</v>
      </c>
      <c r="Y11" s="102">
        <v>9</v>
      </c>
      <c r="Z11" s="102">
        <v>12</v>
      </c>
      <c r="AA11" s="102">
        <v>0</v>
      </c>
      <c r="AB11" s="102">
        <v>15</v>
      </c>
      <c r="AC11" s="102" t="str">
        <f t="shared" ca="1" si="0"/>
        <v>NE</v>
      </c>
      <c r="AG11" s="121" t="s">
        <v>318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136</v>
      </c>
      <c r="AQ11" s="123">
        <v>193</v>
      </c>
      <c r="AR11" s="123">
        <v>89</v>
      </c>
      <c r="AS11" s="126" t="s">
        <v>332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4"/>
      <c r="BT11" s="104" t="s">
        <v>849</v>
      </c>
      <c r="BU11" s="103" t="s">
        <v>182</v>
      </c>
      <c r="BV11" s="104" t="str">
        <f t="shared" si="13"/>
        <v>Petr Maláč</v>
      </c>
      <c r="BW11" s="112">
        <f t="shared" si="14"/>
        <v>0</v>
      </c>
      <c r="BX11" s="463"/>
      <c r="BY11" s="103" t="s">
        <v>1307</v>
      </c>
      <c r="BZ11" s="103" t="s">
        <v>797</v>
      </c>
      <c r="CA11" s="115" t="s">
        <v>187</v>
      </c>
    </row>
    <row r="12" spans="1:79" ht="15" customHeight="1" thickTop="1" thickBot="1" x14ac:dyDescent="0.25">
      <c r="A12" s="425"/>
      <c r="B12" s="426"/>
      <c r="C12" s="426"/>
      <c r="D12" s="4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7" t="s">
        <v>7</v>
      </c>
      <c r="I12" s="427"/>
      <c r="J12" s="427"/>
      <c r="K12" s="427"/>
      <c r="M12" s="425"/>
      <c r="N12" s="426"/>
      <c r="O12" s="426"/>
      <c r="P12" s="4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299</v>
      </c>
      <c r="T12" s="102" t="s">
        <v>106</v>
      </c>
      <c r="U12" s="102">
        <v>15</v>
      </c>
      <c r="V12" s="102">
        <v>5</v>
      </c>
      <c r="W12" s="102">
        <v>0</v>
      </c>
      <c r="X12" s="102">
        <v>0</v>
      </c>
      <c r="Y12" s="102">
        <v>4</v>
      </c>
      <c r="Z12" s="102">
        <v>9</v>
      </c>
      <c r="AA12" s="102">
        <v>4</v>
      </c>
      <c r="AB12" s="102">
        <v>3</v>
      </c>
      <c r="AC12" s="102" t="str">
        <f t="shared" ca="1" si="0"/>
        <v>ANO</v>
      </c>
      <c r="AG12" s="121" t="s">
        <v>311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333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7 V, 2 P</v>
      </c>
      <c r="AY12" s="129" t="str">
        <f t="shared" ca="1" si="2"/>
        <v>15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4" t="s">
        <v>36</v>
      </c>
      <c r="BT12" s="104" t="s">
        <v>350</v>
      </c>
      <c r="BU12" s="103">
        <v>20</v>
      </c>
      <c r="BV12" s="104" t="str">
        <f t="shared" si="13"/>
        <v>Adam Delong</v>
      </c>
      <c r="BW12" s="102">
        <f t="shared" si="14"/>
        <v>20</v>
      </c>
      <c r="BX12" s="120" t="s">
        <v>190</v>
      </c>
      <c r="BY12" s="100" t="s">
        <v>1469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8" t="str">
        <f ca="1">IFERROR(IF(VLOOKUP(A12,OFFSET($AG$2,,,COUNTIF($AG$2:$AG$50,"?*"),23),2,FALSE)&lt;&gt;0,YEAR(VLOOKUP(A12,OFFSET($AG$2,,,COUNTIF($AG$2:$AG$50,"?*"),23),2,FALSE)),""),"")</f>
        <v/>
      </c>
      <c r="C13" s="429"/>
      <c r="D13" s="117" t="str">
        <f ca="1">IFERROR(VLOOKUP(A12,OFFSET($AG$2,,,COUNTIF($AG$2:$AG$50,"?*"),23),15,FALSE),"")</f>
        <v/>
      </c>
      <c r="E13" s="419" t="str">
        <f ca="1">IFERROR(VLOOKUP(A12,OFFSET($AG$2,,,COUNTIF($AG$2:$AG$50,"?*"),23),16,FALSE),"")</f>
        <v/>
      </c>
      <c r="F13" s="420"/>
      <c r="M13" s="4" t="str">
        <f ca="1">IFERROR(IF(VLOOKUP(M12,OFFSET($AG$2,,,COUNTIF($AG$2:$AG$50,"?*"),23),10,FALSE)&lt;&gt;0,VLOOKUP(M12,OFFSET($AG$2,,,COUNTIF($AG$2:$AG$50,"?*"),23),10,FALSE),""),"")</f>
        <v/>
      </c>
      <c r="N13" s="428" t="str">
        <f ca="1">IFERROR(IF(VLOOKUP(M12,OFFSET($AG$2,,,COUNTIF($AG$2:$AG$50,"?*"),23),2,FALSE)&lt;&gt;0,YEAR(VLOOKUP(M12,OFFSET($AG$2,,,COUNTIF($AG$2:$AG$50,"?*"),23),2,FALSE)),""),"")</f>
        <v/>
      </c>
      <c r="O13" s="429"/>
      <c r="P13" s="117" t="str">
        <f ca="1">IFERROR(VLOOKUP(M12,OFFSET($AG$2,,,COUNTIF($AG$2:$AG$50,"?*"),23),15,FALSE),"")</f>
        <v/>
      </c>
      <c r="Q13" s="419" t="str">
        <f ca="1">IFERROR(VLOOKUP(M12,OFFSET($AG$2,,,COUNTIF($AG$2:$AG$50,"?*"),23),16,FALSE),"")</f>
        <v/>
      </c>
      <c r="R13" s="420"/>
      <c r="S13" s="110" t="s">
        <v>306</v>
      </c>
      <c r="T13" s="102" t="s">
        <v>106</v>
      </c>
      <c r="U13" s="102">
        <v>16</v>
      </c>
      <c r="V13" s="102">
        <v>3</v>
      </c>
      <c r="W13" s="102">
        <v>0</v>
      </c>
      <c r="X13" s="102">
        <v>0</v>
      </c>
      <c r="Y13" s="102">
        <v>6</v>
      </c>
      <c r="Z13" s="102">
        <v>9</v>
      </c>
      <c r="AA13" s="102">
        <v>0</v>
      </c>
      <c r="AB13" s="102">
        <v>20</v>
      </c>
      <c r="AC13" s="102" t="str">
        <f t="shared" ca="1" si="0"/>
        <v>ANO</v>
      </c>
      <c r="AG13" s="121" t="s">
        <v>319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26</v>
      </c>
      <c r="AQ13" s="123">
        <v>190</v>
      </c>
      <c r="AR13" s="123">
        <v>82</v>
      </c>
      <c r="AS13" s="126" t="s">
        <v>334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4"/>
      <c r="BT13" s="104" t="s">
        <v>1128</v>
      </c>
      <c r="BU13" s="103">
        <v>18</v>
      </c>
      <c r="BV13" s="104" t="str">
        <f t="shared" si="13"/>
        <v>Rostislav Gattnar</v>
      </c>
      <c r="BW13" s="102">
        <f t="shared" si="14"/>
        <v>18</v>
      </c>
    </row>
    <row r="14" spans="1:79" ht="15" customHeight="1" thickTop="1" thickBot="1" x14ac:dyDescent="0.25">
      <c r="A14" s="421" t="str">
        <f ca="1">IFERROR(VLOOKUP(A12,OFFSET($AG$2,,,COUNTIF($AG$2:$AG$50,"?*"),23),18,FALSE),"")</f>
        <v/>
      </c>
      <c r="B14" s="422"/>
      <c r="C14" s="422"/>
      <c r="D14" s="423" t="str">
        <f ca="1">IFERROR(VLOOKUP(A12,OFFSET($AG$2,,,COUNTIF($AG$2:$AG$50,"?*"),23),19,FALSE),"")</f>
        <v/>
      </c>
      <c r="E14" s="423"/>
      <c r="F14" s="424"/>
      <c r="G14" s="425"/>
      <c r="H14" s="426"/>
      <c r="I14" s="426"/>
      <c r="J14" s="4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1" t="str">
        <f ca="1">IFERROR(VLOOKUP(M12,OFFSET($AG$2,,,COUNTIF($AG$2:$AG$50,"?*"),23),18,FALSE),"")</f>
        <v/>
      </c>
      <c r="N14" s="422"/>
      <c r="O14" s="422"/>
      <c r="P14" s="423" t="str">
        <f ca="1">IFERROR(VLOOKUP(M12,OFFSET($AG$2,,,COUNTIF($AG$2:$AG$50,"?*"),23),19,FALSE),"")</f>
        <v/>
      </c>
      <c r="Q14" s="423"/>
      <c r="R14" s="424"/>
      <c r="S14" s="110" t="s">
        <v>310</v>
      </c>
      <c r="T14" s="102" t="s">
        <v>57</v>
      </c>
      <c r="U14" s="102">
        <v>13</v>
      </c>
      <c r="V14" s="102">
        <v>2</v>
      </c>
      <c r="W14" s="102">
        <v>0</v>
      </c>
      <c r="X14" s="102">
        <v>0</v>
      </c>
      <c r="Y14" s="102">
        <v>4</v>
      </c>
      <c r="Z14" s="102">
        <v>6</v>
      </c>
      <c r="AA14" s="102">
        <v>2</v>
      </c>
      <c r="AB14" s="102">
        <v>10</v>
      </c>
      <c r="AC14" s="102" t="str">
        <f t="shared" ca="1" si="0"/>
        <v>ANO</v>
      </c>
      <c r="AG14" s="121" t="s">
        <v>315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26</v>
      </c>
      <c r="AQ14" s="123">
        <v>184</v>
      </c>
      <c r="AR14" s="123">
        <v>69</v>
      </c>
      <c r="AS14" s="126" t="s">
        <v>335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16 OZ, 4 (1+3), +5 ±</v>
      </c>
      <c r="AY14" s="129" t="str">
        <f t="shared" ca="1" si="2"/>
        <v>35 OZ, 8 (4+4)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4"/>
      <c r="BT14" s="104" t="s">
        <v>845</v>
      </c>
      <c r="BU14" s="103">
        <v>12</v>
      </c>
      <c r="BV14" s="104" t="str">
        <f t="shared" si="13"/>
        <v>Marek Bräuer</v>
      </c>
      <c r="BW14" s="102">
        <f t="shared" si="14"/>
        <v>12</v>
      </c>
    </row>
    <row r="15" spans="1:79" ht="15" customHeight="1" thickBot="1" x14ac:dyDescent="0.25">
      <c r="A15" s="430" t="str">
        <f ca="1">IFERROR(IF(VLOOKUP(A12,OFFSET($AG$2,,,COUNTIF($AG$2:$AG$50,"?*"),23),13,FALSE)&lt;&gt;0,VLOOKUP(A12,OFFSET($AG$2,,,COUNTIF($AG$2:$AG$50,"?*"),23),13,FALSE),"?"),"")</f>
        <v/>
      </c>
      <c r="B15" s="431"/>
      <c r="C15" s="432"/>
      <c r="D15" s="433" t="str">
        <f ca="1">IFERROR(IF(VLOOKUP(A12,OFFSET($AG$2,,,COUNTIF($AG$2:$AG$50,"?*"),23),14,FALSE)&lt;&gt;0,VLOOKUP(A12,OFFSET($AG$2,,,COUNTIF($AG$2:$AG$50,"?*"),23),14,FALSE),"?"),"")</f>
        <v/>
      </c>
      <c r="E15" s="43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8" t="str">
        <f ca="1">IFERROR(IF(VLOOKUP(G14,OFFSET($AG$2,,,COUNTIF($AG$2:$AG$50,"?*"),23),2,FALSE)&lt;&gt;0,YEAR(VLOOKUP(G14,OFFSET($AG$2,,,COUNTIF($AG$2:$AG$50,"?*"),23),2,FALSE)),""),"")</f>
        <v/>
      </c>
      <c r="I15" s="429"/>
      <c r="J15" s="117" t="str">
        <f ca="1">IFERROR(VLOOKUP(G14,OFFSET($AG$2,,,COUNTIF($AG$2:$AG$50,"?*"),23),15,FALSE),"")</f>
        <v/>
      </c>
      <c r="K15" s="419" t="str">
        <f ca="1">IFERROR(VLOOKUP(G14,OFFSET($AG$2,,,COUNTIF($AG$2:$AG$50,"?*"),23),16,FALSE),"")</f>
        <v/>
      </c>
      <c r="L15" s="420"/>
      <c r="M15" s="430" t="str">
        <f ca="1">IFERROR(IF(VLOOKUP(M12,OFFSET($AG$2,,,COUNTIF($AG$2:$AG$50,"?*"),23),13,FALSE)&lt;&gt;0,VLOOKUP(M12,OFFSET($AG$2,,,COUNTIF($AG$2:$AG$50,"?*"),23),13,FALSE),"?"),"")</f>
        <v/>
      </c>
      <c r="N15" s="431"/>
      <c r="O15" s="432"/>
      <c r="P15" s="433" t="str">
        <f ca="1">IFERROR(IF(VLOOKUP(M12,OFFSET($AG$2,,,COUNTIF($AG$2:$AG$50,"?*"),23),14,FALSE)&lt;&gt;0,VLOOKUP(M12,OFFSET($AG$2,,,COUNTIF($AG$2:$AG$50,"?*"),23),14,FALSE),"?"),"")</f>
        <v/>
      </c>
      <c r="Q15" s="43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307</v>
      </c>
      <c r="T15" s="102" t="s">
        <v>57</v>
      </c>
      <c r="U15" s="102">
        <v>13</v>
      </c>
      <c r="V15" s="102">
        <v>2</v>
      </c>
      <c r="W15" s="102">
        <v>0</v>
      </c>
      <c r="X15" s="102">
        <v>0</v>
      </c>
      <c r="Y15" s="102">
        <v>3</v>
      </c>
      <c r="Z15" s="102">
        <v>5</v>
      </c>
      <c r="AA15" s="102">
        <v>4</v>
      </c>
      <c r="AB15" s="102">
        <v>12</v>
      </c>
      <c r="AC15" s="102" t="str">
        <f t="shared" ca="1" si="0"/>
        <v>ANO</v>
      </c>
      <c r="AG15" s="121" t="s">
        <v>320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26</v>
      </c>
      <c r="AQ15" s="123">
        <v>175</v>
      </c>
      <c r="AR15" s="123">
        <v>65</v>
      </c>
      <c r="AS15" s="126" t="s">
        <v>336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4"/>
      <c r="BT15" s="104" t="s">
        <v>1129</v>
      </c>
      <c r="BU15" s="103">
        <v>12</v>
      </c>
      <c r="BV15" s="104" t="str">
        <f t="shared" si="13"/>
        <v>Matyáš Šindler</v>
      </c>
      <c r="BW15" s="102">
        <f t="shared" si="14"/>
        <v>12</v>
      </c>
    </row>
    <row r="16" spans="1:79" ht="15" customHeight="1" thickTop="1" thickBot="1" x14ac:dyDescent="0.25">
      <c r="A16" s="8"/>
      <c r="B16" s="8"/>
      <c r="C16" s="8"/>
      <c r="D16" s="8"/>
      <c r="G16" s="421" t="str">
        <f ca="1">IFERROR(VLOOKUP(G14,OFFSET($AG$2,,,COUNTIF($AG$2:$AG$50,"?*"),23),18,FALSE),"")</f>
        <v/>
      </c>
      <c r="H16" s="422"/>
      <c r="I16" s="422"/>
      <c r="J16" s="423" t="str">
        <f ca="1">IFERROR(VLOOKUP(G14,OFFSET($AG$2,,,COUNTIF($AG$2:$AG$50,"?*"),23),19,FALSE),"")</f>
        <v/>
      </c>
      <c r="K16" s="423"/>
      <c r="L16" s="424"/>
      <c r="S16" s="110" t="s">
        <v>760</v>
      </c>
      <c r="U16" s="102">
        <v>13</v>
      </c>
      <c r="V16" s="102">
        <v>1</v>
      </c>
      <c r="W16" s="102">
        <v>0</v>
      </c>
      <c r="X16" s="102">
        <v>0</v>
      </c>
      <c r="Y16" s="102">
        <v>3</v>
      </c>
      <c r="Z16" s="102">
        <v>4</v>
      </c>
      <c r="AA16" s="102">
        <v>0</v>
      </c>
      <c r="AB16" s="102">
        <v>2</v>
      </c>
      <c r="AC16" s="102" t="str">
        <f t="shared" ca="1" si="0"/>
        <v>NE</v>
      </c>
      <c r="AG16" s="121" t="s">
        <v>321</v>
      </c>
      <c r="AH16" s="122"/>
      <c r="AI16" s="123"/>
      <c r="AJ16" s="123"/>
      <c r="AK16" s="123"/>
      <c r="AL16" s="124">
        <f>IF(AG16&lt;&gt;"",AJ16+AK16,"")</f>
        <v>0</v>
      </c>
      <c r="AM16" s="123" t="s">
        <v>275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4"/>
      <c r="BT16" s="104" t="s">
        <v>1474</v>
      </c>
      <c r="BU16" s="103">
        <v>10</v>
      </c>
      <c r="BV16" s="104" t="str">
        <f t="shared" si="13"/>
        <v>Martin Gattnar</v>
      </c>
      <c r="BW16" s="102">
        <f t="shared" si="14"/>
        <v>10</v>
      </c>
    </row>
    <row r="17" spans="1:75" ht="15" customHeight="1" thickTop="1" thickBot="1" x14ac:dyDescent="0.25">
      <c r="A17" s="425"/>
      <c r="B17" s="426"/>
      <c r="C17" s="426"/>
      <c r="D17" s="4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30" t="str">
        <f ca="1">IFERROR(IF(VLOOKUP(G14,OFFSET($AG$2,,,COUNTIF($AG$2:$AG$50,"?*"),23),13,FALSE)&lt;&gt;0,VLOOKUP(G14,OFFSET($AG$2,,,COUNTIF($AG$2:$AG$50,"?*"),23),13,FALSE),"?"),"")</f>
        <v/>
      </c>
      <c r="H17" s="431"/>
      <c r="I17" s="432"/>
      <c r="J17" s="433" t="str">
        <f ca="1">IFERROR(IF(VLOOKUP(G14,OFFSET($AG$2,,,COUNTIF($AG$2:$AG$50,"?*"),23),14,FALSE)&lt;&gt;0,VLOOKUP(G14,OFFSET($AG$2,,,COUNTIF($AG$2:$AG$50,"?*"),23),14,FALSE),"?"),"")</f>
        <v/>
      </c>
      <c r="K17" s="434"/>
      <c r="L17" s="7" t="str">
        <f ca="1">IFERROR(IF(VLOOKUP(G14,OFFSET($AG$2,,,COUNTIF($AG$2:$AG$50,"?*"),23),7,FALSE)&lt;&gt;0,VLOOKUP(G14,OFFSET($AG$2,,,COUNTIF($AG$2:$AG$50,"?*"),23),7,FALSE),"?"),"")</f>
        <v/>
      </c>
      <c r="M17" s="425"/>
      <c r="N17" s="426"/>
      <c r="O17" s="426"/>
      <c r="P17" s="4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315</v>
      </c>
      <c r="T17" s="102" t="s">
        <v>57</v>
      </c>
      <c r="U17" s="102">
        <v>16</v>
      </c>
      <c r="V17" s="102">
        <v>1</v>
      </c>
      <c r="W17" s="102">
        <v>0</v>
      </c>
      <c r="X17" s="102">
        <v>0</v>
      </c>
      <c r="Y17" s="102">
        <v>3</v>
      </c>
      <c r="Z17" s="102">
        <v>4</v>
      </c>
      <c r="AA17" s="102">
        <v>0</v>
      </c>
      <c r="AB17" s="102">
        <v>5</v>
      </c>
      <c r="AC17" s="102" t="str">
        <f t="shared" ca="1" si="0"/>
        <v>ANO</v>
      </c>
      <c r="AG17" s="121" t="s">
        <v>312</v>
      </c>
      <c r="AH17" s="122"/>
      <c r="AI17" s="123"/>
      <c r="AJ17" s="123"/>
      <c r="AK17" s="123"/>
      <c r="AL17" s="124">
        <f>IF(AG17&lt;&gt;"",AJ17+AK17,"")</f>
        <v>0</v>
      </c>
      <c r="AM17" s="123" t="s">
        <v>275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4" t="s">
        <v>40</v>
      </c>
      <c r="BT17" s="104" t="s">
        <v>351</v>
      </c>
      <c r="BU17" s="103">
        <v>7</v>
      </c>
      <c r="BV17" s="104" t="str">
        <f t="shared" si="13"/>
        <v>Denis Jasiok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8" t="str">
        <f ca="1">IFERROR(IF(VLOOKUP(A17,OFFSET($AG$2,,,COUNTIF($AG$2:$AG$50,"?*"),23),2,FALSE)&lt;&gt;0,YEAR(VLOOKUP(A17,OFFSET($AG$2,,,COUNTIF($AG$2:$AG$50,"?*"),23),2,FALSE)),""),"")</f>
        <v/>
      </c>
      <c r="C18" s="429"/>
      <c r="D18" s="149" t="str">
        <f ca="1">IFERROR(VLOOKUP(A17,OFFSET($AG$2,,,COUNTIF($AG$2:$AG$50,"?*"),23),15,FALSE),"")</f>
        <v/>
      </c>
      <c r="E18" s="419" t="str">
        <f ca="1">IFERROR(VLOOKUP(A17,OFFSET($AG$2,,,COUNTIF($AG$2:$AG$50,"?*"),23),16,FALSE),"")</f>
        <v/>
      </c>
      <c r="F18" s="420"/>
      <c r="M18" s="4" t="str">
        <f ca="1">IFERROR(IF(VLOOKUP(M17,OFFSET($AG$2,,,COUNTIF($AG$2:$AG$50,"?*"),23),10,FALSE)&lt;&gt;0,VLOOKUP(M17,OFFSET($AG$2,,,COUNTIF($AG$2:$AG$50,"?*"),23),10,FALSE),""),"")</f>
        <v/>
      </c>
      <c r="N18" s="428" t="str">
        <f ca="1">IFERROR(IF(VLOOKUP(M17,OFFSET($AG$2,,,COUNTIF($AG$2:$AG$50,"?*"),23),2,FALSE)&lt;&gt;0,YEAR(VLOOKUP(M17,OFFSET($AG$2,,,COUNTIF($AG$2:$AG$50,"?*"),23),2,FALSE)),""),"")</f>
        <v/>
      </c>
      <c r="O18" s="429"/>
      <c r="P18" s="117" t="str">
        <f ca="1">IFERROR(VLOOKUP(M17,OFFSET($AG$2,,,COUNTIF($AG$2:$AG$50,"?*"),23),15,FALSE),"")</f>
        <v/>
      </c>
      <c r="Q18" s="419" t="str">
        <f ca="1">IFERROR(VLOOKUP(M17,OFFSET($AG$2,,,COUNTIF($AG$2:$AG$50,"?*"),23),16,FALSE),"")</f>
        <v/>
      </c>
      <c r="R18" s="420"/>
      <c r="S18" s="110" t="s">
        <v>309</v>
      </c>
      <c r="T18" s="102" t="s">
        <v>106</v>
      </c>
      <c r="U18" s="102">
        <v>9</v>
      </c>
      <c r="V18" s="102">
        <v>0</v>
      </c>
      <c r="W18" s="102">
        <v>0</v>
      </c>
      <c r="X18" s="102">
        <v>0</v>
      </c>
      <c r="Y18" s="102">
        <v>3</v>
      </c>
      <c r="Z18" s="102">
        <v>3</v>
      </c>
      <c r="AA18" s="102">
        <v>0</v>
      </c>
      <c r="AB18" s="102">
        <v>1</v>
      </c>
      <c r="AC18" s="102" t="str">
        <f t="shared" ca="1" si="0"/>
        <v>ANO</v>
      </c>
      <c r="AG18" s="121" t="s">
        <v>301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136</v>
      </c>
      <c r="AQ18" s="123">
        <v>168</v>
      </c>
      <c r="AR18" s="123">
        <v>69</v>
      </c>
      <c r="AS18" s="126" t="s">
        <v>328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13 OZ, 20 (6+14), +17 ±</v>
      </c>
      <c r="AY18" s="129" t="str">
        <f t="shared" ca="1" si="2"/>
        <v>218 OZ, 251 (128+123)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4"/>
      <c r="BT18" s="104" t="s">
        <v>846</v>
      </c>
      <c r="BU18" s="103">
        <v>5</v>
      </c>
      <c r="BV18" s="104" t="str">
        <f t="shared" si="13"/>
        <v>Lukáš Souček</v>
      </c>
      <c r="BW18" s="102">
        <f t="shared" si="14"/>
        <v>5</v>
      </c>
    </row>
    <row r="19" spans="1:75" ht="15" customHeight="1" x14ac:dyDescent="0.2">
      <c r="A19" s="421" t="str">
        <f ca="1">IFERROR(VLOOKUP(A17,OFFSET($AG$2,,,COUNTIF($AG$2:$AG$50,"?*"),23),18,FALSE),"")</f>
        <v/>
      </c>
      <c r="B19" s="422"/>
      <c r="C19" s="422"/>
      <c r="D19" s="423" t="str">
        <f ca="1">IFERROR(VLOOKUP(A17,OFFSET($AG$2,,,COUNTIF($AG$2:$AG$50,"?*"),23),19,FALSE),"")</f>
        <v/>
      </c>
      <c r="E19" s="423"/>
      <c r="F19" s="424"/>
      <c r="H19" s="435" t="str">
        <f>H$8</f>
        <v>VIT</v>
      </c>
      <c r="I19" s="435"/>
      <c r="J19" s="435"/>
      <c r="K19" s="435"/>
      <c r="M19" s="421" t="str">
        <f ca="1">IFERROR(VLOOKUP(M17,OFFSET($AG$2,,,COUNTIF($AG$2:$AG$50,"?*"),23),18,FALSE),"")</f>
        <v/>
      </c>
      <c r="N19" s="422"/>
      <c r="O19" s="422"/>
      <c r="P19" s="423" t="str">
        <f ca="1">IFERROR(VLOOKUP(M17,OFFSET($AG$2,,,COUNTIF($AG$2:$AG$50,"?*"),23),19,FALSE),"")</f>
        <v/>
      </c>
      <c r="Q19" s="423"/>
      <c r="R19" s="424"/>
      <c r="S19" s="110" t="s">
        <v>1282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322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4"/>
      <c r="BT19" s="104" t="s">
        <v>847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30" t="str">
        <f ca="1">IFERROR(IF(VLOOKUP(A17,OFFSET($AG$2,,,COUNTIF($AG$2:$AG$50,"?*"),23),13,FALSE)&lt;&gt;0,VLOOKUP(A17,OFFSET($AG$2,,,COUNTIF($AG$2:$AG$50,"?*"),23),13,FALSE),"?"),"")</f>
        <v/>
      </c>
      <c r="B20" s="431"/>
      <c r="C20" s="432"/>
      <c r="D20" s="433" t="str">
        <f ca="1">IFERROR(IF(VLOOKUP(A17,OFFSET($AG$2,,,COUNTIF($AG$2:$AG$50,"?*"),23),14,FALSE)&lt;&gt;0,VLOOKUP(A17,OFFSET($AG$2,,,COUNTIF($AG$2:$AG$50,"?*"),23),14,FALSE),"?"),"")</f>
        <v/>
      </c>
      <c r="E20" s="434"/>
      <c r="F20" s="7" t="str">
        <f ca="1">IFERROR(IF(VLOOKUP(A17,OFFSET($AG$2,,,COUNTIF($AG$2:$AG$50,"?*"),23),7,FALSE)&lt;&gt;0,VLOOKUP(A17,OFFSET($AG$2,,,COUNTIF($AG$2:$AG$50,"?*"),23),7,FALSE),"?"),"")</f>
        <v/>
      </c>
      <c r="H20" s="435"/>
      <c r="I20" s="435"/>
      <c r="J20" s="435"/>
      <c r="K20" s="435"/>
      <c r="M20" s="430" t="str">
        <f ca="1">IFERROR(IF(VLOOKUP(M17,OFFSET($AG$2,,,COUNTIF($AG$2:$AG$50,"?*"),23),13,FALSE)&lt;&gt;0,VLOOKUP(M17,OFFSET($AG$2,,,COUNTIF($AG$2:$AG$50,"?*"),23),13,FALSE),"?"),"")</f>
        <v/>
      </c>
      <c r="N20" s="431"/>
      <c r="O20" s="432"/>
      <c r="P20" s="433" t="str">
        <f ca="1">IFERROR(IF(VLOOKUP(M17,OFFSET($AG$2,,,COUNTIF($AG$2:$AG$50,"?*"),23),14,FALSE)&lt;&gt;0,VLOOKUP(M17,OFFSET($AG$2,,,COUNTIF($AG$2:$AG$50,"?*"),23),14,FALSE),"?"),"")</f>
        <v/>
      </c>
      <c r="Q20" s="43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1281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310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136</v>
      </c>
      <c r="AQ20" s="123">
        <v>179</v>
      </c>
      <c r="AR20" s="123">
        <v>69</v>
      </c>
      <c r="AS20" s="126" t="s">
        <v>337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13 OZ, 6 (2+4), +10 ±</v>
      </c>
      <c r="AY20" s="129" t="str">
        <f t="shared" ca="1" si="2"/>
        <v>152 OZ, 46 (12+34)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4"/>
      <c r="BT20" s="104" t="s">
        <v>848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1127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NE</v>
      </c>
      <c r="AG21" s="121" t="s">
        <v>306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136</v>
      </c>
      <c r="AQ21" s="123">
        <v>186</v>
      </c>
      <c r="AR21" s="123">
        <v>70</v>
      </c>
      <c r="AS21" s="126" t="s">
        <v>338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16 OZ, 9 (3+6), +20 ±</v>
      </c>
      <c r="AY21" s="129" t="str">
        <f t="shared" ca="1" si="2"/>
        <v>58 OZ, 41 (22+19)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4"/>
      <c r="BT21" s="104" t="s">
        <v>849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312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323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149</v>
      </c>
      <c r="AP22" s="125" t="s">
        <v>136</v>
      </c>
      <c r="AQ22" s="123">
        <v>186</v>
      </c>
      <c r="AR22" s="123">
        <v>80</v>
      </c>
      <c r="AS22" s="126" t="s">
        <v>328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4" t="s">
        <v>37</v>
      </c>
      <c r="BT22" s="104" t="s">
        <v>850</v>
      </c>
      <c r="BU22" s="103">
        <v>15</v>
      </c>
      <c r="BV22" s="104" t="str">
        <f t="shared" si="13"/>
        <v>Matyáš Šindler</v>
      </c>
      <c r="BW22" s="102">
        <f t="shared" si="14"/>
        <v>15</v>
      </c>
    </row>
    <row r="23" spans="1:75" ht="15" customHeight="1" thickTop="1" thickBot="1" x14ac:dyDescent="0.25">
      <c r="A23" s="425"/>
      <c r="B23" s="426"/>
      <c r="C23" s="426"/>
      <c r="D23" s="4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7" t="s">
        <v>12</v>
      </c>
      <c r="I23" s="427"/>
      <c r="J23" s="427"/>
      <c r="K23" s="427"/>
      <c r="M23" s="425"/>
      <c r="N23" s="426"/>
      <c r="O23" s="426"/>
      <c r="P23" s="4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844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324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339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5 V, 2 P</v>
      </c>
      <c r="AY23" s="129" t="str">
        <f t="shared" ca="1" si="2"/>
        <v>152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4"/>
      <c r="BT23" s="104" t="s">
        <v>1475</v>
      </c>
      <c r="BU23" s="103">
        <v>14</v>
      </c>
      <c r="BV23" s="104" t="str">
        <f t="shared" si="13"/>
        <v>Marek Matejčík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8" t="str">
        <f ca="1">IFERROR(IF(VLOOKUP(A23,OFFSET($AG$2,,,COUNTIF($AG$2:$AG$50,"?*"),23),2,FALSE)&lt;&gt;0,YEAR(VLOOKUP(A23,OFFSET($AG$2,,,COUNTIF($AG$2:$AG$50,"?*"),23),2,FALSE)),""),"")</f>
        <v/>
      </c>
      <c r="C24" s="429"/>
      <c r="D24" s="117" t="str">
        <f ca="1">IFERROR(VLOOKUP(A23,OFFSET($AG$2,,,COUNTIF($AG$2:$AG$50,"?*"),23),15,FALSE),"")</f>
        <v/>
      </c>
      <c r="E24" s="419" t="str">
        <f ca="1">IFERROR(VLOOKUP(A23,OFFSET($AG$2,,,COUNTIF($AG$2:$AG$50,"?*"),23),16,FALSE),"")</f>
        <v/>
      </c>
      <c r="F24" s="420"/>
      <c r="M24" s="4" t="str">
        <f ca="1">IFERROR(IF(VLOOKUP(M23,OFFSET($AG$2,,,COUNTIF($AG$2:$AG$50,"?*"),23),10,FALSE)&lt;&gt;0,VLOOKUP(M23,OFFSET($AG$2,,,COUNTIF($AG$2:$AG$50,"?*"),23),10,FALSE),""),"")</f>
        <v/>
      </c>
      <c r="N24" s="428" t="str">
        <f ca="1">IFERROR(IF(VLOOKUP(M23,OFFSET($AG$2,,,COUNTIF($AG$2:$AG$50,"?*"),23),2,FALSE)&lt;&gt;0,YEAR(VLOOKUP(M23,OFFSET($AG$2,,,COUNTIF($AG$2:$AG$50,"?*"),23),2,FALSE)),""),"")</f>
        <v/>
      </c>
      <c r="O24" s="429"/>
      <c r="P24" s="117" t="str">
        <f ca="1">IFERROR(VLOOKUP(M23,OFFSET($AG$2,,,COUNTIF($AG$2:$AG$50,"?*"),23),15,FALSE),"")</f>
        <v/>
      </c>
      <c r="Q24" s="419" t="str">
        <f ca="1">IFERROR(VLOOKUP(M23,OFFSET($AG$2,,,COUNTIF($AG$2:$AG$50,"?*"),23),16,FALSE),"")</f>
        <v/>
      </c>
      <c r="R24" s="420"/>
      <c r="S24" s="110" t="s">
        <v>781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NE</v>
      </c>
      <c r="AG24" s="121" t="s">
        <v>325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340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4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4"/>
      <c r="BT24" s="104" t="s">
        <v>1476</v>
      </c>
      <c r="BU24" s="103">
        <v>12</v>
      </c>
      <c r="BV24" s="104" t="str">
        <f t="shared" si="13"/>
        <v>Adam Delong</v>
      </c>
      <c r="BW24" s="102">
        <f t="shared" si="14"/>
        <v>12</v>
      </c>
    </row>
    <row r="25" spans="1:75" ht="15" customHeight="1" thickTop="1" thickBot="1" x14ac:dyDescent="0.25">
      <c r="A25" s="421" t="str">
        <f ca="1">IFERROR(VLOOKUP(A23,OFFSET($AG$2,,,COUNTIF($AG$2:$AG$50,"?*"),23),18,FALSE),"")</f>
        <v/>
      </c>
      <c r="B25" s="422"/>
      <c r="C25" s="422"/>
      <c r="D25" s="423" t="str">
        <f ca="1">IFERROR(VLOOKUP(A23,OFFSET($AG$2,,,COUNTIF($AG$2:$AG$50,"?*"),23),19,FALSE),"")</f>
        <v/>
      </c>
      <c r="E25" s="423"/>
      <c r="F25" s="424"/>
      <c r="G25" s="425"/>
      <c r="H25" s="426"/>
      <c r="I25" s="426"/>
      <c r="J25" s="4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1" t="str">
        <f ca="1">IFERROR(VLOOKUP(M23,OFFSET($AG$2,,,COUNTIF($AG$2:$AG$50,"?*"),23),18,FALSE),"")</f>
        <v/>
      </c>
      <c r="N25" s="422"/>
      <c r="O25" s="422"/>
      <c r="P25" s="423" t="str">
        <f ca="1">IFERROR(VLOOKUP(M23,OFFSET($AG$2,,,COUNTIF($AG$2:$AG$50,"?*"),23),19,FALSE),"")</f>
        <v/>
      </c>
      <c r="Q25" s="423"/>
      <c r="R25" s="424"/>
      <c r="S25" s="110" t="s">
        <v>313</v>
      </c>
      <c r="T25" s="102" t="s">
        <v>106</v>
      </c>
      <c r="U25" s="102">
        <v>2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313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136</v>
      </c>
      <c r="AQ25" s="123">
        <v>182</v>
      </c>
      <c r="AR25" s="123">
        <v>78</v>
      </c>
      <c r="AS25" s="126" t="s">
        <v>330</v>
      </c>
      <c r="AT25" s="123">
        <v>2000</v>
      </c>
      <c r="AU25" s="127">
        <f ca="1">IF(AG25&lt;&gt;"",IF(AH25&lt;&gt;"",INT((TODAY()-AH25)/365),"?"),"")</f>
        <v>29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4"/>
      <c r="BT25" s="104" t="s">
        <v>851</v>
      </c>
      <c r="BU25" s="103">
        <v>11</v>
      </c>
      <c r="BV25" s="104" t="str">
        <f t="shared" si="13"/>
        <v>Adam Zubek</v>
      </c>
      <c r="BW25" s="102">
        <f t="shared" si="14"/>
        <v>11</v>
      </c>
    </row>
    <row r="26" spans="1:75" ht="15" customHeight="1" thickBot="1" x14ac:dyDescent="0.25">
      <c r="A26" s="430" t="str">
        <f ca="1">IFERROR(IF(VLOOKUP(A23,OFFSET($AG$2,,,COUNTIF($AG$2:$AG$50,"?*"),23),13,FALSE)&lt;&gt;0,VLOOKUP(A23,OFFSET($AG$2,,,COUNTIF($AG$2:$AG$50,"?*"),23),13,FALSE),"?"),"")</f>
        <v/>
      </c>
      <c r="B26" s="431"/>
      <c r="C26" s="432"/>
      <c r="D26" s="433" t="str">
        <f ca="1">IFERROR(IF(VLOOKUP(A23,OFFSET($AG$2,,,COUNTIF($AG$2:$AG$50,"?*"),23),14,FALSE)&lt;&gt;0,VLOOKUP(A23,OFFSET($AG$2,,,COUNTIF($AG$2:$AG$50,"?*"),23),14,FALSE),"?"),"")</f>
        <v/>
      </c>
      <c r="E26" s="43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8" t="str">
        <f ca="1">IFERROR(IF(VLOOKUP(G25,OFFSET($AG$2,,,COUNTIF($AG$2:$AG$50,"?*"),23),2,FALSE)&lt;&gt;0,YEAR(VLOOKUP(G25,OFFSET($AG$2,,,COUNTIF($AG$2:$AG$50,"?*"),23),2,FALSE)),""),"")</f>
        <v/>
      </c>
      <c r="I26" s="429"/>
      <c r="J26" s="117" t="str">
        <f ca="1">IFERROR(VLOOKUP(G25,OFFSET($AG$2,,,COUNTIF($AG$2:$AG$50,"?*"),23),15,FALSE),"")</f>
        <v/>
      </c>
      <c r="K26" s="419" t="str">
        <f ca="1">IFERROR(VLOOKUP(G25,OFFSET($AG$2,,,COUNTIF($AG$2:$AG$50,"?*"),23),16,FALSE),"")</f>
        <v/>
      </c>
      <c r="L26" s="420"/>
      <c r="M26" s="430" t="str">
        <f ca="1">IFERROR(IF(VLOOKUP(M23,OFFSET($AG$2,,,COUNTIF($AG$2:$AG$50,"?*"),23),13,FALSE)&lt;&gt;0,VLOOKUP(M23,OFFSET($AG$2,,,COUNTIF($AG$2:$AG$50,"?*"),23),13,FALSE),"?"),"")</f>
        <v/>
      </c>
      <c r="N26" s="431"/>
      <c r="O26" s="432"/>
      <c r="P26" s="433" t="str">
        <f ca="1">IFERROR(IF(VLOOKUP(M23,OFFSET($AG$2,,,COUNTIF($AG$2:$AG$50,"?*"),23),14,FALSE)&lt;&gt;0,VLOOKUP(M23,OFFSET($AG$2,,,COUNTIF($AG$2:$AG$50,"?*"),23),14,FALSE),"?"),"")</f>
        <v/>
      </c>
      <c r="Q26" s="43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325</v>
      </c>
      <c r="T26" s="102" t="s">
        <v>106</v>
      </c>
      <c r="U26" s="102">
        <v>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300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136</v>
      </c>
      <c r="AQ26" s="123">
        <v>186</v>
      </c>
      <c r="AR26" s="123">
        <v>81</v>
      </c>
      <c r="AS26" s="126" t="s">
        <v>341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16 OZ, 27 (12+15), +20 ±</v>
      </c>
      <c r="AY26" s="129" t="str">
        <f t="shared" ca="1" si="16"/>
        <v>100 OZ, 148 (48+100)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4"/>
      <c r="BT26" s="104" t="s">
        <v>852</v>
      </c>
      <c r="BU26" s="103">
        <v>9</v>
      </c>
      <c r="BV26" s="104" t="str">
        <f t="shared" si="13"/>
        <v>Ondřej Vítovec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1" t="str">
        <f ca="1">IFERROR(VLOOKUP(G25,OFFSET($AG$2,,,COUNTIF($AG$2:$AG$50,"?*"),23),18,FALSE),"")</f>
        <v/>
      </c>
      <c r="H27" s="422"/>
      <c r="I27" s="422"/>
      <c r="J27" s="423" t="str">
        <f ca="1">IFERROR(VLOOKUP(G25,OFFSET($AG$2,,,COUNTIF($AG$2:$AG$50,"?*"),23),19,FALSE),"")</f>
        <v/>
      </c>
      <c r="K27" s="423"/>
      <c r="L27" s="424"/>
      <c r="S27" s="110" t="s">
        <v>324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0</v>
      </c>
      <c r="AC27" s="102" t="str">
        <f t="shared" ca="1" si="0"/>
        <v>ANO</v>
      </c>
      <c r="AG27" s="121" t="s">
        <v>309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136</v>
      </c>
      <c r="AQ27" s="123">
        <v>179</v>
      </c>
      <c r="AR27" s="123">
        <v>76</v>
      </c>
      <c r="AS27" s="126" t="s">
        <v>280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9 OZ, 3 (0+3), +1 ±</v>
      </c>
      <c r="AY27" s="129" t="str">
        <f t="shared" ca="1" si="16"/>
        <v>188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4" t="s">
        <v>38</v>
      </c>
      <c r="BT27" s="104" t="s">
        <v>1280</v>
      </c>
      <c r="BU27" s="103">
        <v>6</v>
      </c>
      <c r="BV27" s="104" t="str">
        <f t="shared" si="13"/>
        <v>Rostislav Gattnar</v>
      </c>
      <c r="BW27" s="102">
        <f t="shared" si="14"/>
        <v>6</v>
      </c>
    </row>
    <row r="28" spans="1:75" ht="15" customHeight="1" thickTop="1" thickBot="1" x14ac:dyDescent="0.25">
      <c r="A28" s="425"/>
      <c r="B28" s="426"/>
      <c r="C28" s="426"/>
      <c r="D28" s="4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30" t="str">
        <f ca="1">IFERROR(IF(VLOOKUP(G25,OFFSET($AG$2,,,COUNTIF($AG$2:$AG$50,"?*"),23),13,FALSE)&lt;&gt;0,VLOOKUP(G25,OFFSET($AG$2,,,COUNTIF($AG$2:$AG$50,"?*"),23),13,FALSE),"?"),"")</f>
        <v/>
      </c>
      <c r="H28" s="431"/>
      <c r="I28" s="432"/>
      <c r="J28" s="433" t="str">
        <f ca="1">IFERROR(IF(VLOOKUP(G25,OFFSET($AG$2,,,COUNTIF($AG$2:$AG$50,"?*"),23),14,FALSE)&lt;&gt;0,VLOOKUP(G25,OFFSET($AG$2,,,COUNTIF($AG$2:$AG$50,"?*"),23),14,FALSE),"?"),"")</f>
        <v/>
      </c>
      <c r="K28" s="434"/>
      <c r="L28" s="7" t="str">
        <f ca="1">IFERROR(IF(VLOOKUP(G25,OFFSET($AG$2,,,COUNTIF($AG$2:$AG$50,"?*"),23),7,FALSE)&lt;&gt;0,VLOOKUP(G25,OFFSET($AG$2,,,COUNTIF($AG$2:$AG$50,"?*"),23),7,FALSE),"?"),"")</f>
        <v/>
      </c>
      <c r="M28" s="425"/>
      <c r="N28" s="426"/>
      <c r="O28" s="426"/>
      <c r="P28" s="4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311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326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136</v>
      </c>
      <c r="AQ28" s="123"/>
      <c r="AR28" s="123"/>
      <c r="AS28" s="126" t="s">
        <v>342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4"/>
      <c r="BT28" s="104" t="s">
        <v>1477</v>
      </c>
      <c r="BU28" s="103">
        <v>4</v>
      </c>
      <c r="BV28" s="104" t="str">
        <f t="shared" si="13"/>
        <v>Filip Čonka-Skyba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8" t="str">
        <f ca="1">IFERROR(IF(VLOOKUP(A28,OFFSET($AG$2,,,COUNTIF($AG$2:$AG$50,"?*"),23),2,FALSE)&lt;&gt;0,YEAR(VLOOKUP(A28,OFFSET($AG$2,,,COUNTIF($AG$2:$AG$50,"?*"),23),2,FALSE)),""),"")</f>
        <v/>
      </c>
      <c r="C29" s="429"/>
      <c r="D29" s="117" t="str">
        <f ca="1">IFERROR(VLOOKUP(A28,OFFSET($AG$2,,,COUNTIF($AG$2:$AG$50,"?*"),23),15,FALSE),"")</f>
        <v/>
      </c>
      <c r="E29" s="419" t="str">
        <f ca="1">IFERROR(VLOOKUP(A28,OFFSET($AG$2,,,COUNTIF($AG$2:$AG$50,"?*"),23),16,FALSE),"")</f>
        <v/>
      </c>
      <c r="F29" s="420"/>
      <c r="M29" s="4" t="str">
        <f ca="1">IFERROR(IF(VLOOKUP(M28,OFFSET($AG$2,,,COUNTIF($AG$2:$AG$50,"?*"),23),10,FALSE)&lt;&gt;0,VLOOKUP(M28,OFFSET($AG$2,,,COUNTIF($AG$2:$AG$50,"?*"),23),10,FALSE),""),"")</f>
        <v/>
      </c>
      <c r="N29" s="428" t="str">
        <f ca="1">IFERROR(IF(VLOOKUP(M28,OFFSET($AG$2,,,COUNTIF($AG$2:$AG$50,"?*"),23),2,FALSE)&lt;&gt;0,YEAR(VLOOKUP(M28,OFFSET($AG$2,,,COUNTIF($AG$2:$AG$50,"?*"),23),2,FALSE)),""),"")</f>
        <v/>
      </c>
      <c r="O29" s="429"/>
      <c r="P29" s="117" t="str">
        <f ca="1">IFERROR(VLOOKUP(M28,OFFSET($AG$2,,,COUNTIF($AG$2:$AG$50,"?*"),23),15,FALSE),"")</f>
        <v/>
      </c>
      <c r="Q29" s="419" t="str">
        <f ca="1">IFERROR(VLOOKUP(M28,OFFSET($AG$2,,,COUNTIF($AG$2:$AG$50,"?*"),23),16,FALSE),"")</f>
        <v/>
      </c>
      <c r="R29" s="420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4"/>
      <c r="BT29" s="104" t="s">
        <v>1478</v>
      </c>
      <c r="BU29" s="103">
        <v>4</v>
      </c>
      <c r="BV29" s="104" t="str">
        <f t="shared" si="13"/>
        <v>Jiří Besta</v>
      </c>
      <c r="BW29" s="102">
        <f t="shared" si="14"/>
        <v>4</v>
      </c>
    </row>
    <row r="30" spans="1:75" ht="15" customHeight="1" x14ac:dyDescent="0.2">
      <c r="A30" s="421" t="str">
        <f ca="1">IFERROR(VLOOKUP(A28,OFFSET($AG$2,,,COUNTIF($AG$2:$AG$50,"?*"),23),18,FALSE),"")</f>
        <v/>
      </c>
      <c r="B30" s="422"/>
      <c r="C30" s="422"/>
      <c r="D30" s="423" t="str">
        <f ca="1">IFERROR(VLOOKUP(A28,OFFSET($AG$2,,,COUNTIF($AG$2:$AG$50,"?*"),23),19,FALSE),"")</f>
        <v/>
      </c>
      <c r="E30" s="423"/>
      <c r="F30" s="424"/>
      <c r="H30" s="435" t="str">
        <f>H$8</f>
        <v>VIT</v>
      </c>
      <c r="I30" s="435"/>
      <c r="J30" s="435"/>
      <c r="K30" s="435"/>
      <c r="M30" s="421" t="str">
        <f ca="1">IFERROR(VLOOKUP(M28,OFFSET($AG$2,,,COUNTIF($AG$2:$AG$50,"?*"),23),18,FALSE),"")</f>
        <v/>
      </c>
      <c r="N30" s="422"/>
      <c r="O30" s="422"/>
      <c r="P30" s="423" t="str">
        <f ca="1">IFERROR(VLOOKUP(M28,OFFSET($AG$2,,,COUNTIF($AG$2:$AG$50,"?*"),23),19,FALSE),"")</f>
        <v/>
      </c>
      <c r="Q30" s="423"/>
      <c r="R30" s="42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4"/>
      <c r="BT30" s="104" t="s">
        <v>1479</v>
      </c>
      <c r="BU30" s="103">
        <v>4</v>
      </c>
      <c r="BV30" s="104" t="str">
        <f t="shared" si="13"/>
        <v>Marek Bräuer</v>
      </c>
      <c r="BW30" s="102">
        <f t="shared" si="14"/>
        <v>4</v>
      </c>
    </row>
    <row r="31" spans="1:75" ht="15" customHeight="1" thickBot="1" x14ac:dyDescent="0.25">
      <c r="A31" s="430" t="str">
        <f ca="1">IFERROR(IF(VLOOKUP(A28,OFFSET($AG$2,,,COUNTIF($AG$2:$AG$50,"?*"),23),13,FALSE)&lt;&gt;0,VLOOKUP(A28,OFFSET($AG$2,,,COUNTIF($AG$2:$AG$50,"?*"),23),13,FALSE),"?"),"")</f>
        <v/>
      </c>
      <c r="B31" s="431"/>
      <c r="C31" s="432"/>
      <c r="D31" s="433" t="str">
        <f ca="1">IFERROR(IF(VLOOKUP(A28,OFFSET($AG$2,,,COUNTIF($AG$2:$AG$50,"?*"),23),14,FALSE)&lt;&gt;0,VLOOKUP(A28,OFFSET($AG$2,,,COUNTIF($AG$2:$AG$50,"?*"),23),14,FALSE),"?"),"")</f>
        <v/>
      </c>
      <c r="E31" s="434"/>
      <c r="F31" s="7" t="str">
        <f ca="1">IFERROR(IF(VLOOKUP(A28,OFFSET($AG$2,,,COUNTIF($AG$2:$AG$50,"?*"),23),7,FALSE)&lt;&gt;0,VLOOKUP(A28,OFFSET($AG$2,,,COUNTIF($AG$2:$AG$50,"?*"),23),7,FALSE),"?"),"")</f>
        <v/>
      </c>
      <c r="H31" s="435"/>
      <c r="I31" s="435"/>
      <c r="J31" s="435"/>
      <c r="K31" s="435"/>
      <c r="M31" s="430" t="str">
        <f ca="1">IFERROR(IF(VLOOKUP(M28,OFFSET($AG$2,,,COUNTIF($AG$2:$AG$50,"?*"),23),13,FALSE)&lt;&gt;0,VLOOKUP(M28,OFFSET($AG$2,,,COUNTIF($AG$2:$AG$50,"?*"),23),13,FALSE),"?"),"")</f>
        <v/>
      </c>
      <c r="N31" s="431"/>
      <c r="O31" s="432"/>
      <c r="P31" s="433" t="str">
        <f ca="1">IFERROR(IF(VLOOKUP(M28,OFFSET($AG$2,,,COUNTIF($AG$2:$AG$50,"?*"),23),14,FALSE)&lt;&gt;0,VLOOKUP(M28,OFFSET($AG$2,,,COUNTIF($AG$2:$AG$50,"?*"),23),14,FALSE),"?"),"")</f>
        <v/>
      </c>
      <c r="Q31" s="43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4"/>
      <c r="BT31" s="104" t="s">
        <v>1480</v>
      </c>
      <c r="BU31" s="103">
        <v>4</v>
      </c>
      <c r="BV31" s="104" t="str">
        <f t="shared" si="13"/>
        <v>Šimon Hatala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5"/>
      <c r="B34" s="426"/>
      <c r="C34" s="426"/>
      <c r="D34" s="4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6" t="s">
        <v>15</v>
      </c>
      <c r="J34" s="425"/>
      <c r="K34" s="426"/>
      <c r="L34" s="426"/>
      <c r="M34" s="426"/>
      <c r="N34" s="426"/>
      <c r="O34" s="426"/>
      <c r="P34" s="426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8" t="str">
        <f ca="1">IFERROR(IF(VLOOKUP(A34,OFFSET($AG$2,,,COUNTIF($AG$2:$AG$50,"?*"),23),2,FALSE)&lt;&gt;0,YEAR(VLOOKUP(A34,OFFSET($AG$2,,,COUNTIF($AG$2:$AG$50,"?*"),23),2,FALSE)),""),"")</f>
        <v/>
      </c>
      <c r="C35" s="429"/>
      <c r="D35" s="117" t="str">
        <f ca="1">IFERROR(VLOOKUP(A34,OFFSET($AG$2,,,COUNTIF($AG$2:$AG$50,"?*"),23),15,FALSE),"")</f>
        <v/>
      </c>
      <c r="E35" s="419" t="str">
        <f ca="1">IFERROR(VLOOKUP(A34,OFFSET($AG$2,,,COUNTIF($AG$2:$AG$50,"?*"),23),16,FALSE),"")</f>
        <v/>
      </c>
      <c r="F35" s="420"/>
      <c r="H35" s="436"/>
      <c r="J35" s="4" t="str">
        <f ca="1">IFERROR(IF(VLOOKUP(J34,OFFSET($AG$2,,,COUNTIF($AG$2:$AG$50,"?*"),23),10,FALSE)&lt;&gt;0,VLOOKUP(J34,OFFSET($AG$2,,,COUNTIF($AG$2:$AG$50,"?*"),23),10,FALSE),""),"")</f>
        <v/>
      </c>
      <c r="K35" s="429" t="str">
        <f ca="1">IFERROR(IF(VLOOKUP(J34,OFFSET($AG$2,,,COUNTIF($AG$2:$AG$50,"?*"),23),2,FALSE)&lt;&gt;0,YEAR(VLOOKUP(J34,OFFSET($AG$2,,,COUNTIF($AG$2:$AG$50,"?*"),23),2,FALSE)),""),"")</f>
        <v/>
      </c>
      <c r="L35" s="437"/>
      <c r="M35" s="118" t="str">
        <f ca="1">IFERROR(VLOOKUP(J34,OFFSET($AG$2,,,COUNTIF($AG$2:$AG$50,"?*"),23),15,FALSE),"")</f>
        <v/>
      </c>
      <c r="N35" s="437" t="str">
        <f ca="1">IFERROR(VLOOKUP(J34,OFFSET($AG$2,,,COUNTIF($AG$2:$AG$50,"?*"),23),16,FALSE),"")</f>
        <v/>
      </c>
      <c r="O35" s="437"/>
      <c r="P35" s="437" t="str">
        <f ca="1">IFERROR(VLOOKUP(J34,OFFSET($AG$2,,,COUNTIF($AG$2:$AG$50,"?*"),23),18,FALSE),"")</f>
        <v/>
      </c>
      <c r="Q35" s="437"/>
      <c r="R35" s="44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5" t="str">
        <f ca="1">IFERROR(VLOOKUP(A34,OFFSET($AG$2,,,COUNTIF($AG$2:$AG$50,"?*"),23),18,FALSE),"")</f>
        <v/>
      </c>
      <c r="C36" s="445"/>
      <c r="D36" s="446" t="str">
        <f ca="1">IFERROR(VLOOKUP(A34,OFFSET($S$45,,,COUNTIF($S$45:$S$50,"?*"),14),5,FALSE),"")</f>
        <v/>
      </c>
      <c r="E36" s="447"/>
      <c r="F36" s="17" t="str">
        <f ca="1">IFERROR(VLOOKUP(A34,OFFSET($S$45,,,COUNTIF($S$45:$S$50,"?*"),14),14,FALSE),"")</f>
        <v/>
      </c>
      <c r="H36" s="436"/>
      <c r="J36" s="18" t="str">
        <f ca="1">IFERROR(IF(VLOOKUP(J34,OFFSET($AG$2,,,COUNTIF($AG$2:$AG$50,"?*"),23),7,FALSE)&lt;&gt;0,VLOOKUP(J34,OFFSET($AG$2,,,COUNTIF($AG$2:$AG$50,"?*"),23),7,FALSE),"?"),"")</f>
        <v/>
      </c>
      <c r="K36" s="448" t="str">
        <f ca="1">IFERROR(VLOOKUP(J34,OFFSET($AG$2,,,COUNTIF($AG$2:$AG$50,"?*"),23),19,FALSE),"")</f>
        <v/>
      </c>
      <c r="L36" s="448"/>
      <c r="M36" s="448"/>
      <c r="N36" s="449" t="str">
        <f ca="1">IFERROR(IF(VLOOKUP(J34,OFFSET($AG$2,,,COUNTIF($AG$2:$AG$50,"?*"),23),13,FALSE)&lt;&gt;0,VLOOKUP(J34,OFFSET($AG$2,,,COUNTIF($AG$2:$AG$50,"?*"),23),13,FALSE),"?"),"")</f>
        <v/>
      </c>
      <c r="O36" s="449"/>
      <c r="P36" s="449"/>
      <c r="Q36" s="448" t="str">
        <f ca="1">IFERROR(IF(VLOOKUP(J34,OFFSET($AG$2,,,COUNTIF($AG$2:$AG$50,"?*"),23),14,FALSE)&lt;&gt;0,VLOOKUP(J34,OFFSET($AG$2,,,COUNTIF($AG$2:$AG$50,"?*"),23),14,FALSE),"?"),"")</f>
        <v/>
      </c>
      <c r="R36" s="450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8" t="str">
        <f ca="1">IFERROR(VLOOKUP(A34,OFFSET($S$45,,,COUNTIF($S$45:$S$50,"?*"),14),3,FALSE),"")</f>
        <v/>
      </c>
      <c r="B37" s="439"/>
      <c r="C37" s="440" t="str">
        <f ca="1">IFERROR(VLOOKUP(A34,OFFSET($S$45,,,COUNTIF($S$45:$S$50,"?*"),14),13,FALSE),"")</f>
        <v/>
      </c>
      <c r="D37" s="441"/>
      <c r="E37" s="442" t="str">
        <f ca="1">IFERROR(VLOOKUP(A34,OFFSET($AG$2,,,COUNTIF($AG$2:$AG$50,"?*"),23),19,FALSE),"")</f>
        <v/>
      </c>
      <c r="F37" s="443"/>
      <c r="H37" s="43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30" t="str">
        <f ca="1">IFERROR(IF(VLOOKUP(A34,OFFSET($AG$2,,,COUNTIF($AG$2:$AG$50,"?*"),23),13,FALSE)&lt;&gt;0,VLOOKUP(A34,OFFSET($AG$2,,,COUNTIF($AG$2:$AG$50,"?*"),23),13,FALSE),"?"),"")</f>
        <v/>
      </c>
      <c r="B38" s="431"/>
      <c r="C38" s="432"/>
      <c r="D38" s="433" t="str">
        <f ca="1">IFERROR(IF(VLOOKUP(A34,OFFSET($AG$2,,,COUNTIF($AG$2:$AG$50,"?*"),23),14,FALSE)&lt;&gt;0,VLOOKUP(A34,OFFSET($AG$2,,,COUNTIF($AG$2:$AG$50,"?*"),23),14,FALSE),"?"),"")</f>
        <v/>
      </c>
      <c r="E38" s="434"/>
      <c r="F38" s="19" t="str">
        <f ca="1">IFERROR(VLOOKUP(A34,OFFSET($S$45,,,COUNTIF($S$45:$S$50,"?*"),14),6,FALSE),"")</f>
        <v/>
      </c>
      <c r="H38" s="436"/>
      <c r="J38" s="425"/>
      <c r="K38" s="426"/>
      <c r="L38" s="426"/>
      <c r="M38" s="426"/>
      <c r="N38" s="426"/>
      <c r="O38" s="426"/>
      <c r="P38" s="4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6"/>
      <c r="J39" s="4" t="str">
        <f ca="1">IFERROR(IF(VLOOKUP(J38,OFFSET($AG$2,,,COUNTIF($AG$2:$AG$50,"?*"),23),10,FALSE)&lt;&gt;0,VLOOKUP(J38,OFFSET($AG$2,,,COUNTIF($AG$2:$AG$50,"?*"),23),10,FALSE),""),"")</f>
        <v/>
      </c>
      <c r="K39" s="429" t="str">
        <f ca="1">IFERROR(IF(VLOOKUP(J38,OFFSET($AG$2,,,COUNTIF($AG$2:$AG$50,"?*"),23),2,FALSE)&lt;&gt;0,YEAR(VLOOKUP(J38,OFFSET($AG$2,,,COUNTIF($AG$2:$AG$50,"?*"),23),2,FALSE)),""),"")</f>
        <v/>
      </c>
      <c r="L39" s="437"/>
      <c r="M39" s="150" t="str">
        <f ca="1">IFERROR(VLOOKUP(J38,OFFSET($AG$2,,,COUNTIF($AG$2:$AG$50,"?*"),23),15,FALSE),"")</f>
        <v/>
      </c>
      <c r="N39" s="437" t="str">
        <f ca="1">IFERROR(VLOOKUP(J38,OFFSET($AG$2,,,COUNTIF($AG$2:$AG$50,"?*"),23),16,FALSE),"")</f>
        <v/>
      </c>
      <c r="O39" s="437"/>
      <c r="P39" s="437" t="str">
        <f ca="1">IFERROR(VLOOKUP(J38,OFFSET($AG$2,,,COUNTIF($AG$2:$AG$50,"?*"),23),18,FALSE),"")</f>
        <v/>
      </c>
      <c r="Q39" s="437"/>
      <c r="R39" s="44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5"/>
      <c r="B40" s="426"/>
      <c r="C40" s="426"/>
      <c r="D40" s="4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6"/>
      <c r="J40" s="18" t="str">
        <f ca="1">IFERROR(IF(VLOOKUP(J38,OFFSET($AG$2,,,COUNTIF($AG$2:$AG$50,"?*"),23),7,FALSE)&lt;&gt;0,VLOOKUP(J38,OFFSET($AG$2,,,COUNTIF($AG$2:$AG$50,"?*"),23),7,FALSE),"?"),"")</f>
        <v/>
      </c>
      <c r="K40" s="448" t="str">
        <f ca="1">IFERROR(VLOOKUP(J38,OFFSET($AG$2,,,COUNTIF($AG$2:$AG$50,"?*"),23),19,FALSE),"")</f>
        <v/>
      </c>
      <c r="L40" s="448"/>
      <c r="M40" s="448"/>
      <c r="N40" s="449" t="str">
        <f ca="1">IFERROR(IF(VLOOKUP(J38,OFFSET($AG$2,,,COUNTIF($AG$2:$AG$50,"?*"),23),13,FALSE)&lt;&gt;0,VLOOKUP(J38,OFFSET($AG$2,,,COUNTIF($AG$2:$AG$50,"?*"),23),13,FALSE),"?"),"")</f>
        <v/>
      </c>
      <c r="O40" s="449"/>
      <c r="P40" s="449"/>
      <c r="Q40" s="448" t="str">
        <f ca="1">IFERROR(IF(VLOOKUP(J38,OFFSET($AG$2,,,COUNTIF($AG$2:$AG$50,"?*"),23),14,FALSE)&lt;&gt;0,VLOOKUP(J38,OFFSET($AG$2,,,COUNTIF($AG$2:$AG$50,"?*"),23),14,FALSE),"?"),"")</f>
        <v/>
      </c>
      <c r="R40" s="450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8" t="str">
        <f ca="1">IFERROR(IF(VLOOKUP(A40,OFFSET($AG$2,,,COUNTIF($AG$2:$AG$50,"?*"),23),2,FALSE)&lt;&gt;0,YEAR(VLOOKUP(A40,OFFSET($AG$2,,,COUNTIF($AG$2:$AG$50,"?*"),23),2,FALSE)),""),"")</f>
        <v/>
      </c>
      <c r="C41" s="429"/>
      <c r="D41" s="117" t="str">
        <f ca="1">IFERROR(VLOOKUP(A40,OFFSET($AG$2,,,COUNTIF($AG$2:$AG$50,"?*"),23),15,FALSE),"")</f>
        <v/>
      </c>
      <c r="E41" s="419" t="str">
        <f ca="1">IFERROR(VLOOKUP(A40,OFFSET($AG$2,,,COUNTIF($AG$2:$AG$50,"?*"),23),16,FALSE),"")</f>
        <v/>
      </c>
      <c r="F41" s="420"/>
      <c r="H41" s="43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5" t="str">
        <f ca="1">IFERROR(VLOOKUP(A40,OFFSET($AG$2,,,COUNTIF($AG$2:$AG$50,"?*"),23),18,FALSE),"")</f>
        <v/>
      </c>
      <c r="C42" s="445"/>
      <c r="D42" s="446" t="str">
        <f ca="1">IFERROR(VLOOKUP(A40,OFFSET($S$45,,,COUNTIF($S$45:$S$50,"?*"),14),5,FALSE),"")</f>
        <v/>
      </c>
      <c r="E42" s="447"/>
      <c r="F42" s="17" t="str">
        <f ca="1">IFERROR(VLOOKUP(A40,OFFSET($S$45,,,COUNTIF($S$45:$S$50,"?*"),14),14,FALSE),"")</f>
        <v/>
      </c>
      <c r="H42" s="436"/>
      <c r="J42" s="425"/>
      <c r="K42" s="426"/>
      <c r="L42" s="426"/>
      <c r="M42" s="426"/>
      <c r="N42" s="426"/>
      <c r="O42" s="426"/>
      <c r="P42" s="426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8" t="str">
        <f ca="1">IFERROR(VLOOKUP(A40,OFFSET($S$45,,,COUNTIF($S$45:$S$50,"?*"),14),3,FALSE),"")</f>
        <v/>
      </c>
      <c r="B43" s="439"/>
      <c r="C43" s="440" t="str">
        <f ca="1">IFERROR(VLOOKUP(A40,OFFSET($S$45,,,COUNTIF($S$45:$S$50,"?*"),14),13,FALSE),"")</f>
        <v/>
      </c>
      <c r="D43" s="441"/>
      <c r="E43" s="442" t="str">
        <f ca="1">IFERROR(VLOOKUP(A40,OFFSET($AG$2,,,COUNTIF($AG$2:$AG$50,"?*"),23),19,FALSE),"")</f>
        <v/>
      </c>
      <c r="F43" s="443"/>
      <c r="H43" s="436"/>
      <c r="J43" s="4" t="str">
        <f ca="1">IFERROR(IF(VLOOKUP(J42,OFFSET($AG$2,,,COUNTIF($AG$2:$AG$50,"?*"),23),10,FALSE)&lt;&gt;0,VLOOKUP(J42,OFFSET($AG$2,,,COUNTIF($AG$2:$AG$50,"?*"),23),10,FALSE),""),"")</f>
        <v/>
      </c>
      <c r="K43" s="429" t="str">
        <f ca="1">IFERROR(IF(VLOOKUP(J42,OFFSET($AG$2,,,COUNTIF($AG$2:$AG$50,"?*"),23),2,FALSE)&lt;&gt;0,YEAR(VLOOKUP(J42,OFFSET($AG$2,,,COUNTIF($AG$2:$AG$50,"?*"),23),2,FALSE)),""),"")</f>
        <v/>
      </c>
      <c r="L43" s="437"/>
      <c r="M43" s="150" t="str">
        <f ca="1">IFERROR(VLOOKUP(J42,OFFSET($AG$2,,,COUNTIF($AG$2:$AG$50,"?*"),23),15,FALSE),"")</f>
        <v/>
      </c>
      <c r="N43" s="437" t="str">
        <f ca="1">IFERROR(VLOOKUP(J42,OFFSET($AG$2,,,COUNTIF($AG$2:$AG$50,"?*"),23),16,FALSE),"")</f>
        <v/>
      </c>
      <c r="O43" s="437"/>
      <c r="P43" s="437" t="str">
        <f ca="1">IFERROR(VLOOKUP(J42,OFFSET($AG$2,,,COUNTIF($AG$2:$AG$50,"?*"),23),18,FALSE),"")</f>
        <v/>
      </c>
      <c r="Q43" s="437"/>
      <c r="R43" s="444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30" t="str">
        <f ca="1">IFERROR(IF(VLOOKUP(A40,OFFSET($AG$2,,,COUNTIF($AG$2:$AG$50,"?*"),23),13,FALSE)&lt;&gt;0,VLOOKUP(A40,OFFSET($AG$2,,,COUNTIF($AG$2:$AG$50,"?*"),23),13,FALSE),"?"),"")</f>
        <v/>
      </c>
      <c r="B44" s="431"/>
      <c r="C44" s="432"/>
      <c r="D44" s="433" t="str">
        <f ca="1">IFERROR(IF(VLOOKUP(A40,OFFSET($AG$2,,,COUNTIF($AG$2:$AG$50,"?*"),23),14,FALSE)&lt;&gt;0,VLOOKUP(A40,OFFSET($AG$2,,,COUNTIF($AG$2:$AG$50,"?*"),23),14,FALSE),"?"),"")</f>
        <v/>
      </c>
      <c r="E44" s="434"/>
      <c r="F44" s="19" t="str">
        <f ca="1">IFERROR(VLOOKUP(A40,OFFSET($S$45,,,COUNTIF($S$45:$S$50,"?*"),14),6,FALSE),"")</f>
        <v/>
      </c>
      <c r="H44" s="436"/>
      <c r="J44" s="18" t="str">
        <f ca="1">IFERROR(IF(VLOOKUP(J42,OFFSET($AG$2,,,COUNTIF($AG$2:$AG$50,"?*"),23),7,FALSE)&lt;&gt;0,VLOOKUP(J42,OFFSET($AG$2,,,COUNTIF($AG$2:$AG$50,"?*"),23),7,FALSE),"?"),"")</f>
        <v/>
      </c>
      <c r="K44" s="448" t="str">
        <f ca="1">IFERROR(VLOOKUP(J42,OFFSET($AG$2,,,COUNTIF($AG$2:$AG$50,"?*"),23),19,FALSE),"")</f>
        <v/>
      </c>
      <c r="L44" s="448"/>
      <c r="M44" s="448"/>
      <c r="N44" s="449" t="str">
        <f ca="1">IFERROR(IF(VLOOKUP(J42,OFFSET($AG$2,,,COUNTIF($AG$2:$AG$50,"?*"),23),13,FALSE)&lt;&gt;0,VLOOKUP(J42,OFFSET($AG$2,,,COUNTIF($AG$2:$AG$50,"?*"),23),13,FALSE),"?"),"")</f>
        <v/>
      </c>
      <c r="O44" s="449"/>
      <c r="P44" s="449"/>
      <c r="Q44" s="448" t="str">
        <f ca="1">IFERROR(IF(VLOOKUP(J42,OFFSET($AG$2,,,COUNTIF($AG$2:$AG$50,"?*"),23),14,FALSE)&lt;&gt;0,VLOOKUP(J42,OFFSET($AG$2,,,COUNTIF($AG$2:$AG$50,"?*"),23),14,FALSE),"?"),"")</f>
        <v/>
      </c>
      <c r="R44" s="450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311</v>
      </c>
      <c r="T45" s="102">
        <v>9</v>
      </c>
      <c r="U45" s="112">
        <v>536.5</v>
      </c>
      <c r="V45" s="102">
        <v>7</v>
      </c>
      <c r="W45" s="102">
        <v>34</v>
      </c>
      <c r="X45" s="102">
        <v>0</v>
      </c>
      <c r="Y45" s="102">
        <v>173</v>
      </c>
      <c r="Z45" s="102">
        <v>0</v>
      </c>
      <c r="AA45" s="102">
        <v>2</v>
      </c>
      <c r="AB45" s="102">
        <v>139</v>
      </c>
      <c r="AC45" s="102">
        <v>0</v>
      </c>
      <c r="AD45" s="102">
        <v>0</v>
      </c>
      <c r="AE45" s="112">
        <f>IF(S45&lt;&gt;"",IF(T45&gt;0,W45/(U45/60),0),"")</f>
        <v>3.8024231127679404</v>
      </c>
      <c r="AF45" s="112">
        <f>IF(S45&lt;&gt;"",IF(Y45&gt;0,(AB45/Y45)*100,"-"),"")</f>
        <v>80.346820809248555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324</v>
      </c>
      <c r="T46" s="102">
        <v>7</v>
      </c>
      <c r="U46" s="112">
        <v>420</v>
      </c>
      <c r="V46" s="102">
        <v>5</v>
      </c>
      <c r="W46" s="102">
        <v>30</v>
      </c>
      <c r="X46" s="102">
        <v>0</v>
      </c>
      <c r="Y46" s="102">
        <v>119</v>
      </c>
      <c r="Z46" s="102">
        <v>0</v>
      </c>
      <c r="AA46" s="102">
        <v>2</v>
      </c>
      <c r="AB46" s="102">
        <v>89</v>
      </c>
      <c r="AC46" s="102">
        <v>0</v>
      </c>
      <c r="AD46" s="102">
        <v>2</v>
      </c>
      <c r="AE46" s="112">
        <f t="shared" ref="AE46:AE50" si="23">IF(S46&lt;&gt;"",IF(T46&gt;0,W46/(U46/60),0),"")</f>
        <v>4.2857142857142856</v>
      </c>
      <c r="AF46" s="112">
        <f t="shared" ref="AF46:AF50" si="24">IF(S46&lt;&gt;"",IF(Y46&gt;0,(AB46/Y46)*100,"-"),"")</f>
        <v>74.789915966386559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5"/>
      <c r="B47" s="466"/>
      <c r="C47" s="466"/>
      <c r="D47" s="466"/>
      <c r="E47" s="461" t="str">
        <f ca="1">IFERROR(VLOOKUP(A47,OFFSET($BN$2,,,COUNTIF($BN$2:$BN$11,"?*"),5),3,FALSE),"")</f>
        <v/>
      </c>
      <c r="F47" s="461"/>
      <c r="G47" s="461"/>
      <c r="H47" s="461"/>
      <c r="I47" s="462"/>
      <c r="J47" s="465"/>
      <c r="K47" s="466"/>
      <c r="L47" s="466"/>
      <c r="M47" s="466"/>
      <c r="N47" s="461" t="str">
        <f ca="1">IFERROR(VLOOKUP(J47,OFFSET($BN$2,,,COUNTIF($BN$2:$BN$11,"?*"),5),3,FALSE),"")</f>
        <v/>
      </c>
      <c r="O47" s="461"/>
      <c r="P47" s="461"/>
      <c r="Q47" s="461"/>
      <c r="R47" s="462"/>
      <c r="S47" s="111" t="s">
        <v>312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1" t="str">
        <f ca="1">IFERROR(VLOOKUP(A47,OFFSET($BN$2,,,COUNTIF($BN$2:$BN$11,"?*"),5),5,FALSE),"")</f>
        <v/>
      </c>
      <c r="B48" s="453" t="str">
        <f ca="1">IFERROR(IF(VLOOKUP(A47,OFFSET($BN$2,,,COUNTIF($BN$2:$BN$11,"?*"),5),4,FALSE)&lt;&gt;0,VLOOKUP(A47,OFFSET($BN$2,,,COUNTIF($BN$2:$BN$11,"?*"),5),4,FALSE),"-"),"")</f>
        <v/>
      </c>
      <c r="C48" s="453"/>
      <c r="D48" s="453"/>
      <c r="E48" s="453"/>
      <c r="F48" s="453"/>
      <c r="G48" s="453"/>
      <c r="H48" s="453"/>
      <c r="I48" s="454"/>
      <c r="J48" s="119" t="str">
        <f ca="1">IFERROR(VLOOKUP(J47,OFFSET($BN$2,,,COUNTIF($BN$2:$BN$11,"?*"),5),5,FALSE),"")</f>
        <v/>
      </c>
      <c r="K48" s="457" t="str">
        <f ca="1">IFERROR(IF(VLOOKUP(J47,OFFSET($BN$2,,,COUNTIF($BN$2:$BN$11,"?*"),5),4,FALSE)&lt;&gt;0,VLOOKUP(J47,OFFSET($BN$2,,,COUNTIF($BN$2:$BN$11,"?*"),5),4,FALSE),"-"),"")</f>
        <v/>
      </c>
      <c r="L48" s="457"/>
      <c r="M48" s="457"/>
      <c r="N48" s="457"/>
      <c r="O48" s="457"/>
      <c r="P48" s="457"/>
      <c r="Q48" s="457"/>
      <c r="R48" s="458"/>
      <c r="S48" s="111" t="s">
        <v>844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1"/>
      <c r="B49" s="453"/>
      <c r="C49" s="453"/>
      <c r="D49" s="453"/>
      <c r="E49" s="453"/>
      <c r="F49" s="453"/>
      <c r="G49" s="453"/>
      <c r="H49" s="453"/>
      <c r="I49" s="454"/>
      <c r="J49" s="459"/>
      <c r="K49" s="460"/>
      <c r="L49" s="460"/>
      <c r="M49" s="460"/>
      <c r="N49" s="461" t="str">
        <f ca="1">IFERROR(VLOOKUP(J49,OFFSET($BN$2,,,COUNTIF($BN$2:$BN$11,"?*"),5),3,FALSE),"")</f>
        <v/>
      </c>
      <c r="O49" s="461"/>
      <c r="P49" s="461"/>
      <c r="Q49" s="461"/>
      <c r="R49" s="462"/>
      <c r="S49" s="111" t="s">
        <v>781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2"/>
      <c r="B50" s="455"/>
      <c r="C50" s="455"/>
      <c r="D50" s="455"/>
      <c r="E50" s="455"/>
      <c r="F50" s="455"/>
      <c r="G50" s="455"/>
      <c r="H50" s="455"/>
      <c r="I50" s="456"/>
      <c r="J50" s="119" t="str">
        <f ca="1">IFERROR(VLOOKUP(J49,OFFSET($BN$2,,,COUNTIF($BN$2:$BN$11,"?*"),5),5,FALSE),"")</f>
        <v/>
      </c>
      <c r="K50" s="457" t="str">
        <f ca="1">IFERROR(IF(VLOOKUP(J49,OFFSET($BN$2,,,COUNTIF($BN$2:$BN$11,"?*"),5),4,FALSE)&lt;&gt;0,VLOOKUP(J49,OFFSET($BN$2,,,COUNTIF($BN$2:$BN$11,"?*"),5),4,FALSE),"-"),"")</f>
        <v/>
      </c>
      <c r="L50" s="457"/>
      <c r="M50" s="457"/>
      <c r="N50" s="457"/>
      <c r="O50" s="457"/>
      <c r="P50" s="457"/>
      <c r="Q50" s="457"/>
      <c r="R50" s="458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3" priority="12" stopIfTrue="1" operator="equal">
      <formula>"OTR"</formula>
    </cfRule>
    <cfRule type="cellIs" dxfId="62" priority="13" stopIfTrue="1" operator="equal">
      <formula>"PAR"</formula>
    </cfRule>
    <cfRule type="cellIs" dxfId="61" priority="14" stopIfTrue="1" operator="equal">
      <formula>"CLP"</formula>
    </cfRule>
    <cfRule type="cellIs" dxfId="60" priority="15" stopIfTrue="1" operator="equal">
      <formula>"HAT"</formula>
    </cfRule>
    <cfRule type="cellIs" dxfId="59" priority="16" stopIfTrue="1" operator="equal">
      <formula>"LIB"</formula>
    </cfRule>
    <cfRule type="cellIs" dxfId="58" priority="17" stopIfTrue="1" operator="equal">
      <formula>"BA"</formula>
    </cfRule>
    <cfRule type="cellIs" dxfId="57" priority="18" stopIfTrue="1" operator="equal">
      <formula>"SPA"</formula>
    </cfRule>
    <cfRule type="cellIs" dxfId="56" priority="19" stopIfTrue="1" operator="equal">
      <formula>"OST"</formula>
    </cfRule>
    <cfRule type="cellIs" dxfId="55" priority="20" stopIfTrue="1" operator="equal">
      <formula>"BOH"</formula>
    </cfRule>
    <cfRule type="cellIs" dxfId="54" priority="21" stopIfTrue="1" operator="equal">
      <formula>"TAT"</formula>
    </cfRule>
    <cfRule type="cellIs" dxfId="53" priority="22" stopIfTrue="1" operator="equal">
      <formula>"MB"</formula>
    </cfRule>
    <cfRule type="cellIs" dxfId="52" priority="23" stopIfTrue="1" operator="equal">
      <formula>"VIT"</formula>
    </cfRule>
    <cfRule type="cellIs" dxfId="51" priority="24" stopIfTrue="1" operator="equal">
      <formula>"CHO"</formula>
    </cfRule>
    <cfRule type="cellIs" dxfId="50" priority="25" stopIfTrue="1" operator="equal">
      <formula>"SKV"</formula>
    </cfRule>
  </conditionalFormatting>
  <conditionalFormatting sqref="H19:K20">
    <cfRule type="cellIs" dxfId="49" priority="40" stopIfTrue="1" operator="equal">
      <formula>"OTR"</formula>
    </cfRule>
    <cfRule type="cellIs" dxfId="48" priority="41" stopIfTrue="1" operator="equal">
      <formula>"PAR"</formula>
    </cfRule>
    <cfRule type="cellIs" dxfId="47" priority="42" stopIfTrue="1" operator="equal">
      <formula>"CLP"</formula>
    </cfRule>
    <cfRule type="cellIs" dxfId="46" priority="43" stopIfTrue="1" operator="equal">
      <formula>"HAT"</formula>
    </cfRule>
    <cfRule type="cellIs" dxfId="45" priority="44" stopIfTrue="1" operator="equal">
      <formula>"LIB"</formula>
    </cfRule>
    <cfRule type="cellIs" dxfId="44" priority="45" stopIfTrue="1" operator="equal">
      <formula>"BA"</formula>
    </cfRule>
    <cfRule type="cellIs" dxfId="43" priority="46" stopIfTrue="1" operator="equal">
      <formula>"SPA"</formula>
    </cfRule>
    <cfRule type="cellIs" dxfId="42" priority="47" stopIfTrue="1" operator="equal">
      <formula>"OST"</formula>
    </cfRule>
    <cfRule type="cellIs" dxfId="41" priority="48" stopIfTrue="1" operator="equal">
      <formula>"BOH"</formula>
    </cfRule>
    <cfRule type="cellIs" dxfId="40" priority="49" stopIfTrue="1" operator="equal">
      <formula>"TAT"</formula>
    </cfRule>
    <cfRule type="cellIs" dxfId="39" priority="50" stopIfTrue="1" operator="equal">
      <formula>"MB"</formula>
    </cfRule>
    <cfRule type="cellIs" dxfId="38" priority="51" stopIfTrue="1" operator="equal">
      <formula>"VIT"</formula>
    </cfRule>
    <cfRule type="cellIs" dxfId="37" priority="52" stopIfTrue="1" operator="equal">
      <formula>"CHO"</formula>
    </cfRule>
    <cfRule type="cellIs" dxfId="36" priority="53" stopIfTrue="1" operator="equal">
      <formula>"SKV"</formula>
    </cfRule>
  </conditionalFormatting>
  <conditionalFormatting sqref="H8:K9">
    <cfRule type="cellIs" dxfId="35" priority="26" stopIfTrue="1" operator="equal">
      <formula>"OTR"</formula>
    </cfRule>
    <cfRule type="cellIs" dxfId="34" priority="27" stopIfTrue="1" operator="equal">
      <formula>"PAR"</formula>
    </cfRule>
    <cfRule type="cellIs" dxfId="33" priority="28" stopIfTrue="1" operator="equal">
      <formula>"CLP"</formula>
    </cfRule>
    <cfRule type="cellIs" dxfId="32" priority="29" stopIfTrue="1" operator="equal">
      <formula>"HAT"</formula>
    </cfRule>
    <cfRule type="cellIs" dxfId="31" priority="30" stopIfTrue="1" operator="equal">
      <formula>"LIB"</formula>
    </cfRule>
    <cfRule type="cellIs" dxfId="30" priority="31" stopIfTrue="1" operator="equal">
      <formula>"BA"</formula>
    </cfRule>
    <cfRule type="cellIs" dxfId="29" priority="32" stopIfTrue="1" operator="equal">
      <formula>"SPA"</formula>
    </cfRule>
    <cfRule type="cellIs" dxfId="28" priority="33" stopIfTrue="1" operator="equal">
      <formula>"OST"</formula>
    </cfRule>
    <cfRule type="cellIs" dxfId="27" priority="34" stopIfTrue="1" operator="equal">
      <formula>"BOH"</formula>
    </cfRule>
    <cfRule type="cellIs" dxfId="26" priority="35" stopIfTrue="1" operator="equal">
      <formula>"TAT"</formula>
    </cfRule>
    <cfRule type="cellIs" dxfId="25" priority="36" stopIfTrue="1" operator="equal">
      <formula>"MB"</formula>
    </cfRule>
    <cfRule type="cellIs" dxfId="24" priority="37" stopIfTrue="1" operator="equal">
      <formula>"VIT"</formula>
    </cfRule>
    <cfRule type="cellIs" dxfId="23" priority="38" stopIfTrue="1" operator="equal">
      <formula>"CHO"</formula>
    </cfRule>
    <cfRule type="cellIs" dxfId="22" priority="39" stopIfTrue="1" operator="equal">
      <formula>"SKV"</formula>
    </cfRule>
  </conditionalFormatting>
  <conditionalFormatting sqref="S2:S42">
    <cfRule type="expression" dxfId="21" priority="10" stopIfTrue="1">
      <formula>IFERROR(IF(VLOOKUP($S2,OFFSET($AG$2,,,COUNTIF($AG$2:$AG$50,"?*")),1,FALSE)&lt;&gt;0,1,0),0)&gt;0</formula>
    </cfRule>
  </conditionalFormatting>
  <conditionalFormatting sqref="S2:S42">
    <cfRule type="expression" dxfId="20" priority="11">
      <formula>IFERROR(IF(VLOOKUP($S2,OFFSET($AG$2,,,COUNTIF($AG$2:$AG$50,"?*")),1,FALSE)&lt;&gt;0,1,0),0)=0</formula>
    </cfRule>
  </conditionalFormatting>
  <conditionalFormatting sqref="S45:S50">
    <cfRule type="expression" dxfId="19" priority="9">
      <formula>IFERROR(IF(VLOOKUP($S45,OFFSET($AG$2,,,COUNTIF($AG$2:$AG$50,"?*")),1,FALSE)&lt;&gt;0,1,0),0)&gt;0</formula>
    </cfRule>
  </conditionalFormatting>
  <conditionalFormatting sqref="S45:S50">
    <cfRule type="expression" dxfId="18" priority="8">
      <formula>IFERROR(IF(VLOOKUP($S45,OFFSET($AG$2,,,COUNTIF($AG$2:$AG$50,"?*")),1,FALSE)&lt;&gt;0,1,0),0)=0</formula>
    </cfRule>
  </conditionalFormatting>
  <conditionalFormatting sqref="AG2:AG50">
    <cfRule type="expression" dxfId="17" priority="5" stopIfTrue="1">
      <formula>OR($AH2="",$AI2="",$AJ2="",$AK2="",$AL2="",$AM2="",$AN2="",$AQ2="",$AR2="",$AS2="",$AT2="")</formula>
    </cfRule>
    <cfRule type="expression" dxfId="16" priority="6" stopIfTrue="1">
      <formula>IFERROR(IF(VLOOKUP($AG2,OFFSET($S$2,,,COUNTIF($S$2:$S$42,"?*")),1,FALSE)&lt;&gt;0,1,0),0)=0</formula>
    </cfRule>
    <cfRule type="expression" dxfId="15" priority="7">
      <formula>IFERROR(IF(VLOOKUP($AG2,OFFSET($S$2,,,COUNTIF($S$2:$S$42,"?*")),1,FALSE)&lt;&gt;0,1,0),0)&gt;0</formula>
    </cfRule>
  </conditionalFormatting>
  <conditionalFormatting sqref="AG2:AK50 AM2:BC50">
    <cfRule type="expression" dxfId="14" priority="4">
      <formula>AND($AG2&lt;&gt;"",MOD(ROW($AG2),2)=0)</formula>
    </cfRule>
  </conditionalFormatting>
  <conditionalFormatting sqref="BN2:BR11">
    <cfRule type="expression" dxfId="13" priority="3">
      <formula>AND($BN2&lt;&gt;"",MOD(ROW($BN2),2)=0)</formula>
    </cfRule>
  </conditionalFormatting>
  <conditionalFormatting sqref="AL2:AL50">
    <cfRule type="expression" dxfId="1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Uživatel</cp:lastModifiedBy>
  <cp:lastPrinted>2021-11-26T15:29:21Z</cp:lastPrinted>
  <dcterms:created xsi:type="dcterms:W3CDTF">2021-09-13T20:56:50Z</dcterms:created>
  <dcterms:modified xsi:type="dcterms:W3CDTF">2021-11-26T15:29:49Z</dcterms:modified>
</cp:coreProperties>
</file>