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priprava_BOH!$S$2:$AB$22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priprava_CLP!$S$2:$AB$21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priprava_CHO!$S$45:$AD$46</definedName>
    <definedName name="CHO_matches_1" localSheetId="11">priprava_CHO!$BY$2:$CA$12</definedName>
    <definedName name="CHO_players_1" localSheetId="11">priprava_CHO!$S$2:$AB$23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priprava_OTR!$S$45:$AD$46</definedName>
    <definedName name="OTR_matches" localSheetId="15">priprava_OTR!$BY$2:$CA$12</definedName>
    <definedName name="OTR_players" localSheetId="15">priprava_OTR!$S$2:$AB$21</definedName>
    <definedName name="PAR_bestof" localSheetId="16">priprava_PAR!$BT$2:$BU$31</definedName>
    <definedName name="PAR_goalies" localSheetId="16">priprava_PAR!$S$45:$AD$46</definedName>
    <definedName name="PAR_matches" localSheetId="16">priprava_PAR!$BY$2:$CA$12</definedName>
    <definedName name="PAR_players" localSheetId="16">priprava_PAR!$S$2:$AB$21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priprava_SKV!$S$2:$AB$23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priprava_SPA!$S$2:$AB$21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priprava_TAT!$S$2:$AB$22</definedName>
    <definedName name="VIT_bestof" localSheetId="19">priprava_VIT!$BT$2:$BU$31</definedName>
    <definedName name="VIT_goalies" localSheetId="19">priprava_VIT!$S$45:$AD$47</definedName>
    <definedName name="VIT_matches" localSheetId="19">priprava_VIT!$BY$2:$CA$12</definedName>
    <definedName name="VIT_players" localSheetId="19">priprava_VIT!$S$2:$AB$22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C4" i="19" l="1"/>
  <c r="D4" i="19"/>
  <c r="E4" i="19"/>
  <c r="F4" i="19"/>
  <c r="C5" i="19"/>
  <c r="D5" i="19"/>
  <c r="E5" i="19"/>
  <c r="F5" i="19"/>
  <c r="C6" i="19"/>
  <c r="D6" i="19"/>
  <c r="E6" i="19"/>
  <c r="F6" i="19"/>
  <c r="B6" i="19"/>
  <c r="B5" i="19"/>
  <c r="B4" i="19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A20" i="19"/>
  <c r="A17" i="19"/>
  <c r="A18" i="19"/>
  <c r="A22" i="19"/>
  <c r="A10" i="19"/>
  <c r="A15" i="19"/>
  <c r="A9" i="19"/>
  <c r="A14" i="19"/>
  <c r="A19" i="19"/>
  <c r="A12" i="19"/>
  <c r="G1" i="19" l="1"/>
  <c r="A1" i="19"/>
  <c r="A4" i="19" s="1"/>
  <c r="G17" i="19"/>
  <c r="G22" i="19"/>
  <c r="G25" i="19"/>
  <c r="E12" i="19"/>
  <c r="G24" i="19"/>
  <c r="C19" i="19"/>
  <c r="D10" i="19"/>
  <c r="F22" i="19"/>
  <c r="E19" i="19"/>
  <c r="C20" i="19"/>
  <c r="F18" i="19"/>
  <c r="D15" i="19"/>
  <c r="F14" i="19"/>
  <c r="B20" i="19"/>
  <c r="B15" i="19"/>
  <c r="A13" i="19"/>
  <c r="A21" i="19"/>
  <c r="A16" i="19"/>
  <c r="G15" i="19"/>
  <c r="G21" i="19"/>
  <c r="G31" i="19"/>
  <c r="A27" i="19"/>
  <c r="A23" i="19"/>
  <c r="E18" i="19"/>
  <c r="G23" i="19"/>
  <c r="G9" i="19"/>
  <c r="D19" i="19"/>
  <c r="C12" i="19"/>
  <c r="A24" i="19"/>
  <c r="G16" i="19"/>
  <c r="G29" i="19"/>
  <c r="D18" i="19"/>
  <c r="C9" i="19"/>
  <c r="G27" i="19"/>
  <c r="B17" i="19"/>
  <c r="G14" i="19"/>
  <c r="G8" i="19"/>
  <c r="D17" i="19"/>
  <c r="G13" i="19"/>
  <c r="F9" i="19"/>
  <c r="C22" i="19"/>
  <c r="E22" i="19"/>
  <c r="B10" i="19"/>
  <c r="C18" i="19"/>
  <c r="A26" i="19"/>
  <c r="C17" i="19"/>
  <c r="F19" i="19"/>
  <c r="G10" i="19"/>
  <c r="G11" i="19"/>
  <c r="A29" i="19"/>
  <c r="B9" i="19"/>
  <c r="A11" i="19"/>
  <c r="B14" i="19"/>
  <c r="B18" i="19"/>
  <c r="G18" i="19"/>
  <c r="F10" i="19"/>
  <c r="C10" i="19"/>
  <c r="G30" i="19"/>
  <c r="D20" i="19"/>
  <c r="D14" i="19"/>
  <c r="G19" i="19"/>
  <c r="D12" i="19"/>
  <c r="E20" i="19"/>
  <c r="B19" i="19"/>
  <c r="A8" i="19"/>
  <c r="A30" i="19"/>
  <c r="C14" i="19"/>
  <c r="C15" i="19"/>
  <c r="G12" i="19"/>
  <c r="F20" i="19"/>
  <c r="E14" i="19"/>
  <c r="B12" i="19"/>
  <c r="F17" i="19"/>
  <c r="F12" i="19"/>
  <c r="E15" i="19"/>
  <c r="A31" i="19"/>
  <c r="E10" i="19"/>
  <c r="G26" i="19"/>
  <c r="A25" i="19"/>
  <c r="D22" i="19"/>
  <c r="F15" i="19"/>
  <c r="E17" i="19"/>
  <c r="G20" i="19"/>
  <c r="E9" i="19"/>
  <c r="D9" i="19"/>
  <c r="B22" i="19"/>
  <c r="G4" i="19" l="1"/>
  <c r="X15" i="3"/>
  <c r="AB15" i="3"/>
  <c r="AC15" i="3"/>
  <c r="X16" i="3"/>
  <c r="AB16" i="3"/>
  <c r="AC16" i="3"/>
  <c r="X17" i="3"/>
  <c r="AB17" i="3"/>
  <c r="AC17" i="3"/>
  <c r="X18" i="3"/>
  <c r="AB18" i="3"/>
  <c r="AC18" i="3"/>
  <c r="K15" i="19"/>
  <c r="C13" i="19"/>
  <c r="J29" i="19"/>
  <c r="B27" i="19"/>
  <c r="L21" i="19"/>
  <c r="D25" i="19"/>
  <c r="K13" i="19"/>
  <c r="J8" i="19"/>
  <c r="K20" i="19"/>
  <c r="H12" i="19"/>
  <c r="H10" i="19"/>
  <c r="J9" i="19"/>
  <c r="I15" i="19"/>
  <c r="L17" i="19"/>
  <c r="B13" i="19"/>
  <c r="K16" i="19"/>
  <c r="D8" i="19"/>
  <c r="E26" i="19"/>
  <c r="B30" i="19"/>
  <c r="C16" i="19"/>
  <c r="F27" i="19"/>
  <c r="B8" i="19"/>
  <c r="K21" i="19"/>
  <c r="C24" i="19"/>
  <c r="C11" i="19"/>
  <c r="L27" i="19"/>
  <c r="J24" i="19"/>
  <c r="L31" i="19"/>
  <c r="D29" i="19"/>
  <c r="E27" i="19"/>
  <c r="I9" i="19"/>
  <c r="J21" i="19"/>
  <c r="C26" i="19"/>
  <c r="F21" i="19"/>
  <c r="K30" i="19"/>
  <c r="J19" i="19"/>
  <c r="B11" i="19"/>
  <c r="I13" i="19"/>
  <c r="H13" i="19"/>
  <c r="J20" i="19"/>
  <c r="K19" i="19"/>
  <c r="K10" i="19"/>
  <c r="L9" i="19"/>
  <c r="L15" i="19"/>
  <c r="J17" i="19"/>
  <c r="K23" i="19"/>
  <c r="D30" i="19"/>
  <c r="L25" i="19"/>
  <c r="C21" i="19"/>
  <c r="F30" i="19"/>
  <c r="J13" i="19"/>
  <c r="L16" i="19"/>
  <c r="D31" i="19"/>
  <c r="C27" i="19"/>
  <c r="K8" i="19"/>
  <c r="E23" i="19"/>
  <c r="L29" i="19"/>
  <c r="F29" i="19"/>
  <c r="K29" i="19"/>
  <c r="B26" i="19"/>
  <c r="F13" i="19"/>
  <c r="K25" i="19"/>
  <c r="J14" i="19"/>
  <c r="I23" i="19"/>
  <c r="K18" i="19"/>
  <c r="E21" i="19"/>
  <c r="J11" i="19"/>
  <c r="H14" i="19"/>
  <c r="I21" i="19"/>
  <c r="B21" i="19"/>
  <c r="B25" i="19"/>
  <c r="H20" i="19"/>
  <c r="L19" i="19"/>
  <c r="L10" i="19"/>
  <c r="H9" i="19"/>
  <c r="J22" i="19"/>
  <c r="I17" i="19"/>
  <c r="I8" i="19"/>
  <c r="I24" i="19"/>
  <c r="E29" i="19"/>
  <c r="L18" i="19"/>
  <c r="B24" i="19"/>
  <c r="J18" i="19"/>
  <c r="B16" i="19"/>
  <c r="I16" i="19"/>
  <c r="D26" i="19"/>
  <c r="K26" i="19"/>
  <c r="C29" i="19"/>
  <c r="L11" i="19"/>
  <c r="L24" i="19"/>
  <c r="H26" i="19"/>
  <c r="H29" i="19"/>
  <c r="D24" i="19"/>
  <c r="K11" i="19"/>
  <c r="L20" i="19"/>
  <c r="I19" i="19"/>
  <c r="I22" i="19"/>
  <c r="H17" i="19"/>
  <c r="C23" i="19"/>
  <c r="F26" i="19"/>
  <c r="H11" i="19"/>
  <c r="H23" i="19"/>
  <c r="H25" i="19"/>
  <c r="J25" i="19"/>
  <c r="C25" i="19"/>
  <c r="H15" i="19"/>
  <c r="I18" i="19"/>
  <c r="H18" i="19"/>
  <c r="D11" i="19"/>
  <c r="L23" i="19"/>
  <c r="C8" i="19"/>
  <c r="I29" i="19"/>
  <c r="L22" i="19"/>
  <c r="K27" i="19"/>
  <c r="E11" i="19"/>
  <c r="D23" i="19"/>
  <c r="I12" i="19"/>
  <c r="H19" i="19"/>
  <c r="K14" i="19"/>
  <c r="K9" i="19"/>
  <c r="K22" i="19"/>
  <c r="F31" i="19"/>
  <c r="I26" i="19"/>
  <c r="E8" i="19"/>
  <c r="H16" i="19"/>
  <c r="D13" i="19"/>
  <c r="D21" i="19"/>
  <c r="J23" i="19"/>
  <c r="H21" i="19"/>
  <c r="L13" i="19"/>
  <c r="D27" i="19"/>
  <c r="L8" i="19"/>
  <c r="H8" i="19"/>
  <c r="C31" i="19"/>
  <c r="E13" i="19"/>
  <c r="I27" i="19"/>
  <c r="F24" i="19"/>
  <c r="E25" i="19"/>
  <c r="K12" i="19"/>
  <c r="F11" i="19"/>
  <c r="K24" i="19"/>
  <c r="J12" i="19"/>
  <c r="J10" i="19"/>
  <c r="L14" i="19"/>
  <c r="J15" i="19"/>
  <c r="H22" i="19"/>
  <c r="H24" i="19"/>
  <c r="F8" i="19"/>
  <c r="H30" i="19"/>
  <c r="D16" i="19"/>
  <c r="K31" i="19"/>
  <c r="J16" i="19"/>
  <c r="H31" i="19"/>
  <c r="B29" i="19"/>
  <c r="L26" i="19"/>
  <c r="E30" i="19"/>
  <c r="I30" i="19"/>
  <c r="E31" i="19"/>
  <c r="J30" i="19"/>
  <c r="B23" i="19"/>
  <c r="J31" i="19"/>
  <c r="J27" i="19"/>
  <c r="I31" i="19"/>
  <c r="I20" i="19"/>
  <c r="L12" i="19"/>
  <c r="I10" i="19"/>
  <c r="I14" i="19"/>
  <c r="K17" i="19"/>
  <c r="E16" i="19"/>
  <c r="F25" i="19"/>
  <c r="J26" i="19"/>
  <c r="F16" i="19"/>
  <c r="B31" i="19"/>
  <c r="C30" i="19"/>
  <c r="H27" i="19"/>
  <c r="I11" i="19"/>
  <c r="F23" i="19"/>
  <c r="I25" i="19"/>
  <c r="L30" i="19"/>
  <c r="E24" i="19"/>
  <c r="K45" i="3" l="1"/>
  <c r="O45" i="3"/>
  <c r="P45" i="3"/>
  <c r="K46" i="3"/>
  <c r="O46" i="3"/>
  <c r="P46" i="3"/>
  <c r="K47" i="3"/>
  <c r="O47" i="3"/>
  <c r="P47" i="3"/>
  <c r="K48" i="3"/>
  <c r="O48" i="3"/>
  <c r="P48" i="3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Y36" i="18"/>
  <c r="AX36" i="18"/>
  <c r="AV36" i="18"/>
  <c r="AU36" i="18"/>
  <c r="AL36" i="18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D41" i="14"/>
  <c r="AX41" i="14"/>
  <c r="AV2" i="14"/>
  <c r="AU2" i="14"/>
  <c r="AL2" i="14"/>
  <c r="AY41" i="14" s="1"/>
  <c r="AC41" i="14"/>
  <c r="E41" i="14"/>
  <c r="D41" i="14"/>
  <c r="B41" i="14"/>
  <c r="A41" i="14"/>
  <c r="BF40" i="14"/>
  <c r="BD40" i="14"/>
  <c r="AX40" i="14"/>
  <c r="AV24" i="14"/>
  <c r="AU24" i="14"/>
  <c r="AL24" i="14"/>
  <c r="AC40" i="14"/>
  <c r="F40" i="14"/>
  <c r="E40" i="14"/>
  <c r="BF39" i="14"/>
  <c r="BD39" i="14"/>
  <c r="AX39" i="14"/>
  <c r="AV9" i="14"/>
  <c r="AU9" i="14"/>
  <c r="AL9" i="14"/>
  <c r="AC39" i="14"/>
  <c r="BF38" i="14"/>
  <c r="BD38" i="14"/>
  <c r="AX38" i="14"/>
  <c r="AV29" i="14"/>
  <c r="AU29" i="14"/>
  <c r="AL29" i="14"/>
  <c r="AC38" i="14"/>
  <c r="R38" i="14"/>
  <c r="Q38" i="14"/>
  <c r="F38" i="14"/>
  <c r="D38" i="14"/>
  <c r="A38" i="14"/>
  <c r="BF37" i="14"/>
  <c r="BD37" i="14"/>
  <c r="AX37" i="14"/>
  <c r="AV10" i="14"/>
  <c r="AU10" i="14"/>
  <c r="AL10" i="14"/>
  <c r="AC37" i="14"/>
  <c r="E37" i="14"/>
  <c r="C37" i="14"/>
  <c r="A37" i="14"/>
  <c r="BF36" i="14"/>
  <c r="BD36" i="14"/>
  <c r="AX36" i="14"/>
  <c r="AV41" i="14"/>
  <c r="AU41" i="14"/>
  <c r="AL41" i="14"/>
  <c r="AC36" i="14"/>
  <c r="F36" i="14"/>
  <c r="D36" i="14"/>
  <c r="B36" i="14"/>
  <c r="A36" i="14"/>
  <c r="BF35" i="14"/>
  <c r="BD35" i="14"/>
  <c r="AX35" i="14"/>
  <c r="AV40" i="14"/>
  <c r="AU40" i="14"/>
  <c r="AL40" i="14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9" i="14"/>
  <c r="AU39" i="14"/>
  <c r="AL39" i="14"/>
  <c r="AC34" i="14"/>
  <c r="F34" i="14"/>
  <c r="E34" i="14"/>
  <c r="BF33" i="14"/>
  <c r="BD33" i="14"/>
  <c r="AX33" i="14"/>
  <c r="AV38" i="14"/>
  <c r="AU38" i="14"/>
  <c r="AL38" i="14"/>
  <c r="AY38" i="14" s="1"/>
  <c r="AC33" i="14"/>
  <c r="BF32" i="14"/>
  <c r="BD32" i="14"/>
  <c r="AX32" i="14"/>
  <c r="AV37" i="14"/>
  <c r="AU37" i="14"/>
  <c r="AL37" i="14"/>
  <c r="AC32" i="14"/>
  <c r="BW31" i="14"/>
  <c r="BV31" i="14"/>
  <c r="BF31" i="14"/>
  <c r="BD31" i="14"/>
  <c r="AX31" i="14"/>
  <c r="AV36" i="14"/>
  <c r="AU36" i="14"/>
  <c r="AL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L35" i="14"/>
  <c r="AC30" i="14"/>
  <c r="P30" i="14"/>
  <c r="M30" i="14"/>
  <c r="H30" i="14"/>
  <c r="D30" i="14"/>
  <c r="A30" i="14"/>
  <c r="BW29" i="14"/>
  <c r="BV29" i="14"/>
  <c r="BF29" i="14"/>
  <c r="BD29" i="14"/>
  <c r="AX29" i="14"/>
  <c r="AV34" i="14"/>
  <c r="AU34" i="14"/>
  <c r="AL34" i="14"/>
  <c r="AY29" i="14" s="1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33" i="14"/>
  <c r="AU33" i="14"/>
  <c r="AL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L32" i="14"/>
  <c r="AC27" i="14"/>
  <c r="J27" i="14"/>
  <c r="G27" i="14"/>
  <c r="BW26" i="14"/>
  <c r="BV26" i="14"/>
  <c r="BF26" i="14"/>
  <c r="BD26" i="14"/>
  <c r="AX26" i="14"/>
  <c r="AV31" i="14"/>
  <c r="AU31" i="14"/>
  <c r="AL31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30" i="14"/>
  <c r="AU30" i="14"/>
  <c r="AL30" i="14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8" i="14"/>
  <c r="AU28" i="14"/>
  <c r="AL28" i="14"/>
  <c r="AY24" i="14" s="1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7" i="14"/>
  <c r="AU27" i="14"/>
  <c r="AL27" i="14"/>
  <c r="AC23" i="14"/>
  <c r="R23" i="14"/>
  <c r="Q23" i="14"/>
  <c r="F23" i="14"/>
  <c r="E23" i="14"/>
  <c r="BW22" i="14"/>
  <c r="BV22" i="14"/>
  <c r="BF22" i="14"/>
  <c r="BD22" i="14"/>
  <c r="AX22" i="14"/>
  <c r="AV26" i="14"/>
  <c r="AU26" i="14"/>
  <c r="AL26" i="14"/>
  <c r="AC22" i="14"/>
  <c r="BW21" i="14"/>
  <c r="BV21" i="14"/>
  <c r="BF21" i="14"/>
  <c r="BD21" i="14"/>
  <c r="AX21" i="14"/>
  <c r="AV25" i="14"/>
  <c r="AU25" i="14"/>
  <c r="AL25" i="14"/>
  <c r="AC21" i="14"/>
  <c r="BW20" i="14"/>
  <c r="BV20" i="14"/>
  <c r="BF20" i="14"/>
  <c r="BD20" i="14"/>
  <c r="AX20" i="14"/>
  <c r="AV23" i="14"/>
  <c r="AU23" i="14"/>
  <c r="AL23" i="14"/>
  <c r="AY20" i="14" s="1"/>
  <c r="AC20" i="14"/>
  <c r="R20" i="14"/>
  <c r="P20" i="14"/>
  <c r="M20" i="14"/>
  <c r="BW19" i="14"/>
  <c r="BV19" i="14"/>
  <c r="BF19" i="14"/>
  <c r="BD19" i="14"/>
  <c r="AX19" i="14"/>
  <c r="AV22" i="14"/>
  <c r="AU22" i="14"/>
  <c r="AL22" i="14"/>
  <c r="AY19" i="14" s="1"/>
  <c r="AC19" i="14"/>
  <c r="P19" i="14"/>
  <c r="M19" i="14"/>
  <c r="H19" i="14"/>
  <c r="BW18" i="14"/>
  <c r="BV18" i="14"/>
  <c r="BF18" i="14"/>
  <c r="BD18" i="14"/>
  <c r="AX18" i="14"/>
  <c r="AV21" i="14"/>
  <c r="AU21" i="14"/>
  <c r="AL21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20" i="14"/>
  <c r="AU20" i="14"/>
  <c r="AL20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9" i="14"/>
  <c r="AU19" i="14"/>
  <c r="AL19" i="14"/>
  <c r="AC16" i="14"/>
  <c r="J16" i="14"/>
  <c r="G16" i="14"/>
  <c r="BW15" i="14"/>
  <c r="BV15" i="14"/>
  <c r="BF15" i="14"/>
  <c r="BD15" i="14"/>
  <c r="AX15" i="14"/>
  <c r="AV18" i="14"/>
  <c r="AU18" i="14"/>
  <c r="AL18" i="14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7" i="14"/>
  <c r="AU17" i="14"/>
  <c r="AL17" i="14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6" i="14"/>
  <c r="AU16" i="14"/>
  <c r="AL16" i="14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5" i="14"/>
  <c r="AU15" i="14"/>
  <c r="AL15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4" i="14"/>
  <c r="AU14" i="14"/>
  <c r="AL14" i="14"/>
  <c r="AC11" i="14"/>
  <c r="BW10" i="14"/>
  <c r="BV10" i="14"/>
  <c r="BR10" i="14"/>
  <c r="BF10" i="14"/>
  <c r="BD10" i="14"/>
  <c r="AX10" i="14"/>
  <c r="AV13" i="14"/>
  <c r="AU13" i="14"/>
  <c r="AL13" i="14"/>
  <c r="AC10" i="14"/>
  <c r="BW9" i="14"/>
  <c r="BV9" i="14"/>
  <c r="BR9" i="14"/>
  <c r="BF9" i="14"/>
  <c r="BD9" i="14"/>
  <c r="AX9" i="14"/>
  <c r="AV12" i="14"/>
  <c r="AU12" i="14"/>
  <c r="AL12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11" i="14"/>
  <c r="AU11" i="14"/>
  <c r="AL11" i="14"/>
  <c r="AC8" i="14"/>
  <c r="P8" i="14"/>
  <c r="M8" i="14"/>
  <c r="D8" i="14"/>
  <c r="A8" i="14"/>
  <c r="BW7" i="14"/>
  <c r="BV7" i="14"/>
  <c r="BR7" i="14"/>
  <c r="BF7" i="14"/>
  <c r="BD7" i="14"/>
  <c r="AX7" i="14"/>
  <c r="AV8" i="14"/>
  <c r="AU8" i="14"/>
  <c r="AL8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7" i="14"/>
  <c r="AU7" i="14"/>
  <c r="AL7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6" i="14"/>
  <c r="AU6" i="14"/>
  <c r="AL6" i="14"/>
  <c r="AC5" i="14"/>
  <c r="J5" i="14"/>
  <c r="G5" i="14"/>
  <c r="BW4" i="14"/>
  <c r="BV4" i="14"/>
  <c r="BR4" i="14"/>
  <c r="BF4" i="14"/>
  <c r="BD4" i="14"/>
  <c r="AX4" i="14"/>
  <c r="AV5" i="14"/>
  <c r="AU5" i="14"/>
  <c r="AL5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4" i="14"/>
  <c r="AU4" i="14"/>
  <c r="AL4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3" i="14"/>
  <c r="AU3" i="14"/>
  <c r="AL3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9" i="17" l="1"/>
  <c r="AY17" i="16"/>
  <c r="AY8" i="14"/>
  <c r="AY17" i="14"/>
  <c r="AY13" i="14"/>
  <c r="AY30" i="14"/>
  <c r="AY32" i="14"/>
  <c r="AY34" i="14"/>
  <c r="AY40" i="14"/>
  <c r="AY15" i="14"/>
  <c r="AY36" i="14"/>
  <c r="AY22" i="14"/>
  <c r="AY26" i="14"/>
  <c r="BE40" i="14"/>
  <c r="AY6" i="14"/>
  <c r="AY21" i="14"/>
  <c r="AY7" i="14"/>
  <c r="AY10" i="14"/>
  <c r="AY14" i="14"/>
  <c r="AY31" i="14"/>
  <c r="AY33" i="14"/>
  <c r="AY35" i="14"/>
  <c r="AY37" i="14"/>
  <c r="AY11" i="14"/>
  <c r="AY27" i="14"/>
  <c r="AY28" i="14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AY16" i="14"/>
  <c r="BG40" i="14"/>
  <c r="BH40" i="14" s="1"/>
  <c r="BI40" i="14" s="1"/>
  <c r="BJ40" i="14" s="1"/>
  <c r="BK40" i="14" s="1"/>
  <c r="BL40" i="14" s="1"/>
  <c r="BM40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9" i="14"/>
  <c r="BG30" i="14"/>
  <c r="BH30" i="14" s="1"/>
  <c r="BI30" i="14" s="1"/>
  <c r="BJ30" i="14" s="1"/>
  <c r="BK30" i="14" s="1"/>
  <c r="BL30" i="14" s="1"/>
  <c r="BM30" i="14" s="1"/>
  <c r="AW35" i="14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AW4" i="14" s="1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AW33" i="14" s="1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C37" i="11"/>
  <c r="A37" i="11"/>
  <c r="BF36" i="11"/>
  <c r="BD36" i="11"/>
  <c r="BE36" i="11" s="1"/>
  <c r="AY36" i="11"/>
  <c r="AX36" i="11"/>
  <c r="AV36" i="11"/>
  <c r="AU36" i="11"/>
  <c r="AL36" i="11"/>
  <c r="AC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L7" i="6"/>
  <c r="AL8" i="6"/>
  <c r="AY8" i="6" s="1"/>
  <c r="AL9" i="6"/>
  <c r="AL10" i="6"/>
  <c r="AY10" i="6" s="1"/>
  <c r="AL11" i="6"/>
  <c r="AL12" i="6"/>
  <c r="AY12" i="6" s="1"/>
  <c r="AL13" i="6"/>
  <c r="AL14" i="6"/>
  <c r="AL15" i="6"/>
  <c r="AL16" i="6"/>
  <c r="AY16" i="6" s="1"/>
  <c r="AL17" i="6"/>
  <c r="AL18" i="6"/>
  <c r="AL19" i="6"/>
  <c r="AL20" i="6"/>
  <c r="AY20" i="6" s="1"/>
  <c r="AL21" i="6"/>
  <c r="AL22" i="6"/>
  <c r="AL23" i="6"/>
  <c r="AL24" i="6"/>
  <c r="AY24" i="6" s="1"/>
  <c r="AL25" i="6"/>
  <c r="AL26" i="6"/>
  <c r="AL27" i="6"/>
  <c r="AL28" i="6"/>
  <c r="AY28" i="6" s="1"/>
  <c r="AL29" i="6"/>
  <c r="AL30" i="6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E8" i="5"/>
  <c r="J8" i="5"/>
  <c r="N8" i="5"/>
  <c r="B8" i="5"/>
  <c r="C8" i="5"/>
  <c r="L8" i="5"/>
  <c r="D8" i="5"/>
  <c r="O8" i="5"/>
  <c r="H8" i="5"/>
  <c r="M8" i="5"/>
  <c r="B3" i="5"/>
  <c r="G8" i="5"/>
  <c r="K8" i="5"/>
  <c r="F8" i="5"/>
  <c r="I8" i="5"/>
  <c r="AW36" i="14" l="1"/>
  <c r="AW8" i="14"/>
  <c r="AW25" i="14"/>
  <c r="AW13" i="14"/>
  <c r="AW27" i="14"/>
  <c r="AW24" i="14"/>
  <c r="AW17" i="14"/>
  <c r="AW32" i="14"/>
  <c r="AW10" i="14"/>
  <c r="AW3" i="14"/>
  <c r="AW29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BI39" i="14" s="1"/>
  <c r="BJ39" i="14" s="1"/>
  <c r="BK39" i="14" s="1"/>
  <c r="BL39" i="14" s="1"/>
  <c r="BM39" i="14" s="1"/>
  <c r="AW9" i="14"/>
  <c r="BG31" i="14"/>
  <c r="BH31" i="14" s="1"/>
  <c r="BI31" i="14" s="1"/>
  <c r="BJ31" i="14" s="1"/>
  <c r="BK31" i="14" s="1"/>
  <c r="BL31" i="14" s="1"/>
  <c r="BM31" i="14" s="1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8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8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11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9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2" i="14"/>
  <c r="BG9" i="14"/>
  <c r="BH9" i="14" s="1"/>
  <c r="BI9" i="14" s="1"/>
  <c r="BJ9" i="14" s="1"/>
  <c r="BK9" i="14" s="1"/>
  <c r="BL9" i="14" s="1"/>
  <c r="BM9" i="14" s="1"/>
  <c r="AW16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2" i="14"/>
  <c r="BG25" i="14"/>
  <c r="BH25" i="14" s="1"/>
  <c r="BI25" i="14" s="1"/>
  <c r="BJ25" i="14" s="1"/>
  <c r="BK25" i="14" s="1"/>
  <c r="BL25" i="14" s="1"/>
  <c r="BM25" i="14" s="1"/>
  <c r="AW30" i="14"/>
  <c r="AW7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3" i="14"/>
  <c r="AW20" i="14"/>
  <c r="BG17" i="14"/>
  <c r="BH17" i="14" s="1"/>
  <c r="BI17" i="14" s="1"/>
  <c r="BJ17" i="14" s="1"/>
  <c r="BK17" i="14" s="1"/>
  <c r="BL17" i="14" s="1"/>
  <c r="BM17" i="14" s="1"/>
  <c r="AW21" i="14"/>
  <c r="BG18" i="14"/>
  <c r="BH18" i="14" s="1"/>
  <c r="BI18" i="14" s="1"/>
  <c r="BJ18" i="14" s="1"/>
  <c r="BK18" i="14" s="1"/>
  <c r="BL18" i="14" s="1"/>
  <c r="BM18" i="14" s="1"/>
  <c r="AW15" i="14"/>
  <c r="BG12" i="14"/>
  <c r="BH12" i="14" s="1"/>
  <c r="BI12" i="14" s="1"/>
  <c r="BJ12" i="14" s="1"/>
  <c r="BK12" i="14" s="1"/>
  <c r="BL12" i="14" s="1"/>
  <c r="BM12" i="14" s="1"/>
  <c r="AW31" i="14"/>
  <c r="BG26" i="14"/>
  <c r="BH26" i="14" s="1"/>
  <c r="BI26" i="14" s="1"/>
  <c r="BJ26" i="14" s="1"/>
  <c r="BK26" i="14" s="1"/>
  <c r="BL26" i="14" s="1"/>
  <c r="BM26" i="14" s="1"/>
  <c r="AW14" i="14"/>
  <c r="BG11" i="14"/>
  <c r="BH11" i="14" s="1"/>
  <c r="BI11" i="14" s="1"/>
  <c r="BJ11" i="14" s="1"/>
  <c r="BK11" i="14" s="1"/>
  <c r="BL11" i="14" s="1"/>
  <c r="BM11" i="14" s="1"/>
  <c r="AW26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G27" i="6" l="1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5" i="14"/>
  <c r="BI5" i="14"/>
  <c r="BJ5" i="14" s="1"/>
  <c r="BK5" i="14" s="1"/>
  <c r="BL5" i="14" s="1"/>
  <c r="BM5" i="14" s="1"/>
  <c r="AW6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H6" i="5"/>
  <c r="N4" i="5"/>
  <c r="D4" i="5"/>
  <c r="M6" i="5"/>
  <c r="J4" i="5"/>
  <c r="M4" i="5"/>
  <c r="B4" i="5"/>
  <c r="F4" i="5"/>
  <c r="K4" i="5"/>
  <c r="L6" i="5"/>
  <c r="I6" i="5"/>
  <c r="L4" i="5"/>
  <c r="E6" i="5"/>
  <c r="C6" i="5"/>
  <c r="N6" i="5"/>
  <c r="D6" i="5"/>
  <c r="O4" i="5"/>
  <c r="J6" i="5"/>
  <c r="B6" i="5"/>
  <c r="O6" i="5"/>
  <c r="C4" i="5"/>
  <c r="I4" i="5"/>
  <c r="G4" i="5"/>
  <c r="G6" i="5"/>
  <c r="K6" i="5"/>
  <c r="E4" i="5"/>
  <c r="F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Q7" i="4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B7" i="5"/>
  <c r="C2" i="5"/>
  <c r="K3" i="5"/>
  <c r="L7" i="5"/>
  <c r="M2" i="5"/>
  <c r="H2" i="5"/>
  <c r="E2" i="5"/>
  <c r="G3" i="5"/>
  <c r="M3" i="5"/>
  <c r="O7" i="5"/>
  <c r="I5" i="5"/>
  <c r="D2" i="5"/>
  <c r="G5" i="5"/>
  <c r="J3" i="5"/>
  <c r="C3" i="5"/>
  <c r="O3" i="5"/>
  <c r="C5" i="5"/>
  <c r="N7" i="5"/>
  <c r="B5" i="5"/>
  <c r="I3" i="5"/>
  <c r="N3" i="5"/>
  <c r="O5" i="5"/>
  <c r="F5" i="5"/>
  <c r="B2" i="5"/>
  <c r="F7" i="5"/>
  <c r="N2" i="5"/>
  <c r="H5" i="5"/>
  <c r="J5" i="5"/>
  <c r="M7" i="5"/>
  <c r="D5" i="5"/>
  <c r="H7" i="5"/>
  <c r="H3" i="5"/>
  <c r="C7" i="5"/>
  <c r="O2" i="5"/>
  <c r="G2" i="5"/>
  <c r="G7" i="5"/>
  <c r="K7" i="5"/>
  <c r="J7" i="5"/>
  <c r="D3" i="5"/>
  <c r="K5" i="5"/>
  <c r="L3" i="5"/>
  <c r="I7" i="5"/>
  <c r="L2" i="5"/>
  <c r="F2" i="5"/>
  <c r="E5" i="5"/>
  <c r="D7" i="5"/>
  <c r="M5" i="5"/>
  <c r="E3" i="5"/>
  <c r="N5" i="5"/>
  <c r="I2" i="5"/>
  <c r="K2" i="5"/>
  <c r="E7" i="5"/>
  <c r="L5" i="5"/>
  <c r="J2" i="5"/>
  <c r="F3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3" i="3"/>
  <c r="E14" i="3"/>
  <c r="N12" i="3"/>
  <c r="A14" i="3"/>
  <c r="A15" i="3"/>
  <c r="E11" i="3"/>
  <c r="G30" i="3"/>
  <c r="C8" i="3"/>
  <c r="N14" i="3"/>
  <c r="J13" i="3"/>
  <c r="N15" i="3"/>
  <c r="P29" i="3"/>
  <c r="J15" i="3"/>
  <c r="J14" i="3"/>
  <c r="N13" i="3"/>
  <c r="A11" i="3"/>
  <c r="L8" i="3"/>
  <c r="G28" i="3"/>
  <c r="P30" i="3"/>
  <c r="G29" i="3"/>
  <c r="D30" i="3"/>
  <c r="E13" i="3"/>
  <c r="M29" i="3"/>
  <c r="E12" i="3"/>
  <c r="A12" i="3"/>
  <c r="J11" i="3"/>
  <c r="J12" i="3"/>
  <c r="E15" i="3"/>
  <c r="D29" i="3"/>
  <c r="D28" i="3"/>
  <c r="N11" i="3"/>
  <c r="M30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L15" i="3"/>
  <c r="L14" i="3"/>
  <c r="C15" i="3"/>
  <c r="C14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F36" i="1" s="1"/>
  <c r="AF47" i="1"/>
  <c r="AF48" i="1"/>
  <c r="AF49" i="1"/>
  <c r="AF50" i="1"/>
  <c r="AF45" i="1"/>
  <c r="F42" i="1" s="1"/>
  <c r="AE46" i="1"/>
  <c r="C37" i="1" s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G15" i="3"/>
  <c r="G11" i="3"/>
  <c r="P26" i="3"/>
  <c r="P12" i="3"/>
  <c r="L11" i="3"/>
  <c r="P22" i="3"/>
  <c r="C11" i="3"/>
  <c r="P15" i="3"/>
  <c r="G13" i="3"/>
  <c r="P23" i="3"/>
  <c r="M22" i="3"/>
  <c r="L13" i="3"/>
  <c r="J30" i="3"/>
  <c r="M26" i="3"/>
  <c r="M23" i="3"/>
  <c r="C12" i="3"/>
  <c r="J23" i="3"/>
  <c r="G14" i="3"/>
  <c r="J28" i="3"/>
  <c r="C13" i="3"/>
  <c r="P11" i="3"/>
  <c r="G12" i="3"/>
  <c r="P14" i="3"/>
  <c r="L12" i="3"/>
  <c r="P13" i="3"/>
  <c r="L5" i="19" l="1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O23" i="3"/>
  <c r="L28" i="3"/>
  <c r="A30" i="3"/>
  <c r="L30" i="3"/>
  <c r="A22" i="3"/>
  <c r="R23" i="3"/>
  <c r="G23" i="3"/>
  <c r="O22" i="3"/>
  <c r="R26" i="3"/>
  <c r="R22" i="3"/>
  <c r="L23" i="3"/>
  <c r="O26" i="3"/>
  <c r="G19" i="3"/>
  <c r="BI25" i="4" l="1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21" i="3"/>
  <c r="G20" i="3"/>
  <c r="A26" i="3"/>
  <c r="I23" i="3"/>
  <c r="C22" i="3"/>
  <c r="M21" i="3"/>
  <c r="M19" i="3"/>
  <c r="P20" i="3"/>
  <c r="A27" i="3"/>
  <c r="C30" i="3"/>
  <c r="I19" i="3"/>
  <c r="J26" i="3"/>
  <c r="M20" i="3"/>
  <c r="J22" i="3"/>
  <c r="D20" i="3"/>
  <c r="P19" i="3"/>
  <c r="J20" i="3"/>
  <c r="P21" i="3"/>
  <c r="J19" i="3"/>
  <c r="J27" i="3"/>
  <c r="J29" i="3"/>
  <c r="A20" i="3"/>
  <c r="A21" i="3"/>
  <c r="D21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0" i="3"/>
  <c r="G22" i="3"/>
  <c r="I20" i="3"/>
  <c r="L19" i="3"/>
  <c r="A29" i="3"/>
  <c r="A23" i="3"/>
  <c r="L27" i="3"/>
  <c r="R21" i="3"/>
  <c r="D26" i="3"/>
  <c r="C21" i="3"/>
  <c r="D19" i="3"/>
  <c r="D23" i="3"/>
  <c r="O20" i="3"/>
  <c r="D22" i="3"/>
  <c r="O19" i="3"/>
  <c r="L22" i="3"/>
  <c r="F21" i="3"/>
  <c r="G26" i="3"/>
  <c r="R20" i="3"/>
  <c r="C27" i="3"/>
  <c r="G21" i="3"/>
  <c r="F20" i="3"/>
  <c r="R19" i="3"/>
  <c r="L26" i="3"/>
  <c r="C20" i="3"/>
  <c r="O21" i="3"/>
  <c r="L21" i="3"/>
  <c r="L29" i="3"/>
  <c r="A28" i="3"/>
  <c r="A19" i="3"/>
  <c r="C26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I22" i="3"/>
  <c r="F23" i="3"/>
  <c r="C29" i="3"/>
  <c r="C19" i="3"/>
  <c r="I21" i="3"/>
  <c r="C28" i="3"/>
  <c r="C23" i="3"/>
  <c r="F19" i="3"/>
  <c r="I26" i="3"/>
  <c r="F22" i="3"/>
  <c r="F26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8" i="3"/>
  <c r="M27" i="3"/>
  <c r="P28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<sst xmlns="http://schemas.openxmlformats.org/spreadsheetml/2006/main" count="3745" uniqueCount="1135">
  <si>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</si>
  <si>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</si>
  <si>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</si>
  <si>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</si>
  <si>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</si>
  <si>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</si>
  <si>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</si>
  <si>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</si>
  <si>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</si>
  <si>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</si>
  <si>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</si>
  <si>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</si>
  <si>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</si>
  <si>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</si>
  <si>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</si>
  <si>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</si>
  <si>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</si>
  <si>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</si>
  <si>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</si>
  <si>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</si>
  <si>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</si>
  <si>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</si>
  <si>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</si>
  <si>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</si>
  <si>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</si>
  <si>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</si>
  <si>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</si>
  <si>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</si>
  <si>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</si>
  <si>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</si>
  <si>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</si>
  <si>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</si>
  <si>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</si>
  <si>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</si>
  <si>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</si>
  <si>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</si>
  <si>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</si>
  <si>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</si>
  <si>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</si>
  <si>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</si>
  <si>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</si>
  <si>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</si>
  <si>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</si>
  <si>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</si>
  <si>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</si>
  <si>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</si>
  <si>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</si>
  <si>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</si>
  <si>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</si>
  <si>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</si>
  <si>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</si>
  <si>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</si>
  <si>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</si>
  <si>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</si>
  <si>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</si>
  <si>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</si>
  <si>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</si>
  <si>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</si>
  <si>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</si>
  <si>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</si>
  <si>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</si>
  <si>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</si>
  <si>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</si>
  <si>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</si>
  <si>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</si>
  <si>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</si>
  <si>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</si>
  <si>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</si>
  <si>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</si>
  <si>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</si>
  <si>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</si>
  <si>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</si>
  <si>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</si>
  <si>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</si>
  <si>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</si>
  <si>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</si>
  <si>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</si>
  <si>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</si>
  <si>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</si>
  <si>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</si>
  <si>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</si>
  <si>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</si>
  <si>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</si>
  <si>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</si>
  <si>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</si>
  <si>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</si>
  <si>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</si>
  <si>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</si>
  <si>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</si>
  <si>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</si>
  <si>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</si>
  <si>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</si>
  <si>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</si>
  <si>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</si>
  <si>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</si>
  <si>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</si>
  <si>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</si>
  <si>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</si>
  <si>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</si>
  <si>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</si>
  <si>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</si>
  <si>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</si>
  <si>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</si>
  <si>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</si>
  <si>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</si>
  <si>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</si>
  <si>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</si>
  <si>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</si>
  <si>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</si>
  <si>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</si>
  <si>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</si>
  <si>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</si>
  <si>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</si>
  <si>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</si>
  <si>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</si>
  <si>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</si>
  <si>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</si>
  <si>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</si>
  <si>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</si>
  <si>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</si>
  <si>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</si>
  <si>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</si>
  <si>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</si>
  <si>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</si>
  <si>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</si>
  <si>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</si>
  <si>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</si>
  <si>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</si>
  <si>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</si>
  <si>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</si>
  <si>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</si>
  <si>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</si>
  <si>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</si>
  <si>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</si>
  <si>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</si>
  <si>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</si>
  <si>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</si>
  <si>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</si>
  <si>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</si>
  <si>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</si>
  <si>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</si>
  <si>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</si>
  <si>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</si>
  <si>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</si>
  <si>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</si>
  <si>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</si>
  <si>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</si>
  <si>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</si>
  <si>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</si>
  <si>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</si>
  <si>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</si>
  <si>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</si>
  <si>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</si>
  <si>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</si>
  <si>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</si>
  <si>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</si>
  <si>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</si>
  <si>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</si>
  <si>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</si>
  <si>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</si>
  <si>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</si>
  <si>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</si>
  <si>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</si>
  <si>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</si>
  <si>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</si>
  <si>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</si>
  <si>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</si>
  <si>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</si>
  <si>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</si>
  <si>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</si>
  <si>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</si>
  <si>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</si>
  <si>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</si>
  <si>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</si>
  <si>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</si>
  <si>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</si>
  <si>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</si>
  <si>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</si>
  <si>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</si>
  <si>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</si>
  <si>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</si>
  <si>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</si>
  <si>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</si>
  <si>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</si>
  <si>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</si>
  <si>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</si>
  <si>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</si>
  <si>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</si>
  <si>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</si>
  <si>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</si>
  <si>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</si>
  <si>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</si>
  <si>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</si>
  <si>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</si>
  <si>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</si>
  <si>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</si>
  <si>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</si>
  <si>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</si>
  <si>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</si>
  <si>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</si>
  <si>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</si>
  <si>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</si>
  <si>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5. David Ježek</t>
  </si>
  <si>
    <t>0,00</t>
  </si>
  <si>
    <t>5. Ivan Pergler</t>
  </si>
  <si>
    <t>1.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</si>
  <si>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</si>
  <si>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</si>
  <si>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</si>
  <si>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</si>
  <si>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</si>
  <si>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</si>
  <si>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</si>
  <si>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</si>
  <si>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</si>
  <si>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</si>
  <si>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</si>
  <si>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</si>
  <si>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</si>
  <si>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</si>
  <si>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</si>
  <si>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</si>
  <si>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</si>
  <si>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</si>
  <si>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</si>
  <si>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</si>
  <si>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</si>
  <si>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</si>
  <si>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</si>
  <si>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</si>
  <si>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</si>
  <si>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</si>
  <si>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</si>
  <si>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</si>
  <si>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</si>
  <si>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</si>
  <si>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</si>
  <si>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</si>
  <si>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</si>
  <si>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</si>
  <si>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</si>
  <si>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</si>
  <si>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</si>
  <si>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</si>
  <si>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</si>
  <si>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</si>
  <si>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</si>
  <si>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</si>
  <si>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</si>
  <si>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</si>
  <si>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</si>
  <si>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</si>
  <si>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</si>
  <si>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</si>
  <si>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</si>
  <si>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</si>
  <si>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</si>
  <si>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</si>
  <si>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</si>
  <si>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</si>
  <si>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</si>
  <si>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</si>
  <si>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</si>
  <si>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</si>
  <si>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</si>
  <si>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</si>
  <si>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</si>
  <si>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</si>
  <si>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</si>
  <si>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</si>
  <si>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</si>
  <si>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</si>
  <si>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1. Petr Chlad</t>
  </si>
  <si>
    <t>5. Jakub Kárník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</si>
  <si>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</si>
  <si>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</si>
  <si>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</si>
  <si>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</si>
  <si>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</si>
  <si>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</si>
  <si>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</si>
  <si>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</si>
  <si>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</si>
  <si>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</si>
  <si>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</si>
  <si>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</si>
  <si>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</si>
  <si>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</si>
  <si>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</si>
  <si>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</si>
  <si>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</si>
  <si>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</si>
  <si>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</si>
  <si>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</si>
  <si>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</si>
  <si>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</si>
  <si>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</si>
  <si>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</si>
  <si>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</si>
  <si>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</si>
  <si>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</si>
  <si>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</si>
  <si>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</si>
  <si>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</si>
  <si>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</si>
  <si>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</si>
  <si>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</si>
  <si>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</si>
  <si>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</si>
  <si>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</si>
  <si>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</si>
  <si>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</si>
  <si>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</si>
  <si>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</si>
  <si>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</si>
  <si>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</si>
  <si>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</si>
  <si>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</si>
  <si>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</si>
  <si>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</si>
  <si>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</si>
  <si>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</si>
  <si>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</si>
  <si>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</si>
  <si>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</si>
  <si>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</si>
  <si>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</si>
  <si>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</si>
  <si>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</si>
  <si>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</si>
  <si>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</si>
  <si>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</si>
  <si>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</si>
  <si>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</si>
  <si>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</si>
  <si>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</si>
  <si>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</si>
  <si>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</si>
  <si>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</si>
  <si>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</si>
  <si>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</si>
  <si>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</si>
  <si>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</si>
  <si>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</si>
  <si>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</si>
  <si>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</si>
  <si>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</si>
  <si>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</si>
  <si>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6,00</t>
  </si>
  <si>
    <t>2. Karel Pergler</t>
  </si>
  <si>
    <t>4. Martin Řezáč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</si>
  <si>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</si>
  <si>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</si>
  <si>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</si>
  <si>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</si>
  <si>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</si>
  <si>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</si>
  <si>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</si>
  <si>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</si>
  <si>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</si>
  <si>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</si>
  <si>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</si>
  <si>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</si>
  <si>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</si>
  <si>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</si>
  <si>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</si>
  <si>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</si>
  <si>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</si>
  <si>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</si>
  <si>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</si>
  <si>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</si>
  <si>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</si>
  <si>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</si>
  <si>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</si>
  <si>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</si>
  <si>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</si>
  <si>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</si>
  <si>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</si>
  <si>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</si>
  <si>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</si>
  <si>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</si>
  <si>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</si>
  <si>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</si>
  <si>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</si>
  <si>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</si>
  <si>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</si>
  <si>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</si>
  <si>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</si>
  <si>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</si>
  <si>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</si>
  <si>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</si>
  <si>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</si>
  <si>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</si>
  <si>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</si>
  <si>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</si>
  <si>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</si>
  <si>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</si>
  <si>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</si>
  <si>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</si>
  <si>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</si>
  <si>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</si>
  <si>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</si>
  <si>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</si>
  <si>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</si>
  <si>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</si>
  <si>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</si>
  <si>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</si>
  <si>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</si>
  <si>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</si>
  <si>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5. Adam Zubek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</si>
  <si>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</si>
  <si>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</si>
  <si>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</si>
  <si>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</si>
  <si>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</si>
  <si>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</si>
  <si>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</si>
  <si>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</si>
  <si>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</si>
  <si>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</si>
  <si>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</si>
  <si>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</si>
  <si>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</si>
  <si>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</si>
  <si>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</si>
  <si>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</si>
  <si>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</si>
  <si>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</si>
  <si>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</si>
  <si>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</si>
  <si>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</si>
  <si>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</si>
  <si>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</si>
  <si>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</si>
  <si>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</si>
  <si>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</si>
  <si>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</si>
  <si>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</si>
  <si>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</si>
  <si>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</si>
  <si>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</si>
  <si>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</si>
  <si>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</si>
  <si>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</si>
  <si>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</si>
  <si>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</si>
  <si>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</si>
  <si>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</si>
  <si>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</si>
  <si>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</si>
  <si>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</si>
  <si>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</si>
  <si>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</si>
  <si>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</si>
  <si>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</si>
  <si>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</si>
  <si>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</si>
  <si>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</si>
  <si>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</si>
  <si>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</si>
  <si>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</si>
  <si>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</si>
  <si>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</si>
  <si>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</si>
  <si>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</si>
  <si>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</si>
  <si>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5. Dominik Beneš</t>
  </si>
  <si>
    <t>1. Lukáš Bauer</t>
  </si>
  <si>
    <t>2. Ondřej Tomšík</t>
  </si>
  <si>
    <t>1. Martin Tokoš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</si>
  <si>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</si>
  <si>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</si>
  <si>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</si>
  <si>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</si>
  <si>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</si>
  <si>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</si>
  <si>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</si>
  <si>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</si>
  <si>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</si>
  <si>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</si>
  <si>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</si>
  <si>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</si>
  <si>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</si>
  <si>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</si>
  <si>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</si>
  <si>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</si>
  <si>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</si>
  <si>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</si>
  <si>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</si>
  <si>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</si>
  <si>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</si>
  <si>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</si>
  <si>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</si>
  <si>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</si>
  <si>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</si>
  <si>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</si>
  <si>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</si>
  <si>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</si>
  <si>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</si>
  <si>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</si>
  <si>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</si>
  <si>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</si>
  <si>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</si>
  <si>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</si>
  <si>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</si>
  <si>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</si>
  <si>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</si>
  <si>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</si>
  <si>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</si>
  <si>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</si>
  <si>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</si>
  <si>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</si>
  <si>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</si>
  <si>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</si>
  <si>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</si>
  <si>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</si>
  <si>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</si>
  <si>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</si>
  <si>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</si>
  <si>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</si>
  <si>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4. Jonáš Kreysa</t>
  </si>
  <si>
    <t>1. Lukáš Kříž</t>
  </si>
  <si>
    <t>2. Jan Buzík</t>
  </si>
  <si>
    <t>1. David Šimek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</si>
  <si>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</si>
  <si>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</si>
  <si>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</si>
  <si>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</si>
  <si>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</si>
  <si>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</si>
  <si>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</si>
  <si>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</si>
  <si>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</si>
  <si>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</si>
  <si>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</si>
  <si>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</si>
  <si>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</si>
  <si>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</si>
  <si>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</si>
  <si>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</si>
  <si>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</si>
  <si>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</si>
  <si>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</si>
  <si>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</si>
  <si>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</si>
  <si>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</si>
  <si>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</si>
  <si>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</si>
  <si>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</si>
  <si>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</si>
  <si>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</si>
  <si>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</si>
  <si>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</si>
  <si>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</si>
  <si>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</si>
  <si>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</si>
  <si>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</si>
  <si>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</si>
  <si>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</si>
  <si>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</si>
  <si>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</si>
  <si>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</si>
  <si>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</si>
  <si>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</si>
  <si>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</si>
  <si>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</si>
  <si>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</si>
  <si>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</si>
  <si>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</si>
  <si>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</si>
  <si>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</si>
  <si>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</si>
  <si>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</si>
  <si>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</si>
  <si>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</si>
  <si>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</si>
  <si>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</si>
  <si>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</si>
  <si>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</si>
  <si>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</si>
  <si>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</si>
  <si>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</si>
  <si>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</si>
  <si>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</si>
  <si>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</si>
  <si>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</si>
  <si>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</si>
  <si>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</si>
  <si>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</si>
  <si>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3. David Ležatka</t>
  </si>
  <si>
    <t>4. Ronald Gašparík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</si>
  <si>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</si>
  <si>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</si>
  <si>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</si>
  <si>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</si>
  <si>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</si>
  <si>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</si>
  <si>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</si>
  <si>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</si>
  <si>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</si>
  <si>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</si>
  <si>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</si>
  <si>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</si>
  <si>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</si>
  <si>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</si>
  <si>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</si>
  <si>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</si>
  <si>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</si>
  <si>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</si>
  <si>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</si>
  <si>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</si>
  <si>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</si>
  <si>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</si>
  <si>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</si>
  <si>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</si>
  <si>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</si>
  <si>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</si>
  <si>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</si>
  <si>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</si>
  <si>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</si>
  <si>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</si>
  <si>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</si>
  <si>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</si>
  <si>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</si>
  <si>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</si>
  <si>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</si>
  <si>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</si>
  <si>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</si>
  <si>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</si>
  <si>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</si>
  <si>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</si>
  <si>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</si>
  <si>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</si>
  <si>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</si>
  <si>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</si>
  <si>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</si>
  <si>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</si>
  <si>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</si>
  <si>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</si>
  <si>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</si>
  <si>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</si>
  <si>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</si>
  <si>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5. Jan Malič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</si>
  <si>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</si>
  <si>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</si>
  <si>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</si>
  <si>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</si>
  <si>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</si>
  <si>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</si>
  <si>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</si>
  <si>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</si>
  <si>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</si>
  <si>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</si>
  <si>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</si>
  <si>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</si>
  <si>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</si>
  <si>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</si>
  <si>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</si>
  <si>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</si>
  <si>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</si>
  <si>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</si>
  <si>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</si>
  <si>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</si>
  <si>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</si>
  <si>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</si>
  <si>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</si>
  <si>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</si>
  <si>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</si>
  <si>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</si>
  <si>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</si>
  <si>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</si>
  <si>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</si>
  <si>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</si>
  <si>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</si>
  <si>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</si>
  <si>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</si>
  <si>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</si>
  <si>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</si>
  <si>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</si>
  <si>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</si>
  <si>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</si>
  <si>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</si>
  <si>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</si>
  <si>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</si>
  <si>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</si>
  <si>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</si>
  <si>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</si>
  <si>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</si>
  <si>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</si>
  <si>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</si>
  <si>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</si>
  <si>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</si>
  <si>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</si>
  <si>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</si>
  <si>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</si>
  <si>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</si>
  <si>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</si>
  <si>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</si>
  <si>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</si>
  <si>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</si>
  <si>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</si>
  <si>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</si>
  <si>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</si>
  <si>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2. Jakub Kolstrunk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</si>
  <si>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</si>
  <si>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</si>
  <si>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</si>
  <si>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</si>
  <si>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</si>
  <si>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</si>
  <si>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</si>
  <si>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</si>
  <si>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</si>
  <si>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</si>
  <si>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</si>
  <si>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</si>
  <si>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</si>
  <si>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</si>
  <si>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</si>
  <si>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</si>
  <si>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</si>
  <si>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</si>
  <si>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</si>
  <si>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</si>
  <si>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</si>
  <si>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</si>
  <si>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</si>
  <si>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</si>
  <si>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</si>
  <si>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</si>
  <si>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</si>
  <si>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</si>
  <si>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</si>
  <si>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</si>
  <si>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</si>
  <si>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</si>
  <si>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</si>
  <si>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</si>
  <si>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</si>
  <si>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</si>
  <si>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</si>
  <si>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</si>
  <si>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</si>
  <si>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</si>
  <si>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</si>
  <si>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</si>
  <si>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</si>
  <si>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</si>
  <si>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</si>
  <si>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</si>
  <si>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</si>
  <si>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</si>
  <si>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</si>
  <si>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</si>
  <si>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</si>
  <si>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</si>
  <si>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</si>
  <si>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</si>
  <si>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</si>
  <si>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</si>
  <si>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4. Ondřej Kopič</t>
  </si>
  <si>
    <t>1. Ivan Ponomarev</t>
  </si>
  <si>
    <t>2. Lukáš Chyna</t>
  </si>
  <si>
    <t>1. Daniel Štěrba</t>
  </si>
  <si>
    <t>2. Jakub Karel</t>
  </si>
  <si>
    <t>3. Jaromír Ekl</t>
  </si>
  <si>
    <t>1. Milan Tichý</t>
  </si>
  <si>
    <t>2. Radek Krajcigr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</si>
  <si>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</si>
  <si>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</si>
  <si>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</si>
  <si>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</si>
  <si>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</si>
  <si>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</si>
  <si>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</si>
  <si>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</si>
  <si>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</si>
  <si>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</si>
  <si>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</si>
  <si>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</si>
  <si>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</si>
  <si>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</si>
  <si>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</si>
  <si>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</si>
  <si>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</si>
  <si>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</si>
  <si>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</si>
  <si>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</si>
  <si>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</si>
  <si>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</si>
  <si>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</si>
  <si>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</si>
  <si>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</si>
  <si>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</si>
  <si>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</si>
  <si>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</si>
  <si>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</si>
  <si>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</si>
  <si>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</si>
  <si>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</si>
  <si>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</si>
  <si>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</si>
  <si>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</si>
  <si>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</si>
  <si>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</si>
  <si>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</si>
  <si>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</si>
  <si>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</si>
  <si>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</si>
  <si>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</si>
  <si>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</si>
  <si>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</si>
  <si>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1. Filip Létal</t>
  </si>
  <si>
    <t>2. Ondřej Kolajta</t>
  </si>
  <si>
    <t>2. David Sládeček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</si>
  <si>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</si>
  <si>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</si>
  <si>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</si>
  <si>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</si>
  <si>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</si>
  <si>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</si>
  <si>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</si>
  <si>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</si>
  <si>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</si>
  <si>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</si>
  <si>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</si>
  <si>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</si>
  <si>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</si>
  <si>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</si>
  <si>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</si>
  <si>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</si>
  <si>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</si>
  <si>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</si>
  <si>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</si>
  <si>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</si>
  <si>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</si>
  <si>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</si>
  <si>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4. Šimon Kuczera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</si>
  <si>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</si>
  <si>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</si>
  <si>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</si>
  <si>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</si>
  <si>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</si>
  <si>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</si>
  <si>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</si>
  <si>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</si>
  <si>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</si>
  <si>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</si>
  <si>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</si>
  <si>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</si>
  <si>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</si>
  <si>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</si>
  <si>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</si>
  <si>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</si>
  <si>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</si>
  <si>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</si>
  <si>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</si>
  <si>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</si>
  <si>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</si>
  <si>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1. Ivo Teichman</t>
  </si>
  <si>
    <t>SKF Draci 99 Liberec</t>
  </si>
  <si>
    <t>Jiří Buchta</t>
  </si>
  <si>
    <t>FBC Panthers Liberec</t>
  </si>
  <si>
    <t>1:8</t>
  </si>
  <si>
    <t>8. 10.</t>
  </si>
  <si>
    <t>3. Zbyněk Stuchlík</t>
  </si>
  <si>
    <t>4. Daniel Cabejšek</t>
  </si>
  <si>
    <t>1. Karel Šantora</t>
  </si>
  <si>
    <t>8,00</t>
  </si>
  <si>
    <t>2. Petr Musil</t>
  </si>
  <si>
    <t>1. Jan Fiala</t>
  </si>
  <si>
    <t>6:4</t>
  </si>
  <si>
    <t>2. Tomáš Hanák</t>
  </si>
  <si>
    <t>4. Jan Bauman</t>
  </si>
  <si>
    <t>5. Matouš Burian</t>
  </si>
  <si>
    <t>1. Daniel Körber</t>
  </si>
  <si>
    <t>2. Ondřej Matiášek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</si>
  <si>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</si>
  <si>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</si>
  <si>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</si>
  <si>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</si>
  <si>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</si>
  <si>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</si>
  <si>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</si>
  <si>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4. Adam Růžek</t>
  </si>
  <si>
    <t>1. Tomáš Hyršl</t>
  </si>
  <si>
    <t>2. Radovan Michajlovič</t>
  </si>
  <si>
    <t>3. Karel Petrák</t>
  </si>
  <si>
    <t>4. Patrik Šebek</t>
  </si>
  <si>
    <t>4:6</t>
  </si>
  <si>
    <t>5. Daniel Štěrba</t>
  </si>
  <si>
    <t>7,63</t>
  </si>
  <si>
    <t>1. Marek Vávra</t>
  </si>
  <si>
    <t>3. Mikuláš Komárek</t>
  </si>
  <si>
    <t>4. Daniel Eremiáš</t>
  </si>
  <si>
    <t>5. Martin Skřivánek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</si>
  <si>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</si>
  <si>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</si>
  <si>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</si>
  <si>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</si>
  <si>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</si>
  <si>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</si>
  <si>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</si>
  <si>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</si>
  <si>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</si>
  <si>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3. Jiří Curney</t>
  </si>
  <si>
    <t>5. Jakub Bína</t>
  </si>
  <si>
    <t>Martin Janík</t>
  </si>
  <si>
    <t>Adam Mikoláš</t>
  </si>
  <si>
    <t>Martin Sedláček</t>
  </si>
  <si>
    <t>Petr Vítovec</t>
  </si>
  <si>
    <t>8:1</t>
  </si>
  <si>
    <t>5. Lukáš Pešat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</si>
  <si>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</si>
  <si>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</si>
  <si>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</si>
  <si>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</si>
  <si>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</si>
  <si>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</si>
  <si>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Daniel Chatrný</t>
  </si>
  <si>
    <t>2. Denis Zimmer</t>
  </si>
  <si>
    <t>3. Jan Binder</t>
  </si>
  <si>
    <t>1. Ronald Gašparík</t>
  </si>
  <si>
    <t>2. František Vykopal</t>
  </si>
  <si>
    <t>3. Peter Nehila</t>
  </si>
  <si>
    <t>5,54</t>
  </si>
  <si>
    <t>5. Lukáš Petřík</t>
  </si>
  <si>
    <t>2. David Medek</t>
  </si>
  <si>
    <t>4:2</t>
  </si>
  <si>
    <t>4. Dominik Bartoš</t>
  </si>
  <si>
    <t>5. Jakub Kolstrunk</t>
  </si>
  <si>
    <t>Lukáš Macháček</t>
  </si>
  <si>
    <t>2. David Šimek</t>
  </si>
  <si>
    <t>2. Marek Beneš</t>
  </si>
  <si>
    <t>3. Jakub Kolísko</t>
  </si>
  <si>
    <t>5. Bohumil Piskáček</t>
  </si>
  <si>
    <t>Adam Palčinský</t>
  </si>
  <si>
    <t>4:7</t>
  </si>
  <si>
    <t>3. Matyáš Šindler</t>
  </si>
  <si>
    <t>2. Marek Matejčík</t>
  </si>
  <si>
    <t>1. Marek Bräuer</t>
  </si>
  <si>
    <t>2. Martin Gattnar</t>
  </si>
  <si>
    <t>8:4</t>
  </si>
  <si>
    <t>4:8</t>
  </si>
  <si>
    <t>Hráči</t>
  </si>
  <si>
    <t>Trenéři</t>
  </si>
  <si>
    <t>Matyáš Kůra</t>
  </si>
  <si>
    <t>18. 9.</t>
  </si>
  <si>
    <t>2. Marek Fuchs</t>
  </si>
  <si>
    <t>2. René Slezák</t>
  </si>
  <si>
    <t>1. René Slezák</t>
  </si>
  <si>
    <t>3. Jonáš Kůra</t>
  </si>
  <si>
    <t>4. Lukáš Lhota</t>
  </si>
  <si>
    <t>5. Matěj Hronek</t>
  </si>
  <si>
    <t>Lukáš Slabý</t>
  </si>
  <si>
    <t>Petr Křinka</t>
  </si>
  <si>
    <t>3. Jan Savický</t>
  </si>
  <si>
    <t>5. Lukáš Kučera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</si>
  <si>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</si>
  <si>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</si>
  <si>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</si>
  <si>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</si>
  <si>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</si>
  <si>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</si>
  <si>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</si>
  <si>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</si>
  <si>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</si>
  <si>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</si>
  <si>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P - P - P</t>
  </si>
  <si>
    <t>9,25</t>
  </si>
  <si>
    <t>2. Ivan Pergler</t>
  </si>
  <si>
    <t>3. Ondřej Stuchlík</t>
  </si>
  <si>
    <t>4. Štěpán Čuda</t>
  </si>
  <si>
    <t>2. Daniel Cabejšek</t>
  </si>
  <si>
    <t>4. Vojtěch Klápa</t>
  </si>
  <si>
    <t>V - V - PP</t>
  </si>
  <si>
    <t>1. Tomáš Hanák</t>
  </si>
  <si>
    <t>2. Radek Hanák</t>
  </si>
  <si>
    <t>3. Matěj Boček</t>
  </si>
  <si>
    <t>3,44</t>
  </si>
  <si>
    <t>1. Matěj Boček</t>
  </si>
  <si>
    <t>3. Jakub Hromada</t>
  </si>
  <si>
    <t>1. Radek Hanák</t>
  </si>
  <si>
    <t>2. Adam Bouček</t>
  </si>
  <si>
    <t>3. Jakub Boček</t>
  </si>
  <si>
    <t>5. Tomáš Hanák</t>
  </si>
  <si>
    <t>2. Matěj Boček</t>
  </si>
  <si>
    <t>3. Vojtěch Novotný</t>
  </si>
  <si>
    <t>4. Filip Neklan</t>
  </si>
  <si>
    <t>5. Jakub Hromada</t>
  </si>
  <si>
    <t>9:6</t>
  </si>
  <si>
    <t>V - V - V</t>
  </si>
  <si>
    <t>3. Filip Forman</t>
  </si>
  <si>
    <t>4. Jan Malič</t>
  </si>
  <si>
    <t>5. Adam Růžek</t>
  </si>
  <si>
    <t>1. Jan Malič</t>
  </si>
  <si>
    <t>2. Karel Petrák</t>
  </si>
  <si>
    <t>3. Marek Ďopan</t>
  </si>
  <si>
    <t>5. Drahoslav Pastor</t>
  </si>
  <si>
    <t>3:8</t>
  </si>
  <si>
    <t>29. 9.</t>
  </si>
  <si>
    <t>2. Jaromír Ekl</t>
  </si>
  <si>
    <t>3. Milan Tichý</t>
  </si>
  <si>
    <t>1. Lukáš Chyna</t>
  </si>
  <si>
    <t>2. Ivan Ponomarev</t>
  </si>
  <si>
    <t>5. Antonín Stárek</t>
  </si>
  <si>
    <t>4. Milan Tichý</t>
  </si>
  <si>
    <t>5. Jakub Jirsa</t>
  </si>
  <si>
    <t>3. Lukáš Mlejnek</t>
  </si>
  <si>
    <t>4. Petr Novotný</t>
  </si>
  <si>
    <t>5. Tomáš Novák</t>
  </si>
  <si>
    <t>3. René Slezák</t>
  </si>
  <si>
    <t>4. Matěj Hronek</t>
  </si>
  <si>
    <t>5. Tomáš Brom</t>
  </si>
  <si>
    <t>5,56</t>
  </si>
  <si>
    <t>8,21</t>
  </si>
  <si>
    <t>3. Dominik Dvořák</t>
  </si>
  <si>
    <t>4. Jonáš Kůra</t>
  </si>
  <si>
    <t>5. Lukáš Jalový</t>
  </si>
  <si>
    <t>3. Jiří Juhaňák</t>
  </si>
  <si>
    <t>4. Lukáš Vlach</t>
  </si>
  <si>
    <t>5. Marek Fuchs</t>
  </si>
  <si>
    <t>6:9</t>
  </si>
  <si>
    <t>1. Tom Ondrušek</t>
  </si>
  <si>
    <t>2. Marek Vávra</t>
  </si>
  <si>
    <t>4. Petr Majer</t>
  </si>
  <si>
    <t>5,63</t>
  </si>
  <si>
    <t>3. Martin Skřivánek</t>
  </si>
  <si>
    <t>5. Tom Ondrušek</t>
  </si>
  <si>
    <t>2. Tom Ondrušek</t>
  </si>
  <si>
    <t>3. Tomáš Vávra</t>
  </si>
  <si>
    <t>5. Jiří Bauer</t>
  </si>
  <si>
    <t>2. Michal Strnad</t>
  </si>
  <si>
    <t>4. Ondřej Vošta</t>
  </si>
  <si>
    <t>5. Adam Balatka</t>
  </si>
  <si>
    <t>V - PP - P</t>
  </si>
  <si>
    <t>7:2</t>
  </si>
  <si>
    <t>P - P - V</t>
  </si>
  <si>
    <t>1. Prokop Ferdan</t>
  </si>
  <si>
    <t>2. Jakub Kopecký</t>
  </si>
  <si>
    <t>4. Jan Šoltys</t>
  </si>
  <si>
    <t>5. Jan Světlík</t>
  </si>
  <si>
    <t>5,33</t>
  </si>
  <si>
    <t>3. Jakub Kopecký</t>
  </si>
  <si>
    <t>4. Jan Baudisch</t>
  </si>
  <si>
    <t>4. Filip Smutný</t>
  </si>
  <si>
    <t>1. Daniel Martínek</t>
  </si>
  <si>
    <t>2. Radek Valeš</t>
  </si>
  <si>
    <t>Michal Fišera</t>
  </si>
  <si>
    <t>6:5p</t>
  </si>
  <si>
    <t>4. 10.</t>
  </si>
  <si>
    <t>V - VP - VP</t>
  </si>
  <si>
    <t>1. Jan Natov</t>
  </si>
  <si>
    <t>2. Jiří Curney</t>
  </si>
  <si>
    <t>3. Milan Tomašík</t>
  </si>
  <si>
    <t>4. Martin Tokoš</t>
  </si>
  <si>
    <t>3,60</t>
  </si>
  <si>
    <t>3. Martin Tokoš</t>
  </si>
  <si>
    <t>4. Dominik Beneš</t>
  </si>
  <si>
    <t>1. Milan Tomašík</t>
  </si>
  <si>
    <t>2. Patrik Suchánek</t>
  </si>
  <si>
    <t>3. Dominik Beneš</t>
  </si>
  <si>
    <t>4. Jakub Gruber</t>
  </si>
  <si>
    <t>5. Jan Natov</t>
  </si>
  <si>
    <t>4. Adam Hemerka</t>
  </si>
  <si>
    <t>5. Daniel Šebek</t>
  </si>
  <si>
    <t>V - V - P</t>
  </si>
  <si>
    <t>4. Michal Sládek</t>
  </si>
  <si>
    <t>3,94</t>
  </si>
  <si>
    <t>2. Wojciech Malajka</t>
  </si>
  <si>
    <t>5. Dominik Klimscha</t>
  </si>
  <si>
    <t>3. Lukáš Pešat</t>
  </si>
  <si>
    <t>5. Šimon Soukup</t>
  </si>
  <si>
    <t>4. Lukáš Herblich</t>
  </si>
  <si>
    <t>5. Marcel Jakubec</t>
  </si>
  <si>
    <t>4. David Ležatka</t>
  </si>
  <si>
    <t>1. Kevin Majrich</t>
  </si>
  <si>
    <t>2. Adam Kohút</t>
  </si>
  <si>
    <t>2. Ronald Gašparík</t>
  </si>
  <si>
    <t>4. David Medek</t>
  </si>
  <si>
    <t>5. Filip Hrabal</t>
  </si>
  <si>
    <t>3. Martin Ležatka</t>
  </si>
  <si>
    <t>5. Adam Kohút</t>
  </si>
  <si>
    <t>4. Přemek Pakosta</t>
  </si>
  <si>
    <t>1. Karel Aubus</t>
  </si>
  <si>
    <t>5,00</t>
  </si>
  <si>
    <t>2. Martin Haleš</t>
  </si>
  <si>
    <t>2. Jan Savický</t>
  </si>
  <si>
    <t>3. Matyáš Velc</t>
  </si>
  <si>
    <t>4. David Žáček</t>
  </si>
  <si>
    <t>1. Matyáš Velc</t>
  </si>
  <si>
    <t>2. David Petržela</t>
  </si>
  <si>
    <t>3. Přemek Pakosta</t>
  </si>
  <si>
    <t>4. Adam Šmíd</t>
  </si>
  <si>
    <t>5. Jan Savický</t>
  </si>
  <si>
    <t>2. Lukáš Prix</t>
  </si>
  <si>
    <t>3. Vojtěch Rusin</t>
  </si>
  <si>
    <t>5. David Petržela</t>
  </si>
  <si>
    <t>P - V - P</t>
  </si>
  <si>
    <t>P - V - V</t>
  </si>
  <si>
    <t>3. Mikuláš Krbec</t>
  </si>
  <si>
    <t>2. Viktor Hejna</t>
  </si>
  <si>
    <t>4. Marek Zouzal</t>
  </si>
  <si>
    <t>5. Matěj Čermák</t>
  </si>
  <si>
    <t>2. Michal Pažák</t>
  </si>
  <si>
    <t>3. Milan Garčar</t>
  </si>
  <si>
    <t>4. Daniel Fišer</t>
  </si>
  <si>
    <t>5. Dominik Bartoš</t>
  </si>
  <si>
    <t>3. Ondřej Němeček</t>
  </si>
  <si>
    <t>5. Martin Šindelář</t>
  </si>
  <si>
    <t>3,33</t>
  </si>
  <si>
    <t>5. Matěj Havlas</t>
  </si>
  <si>
    <t>4. David Šimek</t>
  </si>
  <si>
    <t>5. Jonáš Kreysa</t>
  </si>
  <si>
    <t>1. Martin Čermák</t>
  </si>
  <si>
    <t>2. Milan Meliš</t>
  </si>
  <si>
    <t>3. Petr Brautferger</t>
  </si>
  <si>
    <t>4. Adam Tlapák</t>
  </si>
  <si>
    <t>Michal Bartoň</t>
  </si>
  <si>
    <t>8:3</t>
  </si>
  <si>
    <t>V - P - V</t>
  </si>
  <si>
    <t>3. Rostislav Gattnar</t>
  </si>
  <si>
    <t>4,42</t>
  </si>
  <si>
    <t>2. Michal Bartoň</t>
  </si>
  <si>
    <t>3. Petr Maláč</t>
  </si>
  <si>
    <t>4. Filip Čonka-Skyba</t>
  </si>
  <si>
    <t>5. Jiří Besta</t>
  </si>
  <si>
    <t>4. Rostislav Gattnar</t>
  </si>
  <si>
    <t>4. Adam Delong</t>
  </si>
  <si>
    <t>5. Adam Palčinský</t>
  </si>
  <si>
    <t>3:4p</t>
  </si>
  <si>
    <t>11:5</t>
  </si>
  <si>
    <t>6:7p</t>
  </si>
  <si>
    <t>8:5</t>
  </si>
  <si>
    <t>6 zápasů, 1 - 2 - 0 - 1 - 2, skóre 35:43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</si>
</sst>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79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280</v>
      </c>
      <c r="B2" s="71">
        <f ca="1">IFERROR(COUNTIF(INDIRECT("priprava_" &amp; B$1 &amp; "!$S$2:$S$42"),"?*"),"")</f>
        <v>22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21</v>
      </c>
      <c r="E2" s="71">
        <f t="shared" ca="1" si="0"/>
        <v>20</v>
      </c>
      <c r="F2" s="71">
        <f t="shared" ca="1" si="0"/>
        <v>20</v>
      </c>
      <c r="G2" s="71">
        <f t="shared" ca="1" si="0"/>
        <v>22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20</v>
      </c>
      <c r="L2" s="71">
        <f t="shared" ca="1" si="0"/>
        <v>20</v>
      </c>
      <c r="M2" s="71">
        <f t="shared" ca="1" si="0"/>
        <v>20</v>
      </c>
      <c r="N2" s="71">
        <f t="shared" ca="1" si="0"/>
        <v>21</v>
      </c>
      <c r="O2" s="71">
        <f t="shared" ca="1" si="0"/>
        <v>21</v>
      </c>
    </row>
    <row r="3" spans="1:15" s="71" customFormat="1" x14ac:dyDescent="0.25">
      <c r="A3" s="108" t="s">
        <v>285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281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4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8</v>
      </c>
      <c r="L4" s="71">
        <f t="shared" ca="1" si="2"/>
        <v>2</v>
      </c>
      <c r="M4" s="71">
        <f t="shared" ca="1" si="2"/>
        <v>4</v>
      </c>
      <c r="N4" s="71">
        <f t="shared" ca="1" si="2"/>
        <v>6</v>
      </c>
      <c r="O4" s="71">
        <f t="shared" ca="1" si="2"/>
        <v>5</v>
      </c>
    </row>
    <row r="5" spans="1:15" s="71" customFormat="1" x14ac:dyDescent="0.25">
      <c r="A5" s="108" t="s">
        <v>282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283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6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284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593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3</v>
      </c>
      <c r="D2" s="76">
        <f t="shared" si="0"/>
        <v>3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9</v>
      </c>
      <c r="I2" s="76">
        <f t="shared" si="0"/>
        <v>23</v>
      </c>
      <c r="J2" s="76">
        <f t="shared" si="0"/>
        <v>10</v>
      </c>
      <c r="K2" s="76">
        <f t="shared" si="0"/>
        <v>13</v>
      </c>
      <c r="L2" s="76">
        <f t="shared" si="0"/>
        <v>4</v>
      </c>
      <c r="M2" s="76">
        <f t="shared" si="0"/>
        <v>2</v>
      </c>
      <c r="N2" s="76">
        <f t="shared" si="0"/>
        <v>0</v>
      </c>
      <c r="O2" s="67">
        <f t="shared" si="0"/>
        <v>50</v>
      </c>
      <c r="P2" s="76">
        <f t="shared" si="0"/>
        <v>3</v>
      </c>
      <c r="Q2" s="76">
        <f t="shared" si="0"/>
        <v>1</v>
      </c>
      <c r="R2" s="76">
        <f t="shared" si="0"/>
        <v>1</v>
      </c>
      <c r="S2" s="67">
        <f t="shared" si="0"/>
        <v>66.67</v>
      </c>
      <c r="T2" s="76">
        <f>AU2</f>
        <v>6</v>
      </c>
      <c r="U2" s="76">
        <f t="shared" ref="U2:V2" si="1">AV2</f>
        <v>99</v>
      </c>
      <c r="V2" s="68">
        <f t="shared" si="1"/>
        <v>23.23</v>
      </c>
      <c r="W2" s="72" t="s">
        <v>70</v>
      </c>
      <c r="X2" s="71">
        <v>3</v>
      </c>
      <c r="Y2" s="71">
        <v>3</v>
      </c>
      <c r="Z2" s="71">
        <v>0</v>
      </c>
      <c r="AA2" s="71">
        <v>0</v>
      </c>
      <c r="AB2" s="71">
        <v>0</v>
      </c>
      <c r="AC2" s="71">
        <v>9</v>
      </c>
      <c r="AD2" s="71">
        <v>23</v>
      </c>
      <c r="AE2" s="71">
        <v>10</v>
      </c>
      <c r="AF2" s="71">
        <v>13</v>
      </c>
      <c r="AG2" s="71">
        <v>4</v>
      </c>
      <c r="AH2" s="71">
        <v>2</v>
      </c>
      <c r="AI2" s="71">
        <v>0</v>
      </c>
      <c r="AJ2" s="70">
        <v>50</v>
      </c>
      <c r="AK2" s="71">
        <v>3</v>
      </c>
      <c r="AL2" s="71">
        <v>1</v>
      </c>
      <c r="AM2" s="71">
        <v>1</v>
      </c>
      <c r="AN2" s="70">
        <v>66.67</v>
      </c>
      <c r="AO2" s="71">
        <v>3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6</v>
      </c>
      <c r="AV2" s="71">
        <v>99</v>
      </c>
      <c r="AW2" s="70">
        <v>23.23</v>
      </c>
      <c r="AX2" s="71">
        <v>112</v>
      </c>
      <c r="AY2" s="71">
        <v>326</v>
      </c>
      <c r="AZ2" s="71">
        <v>146</v>
      </c>
      <c r="BA2" s="3" t="s">
        <v>72</v>
      </c>
      <c r="BB2" s="62" t="s">
        <v>96</v>
      </c>
      <c r="BC2" s="62">
        <f>MATCH(BA2,$B$2:$B$15,0)</f>
        <v>5</v>
      </c>
      <c r="BD2" s="62">
        <f>_xlfn.RANK.EQ(VLOOKUP(BA2,$B$2:$V$15,14,FALSE),$O$2:$O$15,0)</f>
        <v>10</v>
      </c>
      <c r="BE2" s="62">
        <f>_xlfn.RANK.EQ(VLOOKUP(BA2,$B$2:$V$15,18,FALSE),$S$2:$S$15,0)</f>
        <v>1</v>
      </c>
      <c r="BF2" s="62">
        <f>_xlfn.RANK.EQ(VLOOKUP(BA2,$B$2:$V$16,19,FALSE),$T$2:$T$15,1)</f>
        <v>2</v>
      </c>
    </row>
    <row r="3" spans="1:58" ht="24" customHeight="1" x14ac:dyDescent="0.25">
      <c r="A3" s="138">
        <v>2</v>
      </c>
      <c r="B3" s="25" t="str">
        <f t="shared" ref="B3:B15" si="2">W3</f>
        <v>FbŠ Bohemians</v>
      </c>
      <c r="C3" s="76">
        <f t="shared" ref="C3:C15" si="3">X3</f>
        <v>3</v>
      </c>
      <c r="D3" s="76">
        <f t="shared" ref="D3:D15" si="4">Y3</f>
        <v>3</v>
      </c>
      <c r="E3" s="76">
        <f t="shared" ref="E3:E15" si="5">Z3</f>
        <v>0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9</v>
      </c>
      <c r="I3" s="76">
        <f t="shared" ref="I3:I15" si="9">AD3</f>
        <v>26</v>
      </c>
      <c r="J3" s="76">
        <f t="shared" ref="J3:J15" si="10">AE3</f>
        <v>16</v>
      </c>
      <c r="K3" s="76">
        <f t="shared" ref="K3:K15" si="11">AF3</f>
        <v>10</v>
      </c>
      <c r="L3" s="76">
        <f t="shared" ref="L3:L15" si="12">AG3</f>
        <v>10</v>
      </c>
      <c r="M3" s="76">
        <f t="shared" ref="M3:M15" si="13">AH3</f>
        <v>4</v>
      </c>
      <c r="N3" s="76">
        <f t="shared" ref="N3:N15" si="14">AI3</f>
        <v>1</v>
      </c>
      <c r="O3" s="67">
        <f t="shared" ref="O3:O15" si="15">AJ3</f>
        <v>40</v>
      </c>
      <c r="P3" s="76">
        <f t="shared" ref="P3:P15" si="16">AK3</f>
        <v>3</v>
      </c>
      <c r="Q3" s="76">
        <f t="shared" ref="Q3:Q15" si="17">AL3</f>
        <v>1</v>
      </c>
      <c r="R3" s="76">
        <f t="shared" ref="R3:R15" si="18">AM3</f>
        <v>0</v>
      </c>
      <c r="S3" s="67">
        <f t="shared" ref="S3:S15" si="19">AN3</f>
        <v>66.67</v>
      </c>
      <c r="T3" s="76">
        <f t="shared" ref="T3:T15" si="20">AU3</f>
        <v>6</v>
      </c>
      <c r="U3" s="76">
        <f t="shared" ref="U3:U15" si="21">AV3</f>
        <v>86</v>
      </c>
      <c r="V3" s="68">
        <f t="shared" ref="V3:V15" si="22">AW3</f>
        <v>30.23</v>
      </c>
      <c r="W3" s="72" t="s">
        <v>74</v>
      </c>
      <c r="X3" s="71">
        <v>3</v>
      </c>
      <c r="Y3" s="71">
        <v>3</v>
      </c>
      <c r="Z3" s="71">
        <v>0</v>
      </c>
      <c r="AA3" s="71">
        <v>0</v>
      </c>
      <c r="AB3" s="71">
        <v>0</v>
      </c>
      <c r="AC3" s="71">
        <v>9</v>
      </c>
      <c r="AD3" s="71">
        <v>26</v>
      </c>
      <c r="AE3" s="71">
        <v>16</v>
      </c>
      <c r="AF3" s="71">
        <v>10</v>
      </c>
      <c r="AG3" s="71">
        <v>10</v>
      </c>
      <c r="AH3" s="71">
        <v>4</v>
      </c>
      <c r="AI3" s="71">
        <v>1</v>
      </c>
      <c r="AJ3" s="70">
        <v>40</v>
      </c>
      <c r="AK3" s="71">
        <v>3</v>
      </c>
      <c r="AL3" s="71">
        <v>1</v>
      </c>
      <c r="AM3" s="71">
        <v>0</v>
      </c>
      <c r="AN3" s="70">
        <v>66.67</v>
      </c>
      <c r="AO3" s="71">
        <v>3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6</v>
      </c>
      <c r="AV3" s="71">
        <v>86</v>
      </c>
      <c r="AW3" s="70">
        <v>30.23</v>
      </c>
      <c r="AX3" s="71">
        <v>210</v>
      </c>
      <c r="AY3" s="71">
        <v>164</v>
      </c>
      <c r="AZ3" s="71">
        <v>125</v>
      </c>
      <c r="BA3" s="3" t="s">
        <v>78</v>
      </c>
      <c r="BB3" s="62" t="s">
        <v>101</v>
      </c>
      <c r="BC3" s="62">
        <f t="shared" ref="BC3:BC15" si="23">MATCH(BA3,$B$2:$B$15,0)</f>
        <v>7</v>
      </c>
      <c r="BD3" s="62">
        <f t="shared" ref="BD3:BD15" si="24">_xlfn.RANK.EQ(VLOOKUP(BA3,$B$2:$V$15,14,FALSE),$O$2:$O$15,0)</f>
        <v>4</v>
      </c>
      <c r="BE3" s="62">
        <f t="shared" ref="BE3:BE15" si="25">_xlfn.RANK.EQ(VLOOKUP(BA3,$B$2:$V$15,18,FALSE),$S$2:$S$15,0)</f>
        <v>14</v>
      </c>
      <c r="BF3" s="62">
        <f t="shared" ref="BF3:BF15" si="26">_xlfn.RANK.EQ(VLOOKUP(BA3,$B$2:$V$16,19,FALSE),$T$2:$T$15,1)</f>
        <v>2</v>
      </c>
    </row>
    <row r="4" spans="1:58" ht="24" customHeight="1" x14ac:dyDescent="0.25">
      <c r="A4" s="138">
        <v>3</v>
      </c>
      <c r="B4" s="25" t="str">
        <f t="shared" si="2"/>
        <v>Předvýběr.CZ Florbal MB</v>
      </c>
      <c r="C4" s="76">
        <f t="shared" si="3"/>
        <v>3</v>
      </c>
      <c r="D4" s="76">
        <f t="shared" si="4"/>
        <v>1</v>
      </c>
      <c r="E4" s="76">
        <f t="shared" si="5"/>
        <v>2</v>
      </c>
      <c r="F4" s="76">
        <f t="shared" si="6"/>
        <v>0</v>
      </c>
      <c r="G4" s="76">
        <f t="shared" si="7"/>
        <v>0</v>
      </c>
      <c r="H4" s="78">
        <f t="shared" si="8"/>
        <v>7</v>
      </c>
      <c r="I4" s="76">
        <f t="shared" si="9"/>
        <v>21</v>
      </c>
      <c r="J4" s="76">
        <f t="shared" si="10"/>
        <v>11</v>
      </c>
      <c r="K4" s="76">
        <f t="shared" si="11"/>
        <v>10</v>
      </c>
      <c r="L4" s="76">
        <f t="shared" si="12"/>
        <v>2</v>
      </c>
      <c r="M4" s="76">
        <f t="shared" si="13"/>
        <v>2</v>
      </c>
      <c r="N4" s="76">
        <f t="shared" si="14"/>
        <v>0</v>
      </c>
      <c r="O4" s="67">
        <f t="shared" si="15"/>
        <v>100</v>
      </c>
      <c r="P4" s="76">
        <f t="shared" si="16"/>
        <v>5</v>
      </c>
      <c r="Q4" s="76">
        <f t="shared" si="17"/>
        <v>2</v>
      </c>
      <c r="R4" s="76">
        <f t="shared" si="18"/>
        <v>0</v>
      </c>
      <c r="S4" s="67">
        <f t="shared" si="19"/>
        <v>60</v>
      </c>
      <c r="T4" s="76">
        <f t="shared" si="20"/>
        <v>10</v>
      </c>
      <c r="U4" s="76">
        <f t="shared" si="21"/>
        <v>84</v>
      </c>
      <c r="V4" s="68">
        <f t="shared" si="22"/>
        <v>25</v>
      </c>
      <c r="W4" s="72" t="s">
        <v>71</v>
      </c>
      <c r="X4" s="71">
        <v>3</v>
      </c>
      <c r="Y4" s="71">
        <v>1</v>
      </c>
      <c r="Z4" s="71">
        <v>2</v>
      </c>
      <c r="AA4" s="71">
        <v>0</v>
      </c>
      <c r="AB4" s="71">
        <v>0</v>
      </c>
      <c r="AC4" s="71">
        <v>7</v>
      </c>
      <c r="AD4" s="71">
        <v>21</v>
      </c>
      <c r="AE4" s="71">
        <v>11</v>
      </c>
      <c r="AF4" s="71">
        <v>10</v>
      </c>
      <c r="AG4" s="71">
        <v>2</v>
      </c>
      <c r="AH4" s="71">
        <v>2</v>
      </c>
      <c r="AI4" s="71">
        <v>0</v>
      </c>
      <c r="AJ4" s="70">
        <v>100</v>
      </c>
      <c r="AK4" s="71">
        <v>5</v>
      </c>
      <c r="AL4" s="71">
        <v>2</v>
      </c>
      <c r="AM4" s="71">
        <v>0</v>
      </c>
      <c r="AN4" s="70">
        <v>60</v>
      </c>
      <c r="AO4" s="71">
        <v>5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10</v>
      </c>
      <c r="AV4" s="71">
        <v>84</v>
      </c>
      <c r="AW4" s="70">
        <v>25</v>
      </c>
      <c r="AX4" s="71">
        <v>545</v>
      </c>
      <c r="AY4" s="71">
        <v>120</v>
      </c>
      <c r="AZ4" s="71">
        <v>222</v>
      </c>
      <c r="BA4" s="3" t="s">
        <v>73</v>
      </c>
      <c r="BB4" s="62" t="s">
        <v>97</v>
      </c>
      <c r="BC4" s="62">
        <f t="shared" si="23"/>
        <v>4</v>
      </c>
      <c r="BD4" s="62">
        <f t="shared" si="24"/>
        <v>4</v>
      </c>
      <c r="BE4" s="62">
        <f t="shared" si="25"/>
        <v>4</v>
      </c>
      <c r="BF4" s="62">
        <f t="shared" si="26"/>
        <v>13</v>
      </c>
    </row>
    <row r="5" spans="1:58" ht="24" customHeight="1" x14ac:dyDescent="0.25">
      <c r="A5" s="138">
        <v>4</v>
      </c>
      <c r="B5" s="25" t="str">
        <f t="shared" si="2"/>
        <v>BLACK ANGELS</v>
      </c>
      <c r="C5" s="76">
        <f t="shared" si="3"/>
        <v>3</v>
      </c>
      <c r="D5" s="76">
        <f t="shared" si="4"/>
        <v>2</v>
      </c>
      <c r="E5" s="76">
        <f t="shared" si="5"/>
        <v>0</v>
      </c>
      <c r="F5" s="76">
        <f t="shared" si="6"/>
        <v>1</v>
      </c>
      <c r="G5" s="76">
        <f t="shared" si="7"/>
        <v>0</v>
      </c>
      <c r="H5" s="78">
        <f t="shared" si="8"/>
        <v>7</v>
      </c>
      <c r="I5" s="76">
        <f t="shared" si="9"/>
        <v>16</v>
      </c>
      <c r="J5" s="76">
        <f t="shared" si="10"/>
        <v>11</v>
      </c>
      <c r="K5" s="76">
        <f t="shared" si="11"/>
        <v>5</v>
      </c>
      <c r="L5" s="76">
        <f t="shared" si="12"/>
        <v>6</v>
      </c>
      <c r="M5" s="76">
        <f t="shared" si="13"/>
        <v>3</v>
      </c>
      <c r="N5" s="76">
        <f t="shared" si="14"/>
        <v>0</v>
      </c>
      <c r="O5" s="67">
        <f t="shared" si="15"/>
        <v>50</v>
      </c>
      <c r="P5" s="76">
        <f t="shared" si="16"/>
        <v>9</v>
      </c>
      <c r="Q5" s="76">
        <f t="shared" si="17"/>
        <v>3</v>
      </c>
      <c r="R5" s="76">
        <f t="shared" si="18"/>
        <v>0</v>
      </c>
      <c r="S5" s="67">
        <f t="shared" si="19"/>
        <v>66.67</v>
      </c>
      <c r="T5" s="76">
        <f t="shared" si="20"/>
        <v>20</v>
      </c>
      <c r="U5" s="76">
        <f t="shared" si="21"/>
        <v>68</v>
      </c>
      <c r="V5" s="68">
        <f t="shared" si="22"/>
        <v>23.53</v>
      </c>
      <c r="W5" s="72" t="s">
        <v>73</v>
      </c>
      <c r="X5" s="71">
        <v>3</v>
      </c>
      <c r="Y5" s="71">
        <v>2</v>
      </c>
      <c r="Z5" s="71">
        <v>0</v>
      </c>
      <c r="AA5" s="71">
        <v>1</v>
      </c>
      <c r="AB5" s="71">
        <v>0</v>
      </c>
      <c r="AC5" s="71">
        <v>7</v>
      </c>
      <c r="AD5" s="71">
        <v>16</v>
      </c>
      <c r="AE5" s="71">
        <v>11</v>
      </c>
      <c r="AF5" s="71">
        <v>5</v>
      </c>
      <c r="AG5" s="71">
        <v>6</v>
      </c>
      <c r="AH5" s="71">
        <v>3</v>
      </c>
      <c r="AI5" s="71">
        <v>0</v>
      </c>
      <c r="AJ5" s="70">
        <v>50</v>
      </c>
      <c r="AK5" s="71">
        <v>9</v>
      </c>
      <c r="AL5" s="71">
        <v>3</v>
      </c>
      <c r="AM5" s="71">
        <v>0</v>
      </c>
      <c r="AN5" s="70">
        <v>66.67</v>
      </c>
      <c r="AO5" s="71">
        <v>10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20</v>
      </c>
      <c r="AV5" s="71">
        <v>68</v>
      </c>
      <c r="AW5" s="70">
        <v>23.53</v>
      </c>
      <c r="AX5" s="71">
        <v>131</v>
      </c>
      <c r="AY5" s="71">
        <v>345</v>
      </c>
      <c r="AZ5" s="71">
        <v>159</v>
      </c>
      <c r="BA5" s="3" t="s">
        <v>76</v>
      </c>
      <c r="BB5" s="62" t="s">
        <v>24</v>
      </c>
      <c r="BC5" s="62">
        <f t="shared" si="23"/>
        <v>8</v>
      </c>
      <c r="BD5" s="62">
        <f t="shared" si="24"/>
        <v>9</v>
      </c>
      <c r="BE5" s="62">
        <f t="shared" si="25"/>
        <v>10</v>
      </c>
      <c r="BF5" s="62">
        <f t="shared" si="26"/>
        <v>7</v>
      </c>
    </row>
    <row r="6" spans="1:58" ht="24" customHeight="1" x14ac:dyDescent="0.25">
      <c r="A6" s="138">
        <v>5</v>
      </c>
      <c r="B6" s="25" t="str">
        <f t="shared" si="2"/>
        <v>1. SC TEMPISH Vítkovice</v>
      </c>
      <c r="C6" s="76">
        <f t="shared" si="3"/>
        <v>3</v>
      </c>
      <c r="D6" s="76">
        <f t="shared" si="4"/>
        <v>2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6</v>
      </c>
      <c r="I6" s="76">
        <f t="shared" si="9"/>
        <v>23</v>
      </c>
      <c r="J6" s="76">
        <f t="shared" si="10"/>
        <v>14</v>
      </c>
      <c r="K6" s="76">
        <f t="shared" si="11"/>
        <v>9</v>
      </c>
      <c r="L6" s="76">
        <f t="shared" si="12"/>
        <v>4</v>
      </c>
      <c r="M6" s="76">
        <f t="shared" si="13"/>
        <v>1</v>
      </c>
      <c r="N6" s="76">
        <f t="shared" si="14"/>
        <v>0</v>
      </c>
      <c r="O6" s="67">
        <f t="shared" si="15"/>
        <v>25</v>
      </c>
      <c r="P6" s="76">
        <f t="shared" si="16"/>
        <v>3</v>
      </c>
      <c r="Q6" s="76">
        <f t="shared" si="17"/>
        <v>0</v>
      </c>
      <c r="R6" s="76">
        <f t="shared" si="18"/>
        <v>0</v>
      </c>
      <c r="S6" s="67">
        <f t="shared" si="19"/>
        <v>100</v>
      </c>
      <c r="T6" s="76">
        <f t="shared" si="20"/>
        <v>6</v>
      </c>
      <c r="U6" s="76">
        <f t="shared" si="21"/>
        <v>93</v>
      </c>
      <c r="V6" s="68">
        <f t="shared" si="22"/>
        <v>24.73</v>
      </c>
      <c r="W6" s="72" t="s">
        <v>72</v>
      </c>
      <c r="X6" s="71">
        <v>3</v>
      </c>
      <c r="Y6" s="71">
        <v>2</v>
      </c>
      <c r="Z6" s="71">
        <v>0</v>
      </c>
      <c r="AA6" s="71">
        <v>0</v>
      </c>
      <c r="AB6" s="71">
        <v>1</v>
      </c>
      <c r="AC6" s="71">
        <v>6</v>
      </c>
      <c r="AD6" s="71">
        <v>23</v>
      </c>
      <c r="AE6" s="71">
        <v>14</v>
      </c>
      <c r="AF6" s="71">
        <v>9</v>
      </c>
      <c r="AG6" s="71">
        <v>4</v>
      </c>
      <c r="AH6" s="71">
        <v>1</v>
      </c>
      <c r="AI6" s="71">
        <v>0</v>
      </c>
      <c r="AJ6" s="70">
        <v>25</v>
      </c>
      <c r="AK6" s="71">
        <v>3</v>
      </c>
      <c r="AL6" s="71">
        <v>0</v>
      </c>
      <c r="AM6" s="71">
        <v>0</v>
      </c>
      <c r="AN6" s="70">
        <v>100</v>
      </c>
      <c r="AO6" s="71">
        <v>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6</v>
      </c>
      <c r="AV6" s="71">
        <v>93</v>
      </c>
      <c r="AW6" s="70">
        <v>24.73</v>
      </c>
      <c r="AX6" s="71">
        <v>226</v>
      </c>
      <c r="AY6" s="71">
        <v>103</v>
      </c>
      <c r="AZ6" s="71">
        <v>110</v>
      </c>
      <c r="BA6" s="3" t="s">
        <v>79</v>
      </c>
      <c r="BB6" s="62" t="s">
        <v>102</v>
      </c>
      <c r="BC6" s="62">
        <f t="shared" si="23"/>
        <v>13</v>
      </c>
      <c r="BD6" s="62">
        <f t="shared" si="24"/>
        <v>14</v>
      </c>
      <c r="BE6" s="62">
        <f t="shared" si="25"/>
        <v>10</v>
      </c>
      <c r="BF6" s="62">
        <f t="shared" si="26"/>
        <v>13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3</v>
      </c>
      <c r="D7" s="76">
        <f t="shared" si="4"/>
        <v>2</v>
      </c>
      <c r="E7" s="76">
        <f t="shared" si="5"/>
        <v>0</v>
      </c>
      <c r="F7" s="76">
        <f t="shared" si="6"/>
        <v>0</v>
      </c>
      <c r="G7" s="76">
        <f t="shared" si="7"/>
        <v>1</v>
      </c>
      <c r="H7" s="78">
        <f t="shared" si="8"/>
        <v>6</v>
      </c>
      <c r="I7" s="76">
        <f t="shared" si="9"/>
        <v>19</v>
      </c>
      <c r="J7" s="76">
        <f t="shared" si="10"/>
        <v>12</v>
      </c>
      <c r="K7" s="76">
        <f t="shared" si="11"/>
        <v>7</v>
      </c>
      <c r="L7" s="76">
        <f t="shared" si="12"/>
        <v>4</v>
      </c>
      <c r="M7" s="76">
        <f t="shared" si="13"/>
        <v>4</v>
      </c>
      <c r="N7" s="76">
        <f t="shared" si="14"/>
        <v>0</v>
      </c>
      <c r="O7" s="67">
        <f t="shared" si="15"/>
        <v>100</v>
      </c>
      <c r="P7" s="76">
        <f t="shared" si="16"/>
        <v>5</v>
      </c>
      <c r="Q7" s="76">
        <f t="shared" si="17"/>
        <v>2</v>
      </c>
      <c r="R7" s="76">
        <f t="shared" si="18"/>
        <v>0</v>
      </c>
      <c r="S7" s="67">
        <f t="shared" si="19"/>
        <v>60</v>
      </c>
      <c r="T7" s="76">
        <f t="shared" si="20"/>
        <v>10</v>
      </c>
      <c r="U7" s="76">
        <f t="shared" si="21"/>
        <v>66</v>
      </c>
      <c r="V7" s="68">
        <f t="shared" si="22"/>
        <v>28.79</v>
      </c>
      <c r="W7" s="72" t="s">
        <v>75</v>
      </c>
      <c r="X7" s="71">
        <v>3</v>
      </c>
      <c r="Y7" s="71">
        <v>2</v>
      </c>
      <c r="Z7" s="71">
        <v>0</v>
      </c>
      <c r="AA7" s="71">
        <v>0</v>
      </c>
      <c r="AB7" s="71">
        <v>1</v>
      </c>
      <c r="AC7" s="71">
        <v>6</v>
      </c>
      <c r="AD7" s="71">
        <v>19</v>
      </c>
      <c r="AE7" s="71">
        <v>12</v>
      </c>
      <c r="AF7" s="71">
        <v>7</v>
      </c>
      <c r="AG7" s="71">
        <v>4</v>
      </c>
      <c r="AH7" s="71">
        <v>4</v>
      </c>
      <c r="AI7" s="71">
        <v>0</v>
      </c>
      <c r="AJ7" s="70">
        <v>100</v>
      </c>
      <c r="AK7" s="71">
        <v>5</v>
      </c>
      <c r="AL7" s="71">
        <v>2</v>
      </c>
      <c r="AM7" s="71">
        <v>0</v>
      </c>
      <c r="AN7" s="70">
        <v>60</v>
      </c>
      <c r="AO7" s="71">
        <v>5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10</v>
      </c>
      <c r="AV7" s="71">
        <v>66</v>
      </c>
      <c r="AW7" s="70">
        <v>28.79</v>
      </c>
      <c r="AX7" s="71">
        <v>117</v>
      </c>
      <c r="AY7" s="71">
        <v>471</v>
      </c>
      <c r="AZ7" s="71">
        <v>196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7</v>
      </c>
      <c r="BF7" s="62">
        <f t="shared" si="26"/>
        <v>8</v>
      </c>
    </row>
    <row r="8" spans="1:58" ht="24" customHeight="1" x14ac:dyDescent="0.25">
      <c r="A8" s="138">
        <v>7</v>
      </c>
      <c r="B8" s="25" t="str">
        <f t="shared" si="2"/>
        <v>ACEMA Sparta Praha</v>
      </c>
      <c r="C8" s="76">
        <f t="shared" si="3"/>
        <v>3</v>
      </c>
      <c r="D8" s="76">
        <f t="shared" si="4"/>
        <v>2</v>
      </c>
      <c r="E8" s="76">
        <f t="shared" si="5"/>
        <v>0</v>
      </c>
      <c r="F8" s="76">
        <f t="shared" si="6"/>
        <v>0</v>
      </c>
      <c r="G8" s="76">
        <f t="shared" si="7"/>
        <v>1</v>
      </c>
      <c r="H8" s="78">
        <f t="shared" si="8"/>
        <v>6</v>
      </c>
      <c r="I8" s="76">
        <f t="shared" si="9"/>
        <v>16</v>
      </c>
      <c r="J8" s="76">
        <f t="shared" si="10"/>
        <v>13</v>
      </c>
      <c r="K8" s="76">
        <f t="shared" si="11"/>
        <v>3</v>
      </c>
      <c r="L8" s="76">
        <f t="shared" si="12"/>
        <v>2</v>
      </c>
      <c r="M8" s="76">
        <f t="shared" si="13"/>
        <v>1</v>
      </c>
      <c r="N8" s="76">
        <f t="shared" si="14"/>
        <v>0</v>
      </c>
      <c r="O8" s="67">
        <f t="shared" si="15"/>
        <v>50</v>
      </c>
      <c r="P8" s="76">
        <f t="shared" si="16"/>
        <v>3</v>
      </c>
      <c r="Q8" s="76">
        <f t="shared" si="17"/>
        <v>3</v>
      </c>
      <c r="R8" s="76">
        <f t="shared" si="18"/>
        <v>0</v>
      </c>
      <c r="S8" s="67">
        <f t="shared" si="19"/>
        <v>0</v>
      </c>
      <c r="T8" s="76">
        <f t="shared" si="20"/>
        <v>6</v>
      </c>
      <c r="U8" s="76">
        <f t="shared" si="21"/>
        <v>78</v>
      </c>
      <c r="V8" s="68">
        <f t="shared" si="22"/>
        <v>20.51</v>
      </c>
      <c r="W8" s="72" t="s">
        <v>78</v>
      </c>
      <c r="X8" s="71">
        <v>3</v>
      </c>
      <c r="Y8" s="71">
        <v>2</v>
      </c>
      <c r="Z8" s="71">
        <v>0</v>
      </c>
      <c r="AA8" s="71">
        <v>0</v>
      </c>
      <c r="AB8" s="71">
        <v>1</v>
      </c>
      <c r="AC8" s="71">
        <v>6</v>
      </c>
      <c r="AD8" s="71">
        <v>16</v>
      </c>
      <c r="AE8" s="71">
        <v>13</v>
      </c>
      <c r="AF8" s="71">
        <v>3</v>
      </c>
      <c r="AG8" s="71">
        <v>2</v>
      </c>
      <c r="AH8" s="71">
        <v>1</v>
      </c>
      <c r="AI8" s="71">
        <v>0</v>
      </c>
      <c r="AJ8" s="70">
        <v>50</v>
      </c>
      <c r="AK8" s="71">
        <v>3</v>
      </c>
      <c r="AL8" s="71">
        <v>3</v>
      </c>
      <c r="AM8" s="71">
        <v>0</v>
      </c>
      <c r="AN8" s="70">
        <v>0</v>
      </c>
      <c r="AO8" s="71">
        <v>3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6</v>
      </c>
      <c r="AV8" s="71">
        <v>78</v>
      </c>
      <c r="AW8" s="70">
        <v>20.51</v>
      </c>
      <c r="AX8" s="71">
        <v>663</v>
      </c>
      <c r="AY8" s="71">
        <v>192</v>
      </c>
      <c r="AZ8" s="71">
        <v>285</v>
      </c>
      <c r="BA8" s="3" t="s">
        <v>82</v>
      </c>
      <c r="BB8" s="62" t="s">
        <v>105</v>
      </c>
      <c r="BC8" s="62">
        <f t="shared" si="23"/>
        <v>10</v>
      </c>
      <c r="BD8" s="62">
        <f t="shared" si="24"/>
        <v>3</v>
      </c>
      <c r="BE8" s="62">
        <f t="shared" si="25"/>
        <v>10</v>
      </c>
      <c r="BF8" s="62">
        <f t="shared" si="26"/>
        <v>1</v>
      </c>
    </row>
    <row r="9" spans="1:58" ht="24" customHeight="1" x14ac:dyDescent="0.25">
      <c r="A9" s="138">
        <v>8</v>
      </c>
      <c r="B9" s="25" t="str">
        <f t="shared" si="2"/>
        <v>FAT PIPE FLORBAL CHODOV</v>
      </c>
      <c r="C9" s="76">
        <f t="shared" si="3"/>
        <v>3</v>
      </c>
      <c r="D9" s="76">
        <f t="shared" si="4"/>
        <v>1</v>
      </c>
      <c r="E9" s="76">
        <f t="shared" si="5"/>
        <v>0</v>
      </c>
      <c r="F9" s="76">
        <f t="shared" si="6"/>
        <v>1</v>
      </c>
      <c r="G9" s="76">
        <f t="shared" si="7"/>
        <v>1</v>
      </c>
      <c r="H9" s="78">
        <f t="shared" si="8"/>
        <v>4</v>
      </c>
      <c r="I9" s="76">
        <f t="shared" si="9"/>
        <v>15</v>
      </c>
      <c r="J9" s="76">
        <f t="shared" si="10"/>
        <v>18</v>
      </c>
      <c r="K9" s="76">
        <f t="shared" si="11"/>
        <v>-3</v>
      </c>
      <c r="L9" s="76">
        <f t="shared" si="12"/>
        <v>3</v>
      </c>
      <c r="M9" s="76">
        <f t="shared" si="13"/>
        <v>1</v>
      </c>
      <c r="N9" s="76">
        <f t="shared" si="14"/>
        <v>0</v>
      </c>
      <c r="O9" s="67">
        <f t="shared" si="15"/>
        <v>33.33</v>
      </c>
      <c r="P9" s="76">
        <f t="shared" si="16"/>
        <v>4</v>
      </c>
      <c r="Q9" s="76">
        <f t="shared" si="17"/>
        <v>2</v>
      </c>
      <c r="R9" s="76">
        <f t="shared" si="18"/>
        <v>0</v>
      </c>
      <c r="S9" s="67">
        <f t="shared" si="19"/>
        <v>50</v>
      </c>
      <c r="T9" s="76">
        <f t="shared" si="20"/>
        <v>8</v>
      </c>
      <c r="U9" s="76">
        <f t="shared" si="21"/>
        <v>62</v>
      </c>
      <c r="V9" s="68">
        <f t="shared" si="22"/>
        <v>24.19</v>
      </c>
      <c r="W9" s="72" t="s">
        <v>76</v>
      </c>
      <c r="X9" s="71">
        <v>3</v>
      </c>
      <c r="Y9" s="71">
        <v>1</v>
      </c>
      <c r="Z9" s="71">
        <v>0</v>
      </c>
      <c r="AA9" s="71">
        <v>1</v>
      </c>
      <c r="AB9" s="71">
        <v>1</v>
      </c>
      <c r="AC9" s="71">
        <v>4</v>
      </c>
      <c r="AD9" s="71">
        <v>15</v>
      </c>
      <c r="AE9" s="71">
        <v>18</v>
      </c>
      <c r="AF9" s="71">
        <v>-3</v>
      </c>
      <c r="AG9" s="71">
        <v>3</v>
      </c>
      <c r="AH9" s="71">
        <v>1</v>
      </c>
      <c r="AI9" s="71">
        <v>0</v>
      </c>
      <c r="AJ9" s="70">
        <v>33.33</v>
      </c>
      <c r="AK9" s="71">
        <v>4</v>
      </c>
      <c r="AL9" s="71">
        <v>2</v>
      </c>
      <c r="AM9" s="71">
        <v>0</v>
      </c>
      <c r="AN9" s="70">
        <v>50</v>
      </c>
      <c r="AO9" s="71">
        <v>4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8</v>
      </c>
      <c r="AV9" s="71">
        <v>62</v>
      </c>
      <c r="AW9" s="70">
        <v>24.19</v>
      </c>
      <c r="AX9" s="71">
        <v>120</v>
      </c>
      <c r="AY9" s="71">
        <v>414</v>
      </c>
      <c r="AZ9" s="71">
        <v>178</v>
      </c>
      <c r="BA9" s="3" t="s">
        <v>74</v>
      </c>
      <c r="BB9" s="62" t="s">
        <v>98</v>
      </c>
      <c r="BC9" s="62">
        <f t="shared" si="23"/>
        <v>2</v>
      </c>
      <c r="BD9" s="62">
        <f t="shared" si="24"/>
        <v>8</v>
      </c>
      <c r="BE9" s="62">
        <f t="shared" si="25"/>
        <v>4</v>
      </c>
      <c r="BF9" s="62">
        <f t="shared" si="26"/>
        <v>2</v>
      </c>
    </row>
    <row r="10" spans="1:58" ht="24" customHeight="1" x14ac:dyDescent="0.25">
      <c r="A10" s="138">
        <v>9</v>
      </c>
      <c r="B10" s="25" t="str">
        <f t="shared" si="2"/>
        <v>Navláčil PANTHERS OTROKOVICE</v>
      </c>
      <c r="C10" s="76">
        <f t="shared" si="3"/>
        <v>3</v>
      </c>
      <c r="D10" s="76">
        <f t="shared" si="4"/>
        <v>1</v>
      </c>
      <c r="E10" s="76">
        <f t="shared" si="5"/>
        <v>0</v>
      </c>
      <c r="F10" s="76">
        <f t="shared" si="6"/>
        <v>0</v>
      </c>
      <c r="G10" s="76">
        <f t="shared" si="7"/>
        <v>2</v>
      </c>
      <c r="H10" s="78">
        <f t="shared" si="8"/>
        <v>3</v>
      </c>
      <c r="I10" s="76">
        <f t="shared" si="9"/>
        <v>18</v>
      </c>
      <c r="J10" s="76">
        <f t="shared" si="10"/>
        <v>17</v>
      </c>
      <c r="K10" s="76">
        <f t="shared" si="11"/>
        <v>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5</v>
      </c>
      <c r="Q10" s="76">
        <f t="shared" si="17"/>
        <v>2</v>
      </c>
      <c r="R10" s="76">
        <f t="shared" si="18"/>
        <v>0</v>
      </c>
      <c r="S10" s="67">
        <f t="shared" si="19"/>
        <v>60</v>
      </c>
      <c r="T10" s="76">
        <f t="shared" si="20"/>
        <v>10</v>
      </c>
      <c r="U10" s="76">
        <f t="shared" si="21"/>
        <v>60</v>
      </c>
      <c r="V10" s="68">
        <f t="shared" si="22"/>
        <v>30</v>
      </c>
      <c r="W10" s="72" t="s">
        <v>77</v>
      </c>
      <c r="X10" s="71">
        <v>3</v>
      </c>
      <c r="Y10" s="71">
        <v>1</v>
      </c>
      <c r="Z10" s="71">
        <v>0</v>
      </c>
      <c r="AA10" s="71">
        <v>0</v>
      </c>
      <c r="AB10" s="71">
        <v>2</v>
      </c>
      <c r="AC10" s="71">
        <v>3</v>
      </c>
      <c r="AD10" s="71">
        <v>18</v>
      </c>
      <c r="AE10" s="71">
        <v>17</v>
      </c>
      <c r="AF10" s="71">
        <v>1</v>
      </c>
      <c r="AG10" s="71">
        <v>7</v>
      </c>
      <c r="AH10" s="71">
        <v>3</v>
      </c>
      <c r="AI10" s="71">
        <v>0</v>
      </c>
      <c r="AJ10" s="70">
        <v>42.86</v>
      </c>
      <c r="AK10" s="71">
        <v>5</v>
      </c>
      <c r="AL10" s="71">
        <v>2</v>
      </c>
      <c r="AM10" s="71">
        <v>0</v>
      </c>
      <c r="AN10" s="70">
        <v>60</v>
      </c>
      <c r="AO10" s="71">
        <v>5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10</v>
      </c>
      <c r="AV10" s="71">
        <v>60</v>
      </c>
      <c r="AW10" s="70">
        <v>30</v>
      </c>
      <c r="AX10" s="71">
        <v>110</v>
      </c>
      <c r="AY10" s="71">
        <v>314</v>
      </c>
      <c r="AZ10" s="71">
        <v>141</v>
      </c>
      <c r="BA10" s="3" t="s">
        <v>80</v>
      </c>
      <c r="BB10" s="62" t="s">
        <v>103</v>
      </c>
      <c r="BC10" s="62">
        <f t="shared" si="23"/>
        <v>12</v>
      </c>
      <c r="BD10" s="62">
        <f t="shared" si="24"/>
        <v>10</v>
      </c>
      <c r="BE10" s="62">
        <f t="shared" si="25"/>
        <v>3</v>
      </c>
      <c r="BF10" s="62">
        <f t="shared" si="26"/>
        <v>12</v>
      </c>
    </row>
    <row r="11" spans="1:58" ht="24" customHeight="1" x14ac:dyDescent="0.25">
      <c r="A11" s="138">
        <v>10</v>
      </c>
      <c r="B11" s="25" t="str">
        <f t="shared" si="2"/>
        <v>FBC Liberec</v>
      </c>
      <c r="C11" s="76">
        <f t="shared" si="3"/>
        <v>3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2</v>
      </c>
      <c r="H11" s="78">
        <f t="shared" si="8"/>
        <v>3</v>
      </c>
      <c r="I11" s="76">
        <f t="shared" si="9"/>
        <v>11</v>
      </c>
      <c r="J11" s="76">
        <f t="shared" si="10"/>
        <v>16</v>
      </c>
      <c r="K11" s="76">
        <f t="shared" si="11"/>
        <v>-5</v>
      </c>
      <c r="L11" s="76">
        <f t="shared" si="12"/>
        <v>5</v>
      </c>
      <c r="M11" s="76">
        <f t="shared" si="13"/>
        <v>3</v>
      </c>
      <c r="N11" s="76">
        <f t="shared" si="14"/>
        <v>0</v>
      </c>
      <c r="O11" s="67">
        <f t="shared" si="15"/>
        <v>60</v>
      </c>
      <c r="P11" s="76">
        <f t="shared" si="16"/>
        <v>2</v>
      </c>
      <c r="Q11" s="76">
        <f t="shared" si="17"/>
        <v>1</v>
      </c>
      <c r="R11" s="76">
        <f t="shared" si="18"/>
        <v>0</v>
      </c>
      <c r="S11" s="67">
        <f t="shared" si="19"/>
        <v>50</v>
      </c>
      <c r="T11" s="76">
        <f t="shared" si="20"/>
        <v>4</v>
      </c>
      <c r="U11" s="76">
        <f t="shared" si="21"/>
        <v>50</v>
      </c>
      <c r="V11" s="68">
        <f t="shared" si="22"/>
        <v>22</v>
      </c>
      <c r="W11" s="72" t="s">
        <v>82</v>
      </c>
      <c r="X11" s="71">
        <v>3</v>
      </c>
      <c r="Y11" s="71">
        <v>1</v>
      </c>
      <c r="Z11" s="71">
        <v>0</v>
      </c>
      <c r="AA11" s="71">
        <v>0</v>
      </c>
      <c r="AB11" s="71">
        <v>2</v>
      </c>
      <c r="AC11" s="71">
        <v>3</v>
      </c>
      <c r="AD11" s="71">
        <v>11</v>
      </c>
      <c r="AE11" s="71">
        <v>16</v>
      </c>
      <c r="AF11" s="71">
        <v>-5</v>
      </c>
      <c r="AG11" s="71">
        <v>5</v>
      </c>
      <c r="AH11" s="71">
        <v>3</v>
      </c>
      <c r="AI11" s="71">
        <v>0</v>
      </c>
      <c r="AJ11" s="70">
        <v>60</v>
      </c>
      <c r="AK11" s="71">
        <v>2</v>
      </c>
      <c r="AL11" s="71">
        <v>1</v>
      </c>
      <c r="AM11" s="71">
        <v>0</v>
      </c>
      <c r="AN11" s="70">
        <v>50</v>
      </c>
      <c r="AO11" s="71">
        <v>2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4</v>
      </c>
      <c r="AV11" s="71">
        <v>50</v>
      </c>
      <c r="AW11" s="70">
        <v>22</v>
      </c>
      <c r="AX11" s="71">
        <v>192</v>
      </c>
      <c r="AY11" s="71">
        <v>325</v>
      </c>
      <c r="AZ11" s="71">
        <v>172</v>
      </c>
      <c r="BA11" s="3" t="s">
        <v>77</v>
      </c>
      <c r="BB11" s="62" t="s">
        <v>100</v>
      </c>
      <c r="BC11" s="62">
        <f t="shared" si="23"/>
        <v>9</v>
      </c>
      <c r="BD11" s="62">
        <f t="shared" si="24"/>
        <v>7</v>
      </c>
      <c r="BE11" s="62">
        <f t="shared" si="25"/>
        <v>7</v>
      </c>
      <c r="BF11" s="62">
        <f t="shared" si="26"/>
        <v>8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3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2</v>
      </c>
      <c r="H12" s="78">
        <f t="shared" si="8"/>
        <v>3</v>
      </c>
      <c r="I12" s="76">
        <f t="shared" si="9"/>
        <v>15</v>
      </c>
      <c r="J12" s="76">
        <f t="shared" si="10"/>
        <v>24</v>
      </c>
      <c r="K12" s="76">
        <f t="shared" si="11"/>
        <v>-9</v>
      </c>
      <c r="L12" s="76">
        <f t="shared" si="12"/>
        <v>5</v>
      </c>
      <c r="M12" s="76">
        <f t="shared" si="13"/>
        <v>1</v>
      </c>
      <c r="N12" s="76">
        <f t="shared" si="14"/>
        <v>0</v>
      </c>
      <c r="O12" s="67">
        <f t="shared" si="15"/>
        <v>20</v>
      </c>
      <c r="P12" s="76">
        <f t="shared" si="16"/>
        <v>3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6</v>
      </c>
      <c r="U12" s="76">
        <f t="shared" si="21"/>
        <v>56</v>
      </c>
      <c r="V12" s="68">
        <f t="shared" si="22"/>
        <v>26.79</v>
      </c>
      <c r="W12" s="72" t="s">
        <v>81</v>
      </c>
      <c r="X12" s="71">
        <v>3</v>
      </c>
      <c r="Y12" s="71">
        <v>1</v>
      </c>
      <c r="Z12" s="71">
        <v>0</v>
      </c>
      <c r="AA12" s="71">
        <v>0</v>
      </c>
      <c r="AB12" s="71">
        <v>2</v>
      </c>
      <c r="AC12" s="71">
        <v>3</v>
      </c>
      <c r="AD12" s="71">
        <v>15</v>
      </c>
      <c r="AE12" s="71">
        <v>24</v>
      </c>
      <c r="AF12" s="71">
        <v>-9</v>
      </c>
      <c r="AG12" s="71">
        <v>5</v>
      </c>
      <c r="AH12" s="71">
        <v>1</v>
      </c>
      <c r="AI12" s="71">
        <v>0</v>
      </c>
      <c r="AJ12" s="70">
        <v>20</v>
      </c>
      <c r="AK12" s="71">
        <v>3</v>
      </c>
      <c r="AL12" s="71">
        <v>0</v>
      </c>
      <c r="AM12" s="71">
        <v>0</v>
      </c>
      <c r="AN12" s="70">
        <v>100</v>
      </c>
      <c r="AO12" s="71">
        <v>3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6</v>
      </c>
      <c r="AV12" s="71">
        <v>56</v>
      </c>
      <c r="AW12" s="70">
        <v>26.79</v>
      </c>
      <c r="AX12" s="71">
        <v>388</v>
      </c>
      <c r="AY12" s="71">
        <v>133</v>
      </c>
      <c r="AZ12" s="71">
        <v>174</v>
      </c>
      <c r="BA12" s="3" t="s">
        <v>71</v>
      </c>
      <c r="BB12" s="62" t="s">
        <v>23</v>
      </c>
      <c r="BC12" s="62">
        <f t="shared" si="23"/>
        <v>3</v>
      </c>
      <c r="BD12" s="62">
        <f t="shared" si="24"/>
        <v>1</v>
      </c>
      <c r="BE12" s="62">
        <f t="shared" si="25"/>
        <v>7</v>
      </c>
      <c r="BF12" s="62">
        <f t="shared" si="26"/>
        <v>8</v>
      </c>
    </row>
    <row r="13" spans="1:58" ht="24" customHeight="1" x14ac:dyDescent="0.25">
      <c r="A13" s="138">
        <v>12</v>
      </c>
      <c r="B13" s="25" t="str">
        <f t="shared" si="2"/>
        <v>FBŠ Hummel Hattrick Brno</v>
      </c>
      <c r="C13" s="76">
        <f t="shared" si="3"/>
        <v>3</v>
      </c>
      <c r="D13" s="76">
        <f t="shared" si="4"/>
        <v>0</v>
      </c>
      <c r="E13" s="76">
        <f t="shared" si="5"/>
        <v>0</v>
      </c>
      <c r="F13" s="76">
        <f t="shared" si="6"/>
        <v>0</v>
      </c>
      <c r="G13" s="76">
        <f t="shared" si="7"/>
        <v>3</v>
      </c>
      <c r="H13" s="78">
        <f t="shared" si="8"/>
        <v>0</v>
      </c>
      <c r="I13" s="76">
        <f t="shared" si="9"/>
        <v>12</v>
      </c>
      <c r="J13" s="76">
        <f t="shared" si="10"/>
        <v>21</v>
      </c>
      <c r="K13" s="76">
        <f t="shared" si="11"/>
        <v>-9</v>
      </c>
      <c r="L13" s="76">
        <f t="shared" si="12"/>
        <v>8</v>
      </c>
      <c r="M13" s="76">
        <f t="shared" si="13"/>
        <v>2</v>
      </c>
      <c r="N13" s="76">
        <f t="shared" si="14"/>
        <v>0</v>
      </c>
      <c r="O13" s="67">
        <f t="shared" si="15"/>
        <v>25</v>
      </c>
      <c r="P13" s="76">
        <f t="shared" si="16"/>
        <v>7</v>
      </c>
      <c r="Q13" s="76">
        <f t="shared" si="17"/>
        <v>2</v>
      </c>
      <c r="R13" s="76">
        <f t="shared" si="18"/>
        <v>0</v>
      </c>
      <c r="S13" s="67">
        <f t="shared" si="19"/>
        <v>71.430000000000007</v>
      </c>
      <c r="T13" s="76">
        <f t="shared" si="20"/>
        <v>16</v>
      </c>
      <c r="U13" s="76">
        <f t="shared" si="21"/>
        <v>76</v>
      </c>
      <c r="V13" s="68">
        <f t="shared" si="22"/>
        <v>15.79</v>
      </c>
      <c r="W13" s="72" t="s">
        <v>80</v>
      </c>
      <c r="X13" s="71">
        <v>3</v>
      </c>
      <c r="Y13" s="71">
        <v>0</v>
      </c>
      <c r="Z13" s="71">
        <v>0</v>
      </c>
      <c r="AA13" s="71">
        <v>0</v>
      </c>
      <c r="AB13" s="71">
        <v>3</v>
      </c>
      <c r="AC13" s="71">
        <v>0</v>
      </c>
      <c r="AD13" s="71">
        <v>12</v>
      </c>
      <c r="AE13" s="71">
        <v>21</v>
      </c>
      <c r="AF13" s="71">
        <v>-9</v>
      </c>
      <c r="AG13" s="71">
        <v>8</v>
      </c>
      <c r="AH13" s="71">
        <v>2</v>
      </c>
      <c r="AI13" s="71">
        <v>0</v>
      </c>
      <c r="AJ13" s="70">
        <v>25</v>
      </c>
      <c r="AK13" s="71">
        <v>7</v>
      </c>
      <c r="AL13" s="71">
        <v>2</v>
      </c>
      <c r="AM13" s="71">
        <v>0</v>
      </c>
      <c r="AN13" s="70">
        <v>71.430000000000007</v>
      </c>
      <c r="AO13" s="71">
        <v>8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16</v>
      </c>
      <c r="AV13" s="71">
        <v>76</v>
      </c>
      <c r="AW13" s="70">
        <v>15.79</v>
      </c>
      <c r="AX13" s="71">
        <v>229</v>
      </c>
      <c r="AY13" s="71">
        <v>205</v>
      </c>
      <c r="AZ13" s="71">
        <v>145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12</v>
      </c>
      <c r="BE13" s="62">
        <f t="shared" si="25"/>
        <v>1</v>
      </c>
      <c r="BF13" s="62">
        <f t="shared" si="26"/>
        <v>2</v>
      </c>
    </row>
    <row r="14" spans="1:58" ht="24" customHeight="1" x14ac:dyDescent="0.25">
      <c r="A14" s="138">
        <v>13</v>
      </c>
      <c r="B14" s="25" t="str">
        <f t="shared" si="2"/>
        <v>FBC 4CLEAN Česká Lípa</v>
      </c>
      <c r="C14" s="76">
        <f t="shared" si="3"/>
        <v>3</v>
      </c>
      <c r="D14" s="76">
        <f t="shared" si="4"/>
        <v>0</v>
      </c>
      <c r="E14" s="76">
        <f t="shared" si="5"/>
        <v>0</v>
      </c>
      <c r="F14" s="76">
        <f t="shared" si="6"/>
        <v>0</v>
      </c>
      <c r="G14" s="76">
        <f t="shared" si="7"/>
        <v>3</v>
      </c>
      <c r="H14" s="78">
        <f t="shared" si="8"/>
        <v>0</v>
      </c>
      <c r="I14" s="76">
        <f t="shared" si="9"/>
        <v>13</v>
      </c>
      <c r="J14" s="76">
        <f t="shared" si="10"/>
        <v>24</v>
      </c>
      <c r="K14" s="76">
        <f t="shared" si="11"/>
        <v>-11</v>
      </c>
      <c r="L14" s="76">
        <f t="shared" si="12"/>
        <v>1</v>
      </c>
      <c r="M14" s="76">
        <f t="shared" si="13"/>
        <v>0</v>
      </c>
      <c r="N14" s="76">
        <f t="shared" si="14"/>
        <v>0</v>
      </c>
      <c r="O14" s="67">
        <f t="shared" si="15"/>
        <v>0</v>
      </c>
      <c r="P14" s="76">
        <f t="shared" si="16"/>
        <v>10</v>
      </c>
      <c r="Q14" s="76">
        <f t="shared" si="17"/>
        <v>5</v>
      </c>
      <c r="R14" s="76">
        <f t="shared" si="18"/>
        <v>1</v>
      </c>
      <c r="S14" s="67">
        <f t="shared" si="19"/>
        <v>50</v>
      </c>
      <c r="T14" s="76">
        <f t="shared" si="20"/>
        <v>20</v>
      </c>
      <c r="U14" s="76">
        <f t="shared" si="21"/>
        <v>68</v>
      </c>
      <c r="V14" s="68">
        <f t="shared" si="22"/>
        <v>19.12</v>
      </c>
      <c r="W14" s="72" t="s">
        <v>79</v>
      </c>
      <c r="X14" s="71">
        <v>3</v>
      </c>
      <c r="Y14" s="71">
        <v>0</v>
      </c>
      <c r="Z14" s="71">
        <v>0</v>
      </c>
      <c r="AA14" s="71">
        <v>0</v>
      </c>
      <c r="AB14" s="71">
        <v>3</v>
      </c>
      <c r="AC14" s="71">
        <v>0</v>
      </c>
      <c r="AD14" s="71">
        <v>13</v>
      </c>
      <c r="AE14" s="71">
        <v>24</v>
      </c>
      <c r="AF14" s="71">
        <v>-11</v>
      </c>
      <c r="AG14" s="71">
        <v>1</v>
      </c>
      <c r="AH14" s="71">
        <v>0</v>
      </c>
      <c r="AI14" s="71">
        <v>0</v>
      </c>
      <c r="AJ14" s="70">
        <v>0</v>
      </c>
      <c r="AK14" s="71">
        <v>10</v>
      </c>
      <c r="AL14" s="71">
        <v>5</v>
      </c>
      <c r="AM14" s="71">
        <v>1</v>
      </c>
      <c r="AN14" s="70">
        <v>50</v>
      </c>
      <c r="AO14" s="71">
        <v>10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20</v>
      </c>
      <c r="AV14" s="71">
        <v>68</v>
      </c>
      <c r="AW14" s="70">
        <v>19.12</v>
      </c>
      <c r="AX14" s="71">
        <v>202</v>
      </c>
      <c r="AY14" s="71">
        <v>200</v>
      </c>
      <c r="AZ14" s="71">
        <v>134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4</v>
      </c>
      <c r="BE14" s="62">
        <f t="shared" si="25"/>
        <v>4</v>
      </c>
      <c r="BF14" s="62">
        <f t="shared" si="26"/>
        <v>2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3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3</v>
      </c>
      <c r="H15" s="79">
        <f t="shared" si="8"/>
        <v>0</v>
      </c>
      <c r="I15" s="135">
        <f t="shared" si="9"/>
        <v>5</v>
      </c>
      <c r="J15" s="135">
        <f t="shared" si="10"/>
        <v>26</v>
      </c>
      <c r="K15" s="135">
        <f t="shared" si="11"/>
        <v>-21</v>
      </c>
      <c r="L15" s="135">
        <f t="shared" si="12"/>
        <v>6</v>
      </c>
      <c r="M15" s="135">
        <f t="shared" si="13"/>
        <v>1</v>
      </c>
      <c r="N15" s="135">
        <f t="shared" si="14"/>
        <v>1</v>
      </c>
      <c r="O15" s="136">
        <f t="shared" si="15"/>
        <v>16.670000000000002</v>
      </c>
      <c r="P15" s="135">
        <f t="shared" si="16"/>
        <v>5</v>
      </c>
      <c r="Q15" s="135">
        <f t="shared" si="17"/>
        <v>4</v>
      </c>
      <c r="R15" s="135">
        <f t="shared" si="18"/>
        <v>0</v>
      </c>
      <c r="S15" s="136">
        <f t="shared" si="19"/>
        <v>20</v>
      </c>
      <c r="T15" s="135">
        <f t="shared" si="20"/>
        <v>10</v>
      </c>
      <c r="U15" s="135">
        <f t="shared" si="21"/>
        <v>44</v>
      </c>
      <c r="V15" s="137">
        <f t="shared" si="22"/>
        <v>11.36</v>
      </c>
      <c r="W15" s="72" t="s">
        <v>83</v>
      </c>
      <c r="X15" s="71">
        <v>3</v>
      </c>
      <c r="Y15" s="71">
        <v>0</v>
      </c>
      <c r="Z15" s="71">
        <v>0</v>
      </c>
      <c r="AA15" s="71">
        <v>0</v>
      </c>
      <c r="AB15" s="71">
        <v>3</v>
      </c>
      <c r="AC15" s="71">
        <v>0</v>
      </c>
      <c r="AD15" s="71">
        <v>5</v>
      </c>
      <c r="AE15" s="71">
        <v>26</v>
      </c>
      <c r="AF15" s="71">
        <v>-21</v>
      </c>
      <c r="AG15" s="71">
        <v>6</v>
      </c>
      <c r="AH15" s="71">
        <v>1</v>
      </c>
      <c r="AI15" s="71">
        <v>1</v>
      </c>
      <c r="AJ15" s="70">
        <v>16.670000000000002</v>
      </c>
      <c r="AK15" s="71">
        <v>5</v>
      </c>
      <c r="AL15" s="71">
        <v>4</v>
      </c>
      <c r="AM15" s="71">
        <v>0</v>
      </c>
      <c r="AN15" s="70">
        <v>20</v>
      </c>
      <c r="AO15" s="71">
        <v>5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10</v>
      </c>
      <c r="AV15" s="71">
        <v>44</v>
      </c>
      <c r="AW15" s="70">
        <v>11.36</v>
      </c>
      <c r="AX15" s="71">
        <v>184</v>
      </c>
      <c r="AY15" s="71">
        <v>117</v>
      </c>
      <c r="AZ15" s="71">
        <v>100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13</v>
      </c>
      <c r="BE15" s="62">
        <f t="shared" si="25"/>
        <v>13</v>
      </c>
      <c r="BF15" s="62">
        <f t="shared" si="26"/>
        <v>8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17" t="s">
        <v>5</v>
      </c>
      <c r="B1" s="217"/>
      <c r="C1" s="217"/>
      <c r="D1" s="217"/>
      <c r="E1" s="217"/>
      <c r="F1" s="217"/>
      <c r="G1" s="217"/>
      <c r="H1" s="217"/>
      <c r="I1" s="217"/>
      <c r="J1" s="217" t="s">
        <v>102</v>
      </c>
      <c r="K1" s="217"/>
      <c r="L1" s="217"/>
      <c r="M1" s="217"/>
      <c r="N1" s="217"/>
      <c r="O1" s="217"/>
      <c r="P1" s="217"/>
      <c r="Q1" s="217"/>
      <c r="R1" s="217"/>
      <c r="S1" s="280" t="s">
        <v>52</v>
      </c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2"/>
    </row>
    <row r="2" spans="1:31" ht="15" customHeight="1" thickBot="1" x14ac:dyDescent="0.3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159" t="s">
        <v>47</v>
      </c>
      <c r="T2" s="160" t="s">
        <v>48</v>
      </c>
      <c r="U2" s="160" t="s">
        <v>28</v>
      </c>
      <c r="V2" s="161" t="s">
        <v>49</v>
      </c>
      <c r="W2" s="162" t="s">
        <v>216</v>
      </c>
      <c r="X2" s="283" t="s">
        <v>50</v>
      </c>
      <c r="Y2" s="284"/>
      <c r="Z2" s="284"/>
      <c r="AA2" s="284"/>
      <c r="AB2" s="64" t="s">
        <v>28</v>
      </c>
      <c r="AC2" s="284" t="s">
        <v>49</v>
      </c>
      <c r="AD2" s="284"/>
      <c r="AE2" s="285"/>
    </row>
    <row r="3" spans="1:31" ht="15" customHeight="1" thickTop="1" thickBot="1" x14ac:dyDescent="0.3">
      <c r="A3" s="223" t="str">
        <f>INDEX(tabulka!$BA$2:$BA$15,MATCH($A$1,tabulka!$BB$2:$BB$15,0))</f>
        <v>TJ Sokol Královské Vinohrady</v>
      </c>
      <c r="B3" s="223"/>
      <c r="C3" s="223"/>
      <c r="D3" s="223"/>
      <c r="E3" s="223"/>
      <c r="F3" s="223"/>
      <c r="G3" s="223"/>
      <c r="H3" s="223"/>
      <c r="I3" s="223"/>
      <c r="J3" s="223" t="str">
        <f>INDEX(tabulka!$BA$2:$BA$15,MATCH($J$1,tabulka!$BB$2:$BB$15,0))</f>
        <v>FBC 4CLEAN Česká Lípa</v>
      </c>
      <c r="K3" s="223"/>
      <c r="L3" s="223"/>
      <c r="M3" s="223"/>
      <c r="N3" s="223"/>
      <c r="O3" s="223"/>
      <c r="P3" s="223"/>
      <c r="Q3" s="223"/>
      <c r="R3" s="223"/>
      <c r="S3" s="163" t="s">
        <v>5</v>
      </c>
      <c r="T3" s="164" t="s">
        <v>102</v>
      </c>
      <c r="U3" s="164" t="s">
        <v>1130</v>
      </c>
      <c r="V3" s="165" t="s">
        <v>112</v>
      </c>
      <c r="W3" s="166" t="s">
        <v>43</v>
      </c>
      <c r="X3" s="286" t="str">
        <f>IF(S3&lt;&gt;"",CONCATENATE(S3, " - ",T3),"")</f>
        <v>SKV - CLP</v>
      </c>
      <c r="Y3" s="286"/>
      <c r="Z3" s="286"/>
      <c r="AA3" s="287"/>
      <c r="AB3" s="175" t="str">
        <f>IF(U3&lt;&gt;"",U3,"")</f>
        <v>3:4p</v>
      </c>
      <c r="AC3" s="320" t="str">
        <f>IF(AND(V3&lt;&gt;"",W3&lt;&gt;""),CONCATENATE(V3," (",W3,")"),IF(V3&lt;&gt;"",V3,""))</f>
        <v>2020/2021 (ZČ)</v>
      </c>
      <c r="AD3" s="286"/>
      <c r="AE3" s="321"/>
    </row>
    <row r="4" spans="1:31" ht="15" customHeight="1" thickTop="1" thickBot="1" x14ac:dyDescent="0.3">
      <c r="A4" s="219" t="s">
        <v>25</v>
      </c>
      <c r="B4" s="220"/>
      <c r="C4" s="28" t="s">
        <v>26</v>
      </c>
      <c r="D4" s="28" t="s">
        <v>27</v>
      </c>
      <c r="E4" s="220" t="s">
        <v>28</v>
      </c>
      <c r="F4" s="220"/>
      <c r="G4" s="28" t="s">
        <v>29</v>
      </c>
      <c r="H4" s="28" t="s">
        <v>30</v>
      </c>
      <c r="I4" s="29" t="s">
        <v>31</v>
      </c>
      <c r="J4" s="221" t="s">
        <v>25</v>
      </c>
      <c r="K4" s="222"/>
      <c r="L4" s="30" t="s">
        <v>26</v>
      </c>
      <c r="M4" s="30" t="s">
        <v>27</v>
      </c>
      <c r="N4" s="222" t="s">
        <v>28</v>
      </c>
      <c r="O4" s="222"/>
      <c r="P4" s="30" t="s">
        <v>29</v>
      </c>
      <c r="Q4" s="30" t="s">
        <v>30</v>
      </c>
      <c r="R4" s="188" t="s">
        <v>31</v>
      </c>
      <c r="S4" s="167" t="s">
        <v>102</v>
      </c>
      <c r="T4" s="168" t="s">
        <v>5</v>
      </c>
      <c r="U4" s="168" t="s">
        <v>1131</v>
      </c>
      <c r="V4" s="169" t="s">
        <v>112</v>
      </c>
      <c r="W4" s="170" t="s">
        <v>43</v>
      </c>
      <c r="X4" s="190" t="str">
        <f t="shared" ref="X4:X14" si="0">IF(S4&lt;&gt;"",CONCATENATE(S4, " - ",T4),"")</f>
        <v>CLP - SKV</v>
      </c>
      <c r="Y4" s="190"/>
      <c r="Z4" s="190"/>
      <c r="AA4" s="191"/>
      <c r="AB4" s="148" t="str">
        <f t="shared" ref="AB4:AB14" si="1">IF(U4&lt;&gt;"",U4,"")</f>
        <v>11:5</v>
      </c>
      <c r="AC4" s="192" t="str">
        <f t="shared" ref="AC4:AC14" si="2">IF(AND(V4&lt;&gt;"",W4&lt;&gt;""),CONCATENATE(V4," (",W4,")"),IF(V4&lt;&gt;"",V4,""))</f>
        <v>2020/2021 (ZČ)</v>
      </c>
      <c r="AD4" s="190"/>
      <c r="AE4" s="193"/>
    </row>
    <row r="5" spans="1:31" ht="15" customHeight="1" thickBot="1" x14ac:dyDescent="0.3">
      <c r="A5" s="198" t="str">
        <f>IFERROR(CONCATENATE(VLOOKUP($A$1,tabulka!$BB$2:$BF$15,2,FALSE),". místo"),"")</f>
        <v>14. místo</v>
      </c>
      <c r="B5" s="199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3</v>
      </c>
      <c r="E5" s="199" t="str">
        <f>IFERROR(CONCATENATE(VLOOKUP($A$3,tabulka!$B$2:$V$15,8,FALSE),":",VLOOKUP($A$3,tabulka!$B$2:$V$15,9,FALSE)),"")</f>
        <v>5:26</v>
      </c>
      <c r="F5" s="199"/>
      <c r="G5" s="82">
        <f>IFERROR(VLOOKUP($A$3,tabulka!$B$2:$V$15,14,FALSE),"")</f>
        <v>16.670000000000002</v>
      </c>
      <c r="H5" s="82">
        <f>IFERROR(VLOOKUP($A$3,tabulka!$B$2:$V$15,18,FALSE),"")</f>
        <v>20</v>
      </c>
      <c r="I5" s="33">
        <f>IFERROR(VLOOKUP($A$3,tabulka!$B$2:$V$15,19,FALSE),"")</f>
        <v>10</v>
      </c>
      <c r="J5" s="200" t="str">
        <f>IFERROR(CONCATENATE(VLOOKUP($J$1,tabulka!$BB$2:$BF$15,2,FALSE),". místo"),"")</f>
        <v>13. místo</v>
      </c>
      <c r="K5" s="201"/>
      <c r="L5" s="34">
        <f>IFERROR(VLOOKUP($J$3,tabulka!$B$2:$V$15,3,FALSE)+VLOOKUP($J$3,tabulka!$B$2:$V$15,4,FALSE),"")</f>
        <v>0</v>
      </c>
      <c r="M5" s="35">
        <f>IFERROR(VLOOKUP($J$3,tabulka!$B$2:$V$15,5,FALSE)+VLOOKUP($J$3,tabulka!$B$2:$V$15,6,FALSE),"")</f>
        <v>3</v>
      </c>
      <c r="N5" s="201" t="str">
        <f>IFERROR(CONCATENATE(VLOOKUP($J$3,tabulka!$B$2:$V$15,8,FALSE),":",VLOOKUP($J$3,tabulka!$B$2:$V$15,9,FALSE)),"")</f>
        <v>13:24</v>
      </c>
      <c r="O5" s="201"/>
      <c r="P5" s="83">
        <f>IFERROR(VLOOKUP($J$3,tabulka!$B$2:$V$15,14,FALSE),"")</f>
        <v>0</v>
      </c>
      <c r="Q5" s="83">
        <f>IFERROR(VLOOKUP($J$3,tabulka!$B$2:$V$15,18,FALSE),"")</f>
        <v>50</v>
      </c>
      <c r="R5" s="189">
        <f>IFERROR(VLOOKUP($J$3,tabulka!$B$2:$V$15,19,FALSE),"")</f>
        <v>20</v>
      </c>
      <c r="S5" s="167" t="s">
        <v>102</v>
      </c>
      <c r="T5" s="168" t="s">
        <v>5</v>
      </c>
      <c r="U5" s="168" t="s">
        <v>1132</v>
      </c>
      <c r="V5" s="169" t="s">
        <v>114</v>
      </c>
      <c r="W5" s="170" t="s">
        <v>43</v>
      </c>
      <c r="X5" s="190" t="str">
        <f t="shared" si="0"/>
        <v>CLP - SKV</v>
      </c>
      <c r="Y5" s="190"/>
      <c r="Z5" s="190"/>
      <c r="AA5" s="191"/>
      <c r="AB5" s="148" t="str">
        <f t="shared" si="1"/>
        <v>6:7p</v>
      </c>
      <c r="AC5" s="192" t="str">
        <f t="shared" si="2"/>
        <v>2019/2020 (ZČ)</v>
      </c>
      <c r="AD5" s="190"/>
      <c r="AE5" s="193"/>
    </row>
    <row r="6" spans="1:31" ht="15" customHeight="1" thickTop="1" x14ac:dyDescent="0.25">
      <c r="A6" s="26"/>
      <c r="B6" s="26"/>
      <c r="C6" s="26"/>
      <c r="D6" s="26"/>
      <c r="E6" s="226" t="s">
        <v>110</v>
      </c>
      <c r="F6" s="226"/>
      <c r="G6" s="36">
        <f>IFERROR(VLOOKUP($A$1,tabulka!$BB$2:$BF$15,3,FALSE),"")</f>
        <v>13</v>
      </c>
      <c r="H6" s="36">
        <f>IFERROR(VLOOKUP($A$1,tabulka!$BB$2:$BF$15,4,FALSE),"")</f>
        <v>13</v>
      </c>
      <c r="I6" s="36">
        <f>IFERROR(VLOOKUP($A$1,tabulka!$BB$2:$BF$15,5,FALSE),"")</f>
        <v>8</v>
      </c>
      <c r="J6" s="26"/>
      <c r="K6" s="26"/>
      <c r="L6" s="26"/>
      <c r="N6" s="226" t="s">
        <v>110</v>
      </c>
      <c r="O6" s="226"/>
      <c r="P6" s="36">
        <f>IFERROR(VLOOKUP($J$1,tabulka!$BB$2:$BF$15,3,FALSE),"")</f>
        <v>14</v>
      </c>
      <c r="Q6" s="36">
        <f>IFERROR(VLOOKUP($J$1,tabulka!$BB$2:$BF$15,4,FALSE),"")</f>
        <v>10</v>
      </c>
      <c r="R6" s="36">
        <f>IFERROR(VLOOKUP($J$1,tabulka!$BB$2:$BF$15,5,FALSE),"")</f>
        <v>13</v>
      </c>
      <c r="S6" s="167" t="s">
        <v>5</v>
      </c>
      <c r="T6" s="168" t="s">
        <v>102</v>
      </c>
      <c r="U6" s="168" t="s">
        <v>1133</v>
      </c>
      <c r="V6" s="169" t="s">
        <v>114</v>
      </c>
      <c r="W6" s="170" t="s">
        <v>43</v>
      </c>
      <c r="X6" s="190" t="str">
        <f t="shared" si="0"/>
        <v>SKV - CLP</v>
      </c>
      <c r="Y6" s="190"/>
      <c r="Z6" s="190"/>
      <c r="AA6" s="191"/>
      <c r="AB6" s="148" t="str">
        <f t="shared" si="1"/>
        <v>8:5</v>
      </c>
      <c r="AC6" s="192" t="str">
        <f t="shared" si="2"/>
        <v>2019/2020 (ZČ)</v>
      </c>
      <c r="AD6" s="190"/>
      <c r="AE6" s="193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7" t="s">
        <v>5</v>
      </c>
      <c r="T7" s="168" t="s">
        <v>102</v>
      </c>
      <c r="U7" s="168" t="s">
        <v>113</v>
      </c>
      <c r="V7" s="169" t="s">
        <v>115</v>
      </c>
      <c r="W7" s="170" t="s">
        <v>43</v>
      </c>
      <c r="X7" s="190" t="str">
        <f t="shared" si="0"/>
        <v>SKV - CLP</v>
      </c>
      <c r="Y7" s="190"/>
      <c r="Z7" s="190"/>
      <c r="AA7" s="191"/>
      <c r="AB7" s="148" t="str">
        <f t="shared" si="1"/>
        <v>7:6p</v>
      </c>
      <c r="AC7" s="192" t="str">
        <f t="shared" si="2"/>
        <v>2018/2019 (ZČ)</v>
      </c>
      <c r="AD7" s="190"/>
      <c r="AE7" s="193"/>
    </row>
    <row r="8" spans="1:31" ht="15" customHeight="1" thickTop="1" thickBot="1" x14ac:dyDescent="0.3">
      <c r="A8" s="202" t="s">
        <v>32</v>
      </c>
      <c r="B8" s="203"/>
      <c r="C8" s="204" t="str">
        <f ca="1">IFERROR(IF(INDIRECT("priprava_" &amp; A1 &amp; "!BY12")&lt;&gt;0,INDIRECT("priprava_" &amp; A1 &amp; "!BY12"),""),"")</f>
        <v>P - P - P</v>
      </c>
      <c r="D8" s="204"/>
      <c r="E8" s="204"/>
      <c r="F8" s="204"/>
      <c r="G8" s="204"/>
      <c r="H8" s="205"/>
      <c r="I8" s="25"/>
      <c r="J8" s="206" t="s">
        <v>32</v>
      </c>
      <c r="K8" s="207"/>
      <c r="L8" s="208" t="str">
        <f ca="1">IFERROR(IF(INDIRECT("priprava_" &amp; J1 &amp; "!BY12")&lt;&gt;0,INDIRECT("priprava_" &amp; J1 &amp; "!BY12"),""),"")</f>
        <v>P - P - P</v>
      </c>
      <c r="M8" s="208"/>
      <c r="N8" s="208"/>
      <c r="O8" s="208"/>
      <c r="P8" s="208"/>
      <c r="Q8" s="209"/>
      <c r="R8" s="25"/>
      <c r="S8" s="167" t="s">
        <v>102</v>
      </c>
      <c r="T8" s="168" t="s">
        <v>5</v>
      </c>
      <c r="U8" s="168" t="s">
        <v>1131</v>
      </c>
      <c r="V8" s="169" t="s">
        <v>115</v>
      </c>
      <c r="W8" s="170" t="s">
        <v>43</v>
      </c>
      <c r="X8" s="190" t="str">
        <f t="shared" si="0"/>
        <v>CLP - SKV</v>
      </c>
      <c r="Y8" s="190"/>
      <c r="Z8" s="190"/>
      <c r="AA8" s="191"/>
      <c r="AB8" s="148" t="str">
        <f t="shared" si="1"/>
        <v>11:5</v>
      </c>
      <c r="AC8" s="192" t="str">
        <f t="shared" si="2"/>
        <v>2018/2019 (ZČ)</v>
      </c>
      <c r="AD8" s="190"/>
      <c r="AE8" s="193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7"/>
      <c r="T9" s="168"/>
      <c r="U9" s="168"/>
      <c r="V9" s="169"/>
      <c r="W9" s="170"/>
      <c r="X9" s="190" t="str">
        <f t="shared" si="0"/>
        <v/>
      </c>
      <c r="Y9" s="190"/>
      <c r="Z9" s="190"/>
      <c r="AA9" s="191"/>
      <c r="AB9" s="148" t="str">
        <f t="shared" si="1"/>
        <v/>
      </c>
      <c r="AC9" s="192" t="str">
        <f t="shared" si="2"/>
        <v/>
      </c>
      <c r="AD9" s="190"/>
      <c r="AE9" s="193"/>
    </row>
    <row r="10" spans="1:31" ht="15" customHeight="1" thickTop="1" thickBot="1" x14ac:dyDescent="0.3">
      <c r="A10" s="219" t="s">
        <v>33</v>
      </c>
      <c r="B10" s="220"/>
      <c r="C10" s="220"/>
      <c r="D10" s="224"/>
      <c r="E10" s="225" t="s">
        <v>34</v>
      </c>
      <c r="F10" s="220"/>
      <c r="G10" s="220"/>
      <c r="H10" s="224"/>
      <c r="I10" s="25"/>
      <c r="J10" s="219" t="s">
        <v>33</v>
      </c>
      <c r="K10" s="220"/>
      <c r="L10" s="220"/>
      <c r="M10" s="224"/>
      <c r="N10" s="225" t="s">
        <v>34</v>
      </c>
      <c r="O10" s="220"/>
      <c r="P10" s="220"/>
      <c r="Q10" s="224"/>
      <c r="R10" s="37"/>
      <c r="S10" s="167"/>
      <c r="T10" s="168"/>
      <c r="U10" s="168"/>
      <c r="V10" s="169"/>
      <c r="W10" s="170"/>
      <c r="X10" s="190" t="str">
        <f t="shared" si="0"/>
        <v/>
      </c>
      <c r="Y10" s="190"/>
      <c r="Z10" s="190"/>
      <c r="AA10" s="191"/>
      <c r="AB10" s="148" t="str">
        <f t="shared" si="1"/>
        <v/>
      </c>
      <c r="AC10" s="192" t="str">
        <f t="shared" si="2"/>
        <v/>
      </c>
      <c r="AD10" s="190"/>
      <c r="AE10" s="193"/>
    </row>
    <row r="11" spans="1:31" ht="15" customHeight="1" x14ac:dyDescent="0.25">
      <c r="A11" s="210" t="str">
        <f ca="1">IFERROR(IF(INDIRECT("priprava_" &amp; A$1 &amp; "!BZ2")&lt;&gt;"",INDIRECT("priprava_" &amp; A$1 &amp; "!BZ2"),""),"")</f>
        <v>LIB</v>
      </c>
      <c r="B11" s="211"/>
      <c r="C11" s="212" t="str">
        <f ca="1">IFERROR(IF(A11&lt;&gt;"",INDIRECT("priprava_" &amp; A$1 &amp; "!CA2"),""),"")</f>
        <v>2:7</v>
      </c>
      <c r="D11" s="213"/>
      <c r="E11" s="214" t="str">
        <f ca="1">IFERROR(IF(INDIRECT("priprava_" &amp; A$1 &amp; "!BZ7")&lt;&gt;"",INDIRECT("priprava_" &amp; A$1 &amp; "!BZ7"),""),"")</f>
        <v>CHO</v>
      </c>
      <c r="F11" s="211"/>
      <c r="G11" s="212" t="str">
        <f ca="1">IFERROR(IF(E11&lt;&gt;"",INDIRECT("priprava_" &amp; A$1 &amp; "!BY7"),""),"")</f>
        <v>25. 9.</v>
      </c>
      <c r="H11" s="213"/>
      <c r="I11" s="25"/>
      <c r="J11" s="210" t="str">
        <f ca="1">IFERROR(IF(INDIRECT("priprava_" &amp; J$1 &amp; "!BZ2")&lt;&gt;"",INDIRECT("priprava_" &amp; J$1 &amp; "!BZ2"),""),"")</f>
        <v>VIT</v>
      </c>
      <c r="K11" s="211"/>
      <c r="L11" s="212" t="str">
        <f ca="1">IFERROR(IF(J11&lt;&gt;"",INDIRECT("priprava_" &amp; J$1 &amp; "!CA2"),""),"")</f>
        <v>3:8</v>
      </c>
      <c r="M11" s="213"/>
      <c r="N11" s="214" t="str">
        <f ca="1">IFERROR(IF(INDIRECT("priprava_" &amp; J$1 &amp; "!BZ7")&lt;&gt;"",INDIRECT("priprava_" &amp; J$1 &amp; "!BZ7"),""),"")</f>
        <v>OST</v>
      </c>
      <c r="O11" s="211"/>
      <c r="P11" s="212" t="str">
        <f ca="1">IFERROR(IF(N11&lt;&gt;"",INDIRECT("priprava_" &amp; J$1 &amp; "!BY7"),""),"")</f>
        <v>25. 9.</v>
      </c>
      <c r="Q11" s="213"/>
      <c r="R11" s="38"/>
      <c r="S11" s="167"/>
      <c r="T11" s="168"/>
      <c r="U11" s="168"/>
      <c r="V11" s="169"/>
      <c r="W11" s="170"/>
      <c r="X11" s="190" t="str">
        <f t="shared" si="0"/>
        <v/>
      </c>
      <c r="Y11" s="190"/>
      <c r="Z11" s="190"/>
      <c r="AA11" s="191"/>
      <c r="AB11" s="148" t="str">
        <f t="shared" si="1"/>
        <v/>
      </c>
      <c r="AC11" s="192" t="str">
        <f t="shared" si="2"/>
        <v/>
      </c>
      <c r="AD11" s="190"/>
      <c r="AE11" s="193"/>
    </row>
    <row r="12" spans="1:31" ht="15" customHeight="1" x14ac:dyDescent="0.25">
      <c r="A12" s="215" t="str">
        <f ca="1">IFERROR(IF(INDIRECT("priprava_" &amp; A$1 &amp; "!BZ3")&lt;&gt;"",INDIRECT("priprava_" &amp; A$1 &amp; "!BZ3"),""),"")</f>
        <v>OST</v>
      </c>
      <c r="B12" s="216"/>
      <c r="C12" s="227" t="str">
        <f ca="1">IFERROR(IF(A12&lt;&gt;"",INDIRECT("priprava_" &amp; A$1 &amp; "!CA3"),""),"")</f>
        <v>1:8</v>
      </c>
      <c r="D12" s="228"/>
      <c r="E12" s="191" t="str">
        <f ca="1">IFERROR(IF(INDIRECT("priprava_" &amp; A$1 &amp; "!BZ8")&lt;&gt;"",INDIRECT("priprava_" &amp; A$1 &amp; "!BZ8"),""),"")</f>
        <v>BA</v>
      </c>
      <c r="F12" s="216"/>
      <c r="G12" s="227" t="str">
        <f ca="1">IFERROR(IF(E12&lt;&gt;"",INDIRECT("priprava_" &amp; A$1 &amp; "!BY8"),""),"")</f>
        <v>28. 9.</v>
      </c>
      <c r="H12" s="228"/>
      <c r="I12" s="26"/>
      <c r="J12" s="215" t="str">
        <f ca="1">IFERROR(IF(INDIRECT("priprava_" &amp; J$1 &amp; "!BZ3")&lt;&gt;"",INDIRECT("priprava_" &amp; J$1 &amp; "!BZ3"),""),"")</f>
        <v>TAT</v>
      </c>
      <c r="K12" s="216"/>
      <c r="L12" s="227" t="str">
        <f ca="1">IFERROR(IF(J12&lt;&gt;"",INDIRECT("priprava_" &amp; J$1 &amp; "!CA3"),""),"")</f>
        <v>4:6</v>
      </c>
      <c r="M12" s="228"/>
      <c r="N12" s="191" t="str">
        <f ca="1">IFERROR(IF(INDIRECT("priprava_" &amp; J$1 &amp; "!BZ8")&lt;&gt;"",INDIRECT("priprava_" &amp; J$1 &amp; "!BZ8"),""),"")</f>
        <v>HAT</v>
      </c>
      <c r="O12" s="216"/>
      <c r="P12" s="227" t="str">
        <f ca="1">IFERROR(IF(N12&lt;&gt;"",INDIRECT("priprava_" &amp; J$1 &amp; "!BY8"),""),"")</f>
        <v>28. 9.</v>
      </c>
      <c r="Q12" s="228"/>
      <c r="R12" s="25"/>
      <c r="S12" s="167"/>
      <c r="T12" s="168"/>
      <c r="U12" s="168"/>
      <c r="V12" s="169"/>
      <c r="W12" s="170"/>
      <c r="X12" s="190" t="str">
        <f t="shared" si="0"/>
        <v/>
      </c>
      <c r="Y12" s="190"/>
      <c r="Z12" s="190"/>
      <c r="AA12" s="191"/>
      <c r="AB12" s="148" t="str">
        <f t="shared" si="1"/>
        <v/>
      </c>
      <c r="AC12" s="192" t="str">
        <f t="shared" si="2"/>
        <v/>
      </c>
      <c r="AD12" s="190"/>
      <c r="AE12" s="193"/>
    </row>
    <row r="13" spans="1:31" ht="15" customHeight="1" x14ac:dyDescent="0.25">
      <c r="A13" s="229" t="str">
        <f ca="1">IFERROR(IF(INDIRECT("priprava_" &amp; A$1 &amp; "!BZ4")&lt;&gt;"",INDIRECT("priprava_" &amp; A$1 &amp; "!BZ4"),""),"")</f>
        <v>TAT</v>
      </c>
      <c r="B13" s="230"/>
      <c r="C13" s="231" t="str">
        <f ca="1">IFERROR(IF(A13&lt;&gt;"",INDIRECT("priprava_" &amp; A$1 &amp; "!CA4"),""),"")</f>
        <v>2:11</v>
      </c>
      <c r="D13" s="232"/>
      <c r="E13" s="233" t="str">
        <f ca="1">IFERROR(IF(INDIRECT("priprava_" &amp; A$1 &amp; "!BZ9")&lt;&gt;"",INDIRECT("priprava_" &amp; A$1 &amp; "!BZ9"),""),"")</f>
        <v>CLP</v>
      </c>
      <c r="F13" s="230"/>
      <c r="G13" s="231" t="str">
        <f ca="1">IFERROR(IF(E13&lt;&gt;"",INDIRECT("priprava_" &amp; A$1 &amp; "!BY9"),""),"")</f>
        <v>2. 10.</v>
      </c>
      <c r="H13" s="232"/>
      <c r="I13" s="25"/>
      <c r="J13" s="229" t="str">
        <f ca="1">IFERROR(IF(INDIRECT("priprava_" &amp; J$1 &amp; "!BZ4")&lt;&gt;"",INDIRECT("priprava_" &amp; J$1 &amp; "!BZ4"),""),"")</f>
        <v>BOH</v>
      </c>
      <c r="K13" s="230"/>
      <c r="L13" s="231" t="str">
        <f ca="1">IFERROR(IF(J13&lt;&gt;"",INDIRECT("priprava_" &amp; J$1 &amp; "!CA4"),""),"")</f>
        <v>6:10</v>
      </c>
      <c r="M13" s="232"/>
      <c r="N13" s="233" t="str">
        <f ca="1">IFERROR(IF(INDIRECT("priprava_" &amp; J$1 &amp; "!BZ9")&lt;&gt;"",INDIRECT("priprava_" &amp; J$1 &amp; "!BZ9"),""),"")</f>
        <v>LIB</v>
      </c>
      <c r="O13" s="230"/>
      <c r="P13" s="231" t="str">
        <f ca="1">IFERROR(IF(N13&lt;&gt;"",INDIRECT("priprava_" &amp; J$1 &amp; "!BY9"),""),"")</f>
        <v>29. 9.</v>
      </c>
      <c r="Q13" s="232"/>
      <c r="R13" s="27"/>
      <c r="S13" s="167"/>
      <c r="T13" s="168"/>
      <c r="U13" s="168"/>
      <c r="V13" s="169"/>
      <c r="W13" s="170"/>
      <c r="X13" s="190" t="str">
        <f t="shared" si="0"/>
        <v/>
      </c>
      <c r="Y13" s="190"/>
      <c r="Z13" s="190"/>
      <c r="AA13" s="191"/>
      <c r="AB13" s="148" t="str">
        <f t="shared" si="1"/>
        <v/>
      </c>
      <c r="AC13" s="192" t="str">
        <f t="shared" si="2"/>
        <v/>
      </c>
      <c r="AD13" s="190"/>
      <c r="AE13" s="193"/>
    </row>
    <row r="14" spans="1:31" ht="15" customHeight="1" x14ac:dyDescent="0.25">
      <c r="A14" s="215" t="str">
        <f ca="1">IFERROR(IF(INDIRECT("priprava_" &amp; A$1 &amp; "!BZ5")&lt;&gt;"",INDIRECT("priprava_" &amp; A$1 &amp; "!BZ5"),""),"")</f>
        <v/>
      </c>
      <c r="B14" s="216"/>
      <c r="C14" s="227" t="str">
        <f ca="1">IFERROR(IF(A14&lt;&gt;"",INDIRECT("priprava_" &amp; A$1 &amp; "!CA5"),""),"")</f>
        <v/>
      </c>
      <c r="D14" s="228"/>
      <c r="E14" s="191" t="str">
        <f ca="1">IFERROR(IF(INDIRECT("priprava_" &amp; A$1 &amp; "!BZ10")&lt;&gt;"",INDIRECT("priprava_" &amp; A$1 &amp; "!BZ10"),""),"")</f>
        <v>PAR</v>
      </c>
      <c r="F14" s="216"/>
      <c r="G14" s="227" t="str">
        <f ca="1">IFERROR(IF(E14&lt;&gt;"",INDIRECT("priprava_" &amp; A$1 &amp; "!BY10"),""),"")</f>
        <v>8. 10.</v>
      </c>
      <c r="H14" s="228"/>
      <c r="I14" s="26"/>
      <c r="J14" s="215" t="str">
        <f ca="1">IFERROR(IF(INDIRECT("priprava_" &amp; J$1 &amp; "!BZ5")&lt;&gt;"",INDIRECT("priprava_" &amp; J$1 &amp; "!BZ5"),""),"")</f>
        <v/>
      </c>
      <c r="K14" s="216"/>
      <c r="L14" s="227" t="str">
        <f ca="1">IFERROR(IF(J14&lt;&gt;"",INDIRECT("priprava_" &amp; J$1 &amp; "!CA5"),""),"")</f>
        <v/>
      </c>
      <c r="M14" s="228"/>
      <c r="N14" s="191" t="str">
        <f ca="1">IFERROR(IF(INDIRECT("priprava_" &amp; J$1 &amp; "!BZ10")&lt;&gt;"",INDIRECT("priprava_" &amp; J$1 &amp; "!BZ10"),""),"")</f>
        <v>SKV</v>
      </c>
      <c r="O14" s="216"/>
      <c r="P14" s="227" t="str">
        <f ca="1">IFERROR(IF(N14&lt;&gt;"",INDIRECT("priprava_" &amp; J$1 &amp; "!BY10"),""),"")</f>
        <v>2. 10.</v>
      </c>
      <c r="Q14" s="228"/>
      <c r="R14" s="25"/>
      <c r="S14" s="167"/>
      <c r="T14" s="168"/>
      <c r="U14" s="168"/>
      <c r="V14" s="169"/>
      <c r="W14" s="170"/>
      <c r="X14" s="190" t="str">
        <f t="shared" si="0"/>
        <v/>
      </c>
      <c r="Y14" s="190"/>
      <c r="Z14" s="190"/>
      <c r="AA14" s="191"/>
      <c r="AB14" s="148" t="str">
        <f t="shared" si="1"/>
        <v/>
      </c>
      <c r="AC14" s="192" t="str">
        <f t="shared" si="2"/>
        <v/>
      </c>
      <c r="AD14" s="190"/>
      <c r="AE14" s="193"/>
    </row>
    <row r="15" spans="1:31" ht="15" customHeight="1" thickBot="1" x14ac:dyDescent="0.3">
      <c r="A15" s="296" t="str">
        <f ca="1">IFERROR(IF(INDIRECT("priprava_" &amp; A$1 &amp; "!BZ6")&lt;&gt;"",INDIRECT("priprava_" &amp; A$1 &amp; "!BZ6"),""),"")</f>
        <v/>
      </c>
      <c r="B15" s="292"/>
      <c r="C15" s="293" t="str">
        <f ca="1">IFERROR(IF(A15&lt;&gt;"",INDIRECT("priprava_" &amp; A$1 &amp; "!CA6"),""),"")</f>
        <v/>
      </c>
      <c r="D15" s="294"/>
      <c r="E15" s="291" t="str">
        <f ca="1">IFERROR(IF(INDIRECT("priprava_" &amp; A$1 &amp; "!BZ11")&lt;&gt;"",INDIRECT("priprava_" &amp; A$1 &amp; "!BZ11"),""),"")</f>
        <v>BOH</v>
      </c>
      <c r="F15" s="292"/>
      <c r="G15" s="293" t="str">
        <f ca="1">IFERROR(IF(E15&lt;&gt;"",INDIRECT("priprava_" &amp; A$1 &amp; "!BY11"),""),"")</f>
        <v>10. 10.</v>
      </c>
      <c r="H15" s="294"/>
      <c r="I15" s="25"/>
      <c r="J15" s="296" t="str">
        <f ca="1">IFERROR(IF(INDIRECT("priprava_" &amp; J$1 &amp; "!BZ6")&lt;&gt;"",INDIRECT("priprava_" &amp; J$1 &amp; "!BZ6"),""),"")</f>
        <v/>
      </c>
      <c r="K15" s="292"/>
      <c r="L15" s="293" t="str">
        <f ca="1">IFERROR(IF(J15&lt;&gt;"",INDIRECT("priprava_" &amp; J$1 &amp; "!CA6"),""),"")</f>
        <v/>
      </c>
      <c r="M15" s="294"/>
      <c r="N15" s="291" t="str">
        <f ca="1">IFERROR(IF(INDIRECT("priprava_" &amp; J$1 &amp; "!BZ11")&lt;&gt;"",INDIRECT("priprava_" &amp; J$1 &amp; "!BZ11"),""),"")</f>
        <v>OTR</v>
      </c>
      <c r="O15" s="292"/>
      <c r="P15" s="293" t="str">
        <f ca="1">IFERROR(IF(N15&lt;&gt;"",INDIRECT("priprava_" &amp; J$1 &amp; "!BY11"),""),"")</f>
        <v>10. 10.</v>
      </c>
      <c r="Q15" s="294"/>
      <c r="R15" s="25"/>
      <c r="S15" s="167"/>
      <c r="T15" s="168"/>
      <c r="U15" s="168"/>
      <c r="V15" s="169"/>
      <c r="W15" s="170"/>
      <c r="X15" s="190" t="str">
        <f t="shared" ref="X15:X18" si="3">IF(S15&lt;&gt;"",CONCATENATE(S15, " - ",T15),"")</f>
        <v/>
      </c>
      <c r="Y15" s="190"/>
      <c r="Z15" s="190"/>
      <c r="AA15" s="191"/>
      <c r="AB15" s="148" t="str">
        <f t="shared" ref="AB15:AB18" si="4">IF(U15&lt;&gt;"",U15,"")</f>
        <v/>
      </c>
      <c r="AC15" s="192" t="str">
        <f t="shared" ref="AC15:AC18" si="5">IF(AND(V15&lt;&gt;"",W15&lt;&gt;""),CONCATENATE(V15," (",W15,")"),IF(V15&lt;&gt;"",V15,""))</f>
        <v/>
      </c>
      <c r="AD15" s="190"/>
      <c r="AE15" s="193"/>
    </row>
    <row r="16" spans="1:31" ht="15" customHeight="1" thickTop="1" x14ac:dyDescent="0.25">
      <c r="R16" s="37"/>
      <c r="S16" s="167"/>
      <c r="T16" s="168"/>
      <c r="U16" s="168"/>
      <c r="V16" s="169"/>
      <c r="W16" s="170"/>
      <c r="X16" s="190" t="str">
        <f t="shared" si="3"/>
        <v/>
      </c>
      <c r="Y16" s="190"/>
      <c r="Z16" s="190"/>
      <c r="AA16" s="191"/>
      <c r="AB16" s="148" t="str">
        <f t="shared" si="4"/>
        <v/>
      </c>
      <c r="AC16" s="192" t="str">
        <f t="shared" si="5"/>
        <v/>
      </c>
      <c r="AD16" s="190"/>
      <c r="AE16" s="193"/>
    </row>
    <row r="17" spans="1:31" ht="15" customHeight="1" thickBot="1" x14ac:dyDescent="0.3">
      <c r="A17" s="295" t="s">
        <v>35</v>
      </c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167"/>
      <c r="T17" s="168"/>
      <c r="U17" s="168"/>
      <c r="V17" s="169"/>
      <c r="W17" s="170"/>
      <c r="X17" s="190" t="str">
        <f t="shared" si="3"/>
        <v/>
      </c>
      <c r="Y17" s="190"/>
      <c r="Z17" s="190"/>
      <c r="AA17" s="191"/>
      <c r="AB17" s="148" t="str">
        <f t="shared" si="4"/>
        <v/>
      </c>
      <c r="AC17" s="192" t="str">
        <f t="shared" si="5"/>
        <v/>
      </c>
      <c r="AD17" s="190"/>
      <c r="AE17" s="193"/>
    </row>
    <row r="18" spans="1:31" ht="15" customHeight="1" thickTop="1" thickBot="1" x14ac:dyDescent="0.3">
      <c r="A18" s="219" t="s">
        <v>36</v>
      </c>
      <c r="B18" s="220"/>
      <c r="C18" s="248"/>
      <c r="D18" s="249" t="s">
        <v>37</v>
      </c>
      <c r="E18" s="220"/>
      <c r="F18" s="250"/>
      <c r="G18" s="225" t="s">
        <v>38</v>
      </c>
      <c r="H18" s="220"/>
      <c r="I18" s="224"/>
      <c r="J18" s="221" t="s">
        <v>36</v>
      </c>
      <c r="K18" s="222"/>
      <c r="L18" s="251"/>
      <c r="M18" s="252" t="s">
        <v>37</v>
      </c>
      <c r="N18" s="222"/>
      <c r="O18" s="253"/>
      <c r="P18" s="254" t="s">
        <v>38</v>
      </c>
      <c r="Q18" s="222"/>
      <c r="R18" s="255"/>
      <c r="S18" s="171"/>
      <c r="T18" s="172"/>
      <c r="U18" s="172"/>
      <c r="V18" s="173"/>
      <c r="W18" s="174"/>
      <c r="X18" s="194" t="str">
        <f t="shared" si="3"/>
        <v/>
      </c>
      <c r="Y18" s="194"/>
      <c r="Z18" s="194"/>
      <c r="AA18" s="195"/>
      <c r="AB18" s="176" t="str">
        <f t="shared" si="4"/>
        <v/>
      </c>
      <c r="AC18" s="196" t="str">
        <f t="shared" si="5"/>
        <v/>
      </c>
      <c r="AD18" s="194"/>
      <c r="AE18" s="197"/>
    </row>
    <row r="19" spans="1:31" ht="15" customHeight="1" x14ac:dyDescent="0.25">
      <c r="A19" s="242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3"/>
      <c r="C19" s="39">
        <f ca="1">IFERROR(IF(A19&lt;&gt;"",INDIRECT("priprava_" &amp; A$1 &amp; "!BW2"),""),"")</f>
        <v>2</v>
      </c>
      <c r="D19" s="244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3"/>
      <c r="F19" s="39">
        <f ca="1">IFERROR(IF(D19&lt;&gt;"",INDIRECT("priprava_" &amp; A$1 &amp; "!BW12"),""),"")</f>
        <v>2</v>
      </c>
      <c r="G19" s="244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43"/>
      <c r="I19" s="39">
        <f ca="1">IFERROR(IF(G19&lt;&gt;"",INDIRECT("priprava_" &amp; A$1 &amp; "!BW22"),""),"")</f>
        <v>1</v>
      </c>
      <c r="J19" s="245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46"/>
      <c r="L19" s="40">
        <f ca="1">IFERROR(IF(J19&lt;&gt;"",INDIRECT("priprava_" &amp; J$1 &amp; "!BW2"),""),"")</f>
        <v>4</v>
      </c>
      <c r="M19" s="247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Krajcigr</v>
      </c>
      <c r="N19" s="246"/>
      <c r="O19" s="40">
        <f ca="1">IFERROR(IF(M19&lt;&gt;"",INDIRECT("priprava_" &amp; J$1 &amp; "!BW12"),""),"")</f>
        <v>3</v>
      </c>
      <c r="P19" s="247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Štěrba</v>
      </c>
      <c r="Q19" s="246"/>
      <c r="R19" s="41">
        <f ca="1">IFERROR(IF(P19&lt;&gt;"",INDIRECT("priprava_" &amp; J$1 &amp; "!BW22"),""),"")</f>
        <v>2</v>
      </c>
    </row>
    <row r="20" spans="1:31" ht="15" customHeight="1" x14ac:dyDescent="0.25">
      <c r="A20" s="234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35"/>
      <c r="C20" s="42">
        <f ca="1">IFERROR(IF(A20&lt;&gt;"",INDIRECT("priprava_" &amp; A$1 &amp; "!BW3"),""),"")</f>
        <v>2</v>
      </c>
      <c r="D20" s="236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35"/>
      <c r="F20" s="43">
        <f ca="1">IFERROR(IF(D20&lt;&gt;"",INDIRECT("priprava_" &amp; A$1 &amp; "!BW13"),""),"")</f>
        <v>2</v>
      </c>
      <c r="G20" s="237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Pergler</v>
      </c>
      <c r="H20" s="235"/>
      <c r="I20" s="44">
        <f ca="1">IFERROR(IF(G20&lt;&gt;"",INDIRECT("priprava_" &amp; A$1 &amp; "!BW23"),""),"")</f>
        <v>1</v>
      </c>
      <c r="J20" s="238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Ekl</v>
      </c>
      <c r="K20" s="239"/>
      <c r="L20" s="45">
        <f ca="1">IFERROR(IF(J20&lt;&gt;"",INDIRECT("priprava_" &amp; J$1 &amp; "!BW3"),""),"")</f>
        <v>4</v>
      </c>
      <c r="M20" s="240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Ekl</v>
      </c>
      <c r="N20" s="239"/>
      <c r="O20" s="46">
        <f ca="1">IFERROR(IF(M20&lt;&gt;"",INDIRECT("priprava_" &amp; J$1 &amp; "!BW13"),""),"")</f>
        <v>2</v>
      </c>
      <c r="P20" s="241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Karel</v>
      </c>
      <c r="Q20" s="239"/>
      <c r="R20" s="47">
        <f ca="1">IFERROR(IF(P20&lt;&gt;"",INDIRECT("priprava_" &amp; J$1 &amp; "!BW23"),""),"")</f>
        <v>2</v>
      </c>
    </row>
    <row r="21" spans="1:31" ht="15" customHeight="1" x14ac:dyDescent="0.25">
      <c r="A21" s="234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Stuchlík Z.</v>
      </c>
      <c r="B21" s="235"/>
      <c r="C21" s="42">
        <f ca="1">IFERROR(IF(A21&lt;&gt;"",INDIRECT("priprava_" &amp; A$1 &amp; "!BW4"),""),"")</f>
        <v>1</v>
      </c>
      <c r="D21" s="236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Stuchlík Z.</v>
      </c>
      <c r="E21" s="235"/>
      <c r="F21" s="43">
        <f ca="1">IFERROR(IF(D21&lt;&gt;"",INDIRECT("priprava_" &amp; A$1 &amp; "!BW14"),""),"")</f>
        <v>1</v>
      </c>
      <c r="G21" s="237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Stuchlík O.</v>
      </c>
      <c r="H21" s="235"/>
      <c r="I21" s="44">
        <f ca="1">IFERROR(IF(G21&lt;&gt;"",INDIRECT("priprava_" &amp; A$1 &amp; "!BW24"),""),"")</f>
        <v>1</v>
      </c>
      <c r="J21" s="238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Tichý</v>
      </c>
      <c r="K21" s="239"/>
      <c r="L21" s="45">
        <f ca="1">IFERROR(IF(J21&lt;&gt;"",INDIRECT("priprava_" &amp; J$1 &amp; "!BW4"),""),"")</f>
        <v>4</v>
      </c>
      <c r="M21" s="240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Tichý</v>
      </c>
      <c r="N21" s="239"/>
      <c r="O21" s="46">
        <f ca="1">IFERROR(IF(M21&lt;&gt;"",INDIRECT("priprava_" &amp; J$1 &amp; "!BW14"),""),"")</f>
        <v>2</v>
      </c>
      <c r="P21" s="241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Ekl</v>
      </c>
      <c r="Q21" s="239"/>
      <c r="R21" s="47">
        <f ca="1">IFERROR(IF(P21&lt;&gt;"",INDIRECT("priprava_" &amp; J$1 &amp; "!BW24"),""),"")</f>
        <v>2</v>
      </c>
    </row>
    <row r="22" spans="1:31" ht="15" customHeight="1" x14ac:dyDescent="0.25">
      <c r="A22" s="234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Cabejšek</v>
      </c>
      <c r="B22" s="235"/>
      <c r="C22" s="42">
        <f ca="1">IFERROR(IF(A22&lt;&gt;"",INDIRECT("priprava_" &amp; A$1 &amp; "!BW5"),""),"")</f>
        <v>1</v>
      </c>
      <c r="D22" s="236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Cabejšek</v>
      </c>
      <c r="E22" s="235"/>
      <c r="F22" s="43">
        <f ca="1">IFERROR(IF(D22&lt;&gt;"",INDIRECT("priprava_" &amp; A$1 &amp; "!BW15"),""),"")</f>
        <v>0</v>
      </c>
      <c r="G22" s="237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Čuda</v>
      </c>
      <c r="H22" s="235"/>
      <c r="I22" s="44">
        <f ca="1">IFERROR(IF(G22&lt;&gt;"",INDIRECT("priprava_" &amp; A$1 &amp; "!BW25"),""),"")</f>
        <v>1</v>
      </c>
      <c r="J22" s="238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Kopič</v>
      </c>
      <c r="K22" s="239"/>
      <c r="L22" s="45">
        <f ca="1">IFERROR(IF(J22&lt;&gt;"",INDIRECT("priprava_" &amp; J$1 &amp; "!BW5"),""),"")</f>
        <v>3</v>
      </c>
      <c r="M22" s="240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Kopič</v>
      </c>
      <c r="N22" s="239"/>
      <c r="O22" s="46">
        <f ca="1">IFERROR(IF(M22&lt;&gt;"",INDIRECT("priprava_" &amp; J$1 &amp; "!BW15"),""),"")</f>
        <v>2</v>
      </c>
      <c r="P22" s="241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Tichý</v>
      </c>
      <c r="Q22" s="239"/>
      <c r="R22" s="47">
        <f ca="1">IFERROR(IF(P22&lt;&gt;"",INDIRECT("priprava_" &amp; J$1 &amp; "!BW25"),""),"")</f>
        <v>2</v>
      </c>
    </row>
    <row r="23" spans="1:31" ht="15" customHeight="1" thickBot="1" x14ac:dyDescent="0.3">
      <c r="A23" s="256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Pergler</v>
      </c>
      <c r="B23" s="257"/>
      <c r="C23" s="48">
        <f ca="1">IFERROR(IF(A23&lt;&gt;"",INDIRECT("priprava_" &amp; A$1 &amp; "!BW6"),""),"")</f>
        <v>1</v>
      </c>
      <c r="D23" s="258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Ježek</v>
      </c>
      <c r="E23" s="257"/>
      <c r="F23" s="49">
        <f ca="1">IFERROR(IF(D23&lt;&gt;"",INDIRECT("priprava_" &amp; A$1 &amp; "!BW16"),""),"")</f>
        <v>0</v>
      </c>
      <c r="G23" s="259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Ježek</v>
      </c>
      <c r="H23" s="257"/>
      <c r="I23" s="50">
        <f ca="1">IFERROR(IF(G23&lt;&gt;"",INDIRECT("priprava_" &amp; A$1 &amp; "!BW26"),""),"")</f>
        <v>0</v>
      </c>
      <c r="J23" s="260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Štěrba</v>
      </c>
      <c r="K23" s="261"/>
      <c r="L23" s="51">
        <f ca="1">IFERROR(IF(J23&lt;&gt;"",INDIRECT("priprava_" &amp; J$1 &amp; "!BW6"),""),"")</f>
        <v>2</v>
      </c>
      <c r="M23" s="262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Stárek</v>
      </c>
      <c r="N23" s="261"/>
      <c r="O23" s="52">
        <f ca="1">IFERROR(IF(M23&lt;&gt;"",INDIRECT("priprava_" &amp; J$1 &amp; "!BW16"),""),"")</f>
        <v>1</v>
      </c>
      <c r="P23" s="26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Jirsa</v>
      </c>
      <c r="Q23" s="261"/>
      <c r="R23" s="53">
        <f ca="1">IFERROR(IF(P23&lt;&gt;"",INDIRECT("priprava_" &amp; J$1 &amp; "!BW26"),""),"")</f>
        <v>1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19" t="s">
        <v>39</v>
      </c>
      <c r="B25" s="220"/>
      <c r="C25" s="248"/>
      <c r="D25" s="249" t="s">
        <v>40</v>
      </c>
      <c r="E25" s="220"/>
      <c r="F25" s="250"/>
      <c r="G25" s="225" t="s">
        <v>41</v>
      </c>
      <c r="H25" s="220"/>
      <c r="I25" s="224"/>
      <c r="J25" s="221" t="s">
        <v>39</v>
      </c>
      <c r="K25" s="222"/>
      <c r="L25" s="251"/>
      <c r="M25" s="252" t="s">
        <v>40</v>
      </c>
      <c r="N25" s="222"/>
      <c r="O25" s="253"/>
      <c r="P25" s="254" t="s">
        <v>41</v>
      </c>
      <c r="Q25" s="222"/>
      <c r="R25" s="255"/>
    </row>
    <row r="26" spans="1:31" ht="15" customHeight="1" x14ac:dyDescent="0.25">
      <c r="A26" s="242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3"/>
      <c r="C26" s="39">
        <f ca="1">IFERROR(IF(A26&lt;&gt;"",INDIRECT("priprava_" &amp; A$1 &amp; "!BW27"),""),"")</f>
        <v>4</v>
      </c>
      <c r="D26" s="244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43"/>
      <c r="F26" s="54">
        <f ca="1">IFERROR(IF(D26&lt;&gt;"",INDIRECT("priprava_" &amp; A$1 &amp; "!BW7"),""),"")</f>
        <v>8</v>
      </c>
      <c r="G26" s="244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3"/>
      <c r="I26" s="39">
        <f ca="1">IFERROR(IF(G26&lt;&gt;"",INDIRECT("priprava_" &amp; A$1 &amp; "!BW17"),""),"")</f>
        <v>0</v>
      </c>
      <c r="J26" s="245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Tichý</v>
      </c>
      <c r="K26" s="246"/>
      <c r="L26" s="40">
        <f ca="1">IFERROR(IF(J26&lt;&gt;"",INDIRECT("priprava_" &amp; J$1 &amp; "!BW27"),""),"")</f>
        <v>6</v>
      </c>
      <c r="M26" s="247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46"/>
      <c r="O26" s="55">
        <f ca="1">IFERROR(IF(M26&lt;&gt;"",INDIRECT("priprava_" &amp; J$1 &amp; "!BW7"),""),"")</f>
        <v>6</v>
      </c>
      <c r="P26" s="247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Ponomarev</v>
      </c>
      <c r="Q26" s="246"/>
      <c r="R26" s="41">
        <f ca="1">IFERROR(IF(P26&lt;&gt;"",INDIRECT("priprava_" &amp; J$1 &amp; "!BW17"),""),"")</f>
        <v>0</v>
      </c>
    </row>
    <row r="27" spans="1:31" ht="15" customHeight="1" x14ac:dyDescent="0.25">
      <c r="A27" s="234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5"/>
      <c r="C27" s="42">
        <f ca="1">IFERROR(IF(A27&lt;&gt;"",INDIRECT("priprava_" &amp; A$1 &amp; "!BW28"),""),"")</f>
        <v>2</v>
      </c>
      <c r="D27" s="236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35"/>
      <c r="F27" s="56">
        <f ca="1">IFERROR(IF(D27&lt;&gt;"",INDIRECT("priprava_" &amp; A$1 &amp; "!BW8"),""),"")</f>
        <v>9.25</v>
      </c>
      <c r="G27" s="237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5"/>
      <c r="I27" s="44">
        <f ca="1">IFERROR(IF(G27&lt;&gt;"",INDIRECT("priprava_" &amp; A$1 &amp; "!BW18"),""),"")</f>
        <v>0</v>
      </c>
      <c r="J27" s="238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Krajcigr</v>
      </c>
      <c r="K27" s="239"/>
      <c r="L27" s="45">
        <f ca="1">IFERROR(IF(J27&lt;&gt;"",INDIRECT("priprava_" &amp; J$1 &amp; "!BW28"),""),"")</f>
        <v>6</v>
      </c>
      <c r="M27" s="240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39"/>
      <c r="O27" s="57">
        <f ca="1">IFERROR(IF(M27&lt;&gt;"",INDIRECT("priprava_" &amp; J$1 &amp; "!BW8"),""),"")</f>
        <v>7.63</v>
      </c>
      <c r="P27" s="241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Chyna</v>
      </c>
      <c r="Q27" s="239"/>
      <c r="R27" s="47">
        <f ca="1">IFERROR(IF(P27&lt;&gt;"",INDIRECT("priprava_" &amp; J$1 &amp; "!BW18"),""),"")</f>
        <v>0</v>
      </c>
    </row>
    <row r="28" spans="1:31" ht="15" customHeight="1" x14ac:dyDescent="0.25">
      <c r="A28" s="234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Stuchlík O.</v>
      </c>
      <c r="B28" s="235"/>
      <c r="C28" s="42">
        <f ca="1">IFERROR(IF(A28&lt;&gt;"",INDIRECT("priprava_" &amp; A$1 &amp; "!BW29"),""),"")</f>
        <v>2</v>
      </c>
      <c r="D28" s="236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5"/>
      <c r="F28" s="56" t="str">
        <f ca="1">IFERROR(IF(D28&lt;&gt;"",INDIRECT("priprava_" &amp; A$1 &amp; "!BW9"),""),"")</f>
        <v/>
      </c>
      <c r="G28" s="237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5"/>
      <c r="I28" s="44" t="str">
        <f ca="1">IFERROR(IF(G28&lt;&gt;"",INDIRECT("priprava_" &amp; A$1 &amp; "!BW19"),""),"")</f>
        <v/>
      </c>
      <c r="J28" s="238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Mlejnek</v>
      </c>
      <c r="K28" s="239"/>
      <c r="L28" s="45">
        <f ca="1">IFERROR(IF(J28&lt;&gt;"",INDIRECT("priprava_" &amp; J$1 &amp; "!BW29"),""),"")</f>
        <v>2</v>
      </c>
      <c r="M28" s="240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39"/>
      <c r="O28" s="57" t="str">
        <f ca="1">IFERROR(IF(M28&lt;&gt;"",INDIRECT("priprava_" &amp; J$1 &amp; "!BW9"),""),"")</f>
        <v/>
      </c>
      <c r="P28" s="241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39"/>
      <c r="R28" s="47" t="str">
        <f ca="1">IFERROR(IF(P28&lt;&gt;"",INDIRECT("priprava_" &amp; J$1 &amp; "!BW19"),""),"")</f>
        <v/>
      </c>
    </row>
    <row r="29" spans="1:31" ht="15" customHeight="1" x14ac:dyDescent="0.25">
      <c r="A29" s="234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Klápa</v>
      </c>
      <c r="B29" s="235"/>
      <c r="C29" s="42">
        <f ca="1">IFERROR(IF(A29&lt;&gt;"",INDIRECT("priprava_" &amp; A$1 &amp; "!BW30"),""),"")</f>
        <v>2</v>
      </c>
      <c r="D29" s="236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5"/>
      <c r="F29" s="56" t="str">
        <f ca="1">IFERROR(IF(D29&lt;&gt;"",INDIRECT("priprava_" &amp; A$1 &amp; "!BW10"),""),"")</f>
        <v/>
      </c>
      <c r="G29" s="237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5"/>
      <c r="I29" s="44" t="str">
        <f ca="1">IFERROR(IF(G29&lt;&gt;"",INDIRECT("priprava_" &amp; A$1 &amp; "!BW20"),""),"")</f>
        <v/>
      </c>
      <c r="J29" s="238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Novotný</v>
      </c>
      <c r="K29" s="239"/>
      <c r="L29" s="45">
        <f ca="1">IFERROR(IF(J29&lt;&gt;"",INDIRECT("priprava_" &amp; J$1 &amp; "!BW30"),""),"")</f>
        <v>2</v>
      </c>
      <c r="M29" s="240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39"/>
      <c r="O29" s="57" t="str">
        <f ca="1">IFERROR(IF(M29&lt;&gt;"",INDIRECT("priprava_" &amp; J$1 &amp; "!BW10"),""),"")</f>
        <v/>
      </c>
      <c r="P29" s="241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39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6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Ježek</v>
      </c>
      <c r="B30" s="257"/>
      <c r="C30" s="48">
        <f ca="1">IFERROR(IF(A30&lt;&gt;"",INDIRECT("priprava_" &amp; A$1 &amp; "!BW31"),""),"")</f>
        <v>0</v>
      </c>
      <c r="D30" s="258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57"/>
      <c r="F30" s="58" t="str">
        <f ca="1">IFERROR(IF(D30&lt;&gt;"",INDIRECT("priprava_" &amp; A$1 &amp; "!BW11"),""),"")</f>
        <v/>
      </c>
      <c r="G30" s="259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57"/>
      <c r="I30" s="50" t="str">
        <f ca="1">IFERROR(IF(G30&lt;&gt;"",INDIRECT("priprava_" &amp; A$1 &amp; "!BW21"),""),"")</f>
        <v/>
      </c>
      <c r="J30" s="260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Novák</v>
      </c>
      <c r="K30" s="261"/>
      <c r="L30" s="51">
        <f ca="1">IFERROR(IF(J30&lt;&gt;"",INDIRECT("priprava_" &amp; J$1 &amp; "!BW31"),""),"")</f>
        <v>2</v>
      </c>
      <c r="M30" s="262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1"/>
      <c r="O30" s="59" t="str">
        <f ca="1">IFERROR(IF(M30&lt;&gt;"",INDIRECT("priprava_" &amp; J$1 &amp; "!BW11"),""),"")</f>
        <v/>
      </c>
      <c r="P30" s="26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1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88" t="s">
        <v>46</v>
      </c>
      <c r="L32" s="289"/>
      <c r="M32" s="289"/>
      <c r="N32" s="289"/>
      <c r="O32" s="289"/>
      <c r="P32" s="289"/>
      <c r="Q32" s="289"/>
      <c r="R32" s="290"/>
    </row>
    <row r="33" spans="1:18" ht="15" customHeight="1" x14ac:dyDescent="0.25">
      <c r="I33" s="140"/>
      <c r="J33" s="141"/>
      <c r="K33" s="309" t="str">
        <f t="shared" ref="K33:K44" si="6">X3</f>
        <v>SKV - CLP</v>
      </c>
      <c r="L33" s="310"/>
      <c r="M33" s="310"/>
      <c r="N33" s="310"/>
      <c r="O33" s="142" t="str">
        <f t="shared" ref="O33:O44" si="7">AB3</f>
        <v>3:4p</v>
      </c>
      <c r="P33" s="322" t="str">
        <f t="shared" ref="P33:P44" si="8">AC3</f>
        <v>2020/2021 (ZČ)</v>
      </c>
      <c r="Q33" s="310"/>
      <c r="R33" s="323"/>
    </row>
    <row r="34" spans="1:18" ht="15" customHeight="1" thickBot="1" x14ac:dyDescent="0.3">
      <c r="I34" s="140"/>
      <c r="J34" s="141"/>
      <c r="K34" s="314" t="str">
        <f t="shared" si="6"/>
        <v>CLP - SKV</v>
      </c>
      <c r="L34" s="315"/>
      <c r="M34" s="315"/>
      <c r="N34" s="315"/>
      <c r="O34" s="143" t="str">
        <f t="shared" si="7"/>
        <v>11:5</v>
      </c>
      <c r="P34" s="324" t="str">
        <f t="shared" si="8"/>
        <v>2020/2021 (ZČ)</v>
      </c>
      <c r="Q34" s="315"/>
      <c r="R34" s="325"/>
    </row>
    <row r="35" spans="1:18" ht="15" customHeight="1" thickTop="1" thickBot="1" x14ac:dyDescent="0.3">
      <c r="A35" s="311" t="s">
        <v>45</v>
      </c>
      <c r="B35" s="312"/>
      <c r="C35" s="312"/>
      <c r="D35" s="312"/>
      <c r="E35" s="312"/>
      <c r="F35" s="312"/>
      <c r="G35" s="312"/>
      <c r="H35" s="313"/>
      <c r="I35" s="144"/>
      <c r="J35" s="144"/>
      <c r="K35" s="314" t="str">
        <f t="shared" si="6"/>
        <v>CLP - SKV</v>
      </c>
      <c r="L35" s="315"/>
      <c r="M35" s="315"/>
      <c r="N35" s="315"/>
      <c r="O35" s="143" t="str">
        <f t="shared" si="7"/>
        <v>6:7p</v>
      </c>
      <c r="P35" s="324" t="str">
        <f t="shared" si="8"/>
        <v>2019/2020 (ZČ)</v>
      </c>
      <c r="Q35" s="315"/>
      <c r="R35" s="325"/>
    </row>
    <row r="36" spans="1:18" ht="15" customHeight="1" x14ac:dyDescent="0.25">
      <c r="A36" s="303" t="str">
        <f>A1</f>
        <v>SKV</v>
      </c>
      <c r="B36" s="304"/>
      <c r="C36" s="304"/>
      <c r="D36" s="305"/>
      <c r="E36" s="306" t="str">
        <f>J1</f>
        <v>CLP</v>
      </c>
      <c r="F36" s="307"/>
      <c r="G36" s="307"/>
      <c r="H36" s="308"/>
      <c r="I36" s="144"/>
      <c r="J36" s="144"/>
      <c r="K36" s="266" t="str">
        <f t="shared" si="6"/>
        <v>SKV - CLP</v>
      </c>
      <c r="L36" s="267"/>
      <c r="M36" s="267"/>
      <c r="N36" s="267"/>
      <c r="O36" s="145" t="str">
        <f t="shared" si="7"/>
        <v>8:5</v>
      </c>
      <c r="P36" s="268" t="str">
        <f t="shared" si="8"/>
        <v>2019/2020 (ZČ)</v>
      </c>
      <c r="Q36" s="267"/>
      <c r="R36" s="269"/>
    </row>
    <row r="37" spans="1:18" ht="15" customHeight="1" x14ac:dyDescent="0.25">
      <c r="A37" s="297" t="s">
        <v>42</v>
      </c>
      <c r="B37" s="298"/>
      <c r="C37" s="274" t="s">
        <v>1134</v>
      </c>
      <c r="D37" s="274"/>
      <c r="E37" s="274"/>
      <c r="F37" s="274"/>
      <c r="G37" s="274"/>
      <c r="H37" s="275"/>
      <c r="I37" s="144"/>
      <c r="J37" s="144"/>
      <c r="K37" s="266" t="str">
        <f t="shared" si="6"/>
        <v>SKV - CLP</v>
      </c>
      <c r="L37" s="267"/>
      <c r="M37" s="267"/>
      <c r="N37" s="267"/>
      <c r="O37" s="145" t="str">
        <f t="shared" si="7"/>
        <v>7:6p</v>
      </c>
      <c r="P37" s="268" t="str">
        <f t="shared" si="8"/>
        <v>2018/2019 (ZČ)</v>
      </c>
      <c r="Q37" s="267"/>
      <c r="R37" s="269"/>
    </row>
    <row r="38" spans="1:18" ht="15" customHeight="1" x14ac:dyDescent="0.25">
      <c r="A38" s="299" t="s">
        <v>43</v>
      </c>
      <c r="B38" s="300"/>
      <c r="C38" s="276" t="s">
        <v>1134</v>
      </c>
      <c r="D38" s="276"/>
      <c r="E38" s="276"/>
      <c r="F38" s="276"/>
      <c r="G38" s="276"/>
      <c r="H38" s="277"/>
      <c r="I38" s="140"/>
      <c r="J38" s="146"/>
      <c r="K38" s="270" t="str">
        <f t="shared" si="6"/>
        <v>CLP - SKV</v>
      </c>
      <c r="L38" s="271"/>
      <c r="M38" s="271"/>
      <c r="N38" s="271"/>
      <c r="O38" s="147" t="str">
        <f t="shared" si="7"/>
        <v>11:5</v>
      </c>
      <c r="P38" s="272" t="str">
        <f t="shared" si="8"/>
        <v>2018/2019 (ZČ)</v>
      </c>
      <c r="Q38" s="271"/>
      <c r="R38" s="273"/>
    </row>
    <row r="39" spans="1:18" ht="15" customHeight="1" x14ac:dyDescent="0.25">
      <c r="A39" s="297"/>
      <c r="B39" s="298"/>
      <c r="C39" s="274"/>
      <c r="D39" s="274"/>
      <c r="E39" s="274"/>
      <c r="F39" s="274"/>
      <c r="G39" s="274"/>
      <c r="H39" s="275"/>
      <c r="I39" s="140"/>
      <c r="J39" s="146"/>
      <c r="K39" s="266" t="str">
        <f t="shared" si="6"/>
        <v/>
      </c>
      <c r="L39" s="267"/>
      <c r="M39" s="267"/>
      <c r="N39" s="267"/>
      <c r="O39" s="145" t="str">
        <f t="shared" si="7"/>
        <v/>
      </c>
      <c r="P39" s="268" t="str">
        <f t="shared" si="8"/>
        <v/>
      </c>
      <c r="Q39" s="267"/>
      <c r="R39" s="269"/>
    </row>
    <row r="40" spans="1:18" ht="15" customHeight="1" x14ac:dyDescent="0.25">
      <c r="A40" s="299"/>
      <c r="B40" s="300"/>
      <c r="C40" s="276"/>
      <c r="D40" s="276"/>
      <c r="E40" s="276"/>
      <c r="F40" s="276"/>
      <c r="G40" s="276"/>
      <c r="H40" s="277"/>
      <c r="I40" s="144"/>
      <c r="J40" s="144"/>
      <c r="K40" s="266" t="str">
        <f t="shared" si="6"/>
        <v/>
      </c>
      <c r="L40" s="267"/>
      <c r="M40" s="267"/>
      <c r="N40" s="267"/>
      <c r="O40" s="145" t="str">
        <f t="shared" si="7"/>
        <v/>
      </c>
      <c r="P40" s="268" t="str">
        <f t="shared" si="8"/>
        <v/>
      </c>
      <c r="Q40" s="267"/>
      <c r="R40" s="269"/>
    </row>
    <row r="41" spans="1:18" ht="15" customHeight="1" x14ac:dyDescent="0.25">
      <c r="A41" s="297"/>
      <c r="B41" s="298"/>
      <c r="C41" s="274"/>
      <c r="D41" s="274"/>
      <c r="E41" s="274"/>
      <c r="F41" s="274"/>
      <c r="G41" s="274"/>
      <c r="H41" s="275"/>
      <c r="I41" s="144"/>
      <c r="J41" s="144"/>
      <c r="K41" s="270" t="str">
        <f t="shared" si="6"/>
        <v/>
      </c>
      <c r="L41" s="271"/>
      <c r="M41" s="271"/>
      <c r="N41" s="271"/>
      <c r="O41" s="147" t="str">
        <f t="shared" si="7"/>
        <v/>
      </c>
      <c r="P41" s="272" t="str">
        <f t="shared" si="8"/>
        <v/>
      </c>
      <c r="Q41" s="271"/>
      <c r="R41" s="273"/>
    </row>
    <row r="42" spans="1:18" ht="15" customHeight="1" x14ac:dyDescent="0.25">
      <c r="A42" s="299"/>
      <c r="B42" s="300"/>
      <c r="C42" s="276"/>
      <c r="D42" s="276"/>
      <c r="E42" s="276"/>
      <c r="F42" s="276"/>
      <c r="G42" s="276"/>
      <c r="H42" s="277"/>
      <c r="I42" s="144"/>
      <c r="J42" s="144"/>
      <c r="K42" s="266" t="str">
        <f t="shared" si="6"/>
        <v/>
      </c>
      <c r="L42" s="267"/>
      <c r="M42" s="267"/>
      <c r="N42" s="267"/>
      <c r="O42" s="145" t="str">
        <f t="shared" si="7"/>
        <v/>
      </c>
      <c r="P42" s="268" t="str">
        <f t="shared" si="8"/>
        <v/>
      </c>
      <c r="Q42" s="267"/>
      <c r="R42" s="269"/>
    </row>
    <row r="43" spans="1:18" ht="15" customHeight="1" x14ac:dyDescent="0.25">
      <c r="A43" s="297"/>
      <c r="B43" s="298"/>
      <c r="C43" s="274"/>
      <c r="D43" s="274"/>
      <c r="E43" s="274"/>
      <c r="F43" s="274"/>
      <c r="G43" s="274"/>
      <c r="H43" s="275"/>
      <c r="I43" s="144"/>
      <c r="J43" s="144"/>
      <c r="K43" s="266" t="str">
        <f t="shared" si="6"/>
        <v/>
      </c>
      <c r="L43" s="267"/>
      <c r="M43" s="267"/>
      <c r="N43" s="267"/>
      <c r="O43" s="145" t="str">
        <f t="shared" si="7"/>
        <v/>
      </c>
      <c r="P43" s="268" t="str">
        <f t="shared" si="8"/>
        <v/>
      </c>
      <c r="Q43" s="267"/>
      <c r="R43" s="269"/>
    </row>
    <row r="44" spans="1:18" ht="15" customHeight="1" thickBot="1" x14ac:dyDescent="0.3">
      <c r="A44" s="301"/>
      <c r="B44" s="302"/>
      <c r="C44" s="278"/>
      <c r="D44" s="278"/>
      <c r="E44" s="278"/>
      <c r="F44" s="278"/>
      <c r="G44" s="278"/>
      <c r="H44" s="279"/>
      <c r="I44" s="144"/>
      <c r="J44" s="144"/>
      <c r="K44" s="266" t="str">
        <f t="shared" si="6"/>
        <v/>
      </c>
      <c r="L44" s="267"/>
      <c r="M44" s="267"/>
      <c r="N44" s="267"/>
      <c r="O44" s="145" t="str">
        <f t="shared" si="7"/>
        <v/>
      </c>
      <c r="P44" s="268" t="str">
        <f t="shared" si="8"/>
        <v/>
      </c>
      <c r="Q44" s="267"/>
      <c r="R44" s="269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266" t="str">
        <f t="shared" ref="K45:K48" si="9">X15</f>
        <v/>
      </c>
      <c r="L45" s="267"/>
      <c r="M45" s="267"/>
      <c r="N45" s="267"/>
      <c r="O45" s="145" t="str">
        <f t="shared" ref="O45:P45" si="10">AB15</f>
        <v/>
      </c>
      <c r="P45" s="268" t="str">
        <f t="shared" si="10"/>
        <v/>
      </c>
      <c r="Q45" s="267"/>
      <c r="R45" s="269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266" t="str">
        <f t="shared" si="9"/>
        <v/>
      </c>
      <c r="L46" s="267"/>
      <c r="M46" s="267"/>
      <c r="N46" s="267"/>
      <c r="O46" s="145" t="str">
        <f t="shared" ref="O46:P46" si="11">AB16</f>
        <v/>
      </c>
      <c r="P46" s="268" t="str">
        <f t="shared" si="11"/>
        <v/>
      </c>
      <c r="Q46" s="267"/>
      <c r="R46" s="269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266" t="str">
        <f t="shared" si="9"/>
        <v/>
      </c>
      <c r="L47" s="267"/>
      <c r="M47" s="267"/>
      <c r="N47" s="267"/>
      <c r="O47" s="145" t="str">
        <f t="shared" ref="O47:P47" si="12">AB17</f>
        <v/>
      </c>
      <c r="P47" s="268" t="str">
        <f t="shared" si="12"/>
        <v/>
      </c>
      <c r="Q47" s="267"/>
      <c r="R47" s="269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6" t="str">
        <f t="shared" si="9"/>
        <v/>
      </c>
      <c r="L48" s="317"/>
      <c r="M48" s="317"/>
      <c r="N48" s="317"/>
      <c r="O48" s="149" t="str">
        <f t="shared" ref="O48:P48" si="13">AB18</f>
        <v/>
      </c>
      <c r="P48" s="318" t="str">
        <f t="shared" si="13"/>
        <v/>
      </c>
      <c r="Q48" s="317"/>
      <c r="R48" s="319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4">
        <f ca="1">TODAY()</f>
        <v>44462</v>
      </c>
      <c r="H50" s="265"/>
      <c r="I50" s="265"/>
      <c r="J50" s="265"/>
      <c r="K50" s="265"/>
      <c r="L50" s="265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8" sqref="A8 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26" t="str">
        <f>prehled!A1</f>
        <v>SKV</v>
      </c>
      <c r="B1" s="326"/>
      <c r="C1" s="326"/>
      <c r="D1" s="326"/>
      <c r="E1" s="326"/>
      <c r="F1" s="326"/>
      <c r="G1" s="326" t="str">
        <f>prehled!J1</f>
        <v>CLP</v>
      </c>
      <c r="H1" s="326"/>
      <c r="I1" s="326"/>
      <c r="J1" s="326"/>
      <c r="K1" s="326"/>
      <c r="L1" s="326"/>
    </row>
    <row r="2" spans="1:12" x14ac:dyDescent="0.25">
      <c r="A2" s="326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</row>
    <row r="3" spans="1:12" s="153" customFormat="1" ht="19.5" x14ac:dyDescent="0.25">
      <c r="A3" s="327" t="s">
        <v>92</v>
      </c>
      <c r="B3" s="327"/>
      <c r="C3" s="327"/>
      <c r="D3" s="327"/>
      <c r="E3" s="327"/>
      <c r="F3" s="327"/>
      <c r="G3" s="327" t="s">
        <v>92</v>
      </c>
      <c r="H3" s="327"/>
      <c r="I3" s="327"/>
      <c r="J3" s="327"/>
      <c r="K3" s="327"/>
      <c r="L3" s="327"/>
    </row>
    <row r="4" spans="1:12" ht="14.25" customHeight="1" x14ac:dyDescent="0.25">
      <c r="A4" s="326" t="str">
        <f>A1</f>
        <v>SKV</v>
      </c>
      <c r="B4" s="156">
        <f ca="1">IF($A$4&lt;&gt;0,IFERROR(INDEX(zajimavosti_tymy!B:B,MATCH(prehled!$A$3,OFFSET(zajimavosti_tymy!$A$2,,,(COUNTA(zajimavosti_tymy!$A:$A)-1)*3),0)+1),""),"")</f>
        <v>0</v>
      </c>
      <c r="C4" s="157">
        <f ca="1">IF($A$4&lt;&gt;0,IFERROR(INDEX(zajimavosti_tymy!C:C,MATCH(prehled!$A$3,OFFSET(zajimavosti_tymy!$A$2,,,(COUNTA(zajimavosti_tymy!$A:$A)-1)*3),0)+1),""),"")</f>
        <v>0</v>
      </c>
      <c r="D4" s="157">
        <f ca="1">IF($A$4&lt;&gt;0,IFERROR(INDEX(zajimavosti_tymy!D:D,MATCH(prehled!$A$3,OFFSET(zajimavosti_tymy!$A$2,,,(COUNTA(zajimavosti_tymy!$A:$A)-1)*3),0)+1),""),"")</f>
        <v>0</v>
      </c>
      <c r="E4" s="157">
        <f ca="1">IF($A$4&lt;&gt;0,IFERROR(INDEX(zajimavosti_tymy!E:E,MATCH(prehled!$A$3,OFFSET(zajimavosti_tymy!$A$2,,,(COUNTA(zajimavosti_tymy!$A:$A)-1)*3),0)+1),""),"")</f>
        <v>0</v>
      </c>
      <c r="F4" s="158">
        <f ca="1">IF($A$4&lt;&gt;0,IFERROR(INDEX(zajimavosti_tymy!F:F,MATCH(prehled!$A$3,OFFSET(zajimavosti_tymy!$A$2,,,(COUNTA(zajimavosti_tymy!$A:$A)-1)*3),0)+1),""),"")</f>
        <v>0</v>
      </c>
      <c r="G4" s="326" t="str">
        <f>G1</f>
        <v>CLP</v>
      </c>
      <c r="H4" s="156">
        <f ca="1">IF($G$4&lt;&gt;0,IFERROR(INDEX(zajimavosti_tymy!B:B,MATCH(prehled!$J$3,OFFSET(zajimavosti_tymy!$A$2,,,(COUNTA(zajimavosti_tymy!$A:$A)-1)*3),0)+1),""),"")</f>
        <v>0</v>
      </c>
      <c r="I4" s="157">
        <f ca="1">IF($G$4&lt;&gt;0,IFERROR(INDEX(zajimavosti_tymy!C:C,MATCH(prehled!$J$3,OFFSET(zajimavosti_tymy!$A$2,,,(COUNTA(zajimavosti_tymy!$A:$A)-1)*3),0)+1),""),"")</f>
        <v>0</v>
      </c>
      <c r="J4" s="157">
        <f ca="1">IF($G$4&lt;&gt;0,IFERROR(INDEX(zajimavosti_tymy!D:D,MATCH(prehled!$J$3,OFFSET(zajimavosti_tymy!$A$2,,,(COUNTA(zajimavosti_tymy!$A:$A)-1)*3),0)+1),""),"")</f>
        <v>0</v>
      </c>
      <c r="K4" s="157">
        <f ca="1">IF($G$4&lt;&gt;0,IFERROR(INDEX(zajimavosti_tymy!E:E,MATCH(prehled!$J$3,OFFSET(zajimavosti_tymy!$A$2,,,(COUNTA(zajimavosti_tymy!$A:$A)-1)*3),0)+1),""),"")</f>
        <v>0</v>
      </c>
      <c r="L4" s="158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26"/>
      <c r="B5" s="156">
        <f ca="1">IF($A$4&lt;&gt;0,IFERROR(INDEX(zajimavosti_tymy!B:B,MATCH(prehled!$A$3,OFFSET(zajimavosti_tymy!$A$2,,,(COUNTA(zajimavosti_tymy!$A:$A)-1)*3),0)+2),""),"")</f>
        <v>0</v>
      </c>
      <c r="C5" s="157">
        <f ca="1">IF($A$4&lt;&gt;0,IFERROR(INDEX(zajimavosti_tymy!C:C,MATCH(prehled!$A$3,OFFSET(zajimavosti_tymy!$A$2,,,(COUNTA(zajimavosti_tymy!$A:$A)-1)*3),0)+2),""),"")</f>
        <v>0</v>
      </c>
      <c r="D5" s="157">
        <f ca="1">IF($A$4&lt;&gt;0,IFERROR(INDEX(zajimavosti_tymy!D:D,MATCH(prehled!$A$3,OFFSET(zajimavosti_tymy!$A$2,,,(COUNTA(zajimavosti_tymy!$A:$A)-1)*3),0)+2),""),"")</f>
        <v>0</v>
      </c>
      <c r="E5" s="157">
        <f ca="1">IF($A$4&lt;&gt;0,IFERROR(INDEX(zajimavosti_tymy!E:E,MATCH(prehled!$A$3,OFFSET(zajimavosti_tymy!$A$2,,,(COUNTA(zajimavosti_tymy!$A:$A)-1)*3),0)+2),""),"")</f>
        <v>0</v>
      </c>
      <c r="F5" s="158">
        <f ca="1">IF($A$4&lt;&gt;0,IFERROR(INDEX(zajimavosti_tymy!F:F,MATCH(prehled!$A$3,OFFSET(zajimavosti_tymy!$A$2,,,(COUNTA(zajimavosti_tymy!$A:$A)-1)*3),0)+2),""),"")</f>
        <v>0</v>
      </c>
      <c r="G5" s="326"/>
      <c r="H5" s="156">
        <f ca="1">IF($G$4&lt;&gt;0,IFERROR(INDEX(zajimavosti_tymy!B:B,MATCH(prehled!$J$3,OFFSET(zajimavosti_tymy!$A$2,,,(COUNTA(zajimavosti_tymy!$A:$A)-1)*3),0)+2),""),"")</f>
        <v>0</v>
      </c>
      <c r="I5" s="157">
        <f ca="1">IF($G$4&lt;&gt;0,IFERROR(INDEX(zajimavosti_tymy!C:C,MATCH(prehled!$J$3,OFFSET(zajimavosti_tymy!$A$2,,,(COUNTA(zajimavosti_tymy!$A:$A)-1)*3),0)+2),""),"")</f>
        <v>0</v>
      </c>
      <c r="J5" s="157">
        <f ca="1">IF($G$4&lt;&gt;0,IFERROR(INDEX(zajimavosti_tymy!D:D,MATCH(prehled!$J$3,OFFSET(zajimavosti_tymy!$A$2,,,(COUNTA(zajimavosti_tymy!$A:$A)-1)*3),0)+2),""),"")</f>
        <v>0</v>
      </c>
      <c r="K5" s="157">
        <f ca="1">IF($G$4&lt;&gt;0,IFERROR(INDEX(zajimavosti_tymy!E:E,MATCH(prehled!$J$3,OFFSET(zajimavosti_tymy!$A$2,,,(COUNTA(zajimavosti_tymy!$A:$A)-1)*3),0)+2),""),"")</f>
        <v>0</v>
      </c>
      <c r="L5" s="158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6"/>
      <c r="B6" s="156">
        <f ca="1">IF($A$4&lt;&gt;0,IFERROR(INDEX(zajimavosti_tymy!B:B,MATCH(prehled!$A$3,OFFSET(zajimavosti_tymy!$A$2,,,(COUNTA(zajimavosti_tymy!$A:$A)-1)*3),0)+3),""),"")</f>
        <v>0</v>
      </c>
      <c r="C6" s="157">
        <f ca="1">IF($A$4&lt;&gt;0,IFERROR(INDEX(zajimavosti_tymy!C:C,MATCH(prehled!$A$3,OFFSET(zajimavosti_tymy!$A$2,,,(COUNTA(zajimavosti_tymy!$A:$A)-1)*3),0)+3),""),"")</f>
        <v>0</v>
      </c>
      <c r="D6" s="157">
        <f ca="1">IF($A$4&lt;&gt;0,IFERROR(INDEX(zajimavosti_tymy!D:D,MATCH(prehled!$A$3,OFFSET(zajimavosti_tymy!$A$2,,,(COUNTA(zajimavosti_tymy!$A:$A)-1)*3),0)+3),""),"")</f>
        <v>0</v>
      </c>
      <c r="E6" s="157">
        <f ca="1">IF($A$4&lt;&gt;0,IFERROR(INDEX(zajimavosti_tymy!E:E,MATCH(prehled!$A$3,OFFSET(zajimavosti_tymy!$A$2,,,(COUNTA(zajimavosti_tymy!$A:$A)-1)*3),0)+3),""),"")</f>
        <v>0</v>
      </c>
      <c r="F6" s="158">
        <f ca="1">IF($A$4&lt;&gt;0,IFERROR(INDEX(zajimavosti_tymy!F:F,MATCH(prehled!$A$3,OFFSET(zajimavosti_tymy!$A$2,,,(COUNTA(zajimavosti_tymy!$A:$A)-1)*3),0)+3),""),"")</f>
        <v>0</v>
      </c>
      <c r="G6" s="326"/>
      <c r="H6" s="156">
        <f ca="1">IF($G$4&lt;&gt;0,IFERROR(INDEX(zajimavosti_tymy!B:B,MATCH(prehled!$J$3,OFFSET(zajimavosti_tymy!$A$2,,,(COUNTA(zajimavosti_tymy!$A:$A)-1)*3),0)+3),""),"")</f>
        <v>0</v>
      </c>
      <c r="I6" s="157">
        <f ca="1">IF($G$4&lt;&gt;0,IFERROR(INDEX(zajimavosti_tymy!C:C,MATCH(prehled!$J$3,OFFSET(zajimavosti_tymy!$A$2,,,(COUNTA(zajimavosti_tymy!$A:$A)-1)*3),0)+3),""),"")</f>
        <v>0</v>
      </c>
      <c r="J6" s="157">
        <f ca="1">IF($G$4&lt;&gt;0,IFERROR(INDEX(zajimavosti_tymy!D:D,MATCH(prehled!$J$3,OFFSET(zajimavosti_tymy!$A$2,,,(COUNTA(zajimavosti_tymy!$A:$A)-1)*3),0)+3),""),"")</f>
        <v>0</v>
      </c>
      <c r="K6" s="157">
        <f ca="1">IF($G$4&lt;&gt;0,IFERROR(INDEX(zajimavosti_tymy!E:E,MATCH(prehled!$J$3,OFFSET(zajimavosti_tymy!$A$2,,,(COUNTA(zajimavosti_tymy!$A:$A)-1)*3),0)+3),""),"")</f>
        <v>0</v>
      </c>
      <c r="L6" s="158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27" t="s">
        <v>944</v>
      </c>
      <c r="B7" s="327"/>
      <c r="C7" s="327"/>
      <c r="D7" s="327"/>
      <c r="E7" s="327"/>
      <c r="F7" s="327"/>
      <c r="G7" s="327" t="s">
        <v>944</v>
      </c>
      <c r="H7" s="327"/>
      <c r="I7" s="327"/>
      <c r="J7" s="327"/>
      <c r="K7" s="327"/>
      <c r="L7" s="327"/>
    </row>
    <row r="8" spans="1:12" x14ac:dyDescent="0.25">
      <c r="A8" s="155" t="str">
        <f ca="1">IF(INDIRECT("priprava_" &amp; A$1 &amp; "!A1")&lt;&gt;0,INDIRECT("priprava_" &amp; A$1 &amp; "!A1"),"")</f>
        <v>Jan Fiala</v>
      </c>
      <c r="B8" s="156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57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57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57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58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55" t="str">
        <f ca="1">IF(INDIRECT("priprava_" &amp; G$1 &amp; "!A1")&lt;&gt;0,INDIRECT("priprava_" &amp; G$1 &amp; "!A1"),"")</f>
        <v/>
      </c>
      <c r="H8" s="157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57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57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57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58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5" t="str">
        <f ca="1">IF(INDIRECT("priprava_" &amp; A$1 &amp; "!M1")&lt;&gt;0,INDIRECT("priprava_" &amp; A$1 &amp; "!M1"),"")</f>
        <v>Jan Procházka</v>
      </c>
      <c r="B9" s="156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57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57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57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58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55" t="str">
        <f ca="1">IF(INDIRECT("priprava_" &amp; G$1 &amp; "!M1")&lt;&gt;0,INDIRECT("priprava_" &amp; G$1 &amp; "!M1"),"")</f>
        <v/>
      </c>
      <c r="H9" s="157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57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57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57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58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55" t="str">
        <f ca="1">IF(INDIRECT("priprava_" &amp; A$1 &amp; "!G3")&lt;&gt;0,INDIRECT("priprava_" &amp; A$1 &amp; "!G3"),"")</f>
        <v>Zbyněk Stuchlík</v>
      </c>
      <c r="B10" s="156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57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57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57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58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55" t="str">
        <f ca="1">IF(INDIRECT("priprava_" &amp; G$1 &amp; "!G3")&lt;&gt;0,INDIRECT("priprava_" &amp; G$1 &amp; "!G3"),"")</f>
        <v/>
      </c>
      <c r="H10" s="157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57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57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57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58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5" t="str">
        <f ca="1">IF(INDIRECT("priprava_" &amp; A$1 &amp; "!A6")&lt;&gt;0,INDIRECT("priprava_" &amp; A$1 &amp; "!A6"),"")</f>
        <v>Oliver Gold</v>
      </c>
      <c r="B11" s="156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57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57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57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58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55" t="str">
        <f ca="1">IF(INDIRECT("priprava_" &amp; G$1 &amp; "!A6")&lt;&gt;0,INDIRECT("priprava_" &amp; G$1 &amp; "!A6"),"")</f>
        <v/>
      </c>
      <c r="H11" s="157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57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57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57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58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55" t="str">
        <f ca="1">IF(INDIRECT("priprava_" &amp; A$1 &amp; "!M6")&lt;&gt;0,INDIRECT("priprava_" &amp; A$1 &amp; "!M6"),"")</f>
        <v>Ondřej Stuchlík</v>
      </c>
      <c r="B12" s="156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57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57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57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58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55" t="str">
        <f ca="1">IF(INDIRECT("priprava_" &amp; G$1 &amp; "!M6")&lt;&gt;0,INDIRECT("priprava_" &amp; G$1 &amp; "!M6"),"")</f>
        <v/>
      </c>
      <c r="H12" s="157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57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57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57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58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5" t="str">
        <f ca="1">IF(INDIRECT("priprava_" &amp; A$1 &amp; "!A12")&lt;&gt;0,INDIRECT("priprava_" &amp; A$1 &amp; "!A12"),"")</f>
        <v>Viktor Kopecký</v>
      </c>
      <c r="B13" s="156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57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57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57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58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55" t="str">
        <f ca="1">IF(INDIRECT("priprava_" &amp; G$1 &amp; "!A12")&lt;&gt;0,INDIRECT("priprava_" &amp; G$1 &amp; "!A12"),"")</f>
        <v/>
      </c>
      <c r="H13" s="157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57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57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57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58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5" t="str">
        <f ca="1">IF(INDIRECT("priprava_" &amp; A$1 &amp; "!M12")&lt;&gt;0,INDIRECT("priprava_" &amp; A$1 &amp; "!M12"),"")</f>
        <v>Vojtěch Klápa</v>
      </c>
      <c r="B14" s="156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57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57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57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58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55" t="str">
        <f ca="1">IF(INDIRECT("priprava_" &amp; G$1 &amp; "!M12")&lt;&gt;0,INDIRECT("priprava_" &amp; G$1 &amp; "!M12"),"")</f>
        <v/>
      </c>
      <c r="H14" s="157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57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57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57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58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5" t="str">
        <f ca="1">IF(INDIRECT("priprava_" &amp; A$1 &amp; "!G14")&lt;&gt;0,INDIRECT("priprava_" &amp; A$1 &amp; "!G14"),"")</f>
        <v>Daniel Cabejšek</v>
      </c>
      <c r="B15" s="156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57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57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57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58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5" t="str">
        <f ca="1">IF(INDIRECT("priprava_" &amp; G$1 &amp; "!G14")&lt;&gt;0,INDIRECT("priprava_" &amp; G$1 &amp; "!G14"),"")</f>
        <v/>
      </c>
      <c r="H15" s="157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57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57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57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58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5" t="str">
        <f ca="1">IF(INDIRECT("priprava_" &amp; A$1 &amp; "!A17")&lt;&gt;0,INDIRECT("priprava_" &amp; A$1 &amp; "!A17"),"")</f>
        <v>Štěpán Čuda</v>
      </c>
      <c r="B16" s="156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57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57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57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58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5" t="str">
        <f ca="1">IF(INDIRECT("priprava_" &amp; G$1 &amp; "!A17")&lt;&gt;0,INDIRECT("priprava_" &amp; G$1 &amp; "!A17"),"")</f>
        <v/>
      </c>
      <c r="H16" s="157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57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57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57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58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5" t="str">
        <f ca="1">IF(INDIRECT("priprava_" &amp; A$1 &amp; "!M17")&lt;&gt;0,INDIRECT("priprava_" &amp; A$1 &amp; "!M17"),"")</f>
        <v>David Ježek</v>
      </c>
      <c r="B17" s="156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57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57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57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58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5" t="str">
        <f ca="1">IF(INDIRECT("priprava_" &amp; G$1 &amp; "!M17")&lt;&gt;0,INDIRECT("priprava_" &amp; G$1 &amp; "!M17"),"")</f>
        <v/>
      </c>
      <c r="H17" s="157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57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57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57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58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5" t="str">
        <f ca="1">IF(INDIRECT("priprava_" &amp; A$1 &amp; "!A23")&lt;&gt;0,INDIRECT("priprava_" &amp; A$1 &amp; "!A23"),"")</f>
        <v>Štepán Švejda</v>
      </c>
      <c r="B18" s="156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57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57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57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58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5" t="str">
        <f ca="1">IF(INDIRECT("priprava_" &amp; G$1 &amp; "!A23")&lt;&gt;0,INDIRECT("priprava_" &amp; G$1 &amp; "!A23"),"")</f>
        <v/>
      </c>
      <c r="H18" s="157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57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57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57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58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5" t="str">
        <f ca="1">IF(INDIRECT("priprava_" &amp; A$1 &amp; "!M23")&lt;&gt;0,INDIRECT("priprava_" &amp; A$1 &amp; "!M23"),"")</f>
        <v>Jan Pinkas</v>
      </c>
      <c r="B19" s="156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57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57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57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58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55" t="str">
        <f ca="1">IF(INDIRECT("priprava_" &amp; G$1 &amp; "!M23")&lt;&gt;0,INDIRECT("priprava_" &amp; G$1 &amp; "!M23"),"")</f>
        <v/>
      </c>
      <c r="H19" s="157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57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57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57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58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5" t="str">
        <f ca="1">IF(INDIRECT("priprava_" &amp; A$1 &amp; "!G25")&lt;&gt;0,INDIRECT("priprava_" &amp; A$1 &amp; "!G25"),"")</f>
        <v>Ivan Pergler</v>
      </c>
      <c r="B20" s="156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57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57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57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58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55" t="str">
        <f ca="1">IF(INDIRECT("priprava_" &amp; G$1 &amp; "!G25")&lt;&gt;0,INDIRECT("priprava_" &amp; G$1 &amp; "!G25"),"")</f>
        <v/>
      </c>
      <c r="H20" s="157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57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57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57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58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5" t="str">
        <f ca="1">IF(INDIRECT("priprava_" &amp; A$1 &amp; "!A28")&lt;&gt;0,INDIRECT("priprava_" &amp; A$1 &amp; "!A28"),"")</f>
        <v>Lukáš Lanc</v>
      </c>
      <c r="B21" s="156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57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1" s="157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57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58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5" t="str">
        <f ca="1">IF(INDIRECT("priprava_" &amp; G$1 &amp; "!A28")&lt;&gt;0,INDIRECT("priprava_" &amp; G$1 &amp; "!A28"),"")</f>
        <v/>
      </c>
      <c r="H21" s="157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57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57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57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58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5" t="str">
        <f ca="1">IF(INDIRECT("priprava_" &amp; A$1 &amp; "!M28")&lt;&gt;0,INDIRECT("priprava_" &amp; A$1 &amp; "!M28"),"")</f>
        <v>Petr Hartman</v>
      </c>
      <c r="B22" s="156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57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57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57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58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55" t="str">
        <f ca="1">IF(INDIRECT("priprava_" &amp; G$1 &amp; "!M28")&lt;&gt;0,INDIRECT("priprava_" &amp; G$1 &amp; "!M28"),"")</f>
        <v/>
      </c>
      <c r="H22" s="157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57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57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57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58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5" t="str">
        <f ca="1">IF(INDIRECT("priprava_" &amp; A$1 &amp; "!J34")&lt;&gt;0,INDIRECT("priprava_" &amp; A$1 &amp; "!J34"),"")</f>
        <v>Marek Paštika</v>
      </c>
      <c r="B23" s="156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57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57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57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58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55" t="str">
        <f ca="1">IF(INDIRECT("priprava_" &amp; G$1 &amp; "!J34")&lt;&gt;0,INDIRECT("priprava_" &amp; G$1 &amp; "!J34"),"")</f>
        <v/>
      </c>
      <c r="H23" s="157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57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57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57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58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5" t="str">
        <f ca="1">IF(INDIRECT("priprava_" &amp; A$1 &amp; "!J38")&lt;&gt;0,INDIRECT("priprava_" &amp; A$1 &amp; "!J38"),"")</f>
        <v>Matěj Horák</v>
      </c>
      <c r="B24" s="156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57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57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57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58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5" t="str">
        <f ca="1">IF(INDIRECT("priprava_" &amp; G$1 &amp; "!J38")&lt;&gt;0,INDIRECT("priprava_" &amp; G$1 &amp; "!J38"),"")</f>
        <v/>
      </c>
      <c r="H24" s="157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57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57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57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58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5" t="str">
        <f ca="1">IF(INDIRECT("priprava_" &amp; A$1 &amp; "!J42")&lt;&gt;0,INDIRECT("priprava_" &amp; A$1 &amp; "!J42"),"")</f>
        <v>Milan Bína</v>
      </c>
      <c r="B25" s="156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57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57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57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58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5" t="str">
        <f ca="1">IF(INDIRECT("priprava_" &amp; G$1 &amp; "!J42")&lt;&gt;0,INDIRECT("priprava_" &amp; G$1 &amp; "!J42"),"")</f>
        <v/>
      </c>
      <c r="H25" s="157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57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57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57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58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5" t="str">
        <f ca="1">IF(INDIRECT("priprava_" &amp; A$1 &amp; "!A34")&lt;&gt;0,INDIRECT("priprava_" &amp; A$1 &amp; "!A34"),"")</f>
        <v>Petr Musil</v>
      </c>
      <c r="B26" s="156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57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57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57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58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5" t="str">
        <f ca="1">IF(INDIRECT("priprava_" &amp; G$1 &amp; "!A34")&lt;&gt;0,INDIRECT("priprava_" &amp; G$1 &amp; "!A34"),"")</f>
        <v/>
      </c>
      <c r="H26" s="157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57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57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57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58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5" t="str">
        <f ca="1">IF(INDIRECT("priprava_" &amp; A$1 &amp; "!A40")&lt;&gt;0,INDIRECT("priprava_" &amp; A$1 &amp; "!A40"),"")</f>
        <v>Karel Šantora</v>
      </c>
      <c r="B27" s="156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57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57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57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58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55" t="str">
        <f ca="1">IF(INDIRECT("priprava_" &amp; G$1 &amp; "!A40")&lt;&gt;0,INDIRECT("priprava_" &amp; G$1 &amp; "!A40"),"")</f>
        <v/>
      </c>
      <c r="H27" s="157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57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57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57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58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27" t="s">
        <v>945</v>
      </c>
      <c r="B28" s="327"/>
      <c r="C28" s="327"/>
      <c r="D28" s="327"/>
      <c r="E28" s="327"/>
      <c r="F28" s="327"/>
      <c r="G28" s="327" t="s">
        <v>945</v>
      </c>
      <c r="H28" s="327"/>
      <c r="I28" s="327"/>
      <c r="J28" s="327"/>
      <c r="K28" s="327"/>
      <c r="L28" s="327"/>
    </row>
    <row r="29" spans="1:12" x14ac:dyDescent="0.25">
      <c r="A29" s="155" t="str">
        <f ca="1">IF(INDIRECT("priprava_" &amp; A$1 &amp; "!A47")&lt;&gt;0,INDIRECT("priprava_" &amp; A$1 &amp; "!A47"),"")</f>
        <v>Michal Kotlas</v>
      </c>
      <c r="B29" s="157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57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57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57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58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5" t="str">
        <f ca="1">IF(INDIRECT("priprava_" &amp; G$1 &amp; "!A47")&lt;&gt;0,INDIRECT("priprava_" &amp; G$1 &amp; "!A47"),"")</f>
        <v/>
      </c>
      <c r="H29" s="157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57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57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57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58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55" t="str">
        <f ca="1">IF(INDIRECT("priprava_" &amp; A$1 &amp; "!J47")&lt;&gt;0,INDIRECT("priprava_" &amp; A$1 &amp; "!J47"),"")</f>
        <v>David Bouša</v>
      </c>
      <c r="B30" s="157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57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57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57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58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5" t="str">
        <f ca="1">IF(INDIRECT("priprava_" &amp; G$1 &amp; "!J47")&lt;&gt;0,INDIRECT("priprava_" &amp; G$1 &amp; "!J47"),"")</f>
        <v/>
      </c>
      <c r="H30" s="157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57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57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57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58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5" t="str">
        <f ca="1">IF(INDIRECT("priprava_" &amp; A$1 &amp; "!J49")&lt;&gt;0,INDIRECT("priprava_" &amp; A$1 &amp; "!J49"),"")</f>
        <v>Boleslav Kytka</v>
      </c>
      <c r="B31" s="157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57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57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57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58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5" t="str">
        <f ca="1">IF(INDIRECT("priprava_" &amp; G$1 &amp; "!J49")&lt;&gt;0,INDIRECT("priprava_" &amp; G$1 &amp; "!J49"),"")</f>
        <v/>
      </c>
      <c r="H31" s="157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57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57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57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58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view="pageLayout" zoomScaleNormal="100" workbookViewId="0">
      <selection activeCell="A2" sqref="A2"/>
    </sheetView>
  </sheetViews>
  <sheetFormatPr defaultColWidth="9.140625" defaultRowHeight="14.25" x14ac:dyDescent="0.25"/>
  <cols>
    <col min="1" max="1" width="21.28515625" style="180" customWidth="1"/>
    <col min="2" max="2" width="8.7109375" style="179" customWidth="1"/>
    <col min="3" max="7" width="21.28515625" style="178" customWidth="1"/>
    <col min="8" max="8" width="17.5703125" style="177" hidden="1" customWidth="1"/>
    <col min="9" max="16384" width="9.140625" style="177"/>
  </cols>
  <sheetData>
    <row r="1" spans="1:8" s="185" customFormat="1" ht="19.5" x14ac:dyDescent="0.25">
      <c r="A1" s="328" t="s">
        <v>965</v>
      </c>
      <c r="B1" s="328"/>
      <c r="C1" s="328" t="s">
        <v>964</v>
      </c>
      <c r="D1" s="328"/>
      <c r="E1" s="328"/>
      <c r="F1" s="328"/>
      <c r="G1" s="328"/>
      <c r="H1" s="185" t="s">
        <v>963</v>
      </c>
    </row>
    <row r="2" spans="1:8" x14ac:dyDescent="0.25">
      <c r="A2" s="183" t="s">
        <v>238</v>
      </c>
      <c r="B2" s="184">
        <v>37276</v>
      </c>
      <c r="C2" s="181" t="s">
        <v>960</v>
      </c>
      <c r="D2" s="181"/>
      <c r="E2" s="181"/>
      <c r="F2" s="181"/>
      <c r="G2" s="181"/>
      <c r="H2" s="177" t="str">
        <f t="shared" ref="H2:H33" si="0">IF(A2&lt;&gt;"",CONCATENATE(A2," (",B2,")"),"")</f>
        <v>Jakub Pařízek (37276)</v>
      </c>
    </row>
    <row r="3" spans="1:8" x14ac:dyDescent="0.25">
      <c r="A3" s="183" t="s">
        <v>162</v>
      </c>
      <c r="B3" s="184">
        <v>32379</v>
      </c>
      <c r="C3" s="181" t="s">
        <v>959</v>
      </c>
      <c r="D3" s="181"/>
      <c r="E3" s="181"/>
      <c r="F3" s="181"/>
      <c r="G3" s="181"/>
      <c r="H3" s="177" t="str">
        <f t="shared" si="0"/>
        <v>Lukáš Lanc (32379)</v>
      </c>
    </row>
    <row r="4" spans="1:8" x14ac:dyDescent="0.25">
      <c r="A4" s="183" t="s">
        <v>229</v>
      </c>
      <c r="B4" s="184">
        <v>37818</v>
      </c>
      <c r="C4" s="181" t="s">
        <v>962</v>
      </c>
      <c r="D4" s="181"/>
      <c r="E4" s="181"/>
      <c r="F4" s="181"/>
      <c r="G4" s="181"/>
      <c r="H4" s="177" t="str">
        <f t="shared" si="0"/>
        <v>Šimon Stránský (37818)</v>
      </c>
    </row>
    <row r="5" spans="1:8" x14ac:dyDescent="0.25">
      <c r="A5" s="183" t="s">
        <v>259</v>
      </c>
      <c r="B5" s="184">
        <v>24850</v>
      </c>
      <c r="C5" s="181" t="s">
        <v>961</v>
      </c>
      <c r="D5" s="181"/>
      <c r="E5" s="181"/>
      <c r="F5" s="181"/>
      <c r="G5" s="181"/>
      <c r="H5" s="177" t="str">
        <f t="shared" si="0"/>
        <v>Zdeněk Skružný (24850)</v>
      </c>
    </row>
    <row r="6" spans="1:8" x14ac:dyDescent="0.25">
      <c r="A6" s="183"/>
      <c r="B6" s="182"/>
      <c r="C6" s="181"/>
      <c r="D6" s="181"/>
      <c r="E6" s="181"/>
      <c r="F6" s="181"/>
      <c r="G6" s="181"/>
      <c r="H6" s="177" t="str">
        <f t="shared" si="0"/>
        <v/>
      </c>
    </row>
    <row r="7" spans="1:8" x14ac:dyDescent="0.25">
      <c r="A7" s="183"/>
      <c r="B7" s="182"/>
      <c r="C7" s="181"/>
      <c r="D7" s="181"/>
      <c r="E7" s="181"/>
      <c r="F7" s="181"/>
      <c r="G7" s="181"/>
      <c r="H7" s="177" t="str">
        <f t="shared" si="0"/>
        <v/>
      </c>
    </row>
    <row r="8" spans="1:8" x14ac:dyDescent="0.25">
      <c r="A8" s="183"/>
      <c r="B8" s="182"/>
      <c r="C8" s="181"/>
      <c r="D8" s="181"/>
      <c r="E8" s="181"/>
      <c r="F8" s="181"/>
      <c r="G8" s="181"/>
      <c r="H8" s="177" t="str">
        <f t="shared" si="0"/>
        <v/>
      </c>
    </row>
    <row r="9" spans="1:8" x14ac:dyDescent="0.25">
      <c r="A9" s="183"/>
      <c r="B9" s="182"/>
      <c r="C9" s="181"/>
      <c r="D9" s="181"/>
      <c r="E9" s="181"/>
      <c r="F9" s="181"/>
      <c r="G9" s="181"/>
      <c r="H9" s="177" t="str">
        <f t="shared" si="0"/>
        <v/>
      </c>
    </row>
    <row r="10" spans="1:8" x14ac:dyDescent="0.25">
      <c r="A10" s="183"/>
      <c r="B10" s="182"/>
      <c r="C10" s="181"/>
      <c r="D10" s="181"/>
      <c r="E10" s="181"/>
      <c r="F10" s="181"/>
      <c r="G10" s="181"/>
      <c r="H10" s="177" t="str">
        <f t="shared" si="0"/>
        <v/>
      </c>
    </row>
    <row r="11" spans="1:8" x14ac:dyDescent="0.25">
      <c r="A11" s="183"/>
      <c r="B11" s="182"/>
      <c r="C11" s="181"/>
      <c r="D11" s="181"/>
      <c r="E11" s="181"/>
      <c r="F11" s="181"/>
      <c r="G11" s="181"/>
      <c r="H11" s="177" t="str">
        <f t="shared" si="0"/>
        <v/>
      </c>
    </row>
    <row r="12" spans="1:8" x14ac:dyDescent="0.25">
      <c r="A12" s="183"/>
      <c r="B12" s="182"/>
      <c r="C12" s="181"/>
      <c r="D12" s="181"/>
      <c r="E12" s="181"/>
      <c r="F12" s="181"/>
      <c r="G12" s="181"/>
      <c r="H12" s="177" t="str">
        <f t="shared" si="0"/>
        <v/>
      </c>
    </row>
    <row r="13" spans="1:8" x14ac:dyDescent="0.25">
      <c r="A13" s="183"/>
      <c r="B13" s="182"/>
      <c r="C13" s="181"/>
      <c r="D13" s="181"/>
      <c r="E13" s="181"/>
      <c r="F13" s="181"/>
      <c r="G13" s="181"/>
      <c r="H13" s="177" t="str">
        <f t="shared" si="0"/>
        <v/>
      </c>
    </row>
    <row r="14" spans="1:8" x14ac:dyDescent="0.25">
      <c r="A14" s="183"/>
      <c r="B14" s="182"/>
      <c r="C14" s="181"/>
      <c r="D14" s="181"/>
      <c r="E14" s="181"/>
      <c r="F14" s="181"/>
      <c r="G14" s="181"/>
      <c r="H14" s="177" t="str">
        <f t="shared" si="0"/>
        <v/>
      </c>
    </row>
    <row r="15" spans="1:8" x14ac:dyDescent="0.25">
      <c r="A15" s="183"/>
      <c r="B15" s="182"/>
      <c r="C15" s="181"/>
      <c r="D15" s="181"/>
      <c r="E15" s="181"/>
      <c r="F15" s="181"/>
      <c r="G15" s="181"/>
      <c r="H15" s="177" t="str">
        <f t="shared" si="0"/>
        <v/>
      </c>
    </row>
    <row r="16" spans="1:8" x14ac:dyDescent="0.25">
      <c r="A16" s="183"/>
      <c r="B16" s="182"/>
      <c r="C16" s="181"/>
      <c r="D16" s="181"/>
      <c r="E16" s="181"/>
      <c r="F16" s="181"/>
      <c r="G16" s="181"/>
      <c r="H16" s="177" t="str">
        <f t="shared" si="0"/>
        <v/>
      </c>
    </row>
    <row r="17" spans="1:8" x14ac:dyDescent="0.25">
      <c r="A17" s="183"/>
      <c r="B17" s="182"/>
      <c r="C17" s="181"/>
      <c r="D17" s="181"/>
      <c r="E17" s="181"/>
      <c r="F17" s="181"/>
      <c r="G17" s="181"/>
      <c r="H17" s="177" t="str">
        <f t="shared" si="0"/>
        <v/>
      </c>
    </row>
    <row r="18" spans="1:8" x14ac:dyDescent="0.25">
      <c r="A18" s="183"/>
      <c r="B18" s="182"/>
      <c r="C18" s="181"/>
      <c r="D18" s="181"/>
      <c r="E18" s="181"/>
      <c r="F18" s="181"/>
      <c r="G18" s="181"/>
      <c r="H18" s="177" t="str">
        <f t="shared" si="0"/>
        <v/>
      </c>
    </row>
    <row r="19" spans="1:8" x14ac:dyDescent="0.25">
      <c r="A19" s="183"/>
      <c r="B19" s="182"/>
      <c r="C19" s="181"/>
      <c r="D19" s="181"/>
      <c r="E19" s="181"/>
      <c r="F19" s="181"/>
      <c r="G19" s="181"/>
      <c r="H19" s="177" t="str">
        <f t="shared" si="0"/>
        <v/>
      </c>
    </row>
    <row r="20" spans="1:8" x14ac:dyDescent="0.25">
      <c r="H20" s="177" t="str">
        <f t="shared" si="0"/>
        <v/>
      </c>
    </row>
    <row r="21" spans="1:8" x14ac:dyDescent="0.25">
      <c r="H21" s="177" t="str">
        <f t="shared" si="0"/>
        <v/>
      </c>
    </row>
    <row r="22" spans="1:8" x14ac:dyDescent="0.25">
      <c r="H22" s="177" t="str">
        <f t="shared" si="0"/>
        <v/>
      </c>
    </row>
    <row r="23" spans="1:8" x14ac:dyDescent="0.25">
      <c r="H23" s="177" t="str">
        <f t="shared" si="0"/>
        <v/>
      </c>
    </row>
    <row r="24" spans="1:8" x14ac:dyDescent="0.25">
      <c r="H24" s="177" t="str">
        <f t="shared" si="0"/>
        <v/>
      </c>
    </row>
    <row r="25" spans="1:8" x14ac:dyDescent="0.25">
      <c r="H25" s="177" t="str">
        <f t="shared" si="0"/>
        <v/>
      </c>
    </row>
    <row r="26" spans="1:8" x14ac:dyDescent="0.25">
      <c r="H26" s="177" t="str">
        <f t="shared" si="0"/>
        <v/>
      </c>
    </row>
    <row r="27" spans="1:8" x14ac:dyDescent="0.25">
      <c r="H27" s="177" t="str">
        <f t="shared" si="0"/>
        <v/>
      </c>
    </row>
    <row r="28" spans="1:8" x14ac:dyDescent="0.25">
      <c r="H28" s="177" t="str">
        <f t="shared" si="0"/>
        <v/>
      </c>
    </row>
    <row r="29" spans="1:8" x14ac:dyDescent="0.25">
      <c r="H29" s="177" t="str">
        <f t="shared" si="0"/>
        <v/>
      </c>
    </row>
    <row r="30" spans="1:8" x14ac:dyDescent="0.25">
      <c r="H30" s="177" t="str">
        <f t="shared" si="0"/>
        <v/>
      </c>
    </row>
    <row r="31" spans="1:8" x14ac:dyDescent="0.25">
      <c r="H31" s="177" t="str">
        <f t="shared" si="0"/>
        <v/>
      </c>
    </row>
    <row r="32" spans="1:8" x14ac:dyDescent="0.25">
      <c r="H32" s="177" t="str">
        <f t="shared" si="0"/>
        <v/>
      </c>
    </row>
    <row r="33" spans="8:8" x14ac:dyDescent="0.25">
      <c r="H33" s="177" t="str">
        <f t="shared" si="0"/>
        <v/>
      </c>
    </row>
    <row r="34" spans="8:8" x14ac:dyDescent="0.25">
      <c r="H34" s="177" t="str">
        <f t="shared" ref="H34:H65" si="1">IF(A34&lt;&gt;"",CONCATENATE(A34," (",B34,")"),"")</f>
        <v/>
      </c>
    </row>
    <row r="35" spans="8:8" x14ac:dyDescent="0.25">
      <c r="H35" s="177" t="str">
        <f t="shared" si="1"/>
        <v/>
      </c>
    </row>
    <row r="36" spans="8:8" x14ac:dyDescent="0.25">
      <c r="H36" s="177" t="str">
        <f t="shared" si="1"/>
        <v/>
      </c>
    </row>
    <row r="37" spans="8:8" x14ac:dyDescent="0.25">
      <c r="H37" s="177" t="str">
        <f t="shared" si="1"/>
        <v/>
      </c>
    </row>
    <row r="38" spans="8:8" x14ac:dyDescent="0.25">
      <c r="H38" s="177" t="str">
        <f t="shared" si="1"/>
        <v/>
      </c>
    </row>
    <row r="39" spans="8:8" x14ac:dyDescent="0.25">
      <c r="H39" s="177" t="str">
        <f t="shared" si="1"/>
        <v/>
      </c>
    </row>
    <row r="40" spans="8:8" x14ac:dyDescent="0.25">
      <c r="H40" s="177" t="str">
        <f t="shared" si="1"/>
        <v/>
      </c>
    </row>
    <row r="41" spans="8:8" x14ac:dyDescent="0.25">
      <c r="H41" s="177" t="str">
        <f t="shared" si="1"/>
        <v/>
      </c>
    </row>
    <row r="42" spans="8:8" x14ac:dyDescent="0.25">
      <c r="H42" s="177" t="str">
        <f t="shared" si="1"/>
        <v/>
      </c>
    </row>
    <row r="43" spans="8:8" x14ac:dyDescent="0.25">
      <c r="H43" s="177" t="str">
        <f t="shared" si="1"/>
        <v/>
      </c>
    </row>
    <row r="44" spans="8:8" x14ac:dyDescent="0.25">
      <c r="H44" s="177" t="str">
        <f t="shared" si="1"/>
        <v/>
      </c>
    </row>
    <row r="45" spans="8:8" x14ac:dyDescent="0.25">
      <c r="H45" s="177" t="str">
        <f t="shared" si="1"/>
        <v/>
      </c>
    </row>
    <row r="46" spans="8:8" x14ac:dyDescent="0.25">
      <c r="H46" s="177" t="str">
        <f t="shared" si="1"/>
        <v/>
      </c>
    </row>
    <row r="47" spans="8:8" x14ac:dyDescent="0.25">
      <c r="H47" s="177" t="str">
        <f t="shared" si="1"/>
        <v/>
      </c>
    </row>
    <row r="48" spans="8:8" x14ac:dyDescent="0.25">
      <c r="H48" s="177" t="str">
        <f t="shared" si="1"/>
        <v/>
      </c>
    </row>
    <row r="49" spans="8:8" x14ac:dyDescent="0.25">
      <c r="H49" s="177" t="str">
        <f t="shared" si="1"/>
        <v/>
      </c>
    </row>
    <row r="50" spans="8:8" x14ac:dyDescent="0.25">
      <c r="H50" s="177" t="str">
        <f t="shared" si="1"/>
        <v/>
      </c>
    </row>
    <row r="51" spans="8:8" x14ac:dyDescent="0.25">
      <c r="H51" s="177" t="str">
        <f t="shared" si="1"/>
        <v/>
      </c>
    </row>
    <row r="52" spans="8:8" x14ac:dyDescent="0.25">
      <c r="H52" s="177" t="str">
        <f t="shared" si="1"/>
        <v/>
      </c>
    </row>
    <row r="53" spans="8:8" x14ac:dyDescent="0.25">
      <c r="H53" s="177" t="str">
        <f t="shared" si="1"/>
        <v/>
      </c>
    </row>
    <row r="54" spans="8:8" x14ac:dyDescent="0.25">
      <c r="H54" s="177" t="str">
        <f t="shared" si="1"/>
        <v/>
      </c>
    </row>
    <row r="55" spans="8:8" x14ac:dyDescent="0.25">
      <c r="H55" s="177" t="str">
        <f t="shared" si="1"/>
        <v/>
      </c>
    </row>
    <row r="56" spans="8:8" x14ac:dyDescent="0.25">
      <c r="H56" s="177" t="str">
        <f t="shared" si="1"/>
        <v/>
      </c>
    </row>
    <row r="57" spans="8:8" x14ac:dyDescent="0.25">
      <c r="H57" s="177" t="str">
        <f t="shared" si="1"/>
        <v/>
      </c>
    </row>
    <row r="58" spans="8:8" x14ac:dyDescent="0.25">
      <c r="H58" s="177" t="str">
        <f t="shared" si="1"/>
        <v/>
      </c>
    </row>
    <row r="59" spans="8:8" x14ac:dyDescent="0.25">
      <c r="H59" s="177" t="str">
        <f t="shared" si="1"/>
        <v/>
      </c>
    </row>
    <row r="60" spans="8:8" x14ac:dyDescent="0.25">
      <c r="H60" s="177" t="str">
        <f t="shared" si="1"/>
        <v/>
      </c>
    </row>
    <row r="61" spans="8:8" x14ac:dyDescent="0.25">
      <c r="H61" s="177" t="str">
        <f t="shared" si="1"/>
        <v/>
      </c>
    </row>
    <row r="62" spans="8:8" x14ac:dyDescent="0.25">
      <c r="H62" s="177" t="str">
        <f t="shared" si="1"/>
        <v/>
      </c>
    </row>
    <row r="63" spans="8:8" x14ac:dyDescent="0.25">
      <c r="H63" s="177" t="str">
        <f t="shared" si="1"/>
        <v/>
      </c>
    </row>
    <row r="64" spans="8:8" x14ac:dyDescent="0.25">
      <c r="H64" s="177" t="str">
        <f t="shared" si="1"/>
        <v/>
      </c>
    </row>
    <row r="65" spans="8:8" x14ac:dyDescent="0.25">
      <c r="H65" s="177" t="str">
        <f t="shared" si="1"/>
        <v/>
      </c>
    </row>
    <row r="66" spans="8:8" x14ac:dyDescent="0.25">
      <c r="H66" s="177" t="str">
        <f t="shared" ref="H66:H97" si="2">IF(A66&lt;&gt;"",CONCATENATE(A66," (",B66,")"),"")</f>
        <v/>
      </c>
    </row>
    <row r="67" spans="8:8" x14ac:dyDescent="0.25">
      <c r="H67" s="177" t="str">
        <f t="shared" si="2"/>
        <v/>
      </c>
    </row>
    <row r="68" spans="8:8" x14ac:dyDescent="0.25">
      <c r="H68" s="177" t="str">
        <f t="shared" si="2"/>
        <v/>
      </c>
    </row>
    <row r="69" spans="8:8" x14ac:dyDescent="0.25">
      <c r="H69" s="177" t="str">
        <f t="shared" si="2"/>
        <v/>
      </c>
    </row>
    <row r="70" spans="8:8" x14ac:dyDescent="0.25">
      <c r="H70" s="177" t="str">
        <f t="shared" si="2"/>
        <v/>
      </c>
    </row>
    <row r="71" spans="8:8" x14ac:dyDescent="0.25">
      <c r="H71" s="177" t="str">
        <f t="shared" si="2"/>
        <v/>
      </c>
    </row>
    <row r="72" spans="8:8" x14ac:dyDescent="0.25">
      <c r="H72" s="177" t="str">
        <f t="shared" si="2"/>
        <v/>
      </c>
    </row>
    <row r="73" spans="8:8" x14ac:dyDescent="0.25">
      <c r="H73" s="177" t="str">
        <f t="shared" si="2"/>
        <v/>
      </c>
    </row>
    <row r="74" spans="8:8" x14ac:dyDescent="0.25">
      <c r="H74" s="177" t="str">
        <f t="shared" si="2"/>
        <v/>
      </c>
    </row>
    <row r="75" spans="8:8" x14ac:dyDescent="0.25">
      <c r="H75" s="177" t="str">
        <f t="shared" si="2"/>
        <v/>
      </c>
    </row>
    <row r="76" spans="8:8" x14ac:dyDescent="0.25">
      <c r="H76" s="177" t="str">
        <f t="shared" si="2"/>
        <v/>
      </c>
    </row>
    <row r="77" spans="8:8" x14ac:dyDescent="0.25">
      <c r="H77" s="177" t="str">
        <f t="shared" si="2"/>
        <v/>
      </c>
    </row>
    <row r="78" spans="8:8" x14ac:dyDescent="0.25">
      <c r="H78" s="177" t="str">
        <f t="shared" si="2"/>
        <v/>
      </c>
    </row>
    <row r="79" spans="8:8" x14ac:dyDescent="0.25">
      <c r="H79" s="177" t="str">
        <f t="shared" si="2"/>
        <v/>
      </c>
    </row>
    <row r="80" spans="8:8" x14ac:dyDescent="0.25">
      <c r="H80" s="177" t="str">
        <f t="shared" si="2"/>
        <v/>
      </c>
    </row>
    <row r="81" spans="8:8" x14ac:dyDescent="0.25">
      <c r="H81" s="177" t="str">
        <f t="shared" si="2"/>
        <v/>
      </c>
    </row>
    <row r="82" spans="8:8" x14ac:dyDescent="0.25">
      <c r="H82" s="177" t="str">
        <f t="shared" si="2"/>
        <v/>
      </c>
    </row>
    <row r="83" spans="8:8" x14ac:dyDescent="0.25">
      <c r="H83" s="177" t="str">
        <f t="shared" si="2"/>
        <v/>
      </c>
    </row>
    <row r="84" spans="8:8" x14ac:dyDescent="0.25">
      <c r="H84" s="177" t="str">
        <f t="shared" si="2"/>
        <v/>
      </c>
    </row>
    <row r="85" spans="8:8" x14ac:dyDescent="0.25">
      <c r="H85" s="177" t="str">
        <f t="shared" si="2"/>
        <v/>
      </c>
    </row>
    <row r="86" spans="8:8" x14ac:dyDescent="0.25">
      <c r="H86" s="177" t="str">
        <f t="shared" si="2"/>
        <v/>
      </c>
    </row>
    <row r="87" spans="8:8" x14ac:dyDescent="0.25">
      <c r="H87" s="177" t="str">
        <f t="shared" si="2"/>
        <v/>
      </c>
    </row>
    <row r="88" spans="8:8" x14ac:dyDescent="0.25">
      <c r="H88" s="177" t="str">
        <f t="shared" si="2"/>
        <v/>
      </c>
    </row>
    <row r="89" spans="8:8" x14ac:dyDescent="0.25">
      <c r="H89" s="177" t="str">
        <f t="shared" si="2"/>
        <v/>
      </c>
    </row>
    <row r="90" spans="8:8" x14ac:dyDescent="0.25">
      <c r="H90" s="177" t="str">
        <f t="shared" si="2"/>
        <v/>
      </c>
    </row>
    <row r="91" spans="8:8" x14ac:dyDescent="0.25">
      <c r="H91" s="177" t="str">
        <f t="shared" si="2"/>
        <v/>
      </c>
    </row>
    <row r="92" spans="8:8" x14ac:dyDescent="0.25">
      <c r="H92" s="177" t="str">
        <f t="shared" si="2"/>
        <v/>
      </c>
    </row>
    <row r="93" spans="8:8" x14ac:dyDescent="0.25">
      <c r="H93" s="177" t="str">
        <f t="shared" si="2"/>
        <v/>
      </c>
    </row>
    <row r="94" spans="8:8" x14ac:dyDescent="0.25">
      <c r="H94" s="177" t="str">
        <f t="shared" si="2"/>
        <v/>
      </c>
    </row>
    <row r="95" spans="8:8" x14ac:dyDescent="0.25">
      <c r="H95" s="177" t="str">
        <f t="shared" si="2"/>
        <v/>
      </c>
    </row>
    <row r="96" spans="8:8" x14ac:dyDescent="0.25">
      <c r="H96" s="177" t="str">
        <f t="shared" si="2"/>
        <v/>
      </c>
    </row>
    <row r="97" spans="8:8" x14ac:dyDescent="0.25">
      <c r="H97" s="177" t="str">
        <f t="shared" si="2"/>
        <v/>
      </c>
    </row>
    <row r="98" spans="8:8" x14ac:dyDescent="0.25">
      <c r="H98" s="177" t="str">
        <f t="shared" ref="H98:H129" si="3">IF(A98&lt;&gt;"",CONCATENATE(A98," (",B98,")"),"")</f>
        <v/>
      </c>
    </row>
    <row r="99" spans="8:8" x14ac:dyDescent="0.25">
      <c r="H99" s="177" t="str">
        <f t="shared" si="3"/>
        <v/>
      </c>
    </row>
    <row r="100" spans="8:8" x14ac:dyDescent="0.25">
      <c r="H100" s="177" t="str">
        <f t="shared" si="3"/>
        <v/>
      </c>
    </row>
    <row r="101" spans="8:8" x14ac:dyDescent="0.25">
      <c r="H101" s="177" t="str">
        <f t="shared" si="3"/>
        <v/>
      </c>
    </row>
    <row r="102" spans="8:8" x14ac:dyDescent="0.25">
      <c r="H102" s="177" t="str">
        <f t="shared" si="3"/>
        <v/>
      </c>
    </row>
    <row r="103" spans="8:8" x14ac:dyDescent="0.25">
      <c r="H103" s="177" t="str">
        <f t="shared" si="3"/>
        <v/>
      </c>
    </row>
    <row r="104" spans="8:8" x14ac:dyDescent="0.25">
      <c r="H104" s="177" t="str">
        <f t="shared" si="3"/>
        <v/>
      </c>
    </row>
    <row r="105" spans="8:8" x14ac:dyDescent="0.25">
      <c r="H105" s="177" t="str">
        <f t="shared" si="3"/>
        <v/>
      </c>
    </row>
    <row r="106" spans="8:8" x14ac:dyDescent="0.25">
      <c r="H106" s="177" t="str">
        <f t="shared" si="3"/>
        <v/>
      </c>
    </row>
    <row r="107" spans="8:8" x14ac:dyDescent="0.25">
      <c r="H107" s="177" t="str">
        <f t="shared" si="3"/>
        <v/>
      </c>
    </row>
    <row r="108" spans="8:8" x14ac:dyDescent="0.25">
      <c r="H108" s="177" t="str">
        <f t="shared" si="3"/>
        <v/>
      </c>
    </row>
    <row r="109" spans="8:8" x14ac:dyDescent="0.25">
      <c r="H109" s="177" t="str">
        <f t="shared" si="3"/>
        <v/>
      </c>
    </row>
    <row r="110" spans="8:8" x14ac:dyDescent="0.25">
      <c r="H110" s="177" t="str">
        <f t="shared" si="3"/>
        <v/>
      </c>
    </row>
    <row r="111" spans="8:8" x14ac:dyDescent="0.25">
      <c r="H111" s="177" t="str">
        <f t="shared" si="3"/>
        <v/>
      </c>
    </row>
    <row r="112" spans="8:8" x14ac:dyDescent="0.25">
      <c r="H112" s="177" t="str">
        <f t="shared" si="3"/>
        <v/>
      </c>
    </row>
    <row r="113" spans="8:8" x14ac:dyDescent="0.25">
      <c r="H113" s="177" t="str">
        <f t="shared" si="3"/>
        <v/>
      </c>
    </row>
    <row r="114" spans="8:8" x14ac:dyDescent="0.25">
      <c r="H114" s="177" t="str">
        <f t="shared" si="3"/>
        <v/>
      </c>
    </row>
    <row r="115" spans="8:8" x14ac:dyDescent="0.25">
      <c r="H115" s="177" t="str">
        <f t="shared" si="3"/>
        <v/>
      </c>
    </row>
    <row r="116" spans="8:8" x14ac:dyDescent="0.25">
      <c r="H116" s="177" t="str">
        <f t="shared" si="3"/>
        <v/>
      </c>
    </row>
    <row r="117" spans="8:8" x14ac:dyDescent="0.25">
      <c r="H117" s="177" t="str">
        <f t="shared" si="3"/>
        <v/>
      </c>
    </row>
    <row r="118" spans="8:8" x14ac:dyDescent="0.25">
      <c r="H118" s="177" t="str">
        <f t="shared" si="3"/>
        <v/>
      </c>
    </row>
    <row r="119" spans="8:8" x14ac:dyDescent="0.25">
      <c r="H119" s="177" t="str">
        <f t="shared" si="3"/>
        <v/>
      </c>
    </row>
    <row r="120" spans="8:8" x14ac:dyDescent="0.25">
      <c r="H120" s="177" t="str">
        <f t="shared" si="3"/>
        <v/>
      </c>
    </row>
    <row r="121" spans="8:8" x14ac:dyDescent="0.25">
      <c r="H121" s="177" t="str">
        <f t="shared" si="3"/>
        <v/>
      </c>
    </row>
    <row r="122" spans="8:8" x14ac:dyDescent="0.25">
      <c r="H122" s="177" t="str">
        <f t="shared" si="3"/>
        <v/>
      </c>
    </row>
    <row r="123" spans="8:8" x14ac:dyDescent="0.25">
      <c r="H123" s="177" t="str">
        <f t="shared" si="3"/>
        <v/>
      </c>
    </row>
    <row r="124" spans="8:8" x14ac:dyDescent="0.25">
      <c r="H124" s="177" t="str">
        <f t="shared" si="3"/>
        <v/>
      </c>
    </row>
    <row r="125" spans="8:8" x14ac:dyDescent="0.25">
      <c r="H125" s="177" t="str">
        <f t="shared" si="3"/>
        <v/>
      </c>
    </row>
    <row r="126" spans="8:8" x14ac:dyDescent="0.25">
      <c r="H126" s="177" t="str">
        <f t="shared" si="3"/>
        <v/>
      </c>
    </row>
    <row r="127" spans="8:8" x14ac:dyDescent="0.25">
      <c r="H127" s="177" t="str">
        <f t="shared" si="3"/>
        <v/>
      </c>
    </row>
    <row r="128" spans="8:8" x14ac:dyDescent="0.25">
      <c r="H128" s="177" t="str">
        <f t="shared" si="3"/>
        <v/>
      </c>
    </row>
    <row r="129" spans="8:8" x14ac:dyDescent="0.25">
      <c r="H129" s="177" t="str">
        <f t="shared" si="3"/>
        <v/>
      </c>
    </row>
    <row r="130" spans="8:8" x14ac:dyDescent="0.25">
      <c r="H130" s="177" t="str">
        <f t="shared" ref="H130:H139" si="4">IF(A130&lt;&gt;"",CONCATENATE(A130," (",B130,")"),"")</f>
        <v/>
      </c>
    </row>
    <row r="131" spans="8:8" x14ac:dyDescent="0.25">
      <c r="H131" s="177" t="str">
        <f t="shared" si="4"/>
        <v/>
      </c>
    </row>
    <row r="132" spans="8:8" x14ac:dyDescent="0.25">
      <c r="H132" s="177" t="str">
        <f t="shared" si="4"/>
        <v/>
      </c>
    </row>
    <row r="133" spans="8:8" x14ac:dyDescent="0.25">
      <c r="H133" s="177" t="str">
        <f t="shared" si="4"/>
        <v/>
      </c>
    </row>
    <row r="134" spans="8:8" x14ac:dyDescent="0.25">
      <c r="H134" s="177" t="str">
        <f t="shared" si="4"/>
        <v/>
      </c>
    </row>
    <row r="135" spans="8:8" x14ac:dyDescent="0.25">
      <c r="H135" s="177" t="str">
        <f t="shared" si="4"/>
        <v/>
      </c>
    </row>
    <row r="136" spans="8:8" x14ac:dyDescent="0.25">
      <c r="H136" s="177" t="str">
        <f t="shared" si="4"/>
        <v/>
      </c>
    </row>
    <row r="137" spans="8:8" x14ac:dyDescent="0.25">
      <c r="H137" s="177" t="str">
        <f t="shared" si="4"/>
        <v/>
      </c>
    </row>
    <row r="138" spans="8:8" x14ac:dyDescent="0.25">
      <c r="H138" s="177" t="str">
        <f t="shared" si="4"/>
        <v/>
      </c>
    </row>
    <row r="139" spans="8:8" x14ac:dyDescent="0.25">
      <c r="H139" s="177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86" customWidth="1"/>
    <col min="2" max="6" width="21.28515625" style="177" customWidth="1"/>
    <col min="7" max="16384" width="9.140625" style="177"/>
  </cols>
  <sheetData>
    <row r="1" spans="1:6" ht="19.5" x14ac:dyDescent="0.25">
      <c r="A1" s="187" t="s">
        <v>92</v>
      </c>
      <c r="B1" s="328" t="s">
        <v>964</v>
      </c>
      <c r="C1" s="328"/>
      <c r="D1" s="328"/>
      <c r="E1" s="328"/>
      <c r="F1" s="328"/>
    </row>
    <row r="2" spans="1:6" ht="14.25" customHeight="1" x14ac:dyDescent="0.25">
      <c r="A2" s="329" t="s">
        <v>83</v>
      </c>
      <c r="B2" s="181"/>
      <c r="C2" s="181"/>
      <c r="D2" s="181"/>
      <c r="E2" s="181"/>
      <c r="F2" s="181"/>
    </row>
    <row r="3" spans="1:6" ht="14.25" x14ac:dyDescent="0.25">
      <c r="A3" s="329"/>
      <c r="B3" s="181"/>
      <c r="C3" s="181"/>
      <c r="D3" s="181"/>
      <c r="E3" s="181"/>
      <c r="F3" s="181"/>
    </row>
    <row r="4" spans="1:6" ht="14.25" x14ac:dyDescent="0.25">
      <c r="A4" s="329"/>
      <c r="B4" s="181"/>
      <c r="C4" s="181"/>
      <c r="D4" s="181"/>
      <c r="E4" s="181"/>
      <c r="F4" s="181"/>
    </row>
    <row r="5" spans="1:6" ht="14.25" x14ac:dyDescent="0.25">
      <c r="A5" s="330" t="s">
        <v>82</v>
      </c>
    </row>
    <row r="6" spans="1:6" ht="14.25" x14ac:dyDescent="0.25">
      <c r="A6" s="330"/>
    </row>
    <row r="7" spans="1:6" ht="14.25" x14ac:dyDescent="0.25">
      <c r="A7" s="330"/>
    </row>
    <row r="8" spans="1:6" ht="14.25" x14ac:dyDescent="0.25">
      <c r="A8" s="330" t="s">
        <v>79</v>
      </c>
    </row>
    <row r="9" spans="1:6" ht="14.25" x14ac:dyDescent="0.25">
      <c r="A9" s="330"/>
    </row>
    <row r="10" spans="1:6" ht="14.25" x14ac:dyDescent="0.25">
      <c r="A10" s="330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 t="s">
        <v>6</v>
      </c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39" t="s">
        <v>1</v>
      </c>
      <c r="I1" s="339"/>
      <c r="J1" s="339"/>
      <c r="K1" s="339"/>
      <c r="M1" s="337" t="s">
        <v>127</v>
      </c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0">
        <f ca="1">IFERROR(IF(VLOOKUP(A1,OFFSET($AG$2,,,COUNTIF($AG$2:$AG$50,"?*"),23),2,FALSE)&lt;&gt;0,YEAR(VLOOKUP(A1,OFFSET($AG$2,,,COUNTIF($AG$2:$AG$50,"?*"),23),2,FALSE)),""),"")</f>
        <v>1995</v>
      </c>
      <c r="C2" s="341"/>
      <c r="D2" s="5">
        <f ca="1">IFERROR(VLOOKUP(A1,OFFSET($AG$2,,,COUNTIF($AG$2:$AG$50,"?*"),23),15,FALSE),"")</f>
        <v>26</v>
      </c>
      <c r="E2" s="331" t="str">
        <f ca="1">IFERROR(VLOOKUP(A1,OFFSET($AG$2,,,COUNTIF($AG$2:$AG$50,"?*"),23),16,FALSE),"")</f>
        <v>183/76</v>
      </c>
      <c r="F2" s="332"/>
      <c r="M2" s="4" t="str">
        <f ca="1">IFERROR(IF(VLOOKUP(M1,OFFSET($AG$2,,,COUNTIF($AG$2:$AG$50,"?*"),23),10,FALSE)&lt;&gt;0,VLOOKUP(M1,OFFSET($AG$2,,,COUNTIF($AG$2:$AG$50,"?*"),23),10,FALSE),""),"")</f>
        <v>L</v>
      </c>
      <c r="N2" s="340">
        <f ca="1">IFERROR(IF(VLOOKUP(M1,OFFSET($AG$2,,,COUNTIF($AG$2:$AG$50,"?*"),23),2,FALSE)&lt;&gt;0,YEAR(VLOOKUP(M1,OFFSET($AG$2,,,COUNTIF($AG$2:$AG$50,"?*"),23),2,FALSE)),""),"")</f>
        <v>2000</v>
      </c>
      <c r="O2" s="341"/>
      <c r="P2" s="6">
        <f ca="1">IFERROR(VLOOKUP(M1,OFFSET($AG$2,,,COUNTIF($AG$2:$AG$50,"?*"),23),15,FALSE),"")</f>
        <v>21</v>
      </c>
      <c r="Q2" s="331" t="str">
        <f ca="1">IFERROR(VLOOKUP(M1,OFFSET($AG$2,,,COUNTIF($AG$2:$AG$50,"?*"),23),16,FALSE),"")</f>
        <v>186/80</v>
      </c>
      <c r="R2" s="332"/>
      <c r="S2" s="110" t="s">
        <v>118</v>
      </c>
      <c r="U2" s="102">
        <v>2</v>
      </c>
      <c r="V2" s="102">
        <v>2</v>
      </c>
      <c r="W2" s="102">
        <v>0</v>
      </c>
      <c r="X2" s="102">
        <v>0</v>
      </c>
      <c r="Y2" s="102">
        <v>0</v>
      </c>
      <c r="Z2" s="102">
        <v>2</v>
      </c>
      <c r="AA2" s="102">
        <v>0</v>
      </c>
      <c r="AB2" s="102">
        <v>-3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142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76" t="s">
        <v>36</v>
      </c>
      <c r="BT2" s="104" t="s">
        <v>200</v>
      </c>
      <c r="BU2" s="103">
        <v>2</v>
      </c>
      <c r="BV2" s="104" t="str">
        <f>IFERROR(RIGHT(BT2,LEN(BT2)-SEARCH(" ",BT2)),"")</f>
        <v>Viktor Kopecký</v>
      </c>
      <c r="BW2" s="102">
        <f>IF(BT2&lt;&gt;0,_xlfn.NUMBERVALUE(BU2,","),"")</f>
        <v>2</v>
      </c>
      <c r="BX2" s="375" t="s">
        <v>219</v>
      </c>
      <c r="BY2" s="103" t="s">
        <v>966</v>
      </c>
      <c r="BZ2" s="103" t="s">
        <v>105</v>
      </c>
      <c r="CA2" s="115" t="s">
        <v>967</v>
      </c>
    </row>
    <row r="3" spans="1:79" ht="15" customHeight="1" thickTop="1" thickBot="1" x14ac:dyDescent="0.25">
      <c r="A3" s="333" t="str">
        <f ca="1">IFERROR(VLOOKUP(A1,OFFSET($AG$2,,,COUNTIF($AG$2:$AG$50,"?*"),23),18,FALSE),"")</f>
        <v>3 OZ, 0 (0+0), -6 ±</v>
      </c>
      <c r="B3" s="334"/>
      <c r="C3" s="334"/>
      <c r="D3" s="335" t="str">
        <f ca="1">IFERROR(VLOOKUP(A1,OFFSET($AG$2,,,COUNTIF($AG$2:$AG$50,"?*"),23),19,FALSE),"")</f>
        <v>106 OZ, 40 (26+14)</v>
      </c>
      <c r="E3" s="335"/>
      <c r="F3" s="336"/>
      <c r="G3" s="337" t="s">
        <v>9</v>
      </c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3" t="str">
        <f ca="1">IFERROR(VLOOKUP(M1,OFFSET($AG$2,,,COUNTIF($AG$2:$AG$50,"?*"),23),18,FALSE),"")</f>
        <v>3 OZ, 0 (0+0), -5 ±</v>
      </c>
      <c r="N3" s="334"/>
      <c r="O3" s="334"/>
      <c r="P3" s="335" t="str">
        <f ca="1">IFERROR(VLOOKUP(M1,OFFSET($AG$2,,,COUNTIF($AG$2:$AG$50,"?*"),23),19,FALSE),"")</f>
        <v>24 OZ, 13 (4+9)</v>
      </c>
      <c r="Q3" s="335"/>
      <c r="R3" s="336"/>
      <c r="S3" s="110" t="s">
        <v>0</v>
      </c>
      <c r="U3" s="102">
        <v>3</v>
      </c>
      <c r="V3" s="102">
        <v>2</v>
      </c>
      <c r="W3" s="102">
        <v>0</v>
      </c>
      <c r="X3" s="102">
        <v>0</v>
      </c>
      <c r="Y3" s="102">
        <v>0</v>
      </c>
      <c r="Z3" s="102">
        <v>2</v>
      </c>
      <c r="AA3" s="102">
        <v>2</v>
      </c>
      <c r="AB3" s="102">
        <v>-5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-4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76"/>
      <c r="BT3" s="104" t="s">
        <v>201</v>
      </c>
      <c r="BU3" s="103">
        <v>2</v>
      </c>
      <c r="BV3" s="104" t="str">
        <f t="shared" ref="BV3:BV31" si="14">IFERROR(RIGHT(BT3,LEN(BT3)-SEARCH(" ",BT3)),"")</f>
        <v>Vojtěch Klápa</v>
      </c>
      <c r="BW3" s="102">
        <f t="shared" ref="BW3:BW31" si="15">IF(BT3&lt;&gt;0,_xlfn.NUMBERVALUE(BU3,","),"")</f>
        <v>2</v>
      </c>
      <c r="BX3" s="375"/>
      <c r="BY3" s="103" t="s">
        <v>211</v>
      </c>
      <c r="BZ3" s="103" t="s">
        <v>99</v>
      </c>
      <c r="CA3" s="115" t="s">
        <v>863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>Chodov</v>
      </c>
      <c r="B4" s="343"/>
      <c r="C4" s="344"/>
      <c r="D4" s="345">
        <f ca="1">IFERROR(IF(VLOOKUP(A1,OFFSET($AG$2,,,COUNTIF($AG$2:$AG$50,"?*"),23),14,FALSE)&lt;&gt;0,VLOOKUP(A1,OFFSET($AG$2,,,COUNTIF($AG$2:$AG$50,"?*"),23),14,FALSE),"?"),"")</f>
        <v>2006</v>
      </c>
      <c r="E4" s="346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0">
        <f ca="1">IFERROR(IF(VLOOKUP(G3,OFFSET($AG$2,,,COUNTIF($AG$2:$AG$50,"?*"),23),2,FALSE)&lt;&gt;0,YEAR(VLOOKUP(G3,OFFSET($AG$2,,,COUNTIF($AG$2:$AG$50,"?*"),23),2,FALSE)),""),"")</f>
        <v>1993</v>
      </c>
      <c r="I4" s="341"/>
      <c r="J4" s="5">
        <f ca="1">IFERROR(VLOOKUP(G3,OFFSET($AG$2,,,COUNTIF($AG$2:$AG$50,"?*"),23),15,FALSE),"")</f>
        <v>28</v>
      </c>
      <c r="K4" s="331" t="str">
        <f ca="1">IFERROR(VLOOKUP(G3,OFFSET($AG$2,,,COUNTIF($AG$2:$AG$50,"?*"),23),16,FALSE),"")</f>
        <v>173/68</v>
      </c>
      <c r="L4" s="332"/>
      <c r="M4" s="342" t="str">
        <f ca="1">IFERROR(IF(VLOOKUP(M1,OFFSET($AG$2,,,COUNTIF($AG$2:$AG$50,"?*"),23),13,FALSE)&lt;&gt;0,VLOOKUP(M1,OFFSET($AG$2,,,COUNTIF($AG$2:$AG$50,"?*"),23),13,FALSE),"?"),"")</f>
        <v>Slovan J. Hradec</v>
      </c>
      <c r="N4" s="343"/>
      <c r="O4" s="344"/>
      <c r="P4" s="345">
        <f ca="1">IFERROR(IF(VLOOKUP(M1,OFFSET($AG$2,,,COUNTIF($AG$2:$AG$50,"?*"),23),14,FALSE)&lt;&gt;0,VLOOKUP(M1,OFFSET($AG$2,,,COUNTIF($AG$2:$AG$50,"?*"),23),14,FALSE),"?"),"")</f>
        <v>2014</v>
      </c>
      <c r="Q4" s="346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9</v>
      </c>
      <c r="U4" s="102">
        <v>3</v>
      </c>
      <c r="V4" s="102">
        <v>1</v>
      </c>
      <c r="W4" s="102">
        <v>1</v>
      </c>
      <c r="X4" s="102">
        <v>0</v>
      </c>
      <c r="Y4" s="102">
        <v>0</v>
      </c>
      <c r="Z4" s="102">
        <v>1</v>
      </c>
      <c r="AA4" s="102">
        <v>0</v>
      </c>
      <c r="AB4" s="102">
        <v>-4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3 OZ, 1 (0+1), -3 ±</v>
      </c>
      <c r="AY4" s="129" t="str">
        <f t="shared" ca="1" si="2"/>
        <v>27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76"/>
      <c r="BT4" s="104" t="s">
        <v>865</v>
      </c>
      <c r="BU4" s="103">
        <v>1</v>
      </c>
      <c r="BV4" s="104" t="str">
        <f t="shared" si="14"/>
        <v>Zbyněk Stuchlík</v>
      </c>
      <c r="BW4" s="102">
        <f t="shared" si="15"/>
        <v>1</v>
      </c>
      <c r="BX4" s="375"/>
      <c r="BY4" s="103" t="s">
        <v>210</v>
      </c>
      <c r="BZ4" s="103" t="s">
        <v>94</v>
      </c>
      <c r="CA4" s="115" t="s">
        <v>221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>3 OZ, 1 (1+0), -4 ±</v>
      </c>
      <c r="H5" s="334"/>
      <c r="I5" s="334"/>
      <c r="J5" s="335" t="str">
        <f ca="1">IFERROR(VLOOKUP(G3,OFFSET($AG$2,,,COUNTIF($AG$2:$AG$50,"?*"),23),19,FALSE),"")</f>
        <v>100 OZ, 87 (27+60)</v>
      </c>
      <c r="K5" s="335"/>
      <c r="L5" s="336"/>
      <c r="R5" s="13"/>
      <c r="S5" s="110" t="s">
        <v>10</v>
      </c>
      <c r="T5" s="102" t="s">
        <v>64</v>
      </c>
      <c r="U5" s="102">
        <v>2</v>
      </c>
      <c r="V5" s="102">
        <v>0</v>
      </c>
      <c r="W5" s="102">
        <v>0</v>
      </c>
      <c r="X5" s="102">
        <v>0</v>
      </c>
      <c r="Y5" s="102">
        <v>1</v>
      </c>
      <c r="Z5" s="102">
        <v>1</v>
      </c>
      <c r="AA5" s="102">
        <v>2</v>
      </c>
      <c r="AB5" s="102">
        <v>-1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3 OZ, 0 (0+0), -6 ±</v>
      </c>
      <c r="AY5" s="129" t="str">
        <f t="shared" ca="1" si="2"/>
        <v>106 OZ, 40 (26+14)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76"/>
      <c r="BT5" s="104" t="s">
        <v>866</v>
      </c>
      <c r="BU5" s="103">
        <v>1</v>
      </c>
      <c r="BV5" s="104" t="str">
        <f t="shared" si="14"/>
        <v>Daniel Cabejšek</v>
      </c>
      <c r="BW5" s="102">
        <f t="shared" si="15"/>
        <v>1</v>
      </c>
      <c r="BX5" s="375"/>
    </row>
    <row r="6" spans="1:79" ht="15" customHeight="1" thickTop="1" thickBot="1" x14ac:dyDescent="0.25">
      <c r="A6" s="337" t="s">
        <v>11</v>
      </c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2" t="str">
        <f ca="1">IFERROR(IF(VLOOKUP(G3,OFFSET($AG$2,,,COUNTIF($AG$2:$AG$50,"?*"),23),13,FALSE)&lt;&gt;0,VLOOKUP(G3,OFFSET($AG$2,,,COUNTIF($AG$2:$AG$50,"?*"),23),13,FALSE),"?"),"")</f>
        <v>Future</v>
      </c>
      <c r="H6" s="343"/>
      <c r="I6" s="344"/>
      <c r="J6" s="345">
        <f ca="1">IFERROR(IF(VLOOKUP(G3,OFFSET($AG$2,,,COUNTIF($AG$2:$AG$50,"?*"),23),14,FALSE)&lt;&gt;0,VLOOKUP(G3,OFFSET($AG$2,,,COUNTIF($AG$2:$AG$50,"?*"),23),14,FALSE),"?"),"")</f>
        <v>2003</v>
      </c>
      <c r="K6" s="346"/>
      <c r="L6" s="7">
        <f ca="1">IFERROR(IF(VLOOKUP(G3,OFFSET($AG$2,,,COUNTIF($AG$2:$AG$50,"?*"),23),7,FALSE)&lt;&gt;0,VLOOKUP(G3,OFFSET($AG$2,,,COUNTIF($AG$2:$AG$50,"?*"),23),7,FALSE),"?"),"")</f>
        <v>6</v>
      </c>
      <c r="M6" s="337" t="s">
        <v>10</v>
      </c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4</v>
      </c>
      <c r="T6" s="102" t="s">
        <v>64</v>
      </c>
      <c r="U6" s="102">
        <v>3</v>
      </c>
      <c r="V6" s="102">
        <v>0</v>
      </c>
      <c r="W6" s="102">
        <v>0</v>
      </c>
      <c r="X6" s="102">
        <v>0</v>
      </c>
      <c r="Y6" s="102">
        <v>1</v>
      </c>
      <c r="Z6" s="102">
        <v>1</v>
      </c>
      <c r="AA6" s="102">
        <v>0</v>
      </c>
      <c r="AB6" s="102">
        <v>-3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3 OZ, 0 (0+0), -6 ±</v>
      </c>
      <c r="AY6" s="129" t="str">
        <f t="shared" ca="1" si="2"/>
        <v>61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861</v>
      </c>
      <c r="BO6" s="122">
        <v>32155</v>
      </c>
      <c r="BP6" s="131" t="s">
        <v>462</v>
      </c>
      <c r="BQ6" s="132" t="s">
        <v>199</v>
      </c>
      <c r="BR6" s="127">
        <f t="shared" ca="1" si="13"/>
        <v>33</v>
      </c>
      <c r="BS6" s="376"/>
      <c r="BT6" s="104" t="s">
        <v>204</v>
      </c>
      <c r="BU6" s="103">
        <v>1</v>
      </c>
      <c r="BV6" s="104" t="str">
        <f t="shared" si="14"/>
        <v>Ivan Pergler</v>
      </c>
      <c r="BW6" s="102">
        <f t="shared" si="15"/>
        <v>1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0">
        <f ca="1">IFERROR(IF(VLOOKUP(A6,OFFSET($AG$2,,,COUNTIF($AG$2:$AG$50,"?*"),23),2,FALSE)&lt;&gt;0,YEAR(VLOOKUP(A6,OFFSET($AG$2,,,COUNTIF($AG$2:$AG$50,"?*"),23),2,FALSE)),""),"")</f>
        <v>2001</v>
      </c>
      <c r="C7" s="341"/>
      <c r="D7" s="5">
        <f ca="1">IFERROR(VLOOKUP(A6,OFFSET($AG$2,,,COUNTIF($AG$2:$AG$50,"?*"),23),15,FALSE),"")</f>
        <v>20</v>
      </c>
      <c r="E7" s="331" t="str">
        <f ca="1">IFERROR(VLOOKUP(A6,OFFSET($AG$2,,,COUNTIF($AG$2:$AG$50,"?*"),23),16,FALSE),"")</f>
        <v>181/80</v>
      </c>
      <c r="F7" s="332"/>
      <c r="M7" s="4" t="str">
        <f ca="1">IFERROR(IF(VLOOKUP(M6,OFFSET($AG$2,,,COUNTIF($AG$2:$AG$50,"?*"),23),10,FALSE)&lt;&gt;0,VLOOKUP(M6,OFFSET($AG$2,,,COUNTIF($AG$2:$AG$50,"?*"),23),10,FALSE),""),"")</f>
        <v>P</v>
      </c>
      <c r="N7" s="340">
        <f ca="1">IFERROR(IF(VLOOKUP(M6,OFFSET($AG$2,,,COUNTIF($AG$2:$AG$50,"?*"),23),2,FALSE)&lt;&gt;0,YEAR(VLOOKUP(M6,OFFSET($AG$2,,,COUNTIF($AG$2:$AG$50,"?*"),23),2,FALSE)),""),"")</f>
        <v>1993</v>
      </c>
      <c r="O7" s="341"/>
      <c r="P7" s="6">
        <f ca="1">IFERROR(VLOOKUP(M6,OFFSET($AG$2,,,COUNTIF($AG$2:$AG$50,"?*"),23),15,FALSE),"")</f>
        <v>28</v>
      </c>
      <c r="Q7" s="331" t="str">
        <f ca="1">IFERROR(VLOOKUP(M6,OFFSET($AG$2,,,COUNTIF($AG$2:$AG$50,"?*"),23),16,FALSE),"")</f>
        <v>169/65</v>
      </c>
      <c r="R7" s="332"/>
      <c r="S7" s="110" t="s">
        <v>122</v>
      </c>
      <c r="T7" s="102" t="s">
        <v>121</v>
      </c>
      <c r="U7" s="102">
        <v>3</v>
      </c>
      <c r="V7" s="102">
        <v>0</v>
      </c>
      <c r="W7" s="102">
        <v>0</v>
      </c>
      <c r="X7" s="102">
        <v>0</v>
      </c>
      <c r="Y7" s="102">
        <v>1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0 OZ, 0 (0+0)</v>
      </c>
      <c r="AY7" s="129" t="str">
        <f t="shared" ca="1" si="2"/>
        <v>161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6" t="s">
        <v>40</v>
      </c>
      <c r="BT7" s="104" t="s">
        <v>867</v>
      </c>
      <c r="BU7" s="103" t="s">
        <v>868</v>
      </c>
      <c r="BV7" s="104" t="str">
        <f t="shared" si="14"/>
        <v>Karel Šantora</v>
      </c>
      <c r="BW7" s="112">
        <f t="shared" si="15"/>
        <v>8</v>
      </c>
      <c r="BX7" s="375" t="s">
        <v>220</v>
      </c>
      <c r="BY7" s="103" t="s">
        <v>213</v>
      </c>
      <c r="BZ7" s="103" t="s">
        <v>24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>3 OZ, 0 (0+0), -6 ±</v>
      </c>
      <c r="B8" s="334"/>
      <c r="C8" s="334"/>
      <c r="D8" s="335" t="str">
        <f ca="1">IFERROR(VLOOKUP(A6,OFFSET($AG$2,,,COUNTIF($AG$2:$AG$50,"?*"),23),19,FALSE),"")</f>
        <v>61 OZ, 16 (9+7)</v>
      </c>
      <c r="E8" s="335"/>
      <c r="F8" s="336"/>
      <c r="H8" s="347" t="s">
        <v>5</v>
      </c>
      <c r="I8" s="347"/>
      <c r="J8" s="347"/>
      <c r="K8" s="347"/>
      <c r="M8" s="333" t="str">
        <f ca="1">IFERROR(VLOOKUP(M6,OFFSET($AG$2,,,COUNTIF($AG$2:$AG$50,"?*"),23),18,FALSE),"")</f>
        <v>2 OZ, 1 (0+1), -1 ±</v>
      </c>
      <c r="N8" s="334"/>
      <c r="O8" s="334"/>
      <c r="P8" s="335" t="str">
        <f ca="1">IFERROR(VLOOKUP(M6,OFFSET($AG$2,,,COUNTIF($AG$2:$AG$50,"?*"),23),19,FALSE),"")</f>
        <v>111 OZ, 57 (32+25)</v>
      </c>
      <c r="Q8" s="335"/>
      <c r="R8" s="336"/>
      <c r="S8" s="110" t="s">
        <v>3</v>
      </c>
      <c r="T8" s="102" t="s">
        <v>64</v>
      </c>
      <c r="U8" s="102">
        <v>3</v>
      </c>
      <c r="V8" s="102">
        <v>0</v>
      </c>
      <c r="W8" s="102">
        <v>0</v>
      </c>
      <c r="X8" s="102">
        <v>0</v>
      </c>
      <c r="Y8" s="102">
        <v>1</v>
      </c>
      <c r="Z8" s="102">
        <v>1</v>
      </c>
      <c r="AA8" s="102">
        <v>2</v>
      </c>
      <c r="AB8" s="102">
        <v>-4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0 OZ, 0 (0+0)</v>
      </c>
      <c r="AY8" s="129" t="str">
        <f t="shared" ca="1" si="2"/>
        <v>54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6"/>
      <c r="BT8" s="104" t="s">
        <v>869</v>
      </c>
      <c r="BU8" s="103" t="s">
        <v>969</v>
      </c>
      <c r="BV8" s="104" t="str">
        <f t="shared" si="14"/>
        <v>Petr Musil</v>
      </c>
      <c r="BW8" s="112">
        <f t="shared" si="15"/>
        <v>9.25</v>
      </c>
      <c r="BX8" s="375"/>
      <c r="BY8" s="103" t="s">
        <v>214</v>
      </c>
      <c r="BZ8" s="103" t="s">
        <v>97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>Bulldogs Brno</v>
      </c>
      <c r="B9" s="343"/>
      <c r="C9" s="344"/>
      <c r="D9" s="345">
        <f ca="1">IFERROR(IF(VLOOKUP(A6,OFFSET($AG$2,,,COUNTIF($AG$2:$AG$50,"?*"),23),14,FALSE)&lt;&gt;0,VLOOKUP(A6,OFFSET($AG$2,,,COUNTIF($AG$2:$AG$50,"?*"),23),14,FALSE),"?"),"")</f>
        <v>2013</v>
      </c>
      <c r="E9" s="346"/>
      <c r="F9" s="7">
        <f ca="1">IFERROR(IF(VLOOKUP(A6,OFFSET($AG$2,,,COUNTIF($AG$2:$AG$50,"?*"),23),7,FALSE)&lt;&gt;0,VLOOKUP(A6,OFFSET($AG$2,,,COUNTIF($AG$2:$AG$50,"?*"),23),7,FALSE),"?"),"")</f>
        <v>4</v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>Lhokamo</v>
      </c>
      <c r="N9" s="343"/>
      <c r="O9" s="344"/>
      <c r="P9" s="345">
        <f ca="1">IFERROR(IF(VLOOKUP(M6,OFFSET($AG$2,,,COUNTIF($AG$2:$AG$50,"?*"),23),14,FALSE)&lt;&gt;0,VLOOKUP(M6,OFFSET($AG$2,,,COUNTIF($AG$2:$AG$50,"?*"),23),14,FALSE),"?"),"")</f>
        <v>2004</v>
      </c>
      <c r="Q9" s="346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123</v>
      </c>
      <c r="U9" s="102">
        <v>1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-2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3 OZ, 0 (0+0), -6 ±</v>
      </c>
      <c r="AY9" s="129" t="str">
        <f t="shared" ca="1" si="2"/>
        <v>85 OZ, 67 (45+22)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6"/>
      <c r="BV9" s="104" t="str">
        <f t="shared" si="14"/>
        <v/>
      </c>
      <c r="BW9" s="112" t="str">
        <f t="shared" si="15"/>
        <v/>
      </c>
      <c r="BX9" s="375"/>
      <c r="BY9" s="103" t="s">
        <v>215</v>
      </c>
      <c r="BZ9" s="103" t="s">
        <v>102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</v>
      </c>
      <c r="T10" s="102" t="s">
        <v>121</v>
      </c>
      <c r="U10" s="102">
        <v>1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3 OZ, 0 (0+0), -1 ±</v>
      </c>
      <c r="AY10" s="129" t="str">
        <f t="shared" ca="1" si="2"/>
        <v>3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6"/>
      <c r="BV10" s="104" t="str">
        <f t="shared" si="14"/>
        <v/>
      </c>
      <c r="BW10" s="112" t="str">
        <f t="shared" si="15"/>
        <v/>
      </c>
      <c r="BX10" s="375"/>
      <c r="BY10" s="103" t="s">
        <v>864</v>
      </c>
      <c r="BZ10" s="103" t="s">
        <v>104</v>
      </c>
      <c r="CA10" s="115" t="s">
        <v>212</v>
      </c>
    </row>
    <row r="11" spans="1:79" ht="15" customHeight="1" thickTop="1" thickBot="1" x14ac:dyDescent="0.25">
      <c r="R11" s="13"/>
      <c r="S11" s="110" t="s">
        <v>162</v>
      </c>
      <c r="U11" s="102">
        <v>2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-3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860</v>
      </c>
      <c r="AT11" s="123">
        <v>1998</v>
      </c>
      <c r="AU11" s="127">
        <f ca="1">IF(AG11&lt;&gt;"",IF(AH11&lt;&gt;"",INT((TODAY()-AH11)/365),"?"),"")</f>
        <v>27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3 OZ, 0 (0+0), -3 ±</v>
      </c>
      <c r="AY11" s="129" t="str">
        <f t="shared" ca="1" si="2"/>
        <v>205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6"/>
      <c r="BV11" s="104" t="str">
        <f t="shared" si="14"/>
        <v/>
      </c>
      <c r="BW11" s="112" t="str">
        <f t="shared" si="15"/>
        <v/>
      </c>
      <c r="BX11" s="375"/>
      <c r="BY11" s="103" t="s">
        <v>958</v>
      </c>
      <c r="BZ11" s="103" t="s">
        <v>98</v>
      </c>
      <c r="CA11" s="115" t="s">
        <v>212</v>
      </c>
    </row>
    <row r="12" spans="1:79" ht="15" customHeight="1" thickTop="1" thickBot="1" x14ac:dyDescent="0.25">
      <c r="A12" s="337" t="s">
        <v>118</v>
      </c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39" t="s">
        <v>7</v>
      </c>
      <c r="I12" s="339"/>
      <c r="J12" s="339"/>
      <c r="K12" s="339"/>
      <c r="M12" s="337" t="s">
        <v>0</v>
      </c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128</v>
      </c>
      <c r="U12" s="102">
        <v>2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-2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6" t="s">
        <v>37</v>
      </c>
      <c r="BT12" s="104" t="s">
        <v>200</v>
      </c>
      <c r="BU12" s="103">
        <v>2</v>
      </c>
      <c r="BV12" s="104" t="str">
        <f t="shared" si="14"/>
        <v>Viktor Kopecký</v>
      </c>
      <c r="BW12" s="102">
        <f t="shared" si="15"/>
        <v>2</v>
      </c>
      <c r="BX12" s="116" t="s">
        <v>218</v>
      </c>
      <c r="BY12" s="100" t="s">
        <v>968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0">
        <f ca="1">IFERROR(IF(VLOOKUP(A12,OFFSET($AG$2,,,COUNTIF($AG$2:$AG$50,"?*"),23),2,FALSE)&lt;&gt;0,YEAR(VLOOKUP(A12,OFFSET($AG$2,,,COUNTIF($AG$2:$AG$50,"?*"),23),2,FALSE)),""),"")</f>
        <v>1995</v>
      </c>
      <c r="C13" s="341"/>
      <c r="D13" s="5">
        <f ca="1">IFERROR(VLOOKUP(A12,OFFSET($AG$2,,,COUNTIF($AG$2:$AG$50,"?*"),23),15,FALSE),"")</f>
        <v>26</v>
      </c>
      <c r="E13" s="331" t="str">
        <f ca="1">IFERROR(VLOOKUP(A12,OFFSET($AG$2,,,COUNTIF($AG$2:$AG$50,"?*"),23),16,FALSE),"")</f>
        <v>191/78</v>
      </c>
      <c r="F13" s="332"/>
      <c r="M13" s="4" t="str">
        <f ca="1">IFERROR(IF(VLOOKUP(M12,OFFSET($AG$2,,,COUNTIF($AG$2:$AG$50,"?*"),23),10,FALSE)&lt;&gt;0,VLOOKUP(M12,OFFSET($AG$2,,,COUNTIF($AG$2:$AG$50,"?*"),23),10,FALSE),""),"")</f>
        <v>L</v>
      </c>
      <c r="N13" s="340">
        <f ca="1">IFERROR(IF(VLOOKUP(M12,OFFSET($AG$2,,,COUNTIF($AG$2:$AG$50,"?*"),23),2,FALSE)&lt;&gt;0,YEAR(VLOOKUP(M12,OFFSET($AG$2,,,COUNTIF($AG$2:$AG$50,"?*"),23),2,FALSE)),""),"")</f>
        <v>2003</v>
      </c>
      <c r="O13" s="341"/>
      <c r="P13" s="6">
        <f ca="1">IFERROR(VLOOKUP(M12,OFFSET($AG$2,,,COUNTIF($AG$2:$AG$50,"?*"),23),15,FALSE),"")</f>
        <v>18</v>
      </c>
      <c r="Q13" s="331" t="str">
        <f ca="1">IFERROR(VLOOKUP(M12,OFFSET($AG$2,,,COUNTIF($AG$2:$AG$50,"?*"),23),16,FALSE),"")</f>
        <v>185/71</v>
      </c>
      <c r="R13" s="332"/>
      <c r="S13" s="110" t="s">
        <v>15</v>
      </c>
      <c r="T13" s="102" t="s">
        <v>119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3 OZ, 2 (2+0), -5 ±</v>
      </c>
      <c r="AY13" s="129" t="str">
        <f t="shared" ca="1" si="2"/>
        <v>23 OZ, 7 (6+1)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6"/>
      <c r="BT13" s="104" t="s">
        <v>201</v>
      </c>
      <c r="BU13" s="103">
        <v>2</v>
      </c>
      <c r="BV13" s="104" t="str">
        <f t="shared" si="14"/>
        <v>Vojtěch Klápa</v>
      </c>
      <c r="BW13" s="102">
        <f t="shared" si="15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>2 OZ, 2 (2+0), -3 ±</v>
      </c>
      <c r="B14" s="334"/>
      <c r="C14" s="334"/>
      <c r="D14" s="335" t="str">
        <f ca="1">IFERROR(VLOOKUP(A12,OFFSET($AG$2,,,COUNTIF($AG$2:$AG$50,"?*"),23),19,FALSE),"")</f>
        <v>105 OZ, 126 (86+40)</v>
      </c>
      <c r="E14" s="335"/>
      <c r="F14" s="336"/>
      <c r="G14" s="337" t="s">
        <v>3</v>
      </c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33" t="str">
        <f ca="1">IFERROR(VLOOKUP(M12,OFFSET($AG$2,,,COUNTIF($AG$2:$AG$50,"?*"),23),18,FALSE),"")</f>
        <v>3 OZ, 2 (2+0), -5 ±</v>
      </c>
      <c r="N14" s="334"/>
      <c r="O14" s="334"/>
      <c r="P14" s="335" t="str">
        <f ca="1">IFERROR(VLOOKUP(M12,OFFSET($AG$2,,,COUNTIF($AG$2:$AG$50,"?*"),23),19,FALSE),"")</f>
        <v>23 OZ, 7 (6+1)</v>
      </c>
      <c r="Q14" s="335"/>
      <c r="R14" s="336"/>
      <c r="S14" s="110" t="s">
        <v>6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4</v>
      </c>
      <c r="AB14" s="102">
        <v>-6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287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2 OZ, 2 (2+0), -3 ±</v>
      </c>
      <c r="AY14" s="129" t="str">
        <f t="shared" ca="1" si="2"/>
        <v>105 OZ, 126 (86+40)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6"/>
      <c r="BT14" s="104" t="s">
        <v>865</v>
      </c>
      <c r="BU14" s="103">
        <v>1</v>
      </c>
      <c r="BV14" s="104" t="str">
        <f t="shared" si="14"/>
        <v>Zbyněk Stuchlík</v>
      </c>
      <c r="BW14" s="102">
        <f t="shared" si="15"/>
        <v>1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>Florbal Ústí</v>
      </c>
      <c r="B15" s="343"/>
      <c r="C15" s="344"/>
      <c r="D15" s="345">
        <f ca="1">IFERROR(IF(VLOOKUP(A12,OFFSET($AG$2,,,COUNTIF($AG$2:$AG$50,"?*"),23),14,FALSE)&lt;&gt;0,VLOOKUP(A12,OFFSET($AG$2,,,COUNTIF($AG$2:$AG$50,"?*"),23),14,FALSE),"?"),"")</f>
        <v>2008</v>
      </c>
      <c r="E15" s="346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0">
        <f ca="1">IFERROR(IF(VLOOKUP(G14,OFFSET($AG$2,,,COUNTIF($AG$2:$AG$50,"?*"),23),2,FALSE)&lt;&gt;0,YEAR(VLOOKUP(G14,OFFSET($AG$2,,,COUNTIF($AG$2:$AG$50,"?*"),23),2,FALSE)),""),"")</f>
        <v>1999</v>
      </c>
      <c r="I15" s="341"/>
      <c r="J15" s="5">
        <f ca="1">IFERROR(VLOOKUP(G14,OFFSET($AG$2,,,COUNTIF($AG$2:$AG$50,"?*"),23),15,FALSE),"")</f>
        <v>22</v>
      </c>
      <c r="K15" s="331" t="str">
        <f ca="1">IFERROR(VLOOKUP(G14,OFFSET($AG$2,,,COUNTIF($AG$2:$AG$50,"?*"),23),16,FALSE),"")</f>
        <v>184/81</v>
      </c>
      <c r="L15" s="332"/>
      <c r="M15" s="342" t="str">
        <f ca="1">IFERROR(IF(VLOOKUP(M12,OFFSET($AG$2,,,COUNTIF($AG$2:$AG$50,"?*"),23),13,FALSE)&lt;&gt;0,VLOOKUP(M12,OFFSET($AG$2,,,COUNTIF($AG$2:$AG$50,"?*"),23),13,FALSE),"?"),"")</f>
        <v>SK Florbal Benešov</v>
      </c>
      <c r="N15" s="343"/>
      <c r="O15" s="344"/>
      <c r="P15" s="345">
        <f ca="1">IFERROR(IF(VLOOKUP(M12,OFFSET($AG$2,,,COUNTIF($AG$2:$AG$50,"?*"),23),14,FALSE)&lt;&gt;0,VLOOKUP(M12,OFFSET($AG$2,,,COUNTIF($AG$2:$AG$50,"?*"),23),14,FALSE),"?"),"")</f>
        <v>2009</v>
      </c>
      <c r="Q15" s="346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-5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6"/>
      <c r="BT15" s="104" t="s">
        <v>866</v>
      </c>
      <c r="BU15" s="103">
        <v>0</v>
      </c>
      <c r="BV15" s="104" t="str">
        <f t="shared" si="14"/>
        <v>Daniel Cabejšek</v>
      </c>
      <c r="BW15" s="102">
        <f t="shared" si="15"/>
        <v>0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>3 OZ, 1 (0+1), -4 ±</v>
      </c>
      <c r="H16" s="334"/>
      <c r="I16" s="334"/>
      <c r="J16" s="335" t="str">
        <f ca="1">IFERROR(VLOOKUP(G14,OFFSET($AG$2,,,COUNTIF($AG$2:$AG$50,"?*"),23),19,FALSE),"")</f>
        <v>126 OZ, 71 (38+33)</v>
      </c>
      <c r="K16" s="335"/>
      <c r="L16" s="336"/>
      <c r="R16" s="13"/>
      <c r="S16" s="110" t="s">
        <v>14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2 OZ, 0 (0+0), -3 ±</v>
      </c>
      <c r="AY16" s="129" t="str">
        <f t="shared" ca="1" si="2"/>
        <v>98 OZ, 18 (10+8)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6"/>
      <c r="BT16" s="104" t="s">
        <v>202</v>
      </c>
      <c r="BU16" s="103">
        <v>0</v>
      </c>
      <c r="BV16" s="104" t="str">
        <f t="shared" si="14"/>
        <v>David Ježek</v>
      </c>
      <c r="BW16" s="102">
        <f t="shared" si="15"/>
        <v>0</v>
      </c>
    </row>
    <row r="17" spans="1:75" ht="15" customHeight="1" thickTop="1" thickBot="1" x14ac:dyDescent="0.25">
      <c r="A17" s="337" t="s">
        <v>4</v>
      </c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2" t="str">
        <f ca="1">IFERROR(IF(VLOOKUP(G14,OFFSET($AG$2,,,COUNTIF($AG$2:$AG$50,"?*"),23),13,FALSE)&lt;&gt;0,VLOOKUP(G14,OFFSET($AG$2,,,COUNTIF($AG$2:$AG$50,"?*"),23),13,FALSE),"?"),"")</f>
        <v>Black Angels</v>
      </c>
      <c r="H17" s="343"/>
      <c r="I17" s="344"/>
      <c r="J17" s="345">
        <f ca="1">IFERROR(IF(VLOOKUP(G14,OFFSET($AG$2,,,COUNTIF($AG$2:$AG$50,"?*"),23),14,FALSE)&lt;&gt;0,VLOOKUP(G14,OFFSET($AG$2,,,COUNTIF($AG$2:$AG$50,"?*"),23),14,FALSE),"?"),"")</f>
        <v>2008</v>
      </c>
      <c r="K17" s="346"/>
      <c r="L17" s="7">
        <f ca="1">IFERROR(IF(VLOOKUP(G14,OFFSET($AG$2,,,COUNTIF($AG$2:$AG$50,"?*"),23),7,FALSE)&lt;&gt;0,VLOOKUP(G14,OFFSET($AG$2,,,COUNTIF($AG$2:$AG$50,"?*"),23),7,FALSE),"?"),"")</f>
        <v>6</v>
      </c>
      <c r="M17" s="337" t="s">
        <v>125</v>
      </c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120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-4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6" t="s">
        <v>41</v>
      </c>
      <c r="BT17" s="104" t="s">
        <v>867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0">
        <f ca="1">IFERROR(IF(VLOOKUP(A17,OFFSET($AG$2,,,COUNTIF($AG$2:$AG$50,"?*"),23),2,FALSE)&lt;&gt;0,YEAR(VLOOKUP(A17,OFFSET($AG$2,,,COUNTIF($AG$2:$AG$50,"?*"),23),2,FALSE)),""),"")</f>
        <v>1999</v>
      </c>
      <c r="C18" s="341"/>
      <c r="D18" s="150">
        <f ca="1">IFERROR(VLOOKUP(A17,OFFSET($AG$2,,,COUNTIF($AG$2:$AG$50,"?*"),23),15,FALSE),"")</f>
        <v>22</v>
      </c>
      <c r="E18" s="331" t="str">
        <f ca="1">IFERROR(VLOOKUP(A17,OFFSET($AG$2,,,COUNTIF($AG$2:$AG$50,"?*"),23),16,FALSE),"")</f>
        <v>181/82</v>
      </c>
      <c r="F18" s="332"/>
      <c r="M18" s="4" t="str">
        <f ca="1">IFERROR(IF(VLOOKUP(M17,OFFSET($AG$2,,,COUNTIF($AG$2:$AG$50,"?*"),23),10,FALSE)&lt;&gt;0,VLOOKUP(M17,OFFSET($AG$2,,,COUNTIF($AG$2:$AG$50,"?*"),23),10,FALSE),""),"")</f>
        <v>L</v>
      </c>
      <c r="N18" s="340">
        <f ca="1">IFERROR(IF(VLOOKUP(M17,OFFSET($AG$2,,,COUNTIF($AG$2:$AG$50,"?*"),23),2,FALSE)&lt;&gt;0,YEAR(VLOOKUP(M17,OFFSET($AG$2,,,COUNTIF($AG$2:$AG$50,"?*"),23),2,FALSE)),""),"")</f>
        <v>1993</v>
      </c>
      <c r="O18" s="341"/>
      <c r="P18" s="6">
        <f ca="1">IFERROR(VLOOKUP(M17,OFFSET($AG$2,,,COUNTIF($AG$2:$AG$50,"?*"),23),15,FALSE),"")</f>
        <v>27</v>
      </c>
      <c r="Q18" s="331" t="str">
        <f ca="1">IFERROR(VLOOKUP(M17,OFFSET($AG$2,,,COUNTIF($AG$2:$AG$50,"?*"),23),16,FALSE),"")</f>
        <v>169/70</v>
      </c>
      <c r="R18" s="332"/>
      <c r="S18" s="110" t="s">
        <v>11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-6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6"/>
      <c r="BT18" s="104" t="s">
        <v>869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3" t="str">
        <f ca="1">IFERROR(VLOOKUP(A17,OFFSET($AG$2,,,COUNTIF($AG$2:$AG$50,"?*"),23),18,FALSE),"")</f>
        <v>3 OZ, 1 (0+1), -3 ±</v>
      </c>
      <c r="B19" s="334"/>
      <c r="C19" s="334"/>
      <c r="D19" s="335" t="str">
        <f ca="1">IFERROR(VLOOKUP(A17,OFFSET($AG$2,,,COUNTIF($AG$2:$AG$50,"?*"),23),19,FALSE),"")</f>
        <v>27 OZ, 2 (0+2)</v>
      </c>
      <c r="E19" s="335"/>
      <c r="F19" s="336"/>
      <c r="H19" s="347" t="str">
        <f>H$8</f>
        <v>SKV</v>
      </c>
      <c r="I19" s="347"/>
      <c r="J19" s="347"/>
      <c r="K19" s="347"/>
      <c r="M19" s="333" t="str">
        <f ca="1">IFERROR(VLOOKUP(M17,OFFSET($AG$2,,,COUNTIF($AG$2:$AG$50,"?*"),23),18,FALSE),"")</f>
        <v>3 OZ, 0 (0+0), -3 ±</v>
      </c>
      <c r="N19" s="334"/>
      <c r="O19" s="334"/>
      <c r="P19" s="335" t="str">
        <f ca="1">IFERROR(VLOOKUP(M17,OFFSET($AG$2,,,COUNTIF($AG$2:$AG$50,"?*"),23),19,FALSE),"")</f>
        <v>205 OZ, 67 (36+31)</v>
      </c>
      <c r="Q19" s="335"/>
      <c r="R19" s="336"/>
      <c r="S19" s="110" t="s">
        <v>19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1 OZ, 0 (0+0), -2 ±</v>
      </c>
      <c r="AY19" s="129" t="str">
        <f t="shared" ca="1" si="2"/>
        <v>14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>Bohemians</v>
      </c>
      <c r="B20" s="343"/>
      <c r="C20" s="344"/>
      <c r="D20" s="345">
        <f ca="1">IFERROR(IF(VLOOKUP(A17,OFFSET($AG$2,,,COUNTIF($AG$2:$AG$50,"?*"),23),14,FALSE)&lt;&gt;0,VLOOKUP(A17,OFFSET($AG$2,,,COUNTIF($AG$2:$AG$50,"?*"),23),14,FALSE),"?"),"")</f>
        <v>2009</v>
      </c>
      <c r="E20" s="346"/>
      <c r="F20" s="7">
        <f ca="1">IFERROR(IF(VLOOKUP(A17,OFFSET($AG$2,,,COUNTIF($AG$2:$AG$50,"?*"),23),7,FALSE)&lt;&gt;0,VLOOKUP(A17,OFFSET($AG$2,,,COUNTIF($AG$2:$AG$50,"?*"),23),7,FALSE),"?"),"")</f>
        <v>2</v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>SKF Draci 99 Liberec</v>
      </c>
      <c r="N20" s="343"/>
      <c r="O20" s="344"/>
      <c r="P20" s="345">
        <f ca="1">IFERROR(IF(VLOOKUP(M17,OFFSET($AG$2,,,COUNTIF($AG$2:$AG$50,"?*"),23),14,FALSE)&lt;&gt;0,VLOOKUP(M17,OFFSET($AG$2,,,COUNTIF($AG$2:$AG$50,"?*"),23),14,FALSE),"?"),"")</f>
        <v>1998</v>
      </c>
      <c r="Q20" s="346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288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2 P</v>
      </c>
      <c r="AY20" s="129" t="str">
        <f t="shared" ca="1" si="2"/>
        <v>39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126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3 OZ, 0 (0+0), -1 ±</v>
      </c>
      <c r="AY21" s="129" t="str">
        <f t="shared" ca="1" si="2"/>
        <v>21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448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3 OZ, 1 (0+1), -5 ±</v>
      </c>
      <c r="AY22" s="129" t="str">
        <f t="shared" ca="1" si="2"/>
        <v>15 OZ, 2 (0+2)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76" t="s">
        <v>38</v>
      </c>
      <c r="BT22" s="104" t="s">
        <v>205</v>
      </c>
      <c r="BU22" s="103">
        <v>1</v>
      </c>
      <c r="BV22" s="104" t="str">
        <f t="shared" si="14"/>
        <v>Daniel Cabejšek</v>
      </c>
      <c r="BW22" s="102">
        <f t="shared" si="15"/>
        <v>1</v>
      </c>
    </row>
    <row r="23" spans="1:75" ht="15" customHeight="1" thickTop="1" thickBot="1" x14ac:dyDescent="0.25">
      <c r="A23" s="337" t="s">
        <v>120</v>
      </c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39" t="s">
        <v>13</v>
      </c>
      <c r="I23" s="339"/>
      <c r="J23" s="339"/>
      <c r="K23" s="339"/>
      <c r="M23" s="337" t="s">
        <v>17</v>
      </c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125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3 OZ, 0 (0+0), -5 ±</v>
      </c>
      <c r="AY23" s="129" t="str">
        <f t="shared" ca="1" si="2"/>
        <v>26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76"/>
      <c r="BT23" s="104" t="s">
        <v>970</v>
      </c>
      <c r="BU23" s="103">
        <v>1</v>
      </c>
      <c r="BV23" s="104" t="str">
        <f t="shared" si="14"/>
        <v>Ivan Pergler</v>
      </c>
      <c r="BW23" s="102">
        <f t="shared" si="15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0">
        <f ca="1">IFERROR(IF(VLOOKUP(A23,OFFSET($AG$2,,,COUNTIF($AG$2:$AG$50,"?*"),23),2,FALSE)&lt;&gt;0,YEAR(VLOOKUP(A23,OFFSET($AG$2,,,COUNTIF($AG$2:$AG$50,"?*"),23),2,FALSE)),""),"")</f>
        <v>2002</v>
      </c>
      <c r="C24" s="341"/>
      <c r="D24" s="5">
        <f ca="1">IFERROR(VLOOKUP(A23,OFFSET($AG$2,,,COUNTIF($AG$2:$AG$50,"?*"),23),15,FALSE),"")</f>
        <v>19</v>
      </c>
      <c r="E24" s="331" t="str">
        <f ca="1">IFERROR(VLOOKUP(A23,OFFSET($AG$2,,,COUNTIF($AG$2:$AG$50,"?*"),23),16,FALSE),"")</f>
        <v>182/75</v>
      </c>
      <c r="F24" s="332"/>
      <c r="M24" s="4" t="str">
        <f ca="1">IFERROR(IF(VLOOKUP(M23,OFFSET($AG$2,,,COUNTIF($AG$2:$AG$50,"?*"),23),10,FALSE)&lt;&gt;0,VLOOKUP(M23,OFFSET($AG$2,,,COUNTIF($AG$2:$AG$50,"?*"),23),10,FALSE),""),"")</f>
        <v>L</v>
      </c>
      <c r="N24" s="340">
        <f ca="1">IFERROR(IF(VLOOKUP(M23,OFFSET($AG$2,,,COUNTIF($AG$2:$AG$50,"?*"),23),2,FALSE)&lt;&gt;0,YEAR(VLOOKUP(M23,OFFSET($AG$2,,,COUNTIF($AG$2:$AG$50,"?*"),23),2,FALSE)),""),"")</f>
        <v>2002</v>
      </c>
      <c r="O24" s="341"/>
      <c r="P24" s="6">
        <f ca="1">IFERROR(VLOOKUP(M23,OFFSET($AG$2,,,COUNTIF($AG$2:$AG$50,"?*"),23),15,FALSE),"")</f>
        <v>19</v>
      </c>
      <c r="Q24" s="331" t="str">
        <f ca="1">IFERROR(VLOOKUP(M23,OFFSET($AG$2,,,COUNTIF($AG$2:$AG$50,"?*"),23),16,FALSE),"")</f>
        <v>181/66</v>
      </c>
      <c r="R24" s="332"/>
      <c r="S24" s="111"/>
      <c r="AC24" s="102" t="str">
        <f t="shared" ca="1" si="16"/>
        <v/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3 OZ, 0 (0+0), -5 ±</v>
      </c>
      <c r="AY24" s="129" t="str">
        <f t="shared" ca="1" si="2"/>
        <v>24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76"/>
      <c r="BT24" s="104" t="s">
        <v>971</v>
      </c>
      <c r="BU24" s="103">
        <v>1</v>
      </c>
      <c r="BV24" s="104" t="str">
        <f t="shared" si="14"/>
        <v>Ondřej Stuchlík</v>
      </c>
      <c r="BW24" s="102">
        <f t="shared" si="15"/>
        <v>1</v>
      </c>
    </row>
    <row r="25" spans="1:75" ht="15" customHeight="1" thickTop="1" thickBot="1" x14ac:dyDescent="0.25">
      <c r="A25" s="333" t="str">
        <f ca="1">IFERROR(VLOOKUP(A23,OFFSET($AG$2,,,COUNTIF($AG$2:$AG$50,"?*"),23),18,FALSE),"")</f>
        <v>3 OZ, 0 (0+0), -4 ±</v>
      </c>
      <c r="B25" s="334"/>
      <c r="C25" s="334"/>
      <c r="D25" s="335" t="str">
        <f ca="1">IFERROR(VLOOKUP(A23,OFFSET($AG$2,,,COUNTIF($AG$2:$AG$50,"?*"),23),19,FALSE),"")</f>
        <v>20 OZ, 2 (1+1)</v>
      </c>
      <c r="E25" s="335"/>
      <c r="F25" s="336"/>
      <c r="G25" s="337" t="s">
        <v>122</v>
      </c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3" t="str">
        <f ca="1">IFERROR(VLOOKUP(M23,OFFSET($AG$2,,,COUNTIF($AG$2:$AG$50,"?*"),23),18,FALSE),"")</f>
        <v>3 OZ, 0 (0+0), -5 ±</v>
      </c>
      <c r="N25" s="334"/>
      <c r="O25" s="334"/>
      <c r="P25" s="335" t="str">
        <f ca="1">IFERROR(VLOOKUP(M23,OFFSET($AG$2,,,COUNTIF($AG$2:$AG$50,"?*"),23),19,FALSE),"")</f>
        <v>26 OZ, 0 (0+0)</v>
      </c>
      <c r="Q25" s="335"/>
      <c r="R25" s="336"/>
      <c r="S25" s="111"/>
      <c r="AC25" s="102" t="str">
        <f t="shared" ca="1" si="16"/>
        <v/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2 OZ, 1 (0+1), -1 ±</v>
      </c>
      <c r="AY25" s="129" t="str">
        <f t="shared" ca="1" si="2"/>
        <v>111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76"/>
      <c r="BT25" s="104" t="s">
        <v>972</v>
      </c>
      <c r="BU25" s="103">
        <v>1</v>
      </c>
      <c r="BV25" s="104" t="str">
        <f t="shared" si="14"/>
        <v>Štěpán Čuda</v>
      </c>
      <c r="BW25" s="102">
        <f t="shared" si="15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>FA Mladá Boleslav</v>
      </c>
      <c r="B26" s="343"/>
      <c r="C26" s="344"/>
      <c r="D26" s="345">
        <f ca="1">IFERROR(IF(VLOOKUP(A23,OFFSET($AG$2,,,COUNTIF($AG$2:$AG$50,"?*"),23),14,FALSE)&lt;&gt;0,VLOOKUP(A23,OFFSET($AG$2,,,COUNTIF($AG$2:$AG$50,"?*"),23),14,FALSE),"?"),"")</f>
        <v>2010</v>
      </c>
      <c r="E26" s="346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0">
        <f ca="1">IFERROR(IF(VLOOKUP(G25,OFFSET($AG$2,,,COUNTIF($AG$2:$AG$50,"?*"),23),2,FALSE)&lt;&gt;0,YEAR(VLOOKUP(G25,OFFSET($AG$2,,,COUNTIF($AG$2:$AG$50,"?*"),23),2,FALSE)),""),"")</f>
        <v>2000</v>
      </c>
      <c r="I26" s="341"/>
      <c r="J26" s="5">
        <f ca="1">IFERROR(VLOOKUP(G25,OFFSET($AG$2,,,COUNTIF($AG$2:$AG$50,"?*"),23),15,FALSE),"")</f>
        <v>21</v>
      </c>
      <c r="K26" s="331" t="str">
        <f ca="1">IFERROR(VLOOKUP(G25,OFFSET($AG$2,,,COUNTIF($AG$2:$AG$50,"?*"),23),16,FALSE),"")</f>
        <v>180/72</v>
      </c>
      <c r="L26" s="332"/>
      <c r="M26" s="342" t="str">
        <f ca="1">IFERROR(IF(VLOOKUP(M23,OFFSET($AG$2,,,COUNTIF($AG$2:$AG$50,"?*"),23),13,FALSE)&lt;&gt;0,VLOOKUP(M23,OFFSET($AG$2,,,COUNTIF($AG$2:$AG$50,"?*"),23),13,FALSE),"?"),"")</f>
        <v>SKV</v>
      </c>
      <c r="N26" s="343"/>
      <c r="O26" s="344"/>
      <c r="P26" s="345">
        <f ca="1">IFERROR(IF(VLOOKUP(M23,OFFSET($AG$2,,,COUNTIF($AG$2:$AG$50,"?*"),23),14,FALSE)&lt;&gt;0,VLOOKUP(M23,OFFSET($AG$2,,,COUNTIF($AG$2:$AG$50,"?*"),23),14,FALSE),"?"),"")</f>
        <v>2012</v>
      </c>
      <c r="Q26" s="346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3 OZ, 1 (1+0), -4 ±</v>
      </c>
      <c r="AY26" s="129" t="str">
        <f t="shared" ca="1" si="2"/>
        <v>100 OZ, 87 (27+60)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76"/>
      <c r="BT26" s="104" t="s">
        <v>202</v>
      </c>
      <c r="BU26" s="103">
        <v>0</v>
      </c>
      <c r="BV26" s="104" t="str">
        <f t="shared" si="14"/>
        <v>David Ježek</v>
      </c>
      <c r="BW26" s="102">
        <f t="shared" si="15"/>
        <v>0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>3 OZ, 1 (0+1), -5 ±</v>
      </c>
      <c r="H27" s="334"/>
      <c r="I27" s="334"/>
      <c r="J27" s="335" t="str">
        <f ca="1">IFERROR(VLOOKUP(G25,OFFSET($AG$2,,,COUNTIF($AG$2:$AG$50,"?*"),23),19,FALSE),"")</f>
        <v>15 OZ, 2 (0+2)</v>
      </c>
      <c r="K27" s="335"/>
      <c r="L27" s="336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1 P</v>
      </c>
      <c r="AY27" s="129" t="str">
        <f t="shared" ca="1" si="2"/>
        <v>41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76" t="s">
        <v>39</v>
      </c>
      <c r="BT27" s="104" t="s">
        <v>870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37" t="s">
        <v>162</v>
      </c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2" t="str">
        <f ca="1">IFERROR(IF(VLOOKUP(G25,OFFSET($AG$2,,,COUNTIF($AG$2:$AG$50,"?*"),23),13,FALSE)&lt;&gt;0,VLOOKUP(G25,OFFSET($AG$2,,,COUNTIF($AG$2:$AG$50,"?*"),23),13,FALSE),"?"),"")</f>
        <v>Vosy Praha</v>
      </c>
      <c r="H28" s="343"/>
      <c r="I28" s="344"/>
      <c r="J28" s="345">
        <f ca="1">IFERROR(IF(VLOOKUP(G25,OFFSET($AG$2,,,COUNTIF($AG$2:$AG$50,"?*"),23),14,FALSE)&lt;&gt;0,VLOOKUP(G25,OFFSET($AG$2,,,COUNTIF($AG$2:$AG$50,"?*"),23),14,FALSE),"?"),"")</f>
        <v>2010</v>
      </c>
      <c r="K28" s="346"/>
      <c r="L28" s="7">
        <f ca="1">IFERROR(IF(VLOOKUP(G25,OFFSET($AG$2,,,COUNTIF($AG$2:$AG$50,"?*"),23),7,FALSE)&lt;&gt;0,VLOOKUP(G25,OFFSET($AG$2,,,COUNTIF($AG$2:$AG$50,"?*"),23),7,FALSE),"?"),"")</f>
        <v>4</v>
      </c>
      <c r="M28" s="337" t="s">
        <v>14</v>
      </c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76"/>
      <c r="BT28" s="104" t="s">
        <v>973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0">
        <f ca="1">IFERROR(IF(VLOOKUP(A28,OFFSET($AG$2,,,COUNTIF($AG$2:$AG$50,"?*"),23),2,FALSE)&lt;&gt;0,YEAR(VLOOKUP(A28,OFFSET($AG$2,,,COUNTIF($AG$2:$AG$50,"?*"),23),2,FALSE)),""),"")</f>
        <v>1988</v>
      </c>
      <c r="C29" s="341"/>
      <c r="D29" s="5">
        <f ca="1">IFERROR(VLOOKUP(A28,OFFSET($AG$2,,,COUNTIF($AG$2:$AG$50,"?*"),23),15,FALSE),"")</f>
        <v>33</v>
      </c>
      <c r="E29" s="331" t="str">
        <f ca="1">IFERROR(VLOOKUP(A28,OFFSET($AG$2,,,COUNTIF($AG$2:$AG$50,"?*"),23),16,FALSE),"")</f>
        <v>187/92</v>
      </c>
      <c r="F29" s="332"/>
      <c r="M29" s="4" t="str">
        <f ca="1">IFERROR(IF(VLOOKUP(M28,OFFSET($AG$2,,,COUNTIF($AG$2:$AG$50,"?*"),23),10,FALSE)&lt;&gt;0,VLOOKUP(M28,OFFSET($AG$2,,,COUNTIF($AG$2:$AG$50,"?*"),23),10,FALSE),""),"")</f>
        <v>L</v>
      </c>
      <c r="N29" s="340">
        <f ca="1">IFERROR(IF(VLOOKUP(M28,OFFSET($AG$2,,,COUNTIF($AG$2:$AG$50,"?*"),23),2,FALSE)&lt;&gt;0,YEAR(VLOOKUP(M28,OFFSET($AG$2,,,COUNTIF($AG$2:$AG$50,"?*"),23),2,FALSE)),""),"")</f>
        <v>1991</v>
      </c>
      <c r="O29" s="341"/>
      <c r="P29" s="6">
        <f ca="1">IFERROR(VLOOKUP(M28,OFFSET($AG$2,,,COUNTIF($AG$2:$AG$50,"?*"),23),15,FALSE),"")</f>
        <v>30</v>
      </c>
      <c r="Q29" s="331" t="str">
        <f ca="1">IFERROR(VLOOKUP(M28,OFFSET($AG$2,,,COUNTIF($AG$2:$AG$50,"?*"),23),16,FALSE),"")</f>
        <v>180/78</v>
      </c>
      <c r="R29" s="332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76"/>
      <c r="BT29" s="104" t="s">
        <v>971</v>
      </c>
      <c r="BU29" s="103">
        <v>2</v>
      </c>
      <c r="BV29" s="104" t="str">
        <f t="shared" si="14"/>
        <v>Ondřej Stuchlík</v>
      </c>
      <c r="BW29" s="102">
        <f t="shared" si="15"/>
        <v>2</v>
      </c>
    </row>
    <row r="30" spans="1:75" ht="15" customHeight="1" x14ac:dyDescent="0.2">
      <c r="A30" s="333" t="str">
        <f ca="1">IFERROR(VLOOKUP(A28,OFFSET($AG$2,,,COUNTIF($AG$2:$AG$50,"?*"),23),18,FALSE),"")</f>
        <v>2 OZ, 0 (0+0), -3 ±</v>
      </c>
      <c r="B30" s="334"/>
      <c r="C30" s="334"/>
      <c r="D30" s="335" t="str">
        <f ca="1">IFERROR(VLOOKUP(A28,OFFSET($AG$2,,,COUNTIF($AG$2:$AG$50,"?*"),23),19,FALSE),"")</f>
        <v>98 OZ, 18 (10+8)</v>
      </c>
      <c r="E30" s="335"/>
      <c r="F30" s="336"/>
      <c r="H30" s="347" t="str">
        <f>H$8</f>
        <v>SKV</v>
      </c>
      <c r="I30" s="347"/>
      <c r="J30" s="347"/>
      <c r="K30" s="347"/>
      <c r="M30" s="333" t="str">
        <f ca="1">IFERROR(VLOOKUP(M28,OFFSET($AG$2,,,COUNTIF($AG$2:$AG$50,"?*"),23),18,FALSE),"")</f>
        <v>3 OZ, 0 (0+0), -6 ±</v>
      </c>
      <c r="N30" s="334"/>
      <c r="O30" s="334"/>
      <c r="P30" s="335" t="str">
        <f ca="1">IFERROR(VLOOKUP(M28,OFFSET($AG$2,,,COUNTIF($AG$2:$AG$50,"?*"),23),19,FALSE),"")</f>
        <v>85 OZ, 67 (45+22)</v>
      </c>
      <c r="Q30" s="335"/>
      <c r="R30" s="336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249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3 OZ, 0 (0+0), -4 ±</v>
      </c>
      <c r="AY30" s="129" t="str">
        <f t="shared" ca="1" si="2"/>
        <v>20 OZ, 2 (1+1)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76"/>
      <c r="BT30" s="104" t="s">
        <v>974</v>
      </c>
      <c r="BU30" s="103">
        <v>2</v>
      </c>
      <c r="BV30" s="104" t="str">
        <f t="shared" si="14"/>
        <v>Vojtěch Klápa</v>
      </c>
      <c r="BW30" s="102">
        <f t="shared" si="15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>SC Sportcentrum</v>
      </c>
      <c r="B31" s="343"/>
      <c r="C31" s="344"/>
      <c r="D31" s="345">
        <f ca="1">IFERROR(IF(VLOOKUP(A28,OFFSET($AG$2,,,COUNTIF($AG$2:$AG$50,"?*"),23),14,FALSE)&lt;&gt;0,VLOOKUP(A28,OFFSET($AG$2,,,COUNTIF($AG$2:$AG$50,"?*"),23),14,FALSE),"?"),"")</f>
        <v>2000</v>
      </c>
      <c r="E31" s="346"/>
      <c r="F31" s="7">
        <f ca="1">IFERROR(IF(VLOOKUP(A28,OFFSET($AG$2,,,COUNTIF($AG$2:$AG$50,"?*"),23),7,FALSE)&lt;&gt;0,VLOOKUP(A28,OFFSET($AG$2,,,COUNTIF($AG$2:$AG$50,"?*"),23),7,FALSE),"?"),"")</f>
        <v>7</v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>FBK Kunovští Orli</v>
      </c>
      <c r="N31" s="343"/>
      <c r="O31" s="344"/>
      <c r="P31" s="345">
        <f ca="1">IFERROR(IF(VLOOKUP(M28,OFFSET($AG$2,,,COUNTIF($AG$2:$AG$50,"?*"),23),14,FALSE)&lt;&gt;0,VLOOKUP(M28,OFFSET($AG$2,,,COUNTIF($AG$2:$AG$50,"?*"),23),14,FALSE),"?"),"")</f>
        <v>2008</v>
      </c>
      <c r="Q31" s="346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6"/>
      <c r="BT31" s="104" t="s">
        <v>202</v>
      </c>
      <c r="BU31" s="103">
        <v>0</v>
      </c>
      <c r="BV31" s="104" t="str">
        <f t="shared" si="14"/>
        <v>David Ježek</v>
      </c>
      <c r="BW31" s="102">
        <f t="shared" si="15"/>
        <v>0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7" t="s">
        <v>124</v>
      </c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48" t="s">
        <v>16</v>
      </c>
      <c r="J34" s="337" t="s">
        <v>19</v>
      </c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0">
        <f ca="1">IFERROR(IF(VLOOKUP(A34,OFFSET($AG$2,,,COUNTIF($AG$2:$AG$50,"?*"),23),2,FALSE)&lt;&gt;0,YEAR(VLOOKUP(A34,OFFSET($AG$2,,,COUNTIF($AG$2:$AG$50,"?*"),23),2,FALSE)),""),"")</f>
        <v>1998</v>
      </c>
      <c r="C35" s="341"/>
      <c r="D35" s="5">
        <f ca="1">IFERROR(VLOOKUP(A34,OFFSET($AG$2,,,COUNTIF($AG$2:$AG$50,"?*"),23),15,FALSE),"")</f>
        <v>23</v>
      </c>
      <c r="E35" s="331" t="str">
        <f ca="1">IFERROR(VLOOKUP(A34,OFFSET($AG$2,,,COUNTIF($AG$2:$AG$50,"?*"),23),16,FALSE),"")</f>
        <v>175/69</v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>L</v>
      </c>
      <c r="K35" s="341">
        <f ca="1">IFERROR(IF(VLOOKUP(J34,OFFSET($AG$2,,,COUNTIF($AG$2:$AG$50,"?*"),23),2,FALSE)&lt;&gt;0,YEAR(VLOOKUP(J34,OFFSET($AG$2,,,COUNTIF($AG$2:$AG$50,"?*"),23),2,FALSE)),""),"")</f>
        <v>2002</v>
      </c>
      <c r="L35" s="349"/>
      <c r="M35" s="15">
        <f ca="1">IFERROR(VLOOKUP(J34,OFFSET($AG$2,,,COUNTIF($AG$2:$AG$50,"?*"),23),15,FALSE),"")</f>
        <v>19</v>
      </c>
      <c r="N35" s="349" t="str">
        <f ca="1">IFERROR(VLOOKUP(J34,OFFSET($AG$2,,,COUNTIF($AG$2:$AG$50,"?*"),23),16,FALSE),"")</f>
        <v>187/61</v>
      </c>
      <c r="O35" s="349"/>
      <c r="P35" s="349" t="str">
        <f ca="1">IFERROR(VLOOKUP(J34,OFFSET($AG$2,,,COUNTIF($AG$2:$AG$50,"?*"),23),18,FALSE),"")</f>
        <v>3 OZ, 0 (0+0), -1 ±</v>
      </c>
      <c r="Q35" s="349"/>
      <c r="R35" s="35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57" t="str">
        <f ca="1">IFERROR(VLOOKUP(A34,OFFSET($AG$2,,,COUNTIF($AG$2:$AG$50,"?*"),23),18,FALSE),"")</f>
        <v>0 V, 2 P</v>
      </c>
      <c r="C36" s="357"/>
      <c r="D36" s="358">
        <f ca="1">IFERROR(VLOOKUP(A34,OFFSET($S$45,,,COUNTIF($S$45:$S$50,"?*"),14),5,FALSE),"")</f>
        <v>18</v>
      </c>
      <c r="E36" s="359"/>
      <c r="F36" s="17">
        <f ca="1">IFERROR(VLOOKUP(A34,OFFSET($S$45,,,COUNTIF($S$45:$S$50,"?*"),14),14,FALSE),"")</f>
        <v>67.857142857142861</v>
      </c>
      <c r="H36" s="348"/>
      <c r="J36" s="18">
        <f ca="1">IFERROR(IF(VLOOKUP(J34,OFFSET($AG$2,,,COUNTIF($AG$2:$AG$50,"?*"),23),7,FALSE)&lt;&gt;0,VLOOKUP(J34,OFFSET($AG$2,,,COUNTIF($AG$2:$AG$50,"?*"),23),7,FALSE),"?"),"")</f>
        <v>2</v>
      </c>
      <c r="K36" s="360" t="str">
        <f ca="1">IFERROR(VLOOKUP(J34,OFFSET($AG$2,,,COUNTIF($AG$2:$AG$50,"?*"),23),19,FALSE),"")</f>
        <v>21 OZ, 3 (2+1)</v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>SKV</v>
      </c>
      <c r="O36" s="361"/>
      <c r="P36" s="361"/>
      <c r="Q36" s="360">
        <f ca="1">IFERROR(IF(VLOOKUP(J34,OFFSET($AG$2,,,COUNTIF($AG$2:$AG$50,"?*"),23),14,FALSE)&lt;&gt;0,VLOOKUP(J34,OFFSET($AG$2,,,COUNTIF($AG$2:$AG$50,"?*"),23),14,FALSE),"?"),"")</f>
        <v>2013</v>
      </c>
      <c r="R36" s="36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0">
        <f ca="1">IFERROR(VLOOKUP(A34,OFFSET($S$45,,,COUNTIF($S$45:$S$50,"?*"),14),3,FALSE),"")</f>
        <v>116.82</v>
      </c>
      <c r="B37" s="351"/>
      <c r="C37" s="352">
        <f ca="1">IFERROR(VLOOKUP(A34,OFFSET($S$45,,,COUNTIF($S$45:$S$50,"?*"),14),13,FALSE),"")</f>
        <v>9.2449922958397543</v>
      </c>
      <c r="D37" s="353"/>
      <c r="E37" s="354" t="str">
        <f ca="1">IFERROR(VLOOKUP(A34,OFFSET($AG$2,,,COUNTIF($AG$2:$AG$50,"?*"),23),19,FALSE),"")</f>
        <v>39 OZ, 0 A</v>
      </c>
      <c r="F37" s="355"/>
      <c r="H37" s="348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>FTC Vysoké Mýto</v>
      </c>
      <c r="B38" s="343"/>
      <c r="C38" s="344"/>
      <c r="D38" s="345">
        <f ca="1">IFERROR(IF(VLOOKUP(A34,OFFSET($AG$2,,,COUNTIF($AG$2:$AG$50,"?*"),23),14,FALSE)&lt;&gt;0,VLOOKUP(A34,OFFSET($AG$2,,,COUNTIF($AG$2:$AG$50,"?*"),23),14,FALSE),"?"),"")</f>
        <v>2012</v>
      </c>
      <c r="E38" s="346"/>
      <c r="F38" s="19">
        <f ca="1">IFERROR(VLOOKUP(A34,OFFSET($S$45,,,COUNTIF($S$45:$S$50,"?*"),14),6,FALSE),"")</f>
        <v>0</v>
      </c>
      <c r="H38" s="348"/>
      <c r="J38" s="337" t="s">
        <v>126</v>
      </c>
      <c r="K38" s="338"/>
      <c r="L38" s="338"/>
      <c r="M38" s="338"/>
      <c r="N38" s="338"/>
      <c r="O38" s="338"/>
      <c r="P38" s="338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>
        <f ca="1">IFERROR(IF(VLOOKUP(J38,OFFSET($AG$2,,,COUNTIF($AG$2:$AG$50,"?*"),23),2,FALSE)&lt;&gt;0,YEAR(VLOOKUP(J38,OFFSET($AG$2,,,COUNTIF($AG$2:$AG$50,"?*"),23),2,FALSE)),""),"")</f>
        <v>2002</v>
      </c>
      <c r="L39" s="349"/>
      <c r="M39" s="151">
        <f ca="1">IFERROR(VLOOKUP(J38,OFFSET($AG$2,,,COUNTIF($AG$2:$AG$50,"?*"),23),15,FALSE),"")</f>
        <v>19</v>
      </c>
      <c r="N39" s="349" t="str">
        <f ca="1">IFERROR(VLOOKUP(J38,OFFSET($AG$2,,,COUNTIF($AG$2:$AG$50,"?*"),23),16,FALSE),"")</f>
        <v>? / ?</v>
      </c>
      <c r="O39" s="349"/>
      <c r="P39" s="349" t="str">
        <f ca="1">IFERROR(VLOOKUP(J38,OFFSET($AG$2,,,COUNTIF($AG$2:$AG$50,"?*"),23),18,FALSE),"")</f>
        <v>3 OZ, 0 (0+0), -1 ±</v>
      </c>
      <c r="Q39" s="349"/>
      <c r="R39" s="35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37" t="s">
        <v>15</v>
      </c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48"/>
      <c r="J40" s="18">
        <f ca="1">IFERROR(IF(VLOOKUP(J38,OFFSET($AG$2,,,COUNTIF($AG$2:$AG$50,"?*"),23),7,FALSE)&lt;&gt;0,VLOOKUP(J38,OFFSET($AG$2,,,COUNTIF($AG$2:$AG$50,"?*"),23),7,FALSE),"?"),"")</f>
        <v>1</v>
      </c>
      <c r="K40" s="360" t="str">
        <f ca="1">IFERROR(VLOOKUP(J38,OFFSET($AG$2,,,COUNTIF($AG$2:$AG$50,"?*"),23),19,FALSE),"")</f>
        <v>3 OZ, 0 (0+0)</v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>Tatran Střešovice</v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>?</v>
      </c>
      <c r="R40" s="36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0">
        <f ca="1">IFERROR(IF(VLOOKUP(A40,OFFSET($AG$2,,,COUNTIF($AG$2:$AG$50,"?*"),23),2,FALSE)&lt;&gt;0,YEAR(VLOOKUP(A40,OFFSET($AG$2,,,COUNTIF($AG$2:$AG$50,"?*"),23),2,FALSE)),""),"")</f>
        <v>1996</v>
      </c>
      <c r="C41" s="341"/>
      <c r="D41" s="5">
        <f ca="1">IFERROR(VLOOKUP(A40,OFFSET($AG$2,,,COUNTIF($AG$2:$AG$50,"?*"),23),15,FALSE),"")</f>
        <v>25</v>
      </c>
      <c r="E41" s="331" t="str">
        <f ca="1">IFERROR(VLOOKUP(A40,OFFSET($AG$2,,,COUNTIF($AG$2:$AG$50,"?*"),23),16,FALSE),"")</f>
        <v>187/88</v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357" t="str">
        <f ca="1">IFERROR(VLOOKUP(A40,OFFSET($AG$2,,,COUNTIF($AG$2:$AG$50,"?*"),23),18,FALSE),"")</f>
        <v>0 V, 1 P</v>
      </c>
      <c r="C42" s="357"/>
      <c r="D42" s="358">
        <f ca="1">IFERROR(VLOOKUP(A40,OFFSET($S$45,,,COUNTIF($S$45:$S$50,"?*"),14),5,FALSE),"")</f>
        <v>8</v>
      </c>
      <c r="E42" s="359"/>
      <c r="F42" s="17">
        <f ca="1">IFERROR(VLOOKUP(A40,OFFSET($S$45,,,COUNTIF($S$45:$S$50,"?*"),14),14,FALSE),"")</f>
        <v>71.428571428571431</v>
      </c>
      <c r="H42" s="348"/>
      <c r="J42" s="337" t="s">
        <v>2</v>
      </c>
      <c r="K42" s="338"/>
      <c r="L42" s="338"/>
      <c r="M42" s="338"/>
      <c r="N42" s="338"/>
      <c r="O42" s="338"/>
      <c r="P42" s="338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0">
        <f ca="1">IFERROR(VLOOKUP(A40,OFFSET($S$45,,,COUNTIF($S$45:$S$50,"?*"),14),3,FALSE),"")</f>
        <v>60</v>
      </c>
      <c r="B43" s="351"/>
      <c r="C43" s="352">
        <f ca="1">IFERROR(VLOOKUP(A40,OFFSET($S$45,,,COUNTIF($S$45:$S$50,"?*"),14),13,FALSE),"")</f>
        <v>8</v>
      </c>
      <c r="D43" s="353"/>
      <c r="E43" s="354" t="str">
        <f ca="1">IFERROR(VLOOKUP(A40,OFFSET($AG$2,,,COUNTIF($AG$2:$AG$50,"?*"),23),19,FALSE),"")</f>
        <v>41 OZ, 2 A</v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>L</v>
      </c>
      <c r="K43" s="341">
        <f ca="1">IFERROR(IF(VLOOKUP(J42,OFFSET($AG$2,,,COUNTIF($AG$2:$AG$50,"?*"),23),2,FALSE)&lt;&gt;0,YEAR(VLOOKUP(J42,OFFSET($AG$2,,,COUNTIF($AG$2:$AG$50,"?*"),23),2,FALSE)),""),"")</f>
        <v>1992</v>
      </c>
      <c r="L43" s="349"/>
      <c r="M43" s="151">
        <f ca="1">IFERROR(VLOOKUP(J42,OFFSET($AG$2,,,COUNTIF($AG$2:$AG$50,"?*"),23),15,FALSE),"")</f>
        <v>29</v>
      </c>
      <c r="N43" s="349" t="str">
        <f ca="1">IFERROR(VLOOKUP(J42,OFFSET($AG$2,,,COUNTIF($AG$2:$AG$50,"?*"),23),16,FALSE),"")</f>
        <v>181/78</v>
      </c>
      <c r="O43" s="349"/>
      <c r="P43" s="349" t="str">
        <f ca="1">IFERROR(VLOOKUP(J42,OFFSET($AG$2,,,COUNTIF($AG$2:$AG$50,"?*"),23),18,FALSE),"")</f>
        <v>1 OZ, 0 (0+0), 0 ±</v>
      </c>
      <c r="Q43" s="349"/>
      <c r="R43" s="356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>Chodov</v>
      </c>
      <c r="B44" s="343"/>
      <c r="C44" s="344"/>
      <c r="D44" s="345">
        <f ca="1">IFERROR(IF(VLOOKUP(A40,OFFSET($AG$2,,,COUNTIF($AG$2:$AG$50,"?*"),23),14,FALSE)&lt;&gt;0,VLOOKUP(A40,OFFSET($AG$2,,,COUNTIF($AG$2:$AG$50,"?*"),23),14,FALSE),"?"),"")</f>
        <v>2008</v>
      </c>
      <c r="E44" s="346"/>
      <c r="F44" s="19">
        <f ca="1">IFERROR(VLOOKUP(A40,OFFSET($S$45,,,COUNTIF($S$45:$S$50,"?*"),14),6,FALSE),"")</f>
        <v>0</v>
      </c>
      <c r="H44" s="348"/>
      <c r="J44" s="18">
        <f ca="1">IFERROR(IF(VLOOKUP(J42,OFFSET($AG$2,,,COUNTIF($AG$2:$AG$50,"?*"),23),7,FALSE)&lt;&gt;0,VLOOKUP(J42,OFFSET($AG$2,,,COUNTIF($AG$2:$AG$50,"?*"),23),7,FALSE),"?"),"")</f>
        <v>10</v>
      </c>
      <c r="K44" s="360" t="str">
        <f ca="1">IFERROR(VLOOKUP(J42,OFFSET($AG$2,,,COUNTIF($AG$2:$AG$50,"?*"),23),19,FALSE),"")</f>
        <v>142 OZ, 149 (90+59)</v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>Pelhřimov</v>
      </c>
      <c r="O44" s="361"/>
      <c r="P44" s="361"/>
      <c r="Q44" s="360">
        <f ca="1">IFERROR(IF(VLOOKUP(J42,OFFSET($AG$2,,,COUNTIF($AG$2:$AG$50,"?*"),23),14,FALSE)&lt;&gt;0,VLOOKUP(J42,OFFSET($AG$2,,,COUNTIF($AG$2:$AG$50,"?*"),23),14,FALSE),"?"),"")</f>
        <v>2003</v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15</v>
      </c>
      <c r="T45" s="102">
        <v>1</v>
      </c>
      <c r="U45" s="112">
        <v>60</v>
      </c>
      <c r="V45" s="102">
        <v>0</v>
      </c>
      <c r="W45" s="102">
        <v>8</v>
      </c>
      <c r="X45" s="102">
        <v>0</v>
      </c>
      <c r="Y45" s="102">
        <v>28</v>
      </c>
      <c r="Z45" s="102">
        <v>0</v>
      </c>
      <c r="AA45" s="102">
        <v>1</v>
      </c>
      <c r="AB45" s="102">
        <v>20</v>
      </c>
      <c r="AC45" s="102">
        <v>0</v>
      </c>
      <c r="AD45" s="102">
        <v>0</v>
      </c>
      <c r="AE45" s="112">
        <f>IF(S45&lt;&gt;"",IF(T45&gt;0,W45/(U45/60),0),"")</f>
        <v>8</v>
      </c>
      <c r="AF45" s="112">
        <f>IF(S45&lt;&gt;"",IF(Y45&gt;0,(AB45/Y45)*100,"-"),"")</f>
        <v>71.428571428571431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124</v>
      </c>
      <c r="T46" s="102">
        <v>2</v>
      </c>
      <c r="U46" s="112">
        <v>116.82</v>
      </c>
      <c r="V46" s="102">
        <v>0</v>
      </c>
      <c r="W46" s="102">
        <v>18</v>
      </c>
      <c r="X46" s="102">
        <v>0</v>
      </c>
      <c r="Y46" s="102">
        <v>56</v>
      </c>
      <c r="Z46" s="102">
        <v>0</v>
      </c>
      <c r="AA46" s="102">
        <v>2</v>
      </c>
      <c r="AB46" s="102">
        <v>38</v>
      </c>
      <c r="AC46" s="102">
        <v>0</v>
      </c>
      <c r="AD46" s="102">
        <v>0</v>
      </c>
      <c r="AE46" s="112">
        <f t="shared" ref="AE46:AE50" si="36">IF(S46&lt;&gt;"",IF(T46&gt;0,W46/(U46/60),0),"")</f>
        <v>9.2449922958397543</v>
      </c>
      <c r="AF46" s="112">
        <f t="shared" ref="AF46:AF50" si="37">IF(S46&lt;&gt;"",IF(Y46&gt;0,(AB46/Y46)*100,"-"),"")</f>
        <v>67.857142857142861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77" t="s">
        <v>20</v>
      </c>
      <c r="B47" s="378"/>
      <c r="C47" s="378"/>
      <c r="D47" s="378"/>
      <c r="E47" s="373" t="str">
        <f ca="1">IFERROR(VLOOKUP(A47,OFFSET($BN$2,,,COUNTIF($BN$2:$BN$11,"?*"),5),3,FALSE),"")</f>
        <v>trenér</v>
      </c>
      <c r="F47" s="373"/>
      <c r="G47" s="373"/>
      <c r="H47" s="373"/>
      <c r="I47" s="374"/>
      <c r="J47" s="377" t="s">
        <v>21</v>
      </c>
      <c r="K47" s="378"/>
      <c r="L47" s="378"/>
      <c r="M47" s="378"/>
      <c r="N47" s="373" t="str">
        <f ca="1">IFERROR(VLOOKUP(J47,OFFSET($BN$2,,,COUNTIF($BN$2:$BN$11,"?*"),5),3,FALSE),"")</f>
        <v>trenér</v>
      </c>
      <c r="O47" s="373"/>
      <c r="P47" s="373"/>
      <c r="Q47" s="373"/>
      <c r="R47" s="374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3">
        <f ca="1">IFERROR(VLOOKUP(A47,OFFSET($BN$2,,,COUNTIF($BN$2:$BN$11,"?*"),5),5,FALSE),"")</f>
        <v>38</v>
      </c>
      <c r="B48" s="365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5"/>
      <c r="D48" s="365"/>
      <c r="E48" s="365"/>
      <c r="F48" s="365"/>
      <c r="G48" s="365"/>
      <c r="H48" s="365"/>
      <c r="I48" s="366"/>
      <c r="J48" s="24">
        <f ca="1">IFERROR(VLOOKUP(J47,OFFSET($BN$2,,,COUNTIF($BN$2:$BN$11,"?*"),5),5,FALSE),"")</f>
        <v>35</v>
      </c>
      <c r="K48" s="369" t="str">
        <f ca="1">IFERROR(IF(VLOOKUP(J47,OFFSET($BN$2,,,COUNTIF($BN$2:$BN$11,"?*"),5),4,FALSE)&lt;&gt;0,VLOOKUP(J47,OFFSET($BN$2,,,COUNTIF($BN$2:$BN$11,"?*"),5),4,FALSE),"-"),"")</f>
        <v>2x mistr české ligy (Chodov)</v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 t="s">
        <v>22</v>
      </c>
      <c r="K49" s="372"/>
      <c r="L49" s="372"/>
      <c r="M49" s="372"/>
      <c r="N49" s="373" t="str">
        <f ca="1">IFERROR(VLOOKUP(J49,OFFSET($BN$2,,,COUNTIF($BN$2:$BN$11,"?*"),5),3,FALSE),"")</f>
        <v>kondiční trenér</v>
      </c>
      <c r="O49" s="373"/>
      <c r="P49" s="373"/>
      <c r="Q49" s="373"/>
      <c r="R49" s="374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24">
        <f ca="1">IFERROR(VLOOKUP(J49,OFFSET($BN$2,,,COUNTIF($BN$2:$BN$11,"?*"),5),5,FALSE),"")</f>
        <v>31</v>
      </c>
      <c r="K50" s="369" t="str">
        <f ca="1">IFERROR(IF(VLOOKUP(J49,OFFSET($BN$2,,,COUNTIF($BN$2:$BN$11,"?*"),5),4,FALSE)&lt;&gt;0,VLOOKUP(J49,OFFSET($BN$2,,,COUNTIF($BN$2:$BN$11,"?*"),5),4,FALSE),"-"),"")</f>
        <v>postup do Tipsport superligy (hráč)</v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772</v>
      </c>
      <c r="T2" s="102" t="s">
        <v>121</v>
      </c>
      <c r="U2" s="102">
        <v>3</v>
      </c>
      <c r="V2" s="102">
        <v>3</v>
      </c>
      <c r="W2" s="102">
        <v>0</v>
      </c>
      <c r="X2" s="102">
        <v>0</v>
      </c>
      <c r="Y2" s="102">
        <v>2</v>
      </c>
      <c r="Z2" s="102">
        <v>5</v>
      </c>
      <c r="AA2" s="102">
        <v>0</v>
      </c>
      <c r="AB2" s="102">
        <v>2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770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2 (2+0), +3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2 (2+0)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976</v>
      </c>
      <c r="BU2" s="103">
        <v>5</v>
      </c>
      <c r="BV2" s="104" t="str">
        <f>IFERROR(RIGHT(BT2,LEN(BT2)-SEARCH(" ",BT2)),"")</f>
        <v>Tomáš Hanák</v>
      </c>
      <c r="BW2" s="102">
        <f>IF(BT2&lt;&gt;0,_xlfn.NUMBERVALUE(BU2,","),"")</f>
        <v>5</v>
      </c>
      <c r="BX2" s="375" t="s">
        <v>219</v>
      </c>
      <c r="BY2" s="103" t="s">
        <v>966</v>
      </c>
      <c r="BZ2" s="103" t="s">
        <v>23</v>
      </c>
      <c r="CA2" s="115" t="s">
        <v>116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775</v>
      </c>
      <c r="T3" s="102" t="s">
        <v>121</v>
      </c>
      <c r="U3" s="102">
        <v>3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2</v>
      </c>
      <c r="AC3" s="102" t="str">
        <f t="shared" ca="1" si="0"/>
        <v>ANO</v>
      </c>
      <c r="AG3" s="121" t="s">
        <v>776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3 OZ, 3 (1+2), +2 ±</v>
      </c>
      <c r="AY3" s="129" t="str">
        <f t="shared" ca="1" si="2"/>
        <v>3 OZ, 3 (1+2)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76"/>
      <c r="BT3" s="104" t="s">
        <v>977</v>
      </c>
      <c r="BU3" s="103">
        <v>5</v>
      </c>
      <c r="BV3" s="104" t="str">
        <f t="shared" ref="BV3:BV31" si="14">IFERROR(RIGHT(BT3,LEN(BT3)-SEARCH(" ",BT3)),"")</f>
        <v>Radek Hanák</v>
      </c>
      <c r="BW3" s="102">
        <f t="shared" ref="BW3:BW31" si="15">IF(BT3&lt;&gt;0,_xlfn.NUMBERVALUE(BU3,","),"")</f>
        <v>5</v>
      </c>
      <c r="BX3" s="375"/>
      <c r="BY3" s="103" t="s">
        <v>211</v>
      </c>
      <c r="BZ3" s="103" t="s">
        <v>100</v>
      </c>
      <c r="CA3" s="115" t="s">
        <v>871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774</v>
      </c>
      <c r="T4" s="102" t="s">
        <v>121</v>
      </c>
      <c r="U4" s="102">
        <v>3</v>
      </c>
      <c r="V4" s="102">
        <v>3</v>
      </c>
      <c r="W4" s="102">
        <v>0</v>
      </c>
      <c r="X4" s="102">
        <v>0</v>
      </c>
      <c r="Y4" s="102">
        <v>1</v>
      </c>
      <c r="Z4" s="102">
        <v>4</v>
      </c>
      <c r="AA4" s="102">
        <v>4</v>
      </c>
      <c r="AB4" s="102">
        <v>3</v>
      </c>
      <c r="AC4" s="102" t="str">
        <f t="shared" ca="1" si="0"/>
        <v>ANO</v>
      </c>
      <c r="AG4" s="121" t="s">
        <v>774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3 OZ, 4 (3+1), +3 ±</v>
      </c>
      <c r="AY4" s="129" t="str">
        <f t="shared" ca="1" si="2"/>
        <v>3 OZ, 4 (3+1)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76"/>
      <c r="BT4" s="104" t="s">
        <v>978</v>
      </c>
      <c r="BU4" s="103">
        <v>4</v>
      </c>
      <c r="BV4" s="104" t="str">
        <f t="shared" si="14"/>
        <v>Matěj Boček</v>
      </c>
      <c r="BW4" s="102">
        <f t="shared" si="15"/>
        <v>4</v>
      </c>
      <c r="BX4" s="375"/>
      <c r="BY4" s="103" t="s">
        <v>276</v>
      </c>
      <c r="BZ4" s="103" t="s">
        <v>103</v>
      </c>
      <c r="CA4" s="115" t="s">
        <v>792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R5" s="13"/>
      <c r="S5" s="110" t="s">
        <v>769</v>
      </c>
      <c r="U5" s="102">
        <v>3</v>
      </c>
      <c r="V5" s="102">
        <v>2</v>
      </c>
      <c r="W5" s="102">
        <v>1</v>
      </c>
      <c r="X5" s="102">
        <v>0</v>
      </c>
      <c r="Y5" s="102">
        <v>2</v>
      </c>
      <c r="Z5" s="102">
        <v>4</v>
      </c>
      <c r="AA5" s="102">
        <v>2</v>
      </c>
      <c r="AB5" s="102">
        <v>3</v>
      </c>
      <c r="AC5" s="102" t="str">
        <f t="shared" ca="1" si="0"/>
        <v>ANO</v>
      </c>
      <c r="AG5" s="121" t="s">
        <v>773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3 OZ, 3 (1+2), +2 ±</v>
      </c>
      <c r="AY5" s="129" t="str">
        <f t="shared" ca="1" si="2"/>
        <v>3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76"/>
      <c r="BT5" s="104" t="s">
        <v>877</v>
      </c>
      <c r="BU5" s="103">
        <v>4</v>
      </c>
      <c r="BV5" s="104" t="str">
        <f t="shared" si="14"/>
        <v>Jakub Hromada</v>
      </c>
      <c r="BW5" s="102">
        <f t="shared" si="15"/>
        <v>4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771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3</v>
      </c>
      <c r="AC6" s="102" t="str">
        <f t="shared" ca="1" si="0"/>
        <v>ANO</v>
      </c>
      <c r="AG6" s="121" t="s">
        <v>771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3 OZ, 3 (2+1), +3 ±</v>
      </c>
      <c r="AY6" s="129" t="str">
        <f t="shared" ca="1" si="2"/>
        <v>3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76"/>
      <c r="BT6" s="104" t="s">
        <v>874</v>
      </c>
      <c r="BU6" s="103">
        <v>3</v>
      </c>
      <c r="BV6" s="104" t="str">
        <f t="shared" si="14"/>
        <v>Matouš Burian</v>
      </c>
      <c r="BW6" s="102">
        <f t="shared" si="15"/>
        <v>3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776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4</v>
      </c>
      <c r="AB7" s="102">
        <v>2</v>
      </c>
      <c r="AC7" s="102" t="str">
        <f t="shared" ca="1" si="0"/>
        <v>ANO</v>
      </c>
      <c r="AG7" s="121" t="s">
        <v>782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3 OZ, 0 (0+0), -2 ±</v>
      </c>
      <c r="AY7" s="129" t="str">
        <f t="shared" ca="1" si="2"/>
        <v>3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6" t="s">
        <v>40</v>
      </c>
      <c r="BT7" s="104" t="s">
        <v>789</v>
      </c>
      <c r="BU7" s="103" t="s">
        <v>979</v>
      </c>
      <c r="BV7" s="104" t="str">
        <f t="shared" si="14"/>
        <v>Ondřej Matiášek</v>
      </c>
      <c r="BW7" s="112">
        <f t="shared" si="15"/>
        <v>3.44</v>
      </c>
      <c r="BX7" s="375" t="s">
        <v>220</v>
      </c>
      <c r="BY7" s="103" t="s">
        <v>278</v>
      </c>
      <c r="BZ7" s="103" t="s">
        <v>101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97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773</v>
      </c>
      <c r="T8" s="102" t="s">
        <v>64</v>
      </c>
      <c r="U8" s="102">
        <v>3</v>
      </c>
      <c r="V8" s="102">
        <v>1</v>
      </c>
      <c r="W8" s="102">
        <v>1</v>
      </c>
      <c r="X8" s="102">
        <v>0</v>
      </c>
      <c r="Y8" s="102">
        <v>2</v>
      </c>
      <c r="Z8" s="102">
        <v>3</v>
      </c>
      <c r="AA8" s="102">
        <v>0</v>
      </c>
      <c r="AB8" s="102">
        <v>2</v>
      </c>
      <c r="AC8" s="102" t="str">
        <f t="shared" ca="1" si="0"/>
        <v>ANO</v>
      </c>
      <c r="AG8" s="121" t="s">
        <v>775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3 OZ, 5 (2+3), +2 ±</v>
      </c>
      <c r="AY8" s="129" t="str">
        <f t="shared" ca="1" si="2"/>
        <v>3 OZ, 5 (2+3)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6"/>
      <c r="BT8" s="104" t="s">
        <v>790</v>
      </c>
      <c r="BU8" s="103" t="s">
        <v>411</v>
      </c>
      <c r="BV8" s="104" t="str">
        <f t="shared" si="14"/>
        <v>Daniel Körber</v>
      </c>
      <c r="BW8" s="112">
        <f t="shared" si="15"/>
        <v>4</v>
      </c>
      <c r="BX8" s="375"/>
      <c r="BY8" s="103" t="s">
        <v>214</v>
      </c>
      <c r="BZ8" s="103" t="s">
        <v>5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770</v>
      </c>
      <c r="T9" s="102" t="s">
        <v>64</v>
      </c>
      <c r="U9" s="102">
        <v>3</v>
      </c>
      <c r="V9" s="102">
        <v>2</v>
      </c>
      <c r="W9" s="102">
        <v>1</v>
      </c>
      <c r="X9" s="102">
        <v>0</v>
      </c>
      <c r="Y9" s="102">
        <v>0</v>
      </c>
      <c r="Z9" s="102">
        <v>2</v>
      </c>
      <c r="AA9" s="102">
        <v>0</v>
      </c>
      <c r="AB9" s="102">
        <v>3</v>
      </c>
      <c r="AC9" s="102" t="str">
        <f t="shared" ca="1" si="0"/>
        <v>ANO</v>
      </c>
      <c r="AG9" s="121" t="s">
        <v>772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3 OZ, 5 (3+2), +2 ±</v>
      </c>
      <c r="AY9" s="129" t="str">
        <f t="shared" ca="1" si="2"/>
        <v>3 OZ, 5 (3+2)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6"/>
      <c r="BV9" s="104" t="str">
        <f t="shared" si="14"/>
        <v/>
      </c>
      <c r="BW9" s="112" t="str">
        <f t="shared" si="15"/>
        <v/>
      </c>
      <c r="BX9" s="375"/>
      <c r="BY9" s="103" t="s">
        <v>215</v>
      </c>
      <c r="BZ9" s="103" t="s">
        <v>96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781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2</v>
      </c>
      <c r="AB10" s="102">
        <v>3</v>
      </c>
      <c r="AC10" s="102" t="str">
        <f t="shared" ca="1" si="0"/>
        <v>ANO</v>
      </c>
      <c r="AG10" s="121" t="s">
        <v>769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3 OZ, 4 (2+2), +3 ±</v>
      </c>
      <c r="AY10" s="129" t="str">
        <f t="shared" ca="1" si="2"/>
        <v>3 OZ, 4 (2+2)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6"/>
      <c r="BV10" s="104" t="str">
        <f t="shared" si="14"/>
        <v/>
      </c>
      <c r="BW10" s="112" t="str">
        <f t="shared" si="15"/>
        <v/>
      </c>
      <c r="BX10" s="375"/>
      <c r="BY10" s="103" t="s">
        <v>864</v>
      </c>
      <c r="BZ10" s="103" t="s">
        <v>94</v>
      </c>
      <c r="CA10" s="115" t="s">
        <v>212</v>
      </c>
    </row>
    <row r="11" spans="1:79" ht="15" customHeight="1" thickTop="1" thickBot="1" x14ac:dyDescent="0.25">
      <c r="R11" s="13"/>
      <c r="S11" s="110" t="s">
        <v>779</v>
      </c>
      <c r="T11" s="102" t="s">
        <v>64</v>
      </c>
      <c r="U11" s="102">
        <v>1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 t="str">
        <f t="shared" ca="1" si="0"/>
        <v>ANO</v>
      </c>
      <c r="AG11" s="121" t="s">
        <v>787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3 OZ, 0 (0+0), -2 ±</v>
      </c>
      <c r="AY11" s="129" t="str">
        <f t="shared" ca="1" si="2"/>
        <v>3 OZ, 0 (0+0)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6"/>
      <c r="BV11" s="104" t="str">
        <f t="shared" si="14"/>
        <v/>
      </c>
      <c r="BW11" s="112" t="str">
        <f t="shared" si="15"/>
        <v/>
      </c>
      <c r="BX11" s="375"/>
      <c r="BY11" s="103" t="s">
        <v>958</v>
      </c>
      <c r="BZ11" s="103" t="s">
        <v>99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788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ANO</v>
      </c>
      <c r="AG12" s="121" t="s">
        <v>785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0 P</v>
      </c>
      <c r="AY12" s="129" t="str">
        <f t="shared" ca="1" si="2"/>
        <v>1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6" t="s">
        <v>37</v>
      </c>
      <c r="BT12" s="104" t="s">
        <v>980</v>
      </c>
      <c r="BU12" s="103">
        <v>3</v>
      </c>
      <c r="BV12" s="104" t="str">
        <f t="shared" si="14"/>
        <v>Matěj Boček</v>
      </c>
      <c r="BW12" s="102">
        <f t="shared" si="15"/>
        <v>3</v>
      </c>
      <c r="BX12" s="120" t="s">
        <v>218</v>
      </c>
      <c r="BY12" s="100" t="s">
        <v>975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784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786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3 OZ, 0 (0+0), -2 ±</v>
      </c>
      <c r="AY13" s="129" t="str">
        <f t="shared" ca="1" si="2"/>
        <v>3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6"/>
      <c r="BT13" s="104" t="s">
        <v>872</v>
      </c>
      <c r="BU13" s="103">
        <v>3</v>
      </c>
      <c r="BV13" s="104" t="str">
        <f t="shared" si="14"/>
        <v>Tomáš Hanák</v>
      </c>
      <c r="BW13" s="102">
        <f t="shared" si="15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880</v>
      </c>
      <c r="T14" s="102" t="s">
        <v>121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783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6"/>
      <c r="BT14" s="104" t="s">
        <v>981</v>
      </c>
      <c r="BU14" s="103">
        <v>2</v>
      </c>
      <c r="BV14" s="104" t="str">
        <f t="shared" si="14"/>
        <v>Jakub Hromada</v>
      </c>
      <c r="BW14" s="102">
        <f t="shared" si="15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878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0</v>
      </c>
      <c r="AC15" s="102" t="str">
        <f t="shared" ca="1" si="0"/>
        <v>NE</v>
      </c>
      <c r="AG15" s="121" t="s">
        <v>784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6"/>
      <c r="BT15" s="104" t="s">
        <v>873</v>
      </c>
      <c r="BU15" s="103">
        <v>2</v>
      </c>
      <c r="BV15" s="104" t="str">
        <f t="shared" si="14"/>
        <v>Jan Bauman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R16" s="13"/>
      <c r="S16" s="110" t="s">
        <v>879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781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3 OZ, 1 (0+1), +3 ±</v>
      </c>
      <c r="AY16" s="129" t="str">
        <f t="shared" ca="1" si="2"/>
        <v>3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6"/>
      <c r="BT16" s="104" t="s">
        <v>874</v>
      </c>
      <c r="BU16" s="103">
        <v>2</v>
      </c>
      <c r="BV16" s="104" t="str">
        <f t="shared" si="14"/>
        <v>Matouš Burian</v>
      </c>
      <c r="BW16" s="102">
        <f t="shared" si="15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782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777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3 OZ, 0 (0+0), -2 ±</v>
      </c>
      <c r="AY17" s="129" t="str">
        <f t="shared" ca="1" si="2"/>
        <v>3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6" t="s">
        <v>41</v>
      </c>
      <c r="BT17" s="104" t="s">
        <v>875</v>
      </c>
      <c r="BU17" s="103">
        <v>1</v>
      </c>
      <c r="BV17" s="104" t="str">
        <f t="shared" si="14"/>
        <v>Daniel Körber</v>
      </c>
      <c r="BW17" s="102">
        <f t="shared" si="15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785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778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3 OZ, 0 (0+0), +3 ±</v>
      </c>
      <c r="AY18" s="129" t="str">
        <f t="shared" ca="1" si="2"/>
        <v>3 OZ, 0 (0+0)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6"/>
      <c r="BT18" s="104" t="s">
        <v>876</v>
      </c>
      <c r="BU18" s="103">
        <v>1</v>
      </c>
      <c r="BV18" s="104" t="str">
        <f t="shared" si="14"/>
        <v>Ondřej Matiášek</v>
      </c>
      <c r="BW18" s="102">
        <f t="shared" si="15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BA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786</v>
      </c>
      <c r="T19" s="102" t="s">
        <v>121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780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3 OZ, 0 (0+0), -1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780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ANO</v>
      </c>
      <c r="AG20" s="121" t="s">
        <v>779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1 OZ, 0 (0+0), 0 ±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783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788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1 OZ, 0 (0+0), 0 ±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778</v>
      </c>
      <c r="T22" s="102" t="s">
        <v>64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3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76" t="s">
        <v>38</v>
      </c>
      <c r="BT22" s="104" t="s">
        <v>982</v>
      </c>
      <c r="BU22" s="103">
        <v>3</v>
      </c>
      <c r="BV22" s="104" t="str">
        <f t="shared" si="14"/>
        <v>Radek Hanák</v>
      </c>
      <c r="BW22" s="102">
        <f t="shared" si="15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777</v>
      </c>
      <c r="T23" s="102" t="s">
        <v>121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-2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76"/>
      <c r="BT23" s="104" t="s">
        <v>983</v>
      </c>
      <c r="BU23" s="103">
        <v>2</v>
      </c>
      <c r="BV23" s="104" t="str">
        <f t="shared" si="14"/>
        <v>Adam Bouček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787</v>
      </c>
      <c r="T24" s="102" t="s">
        <v>121</v>
      </c>
      <c r="U24" s="102">
        <v>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76"/>
      <c r="BT24" s="104" t="s">
        <v>984</v>
      </c>
      <c r="BU24" s="103">
        <v>2</v>
      </c>
      <c r="BV24" s="104" t="str">
        <f t="shared" si="14"/>
        <v>Jakub Boček</v>
      </c>
      <c r="BW24" s="102">
        <f t="shared" si="15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76"/>
      <c r="BT25" s="104" t="s">
        <v>877</v>
      </c>
      <c r="BU25" s="103">
        <v>2</v>
      </c>
      <c r="BV25" s="104" t="str">
        <f t="shared" si="14"/>
        <v>Jakub Hromada</v>
      </c>
      <c r="BW25" s="102">
        <f t="shared" si="15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76"/>
      <c r="BT26" s="104" t="s">
        <v>985</v>
      </c>
      <c r="BU26" s="103">
        <v>2</v>
      </c>
      <c r="BV26" s="104" t="str">
        <f t="shared" si="14"/>
        <v>Tomáš Hanák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76" t="s">
        <v>39</v>
      </c>
      <c r="BT27" s="104" t="s">
        <v>791</v>
      </c>
      <c r="BU27" s="103">
        <v>4</v>
      </c>
      <c r="BV27" s="104" t="str">
        <f t="shared" si="14"/>
        <v>Jakub Boček</v>
      </c>
      <c r="BW27" s="102">
        <f t="shared" si="15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76"/>
      <c r="BT28" s="104" t="s">
        <v>986</v>
      </c>
      <c r="BU28" s="103">
        <v>4</v>
      </c>
      <c r="BV28" s="104" t="str">
        <f t="shared" si="14"/>
        <v>Matěj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76"/>
      <c r="BT29" s="104" t="s">
        <v>987</v>
      </c>
      <c r="BU29" s="103">
        <v>4</v>
      </c>
      <c r="BV29" s="104" t="str">
        <f t="shared" si="14"/>
        <v>Vojtěch Novotný</v>
      </c>
      <c r="BW29" s="102">
        <f t="shared" si="15"/>
        <v>4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BA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6"/>
      <c r="BT30" s="104" t="s">
        <v>988</v>
      </c>
      <c r="BU30" s="103">
        <v>2</v>
      </c>
      <c r="BV30" s="104" t="str">
        <f t="shared" si="14"/>
        <v>Filip Neklan</v>
      </c>
      <c r="BW30" s="102">
        <f t="shared" si="15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6"/>
      <c r="BT31" s="104" t="s">
        <v>989</v>
      </c>
      <c r="BU31" s="103">
        <v>2</v>
      </c>
      <c r="BV31" s="104" t="str">
        <f t="shared" si="14"/>
        <v>Jakub Hromada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783</v>
      </c>
      <c r="T45" s="102">
        <v>2</v>
      </c>
      <c r="U45" s="112">
        <v>122.18</v>
      </c>
      <c r="V45" s="102">
        <v>1</v>
      </c>
      <c r="W45" s="102">
        <v>7</v>
      </c>
      <c r="X45" s="102">
        <v>0</v>
      </c>
      <c r="Y45" s="102">
        <v>52</v>
      </c>
      <c r="Z45" s="102">
        <v>0</v>
      </c>
      <c r="AA45" s="102">
        <v>1</v>
      </c>
      <c r="AB45" s="102">
        <v>45</v>
      </c>
      <c r="AC45" s="102">
        <v>0</v>
      </c>
      <c r="AD45" s="102">
        <v>0</v>
      </c>
      <c r="AE45" s="112">
        <f>IF(S45&lt;&gt;"",IF(T45&gt;0,W45/(U45/60),0),"")</f>
        <v>3.4375511540350301</v>
      </c>
      <c r="AF45" s="112">
        <f>IF(S45&lt;&gt;"",IF(Y45&gt;0,(AB45/Y45)*100,"-"),"")</f>
        <v>86.538461538461547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785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6">IF(S46&lt;&gt;"",IF(T46&gt;0,W46/(U46/60),0),"")</f>
        <v>4</v>
      </c>
      <c r="AF46" s="112">
        <f t="shared" ref="AF46:AF50" si="27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594</v>
      </c>
      <c r="T2" s="102" t="s">
        <v>121</v>
      </c>
      <c r="U2" s="102">
        <v>3</v>
      </c>
      <c r="V2" s="102">
        <v>9</v>
      </c>
      <c r="W2" s="102">
        <v>1</v>
      </c>
      <c r="X2" s="102">
        <v>0</v>
      </c>
      <c r="Y2" s="102">
        <v>3</v>
      </c>
      <c r="Z2" s="102">
        <v>12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595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11 (6+5),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75 OZ, 106 (68+38)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631</v>
      </c>
      <c r="BO2" s="122">
        <v>29350</v>
      </c>
      <c r="BP2" s="131" t="s">
        <v>264</v>
      </c>
      <c r="BQ2" s="132" t="s">
        <v>632</v>
      </c>
      <c r="BR2" s="127">
        <f ca="1">IF(BN2&lt;&gt;"",IF(BO2&lt;&gt;"",INT((TODAY()-BO2)/365),"?"),"")</f>
        <v>41</v>
      </c>
      <c r="BS2" s="376" t="s">
        <v>36</v>
      </c>
      <c r="BT2" s="104" t="s">
        <v>638</v>
      </c>
      <c r="BU2" s="103">
        <v>12</v>
      </c>
      <c r="BV2" s="104" t="str">
        <f>IFERROR(RIGHT(BT2,LEN(BT2)-SEARCH(" ",BT2)),"")</f>
        <v>Karel Petrák</v>
      </c>
      <c r="BW2" s="102">
        <f>IF(BT2&lt;&gt;0,_xlfn.NUMBERVALUE(BU2,","),"")</f>
        <v>12</v>
      </c>
      <c r="BX2" s="375" t="s">
        <v>219</v>
      </c>
      <c r="BY2" s="103" t="s">
        <v>966</v>
      </c>
      <c r="BZ2" s="103" t="s">
        <v>103</v>
      </c>
      <c r="CA2" s="115" t="s">
        <v>990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595</v>
      </c>
      <c r="U3" s="102">
        <v>3</v>
      </c>
      <c r="V3" s="102">
        <v>6</v>
      </c>
      <c r="W3" s="102">
        <v>0</v>
      </c>
      <c r="X3" s="102">
        <v>0</v>
      </c>
      <c r="Y3" s="102">
        <v>5</v>
      </c>
      <c r="Z3" s="102">
        <v>11</v>
      </c>
      <c r="AA3" s="102">
        <v>0</v>
      </c>
      <c r="AB3" s="102">
        <v>8</v>
      </c>
      <c r="AC3" s="102" t="str">
        <f t="shared" ca="1" si="0"/>
        <v>ANO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0 OZ, 0 (0+0)</v>
      </c>
      <c r="AY3" s="129" t="str">
        <f t="shared" ca="1" si="2"/>
        <v>97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633</v>
      </c>
      <c r="BO3" s="122">
        <v>33849</v>
      </c>
      <c r="BP3" s="131" t="s">
        <v>265</v>
      </c>
      <c r="BQ3" s="132" t="s">
        <v>634</v>
      </c>
      <c r="BR3" s="127">
        <f t="shared" ref="BR3:BR11" ca="1" si="12">IF(BN3&lt;&gt;"",IF(BO3&lt;&gt;"",INT((TODAY()-BO3)/365),"?"),"")</f>
        <v>29</v>
      </c>
      <c r="BS3" s="376"/>
      <c r="BT3" s="104" t="s">
        <v>639</v>
      </c>
      <c r="BU3" s="103">
        <v>11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11</v>
      </c>
      <c r="BX3" s="375"/>
      <c r="BY3" s="103" t="s">
        <v>211</v>
      </c>
      <c r="BZ3" s="103" t="s">
        <v>96</v>
      </c>
      <c r="CA3" s="115" t="s">
        <v>883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596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8</v>
      </c>
      <c r="Z4" s="102">
        <v>11</v>
      </c>
      <c r="AA4" s="102">
        <v>0</v>
      </c>
      <c r="AB4" s="102">
        <v>8</v>
      </c>
      <c r="AC4" s="102" t="str">
        <f t="shared" ca="1" si="0"/>
        <v>ANO</v>
      </c>
      <c r="AG4" s="121" t="s">
        <v>607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624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3 OZ, 0 (0+0), -2 ±</v>
      </c>
      <c r="AY4" s="129" t="str">
        <f t="shared" ca="1" si="2"/>
        <v>246 OZ, 135 (69+66)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635</v>
      </c>
      <c r="BO4" s="122">
        <v>28301</v>
      </c>
      <c r="BP4" s="131" t="s">
        <v>265</v>
      </c>
      <c r="BQ4" s="132"/>
      <c r="BR4" s="127">
        <f t="shared" ca="1" si="12"/>
        <v>44</v>
      </c>
      <c r="BS4" s="376"/>
      <c r="BT4" s="104" t="s">
        <v>992</v>
      </c>
      <c r="BU4" s="103">
        <v>11</v>
      </c>
      <c r="BV4" s="104" t="str">
        <f t="shared" si="13"/>
        <v>Filip Forman</v>
      </c>
      <c r="BW4" s="102">
        <f t="shared" si="14"/>
        <v>11</v>
      </c>
      <c r="BX4" s="375"/>
      <c r="BY4" s="103" t="s">
        <v>276</v>
      </c>
      <c r="BZ4" s="103" t="s">
        <v>102</v>
      </c>
      <c r="CA4" s="115" t="s">
        <v>644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597</v>
      </c>
      <c r="U5" s="102">
        <v>3</v>
      </c>
      <c r="V5" s="102">
        <v>3</v>
      </c>
      <c r="W5" s="102">
        <v>2</v>
      </c>
      <c r="X5" s="102">
        <v>0</v>
      </c>
      <c r="Y5" s="102">
        <v>1</v>
      </c>
      <c r="Z5" s="102">
        <v>4</v>
      </c>
      <c r="AA5" s="102">
        <v>2</v>
      </c>
      <c r="AB5" s="102">
        <v>8</v>
      </c>
      <c r="AC5" s="102" t="str">
        <f t="shared" ca="1" si="0"/>
        <v>ANO</v>
      </c>
      <c r="AG5" s="121" t="s">
        <v>611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0 OZ, 0 (0+0)</v>
      </c>
      <c r="AY5" s="129" t="str">
        <f t="shared" ca="1" si="2"/>
        <v>105 OZ, 31 (16+15)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636</v>
      </c>
      <c r="BO5" s="122">
        <v>24059</v>
      </c>
      <c r="BP5" s="131" t="s">
        <v>404</v>
      </c>
      <c r="BQ5" s="132"/>
      <c r="BR5" s="127">
        <f t="shared" ca="1" si="12"/>
        <v>55</v>
      </c>
      <c r="BS5" s="376"/>
      <c r="BT5" s="104" t="s">
        <v>993</v>
      </c>
      <c r="BU5" s="103">
        <v>4</v>
      </c>
      <c r="BV5" s="104" t="str">
        <f t="shared" si="13"/>
        <v>Jan Malič</v>
      </c>
      <c r="BW5" s="102">
        <f t="shared" si="14"/>
        <v>4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599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0</v>
      </c>
      <c r="Z6" s="102">
        <v>2</v>
      </c>
      <c r="AA6" s="102">
        <v>0</v>
      </c>
      <c r="AB6" s="102">
        <v>-1</v>
      </c>
      <c r="AC6" s="102" t="str">
        <f t="shared" ca="1" si="0"/>
        <v>ANO</v>
      </c>
      <c r="AG6" s="121" t="s">
        <v>606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625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3 OZ, 0 (0+0), -2 ±</v>
      </c>
      <c r="AY6" s="129" t="str">
        <f t="shared" ca="1" si="2"/>
        <v>192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637</v>
      </c>
      <c r="BO6" s="122">
        <v>33657</v>
      </c>
      <c r="BP6" s="131" t="s">
        <v>462</v>
      </c>
      <c r="BQ6" s="132"/>
      <c r="BR6" s="127">
        <f t="shared" ca="1" si="12"/>
        <v>29</v>
      </c>
      <c r="BS6" s="376"/>
      <c r="BT6" s="104" t="s">
        <v>994</v>
      </c>
      <c r="BU6" s="103">
        <v>2</v>
      </c>
      <c r="BV6" s="104" t="str">
        <f t="shared" si="13"/>
        <v>Adam Růžek</v>
      </c>
      <c r="BW6" s="102">
        <f t="shared" si="14"/>
        <v>2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600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-2</v>
      </c>
      <c r="AC7" s="102" t="str">
        <f t="shared" ca="1" si="0"/>
        <v>NE</v>
      </c>
      <c r="AG7" s="121" t="s">
        <v>612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885</v>
      </c>
      <c r="BU7" s="103" t="s">
        <v>411</v>
      </c>
      <c r="BV7" s="104" t="str">
        <f t="shared" si="13"/>
        <v>Tomáš Hyršl</v>
      </c>
      <c r="BW7" s="112">
        <f t="shared" si="14"/>
        <v>4</v>
      </c>
      <c r="BX7" s="375" t="s">
        <v>220</v>
      </c>
      <c r="BY7" s="103" t="s">
        <v>278</v>
      </c>
      <c r="BZ7" s="103" t="s">
        <v>100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98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598</v>
      </c>
      <c r="U8" s="102">
        <v>3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0</v>
      </c>
      <c r="AB8" s="102">
        <v>8</v>
      </c>
      <c r="AC8" s="102" t="str">
        <f t="shared" ca="1" si="0"/>
        <v>ANO</v>
      </c>
      <c r="AG8" s="121" t="s">
        <v>596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3 OZ, 11 (3+8), +8 ±</v>
      </c>
      <c r="AY8" s="129" t="str">
        <f t="shared" ca="1" si="2"/>
        <v>145 OZ, 91 (38+53)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886</v>
      </c>
      <c r="BU8" s="103" t="s">
        <v>348</v>
      </c>
      <c r="BV8" s="104" t="str">
        <f t="shared" si="13"/>
        <v>Radovan Michajlovič</v>
      </c>
      <c r="BW8" s="112">
        <f t="shared" si="14"/>
        <v>6</v>
      </c>
      <c r="BX8" s="375"/>
      <c r="BY8" s="103" t="s">
        <v>214</v>
      </c>
      <c r="BZ8" s="103" t="s">
        <v>23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608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-3</v>
      </c>
      <c r="AC9" s="102" t="str">
        <f t="shared" ca="1" si="0"/>
        <v>NE</v>
      </c>
      <c r="AG9" s="121" t="s">
        <v>613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215</v>
      </c>
      <c r="BZ9" s="103" t="s">
        <v>104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604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-3</v>
      </c>
      <c r="AC10" s="102" t="str">
        <f t="shared" ca="1" si="0"/>
        <v>ANO</v>
      </c>
      <c r="AG10" s="121" t="s">
        <v>601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0 P</v>
      </c>
      <c r="AY10" s="129" t="str">
        <f t="shared" ca="1" si="2"/>
        <v>27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101</v>
      </c>
      <c r="CA10" s="115" t="s">
        <v>212</v>
      </c>
    </row>
    <row r="11" spans="1:79" ht="15" customHeight="1" thickTop="1" thickBot="1" x14ac:dyDescent="0.25">
      <c r="R11" s="13"/>
      <c r="S11" s="110" t="s">
        <v>499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-2</v>
      </c>
      <c r="AC11" s="102" t="str">
        <f t="shared" ca="1" si="0"/>
        <v>NE</v>
      </c>
      <c r="AG11" s="121" t="s">
        <v>614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287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5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882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NE</v>
      </c>
      <c r="AG12" s="121" t="s">
        <v>615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638</v>
      </c>
      <c r="BU12" s="103">
        <v>9</v>
      </c>
      <c r="BV12" s="104" t="str">
        <f t="shared" si="13"/>
        <v>Karel Petrák</v>
      </c>
      <c r="BW12" s="102">
        <f t="shared" si="14"/>
        <v>9</v>
      </c>
      <c r="BX12" s="120" t="s">
        <v>218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881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287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639</v>
      </c>
      <c r="BU13" s="103">
        <v>6</v>
      </c>
      <c r="BV13" s="104" t="str">
        <f t="shared" si="13"/>
        <v>Jakub Buršík</v>
      </c>
      <c r="BW13" s="102">
        <f t="shared" si="14"/>
        <v>6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602</v>
      </c>
      <c r="T14" s="102" t="s">
        <v>64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604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3 OZ, 1 (0+1), -3 ±</v>
      </c>
      <c r="AY14" s="129" t="str">
        <f t="shared" ca="1" si="2"/>
        <v>23 OZ, 3 (2+1)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992</v>
      </c>
      <c r="BU14" s="103">
        <v>3</v>
      </c>
      <c r="BV14" s="104" t="str">
        <f t="shared" si="13"/>
        <v>Filip Forman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733</v>
      </c>
      <c r="T15" s="102" t="s">
        <v>64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616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993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609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617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994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610</v>
      </c>
      <c r="T17" s="102" t="s">
        <v>64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-5</v>
      </c>
      <c r="AC17" s="102" t="str">
        <f t="shared" ca="1" si="0"/>
        <v>ANO</v>
      </c>
      <c r="AG17" s="121" t="s">
        <v>610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3 OZ, 0 (0+0), -5 ±</v>
      </c>
      <c r="AY17" s="129" t="str">
        <f t="shared" ca="1" si="2"/>
        <v>181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640</v>
      </c>
      <c r="BU17" s="103">
        <v>2</v>
      </c>
      <c r="BV17" s="104" t="str">
        <f t="shared" si="13"/>
        <v>Radovan Michajlovič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603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597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3 OZ, 4 (3+1), +8 ±</v>
      </c>
      <c r="AY18" s="129" t="str">
        <f t="shared" ca="1" si="2"/>
        <v>29 OZ, 35 (16+19)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641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BOH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605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NE</v>
      </c>
      <c r="AG19" s="121" t="s">
        <v>603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626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2 V, 0 P</v>
      </c>
      <c r="AY19" s="129" t="str">
        <f t="shared" ca="1" si="2"/>
        <v>197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606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ANO</v>
      </c>
      <c r="AG20" s="121" t="s">
        <v>618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627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607</v>
      </c>
      <c r="T21" s="102" t="s">
        <v>64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414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331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601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427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643</v>
      </c>
      <c r="BU22" s="103">
        <v>8</v>
      </c>
      <c r="BV22" s="104" t="str">
        <f t="shared" si="13"/>
        <v>Filip Forman</v>
      </c>
      <c r="BW22" s="102">
        <f t="shared" si="14"/>
        <v>8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599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628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3 OZ, 2 (2+0), -1 ±</v>
      </c>
      <c r="AY23" s="129" t="str">
        <f t="shared" ca="1" si="2"/>
        <v>213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639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619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333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887</v>
      </c>
      <c r="BU24" s="103">
        <v>3</v>
      </c>
      <c r="BV24" s="104" t="str">
        <f t="shared" si="13"/>
        <v>Karel Petrák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598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3 OZ, 2 (0+2), +8 ±</v>
      </c>
      <c r="AY25" s="129" t="str">
        <f t="shared" ca="1" si="16"/>
        <v>98 OZ, 96 (47+49)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888</v>
      </c>
      <c r="BU25" s="103">
        <v>2</v>
      </c>
      <c r="BV25" s="104" t="str">
        <f t="shared" si="13"/>
        <v>Patrik Šebek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620</v>
      </c>
      <c r="AH26" s="122"/>
      <c r="AI26" s="123"/>
      <c r="AJ26" s="123"/>
      <c r="AK26" s="123"/>
      <c r="AL26" s="124">
        <f>IF(AG26&lt;&gt;"",AJ26+AK26,"")</f>
        <v>0</v>
      </c>
      <c r="AM26" s="123" t="s">
        <v>319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642</v>
      </c>
      <c r="BU26" s="103">
        <v>1</v>
      </c>
      <c r="BV26" s="104" t="str">
        <f t="shared" si="13"/>
        <v>Jan Malič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621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629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995</v>
      </c>
      <c r="BU27" s="103">
        <v>2</v>
      </c>
      <c r="BV27" s="104" t="str">
        <f t="shared" si="13"/>
        <v>Jan Malič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622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996</v>
      </c>
      <c r="BU28" s="103">
        <v>2</v>
      </c>
      <c r="BV28" s="104" t="str">
        <f t="shared" si="13"/>
        <v>Karel Petrák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623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997</v>
      </c>
      <c r="BU29" s="103">
        <v>2</v>
      </c>
      <c r="BV29" s="104" t="str">
        <f t="shared" si="13"/>
        <v>Marek Ďopan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BOH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602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630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884</v>
      </c>
      <c r="BU30" s="103">
        <v>0</v>
      </c>
      <c r="BV30" s="104" t="str">
        <f t="shared" si="13"/>
        <v>Adam Růžek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998</v>
      </c>
      <c r="BU31" s="103">
        <v>0</v>
      </c>
      <c r="BV31" s="104" t="str">
        <f t="shared" si="13"/>
        <v>Drahoslav Pastor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601</v>
      </c>
      <c r="T45" s="102">
        <v>1</v>
      </c>
      <c r="U45" s="112">
        <v>60</v>
      </c>
      <c r="V45" s="102">
        <v>1</v>
      </c>
      <c r="W45" s="102">
        <v>4</v>
      </c>
      <c r="X45" s="102">
        <v>0</v>
      </c>
      <c r="Y45" s="102">
        <v>22</v>
      </c>
      <c r="Z45" s="102">
        <v>0</v>
      </c>
      <c r="AA45" s="102">
        <v>0</v>
      </c>
      <c r="AB45" s="102">
        <v>18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81.818181818181827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603</v>
      </c>
      <c r="T46" s="102">
        <v>2</v>
      </c>
      <c r="U46" s="112">
        <v>120</v>
      </c>
      <c r="V46" s="102">
        <v>2</v>
      </c>
      <c r="W46" s="102">
        <v>12</v>
      </c>
      <c r="X46" s="102">
        <v>0</v>
      </c>
      <c r="Y46" s="102">
        <v>51</v>
      </c>
      <c r="Z46" s="102">
        <v>0</v>
      </c>
      <c r="AA46" s="102">
        <v>0</v>
      </c>
      <c r="AB46" s="102">
        <v>39</v>
      </c>
      <c r="AC46" s="102">
        <v>0</v>
      </c>
      <c r="AD46" s="102">
        <v>0</v>
      </c>
      <c r="AE46" s="112">
        <f t="shared" ref="AE46:AE50" si="23">IF(S46&lt;&gt;"",IF(T46&gt;0,W46/(U46/60),0),"")</f>
        <v>6</v>
      </c>
      <c r="AF46" s="112">
        <f t="shared" ref="AF46:AF50" si="24">IF(S46&lt;&gt;"",IF(Y46&gt;0,(AB46/Y46)*100,"-"),"")</f>
        <v>76.470588235294116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41" sqref="AG4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706</v>
      </c>
      <c r="T2" s="102" t="s">
        <v>121</v>
      </c>
      <c r="U2" s="102">
        <v>3</v>
      </c>
      <c r="V2" s="102">
        <v>3</v>
      </c>
      <c r="W2" s="102">
        <v>0</v>
      </c>
      <c r="X2" s="102">
        <v>1</v>
      </c>
      <c r="Y2" s="102">
        <v>1</v>
      </c>
      <c r="Z2" s="102">
        <v>4</v>
      </c>
      <c r="AA2" s="102">
        <v>6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718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755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76" t="s">
        <v>36</v>
      </c>
      <c r="BT2" s="104" t="s">
        <v>759</v>
      </c>
      <c r="BU2" s="103">
        <v>4</v>
      </c>
      <c r="BV2" s="104" t="str">
        <f>IFERROR(RIGHT(BT2,LEN(BT2)-SEARCH(" ",BT2)),"")</f>
        <v>Radek Krajcigr</v>
      </c>
      <c r="BW2" s="102">
        <f>IF(BT2&lt;&gt;0,_xlfn.NUMBERVALUE(BU2,","),"")</f>
        <v>4</v>
      </c>
      <c r="BX2" s="375" t="s">
        <v>219</v>
      </c>
      <c r="BY2" s="103" t="s">
        <v>966</v>
      </c>
      <c r="BZ2" s="103" t="s">
        <v>96</v>
      </c>
      <c r="CA2" s="115" t="s">
        <v>999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708</v>
      </c>
      <c r="T3" s="102" t="s">
        <v>121</v>
      </c>
      <c r="U3" s="102">
        <v>3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-1</v>
      </c>
      <c r="AC3" s="102" t="str">
        <f t="shared" ca="1" si="0"/>
        <v>ANO</v>
      </c>
      <c r="AG3" s="121" t="s">
        <v>723</v>
      </c>
      <c r="AH3" s="122"/>
      <c r="AI3" s="123">
        <v>5</v>
      </c>
      <c r="AJ3" s="123">
        <v>1</v>
      </c>
      <c r="AK3" s="123">
        <v>0</v>
      </c>
      <c r="AL3" s="124">
        <f>IF(AG3&lt;&gt;"",AJ3+AK3,"")</f>
        <v>1</v>
      </c>
      <c r="AM3" s="123">
        <v>2</v>
      </c>
      <c r="AN3" s="123">
        <v>30</v>
      </c>
      <c r="AO3" s="125"/>
      <c r="AP3" s="125" t="s">
        <v>151</v>
      </c>
      <c r="AQ3" s="123">
        <v>192</v>
      </c>
      <c r="AR3" s="123">
        <v>87</v>
      </c>
      <c r="AS3" s="126" t="s">
        <v>678</v>
      </c>
      <c r="AT3" s="123">
        <v>2010</v>
      </c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192/87</v>
      </c>
      <c r="AW3" s="128" t="str">
        <f ca="1">IF(AG3&lt;&gt;"",IF(BE3=1,BD3,IF(BH3=1,BG3,IF(BJ3=1,BI3,IF(BL3=1,BK3,BM3)))),"")</f>
        <v>Černý</v>
      </c>
      <c r="AX3" s="129" t="str">
        <f t="shared" ca="1" si="1"/>
        <v>0 OZ, 0 (0+0)</v>
      </c>
      <c r="AY3" s="129" t="str">
        <f t="shared" ca="1" si="2"/>
        <v>5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756</v>
      </c>
      <c r="BO3" s="122">
        <v>30597</v>
      </c>
      <c r="BP3" s="131" t="s">
        <v>265</v>
      </c>
      <c r="BQ3" s="132"/>
      <c r="BR3" s="127">
        <f t="shared" ref="BR3:BR11" ca="1" si="12">IF(BN3&lt;&gt;"",IF(BO3&lt;&gt;"",INT((TODAY()-BO3)/365),"?"),"")</f>
        <v>37</v>
      </c>
      <c r="BS3" s="376"/>
      <c r="BT3" s="104" t="s">
        <v>1001</v>
      </c>
      <c r="BU3" s="103">
        <v>4</v>
      </c>
      <c r="BV3" s="104" t="str">
        <f t="shared" ref="BV3:BV31" si="13">IFERROR(RIGHT(BT3,LEN(BT3)-SEARCH(" ",BT3)),"")</f>
        <v>Jaromír Ekl</v>
      </c>
      <c r="BW3" s="102">
        <f t="shared" ref="BW3:BW31" si="14">IF(BT3&lt;&gt;0,_xlfn.NUMBERVALUE(BU3,","),"")</f>
        <v>4</v>
      </c>
      <c r="BX3" s="375"/>
      <c r="BY3" s="103" t="s">
        <v>211</v>
      </c>
      <c r="BZ3" s="103" t="s">
        <v>94</v>
      </c>
      <c r="CA3" s="115" t="s">
        <v>889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441</v>
      </c>
      <c r="T4" s="102" t="s">
        <v>64</v>
      </c>
      <c r="U4" s="102">
        <v>3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6</v>
      </c>
      <c r="AB4" s="102">
        <v>1</v>
      </c>
      <c r="AC4" s="102" t="str">
        <f t="shared" ca="1" si="0"/>
        <v>ANO</v>
      </c>
      <c r="AG4" s="121" t="s">
        <v>724</v>
      </c>
      <c r="AH4" s="122">
        <v>37267</v>
      </c>
      <c r="AI4" s="123">
        <v>2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94</v>
      </c>
      <c r="AO4" s="125"/>
      <c r="AP4" s="125" t="s">
        <v>248</v>
      </c>
      <c r="AQ4" s="123">
        <v>186</v>
      </c>
      <c r="AR4" s="123">
        <v>94</v>
      </c>
      <c r="AS4" s="126" t="s">
        <v>743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186/94</v>
      </c>
      <c r="AW4" s="128" t="str">
        <f ca="1">IF(AG4&lt;&gt;"",IF(BE4=1,BD4,IF(BH4=1,BG4,IF(BJ4=1,BI4,IF(BL4=1,BK4,BM4)))),"")</f>
        <v>Dittrich</v>
      </c>
      <c r="AX4" s="129" t="str">
        <f t="shared" ca="1" si="1"/>
        <v>0 OZ, 0 (0+0)</v>
      </c>
      <c r="AY4" s="129" t="str">
        <f t="shared" ca="1" si="2"/>
        <v>2 OZ, 0 (0+0)</v>
      </c>
      <c r="AZ4" s="130"/>
      <c r="BA4" s="130"/>
      <c r="BB4" s="130"/>
      <c r="BC4" s="130"/>
      <c r="BD4" s="3" t="str">
        <f t="shared" si="3"/>
        <v>Dittrich</v>
      </c>
      <c r="BE4" s="84">
        <f t="shared" ca="1" si="4"/>
        <v>1</v>
      </c>
      <c r="BF4" s="62" t="str">
        <f t="shared" si="5"/>
        <v>T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757</v>
      </c>
      <c r="BO4" s="122">
        <v>31784</v>
      </c>
      <c r="BP4" s="131" t="s">
        <v>194</v>
      </c>
      <c r="BQ4" s="132"/>
      <c r="BR4" s="127">
        <f t="shared" ca="1" si="12"/>
        <v>34</v>
      </c>
      <c r="BS4" s="376"/>
      <c r="BT4" s="104" t="s">
        <v>1002</v>
      </c>
      <c r="BU4" s="103">
        <v>4</v>
      </c>
      <c r="BV4" s="104" t="str">
        <f t="shared" si="13"/>
        <v>Milan Tichý</v>
      </c>
      <c r="BW4" s="102">
        <f t="shared" si="14"/>
        <v>4</v>
      </c>
      <c r="BX4" s="375"/>
      <c r="BY4" s="103" t="s">
        <v>276</v>
      </c>
      <c r="BZ4" s="103" t="s">
        <v>98</v>
      </c>
      <c r="CA4" s="115" t="s">
        <v>768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707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1</v>
      </c>
      <c r="AC5" s="102" t="str">
        <f t="shared" ca="1" si="0"/>
        <v>ANO</v>
      </c>
      <c r="AG5" s="121" t="s">
        <v>725</v>
      </c>
      <c r="AH5" s="122">
        <v>35187</v>
      </c>
      <c r="AI5" s="123">
        <v>62</v>
      </c>
      <c r="AJ5" s="123">
        <v>0</v>
      </c>
      <c r="AK5" s="123">
        <v>2</v>
      </c>
      <c r="AL5" s="124">
        <f>IF(AG5&lt;&gt;"",AJ5+AK5,"")</f>
        <v>2</v>
      </c>
      <c r="AM5" s="123">
        <v>6</v>
      </c>
      <c r="AN5" s="123">
        <v>1</v>
      </c>
      <c r="AO5" s="125"/>
      <c r="AP5" s="125" t="s">
        <v>248</v>
      </c>
      <c r="AQ5" s="123">
        <v>191</v>
      </c>
      <c r="AR5" s="123">
        <v>84</v>
      </c>
      <c r="AS5" s="126" t="s">
        <v>744</v>
      </c>
      <c r="AT5" s="123">
        <v>2002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191/84</v>
      </c>
      <c r="AW5" s="128" t="str">
        <f ca="1">IF(AG5&lt;&gt;"",IF(BE5=1,BD5,IF(BH5=1,BG5,IF(BJ5=1,BI5,IF(BL5=1,BK5,BM5)))),"")</f>
        <v>Dvořák</v>
      </c>
      <c r="AX5" s="129" t="str">
        <f t="shared" ca="1" si="1"/>
        <v>0 OZ, 0 (0+0)</v>
      </c>
      <c r="AY5" s="129" t="str">
        <f t="shared" ca="1" si="2"/>
        <v>62 OZ, 2 (0+2)</v>
      </c>
      <c r="AZ5" s="130"/>
      <c r="BA5" s="130"/>
      <c r="BB5" s="130"/>
      <c r="BC5" s="130"/>
      <c r="BD5" s="89" t="str">
        <f t="shared" si="3"/>
        <v>Dvořák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758</v>
      </c>
      <c r="BO5" s="122">
        <v>29101</v>
      </c>
      <c r="BP5" s="131" t="s">
        <v>194</v>
      </c>
      <c r="BQ5" s="132"/>
      <c r="BR5" s="127">
        <f t="shared" ca="1" si="12"/>
        <v>42</v>
      </c>
      <c r="BS5" s="376"/>
      <c r="BT5" s="104" t="s">
        <v>760</v>
      </c>
      <c r="BU5" s="103">
        <v>3</v>
      </c>
      <c r="BV5" s="104" t="str">
        <f t="shared" si="13"/>
        <v>Ondřej Kopič</v>
      </c>
      <c r="BW5" s="102">
        <f t="shared" si="14"/>
        <v>3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710</v>
      </c>
      <c r="T6" s="102" t="s">
        <v>64</v>
      </c>
      <c r="U6" s="102">
        <v>2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0</v>
      </c>
      <c r="AB6" s="102">
        <v>1</v>
      </c>
      <c r="AC6" s="102" t="str">
        <f t="shared" ca="1" si="0"/>
        <v>ANO</v>
      </c>
      <c r="AG6" s="121" t="s">
        <v>709</v>
      </c>
      <c r="AH6" s="122">
        <v>31655</v>
      </c>
      <c r="AI6" s="123">
        <v>103</v>
      </c>
      <c r="AJ6" s="123">
        <v>31</v>
      </c>
      <c r="AK6" s="123">
        <v>19</v>
      </c>
      <c r="AL6" s="124">
        <f>IF(AG6&lt;&gt;"",AJ6+AK6,"")</f>
        <v>50</v>
      </c>
      <c r="AM6" s="123">
        <v>5</v>
      </c>
      <c r="AN6" s="123">
        <v>9</v>
      </c>
      <c r="AO6" s="125"/>
      <c r="AP6" s="125" t="s">
        <v>151</v>
      </c>
      <c r="AQ6" s="123">
        <v>182</v>
      </c>
      <c r="AR6" s="123">
        <v>79</v>
      </c>
      <c r="AS6" s="126" t="s">
        <v>745</v>
      </c>
      <c r="AT6" s="123">
        <v>2005</v>
      </c>
      <c r="AU6" s="127">
        <f ca="1">IF(AG6&lt;&gt;"",IF(AH6&lt;&gt;"",INT((TODAY()-AH6)/365),"?"),"")</f>
        <v>35</v>
      </c>
      <c r="AV6" s="127" t="str">
        <f>IF(AG6&lt;&gt;"",CONCATENATE(IF(AQ6&lt;&gt;"",AQ6,"? "),"/",IF(AR6&lt;&gt;"",AR6," ?")),"")</f>
        <v>182/79</v>
      </c>
      <c r="AW6" s="128" t="str">
        <f ca="1">IF(AG6&lt;&gt;"",IF(BE6=1,BD6,IF(BH6=1,BG6,IF(BJ6=1,BI6,IF(BL6=1,BK6,BM6)))),"")</f>
        <v>Dzierža</v>
      </c>
      <c r="AX6" s="129" t="str">
        <f t="shared" ca="1" si="1"/>
        <v>3 OZ, 1 (1+0), -2 ±</v>
      </c>
      <c r="AY6" s="129" t="str">
        <f t="shared" ca="1" si="2"/>
        <v>106 OZ, 51 (32+19)</v>
      </c>
      <c r="AZ6" s="130"/>
      <c r="BA6" s="130"/>
      <c r="BB6" s="130"/>
      <c r="BC6" s="130"/>
      <c r="BD6" s="3" t="str">
        <f t="shared" si="3"/>
        <v>Dzierža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890</v>
      </c>
      <c r="BU6" s="103">
        <v>2</v>
      </c>
      <c r="BV6" s="104" t="str">
        <f t="shared" si="13"/>
        <v>Daniel Štěrba</v>
      </c>
      <c r="BW6" s="102">
        <f t="shared" si="14"/>
        <v>2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711</v>
      </c>
      <c r="T7" s="102" t="s">
        <v>121</v>
      </c>
      <c r="U7" s="102">
        <v>3</v>
      </c>
      <c r="V7" s="102">
        <v>0</v>
      </c>
      <c r="W7" s="102">
        <v>0</v>
      </c>
      <c r="X7" s="102">
        <v>0</v>
      </c>
      <c r="Y7" s="102">
        <v>2</v>
      </c>
      <c r="Z7" s="102">
        <v>2</v>
      </c>
      <c r="AA7" s="102">
        <v>0</v>
      </c>
      <c r="AB7" s="102">
        <v>0</v>
      </c>
      <c r="AC7" s="102" t="str">
        <f t="shared" ca="1" si="0"/>
        <v>ANO</v>
      </c>
      <c r="AG7" s="121" t="s">
        <v>708</v>
      </c>
      <c r="AH7" s="122">
        <v>32150</v>
      </c>
      <c r="AI7" s="123">
        <v>307</v>
      </c>
      <c r="AJ7" s="123">
        <v>176</v>
      </c>
      <c r="AK7" s="123">
        <v>117</v>
      </c>
      <c r="AL7" s="124">
        <f>IF(AG7&lt;&gt;"",AJ7+AK7,"")</f>
        <v>293</v>
      </c>
      <c r="AM7" s="123">
        <v>17</v>
      </c>
      <c r="AN7" s="123">
        <v>88</v>
      </c>
      <c r="AO7" s="125"/>
      <c r="AP7" s="125" t="s">
        <v>27</v>
      </c>
      <c r="AQ7" s="123">
        <v>200</v>
      </c>
      <c r="AR7" s="123">
        <v>99</v>
      </c>
      <c r="AS7" s="126" t="s">
        <v>746</v>
      </c>
      <c r="AT7" s="123">
        <v>2007</v>
      </c>
      <c r="AU7" s="127">
        <f ca="1">IF(AG7&lt;&gt;"",IF(AH7&lt;&gt;"",INT((TODAY()-AH7)/365),"?"),"")</f>
        <v>33</v>
      </c>
      <c r="AV7" s="127" t="str">
        <f>IF(AG7&lt;&gt;"",CONCATENATE(IF(AQ7&lt;&gt;"",AQ7,"? "),"/",IF(AR7&lt;&gt;"",AR7," ?")),"")</f>
        <v>200/99</v>
      </c>
      <c r="AW7" s="128" t="str">
        <f ca="1">IF(AG7&lt;&gt;"",IF(BE7=1,BD7,IF(BH7=1,BG7,IF(BJ7=1,BI7,IF(BL7=1,BK7,BM7)))),"")</f>
        <v>Ekl</v>
      </c>
      <c r="AX7" s="129" t="str">
        <f t="shared" ca="1" si="1"/>
        <v>3 OZ, 4 (2+2), -1 ±</v>
      </c>
      <c r="AY7" s="129" t="str">
        <f t="shared" ca="1" si="2"/>
        <v>310 OZ, 297 (178+119)</v>
      </c>
      <c r="AZ7" s="130"/>
      <c r="BA7" s="130"/>
      <c r="BB7" s="130"/>
      <c r="BC7" s="130"/>
      <c r="BD7" s="89" t="str">
        <f t="shared" si="3"/>
        <v>Ekl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1003</v>
      </c>
      <c r="BU7" s="103" t="s">
        <v>348</v>
      </c>
      <c r="BV7" s="104" t="str">
        <f t="shared" si="13"/>
        <v>Lukáš Chyna</v>
      </c>
      <c r="BW7" s="112">
        <f t="shared" si="14"/>
        <v>6</v>
      </c>
      <c r="BX7" s="375" t="s">
        <v>220</v>
      </c>
      <c r="BY7" s="103" t="s">
        <v>213</v>
      </c>
      <c r="BZ7" s="103" t="s">
        <v>99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102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716</v>
      </c>
      <c r="T8" s="102" t="s">
        <v>64</v>
      </c>
      <c r="U8" s="102">
        <v>2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-1</v>
      </c>
      <c r="AC8" s="102" t="str">
        <f t="shared" ca="1" si="0"/>
        <v>ANO</v>
      </c>
      <c r="AG8" s="121" t="s">
        <v>726</v>
      </c>
      <c r="AH8" s="122">
        <v>36672</v>
      </c>
      <c r="AI8" s="123">
        <v>2</v>
      </c>
      <c r="AJ8" s="123">
        <v>1</v>
      </c>
      <c r="AK8" s="123">
        <v>0</v>
      </c>
      <c r="AL8" s="124">
        <f>IF(AG8&lt;&gt;"",AJ8+AK8,"")</f>
        <v>1</v>
      </c>
      <c r="AM8" s="123">
        <v>2</v>
      </c>
      <c r="AN8" s="123"/>
      <c r="AO8" s="125"/>
      <c r="AP8" s="125" t="s">
        <v>151</v>
      </c>
      <c r="AQ8" s="123">
        <v>183</v>
      </c>
      <c r="AR8" s="123">
        <v>73</v>
      </c>
      <c r="AS8" s="126" t="s">
        <v>743</v>
      </c>
      <c r="AT8" s="123">
        <v>2008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183/73</v>
      </c>
      <c r="AW8" s="128" t="str">
        <f ca="1">IF(AG8&lt;&gt;"",IF(BE8=1,BD8,IF(BH8=1,BG8,IF(BJ8=1,BI8,IF(BL8=1,BK8,BM8)))),"")</f>
        <v>Fuchsig</v>
      </c>
      <c r="AX8" s="129" t="str">
        <f t="shared" ca="1" si="1"/>
        <v>0 OZ, 0 (0+0)</v>
      </c>
      <c r="AY8" s="129" t="str">
        <f t="shared" ca="1" si="2"/>
        <v>2 OZ, 1 (1+0)</v>
      </c>
      <c r="AZ8" s="130"/>
      <c r="BA8" s="130"/>
      <c r="BB8" s="130"/>
      <c r="BC8" s="130"/>
      <c r="BD8" s="3" t="str">
        <f t="shared" si="3"/>
        <v>Fuchsig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1004</v>
      </c>
      <c r="BU8" s="103" t="s">
        <v>891</v>
      </c>
      <c r="BV8" s="104" t="str">
        <f t="shared" si="13"/>
        <v>Ivan Ponomarev</v>
      </c>
      <c r="BW8" s="112">
        <f t="shared" si="14"/>
        <v>7.63</v>
      </c>
      <c r="BX8" s="375"/>
      <c r="BY8" s="103" t="s">
        <v>214</v>
      </c>
      <c r="BZ8" s="103" t="s">
        <v>103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709</v>
      </c>
      <c r="T9" s="102" t="s">
        <v>121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-2</v>
      </c>
      <c r="AC9" s="102" t="str">
        <f t="shared" ca="1" si="0"/>
        <v>ANO</v>
      </c>
      <c r="AG9" s="121" t="s">
        <v>720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Gawronski</v>
      </c>
      <c r="AX9" s="129" t="str">
        <f t="shared" ca="1" si="1"/>
        <v>3 OZ, 0 (0+0), -2 ±</v>
      </c>
      <c r="AY9" s="129" t="str">
        <f t="shared" ca="1" si="2"/>
        <v>3 OZ, 0 (0+0)</v>
      </c>
      <c r="AZ9" s="130"/>
      <c r="BA9" s="130"/>
      <c r="BB9" s="130"/>
      <c r="BC9" s="130"/>
      <c r="BD9" s="89" t="str">
        <f t="shared" si="3"/>
        <v>Gawronski</v>
      </c>
      <c r="BE9" s="91">
        <f t="shared" ca="1" si="4"/>
        <v>1</v>
      </c>
      <c r="BF9" s="90" t="str">
        <f t="shared" si="5"/>
        <v>N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1000</v>
      </c>
      <c r="BZ9" s="103" t="s">
        <v>105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714</v>
      </c>
      <c r="T10" s="102" t="s">
        <v>121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721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2 OZ, 0 (0+0), 0 ±</v>
      </c>
      <c r="AY10" s="129" t="str">
        <f t="shared" ca="1" si="2"/>
        <v>2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215</v>
      </c>
      <c r="BZ10" s="103" t="s">
        <v>5</v>
      </c>
      <c r="CA10" s="115" t="s">
        <v>212</v>
      </c>
    </row>
    <row r="11" spans="1:79" ht="15" customHeight="1" thickTop="1" thickBot="1" x14ac:dyDescent="0.25">
      <c r="R11" s="13"/>
      <c r="S11" s="110" t="s">
        <v>717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-1</v>
      </c>
      <c r="AC11" s="102" t="str">
        <f t="shared" ca="1" si="0"/>
        <v>ANO</v>
      </c>
      <c r="AG11" s="121" t="s">
        <v>727</v>
      </c>
      <c r="AH11" s="122">
        <v>35422</v>
      </c>
      <c r="AI11" s="123">
        <v>69</v>
      </c>
      <c r="AJ11" s="123">
        <v>16</v>
      </c>
      <c r="AK11" s="123">
        <v>20</v>
      </c>
      <c r="AL11" s="124">
        <f>IF(AG11&lt;&gt;"",AJ11+AK11,"")</f>
        <v>36</v>
      </c>
      <c r="AM11" s="123">
        <v>6</v>
      </c>
      <c r="AN11" s="123">
        <v>26</v>
      </c>
      <c r="AO11" s="125"/>
      <c r="AP11" s="125" t="s">
        <v>151</v>
      </c>
      <c r="AQ11" s="123">
        <v>185</v>
      </c>
      <c r="AR11" s="123">
        <v>76</v>
      </c>
      <c r="AS11" s="126" t="s">
        <v>453</v>
      </c>
      <c r="AT11" s="123">
        <v>2011</v>
      </c>
      <c r="AU11" s="127">
        <f ca="1">IF(AG11&lt;&gt;"",IF(AH11&lt;&gt;"",INT((TODAY()-AH11)/365),"?"),"")</f>
        <v>24</v>
      </c>
      <c r="AV11" s="127" t="str">
        <f>IF(AG11&lt;&gt;"",CONCATENATE(IF(AQ11&lt;&gt;"",AQ11,"? "),"/",IF(AR11&lt;&gt;"",AR11," ?")),"")</f>
        <v>185/76</v>
      </c>
      <c r="AW11" s="128" t="str">
        <f ca="1">IF(AG11&lt;&gt;"",IF(BE11=1,BD11,IF(BH11=1,BG11,IF(BJ11=1,BI11,IF(BL11=1,BK11,BM11)))),"")</f>
        <v>Hřebřina</v>
      </c>
      <c r="AX11" s="129" t="str">
        <f t="shared" ca="1" si="1"/>
        <v>0 OZ, 0 (0+0)</v>
      </c>
      <c r="AY11" s="129" t="str">
        <f t="shared" ca="1" si="2"/>
        <v>69 OZ, 36 (16+20)</v>
      </c>
      <c r="AZ11" s="130"/>
      <c r="BA11" s="130"/>
      <c r="BB11" s="130"/>
      <c r="BC11" s="130"/>
      <c r="BD11" s="89" t="str">
        <f t="shared" si="3"/>
        <v>Hřebřina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100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712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-2</v>
      </c>
      <c r="AC12" s="102" t="str">
        <f t="shared" ca="1" si="0"/>
        <v>ANO</v>
      </c>
      <c r="AG12" s="121" t="s">
        <v>722</v>
      </c>
      <c r="AH12" s="122">
        <v>35663</v>
      </c>
      <c r="AI12" s="123">
        <v>43</v>
      </c>
      <c r="AJ12" s="123">
        <v>0</v>
      </c>
      <c r="AK12" s="123">
        <v>0</v>
      </c>
      <c r="AL12" s="124">
        <f>IF(AG12&lt;&gt;"",AJ12+AK12,"")</f>
        <v>0</v>
      </c>
      <c r="AM12" s="123">
        <v>6</v>
      </c>
      <c r="AN12" s="123">
        <v>97</v>
      </c>
      <c r="AO12" s="125"/>
      <c r="AP12" s="125" t="s">
        <v>248</v>
      </c>
      <c r="AQ12" s="123">
        <v>181</v>
      </c>
      <c r="AR12" s="123">
        <v>79</v>
      </c>
      <c r="AS12" s="126" t="s">
        <v>453</v>
      </c>
      <c r="AT12" s="123" t="s">
        <v>248</v>
      </c>
      <c r="AU12" s="127">
        <f ca="1">IF(AG12&lt;&gt;"",IF(AH12&lt;&gt;"",INT((TODAY()-AH12)/365),"?"),"")</f>
        <v>24</v>
      </c>
      <c r="AV12" s="127" t="str">
        <f>IF(AG12&lt;&gt;"",CONCATENATE(IF(AQ12&lt;&gt;"",AQ12,"? "),"/",IF(AR12&lt;&gt;"",AR12," ?")),"")</f>
        <v>181/79</v>
      </c>
      <c r="AW12" s="128" t="str">
        <f ca="1">IF(AG12&lt;&gt;"",IF(BE12=1,BD12,IF(BH12=1,BG12,IF(BJ12=1,BI12,IF(BL12=1,BK12,BM12)))),"")</f>
        <v>Chyna</v>
      </c>
      <c r="AX12" s="129" t="str">
        <f t="shared" ca="1" si="1"/>
        <v>0 V, 1 P</v>
      </c>
      <c r="AY12" s="129" t="str">
        <f t="shared" ca="1" si="2"/>
        <v>44 OZ, 0 A</v>
      </c>
      <c r="AZ12" s="130"/>
      <c r="BA12" s="130"/>
      <c r="BB12" s="130"/>
      <c r="BC12" s="130"/>
      <c r="BD12" s="3" t="str">
        <f t="shared" si="3"/>
        <v>Chyna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759</v>
      </c>
      <c r="BU12" s="103">
        <v>3</v>
      </c>
      <c r="BV12" s="104" t="str">
        <f t="shared" si="13"/>
        <v>Radek Krajcigr</v>
      </c>
      <c r="BW12" s="102">
        <f t="shared" si="14"/>
        <v>3</v>
      </c>
      <c r="BX12" s="120" t="s">
        <v>218</v>
      </c>
      <c r="BY12" s="100" t="s">
        <v>968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719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-1</v>
      </c>
      <c r="AC13" s="102" t="str">
        <f t="shared" ca="1" si="0"/>
        <v>ANO</v>
      </c>
      <c r="AG13" s="121" t="s">
        <v>728</v>
      </c>
      <c r="AH13" s="122">
        <v>36686</v>
      </c>
      <c r="AI13" s="123">
        <v>25</v>
      </c>
      <c r="AJ13" s="123">
        <v>8</v>
      </c>
      <c r="AK13" s="123">
        <v>4</v>
      </c>
      <c r="AL13" s="124">
        <f>IF(AG13&lt;&gt;"",AJ13+AK13,"")</f>
        <v>12</v>
      </c>
      <c r="AM13" s="123">
        <v>3</v>
      </c>
      <c r="AN13" s="123">
        <v>8</v>
      </c>
      <c r="AO13" s="125"/>
      <c r="AP13" s="125" t="s">
        <v>151</v>
      </c>
      <c r="AQ13" s="123">
        <v>186</v>
      </c>
      <c r="AR13" s="123">
        <v>63</v>
      </c>
      <c r="AS13" s="126" t="s">
        <v>743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186/63</v>
      </c>
      <c r="AW13" s="128" t="str">
        <f ca="1">IF(AG13&lt;&gt;"",IF(BE13=1,BD13,IF(BH13=1,BG13,IF(BJ13=1,BI13,IF(BL13=1,BK13,BM13)))),"")</f>
        <v>Jireček</v>
      </c>
      <c r="AX13" s="129" t="str">
        <f t="shared" ca="1" si="1"/>
        <v>0 OZ, 0 (0+0)</v>
      </c>
      <c r="AY13" s="129" t="str">
        <f t="shared" ca="1" si="2"/>
        <v>25 OZ, 12 (8+4)</v>
      </c>
      <c r="AZ13" s="130"/>
      <c r="BA13" s="130"/>
      <c r="BB13" s="130"/>
      <c r="BC13" s="130"/>
      <c r="BD13" s="89" t="str">
        <f t="shared" si="3"/>
        <v>Jireček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1001</v>
      </c>
      <c r="BU13" s="103">
        <v>2</v>
      </c>
      <c r="BV13" s="104" t="str">
        <f t="shared" si="13"/>
        <v>Jaromír Ekl</v>
      </c>
      <c r="BW13" s="102">
        <f t="shared" si="14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732</v>
      </c>
      <c r="T14" s="102" t="s">
        <v>64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2</v>
      </c>
      <c r="AB14" s="102">
        <v>0</v>
      </c>
      <c r="AC14" s="102" t="str">
        <f t="shared" ca="1" si="0"/>
        <v>ANO</v>
      </c>
      <c r="AG14" s="121" t="s">
        <v>719</v>
      </c>
      <c r="AH14" s="122">
        <v>33522</v>
      </c>
      <c r="AI14" s="123">
        <v>103</v>
      </c>
      <c r="AJ14" s="123">
        <v>25</v>
      </c>
      <c r="AK14" s="123">
        <v>51</v>
      </c>
      <c r="AL14" s="124">
        <f>IF(AG14&lt;&gt;"",AJ14+AK14,"")</f>
        <v>76</v>
      </c>
      <c r="AM14" s="123">
        <v>6</v>
      </c>
      <c r="AN14" s="123">
        <v>55</v>
      </c>
      <c r="AO14" s="125"/>
      <c r="AP14" s="125" t="s">
        <v>151</v>
      </c>
      <c r="AQ14" s="123">
        <v>186</v>
      </c>
      <c r="AR14" s="123">
        <v>87</v>
      </c>
      <c r="AS14" s="126" t="s">
        <v>453</v>
      </c>
      <c r="AT14" s="123">
        <v>2006</v>
      </c>
      <c r="AU14" s="127">
        <f ca="1">IF(AG14&lt;&gt;"",IF(AH14&lt;&gt;"",INT((TODAY()-AH14)/365),"?"),"")</f>
        <v>29</v>
      </c>
      <c r="AV14" s="127" t="str">
        <f>IF(AG14&lt;&gt;"",CONCATENATE(IF(AQ14&lt;&gt;"",AQ14,"? "),"/",IF(AR14&lt;&gt;"",AR14," ?")),"")</f>
        <v>186/87</v>
      </c>
      <c r="AW14" s="128" t="str">
        <f ca="1">IF(AG14&lt;&gt;"",IF(BE14=1,BD14,IF(BH14=1,BG14,IF(BJ14=1,BI14,IF(BL14=1,BK14,BM14)))),"")</f>
        <v>Jirsa</v>
      </c>
      <c r="AX14" s="129" t="str">
        <f t="shared" ca="1" si="1"/>
        <v>3 OZ, 1 (0+1), -1 ±</v>
      </c>
      <c r="AY14" s="129" t="str">
        <f t="shared" ca="1" si="2"/>
        <v>106 OZ, 77 (25+52)</v>
      </c>
      <c r="AZ14" s="130"/>
      <c r="BA14" s="130"/>
      <c r="BB14" s="130"/>
      <c r="BC14" s="130"/>
      <c r="BD14" s="3" t="str">
        <f t="shared" si="3"/>
        <v>Jirsa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1002</v>
      </c>
      <c r="BU14" s="103">
        <v>2</v>
      </c>
      <c r="BV14" s="104" t="str">
        <f t="shared" si="13"/>
        <v>Milan Tichý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715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729</v>
      </c>
      <c r="AH15" s="122">
        <v>33176</v>
      </c>
      <c r="AI15" s="123">
        <v>283</v>
      </c>
      <c r="AJ15" s="123">
        <v>31</v>
      </c>
      <c r="AK15" s="123">
        <v>39</v>
      </c>
      <c r="AL15" s="124">
        <f>IF(AG15&lt;&gt;"",AJ15+AK15,"")</f>
        <v>70</v>
      </c>
      <c r="AM15" s="123">
        <v>14</v>
      </c>
      <c r="AN15" s="123">
        <v>23</v>
      </c>
      <c r="AO15" s="125" t="s">
        <v>168</v>
      </c>
      <c r="AP15" s="125" t="s">
        <v>151</v>
      </c>
      <c r="AQ15" s="123">
        <v>176</v>
      </c>
      <c r="AR15" s="123">
        <v>80</v>
      </c>
      <c r="AS15" s="126" t="s">
        <v>746</v>
      </c>
      <c r="AT15" s="123">
        <v>2007</v>
      </c>
      <c r="AU15" s="127">
        <f ca="1">IF(AG15&lt;&gt;"",IF(AH15&lt;&gt;"",INT((TODAY()-AH15)/365),"?"),"")</f>
        <v>30</v>
      </c>
      <c r="AV15" s="127" t="str">
        <f>IF(AG15&lt;&gt;"",CONCATENATE(IF(AQ15&lt;&gt;"",AQ15,"? "),"/",IF(AR15&lt;&gt;"",AR15," ?")),"")</f>
        <v>176/80</v>
      </c>
      <c r="AW15" s="128" t="str">
        <f ca="1">IF(AG15&lt;&gt;"",IF(BE15=1,BD15,IF(BH15=1,BG15,IF(BJ15=1,BI15,IF(BL15=1,BK15,BM15)))),"")</f>
        <v>Kadlec</v>
      </c>
      <c r="AX15" s="129" t="str">
        <f t="shared" ca="1" si="1"/>
        <v>0 OZ, 0 (0+0)</v>
      </c>
      <c r="AY15" s="129" t="str">
        <f t="shared" ca="1" si="2"/>
        <v>283 OZ, 70 (31+39)</v>
      </c>
      <c r="AZ15" s="130"/>
      <c r="BA15" s="130"/>
      <c r="BB15" s="130"/>
      <c r="BC15" s="130"/>
      <c r="BD15" s="89" t="str">
        <f t="shared" si="3"/>
        <v>Kadlec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760</v>
      </c>
      <c r="BU15" s="103">
        <v>2</v>
      </c>
      <c r="BV15" s="104" t="str">
        <f t="shared" si="13"/>
        <v>Ondřej Kopič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721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730</v>
      </c>
      <c r="AH16" s="122"/>
      <c r="AI16" s="123">
        <v>12</v>
      </c>
      <c r="AJ16" s="123">
        <v>0</v>
      </c>
      <c r="AK16" s="123">
        <v>1</v>
      </c>
      <c r="AL16" s="124">
        <f>IF(AG16&lt;&gt;"",AJ16+AK16,"")</f>
        <v>1</v>
      </c>
      <c r="AM16" s="123">
        <v>4</v>
      </c>
      <c r="AN16" s="123"/>
      <c r="AO16" s="125"/>
      <c r="AP16" s="125" t="s">
        <v>248</v>
      </c>
      <c r="AQ16" s="123"/>
      <c r="AR16" s="123"/>
      <c r="AS16" s="126" t="s">
        <v>678</v>
      </c>
      <c r="AT16" s="123">
        <v>2007</v>
      </c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Kalina</v>
      </c>
      <c r="AX16" s="129" t="str">
        <f t="shared" ca="1" si="1"/>
        <v>0 OZ, 0 (0+0)</v>
      </c>
      <c r="AY16" s="129" t="str">
        <f t="shared" ca="1" si="2"/>
        <v>12 OZ, 1 (0+1)</v>
      </c>
      <c r="AZ16" s="130"/>
      <c r="BA16" s="130"/>
      <c r="BB16" s="130"/>
      <c r="BC16" s="130"/>
      <c r="BD16" s="3" t="str">
        <f t="shared" si="3"/>
        <v>Kalina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1005</v>
      </c>
      <c r="BU16" s="103">
        <v>1</v>
      </c>
      <c r="BV16" s="104" t="str">
        <f t="shared" si="13"/>
        <v>Antonín Stárek</v>
      </c>
      <c r="BW16" s="102">
        <f t="shared" si="14"/>
        <v>1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713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711</v>
      </c>
      <c r="AH17" s="122">
        <v>33030</v>
      </c>
      <c r="AI17" s="123">
        <v>91</v>
      </c>
      <c r="AJ17" s="123">
        <v>8</v>
      </c>
      <c r="AK17" s="123">
        <v>18</v>
      </c>
      <c r="AL17" s="124">
        <f>IF(AG17&lt;&gt;"",AJ17+AK17,"")</f>
        <v>26</v>
      </c>
      <c r="AM17" s="123">
        <v>6</v>
      </c>
      <c r="AN17" s="123">
        <v>27</v>
      </c>
      <c r="AO17" s="125"/>
      <c r="AP17" s="125" t="s">
        <v>151</v>
      </c>
      <c r="AQ17" s="123">
        <v>186</v>
      </c>
      <c r="AR17" s="123">
        <v>86</v>
      </c>
      <c r="AS17" s="126" t="s">
        <v>453</v>
      </c>
      <c r="AT17" s="123">
        <v>2006</v>
      </c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186/86</v>
      </c>
      <c r="AW17" s="128" t="str">
        <f ca="1">IF(AG17&lt;&gt;"",IF(BE17=1,BD17,IF(BH17=1,BG17,IF(BJ17=1,BI17,IF(BL17=1,BK17,BM17)))),"")</f>
        <v>Karel</v>
      </c>
      <c r="AX17" s="129" t="str">
        <f t="shared" ca="1" si="1"/>
        <v>3 OZ, 2 (0+2), 0 ±</v>
      </c>
      <c r="AY17" s="129" t="str">
        <f t="shared" ca="1" si="2"/>
        <v>94 OZ, 28 (8+20)</v>
      </c>
      <c r="AZ17" s="130"/>
      <c r="BA17" s="130"/>
      <c r="BB17" s="130"/>
      <c r="BC17" s="130"/>
      <c r="BD17" s="89" t="str">
        <f t="shared" si="3"/>
        <v>Karel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761</v>
      </c>
      <c r="BU17" s="103">
        <v>0</v>
      </c>
      <c r="BV17" s="104" t="str">
        <f t="shared" si="13"/>
        <v>Ivan Ponomarev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722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707</v>
      </c>
      <c r="AH18" s="122">
        <v>37951</v>
      </c>
      <c r="AI18" s="123">
        <v>24</v>
      </c>
      <c r="AJ18" s="123">
        <v>14</v>
      </c>
      <c r="AK18" s="123">
        <v>7</v>
      </c>
      <c r="AL18" s="124">
        <f>IF(AG18&lt;&gt;"",AJ18+AK18,"")</f>
        <v>21</v>
      </c>
      <c r="AM18" s="123">
        <v>2</v>
      </c>
      <c r="AN18" s="123">
        <v>29</v>
      </c>
      <c r="AO18" s="125"/>
      <c r="AP18" s="125" t="s">
        <v>151</v>
      </c>
      <c r="AQ18" s="123">
        <v>175</v>
      </c>
      <c r="AR18" s="123">
        <v>70</v>
      </c>
      <c r="AS18" s="126" t="s">
        <v>453</v>
      </c>
      <c r="AT18" s="123" t="s">
        <v>248</v>
      </c>
      <c r="AU18" s="127">
        <f ca="1">IF(AG18&lt;&gt;"",IF(AH18&lt;&gt;"",INT((TODAY()-AH18)/365),"?"),"")</f>
        <v>17</v>
      </c>
      <c r="AV18" s="127" t="str">
        <f>IF(AG18&lt;&gt;"",CONCATENATE(IF(AQ18&lt;&gt;"",AQ18,"? "),"/",IF(AR18&lt;&gt;"",AR18," ?")),"")</f>
        <v>175/70</v>
      </c>
      <c r="AW18" s="128" t="str">
        <f ca="1">IF(AG18&lt;&gt;"",IF(BE18=1,BD18,IF(BH18=1,BG18,IF(BJ18=1,BI18,IF(BL18=1,BK18,BM18)))),"")</f>
        <v>Kopič</v>
      </c>
      <c r="AX18" s="129" t="str">
        <f t="shared" ca="1" si="1"/>
        <v>3 OZ, 3 (2+1), +1 ±</v>
      </c>
      <c r="AY18" s="129" t="str">
        <f t="shared" ca="1" si="2"/>
        <v>27 OZ, 24 (16+8)</v>
      </c>
      <c r="AZ18" s="130"/>
      <c r="BA18" s="130"/>
      <c r="BB18" s="130"/>
      <c r="BC18" s="130"/>
      <c r="BD18" s="3" t="str">
        <f t="shared" si="3"/>
        <v>Kopič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762</v>
      </c>
      <c r="BU18" s="103">
        <v>0</v>
      </c>
      <c r="BV18" s="104" t="str">
        <f t="shared" si="13"/>
        <v>Lukáš Chyna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CLP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720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715</v>
      </c>
      <c r="AH19" s="122">
        <v>37944</v>
      </c>
      <c r="AI19" s="123">
        <v>8</v>
      </c>
      <c r="AJ19" s="123">
        <v>0</v>
      </c>
      <c r="AK19" s="123">
        <v>0</v>
      </c>
      <c r="AL19" s="124">
        <f>IF(AG19&lt;&gt;"",AJ19+AK19,"")</f>
        <v>0</v>
      </c>
      <c r="AM19" s="123">
        <v>2</v>
      </c>
      <c r="AN19" s="123">
        <v>19</v>
      </c>
      <c r="AO19" s="125"/>
      <c r="AP19" s="125" t="s">
        <v>151</v>
      </c>
      <c r="AQ19" s="123">
        <v>170</v>
      </c>
      <c r="AR19" s="123">
        <v>62</v>
      </c>
      <c r="AS19" s="126" t="s">
        <v>453</v>
      </c>
      <c r="AT19" s="123" t="s">
        <v>248</v>
      </c>
      <c r="AU19" s="127">
        <f ca="1">IF(AG19&lt;&gt;"",IF(AH19&lt;&gt;"",INT((TODAY()-AH19)/365),"?"),"")</f>
        <v>17</v>
      </c>
      <c r="AV19" s="127" t="str">
        <f>IF(AG19&lt;&gt;"",CONCATENATE(IF(AQ19&lt;&gt;"",AQ19,"? "),"/",IF(AR19&lt;&gt;"",AR19," ?")),"")</f>
        <v>170/62</v>
      </c>
      <c r="AW19" s="128" t="str">
        <f ca="1">IF(AG19&lt;&gt;"",IF(BE19=1,BD19,IF(BH19=1,BG19,IF(BJ19=1,BI19,IF(BL19=1,BK19,BM19)))),"")</f>
        <v>Kouba</v>
      </c>
      <c r="AX19" s="129" t="str">
        <f t="shared" ca="1" si="1"/>
        <v>2 OZ, 0 (0+0), 0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Kouba</v>
      </c>
      <c r="BE19" s="91">
        <f t="shared" ca="1" si="4"/>
        <v>1</v>
      </c>
      <c r="BF19" s="90" t="str">
        <f t="shared" si="5"/>
        <v>A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455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0</v>
      </c>
      <c r="AC20" s="102" t="str">
        <f t="shared" ca="1" si="0"/>
        <v>ANO</v>
      </c>
      <c r="AG20" s="121" t="s">
        <v>706</v>
      </c>
      <c r="AH20" s="122">
        <v>33970</v>
      </c>
      <c r="AI20" s="123">
        <v>194</v>
      </c>
      <c r="AJ20" s="123">
        <v>234</v>
      </c>
      <c r="AK20" s="123">
        <v>93</v>
      </c>
      <c r="AL20" s="124">
        <f>IF(AG20&lt;&gt;"",AJ20+AK20,"")</f>
        <v>327</v>
      </c>
      <c r="AM20" s="123">
        <v>10</v>
      </c>
      <c r="AN20" s="123">
        <v>77</v>
      </c>
      <c r="AO20" s="125"/>
      <c r="AP20" s="125" t="s">
        <v>151</v>
      </c>
      <c r="AQ20" s="123">
        <v>186</v>
      </c>
      <c r="AR20" s="123">
        <v>82</v>
      </c>
      <c r="AS20" s="126" t="s">
        <v>747</v>
      </c>
      <c r="AT20" s="123" t="s">
        <v>248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186/82</v>
      </c>
      <c r="AW20" s="128" t="str">
        <f ca="1">IF(AG20&lt;&gt;"",IF(BE20=1,BD20,IF(BH20=1,BG20,IF(BJ20=1,BI20,IF(BL20=1,BK20,BM20)))),"")</f>
        <v>Krajcigr</v>
      </c>
      <c r="AX20" s="129" t="str">
        <f t="shared" ca="1" si="1"/>
        <v>3 OZ, 4 (3+1), +1 ±</v>
      </c>
      <c r="AY20" s="129" t="str">
        <f t="shared" ca="1" si="2"/>
        <v>197 OZ, 331 (237+94)</v>
      </c>
      <c r="AZ20" s="130"/>
      <c r="BA20" s="130"/>
      <c r="BB20" s="130"/>
      <c r="BC20" s="130"/>
      <c r="BD20" s="3" t="str">
        <f t="shared" si="3"/>
        <v>Krajcigr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718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717</v>
      </c>
      <c r="AH21" s="122">
        <v>31959</v>
      </c>
      <c r="AI21" s="123">
        <v>83</v>
      </c>
      <c r="AJ21" s="123">
        <v>12</v>
      </c>
      <c r="AK21" s="123">
        <v>8</v>
      </c>
      <c r="AL21" s="124">
        <f>IF(AG21&lt;&gt;"",AJ21+AK21,"")</f>
        <v>20</v>
      </c>
      <c r="AM21" s="123">
        <v>6</v>
      </c>
      <c r="AN21" s="123">
        <v>12</v>
      </c>
      <c r="AO21" s="125"/>
      <c r="AP21" s="125" t="s">
        <v>151</v>
      </c>
      <c r="AQ21" s="123">
        <v>185</v>
      </c>
      <c r="AR21" s="123">
        <v>85</v>
      </c>
      <c r="AS21" s="126" t="s">
        <v>748</v>
      </c>
      <c r="AT21" s="123">
        <v>1999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185/85</v>
      </c>
      <c r="AW21" s="128" t="str">
        <f ca="1">IF(AG21&lt;&gt;"",IF(BE21=1,BD21,IF(BH21=1,BG21,IF(BJ21=1,BI21,IF(BL21=1,BK21,BM21)))),"")</f>
        <v>Mlejnek</v>
      </c>
      <c r="AX21" s="129" t="str">
        <f t="shared" ca="1" si="1"/>
        <v>3 OZ, 1 (1+0), -1 ±</v>
      </c>
      <c r="AY21" s="129" t="str">
        <f t="shared" ca="1" si="2"/>
        <v>86 OZ, 21 (13+8)</v>
      </c>
      <c r="AZ21" s="130"/>
      <c r="BA21" s="130"/>
      <c r="BB21" s="130"/>
      <c r="BC21" s="130"/>
      <c r="BD21" s="89" t="str">
        <f t="shared" si="3"/>
        <v>Mlejnek</v>
      </c>
      <c r="BE21" s="91">
        <f t="shared" ca="1" si="4"/>
        <v>1</v>
      </c>
      <c r="BF21" s="90" t="str">
        <f t="shared" si="5"/>
        <v>L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731</v>
      </c>
      <c r="AH22" s="122">
        <v>35293</v>
      </c>
      <c r="AI22" s="123">
        <v>3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/>
      <c r="AO22" s="125"/>
      <c r="AP22" s="125" t="s">
        <v>27</v>
      </c>
      <c r="AQ22" s="123">
        <v>186</v>
      </c>
      <c r="AR22" s="123">
        <v>96</v>
      </c>
      <c r="AS22" s="126" t="s">
        <v>749</v>
      </c>
      <c r="AT22" s="123">
        <v>2010</v>
      </c>
      <c r="AU22" s="127">
        <f ca="1">IF(AG22&lt;&gt;"",IF(AH22&lt;&gt;"",INT((TODAY()-AH22)/365),"?"),"")</f>
        <v>25</v>
      </c>
      <c r="AV22" s="127" t="str">
        <f>IF(AG22&lt;&gt;"",CONCATENATE(IF(AQ22&lt;&gt;"",AQ22,"? "),"/",IF(AR22&lt;&gt;"",AR22," ?")),"")</f>
        <v>186/96</v>
      </c>
      <c r="AW22" s="128" t="str">
        <f ca="1">IF(AG22&lt;&gt;"",IF(BE22=1,BD22,IF(BH22=1,BG22,IF(BJ22=1,BI22,IF(BL22=1,BK22,BM22)))),"")</f>
        <v>Nicklas</v>
      </c>
      <c r="AX22" s="129" t="str">
        <f t="shared" ca="1" si="1"/>
        <v>0 OZ, 0 (0+0)</v>
      </c>
      <c r="AY22" s="129" t="str">
        <f t="shared" ca="1" si="2"/>
        <v>3 OZ, 1 (1+0)</v>
      </c>
      <c r="AZ22" s="130"/>
      <c r="BA22" s="130"/>
      <c r="BB22" s="130"/>
      <c r="BC22" s="130"/>
      <c r="BD22" s="3" t="str">
        <f t="shared" si="3"/>
        <v>Nicklas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763</v>
      </c>
      <c r="BU22" s="103">
        <v>2</v>
      </c>
      <c r="BV22" s="104" t="str">
        <f t="shared" si="13"/>
        <v>Daniel Štěrba</v>
      </c>
      <c r="BW22" s="102">
        <f t="shared" si="14"/>
        <v>2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732</v>
      </c>
      <c r="AH23" s="122">
        <v>34046</v>
      </c>
      <c r="AI23" s="123">
        <v>192</v>
      </c>
      <c r="AJ23" s="123">
        <v>33</v>
      </c>
      <c r="AK23" s="123">
        <v>38</v>
      </c>
      <c r="AL23" s="124">
        <f>IF(AG23&lt;&gt;"",AJ23+AK23,"")</f>
        <v>71</v>
      </c>
      <c r="AM23" s="123">
        <v>12</v>
      </c>
      <c r="AN23" s="123">
        <v>7</v>
      </c>
      <c r="AO23" s="125"/>
      <c r="AP23" s="125" t="s">
        <v>151</v>
      </c>
      <c r="AQ23" s="123">
        <v>178</v>
      </c>
      <c r="AR23" s="123">
        <v>75</v>
      </c>
      <c r="AS23" s="126" t="s">
        <v>746</v>
      </c>
      <c r="AT23" s="123">
        <v>2005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178/75</v>
      </c>
      <c r="AW23" s="128" t="str">
        <f ca="1">IF(AG23&lt;&gt;"",IF(BE23=1,BD23,IF(BH23=1,BG23,IF(BJ23=1,BI23,IF(BL23=1,BK23,BM23)))),"")</f>
        <v>Novák</v>
      </c>
      <c r="AX23" s="129" t="str">
        <f t="shared" ca="1" si="1"/>
        <v>1 OZ, 0 (0+0), 0 ±</v>
      </c>
      <c r="AY23" s="129" t="str">
        <f t="shared" ca="1" si="2"/>
        <v>193 OZ, 71 (33+38)</v>
      </c>
      <c r="AZ23" s="130"/>
      <c r="BA23" s="130"/>
      <c r="BB23" s="130"/>
      <c r="BC23" s="130"/>
      <c r="BD23" s="89" t="str">
        <f t="shared" si="3"/>
        <v>Novák</v>
      </c>
      <c r="BE23" s="91">
        <f t="shared" ca="1" si="4"/>
        <v>1</v>
      </c>
      <c r="BF23" s="90" t="str">
        <f t="shared" si="5"/>
        <v>T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764</v>
      </c>
      <c r="BU23" s="103">
        <v>2</v>
      </c>
      <c r="BV23" s="104" t="str">
        <f t="shared" si="13"/>
        <v>Jakub Karel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455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Novotný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Novotný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765</v>
      </c>
      <c r="BU24" s="103">
        <v>2</v>
      </c>
      <c r="BV24" s="104" t="str">
        <f t="shared" si="13"/>
        <v>Jaromír Ekl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238</v>
      </c>
      <c r="AH25" s="122"/>
      <c r="AI25" s="123">
        <v>8</v>
      </c>
      <c r="AJ25" s="123">
        <v>1</v>
      </c>
      <c r="AK25" s="123">
        <v>0</v>
      </c>
      <c r="AL25" s="124">
        <f>IF(AG25&lt;&gt;"",AJ25+AK25,"")</f>
        <v>1</v>
      </c>
      <c r="AM25" s="123">
        <v>3</v>
      </c>
      <c r="AN25" s="123"/>
      <c r="AO25" s="125"/>
      <c r="AP25" s="125" t="s">
        <v>248</v>
      </c>
      <c r="AQ25" s="123"/>
      <c r="AR25" s="123"/>
      <c r="AS25" s="126" t="s">
        <v>750</v>
      </c>
      <c r="AT25" s="123">
        <v>2010</v>
      </c>
      <c r="AU25" s="127" t="str">
        <f ca="1">IF(AG25&lt;&gt;"",IF(AH25&lt;&gt;"",INT((TODAY()-AH25)/365),"?"),"")</f>
        <v>?</v>
      </c>
      <c r="AV25" s="127" t="str">
        <f>IF(AG25&lt;&gt;"",CONCATENATE(IF(AQ25&lt;&gt;"",AQ25,"? "),"/",IF(AR25&lt;&gt;"",AR25," ?")),"")</f>
        <v>? / ?</v>
      </c>
      <c r="AW25" s="128" t="str">
        <f ca="1">IF(AG25&lt;&gt;"",IF(BE25=1,BD25,IF(BH25=1,BG25,IF(BJ25=1,BI25,IF(BL25=1,BK25,BM25)))),"")</f>
        <v>Pařízek</v>
      </c>
      <c r="AX25" s="129" t="str">
        <f t="shared" ca="1" si="15"/>
        <v>0 OZ, 0 (0+0)</v>
      </c>
      <c r="AY25" s="129" t="str">
        <f t="shared" ca="1" si="16"/>
        <v>8 OZ, 1 (1+0)</v>
      </c>
      <c r="AZ25" s="130"/>
      <c r="BA25" s="130"/>
      <c r="BB25" s="130"/>
      <c r="BC25" s="130"/>
      <c r="BD25" s="89" t="str">
        <f t="shared" si="3"/>
        <v>Pařízek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1006</v>
      </c>
      <c r="BU25" s="103">
        <v>2</v>
      </c>
      <c r="BV25" s="104" t="str">
        <f t="shared" si="13"/>
        <v>Milan Tichý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733</v>
      </c>
      <c r="AH26" s="122">
        <v>35331</v>
      </c>
      <c r="AI26" s="123">
        <v>85</v>
      </c>
      <c r="AJ26" s="123">
        <v>0</v>
      </c>
      <c r="AK26" s="123">
        <v>1</v>
      </c>
      <c r="AL26" s="124">
        <f>IF(AG26&lt;&gt;"",AJ26+AK26,"")</f>
        <v>1</v>
      </c>
      <c r="AM26" s="123">
        <v>6</v>
      </c>
      <c r="AN26" s="123">
        <v>39</v>
      </c>
      <c r="AO26" s="125"/>
      <c r="AP26" s="125" t="s">
        <v>151</v>
      </c>
      <c r="AQ26" s="123">
        <v>185</v>
      </c>
      <c r="AR26" s="123">
        <v>88</v>
      </c>
      <c r="AS26" s="126" t="s">
        <v>453</v>
      </c>
      <c r="AT26" s="123" t="s">
        <v>248</v>
      </c>
      <c r="AU26" s="127">
        <f ca="1">IF(AG26&lt;&gt;"",IF(AH26&lt;&gt;"",INT((TODAY()-AH26)/365),"?"),"")</f>
        <v>25</v>
      </c>
      <c r="AV26" s="127" t="str">
        <f>IF(AG26&lt;&gt;"",CONCATENATE(IF(AQ26&lt;&gt;"",AQ26,"? "),"/",IF(AR26&lt;&gt;"",AR26," ?")),"")</f>
        <v>185/88</v>
      </c>
      <c r="AW26" s="128" t="str">
        <f ca="1">IF(AG26&lt;&gt;"",IF(BE26=1,BD26,IF(BH26=1,BG26,IF(BJ26=1,BI26,IF(BL26=1,BK26,BM26)))),"")</f>
        <v>Pastor</v>
      </c>
      <c r="AX26" s="129" t="str">
        <f t="shared" ca="1" si="15"/>
        <v>0 OZ, 0 (0+0)</v>
      </c>
      <c r="AY26" s="129" t="str">
        <f t="shared" ca="1" si="16"/>
        <v>85 OZ, 1 (0+1)</v>
      </c>
      <c r="AZ26" s="130"/>
      <c r="BA26" s="130"/>
      <c r="BB26" s="130"/>
      <c r="BC26" s="130"/>
      <c r="BD26" s="3" t="str">
        <f t="shared" si="3"/>
        <v>Pastor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1007</v>
      </c>
      <c r="BU26" s="103">
        <v>1</v>
      </c>
      <c r="BV26" s="104" t="str">
        <f t="shared" si="13"/>
        <v>Jakub Jirsa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734</v>
      </c>
      <c r="AH27" s="122"/>
      <c r="AI27" s="123">
        <v>3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40</v>
      </c>
      <c r="AO27" s="125"/>
      <c r="AP27" s="125" t="s">
        <v>151</v>
      </c>
      <c r="AQ27" s="123"/>
      <c r="AR27" s="123"/>
      <c r="AS27" s="126" t="s">
        <v>453</v>
      </c>
      <c r="AT27" s="123">
        <v>2008</v>
      </c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Petříček</v>
      </c>
      <c r="AX27" s="129" t="str">
        <f t="shared" ca="1" si="15"/>
        <v>0 OZ, 0 (0+0)</v>
      </c>
      <c r="AY27" s="129" t="str">
        <f t="shared" ca="1" si="16"/>
        <v>3 OZ, 0 (0+0)</v>
      </c>
      <c r="AZ27" s="130"/>
      <c r="BA27" s="130"/>
      <c r="BB27" s="130"/>
      <c r="BC27" s="130"/>
      <c r="BD27" s="89" t="str">
        <f t="shared" si="3"/>
        <v>Petříček</v>
      </c>
      <c r="BE27" s="91">
        <f t="shared" ca="1" si="4"/>
        <v>1</v>
      </c>
      <c r="BF27" s="90" t="str">
        <f t="shared" si="5"/>
        <v>J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766</v>
      </c>
      <c r="BU27" s="103">
        <v>6</v>
      </c>
      <c r="BV27" s="104" t="str">
        <f t="shared" si="13"/>
        <v>Milan Tichý</v>
      </c>
      <c r="BW27" s="102">
        <f t="shared" si="14"/>
        <v>6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735</v>
      </c>
      <c r="AH28" s="122">
        <v>34274</v>
      </c>
      <c r="AI28" s="123">
        <v>274</v>
      </c>
      <c r="AJ28" s="123">
        <v>57</v>
      </c>
      <c r="AK28" s="123">
        <v>75</v>
      </c>
      <c r="AL28" s="124">
        <f>IF(AG28&lt;&gt;"",AJ28+AK28,"")</f>
        <v>132</v>
      </c>
      <c r="AM28" s="123">
        <v>11</v>
      </c>
      <c r="AN28" s="123"/>
      <c r="AO28" s="125"/>
      <c r="AP28" s="125" t="s">
        <v>151</v>
      </c>
      <c r="AQ28" s="123">
        <v>183</v>
      </c>
      <c r="AR28" s="123">
        <v>77</v>
      </c>
      <c r="AS28" s="126" t="s">
        <v>746</v>
      </c>
      <c r="AT28" s="123">
        <v>2004</v>
      </c>
      <c r="AU28" s="127">
        <f ca="1">IF(AG28&lt;&gt;"",IF(AH28&lt;&gt;"",INT((TODAY()-AH28)/365),"?"),"")</f>
        <v>27</v>
      </c>
      <c r="AV28" s="127" t="str">
        <f>IF(AG28&lt;&gt;"",CONCATENATE(IF(AQ28&lt;&gt;"",AQ28,"? "),"/",IF(AR28&lt;&gt;"",AR28," ?")),"")</f>
        <v>183/77</v>
      </c>
      <c r="AW28" s="128" t="str">
        <f ca="1">IF(AG28&lt;&gt;"",IF(BE28=1,BD28,IF(BH28=1,BG28,IF(BJ28=1,BI28,IF(BL28=1,BK28,BM28)))),"")</f>
        <v>Pluhař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274 OZ, 132 (57+75)</v>
      </c>
      <c r="AZ28" s="130"/>
      <c r="BA28" s="130"/>
      <c r="BB28" s="130"/>
      <c r="BC28" s="130"/>
      <c r="BD28" s="3" t="str">
        <f t="shared" si="3"/>
        <v>Pluhař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767</v>
      </c>
      <c r="BU28" s="103">
        <v>6</v>
      </c>
      <c r="BV28" s="104" t="str">
        <f t="shared" si="13"/>
        <v>Radek Krajcigr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713</v>
      </c>
      <c r="AH29" s="122"/>
      <c r="AI29" s="123"/>
      <c r="AJ29" s="123"/>
      <c r="AK29" s="123"/>
      <c r="AL29" s="124">
        <f>IF(AG29&lt;&gt;"",AJ29+AK29,"")</f>
        <v>0</v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ca="1">IF(AG29&lt;&gt;"",IF(AH29&lt;&gt;"",INT((TODAY()-AH29)/365),"?"),"")</f>
        <v>?</v>
      </c>
      <c r="AV29" s="127" t="str">
        <f>IF(AG29&lt;&gt;"",CONCATENATE(IF(AQ29&lt;&gt;"",AQ29,"? "),"/",IF(AR29&lt;&gt;"",AR29," ?")),"")</f>
        <v>? / ?</v>
      </c>
      <c r="AW29" s="128" t="str">
        <f ca="1">IF(AG29&lt;&gt;"",IF(BE29=1,BD29,IF(BH29=1,BG29,IF(BJ29=1,BI29,IF(BL29=1,BK29,BM29)))),"")</f>
        <v>Ponomarev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V, 2 P</v>
      </c>
      <c r="AY29" s="129" t="str">
        <f t="shared" ca="1" si="16"/>
        <v>2 OZ, 0 A</v>
      </c>
      <c r="AZ29" s="130"/>
      <c r="BA29" s="130"/>
      <c r="BB29" s="130"/>
      <c r="BC29" s="130"/>
      <c r="BD29" s="89" t="str">
        <f t="shared" si="3"/>
        <v>Ponomarev</v>
      </c>
      <c r="BE29" s="91">
        <f t="shared" ca="1" si="4"/>
        <v>1</v>
      </c>
      <c r="BF29" s="90" t="str">
        <f t="shared" si="5"/>
        <v>I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1008</v>
      </c>
      <c r="BU29" s="103">
        <v>2</v>
      </c>
      <c r="BV29" s="104" t="str">
        <f t="shared" si="13"/>
        <v>Lukáš Mlejnek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CLP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736</v>
      </c>
      <c r="AH30" s="122"/>
      <c r="AI30" s="123">
        <v>3</v>
      </c>
      <c r="AJ30" s="123">
        <v>1</v>
      </c>
      <c r="AK30" s="123">
        <v>0</v>
      </c>
      <c r="AL30" s="124">
        <f>IF(AG30&lt;&gt;"",AJ30+AK30,"")</f>
        <v>1</v>
      </c>
      <c r="AM30" s="123">
        <v>2</v>
      </c>
      <c r="AN30" s="123"/>
      <c r="AO30" s="125"/>
      <c r="AP30" s="125" t="s">
        <v>248</v>
      </c>
      <c r="AQ30" s="123"/>
      <c r="AR30" s="123"/>
      <c r="AS30" s="126" t="s">
        <v>453</v>
      </c>
      <c r="AT30" s="123">
        <v>2005</v>
      </c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Procházka</v>
      </c>
      <c r="AX30" s="129" t="str">
        <f t="shared" ca="1" si="17"/>
        <v>0 OZ, 0 (0+0)</v>
      </c>
      <c r="AY30" s="129" t="str">
        <f t="shared" ca="1" si="16"/>
        <v>3 OZ, 1 (1+0)</v>
      </c>
      <c r="AZ30" s="130"/>
      <c r="BA30" s="130"/>
      <c r="BB30" s="130"/>
      <c r="BC30" s="130"/>
      <c r="BD30" s="3" t="str">
        <f t="shared" si="3"/>
        <v>Procházka</v>
      </c>
      <c r="BE30" s="84">
        <f t="shared" ca="1" si="4"/>
        <v>1</v>
      </c>
      <c r="BF30" s="62" t="str">
        <f t="shared" si="5"/>
        <v>P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1009</v>
      </c>
      <c r="BU30" s="103">
        <v>2</v>
      </c>
      <c r="BV30" s="104" t="str">
        <f t="shared" si="13"/>
        <v>Petr Novotný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737</v>
      </c>
      <c r="AH31" s="122">
        <v>37043</v>
      </c>
      <c r="AI31" s="123">
        <v>12</v>
      </c>
      <c r="AJ31" s="123">
        <v>3</v>
      </c>
      <c r="AK31" s="123">
        <v>1</v>
      </c>
      <c r="AL31" s="124">
        <f>IF(AG31&lt;&gt;"",AJ31+AK31,"")</f>
        <v>4</v>
      </c>
      <c r="AM31" s="123">
        <v>2</v>
      </c>
      <c r="AN31" s="123">
        <v>70</v>
      </c>
      <c r="AO31" s="125"/>
      <c r="AP31" s="125" t="s">
        <v>151</v>
      </c>
      <c r="AQ31" s="123">
        <v>180</v>
      </c>
      <c r="AR31" s="123">
        <v>69</v>
      </c>
      <c r="AS31" s="126" t="s">
        <v>751</v>
      </c>
      <c r="AT31" s="123">
        <v>2011</v>
      </c>
      <c r="AU31" s="127">
        <f ca="1">IF(AG31&lt;&gt;"",IF(AH31&lt;&gt;"",INT((TODAY()-AH31)/365),"?"),"")</f>
        <v>20</v>
      </c>
      <c r="AV31" s="127" t="str">
        <f>IF(AG31&lt;&gt;"",CONCATENATE(IF(AQ31&lt;&gt;"",AQ31,"? "),"/",IF(AR31&lt;&gt;"",AR31," ?")),"")</f>
        <v>180/69</v>
      </c>
      <c r="AW31" s="128" t="str">
        <f ca="1">IF(AG31&lt;&gt;"",IF(BE31=1,BD31,IF(BH31=1,BG31,IF(BJ31=1,BI31,IF(BL31=1,BK31,BM31)))),"")</f>
        <v>Semerád</v>
      </c>
      <c r="AX31" s="129" t="str">
        <f t="shared" ca="1" si="17"/>
        <v>0 OZ, 0 (0+0)</v>
      </c>
      <c r="AY31" s="129" t="str">
        <f t="shared" ca="1" si="16"/>
        <v>12 OZ, 4 (3+1)</v>
      </c>
      <c r="AZ31" s="130"/>
      <c r="BA31" s="130"/>
      <c r="BB31" s="130"/>
      <c r="BC31" s="130"/>
      <c r="BD31" s="89" t="str">
        <f t="shared" si="3"/>
        <v>Semerád</v>
      </c>
      <c r="BE31" s="91">
        <f t="shared" ca="1" si="4"/>
        <v>1</v>
      </c>
      <c r="BF31" s="90" t="str">
        <f t="shared" si="5"/>
        <v>D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6"/>
      <c r="BT31" s="104" t="s">
        <v>1010</v>
      </c>
      <c r="BU31" s="103">
        <v>2</v>
      </c>
      <c r="BV31" s="104" t="str">
        <f t="shared" si="13"/>
        <v>Tomáš Novák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712</v>
      </c>
      <c r="AH32" s="122">
        <v>30346</v>
      </c>
      <c r="AI32" s="123">
        <v>309</v>
      </c>
      <c r="AJ32" s="123">
        <v>156</v>
      </c>
      <c r="AK32" s="123">
        <v>164</v>
      </c>
      <c r="AL32" s="124">
        <f>IF(AG32&lt;&gt;"",AJ32+AK32,"")</f>
        <v>320</v>
      </c>
      <c r="AM32" s="123">
        <v>15</v>
      </c>
      <c r="AN32" s="123">
        <v>50</v>
      </c>
      <c r="AO32" s="125"/>
      <c r="AP32" s="125" t="s">
        <v>151</v>
      </c>
      <c r="AQ32" s="123">
        <v>184</v>
      </c>
      <c r="AR32" s="123">
        <v>91</v>
      </c>
      <c r="AS32" s="126" t="s">
        <v>752</v>
      </c>
      <c r="AT32" s="123">
        <v>1998</v>
      </c>
      <c r="AU32" s="127">
        <f ca="1">IF(AG32&lt;&gt;"",IF(AH32&lt;&gt;"",INT((TODAY()-AH32)/365),"?"),"")</f>
        <v>38</v>
      </c>
      <c r="AV32" s="127" t="str">
        <f>IF(AG32&lt;&gt;"",CONCATENATE(IF(AQ32&lt;&gt;"",AQ32,"? "),"/",IF(AR32&lt;&gt;"",AR32," ?")),"")</f>
        <v>184/91</v>
      </c>
      <c r="AW32" s="128" t="str">
        <f ca="1">IF(AG32&lt;&gt;"",IF(BE32=1,BD32,IF(BH32=1,BG32,IF(BJ32=1,BI32,IF(BL32=1,BK32,BM32)))),"")</f>
        <v>Slaný</v>
      </c>
      <c r="AX32" s="129" t="str">
        <f t="shared" ca="1" si="17"/>
        <v>3 OZ, 1 (0+1), -2 ±</v>
      </c>
      <c r="AY32" s="129" t="str">
        <f t="shared" ca="1" si="16"/>
        <v>312 OZ, 321 (156+165)</v>
      </c>
      <c r="AZ32" s="130"/>
      <c r="BA32" s="130"/>
      <c r="BB32" s="130"/>
      <c r="BC32" s="130"/>
      <c r="BD32" s="3" t="str">
        <f t="shared" si="3"/>
        <v>Slaný</v>
      </c>
      <c r="BE32" s="84">
        <f t="shared" ca="1" si="4"/>
        <v>1</v>
      </c>
      <c r="BF32" s="62" t="str">
        <f t="shared" si="5"/>
        <v>Š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738</v>
      </c>
      <c r="AH33" s="122">
        <v>36660</v>
      </c>
      <c r="AI33" s="123">
        <v>69</v>
      </c>
      <c r="AJ33" s="123">
        <v>18</v>
      </c>
      <c r="AK33" s="123">
        <v>7</v>
      </c>
      <c r="AL33" s="124">
        <f>IF(AG33&lt;&gt;"",AJ33+AK33,"")</f>
        <v>25</v>
      </c>
      <c r="AM33" s="123">
        <v>5</v>
      </c>
      <c r="AN33" s="123">
        <v>18</v>
      </c>
      <c r="AO33" s="125"/>
      <c r="AP33" s="125" t="s">
        <v>151</v>
      </c>
      <c r="AQ33" s="123">
        <v>194</v>
      </c>
      <c r="AR33" s="123">
        <v>89</v>
      </c>
      <c r="AS33" s="126" t="s">
        <v>453</v>
      </c>
      <c r="AT33" s="123">
        <v>2007</v>
      </c>
      <c r="AU33" s="127">
        <f ca="1">IF(AG33&lt;&gt;"",IF(AH33&lt;&gt;"",INT((TODAY()-AH33)/365),"?"),"")</f>
        <v>21</v>
      </c>
      <c r="AV33" s="127" t="str">
        <f>IF(AG33&lt;&gt;"",CONCATENATE(IF(AQ33&lt;&gt;"",AQ33,"? "),"/",IF(AR33&lt;&gt;"",AR33," ?")),"")</f>
        <v>194/89</v>
      </c>
      <c r="AW33" s="128" t="str">
        <f ca="1">IF(AG33&lt;&gt;"",IF(BE33=1,BD33,IF(BH33=1,BG33,IF(BJ33=1,BI33,IF(BL33=1,BK33,BM33)))),"")</f>
        <v>Spilka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69 OZ, 25 (18+7)</v>
      </c>
      <c r="AZ33" s="130"/>
      <c r="BA33" s="130"/>
      <c r="BB33" s="130"/>
      <c r="BC33" s="130"/>
      <c r="BD33" s="89" t="str">
        <f t="shared" si="3"/>
        <v>Spilka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716</v>
      </c>
      <c r="AH34" s="122">
        <v>37722</v>
      </c>
      <c r="AI34" s="123">
        <v>21</v>
      </c>
      <c r="AJ34" s="123">
        <v>2</v>
      </c>
      <c r="AK34" s="123">
        <v>0</v>
      </c>
      <c r="AL34" s="124">
        <f>IF(AG34&lt;&gt;"",AJ34+AK34,"")</f>
        <v>2</v>
      </c>
      <c r="AM34" s="123">
        <v>2</v>
      </c>
      <c r="AN34" s="123">
        <v>20</v>
      </c>
      <c r="AO34" s="125"/>
      <c r="AP34" s="125" t="s">
        <v>151</v>
      </c>
      <c r="AQ34" s="123">
        <v>192</v>
      </c>
      <c r="AR34" s="123">
        <v>82</v>
      </c>
      <c r="AS34" s="126" t="s">
        <v>453</v>
      </c>
      <c r="AT34" s="123" t="s">
        <v>248</v>
      </c>
      <c r="AU34" s="127">
        <f ca="1">IF(AG34&lt;&gt;"",IF(AH34&lt;&gt;"",INT((TODAY()-AH34)/365),"?"),"")</f>
        <v>18</v>
      </c>
      <c r="AV34" s="127" t="str">
        <f>IF(AG34&lt;&gt;"",CONCATENATE(IF(AQ34&lt;&gt;"",AQ34,"? "),"/",IF(AR34&lt;&gt;"",AR34," ?")),"")</f>
        <v>192/82</v>
      </c>
      <c r="AW34" s="128" t="str">
        <f ca="1">IF(AG34&lt;&gt;"",IF(BE34=1,BD34,IF(BH34=1,BG34,IF(BJ34=1,BI34,IF(BL34=1,BK34,BM34)))),"")</f>
        <v>Stárek</v>
      </c>
      <c r="AX34" s="129" t="str">
        <f t="shared" ca="1" si="17"/>
        <v>2 OZ, 1 (1+0),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23 OZ, 3 (3+0)</v>
      </c>
      <c r="AZ34" s="130"/>
      <c r="BA34" s="130"/>
      <c r="BB34" s="130"/>
      <c r="BC34" s="130"/>
      <c r="BD34" s="3" t="str">
        <f t="shared" si="3"/>
        <v>Stárek</v>
      </c>
      <c r="BE34" s="84">
        <f t="shared" ca="1" si="4"/>
        <v>1</v>
      </c>
      <c r="BF34" s="62" t="str">
        <f t="shared" si="5"/>
        <v>A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 t="s">
        <v>739</v>
      </c>
      <c r="AH35" s="122"/>
      <c r="AI35" s="123"/>
      <c r="AJ35" s="123"/>
      <c r="AK35" s="123"/>
      <c r="AL35" s="124">
        <f>IF(AG35&lt;&gt;"",AJ35+AK35,"")</f>
        <v>0</v>
      </c>
      <c r="AM35" s="123" t="s">
        <v>319</v>
      </c>
      <c r="AN35" s="123">
        <v>96</v>
      </c>
      <c r="AO35" s="125"/>
      <c r="AP35" s="125" t="s">
        <v>151</v>
      </c>
      <c r="AQ35" s="123">
        <v>181</v>
      </c>
      <c r="AR35" s="123">
        <v>87</v>
      </c>
      <c r="AS35" s="126" t="s">
        <v>334</v>
      </c>
      <c r="AT35" s="123">
        <v>2007</v>
      </c>
      <c r="AU35" s="127" t="str">
        <f ca="1">IF(AG35&lt;&gt;"",IF(AH35&lt;&gt;"",INT((TODAY()-AH35)/365),"?"),"")</f>
        <v>?</v>
      </c>
      <c r="AV35" s="127" t="str">
        <f>IF(AG35&lt;&gt;"",CONCATENATE(IF(AQ35&lt;&gt;"",AQ35,"? "),"/",IF(AR35&lt;&gt;"",AR35," ?")),"")</f>
        <v>181/87</v>
      </c>
      <c r="AW35" s="128" t="str">
        <f ca="1">IF(AG35&lt;&gt;"",IF(BE35=1,BD35,IF(BH35=1,BG35,IF(BJ35=1,BI35,IF(BL35=1,BK35,BM35)))),"")</f>
        <v>Studený</v>
      </c>
      <c r="AX35" s="129" t="str">
        <f t="shared" ca="1" si="17"/>
        <v>0 OZ, 0 (0+0)</v>
      </c>
      <c r="AY35" s="129" t="str">
        <f t="shared" ca="1" si="18"/>
        <v xml:space="preserve"> OZ, 0 (+)</v>
      </c>
      <c r="AZ35" s="130"/>
      <c r="BA35" s="130"/>
      <c r="BB35" s="130"/>
      <c r="BC35" s="130"/>
      <c r="BD35" s="89" t="str">
        <f t="shared" si="3"/>
        <v>Studený</v>
      </c>
      <c r="BE35" s="91">
        <f t="shared" ca="1" si="4"/>
        <v>1</v>
      </c>
      <c r="BF35" s="90" t="str">
        <f t="shared" si="5"/>
        <v>L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 t="s">
        <v>710</v>
      </c>
      <c r="AH36" s="122">
        <v>35199</v>
      </c>
      <c r="AI36" s="123">
        <v>102</v>
      </c>
      <c r="AJ36" s="123">
        <v>28</v>
      </c>
      <c r="AK36" s="123">
        <v>48</v>
      </c>
      <c r="AL36" s="124">
        <f>IF(AG36&lt;&gt;"",AJ36+AK36,"")</f>
        <v>76</v>
      </c>
      <c r="AM36" s="123">
        <v>8</v>
      </c>
      <c r="AN36" s="123">
        <v>66</v>
      </c>
      <c r="AO36" s="125"/>
      <c r="AP36" s="125" t="s">
        <v>27</v>
      </c>
      <c r="AQ36" s="123">
        <v>185</v>
      </c>
      <c r="AR36" s="123">
        <v>85</v>
      </c>
      <c r="AS36" s="126" t="s">
        <v>746</v>
      </c>
      <c r="AT36" s="123">
        <v>2007</v>
      </c>
      <c r="AU36" s="127">
        <f ca="1">IF(AG36&lt;&gt;"",IF(AH36&lt;&gt;"",INT((TODAY()-AH36)/365),"?"),"")</f>
        <v>25</v>
      </c>
      <c r="AV36" s="127" t="str">
        <f>IF(AG36&lt;&gt;"",CONCATENATE(IF(AQ36&lt;&gt;"",AQ36,"? "),"/",IF(AR36&lt;&gt;"",AR36," ?")),"")</f>
        <v>185/85</v>
      </c>
      <c r="AW36" s="128" t="str">
        <f ca="1">IF(AG36&lt;&gt;"",IF(BE36=1,BD36,IF(BH36=1,BG36,IF(BJ36=1,BI36,IF(BL36=1,BK36,BM36)))),"")</f>
        <v>Štěrba</v>
      </c>
      <c r="AX36" s="129" t="str">
        <f t="shared" ca="1" si="17"/>
        <v>2 OZ, 2 (0+2), +1 ±</v>
      </c>
      <c r="AY36" s="129" t="str">
        <f t="shared" ca="1" si="18"/>
        <v>104 OZ, 78 (28+50)</v>
      </c>
      <c r="AZ36" s="130"/>
      <c r="BA36" s="130"/>
      <c r="BB36" s="130"/>
      <c r="BC36" s="130"/>
      <c r="BD36" s="3" t="str">
        <f t="shared" si="3"/>
        <v>Štěrba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 t="s">
        <v>441</v>
      </c>
      <c r="AH37" s="122">
        <v>33976</v>
      </c>
      <c r="AI37" s="123">
        <v>74</v>
      </c>
      <c r="AJ37" s="123">
        <v>37</v>
      </c>
      <c r="AK37" s="123">
        <v>24</v>
      </c>
      <c r="AL37" s="124">
        <f>IF(AG37&lt;&gt;"",AJ37+AK37,"")</f>
        <v>61</v>
      </c>
      <c r="AM37" s="123">
        <v>7</v>
      </c>
      <c r="AN37" s="123">
        <v>4</v>
      </c>
      <c r="AO37" s="125"/>
      <c r="AP37" s="125" t="s">
        <v>151</v>
      </c>
      <c r="AQ37" s="123">
        <v>192</v>
      </c>
      <c r="AR37" s="123">
        <v>90</v>
      </c>
      <c r="AS37" s="126" t="s">
        <v>453</v>
      </c>
      <c r="AT37" s="123">
        <v>2008</v>
      </c>
      <c r="AU37" s="127">
        <f ca="1">IF(AG37&lt;&gt;"",IF(AH37&lt;&gt;"",INT((TODAY()-AH37)/365),"?"),"")</f>
        <v>28</v>
      </c>
      <c r="AV37" s="127" t="str">
        <f>IF(AG37&lt;&gt;"",CONCATENATE(IF(AQ37&lt;&gt;"",AQ37,"? "),"/",IF(AR37&lt;&gt;"",AR37," ?")),"")</f>
        <v>192/90</v>
      </c>
      <c r="AW37" s="128" t="str">
        <f ca="1">IF(AG37&lt;&gt;"",IF(BE37=1,BD37,IF(BH37=1,BG37,IF(BJ37=1,BI37,IF(BL37=1,BK37,BM37)))),"")</f>
        <v>Tichý</v>
      </c>
      <c r="AX37" s="129" t="str">
        <f t="shared" ca="1" si="17"/>
        <v>3 OZ, 4 (2+2), +1 ±</v>
      </c>
      <c r="AY37" s="129" t="str">
        <f t="shared" ca="1" si="18"/>
        <v>77 OZ, 65 (39+26)</v>
      </c>
      <c r="AZ37" s="130"/>
      <c r="BA37" s="130"/>
      <c r="BB37" s="130"/>
      <c r="BC37" s="130"/>
      <c r="BD37" s="89" t="str">
        <f t="shared" si="3"/>
        <v>Tichý</v>
      </c>
      <c r="BE37" s="91">
        <f t="shared" ca="1" si="4"/>
        <v>1</v>
      </c>
      <c r="BF37" s="90" t="str">
        <f t="shared" si="5"/>
        <v>M</v>
      </c>
      <c r="BG37" s="89" t="str">
        <f t="shared" ca="1" si="6"/>
        <v/>
      </c>
      <c r="BH37" s="90">
        <f t="shared" ca="1" si="7"/>
        <v>0</v>
      </c>
      <c r="BI37" s="89" t="str">
        <f t="shared" ca="1" si="8"/>
        <v/>
      </c>
      <c r="BJ37" s="90">
        <f t="shared" ca="1" si="7"/>
        <v>0</v>
      </c>
      <c r="BK37" s="89" t="str">
        <f t="shared" ca="1" si="9"/>
        <v/>
      </c>
      <c r="BL37" s="90">
        <f t="shared" ca="1" si="10"/>
        <v>0</v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 t="s">
        <v>740</v>
      </c>
      <c r="AH38" s="122">
        <v>37758</v>
      </c>
      <c r="AI38" s="123">
        <v>2</v>
      </c>
      <c r="AJ38" s="123">
        <v>0</v>
      </c>
      <c r="AK38" s="123">
        <v>0</v>
      </c>
      <c r="AL38" s="124">
        <f>IF(AG38&lt;&gt;"",AJ38+AK38,"")</f>
        <v>0</v>
      </c>
      <c r="AM38" s="123">
        <v>2</v>
      </c>
      <c r="AN38" s="123"/>
      <c r="AO38" s="125"/>
      <c r="AP38" s="125" t="s">
        <v>151</v>
      </c>
      <c r="AQ38" s="123">
        <v>187</v>
      </c>
      <c r="AR38" s="123">
        <v>76</v>
      </c>
      <c r="AS38" s="126" t="s">
        <v>753</v>
      </c>
      <c r="AT38" s="123">
        <v>2011</v>
      </c>
      <c r="AU38" s="127">
        <f ca="1">IF(AG38&lt;&gt;"",IF(AH38&lt;&gt;"",INT((TODAY()-AH38)/365),"?"),"")</f>
        <v>18</v>
      </c>
      <c r="AV38" s="127" t="str">
        <f>IF(AG38&lt;&gt;"",CONCATENATE(IF(AQ38&lt;&gt;"",AQ38,"? "),"/",IF(AR38&lt;&gt;"",AR38," ?")),"")</f>
        <v>187/76</v>
      </c>
      <c r="AW38" s="128" t="str">
        <f ca="1">IF(AG38&lt;&gt;"",IF(BE38=1,BD38,IF(BH38=1,BG38,IF(BJ38=1,BI38,IF(BL38=1,BK38,BM38)))),"")</f>
        <v>Trčka</v>
      </c>
      <c r="AX38" s="129" t="str">
        <f t="shared" ca="1" si="17"/>
        <v>0 OZ, 0 (0+0)</v>
      </c>
      <c r="AY38" s="129" t="str">
        <f t="shared" ca="1" si="18"/>
        <v>2 OZ, 0 (0+0)</v>
      </c>
      <c r="AZ38" s="130"/>
      <c r="BA38" s="130"/>
      <c r="BB38" s="130"/>
      <c r="BC38" s="130"/>
      <c r="BD38" s="3" t="str">
        <f t="shared" si="3"/>
        <v>Trčka</v>
      </c>
      <c r="BE38" s="84">
        <f t="shared" ca="1" si="4"/>
        <v>1</v>
      </c>
      <c r="BF38" s="62" t="str">
        <f t="shared" si="5"/>
        <v>V</v>
      </c>
      <c r="BG38" s="3" t="str">
        <f t="shared" ca="1" si="6"/>
        <v/>
      </c>
      <c r="BH38" s="62">
        <f t="shared" ca="1" si="7"/>
        <v>0</v>
      </c>
      <c r="BI38" s="3" t="str">
        <f t="shared" ca="1" si="8"/>
        <v/>
      </c>
      <c r="BJ38" s="62">
        <f t="shared" ca="1" si="7"/>
        <v>0</v>
      </c>
      <c r="BK38" s="3" t="str">
        <f t="shared" ca="1" si="9"/>
        <v/>
      </c>
      <c r="BL38" s="62">
        <f t="shared" ca="1" si="10"/>
        <v>0</v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 t="s">
        <v>741</v>
      </c>
      <c r="AH39" s="122">
        <v>36722</v>
      </c>
      <c r="AI39" s="123">
        <v>7</v>
      </c>
      <c r="AJ39" s="123">
        <v>5</v>
      </c>
      <c r="AK39" s="123">
        <v>2</v>
      </c>
      <c r="AL39" s="124">
        <f>IF(AG39&lt;&gt;"",AJ39+AK39,"")</f>
        <v>7</v>
      </c>
      <c r="AM39" s="123">
        <v>2</v>
      </c>
      <c r="AN39" s="123"/>
      <c r="AO39" s="125"/>
      <c r="AP39" s="125" t="s">
        <v>151</v>
      </c>
      <c r="AQ39" s="123">
        <v>182</v>
      </c>
      <c r="AR39" s="123">
        <v>83</v>
      </c>
      <c r="AS39" s="126" t="s">
        <v>744</v>
      </c>
      <c r="AT39" s="123">
        <v>2013</v>
      </c>
      <c r="AU39" s="127">
        <f ca="1">IF(AG39&lt;&gt;"",IF(AH39&lt;&gt;"",INT((TODAY()-AH39)/365),"?"),"")</f>
        <v>21</v>
      </c>
      <c r="AV39" s="127" t="str">
        <f>IF(AG39&lt;&gt;"",CONCATENATE(IF(AQ39&lt;&gt;"",AQ39,"? "),"/",IF(AR39&lt;&gt;"",AR39," ?")),"")</f>
        <v>182/83</v>
      </c>
      <c r="AW39" s="128" t="str">
        <f ca="1">IF(AG39&lt;&gt;"",IF(BE39=1,BD39,IF(BH39=1,BG39,IF(BJ39=1,BI39,IF(BL39=1,BK39,BM39)))),"")</f>
        <v>Vavruška</v>
      </c>
      <c r="AX39" s="129" t="str">
        <f t="shared" ca="1" si="17"/>
        <v>0 OZ, 0 (0+0)</v>
      </c>
      <c r="AY39" s="129" t="str">
        <f t="shared" ca="1" si="18"/>
        <v>7 OZ, 7 (5+2)</v>
      </c>
      <c r="AZ39" s="130"/>
      <c r="BA39" s="130"/>
      <c r="BB39" s="130"/>
      <c r="BC39" s="130"/>
      <c r="BD39" s="89" t="str">
        <f t="shared" si="3"/>
        <v>Vavruška</v>
      </c>
      <c r="BE39" s="91">
        <f t="shared" ca="1" si="4"/>
        <v>1</v>
      </c>
      <c r="BF39" s="90" t="str">
        <f t="shared" si="5"/>
        <v>V</v>
      </c>
      <c r="BG39" s="89" t="str">
        <f t="shared" ca="1" si="6"/>
        <v/>
      </c>
      <c r="BH39" s="90">
        <f t="shared" ca="1" si="7"/>
        <v>0</v>
      </c>
      <c r="BI39" s="89" t="str">
        <f t="shared" ca="1" si="8"/>
        <v/>
      </c>
      <c r="BJ39" s="90">
        <f t="shared" ca="1" si="7"/>
        <v>0</v>
      </c>
      <c r="BK39" s="89" t="str">
        <f t="shared" ca="1" si="9"/>
        <v/>
      </c>
      <c r="BL39" s="90">
        <f t="shared" ca="1" si="10"/>
        <v>0</v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 t="s">
        <v>714</v>
      </c>
      <c r="AH40" s="122">
        <v>35758</v>
      </c>
      <c r="AI40" s="123">
        <v>65</v>
      </c>
      <c r="AJ40" s="123">
        <v>8</v>
      </c>
      <c r="AK40" s="123">
        <v>9</v>
      </c>
      <c r="AL40" s="124">
        <f>IF(AG40&lt;&gt;"",AJ40+AK40,"")</f>
        <v>17</v>
      </c>
      <c r="AM40" s="123">
        <v>5</v>
      </c>
      <c r="AN40" s="123">
        <v>2</v>
      </c>
      <c r="AO40" s="125"/>
      <c r="AP40" s="125" t="s">
        <v>151</v>
      </c>
      <c r="AQ40" s="123">
        <v>185</v>
      </c>
      <c r="AR40" s="123">
        <v>75</v>
      </c>
      <c r="AS40" s="126" t="s">
        <v>754</v>
      </c>
      <c r="AT40" s="123" t="s">
        <v>248</v>
      </c>
      <c r="AU40" s="127">
        <f ca="1">IF(AG40&lt;&gt;"",IF(AH40&lt;&gt;"",INT((TODAY()-AH40)/365),"?"),"")</f>
        <v>23</v>
      </c>
      <c r="AV40" s="127" t="str">
        <f>IF(AG40&lt;&gt;"",CONCATENATE(IF(AQ40&lt;&gt;"",AQ40,"? "),"/",IF(AR40&lt;&gt;"",AR40," ?")),"")</f>
        <v>185/75</v>
      </c>
      <c r="AW40" s="128" t="str">
        <f ca="1">IF(AG40&lt;&gt;"",IF(BE40=1,BD40,IF(BH40=1,BG40,IF(BJ40=1,BI40,IF(BL40=1,BK40,BM40)))),"")</f>
        <v>Vlček</v>
      </c>
      <c r="AX40" s="129" t="str">
        <f t="shared" ca="1" si="17"/>
        <v>3 OZ, 1 (1+0), -1 ±</v>
      </c>
      <c r="AY40" s="129" t="str">
        <f t="shared" ca="1" si="18"/>
        <v>68 OZ, 18 (9+9)</v>
      </c>
      <c r="AZ40" s="130"/>
      <c r="BA40" s="130"/>
      <c r="BB40" s="130"/>
      <c r="BC40" s="130"/>
      <c r="BD40" s="3" t="str">
        <f t="shared" si="3"/>
        <v>Vlček</v>
      </c>
      <c r="BE40" s="84">
        <f t="shared" ca="1" si="4"/>
        <v>1</v>
      </c>
      <c r="BF40" s="62" t="str">
        <f t="shared" si="5"/>
        <v>J</v>
      </c>
      <c r="BG40" s="3" t="str">
        <f t="shared" ca="1" si="6"/>
        <v/>
      </c>
      <c r="BH40" s="62">
        <f t="shared" ca="1" si="7"/>
        <v>0</v>
      </c>
      <c r="BI40" s="3" t="str">
        <f t="shared" ca="1" si="8"/>
        <v/>
      </c>
      <c r="BJ40" s="62">
        <f t="shared" ca="1" si="7"/>
        <v>0</v>
      </c>
      <c r="BK40" s="3" t="str">
        <f t="shared" ca="1" si="9"/>
        <v/>
      </c>
      <c r="BL40" s="62">
        <f t="shared" ca="1" si="10"/>
        <v>0</v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 t="s">
        <v>742</v>
      </c>
      <c r="AH41" s="122">
        <v>37245</v>
      </c>
      <c r="AI41" s="123">
        <v>4</v>
      </c>
      <c r="AJ41" s="123">
        <v>1</v>
      </c>
      <c r="AK41" s="123">
        <v>1</v>
      </c>
      <c r="AL41" s="124">
        <f>IF(AG41&lt;&gt;"",AJ41+AK41,"")</f>
        <v>2</v>
      </c>
      <c r="AM41" s="123">
        <v>2</v>
      </c>
      <c r="AN41" s="123">
        <v>80</v>
      </c>
      <c r="AO41" s="125"/>
      <c r="AP41" s="125" t="s">
        <v>151</v>
      </c>
      <c r="AQ41" s="123">
        <v>184</v>
      </c>
      <c r="AR41" s="123">
        <v>76</v>
      </c>
      <c r="AS41" s="126" t="s">
        <v>753</v>
      </c>
      <c r="AT41" s="123">
        <v>2011</v>
      </c>
      <c r="AU41" s="127">
        <f ca="1">IF(AG41&lt;&gt;"",IF(AH41&lt;&gt;"",INT((TODAY()-AH41)/365),"?"),"")</f>
        <v>19</v>
      </c>
      <c r="AV41" s="127" t="str">
        <f>IF(AG41&lt;&gt;"",CONCATENATE(IF(AQ41&lt;&gt;"",AQ41,"? "),"/",IF(AR41&lt;&gt;"",AR41," ?")),"")</f>
        <v>184/76</v>
      </c>
      <c r="AW41" s="128" t="str">
        <f ca="1">IF(AG41&lt;&gt;"",IF(BE41=1,BD41,IF(BH41=1,BG41,IF(BJ41=1,BI41,IF(BL41=1,BK41,BM41)))),"")</f>
        <v>Vybíral</v>
      </c>
      <c r="AX41" s="129" t="str">
        <f t="shared" ca="1" si="17"/>
        <v>0 OZ, 0 (0+0)</v>
      </c>
      <c r="AY41" s="129" t="str">
        <f t="shared" ca="1" si="18"/>
        <v>4 OZ, 2 (1+1)</v>
      </c>
      <c r="AZ41" s="130"/>
      <c r="BA41" s="130"/>
      <c r="BB41" s="130"/>
      <c r="BC41" s="130"/>
      <c r="BD41" s="89" t="str">
        <f t="shared" si="3"/>
        <v>Vybíral</v>
      </c>
      <c r="BE41" s="91">
        <f t="shared" ca="1" si="4"/>
        <v>1</v>
      </c>
      <c r="BF41" s="90" t="str">
        <f t="shared" si="5"/>
        <v>F</v>
      </c>
      <c r="BG41" s="89" t="str">
        <f t="shared" ca="1" si="6"/>
        <v/>
      </c>
      <c r="BH41" s="90">
        <f t="shared" ca="1" si="7"/>
        <v>0</v>
      </c>
      <c r="BI41" s="89" t="str">
        <f t="shared" ca="1" si="8"/>
        <v/>
      </c>
      <c r="BJ41" s="90">
        <f t="shared" ca="1" si="7"/>
        <v>0</v>
      </c>
      <c r="BK41" s="89" t="str">
        <f t="shared" ca="1" si="9"/>
        <v/>
      </c>
      <c r="BL41" s="90">
        <f t="shared" ca="1" si="10"/>
        <v>0</v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19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0">IF(AG42&lt;&gt;"",IF(AH42&lt;&gt;"",INT((TODAY()-AH42)/365),"?"),"")</f>
        <v/>
      </c>
      <c r="AV42" s="127" t="str">
        <f t="shared" ref="AV42:AV50" si="21">IF(AG42&lt;&gt;"",CONCATENATE(IF(AQ42&lt;&gt;"",AQ42,"? "),"/",IF(AR42&lt;&gt;"",AR42," ?")),"")</f>
        <v/>
      </c>
      <c r="AW42" s="128" t="str">
        <f t="shared" ref="AW42:AW50" si="22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722</v>
      </c>
      <c r="T45" s="102">
        <v>1</v>
      </c>
      <c r="U45" s="112">
        <v>60</v>
      </c>
      <c r="V45" s="102">
        <v>0</v>
      </c>
      <c r="W45" s="102">
        <v>6</v>
      </c>
      <c r="X45" s="102">
        <v>0</v>
      </c>
      <c r="Y45" s="102">
        <v>36</v>
      </c>
      <c r="Z45" s="102">
        <v>0</v>
      </c>
      <c r="AA45" s="102">
        <v>1</v>
      </c>
      <c r="AB45" s="102">
        <v>30</v>
      </c>
      <c r="AC45" s="102">
        <v>0</v>
      </c>
      <c r="AD45" s="102">
        <v>0</v>
      </c>
      <c r="AE45" s="112">
        <f>IF(S45&lt;&gt;"",IF(T45&gt;0,W45/(U45/60),0),"")</f>
        <v>6</v>
      </c>
      <c r="AF45" s="112">
        <f>IF(S45&lt;&gt;"",IF(Y45&gt;0,(AB45/Y45)*100,"-"),"")</f>
        <v>83.333333333333343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713</v>
      </c>
      <c r="T46" s="102">
        <v>2</v>
      </c>
      <c r="U46" s="112">
        <v>118</v>
      </c>
      <c r="V46" s="102">
        <v>0</v>
      </c>
      <c r="W46" s="102">
        <v>15</v>
      </c>
      <c r="X46" s="102">
        <v>0</v>
      </c>
      <c r="Y46" s="102">
        <v>78</v>
      </c>
      <c r="Z46" s="102">
        <v>0</v>
      </c>
      <c r="AA46" s="102">
        <v>2</v>
      </c>
      <c r="AB46" s="102">
        <v>63</v>
      </c>
      <c r="AC46" s="102">
        <v>0</v>
      </c>
      <c r="AD46" s="102">
        <v>0</v>
      </c>
      <c r="AE46" s="112">
        <f t="shared" ref="AE46:AE50" si="23">IF(S46&lt;&gt;"",IF(T46&gt;0,W46/(U46/60),0),"")</f>
        <v>7.6271186440677967</v>
      </c>
      <c r="AF46" s="112">
        <f t="shared" ref="AF46:AF50" si="24">IF(S46&lt;&gt;"",IF(Y46&gt;0,(AB46/Y46)*100,"-"),"")</f>
        <v>80.769230769230774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4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1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794</v>
      </c>
      <c r="U2" s="102">
        <v>3</v>
      </c>
      <c r="V2" s="102">
        <v>1</v>
      </c>
      <c r="W2" s="102">
        <v>0</v>
      </c>
      <c r="X2" s="102">
        <v>0</v>
      </c>
      <c r="Y2" s="102">
        <v>3</v>
      </c>
      <c r="Z2" s="102">
        <v>4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799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815</v>
      </c>
      <c r="BU2" s="103">
        <v>4</v>
      </c>
      <c r="BV2" s="104" t="str">
        <f>IFERROR(RIGHT(BT2,LEN(BT2)-SEARCH(" ",BT2)),"")</f>
        <v>Lukáš Jalový</v>
      </c>
      <c r="BW2" s="102">
        <f>IF(BT2&lt;&gt;0,_xlfn.NUMBERVALUE(BU2,","),"")</f>
        <v>4</v>
      </c>
      <c r="BX2" s="375" t="s">
        <v>219</v>
      </c>
      <c r="BY2" s="103" t="s">
        <v>966</v>
      </c>
      <c r="BZ2" s="103" t="s">
        <v>98</v>
      </c>
      <c r="CA2" s="115" t="s">
        <v>1022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807</v>
      </c>
      <c r="U3" s="102">
        <v>3</v>
      </c>
      <c r="V3" s="102">
        <v>2</v>
      </c>
      <c r="W3" s="102">
        <v>1</v>
      </c>
      <c r="X3" s="102">
        <v>0</v>
      </c>
      <c r="Y3" s="102">
        <v>1</v>
      </c>
      <c r="Z3" s="102">
        <v>3</v>
      </c>
      <c r="AA3" s="102">
        <v>6</v>
      </c>
      <c r="AB3" s="102">
        <v>0</v>
      </c>
      <c r="AC3" s="102" t="str">
        <f t="shared" ca="1" si="0"/>
        <v>ANO</v>
      </c>
      <c r="AG3" s="121" t="s">
        <v>798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3 OZ, 2 (1+1), -2 ±</v>
      </c>
      <c r="AY3" s="129" t="str">
        <f t="shared" ca="1" si="2"/>
        <v>3 OZ, 2 (1+1)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948</v>
      </c>
      <c r="BU3" s="103">
        <v>3</v>
      </c>
      <c r="BV3" s="104" t="str">
        <f t="shared" ref="BV3:BV31" si="13">IFERROR(RIGHT(BT3,LEN(BT3)-SEARCH(" ",BT3)),"")</f>
        <v>Marek Fuchs</v>
      </c>
      <c r="BW3" s="102">
        <f t="shared" ref="BW3:BW31" si="14">IF(BT3&lt;&gt;0,_xlfn.NUMBERVALUE(BU3,","),"")</f>
        <v>3</v>
      </c>
      <c r="BX3" s="375"/>
      <c r="BY3" s="103" t="s">
        <v>947</v>
      </c>
      <c r="BZ3" s="103" t="s">
        <v>104</v>
      </c>
      <c r="CA3" s="115" t="s">
        <v>705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793</v>
      </c>
      <c r="T4" s="102" t="s">
        <v>121</v>
      </c>
      <c r="U4" s="102">
        <v>3</v>
      </c>
      <c r="V4" s="102">
        <v>2</v>
      </c>
      <c r="W4" s="102">
        <v>1</v>
      </c>
      <c r="X4" s="102">
        <v>0</v>
      </c>
      <c r="Y4" s="102">
        <v>1</v>
      </c>
      <c r="Z4" s="102">
        <v>3</v>
      </c>
      <c r="AA4" s="102">
        <v>0</v>
      </c>
      <c r="AB4" s="102">
        <v>-1</v>
      </c>
      <c r="AC4" s="102" t="str">
        <f t="shared" ca="1" si="0"/>
        <v>ANO</v>
      </c>
      <c r="AG4" s="121" t="s">
        <v>804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3 OZ, 1 (1+0), 0 ±</v>
      </c>
      <c r="AY4" s="129" t="str">
        <f t="shared" ca="1" si="2"/>
        <v>3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1011</v>
      </c>
      <c r="BU4" s="103">
        <v>3</v>
      </c>
      <c r="BV4" s="104" t="str">
        <f t="shared" si="13"/>
        <v>René Slezák</v>
      </c>
      <c r="BW4" s="102">
        <f t="shared" si="14"/>
        <v>3</v>
      </c>
      <c r="BX4" s="375"/>
      <c r="BY4" s="103" t="s">
        <v>276</v>
      </c>
      <c r="BZ4" s="103" t="s">
        <v>97</v>
      </c>
      <c r="CA4" s="115" t="s">
        <v>816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798</v>
      </c>
      <c r="T5" s="102" t="s">
        <v>64</v>
      </c>
      <c r="U5" s="102">
        <v>3</v>
      </c>
      <c r="V5" s="102">
        <v>1</v>
      </c>
      <c r="W5" s="102">
        <v>0</v>
      </c>
      <c r="X5" s="102">
        <v>0</v>
      </c>
      <c r="Y5" s="102">
        <v>1</v>
      </c>
      <c r="Z5" s="102">
        <v>2</v>
      </c>
      <c r="AA5" s="102">
        <v>0</v>
      </c>
      <c r="AB5" s="102">
        <v>-2</v>
      </c>
      <c r="AC5" s="102" t="str">
        <f t="shared" ca="1" si="0"/>
        <v>ANO</v>
      </c>
      <c r="AG5" s="121" t="s">
        <v>793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3 OZ, 3 (2+1), -1 ±</v>
      </c>
      <c r="AY5" s="129" t="str">
        <f t="shared" ca="1" si="2"/>
        <v>3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1012</v>
      </c>
      <c r="BU5" s="103">
        <v>2</v>
      </c>
      <c r="BV5" s="104" t="str">
        <f t="shared" si="13"/>
        <v>Matěj Hronek</v>
      </c>
      <c r="BW5" s="102">
        <f t="shared" si="14"/>
        <v>2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547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2</v>
      </c>
      <c r="AB6" s="102">
        <v>0</v>
      </c>
      <c r="AC6" s="102" t="str">
        <f t="shared" ca="1" si="0"/>
        <v>ANO</v>
      </c>
      <c r="AG6" s="121" t="s">
        <v>547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3 OZ, 2 (1+1), 0 ±</v>
      </c>
      <c r="AY6" s="129" t="str">
        <f t="shared" ca="1" si="2"/>
        <v>3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1013</v>
      </c>
      <c r="BU6" s="103">
        <v>2</v>
      </c>
      <c r="BV6" s="104" t="str">
        <f t="shared" si="13"/>
        <v>Tomáš Brom</v>
      </c>
      <c r="BW6" s="102">
        <f t="shared" si="14"/>
        <v>2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810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-1</v>
      </c>
      <c r="AC7" s="102" t="str">
        <f t="shared" ca="1" si="0"/>
        <v>ANO</v>
      </c>
      <c r="AG7" s="121" t="s">
        <v>810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3 OZ, 2 (1+1), -1 ±</v>
      </c>
      <c r="AY7" s="129" t="str">
        <f t="shared" ca="1" si="2"/>
        <v>3 OZ, 2 (1+1)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812</v>
      </c>
      <c r="BU7" s="103" t="s">
        <v>1014</v>
      </c>
      <c r="BV7" s="104" t="str">
        <f t="shared" si="13"/>
        <v>Filip Létal</v>
      </c>
      <c r="BW7" s="112">
        <f t="shared" si="14"/>
        <v>5.56</v>
      </c>
      <c r="BX7" s="375" t="s">
        <v>220</v>
      </c>
      <c r="BY7" s="103" t="s">
        <v>278</v>
      </c>
      <c r="BZ7" s="103" t="s">
        <v>96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103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809</v>
      </c>
      <c r="T8" s="102" t="s">
        <v>64</v>
      </c>
      <c r="U8" s="102">
        <v>3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2</v>
      </c>
      <c r="AB8" s="102">
        <v>-1</v>
      </c>
      <c r="AC8" s="102" t="str">
        <f t="shared" ca="1" si="0"/>
        <v>ANO</v>
      </c>
      <c r="AG8" s="121" t="s">
        <v>794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3 OZ, 4 (1+3), -1 ±</v>
      </c>
      <c r="AY8" s="129" t="str">
        <f t="shared" ca="1" si="2"/>
        <v>3 OZ, 4 (1+3)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813</v>
      </c>
      <c r="BU8" s="103" t="s">
        <v>1015</v>
      </c>
      <c r="BV8" s="104" t="str">
        <f t="shared" si="13"/>
        <v>Ondřej Kolajta</v>
      </c>
      <c r="BW8" s="112">
        <f t="shared" si="14"/>
        <v>8.2100000000000009</v>
      </c>
      <c r="BX8" s="375"/>
      <c r="BY8" s="103" t="s">
        <v>214</v>
      </c>
      <c r="BZ8" s="103" t="s">
        <v>102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804</v>
      </c>
      <c r="T9" s="102" t="s">
        <v>121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0</v>
      </c>
      <c r="AC9" s="102" t="str">
        <f t="shared" ca="1" si="0"/>
        <v>ANO</v>
      </c>
      <c r="AG9" s="121" t="s">
        <v>803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3 OZ, 1 (0+1), -2 ±</v>
      </c>
      <c r="AY9" s="129" t="str">
        <f t="shared" ca="1" si="2"/>
        <v>3 OZ, 1 (0+1)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279</v>
      </c>
      <c r="BZ9" s="103" t="s">
        <v>24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805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2</v>
      </c>
      <c r="AB10" s="102">
        <v>-1</v>
      </c>
      <c r="AC10" s="102" t="str">
        <f t="shared" ca="1" si="0"/>
        <v>ANO</v>
      </c>
      <c r="AG10" s="121" t="s">
        <v>806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1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100</v>
      </c>
      <c r="CA10" s="115" t="s">
        <v>212</v>
      </c>
    </row>
    <row r="11" spans="1:79" ht="15" customHeight="1" thickTop="1" thickBot="1" x14ac:dyDescent="0.25">
      <c r="R11" s="13"/>
      <c r="S11" s="110" t="s">
        <v>797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-1</v>
      </c>
      <c r="AC11" s="102" t="str">
        <f t="shared" ca="1" si="0"/>
        <v>ANO</v>
      </c>
      <c r="AG11" s="121" t="s">
        <v>808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3 OZ, 1 (1+0), -2 ±</v>
      </c>
      <c r="AY11" s="129" t="str">
        <f t="shared" ca="1" si="2"/>
        <v>3 OZ, 1 (1+0)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23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808</v>
      </c>
      <c r="T12" s="102" t="s">
        <v>64</v>
      </c>
      <c r="U12" s="102">
        <v>3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</v>
      </c>
      <c r="AB12" s="102">
        <v>-2</v>
      </c>
      <c r="AC12" s="102" t="str">
        <f t="shared" ca="1" si="0"/>
        <v>ANO</v>
      </c>
      <c r="AG12" s="121" t="s">
        <v>800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3 OZ, 0 (0+0), -1 ±</v>
      </c>
      <c r="AY12" s="129" t="str">
        <f t="shared" ca="1" si="2"/>
        <v>3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811</v>
      </c>
      <c r="BU12" s="103">
        <v>2</v>
      </c>
      <c r="BV12" s="104" t="str">
        <f t="shared" si="13"/>
        <v>Marek Fuchs</v>
      </c>
      <c r="BW12" s="102">
        <f t="shared" si="14"/>
        <v>2</v>
      </c>
      <c r="BX12" s="120" t="s">
        <v>218</v>
      </c>
      <c r="BY12" s="100" t="s">
        <v>968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803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805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3 OZ, 1 (1+0), -1 ±</v>
      </c>
      <c r="AY13" s="129" t="str">
        <f t="shared" ca="1" si="2"/>
        <v>3 OZ, 1 (1+0)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949</v>
      </c>
      <c r="BU13" s="103">
        <v>2</v>
      </c>
      <c r="BV13" s="104" t="str">
        <f t="shared" si="13"/>
        <v>René Slezák</v>
      </c>
      <c r="BW13" s="102">
        <f t="shared" si="14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796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-1</v>
      </c>
      <c r="AC14" s="102" t="str">
        <f t="shared" ca="1" si="0"/>
        <v>ANO</v>
      </c>
      <c r="AG14" s="121" t="s">
        <v>795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2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1016</v>
      </c>
      <c r="BU14" s="103">
        <v>1</v>
      </c>
      <c r="BV14" s="104" t="str">
        <f t="shared" si="13"/>
        <v>Dominik Dvořák</v>
      </c>
      <c r="BW14" s="102">
        <f t="shared" si="14"/>
        <v>1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799</v>
      </c>
      <c r="T15" s="102" t="s">
        <v>121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797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3 OZ, 1 (1+0), -1 ±</v>
      </c>
      <c r="AY15" s="129" t="str">
        <f t="shared" ca="1" si="2"/>
        <v>3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1017</v>
      </c>
      <c r="BU15" s="103">
        <v>1</v>
      </c>
      <c r="BV15" s="104" t="str">
        <f t="shared" si="13"/>
        <v>Jonáš Kůra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946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802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3 OZ, 0 (0+0), -1 ±</v>
      </c>
      <c r="AY16" s="129" t="str">
        <f t="shared" ca="1" si="2"/>
        <v>3 OZ, 0 (0+0)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1018</v>
      </c>
      <c r="BU16" s="103">
        <v>1</v>
      </c>
      <c r="BV16" s="104" t="str">
        <f t="shared" si="13"/>
        <v>Lukáš Jalový</v>
      </c>
      <c r="BW16" s="102">
        <f t="shared" si="14"/>
        <v>1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806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809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3 OZ, 2 (0+2), -1 ±</v>
      </c>
      <c r="AY17" s="129" t="str">
        <f t="shared" ca="1" si="2"/>
        <v>3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812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795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807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3 OZ, 3 (2+1), 0 ±</v>
      </c>
      <c r="AY18" s="129" t="str">
        <f t="shared" ca="1" si="2"/>
        <v>3 OZ, 3 (2+1)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813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HAT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800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801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3 OZ, 0 (0+0), -1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802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796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3 OZ, 1 (0+1), -1 ±</v>
      </c>
      <c r="AY20" s="129" t="str">
        <f t="shared" ca="1" si="2"/>
        <v>3 OZ, 1 (0+1)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815</v>
      </c>
      <c r="BU22" s="103">
        <v>3</v>
      </c>
      <c r="BV22" s="104" t="str">
        <f t="shared" si="13"/>
        <v>Lukáš Jalový</v>
      </c>
      <c r="BW22" s="102">
        <f t="shared" si="14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814</v>
      </c>
      <c r="BU23" s="103">
        <v>2</v>
      </c>
      <c r="BV23" s="104" t="str">
        <f t="shared" si="13"/>
        <v>David Sládeček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1019</v>
      </c>
      <c r="BU24" s="103">
        <v>1</v>
      </c>
      <c r="BV24" s="104" t="str">
        <f t="shared" si="13"/>
        <v>Jiří Juhaňák</v>
      </c>
      <c r="BW24" s="102">
        <f t="shared" si="14"/>
        <v>1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1020</v>
      </c>
      <c r="BU25" s="103">
        <v>1</v>
      </c>
      <c r="BV25" s="104" t="str">
        <f t="shared" si="13"/>
        <v>Lukáš Vlach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1021</v>
      </c>
      <c r="BU26" s="103">
        <v>1</v>
      </c>
      <c r="BV26" s="104" t="str">
        <f t="shared" si="13"/>
        <v>Marek Fuchs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950</v>
      </c>
      <c r="BU27" s="103">
        <v>6</v>
      </c>
      <c r="BV27" s="104" t="str">
        <f t="shared" si="13"/>
        <v>René Slezák</v>
      </c>
      <c r="BW27" s="102">
        <f t="shared" si="14"/>
        <v>6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814</v>
      </c>
      <c r="BU28" s="103">
        <v>2</v>
      </c>
      <c r="BV28" s="104" t="str">
        <f t="shared" si="13"/>
        <v>David Sládeček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951</v>
      </c>
      <c r="BU29" s="103">
        <v>2</v>
      </c>
      <c r="BV29" s="104" t="str">
        <f t="shared" si="13"/>
        <v>Jonáš Kůra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HAT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952</v>
      </c>
      <c r="BU30" s="103">
        <v>2</v>
      </c>
      <c r="BV30" s="104" t="str">
        <f t="shared" si="13"/>
        <v>Lukáš Lhota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953</v>
      </c>
      <c r="BU31" s="103">
        <v>2</v>
      </c>
      <c r="BV31" s="104" t="str">
        <f t="shared" si="13"/>
        <v>Matěj Hronek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795</v>
      </c>
      <c r="T45" s="102">
        <v>2</v>
      </c>
      <c r="U45" s="112">
        <v>118.72</v>
      </c>
      <c r="V45" s="102">
        <v>0</v>
      </c>
      <c r="W45" s="102">
        <v>11</v>
      </c>
      <c r="X45" s="102">
        <v>0</v>
      </c>
      <c r="Y45" s="102">
        <v>46</v>
      </c>
      <c r="Z45" s="102">
        <v>0</v>
      </c>
      <c r="AA45" s="102">
        <v>2</v>
      </c>
      <c r="AB45" s="102">
        <v>35</v>
      </c>
      <c r="AC45" s="102">
        <v>0</v>
      </c>
      <c r="AD45" s="102">
        <v>0</v>
      </c>
      <c r="AE45" s="112">
        <f>IF(S45&lt;&gt;"",IF(T45&gt;0,W45/(U45/60),0),"")</f>
        <v>5.559299191374663</v>
      </c>
      <c r="AF45" s="112">
        <f>IF(S45&lt;&gt;"",IF(Y45&gt;0,(AB45/Y45)*100,"-"),"")</f>
        <v>76.08695652173914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806</v>
      </c>
      <c r="T46" s="102">
        <v>1</v>
      </c>
      <c r="U46" s="112">
        <v>58.5</v>
      </c>
      <c r="V46" s="102">
        <v>0</v>
      </c>
      <c r="W46" s="102">
        <v>8</v>
      </c>
      <c r="X46" s="102">
        <v>0</v>
      </c>
      <c r="Y46" s="102">
        <v>20</v>
      </c>
      <c r="Z46" s="102">
        <v>0</v>
      </c>
      <c r="AA46" s="102">
        <v>1</v>
      </c>
      <c r="AB46" s="102">
        <v>12</v>
      </c>
      <c r="AC46" s="102">
        <v>0</v>
      </c>
      <c r="AD46" s="102">
        <v>0</v>
      </c>
      <c r="AE46" s="112">
        <f t="shared" ref="AE46:AE50" si="25">IF(S46&lt;&gt;"",IF(T46&gt;0,W46/(U46/60),0),"")</f>
        <v>8.2051282051282062</v>
      </c>
      <c r="AF46" s="112">
        <f t="shared" ref="AF46:AF50" si="26">IF(S46&lt;&gt;"",IF(Y46&gt;0,(AB46/Y46)*100,"-"),"")</f>
        <v>60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296</v>
      </c>
      <c r="T2" s="102" t="s">
        <v>121</v>
      </c>
      <c r="U2" s="102">
        <v>3</v>
      </c>
      <c r="V2" s="102">
        <v>2</v>
      </c>
      <c r="W2" s="102">
        <v>0</v>
      </c>
      <c r="X2" s="102">
        <v>0</v>
      </c>
      <c r="Y2" s="102">
        <v>3</v>
      </c>
      <c r="Z2" s="102">
        <v>5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299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320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(0+1), +1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211 OZ, 178 (93+85)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336</v>
      </c>
      <c r="BO2" s="122">
        <v>31582</v>
      </c>
      <c r="BP2" s="131" t="s">
        <v>264</v>
      </c>
      <c r="BQ2" s="132" t="s">
        <v>337</v>
      </c>
      <c r="BR2" s="127">
        <f ca="1">IF(BN2&lt;&gt;"",IF(BO2&lt;&gt;"",INT((TODAY()-BO2)/365),"?"),"")</f>
        <v>35</v>
      </c>
      <c r="BS2" s="376" t="s">
        <v>36</v>
      </c>
      <c r="BT2" s="104" t="s">
        <v>1023</v>
      </c>
      <c r="BU2" s="103">
        <v>5</v>
      </c>
      <c r="BV2" s="104" t="str">
        <f>IFERROR(RIGHT(BT2,LEN(BT2)-SEARCH(" ",BT2)),"")</f>
        <v>Tom Ondrušek</v>
      </c>
      <c r="BW2" s="102">
        <f>IF(BT2&lt;&gt;0,_xlfn.NUMBERVALUE(BU2,","),"")</f>
        <v>5</v>
      </c>
      <c r="BX2" s="375" t="s">
        <v>219</v>
      </c>
      <c r="BY2" s="103" t="s">
        <v>966</v>
      </c>
      <c r="BZ2" s="103" t="s">
        <v>101</v>
      </c>
      <c r="CA2" s="115" t="s">
        <v>937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290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1</v>
      </c>
      <c r="Z3" s="102">
        <v>4</v>
      </c>
      <c r="AA3" s="102">
        <v>0</v>
      </c>
      <c r="AB3" s="102">
        <v>0</v>
      </c>
      <c r="AC3" s="102" t="str">
        <f t="shared" ca="1" si="0"/>
        <v>ANO</v>
      </c>
      <c r="AG3" s="121" t="s">
        <v>307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338</v>
      </c>
      <c r="BO3" s="122">
        <v>26801</v>
      </c>
      <c r="BP3" s="131" t="s">
        <v>265</v>
      </c>
      <c r="BQ3" s="132" t="s">
        <v>339</v>
      </c>
      <c r="BR3" s="127">
        <f t="shared" ref="BR3:BR11" ca="1" si="12">IF(BN3&lt;&gt;"",IF(BO3&lt;&gt;"",INT((TODAY()-BO3)/365),"?"),"")</f>
        <v>48</v>
      </c>
      <c r="BS3" s="376"/>
      <c r="BT3" s="104" t="s">
        <v>1024</v>
      </c>
      <c r="BU3" s="103">
        <v>4</v>
      </c>
      <c r="BV3" s="104" t="str">
        <f t="shared" ref="BV3:BV31" si="13">IFERROR(RIGHT(BT3,LEN(BT3)-SEARCH(" ",BT3)),"")</f>
        <v>Marek Vávra</v>
      </c>
      <c r="BW3" s="102">
        <f t="shared" ref="BW3:BW31" si="14">IF(BT3&lt;&gt;0,_xlfn.NUMBERVALUE(BU3,","),"")</f>
        <v>4</v>
      </c>
      <c r="BX3" s="375"/>
      <c r="BY3" s="103" t="s">
        <v>211</v>
      </c>
      <c r="BZ3" s="103" t="s">
        <v>23</v>
      </c>
      <c r="CA3" s="115" t="s">
        <v>898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289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2</v>
      </c>
      <c r="AB4" s="102">
        <v>0</v>
      </c>
      <c r="AC4" s="102" t="str">
        <f t="shared" ca="1" si="0"/>
        <v>NE</v>
      </c>
      <c r="AG4" s="121" t="s">
        <v>308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2 OZ, 0 (0+0), 0 ±</v>
      </c>
      <c r="AY4" s="129" t="str">
        <f t="shared" ca="1" si="2"/>
        <v>11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318</v>
      </c>
      <c r="BO4" s="122">
        <v>28909</v>
      </c>
      <c r="BP4" s="131" t="s">
        <v>265</v>
      </c>
      <c r="BQ4" s="132" t="s">
        <v>340</v>
      </c>
      <c r="BR4" s="127">
        <f t="shared" ca="1" si="12"/>
        <v>42</v>
      </c>
      <c r="BS4" s="376"/>
      <c r="BT4" s="104" t="s">
        <v>893</v>
      </c>
      <c r="BU4" s="103">
        <v>4</v>
      </c>
      <c r="BV4" s="104" t="str">
        <f t="shared" si="13"/>
        <v>Mikuláš Komárek</v>
      </c>
      <c r="BW4" s="102">
        <f t="shared" si="14"/>
        <v>4</v>
      </c>
      <c r="BX4" s="375"/>
      <c r="BY4" s="103" t="s">
        <v>276</v>
      </c>
      <c r="BZ4" s="103" t="s">
        <v>100</v>
      </c>
      <c r="CA4" s="115" t="s">
        <v>353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293</v>
      </c>
      <c r="T5" s="102" t="s">
        <v>121</v>
      </c>
      <c r="U5" s="102">
        <v>3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1</v>
      </c>
      <c r="AC5" s="102" t="str">
        <f t="shared" ca="1" si="0"/>
        <v>ANO</v>
      </c>
      <c r="AG5" s="121" t="s">
        <v>297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321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3 OZ, 2 (1+1), +1 ±</v>
      </c>
      <c r="AY5" s="129" t="str">
        <f t="shared" ca="1" si="2"/>
        <v>49 OZ, 27 (18+9)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341</v>
      </c>
      <c r="BO5" s="122">
        <v>31168</v>
      </c>
      <c r="BP5" s="131" t="s">
        <v>342</v>
      </c>
      <c r="BQ5" s="132" t="s">
        <v>343</v>
      </c>
      <c r="BR5" s="127">
        <f t="shared" ca="1" si="12"/>
        <v>36</v>
      </c>
      <c r="BS5" s="376"/>
      <c r="BT5" s="104" t="s">
        <v>1025</v>
      </c>
      <c r="BU5" s="103">
        <v>4</v>
      </c>
      <c r="BV5" s="104" t="str">
        <f t="shared" si="13"/>
        <v>Petr Majer</v>
      </c>
      <c r="BW5" s="102">
        <f t="shared" si="14"/>
        <v>4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295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1</v>
      </c>
      <c r="AC6" s="102" t="str">
        <f t="shared" ca="1" si="0"/>
        <v>NE</v>
      </c>
      <c r="AG6" s="121" t="s">
        <v>309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322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0 OZ, 0 (0+0)</v>
      </c>
      <c r="AY6" s="129" t="str">
        <f t="shared" ca="1" si="2"/>
        <v>11 OZ, 1 (0+1)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344</v>
      </c>
      <c r="BO6" s="122">
        <v>32514</v>
      </c>
      <c r="BP6" s="131" t="s">
        <v>345</v>
      </c>
      <c r="BQ6" s="132" t="s">
        <v>346</v>
      </c>
      <c r="BR6" s="127">
        <f t="shared" ca="1" si="12"/>
        <v>32</v>
      </c>
      <c r="BS6" s="376"/>
      <c r="BT6" s="104" t="s">
        <v>895</v>
      </c>
      <c r="BU6" s="103">
        <v>3</v>
      </c>
      <c r="BV6" s="104" t="str">
        <f t="shared" si="13"/>
        <v>Martin Skřivánek</v>
      </c>
      <c r="BW6" s="102">
        <f t="shared" si="14"/>
        <v>3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292</v>
      </c>
      <c r="T7" s="102" t="s">
        <v>121</v>
      </c>
      <c r="U7" s="102">
        <v>3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1</v>
      </c>
      <c r="AC7" s="102" t="str">
        <f t="shared" ca="1" si="0"/>
        <v>ANO</v>
      </c>
      <c r="AG7" s="121" t="s">
        <v>310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323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2 OZ, 0 (0+0), -1 ±</v>
      </c>
      <c r="AY7" s="129" t="str">
        <f t="shared" ca="1" si="2"/>
        <v>25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347</v>
      </c>
      <c r="BU7" s="103" t="s">
        <v>1026</v>
      </c>
      <c r="BV7" s="104" t="str">
        <f t="shared" si="13"/>
        <v>Vojtěch Šimůnek</v>
      </c>
      <c r="BW7" s="112">
        <f t="shared" si="14"/>
        <v>5.63</v>
      </c>
      <c r="BX7" s="375" t="s">
        <v>220</v>
      </c>
      <c r="BY7" s="103" t="s">
        <v>213</v>
      </c>
      <c r="BZ7" s="103" t="s">
        <v>5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24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297</v>
      </c>
      <c r="T8" s="102" t="s">
        <v>121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1</v>
      </c>
      <c r="AC8" s="102" t="str">
        <f t="shared" ca="1" si="0"/>
        <v>ANO</v>
      </c>
      <c r="AG8" s="121" t="s">
        <v>311</v>
      </c>
      <c r="AH8" s="122"/>
      <c r="AI8" s="123"/>
      <c r="AJ8" s="123"/>
      <c r="AK8" s="123"/>
      <c r="AL8" s="124">
        <f>IF(AG8&lt;&gt;"",AJ8+AK8,"")</f>
        <v>0</v>
      </c>
      <c r="AM8" s="123" t="s">
        <v>319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349</v>
      </c>
      <c r="BU8" s="103" t="s">
        <v>203</v>
      </c>
      <c r="BV8" s="104" t="str">
        <f t="shared" si="13"/>
        <v>Karel Pergler</v>
      </c>
      <c r="BW8" s="112">
        <f t="shared" si="14"/>
        <v>0</v>
      </c>
      <c r="BX8" s="375"/>
      <c r="BY8" s="103" t="s">
        <v>214</v>
      </c>
      <c r="BZ8" s="103" t="s">
        <v>94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291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2</v>
      </c>
      <c r="Z9" s="102">
        <v>2</v>
      </c>
      <c r="AA9" s="102">
        <v>0</v>
      </c>
      <c r="AB9" s="102">
        <v>3</v>
      </c>
      <c r="AC9" s="102" t="str">
        <f t="shared" ca="1" si="0"/>
        <v>ANO</v>
      </c>
      <c r="AG9" s="121" t="s">
        <v>312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324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279</v>
      </c>
      <c r="BZ9" s="103" t="s">
        <v>103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2</v>
      </c>
      <c r="AB10" s="102">
        <v>1</v>
      </c>
      <c r="AC10" s="102" t="str">
        <f t="shared" ca="1" si="0"/>
        <v>ANO</v>
      </c>
      <c r="AG10" s="121" t="s">
        <v>313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99</v>
      </c>
      <c r="CA10" s="115" t="s">
        <v>212</v>
      </c>
    </row>
    <row r="11" spans="1:79" ht="15" customHeight="1" thickTop="1" thickBot="1" x14ac:dyDescent="0.25">
      <c r="R11" s="13"/>
      <c r="S11" s="110" t="s">
        <v>897</v>
      </c>
      <c r="T11" s="102" t="s">
        <v>121</v>
      </c>
      <c r="U11" s="102">
        <v>2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-1</v>
      </c>
      <c r="AC11" s="102" t="str">
        <f t="shared" ca="1" si="0"/>
        <v>NE</v>
      </c>
      <c r="AG11" s="121" t="s">
        <v>314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325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105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326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892</v>
      </c>
      <c r="BU12" s="103">
        <v>3</v>
      </c>
      <c r="BV12" s="104" t="str">
        <f t="shared" si="13"/>
        <v>Marek Vávra</v>
      </c>
      <c r="BW12" s="102">
        <f t="shared" si="14"/>
        <v>3</v>
      </c>
      <c r="BX12" s="120" t="s">
        <v>218</v>
      </c>
      <c r="BY12" s="100" t="s">
        <v>1035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302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293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327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3 OZ, 4 (1+3), +1 ±</v>
      </c>
      <c r="AY13" s="129" t="str">
        <f t="shared" ca="1" si="2"/>
        <v>43 OZ, 69 (41+28)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352</v>
      </c>
      <c r="BU13" s="103">
        <v>3</v>
      </c>
      <c r="BV13" s="104" t="str">
        <f t="shared" si="13"/>
        <v>Mikuláš Komárek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305</v>
      </c>
      <c r="T14" s="102" t="s">
        <v>121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3</v>
      </c>
      <c r="AC14" s="102" t="str">
        <f t="shared" ca="1" si="0"/>
        <v>NE</v>
      </c>
      <c r="AG14" s="121" t="s">
        <v>306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328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3 OZ, 0 (0+0), +2 ±</v>
      </c>
      <c r="AY14" s="129" t="str">
        <f t="shared" ca="1" si="2"/>
        <v>97 OZ, 53 (36+17)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1027</v>
      </c>
      <c r="BU14" s="103">
        <v>2</v>
      </c>
      <c r="BV14" s="104" t="str">
        <f t="shared" si="13"/>
        <v>Martin Skřivánek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304</v>
      </c>
      <c r="T15" s="102" t="s">
        <v>64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315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329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350</v>
      </c>
      <c r="BU15" s="103">
        <v>2</v>
      </c>
      <c r="BV15" s="104" t="str">
        <f t="shared" si="13"/>
        <v>Martin Řezáč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308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296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330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3 OZ, 5 (2+3), 0 ±</v>
      </c>
      <c r="AY16" s="129" t="str">
        <f t="shared" ca="1" si="2"/>
        <v>243 OZ, 528 (324+204)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1028</v>
      </c>
      <c r="BU16" s="103">
        <v>2</v>
      </c>
      <c r="BV16" s="104" t="str">
        <f t="shared" si="13"/>
        <v>Tom Ondrušek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310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319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347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317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ANO</v>
      </c>
      <c r="AG18" s="121" t="s">
        <v>300</v>
      </c>
      <c r="AH18" s="122"/>
      <c r="AI18" s="123"/>
      <c r="AJ18" s="123"/>
      <c r="AK18" s="123"/>
      <c r="AL18" s="124">
        <f>IF(AG18&lt;&gt;"",AJ18+AK18,"")</f>
        <v>0</v>
      </c>
      <c r="AM18" s="123" t="s">
        <v>319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349</v>
      </c>
      <c r="BU18" s="103">
        <v>0</v>
      </c>
      <c r="BV18" s="104" t="str">
        <f t="shared" si="13"/>
        <v>Karel Pergler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CHO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303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302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331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1 OZ, 0 (0+0), 0 ±</v>
      </c>
      <c r="AY19" s="129" t="str">
        <f t="shared" ca="1" si="2"/>
        <v>118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306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298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332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3 OZ, 0 (0+0), +5 ±</v>
      </c>
      <c r="AY20" s="129" t="str">
        <f t="shared" ca="1" si="2"/>
        <v>224 OZ, 151 (44+107)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298</v>
      </c>
      <c r="T21" s="102" t="s">
        <v>64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5</v>
      </c>
      <c r="AC21" s="102" t="str">
        <f t="shared" ca="1" si="0"/>
        <v>ANO</v>
      </c>
      <c r="AG21" s="121" t="s">
        <v>316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332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300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292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333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3 OZ, 2 (2+0), +1 ±</v>
      </c>
      <c r="AY22" s="129" t="str">
        <f t="shared" ca="1" si="2"/>
        <v>97 OZ, 55 (28+27)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896</v>
      </c>
      <c r="BU22" s="103">
        <v>3</v>
      </c>
      <c r="BV22" s="104" t="str">
        <f t="shared" si="13"/>
        <v>Petr Majer</v>
      </c>
      <c r="BW22" s="102">
        <f t="shared" si="14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301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303</v>
      </c>
      <c r="AH23" s="122"/>
      <c r="AI23" s="123"/>
      <c r="AJ23" s="123"/>
      <c r="AK23" s="123"/>
      <c r="AL23" s="124">
        <f>IF(AG23&lt;&gt;"",AJ23+AK23,"")</f>
        <v>0</v>
      </c>
      <c r="AM23" s="123" t="s">
        <v>319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3 OZ, 0 (0+0), 0 ±</v>
      </c>
      <c r="AY23" s="129" t="str">
        <f t="shared" ca="1" si="2"/>
        <v>3 OZ, 0 (0+0)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1029</v>
      </c>
      <c r="BU23" s="103">
        <v>3</v>
      </c>
      <c r="BV23" s="104" t="str">
        <f t="shared" si="13"/>
        <v>Tom Ondrušek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317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333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-1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94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1030</v>
      </c>
      <c r="BU24" s="103">
        <v>2</v>
      </c>
      <c r="BV24" s="104" t="str">
        <f t="shared" si="13"/>
        <v>Tomáš Vávra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304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334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2 OZ, 0 (0+0), 0 ±</v>
      </c>
      <c r="AY25" s="129" t="str">
        <f t="shared" ca="1" si="16"/>
        <v>230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894</v>
      </c>
      <c r="BU25" s="103">
        <v>1</v>
      </c>
      <c r="BV25" s="104" t="str">
        <f t="shared" si="13"/>
        <v>Daniel Eremiáš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301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335</v>
      </c>
      <c r="AT26" s="123">
        <v>2010</v>
      </c>
      <c r="AU26" s="127">
        <f ca="1">IF(AG26&lt;&gt;"",IF(AH26&lt;&gt;"",INT((TODAY()-AH26)/365),"?"),"")</f>
        <v>20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2 P</v>
      </c>
      <c r="AY26" s="129" t="str">
        <f t="shared" ca="1" si="16"/>
        <v>17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1031</v>
      </c>
      <c r="BU26" s="103">
        <v>1</v>
      </c>
      <c r="BV26" s="104" t="str">
        <f t="shared" si="13"/>
        <v>Jiří Bauer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318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319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351</v>
      </c>
      <c r="BU27" s="103">
        <v>2</v>
      </c>
      <c r="BV27" s="104" t="str">
        <f t="shared" si="13"/>
        <v>Michal Podhráský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290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4 (3+1), 0 ±</v>
      </c>
      <c r="AY28" s="129" t="str">
        <f t="shared" ca="1" si="16"/>
        <v>233 OZ, 462 (269+193)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1032</v>
      </c>
      <c r="BU28" s="103">
        <v>2</v>
      </c>
      <c r="BV28" s="104" t="str">
        <f t="shared" si="13"/>
        <v>Michal Strnad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291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+3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893</v>
      </c>
      <c r="BU29" s="103">
        <v>2</v>
      </c>
      <c r="BV29" s="104" t="str">
        <f t="shared" si="13"/>
        <v>Mikuláš Komárek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CHO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294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327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3 OZ, 1 (1+0), +1 ±</v>
      </c>
      <c r="AY30" s="129" t="str">
        <f t="shared" ca="1" si="16"/>
        <v>109 OZ, 60 (35+25)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1033</v>
      </c>
      <c r="BU30" s="103">
        <v>2</v>
      </c>
      <c r="BV30" s="104" t="str">
        <f t="shared" si="13"/>
        <v>Ondřej Vošta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1034</v>
      </c>
      <c r="BU31" s="103">
        <v>0</v>
      </c>
      <c r="BV31" s="104" t="str">
        <f t="shared" si="13"/>
        <v>Adam Balatka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301</v>
      </c>
      <c r="T45" s="102">
        <v>3</v>
      </c>
      <c r="U45" s="112">
        <v>181.02</v>
      </c>
      <c r="V45" s="102">
        <v>1</v>
      </c>
      <c r="W45" s="102">
        <v>17</v>
      </c>
      <c r="X45" s="102">
        <v>0</v>
      </c>
      <c r="Y45" s="102">
        <v>75</v>
      </c>
      <c r="Z45" s="102">
        <v>0</v>
      </c>
      <c r="AA45" s="102">
        <v>2</v>
      </c>
      <c r="AB45" s="102">
        <v>58</v>
      </c>
      <c r="AC45" s="102">
        <v>0</v>
      </c>
      <c r="AD45" s="102">
        <v>0</v>
      </c>
      <c r="AE45" s="112">
        <f>IF(S45&lt;&gt;"",IF(T45&gt;0,W45/(U45/60),0),"")</f>
        <v>5.6347364932051702</v>
      </c>
      <c r="AF45" s="112">
        <f>IF(S45&lt;&gt;"",IF(Y45&gt;0,(AB45/Y45)*100,"-"),"")</f>
        <v>77.333333333333329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300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 t="s">
        <v>223</v>
      </c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39" t="s">
        <v>1</v>
      </c>
      <c r="I1" s="339"/>
      <c r="J1" s="339"/>
      <c r="K1" s="339"/>
      <c r="M1" s="337" t="s">
        <v>229</v>
      </c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0">
        <f ca="1">IFERROR(IF(VLOOKUP(A1,OFFSET($AG$2,,,COUNTIF($AG$2:$AG$50,"?*"),23),2,FALSE)&lt;&gt;0,YEAR(VLOOKUP(A1,OFFSET($AG$2,,,COUNTIF($AG$2:$AG$50,"?*"),23),2,FALSE)),""),"")</f>
        <v>1998</v>
      </c>
      <c r="C2" s="341"/>
      <c r="D2" s="94">
        <f ca="1">IFERROR(VLOOKUP(A1,OFFSET($AG$2,,,COUNTIF($AG$2:$AG$50,"?*"),23),15,FALSE),"")</f>
        <v>23</v>
      </c>
      <c r="E2" s="331" t="str">
        <f ca="1">IFERROR(VLOOKUP(A1,OFFSET($AG$2,,,COUNTIF($AG$2:$AG$50,"?*"),23),16,FALSE),"")</f>
        <v>177/74</v>
      </c>
      <c r="F2" s="332"/>
      <c r="M2" s="4" t="str">
        <f ca="1">IFERROR(IF(VLOOKUP(M1,OFFSET($AG$2,,,COUNTIF($AG$2:$AG$50,"?*"),23),10,FALSE)&lt;&gt;0,VLOOKUP(M1,OFFSET($AG$2,,,COUNTIF($AG$2:$AG$50,"?*"),23),10,FALSE),""),"")</f>
        <v>L</v>
      </c>
      <c r="N2" s="340">
        <f ca="1">IFERROR(IF(VLOOKUP(M1,OFFSET($AG$2,,,COUNTIF($AG$2:$AG$50,"?*"),23),2,FALSE)&lt;&gt;0,YEAR(VLOOKUP(M1,OFFSET($AG$2,,,COUNTIF($AG$2:$AG$50,"?*"),23),2,FALSE)),""),"")</f>
        <v>2003</v>
      </c>
      <c r="O2" s="341"/>
      <c r="P2" s="94">
        <f ca="1">IFERROR(VLOOKUP(M1,OFFSET($AG$2,,,COUNTIF($AG$2:$AG$50,"?*"),23),15,FALSE),"")</f>
        <v>18</v>
      </c>
      <c r="Q2" s="331" t="str">
        <f ca="1">IFERROR(VLOOKUP(M1,OFFSET($AG$2,,,COUNTIF($AG$2:$AG$50,"?*"),23),16,FALSE),"")</f>
        <v>187/83</v>
      </c>
      <c r="R2" s="332"/>
      <c r="S2" s="110" t="s">
        <v>226</v>
      </c>
      <c r="T2" s="102" t="s">
        <v>121</v>
      </c>
      <c r="U2" s="102">
        <v>3</v>
      </c>
      <c r="V2" s="102">
        <v>3</v>
      </c>
      <c r="W2" s="102">
        <v>2</v>
      </c>
      <c r="X2" s="102">
        <v>0</v>
      </c>
      <c r="Y2" s="102">
        <v>2</v>
      </c>
      <c r="Z2" s="102">
        <v>5</v>
      </c>
      <c r="AA2" s="102">
        <v>0</v>
      </c>
      <c r="AB2" s="102">
        <v>-2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230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242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(1+0), -6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121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259</v>
      </c>
      <c r="BO2" s="122">
        <v>24850</v>
      </c>
      <c r="BP2" s="131" t="s">
        <v>264</v>
      </c>
      <c r="BQ2" s="132" t="s">
        <v>268</v>
      </c>
      <c r="BR2" s="127">
        <f ca="1">IF(BN2&lt;&gt;"",IF(BO2&lt;&gt;"",INT((TODAY()-BO2)/365),"?"),"")</f>
        <v>53</v>
      </c>
      <c r="BS2" s="376" t="s">
        <v>36</v>
      </c>
      <c r="BT2" s="104" t="s">
        <v>1038</v>
      </c>
      <c r="BU2" s="103">
        <v>5</v>
      </c>
      <c r="BV2" s="104" t="str">
        <f>IFERROR(RIGHT(BT2,LEN(BT2)-SEARCH(" ",BT2)),"")</f>
        <v>Prokop Ferdan</v>
      </c>
      <c r="BW2" s="102">
        <f>IF(BT2&lt;&gt;0,_xlfn.NUMBERVALUE(BU2,","),"")</f>
        <v>5</v>
      </c>
      <c r="BX2" s="375" t="s">
        <v>219</v>
      </c>
      <c r="BY2" s="103" t="s">
        <v>966</v>
      </c>
      <c r="BZ2" s="103" t="s">
        <v>5</v>
      </c>
      <c r="CA2" s="115" t="s">
        <v>1036</v>
      </c>
    </row>
    <row r="3" spans="1:79" ht="15" customHeight="1" thickTop="1" thickBot="1" x14ac:dyDescent="0.25">
      <c r="A3" s="333" t="str">
        <f ca="1">IFERROR(VLOOKUP(A1,OFFSET($AG$2,,,COUNTIF($AG$2:$AG$50,"?*"),23),18,FALSE),"")</f>
        <v>3 OZ, 2 (2+0), -3 ±</v>
      </c>
      <c r="B3" s="334"/>
      <c r="C3" s="334"/>
      <c r="D3" s="335" t="str">
        <f ca="1">IFERROR(VLOOKUP(A1,OFFSET($AG$2,,,COUNTIF($AG$2:$AG$50,"?*"),23),19,FALSE),"")</f>
        <v>97 OZ, 31 (22+9)</v>
      </c>
      <c r="E3" s="335"/>
      <c r="F3" s="336"/>
      <c r="G3" s="337" t="s">
        <v>222</v>
      </c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3" t="str">
        <f ca="1">IFERROR(VLOOKUP(M1,OFFSET($AG$2,,,COUNTIF($AG$2:$AG$50,"?*"),23),18,FALSE),"")</f>
        <v>3 OZ, 1 (0+1), -3 ±</v>
      </c>
      <c r="N3" s="334"/>
      <c r="O3" s="334"/>
      <c r="P3" s="335" t="str">
        <f ca="1">IFERROR(VLOOKUP(M1,OFFSET($AG$2,,,COUNTIF($AG$2:$AG$50,"?*"),23),19,FALSE),"")</f>
        <v>21 OZ, 15 (9+6)</v>
      </c>
      <c r="Q3" s="335"/>
      <c r="R3" s="336"/>
      <c r="S3" s="110" t="s">
        <v>222</v>
      </c>
      <c r="U3" s="102">
        <v>3</v>
      </c>
      <c r="V3" s="102">
        <v>1</v>
      </c>
      <c r="W3" s="102">
        <v>1</v>
      </c>
      <c r="X3" s="102">
        <v>0</v>
      </c>
      <c r="Y3" s="102">
        <v>3</v>
      </c>
      <c r="Z3" s="102">
        <v>4</v>
      </c>
      <c r="AA3" s="102">
        <v>0</v>
      </c>
      <c r="AB3" s="102">
        <v>-2</v>
      </c>
      <c r="AC3" s="102" t="str">
        <f t="shared" ca="1" si="0"/>
        <v>ANO</v>
      </c>
      <c r="AG3" s="121" t="s">
        <v>243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260</v>
      </c>
      <c r="BO3" s="122">
        <v>34764</v>
      </c>
      <c r="BP3" s="131" t="s">
        <v>265</v>
      </c>
      <c r="BQ3" s="132"/>
      <c r="BR3" s="127">
        <f t="shared" ref="BR3:BR11" ca="1" si="12">IF(BN3&lt;&gt;"",IF(BO3&lt;&gt;"",INT((TODAY()-BO3)/365),"?"),"")</f>
        <v>26</v>
      </c>
      <c r="BS3" s="376"/>
      <c r="BT3" s="104" t="s">
        <v>1039</v>
      </c>
      <c r="BU3" s="103">
        <v>4</v>
      </c>
      <c r="BV3" s="104" t="str">
        <f t="shared" ref="BV3:BV31" si="13">IFERROR(RIGHT(BT3,LEN(BT3)-SEARCH(" ",BT3)),"")</f>
        <v>Jakub Kopecký</v>
      </c>
      <c r="BW3" s="102">
        <f t="shared" ref="BW3:BW31" si="14">IF(BT3&lt;&gt;0,_xlfn.NUMBERVALUE(BU3,","),"")</f>
        <v>4</v>
      </c>
      <c r="BX3" s="375"/>
      <c r="BY3" s="103" t="s">
        <v>211</v>
      </c>
      <c r="BZ3" s="103" t="s">
        <v>101</v>
      </c>
      <c r="CA3" s="115" t="s">
        <v>900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>FBC Liberec</v>
      </c>
      <c r="B4" s="343"/>
      <c r="C4" s="344"/>
      <c r="D4" s="345">
        <f ca="1">IFERROR(IF(VLOOKUP(A1,OFFSET($AG$2,,,COUNTIF($AG$2:$AG$50,"?*"),23),14,FALSE)&lt;&gt;0,VLOOKUP(A1,OFFSET($AG$2,,,COUNTIF($AG$2:$AG$50,"?*"),23),14,FALSE),"?"),"")</f>
        <v>2011</v>
      </c>
      <c r="E4" s="346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0">
        <f ca="1">IFERROR(IF(VLOOKUP(G3,OFFSET($AG$2,,,COUNTIF($AG$2:$AG$50,"?*"),23),2,FALSE)&lt;&gt;0,YEAR(VLOOKUP(G3,OFFSET($AG$2,,,COUNTIF($AG$2:$AG$50,"?*"),23),2,FALSE)),""),"")</f>
        <v>1998</v>
      </c>
      <c r="I4" s="341"/>
      <c r="J4" s="94">
        <f ca="1">IFERROR(VLOOKUP(G3,OFFSET($AG$2,,,COUNTIF($AG$2:$AG$50,"?*"),23),15,FALSE),"")</f>
        <v>23</v>
      </c>
      <c r="K4" s="331" t="str">
        <f ca="1">IFERROR(VLOOKUP(G3,OFFSET($AG$2,,,COUNTIF($AG$2:$AG$50,"?*"),23),16,FALSE),"")</f>
        <v>185/74</v>
      </c>
      <c r="L4" s="332"/>
      <c r="M4" s="342" t="str">
        <f ca="1">IFERROR(IF(VLOOKUP(M1,OFFSET($AG$2,,,COUNTIF($AG$2:$AG$50,"?*"),23),13,FALSE)&lt;&gt;0,VLOOKUP(M1,OFFSET($AG$2,,,COUNTIF($AG$2:$AG$50,"?*"),23),13,FALSE),"?"),"")</f>
        <v>FBC Lomnice</v>
      </c>
      <c r="N4" s="343"/>
      <c r="O4" s="344"/>
      <c r="P4" s="345">
        <f ca="1">IFERROR(IF(VLOOKUP(M1,OFFSET($AG$2,,,COUNTIF($AG$2:$AG$50,"?*"),23),14,FALSE)&lt;&gt;0,VLOOKUP(M1,OFFSET($AG$2,,,COUNTIF($AG$2:$AG$50,"?*"),23),14,FALSE),"?"),"")</f>
        <v>2010</v>
      </c>
      <c r="Q4" s="346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224</v>
      </c>
      <c r="T4" s="102" t="s">
        <v>121</v>
      </c>
      <c r="U4" s="102">
        <v>3</v>
      </c>
      <c r="V4" s="102">
        <v>1</v>
      </c>
      <c r="W4" s="102">
        <v>0</v>
      </c>
      <c r="X4" s="102">
        <v>0</v>
      </c>
      <c r="Y4" s="102">
        <v>2</v>
      </c>
      <c r="Z4" s="102">
        <v>3</v>
      </c>
      <c r="AA4" s="102">
        <v>2</v>
      </c>
      <c r="AB4" s="102">
        <v>-3</v>
      </c>
      <c r="AC4" s="102" t="str">
        <f t="shared" ca="1" si="0"/>
        <v>ANO</v>
      </c>
      <c r="AG4" s="121" t="s">
        <v>244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261</v>
      </c>
      <c r="BO4" s="122">
        <v>29102</v>
      </c>
      <c r="BP4" s="131" t="s">
        <v>194</v>
      </c>
      <c r="BQ4" s="132"/>
      <c r="BR4" s="127">
        <f t="shared" ca="1" si="12"/>
        <v>42</v>
      </c>
      <c r="BS4" s="376"/>
      <c r="BT4" s="104" t="s">
        <v>271</v>
      </c>
      <c r="BU4" s="103">
        <v>3</v>
      </c>
      <c r="BV4" s="104" t="str">
        <f t="shared" si="13"/>
        <v>Radek Valeš</v>
      </c>
      <c r="BW4" s="102">
        <f t="shared" si="14"/>
        <v>3</v>
      </c>
      <c r="BX4" s="375"/>
      <c r="BY4" s="103" t="s">
        <v>276</v>
      </c>
      <c r="BZ4" s="103" t="s">
        <v>23</v>
      </c>
      <c r="CA4" s="115" t="s">
        <v>277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>3 OZ, 4 (1+3), -2 ±</v>
      </c>
      <c r="H5" s="334"/>
      <c r="I5" s="334"/>
      <c r="J5" s="335" t="str">
        <f ca="1">IFERROR(VLOOKUP(G3,OFFSET($AG$2,,,COUNTIF($AG$2:$AG$50,"?*"),23),19,FALSE),"")</f>
        <v>103 OZ, 89 (51+38)</v>
      </c>
      <c r="K5" s="335"/>
      <c r="L5" s="336"/>
      <c r="S5" s="110" t="s">
        <v>223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0</v>
      </c>
      <c r="Z5" s="102">
        <v>2</v>
      </c>
      <c r="AA5" s="102">
        <v>0</v>
      </c>
      <c r="AB5" s="102">
        <v>-3</v>
      </c>
      <c r="AC5" s="102" t="str">
        <f t="shared" ca="1" si="0"/>
        <v>ANO</v>
      </c>
      <c r="AG5" s="121" t="s">
        <v>237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245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3 OZ, 1 (1+0), -3 ±</v>
      </c>
      <c r="AY5" s="129" t="str">
        <f t="shared" ca="1" si="2"/>
        <v>197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262</v>
      </c>
      <c r="BO5" s="122">
        <v>30335</v>
      </c>
      <c r="BP5" s="131" t="s">
        <v>266</v>
      </c>
      <c r="BQ5" s="132"/>
      <c r="BR5" s="127">
        <f t="shared" ca="1" si="12"/>
        <v>38</v>
      </c>
      <c r="BS5" s="376"/>
      <c r="BT5" s="104" t="s">
        <v>1040</v>
      </c>
      <c r="BU5" s="103">
        <v>2</v>
      </c>
      <c r="BV5" s="104" t="str">
        <f t="shared" si="13"/>
        <v>Jan Šoltys</v>
      </c>
      <c r="BW5" s="102">
        <f t="shared" si="14"/>
        <v>2</v>
      </c>
      <c r="BX5" s="375"/>
    </row>
    <row r="6" spans="1:79" ht="15" customHeight="1" thickTop="1" thickBot="1" x14ac:dyDescent="0.25">
      <c r="A6" s="337" t="s">
        <v>238</v>
      </c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2" t="str">
        <f ca="1">IFERROR(IF(VLOOKUP(G3,OFFSET($AG$2,,,COUNTIF($AG$2:$AG$50,"?*"),23),13,FALSE)&lt;&gt;0,VLOOKUP(G3,OFFSET($AG$2,,,COUNTIF($AG$2:$AG$50,"?*"),23),13,FALSE),"?"),"")</f>
        <v>TJ Sokol Jaroměř</v>
      </c>
      <c r="H6" s="343"/>
      <c r="I6" s="344"/>
      <c r="J6" s="345">
        <f ca="1">IFERROR(IF(VLOOKUP(G3,OFFSET($AG$2,,,COUNTIF($AG$2:$AG$50,"?*"),23),14,FALSE)&lt;&gt;0,VLOOKUP(G3,OFFSET($AG$2,,,COUNTIF($AG$2:$AG$50,"?*"),23),14,FALSE),"?"),"")</f>
        <v>2007</v>
      </c>
      <c r="K6" s="346"/>
      <c r="L6" s="7">
        <f ca="1">IFERROR(IF(VLOOKUP(G3,OFFSET($AG$2,,,COUNTIF($AG$2:$AG$50,"?*"),23),7,FALSE)&lt;&gt;0,VLOOKUP(G3,OFFSET($AG$2,,,COUNTIF($AG$2:$AG$50,"?*"),23),7,FALSE),"?"),"")</f>
        <v>5</v>
      </c>
      <c r="M6" s="337" t="s">
        <v>232</v>
      </c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239</v>
      </c>
      <c r="T6" s="102" t="s">
        <v>121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0</v>
      </c>
      <c r="AB6" s="102">
        <v>-5</v>
      </c>
      <c r="AC6" s="102" t="str">
        <f t="shared" ca="1" si="0"/>
        <v>ANO</v>
      </c>
      <c r="AG6" s="121" t="s">
        <v>226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247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3 OZ, 5 (3+2), -2 ±</v>
      </c>
      <c r="AY6" s="129" t="str">
        <f t="shared" ca="1" si="2"/>
        <v>188 OZ, 229 (129+100)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263</v>
      </c>
      <c r="BO6" s="122">
        <v>36034</v>
      </c>
      <c r="BP6" s="131" t="s">
        <v>267</v>
      </c>
      <c r="BQ6" s="132"/>
      <c r="BR6" s="127">
        <f t="shared" ca="1" si="12"/>
        <v>23</v>
      </c>
      <c r="BS6" s="376"/>
      <c r="BT6" s="104" t="s">
        <v>1041</v>
      </c>
      <c r="BU6" s="103">
        <v>2</v>
      </c>
      <c r="BV6" s="104" t="str">
        <f t="shared" si="13"/>
        <v>Jan Světlík</v>
      </c>
      <c r="BW6" s="102">
        <f t="shared" si="14"/>
        <v>2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0">
        <f ca="1">IFERROR(IF(VLOOKUP(A6,OFFSET($AG$2,,,COUNTIF($AG$2:$AG$50,"?*"),23),2,FALSE)&lt;&gt;0,YEAR(VLOOKUP(A6,OFFSET($AG$2,,,COUNTIF($AG$2:$AG$50,"?*"),23),2,FALSE)),""),"")</f>
        <v>2002</v>
      </c>
      <c r="C7" s="341"/>
      <c r="D7" s="94">
        <f ca="1">IFERROR(VLOOKUP(A6,OFFSET($AG$2,,,COUNTIF($AG$2:$AG$50,"?*"),23),15,FALSE),"")</f>
        <v>19</v>
      </c>
      <c r="E7" s="331" t="str">
        <f ca="1">IFERROR(VLOOKUP(A6,OFFSET($AG$2,,,COUNTIF($AG$2:$AG$50,"?*"),23),16,FALSE),"")</f>
        <v>164/68</v>
      </c>
      <c r="F7" s="332"/>
      <c r="M7" s="4" t="str">
        <f ca="1">IFERROR(IF(VLOOKUP(M6,OFFSET($AG$2,,,COUNTIF($AG$2:$AG$50,"?*"),23),10,FALSE)&lt;&gt;0,VLOOKUP(M6,OFFSET($AG$2,,,COUNTIF($AG$2:$AG$50,"?*"),23),10,FALSE),""),"")</f>
        <v>L</v>
      </c>
      <c r="N7" s="340">
        <f ca="1">IFERROR(IF(VLOOKUP(M6,OFFSET($AG$2,,,COUNTIF($AG$2:$AG$50,"?*"),23),2,FALSE)&lt;&gt;0,YEAR(VLOOKUP(M6,OFFSET($AG$2,,,COUNTIF($AG$2:$AG$50,"?*"),23),2,FALSE)),""),"")</f>
        <v>1986</v>
      </c>
      <c r="O7" s="341"/>
      <c r="P7" s="94">
        <f ca="1">IFERROR(VLOOKUP(M6,OFFSET($AG$2,,,COUNTIF($AG$2:$AG$50,"?*"),23),15,FALSE),"")</f>
        <v>35</v>
      </c>
      <c r="Q7" s="331" t="str">
        <f ca="1">IFERROR(VLOOKUP(M6,OFFSET($AG$2,,,COUNTIF($AG$2:$AG$50,"?*"),23),16,FALSE),"")</f>
        <v>185/69</v>
      </c>
      <c r="R7" s="332"/>
      <c r="S7" s="110" t="s">
        <v>237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-3</v>
      </c>
      <c r="AC7" s="102" t="str">
        <f t="shared" ca="1" si="0"/>
        <v>ANO</v>
      </c>
      <c r="AG7" s="121" t="s">
        <v>240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1 V, 2 P</v>
      </c>
      <c r="AY7" s="129" t="str">
        <f t="shared" ca="1" si="2"/>
        <v>3 OZ, 0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272</v>
      </c>
      <c r="BU7" s="103" t="s">
        <v>1042</v>
      </c>
      <c r="BV7" s="104" t="str">
        <f t="shared" si="13"/>
        <v>Petr Chlad</v>
      </c>
      <c r="BW7" s="112">
        <f t="shared" si="14"/>
        <v>5.33</v>
      </c>
      <c r="BX7" s="375" t="s">
        <v>220</v>
      </c>
      <c r="BY7" s="103" t="s">
        <v>278</v>
      </c>
      <c r="BZ7" s="103" t="s">
        <v>94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>3 OZ, 0 (0+0), -3 ±</v>
      </c>
      <c r="B8" s="334"/>
      <c r="C8" s="334"/>
      <c r="D8" s="335" t="str">
        <f ca="1">IFERROR(VLOOKUP(A6,OFFSET($AG$2,,,COUNTIF($AG$2:$AG$50,"?*"),23),19,FALSE),"")</f>
        <v>17 OZ, 1 (1+0)</v>
      </c>
      <c r="E8" s="335"/>
      <c r="F8" s="336"/>
      <c r="H8" s="347" t="s">
        <v>105</v>
      </c>
      <c r="I8" s="347"/>
      <c r="J8" s="347"/>
      <c r="K8" s="347"/>
      <c r="M8" s="333" t="str">
        <f ca="1">IFERROR(VLOOKUP(M6,OFFSET($AG$2,,,COUNTIF($AG$2:$AG$50,"?*"),23),18,FALSE),"")</f>
        <v>2 OZ, 0 (0+0), -2 ±</v>
      </c>
      <c r="N8" s="334"/>
      <c r="O8" s="334"/>
      <c r="P8" s="335" t="str">
        <f ca="1">IFERROR(VLOOKUP(M6,OFFSET($AG$2,,,COUNTIF($AG$2:$AG$50,"?*"),23),19,FALSE),"")</f>
        <v>304 OZ, 231 (95+136)</v>
      </c>
      <c r="Q8" s="335"/>
      <c r="R8" s="336"/>
      <c r="S8" s="110" t="s">
        <v>230</v>
      </c>
      <c r="T8" s="102" t="s">
        <v>121</v>
      </c>
      <c r="U8" s="102">
        <v>3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-6</v>
      </c>
      <c r="AC8" s="102" t="str">
        <f t="shared" ca="1" si="0"/>
        <v>ANO</v>
      </c>
      <c r="AG8" s="121" t="s">
        <v>231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3 OZ, 0 (0+0), -3 ±</v>
      </c>
      <c r="AY8" s="129" t="str">
        <f t="shared" ca="1" si="2"/>
        <v>25 OZ, 4 (2+2)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902</v>
      </c>
      <c r="BU8" s="103" t="s">
        <v>203</v>
      </c>
      <c r="BV8" s="104" t="str">
        <f t="shared" si="13"/>
        <v>Jakub Levínský</v>
      </c>
      <c r="BW8" s="112">
        <f t="shared" si="14"/>
        <v>0</v>
      </c>
      <c r="BX8" s="375"/>
      <c r="BY8" s="103" t="s">
        <v>214</v>
      </c>
      <c r="BZ8" s="103" t="s">
        <v>99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>Florbal Mladá Boleslav</v>
      </c>
      <c r="B9" s="343"/>
      <c r="C9" s="344"/>
      <c r="D9" s="345">
        <f ca="1">IFERROR(IF(VLOOKUP(A6,OFFSET($AG$2,,,COUNTIF($AG$2:$AG$50,"?*"),23),14,FALSE)&lt;&gt;0,VLOOKUP(A6,OFFSET($AG$2,,,COUNTIF($AG$2:$AG$50,"?*"),23),14,FALSE),"?"),"")</f>
        <v>2005</v>
      </c>
      <c r="E9" s="346"/>
      <c r="F9" s="7">
        <f ca="1">IFERROR(IF(VLOOKUP(A6,OFFSET($AG$2,,,COUNTIF($AG$2:$AG$50,"?*"),23),7,FALSE)&lt;&gt;0,VLOOKUP(A6,OFFSET($AG$2,,,COUNTIF($AG$2:$AG$50,"?*"),23),7,FALSE),"?"),"")</f>
        <v>4</v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>FBC Mustang</v>
      </c>
      <c r="N9" s="343"/>
      <c r="O9" s="344"/>
      <c r="P9" s="345">
        <f ca="1">IFERROR(IF(VLOOKUP(M6,OFFSET($AG$2,,,COUNTIF($AG$2:$AG$50,"?*"),23),14,FALSE)&lt;&gt;0,VLOOKUP(M6,OFFSET($AG$2,,,COUNTIF($AG$2:$AG$50,"?*"),23),14,FALSE),"?"),"")</f>
        <v>1996</v>
      </c>
      <c r="Q9" s="346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234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-3</v>
      </c>
      <c r="AC9" s="102" t="str">
        <f t="shared" ca="1" si="0"/>
        <v>ANO</v>
      </c>
      <c r="AG9" s="121" t="s">
        <v>227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249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3 OZ, 0 (0+0), -6 ±</v>
      </c>
      <c r="AY9" s="129" t="str">
        <f t="shared" ca="1" si="2"/>
        <v>53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903</v>
      </c>
      <c r="BU9" s="103" t="s">
        <v>203</v>
      </c>
      <c r="BV9" s="104" t="str">
        <f t="shared" si="13"/>
        <v>Jan Král</v>
      </c>
      <c r="BW9" s="112">
        <f t="shared" si="14"/>
        <v>0</v>
      </c>
      <c r="BX9" s="375"/>
      <c r="BY9" s="103" t="s">
        <v>1000</v>
      </c>
      <c r="BZ9" s="103" t="s">
        <v>102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228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-3</v>
      </c>
      <c r="AC10" s="102" t="str">
        <f t="shared" ca="1" si="0"/>
        <v>ANO</v>
      </c>
      <c r="AG10" s="121" t="s">
        <v>225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2 OZ, 0 (0+0), -2 ±</v>
      </c>
      <c r="AY10" s="129" t="str">
        <f t="shared" ca="1" si="2"/>
        <v>244 OZ, 118 (63+55)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279</v>
      </c>
      <c r="BZ10" s="103" t="s">
        <v>100</v>
      </c>
      <c r="CA10" s="115" t="s">
        <v>212</v>
      </c>
    </row>
    <row r="11" spans="1:79" ht="15" customHeight="1" thickTop="1" thickBot="1" x14ac:dyDescent="0.25">
      <c r="R11" s="13"/>
      <c r="S11" s="110" t="s">
        <v>229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-3</v>
      </c>
      <c r="AC11" s="102" t="str">
        <f t="shared" ca="1" si="0"/>
        <v>ANO</v>
      </c>
      <c r="AG11" s="121" t="s">
        <v>232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250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2 OZ, 0 (0+0), -2 ±</v>
      </c>
      <c r="AY11" s="129" t="str">
        <f t="shared" ca="1" si="2"/>
        <v>304 OZ, 231 (95+136)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24</v>
      </c>
      <c r="CA11" s="115" t="s">
        <v>212</v>
      </c>
    </row>
    <row r="12" spans="1:79" ht="15" customHeight="1" thickTop="1" thickBot="1" x14ac:dyDescent="0.25">
      <c r="A12" s="337" t="s">
        <v>226</v>
      </c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39" t="s">
        <v>7</v>
      </c>
      <c r="I12" s="339"/>
      <c r="J12" s="339"/>
      <c r="K12" s="339"/>
      <c r="M12" s="337" t="s">
        <v>234</v>
      </c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236</v>
      </c>
      <c r="T12" s="102" t="s">
        <v>121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-2</v>
      </c>
      <c r="AC12" s="102" t="str">
        <f t="shared" ca="1" si="0"/>
        <v>ANO</v>
      </c>
      <c r="AG12" s="121" t="s">
        <v>222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246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3 OZ, 4 (1+3), -2 ±</v>
      </c>
      <c r="AY12" s="129" t="str">
        <f t="shared" ca="1" si="2"/>
        <v>103 OZ, 89 (51+38)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1038</v>
      </c>
      <c r="BU12" s="103">
        <v>3</v>
      </c>
      <c r="BV12" s="104" t="str">
        <f t="shared" si="13"/>
        <v>Prokop Ferdan</v>
      </c>
      <c r="BW12" s="102">
        <f t="shared" si="14"/>
        <v>3</v>
      </c>
      <c r="BX12" s="116" t="s">
        <v>218</v>
      </c>
      <c r="BY12" s="100" t="s">
        <v>1037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0">
        <f ca="1">IFERROR(IF(VLOOKUP(A12,OFFSET($AG$2,,,COUNTIF($AG$2:$AG$50,"?*"),23),2,FALSE)&lt;&gt;0,YEAR(VLOOKUP(A12,OFFSET($AG$2,,,COUNTIF($AG$2:$AG$50,"?*"),23),2,FALSE)),""),"")</f>
        <v>1992</v>
      </c>
      <c r="C13" s="341"/>
      <c r="D13" s="94">
        <f ca="1">IFERROR(VLOOKUP(A12,OFFSET($AG$2,,,COUNTIF($AG$2:$AG$50,"?*"),23),15,FALSE),"")</f>
        <v>29</v>
      </c>
      <c r="E13" s="331" t="str">
        <f ca="1">IFERROR(VLOOKUP(A12,OFFSET($AG$2,,,COUNTIF($AG$2:$AG$50,"?*"),23),16,FALSE),"")</f>
        <v>176/74</v>
      </c>
      <c r="F13" s="332"/>
      <c r="M13" s="4" t="str">
        <f ca="1">IFERROR(IF(VLOOKUP(M12,OFFSET($AG$2,,,COUNTIF($AG$2:$AG$50,"?*"),23),10,FALSE)&lt;&gt;0,VLOOKUP(M12,OFFSET($AG$2,,,COUNTIF($AG$2:$AG$50,"?*"),23),10,FALSE),""),"")</f>
        <v>L</v>
      </c>
      <c r="N13" s="340">
        <f ca="1">IFERROR(IF(VLOOKUP(M12,OFFSET($AG$2,,,COUNTIF($AG$2:$AG$50,"?*"),23),2,FALSE)&lt;&gt;0,YEAR(VLOOKUP(M12,OFFSET($AG$2,,,COUNTIF($AG$2:$AG$50,"?*"),23),2,FALSE)),""),"")</f>
        <v>2003</v>
      </c>
      <c r="O13" s="341"/>
      <c r="P13" s="94">
        <f ca="1">IFERROR(VLOOKUP(M12,OFFSET($AG$2,,,COUNTIF($AG$2:$AG$50,"?*"),23),15,FALSE),"")</f>
        <v>18</v>
      </c>
      <c r="Q13" s="331" t="str">
        <f ca="1">IFERROR(VLOOKUP(M12,OFFSET($AG$2,,,COUNTIF($AG$2:$AG$50,"?*"),23),16,FALSE),"")</f>
        <v>178/70</v>
      </c>
      <c r="R13" s="332"/>
      <c r="S13" s="110" t="s">
        <v>235</v>
      </c>
      <c r="T13" s="102" t="s">
        <v>119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235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249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270</v>
      </c>
      <c r="BU13" s="103">
        <v>2</v>
      </c>
      <c r="BV13" s="104" t="str">
        <f t="shared" si="13"/>
        <v>Jan Šoltys</v>
      </c>
      <c r="BW13" s="102">
        <f t="shared" si="14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>3 OZ, 5 (3+2), -2 ±</v>
      </c>
      <c r="B14" s="334"/>
      <c r="C14" s="334"/>
      <c r="D14" s="335" t="str">
        <f ca="1">IFERROR(VLOOKUP(A12,OFFSET($AG$2,,,COUNTIF($AG$2:$AG$50,"?*"),23),19,FALSE),"")</f>
        <v>188 OZ, 229 (129+100)</v>
      </c>
      <c r="E14" s="335"/>
      <c r="F14" s="336"/>
      <c r="G14" s="337" t="s">
        <v>224</v>
      </c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3" t="str">
        <f ca="1">IFERROR(VLOOKUP(M12,OFFSET($AG$2,,,COUNTIF($AG$2:$AG$50,"?*"),23),18,FALSE),"")</f>
        <v>3 OZ, 1 (1+0), -3 ±</v>
      </c>
      <c r="N14" s="334"/>
      <c r="O14" s="334"/>
      <c r="P14" s="335" t="str">
        <f ca="1">IFERROR(VLOOKUP(M12,OFFSET($AG$2,,,COUNTIF($AG$2:$AG$50,"?*"),23),19,FALSE),"")</f>
        <v>25 OZ, 27 (10+17)</v>
      </c>
      <c r="Q14" s="335"/>
      <c r="R14" s="336"/>
      <c r="S14" s="110" t="s">
        <v>899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899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1043</v>
      </c>
      <c r="BU14" s="103">
        <v>1</v>
      </c>
      <c r="BV14" s="104" t="str">
        <f t="shared" si="13"/>
        <v>Jakub Kopecký</v>
      </c>
      <c r="BW14" s="102">
        <f t="shared" si="14"/>
        <v>1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>TJ Centropen Dačice</v>
      </c>
      <c r="B15" s="343"/>
      <c r="C15" s="344"/>
      <c r="D15" s="345">
        <f ca="1">IFERROR(IF(VLOOKUP(A12,OFFSET($AG$2,,,COUNTIF($AG$2:$AG$50,"?*"),23),14,FALSE)&lt;&gt;0,VLOOKUP(A12,OFFSET($AG$2,,,COUNTIF($AG$2:$AG$50,"?*"),23),14,FALSE),"?"),"")</f>
        <v>2006</v>
      </c>
      <c r="E15" s="346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0">
        <f ca="1">IFERROR(IF(VLOOKUP(G14,OFFSET($AG$2,,,COUNTIF($AG$2:$AG$50,"?*"),23),2,FALSE)&lt;&gt;0,YEAR(VLOOKUP(G14,OFFSET($AG$2,,,COUNTIF($AG$2:$AG$50,"?*"),23),2,FALSE)),""),"")</f>
        <v>1994</v>
      </c>
      <c r="I15" s="341"/>
      <c r="J15" s="94">
        <f ca="1">IFERROR(VLOOKUP(G14,OFFSET($AG$2,,,COUNTIF($AG$2:$AG$50,"?*"),23),15,FALSE),"")</f>
        <v>26</v>
      </c>
      <c r="K15" s="331" t="str">
        <f ca="1">IFERROR(VLOOKUP(G14,OFFSET($AG$2,,,COUNTIF($AG$2:$AG$50,"?*"),23),16,FALSE),"")</f>
        <v>187/76</v>
      </c>
      <c r="L15" s="332"/>
      <c r="M15" s="342" t="str">
        <f ca="1">IFERROR(IF(VLOOKUP(M12,OFFSET($AG$2,,,COUNTIF($AG$2:$AG$50,"?*"),23),13,FALSE)&lt;&gt;0,VLOOKUP(M12,OFFSET($AG$2,,,COUNTIF($AG$2:$AG$50,"?*"),23),13,FALSE),"?"),"")</f>
        <v>FBC Liberec</v>
      </c>
      <c r="N15" s="343"/>
      <c r="O15" s="344"/>
      <c r="P15" s="345">
        <f ca="1">IFERROR(IF(VLOOKUP(M12,OFFSET($AG$2,,,COUNTIF($AG$2:$AG$50,"?*"),23),14,FALSE)&lt;&gt;0,VLOOKUP(M12,OFFSET($AG$2,,,COUNTIF($AG$2:$AG$50,"?*"),23),14,FALSE),"?"),"")</f>
        <v>2010</v>
      </c>
      <c r="Q15" s="346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233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241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251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3 OZ, 0 (0+0), 0 ±</v>
      </c>
      <c r="AY15" s="129" t="str">
        <f t="shared" ca="1" si="2"/>
        <v>17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1044</v>
      </c>
      <c r="BU15" s="103">
        <v>1</v>
      </c>
      <c r="BV15" s="104" t="str">
        <f t="shared" si="13"/>
        <v>Jan Baudisch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>3 OZ, 3 (1+2), -3 ±</v>
      </c>
      <c r="H16" s="334"/>
      <c r="I16" s="334"/>
      <c r="J16" s="335" t="str">
        <f ca="1">IFERROR(VLOOKUP(G14,OFFSET($AG$2,,,COUNTIF($AG$2:$AG$50,"?*"),23),19,FALSE),"")</f>
        <v>192 OZ, 308 (167+141)</v>
      </c>
      <c r="K16" s="335"/>
      <c r="L16" s="336"/>
      <c r="S16" s="110" t="s">
        <v>232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-2</v>
      </c>
      <c r="AC16" s="102" t="str">
        <f t="shared" ca="1" si="0"/>
        <v>ANO</v>
      </c>
      <c r="AG16" s="121" t="s">
        <v>252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253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1041</v>
      </c>
      <c r="BU16" s="103">
        <v>1</v>
      </c>
      <c r="BV16" s="104" t="str">
        <f t="shared" si="13"/>
        <v>Jan Světlík</v>
      </c>
      <c r="BW16" s="102">
        <f t="shared" si="14"/>
        <v>1</v>
      </c>
    </row>
    <row r="17" spans="1:75" ht="15" customHeight="1" thickTop="1" thickBot="1" x14ac:dyDescent="0.25">
      <c r="A17" s="337" t="s">
        <v>237</v>
      </c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2" t="str">
        <f ca="1">IFERROR(IF(VLOOKUP(G14,OFFSET($AG$2,,,COUNTIF($AG$2:$AG$50,"?*"),23),13,FALSE)&lt;&gt;0,VLOOKUP(G14,OFFSET($AG$2,,,COUNTIF($AG$2:$AG$50,"?*"),23),13,FALSE),"?"),"")</f>
        <v>FBC Liberec</v>
      </c>
      <c r="H17" s="343"/>
      <c r="I17" s="344"/>
      <c r="J17" s="345">
        <f ca="1">IFERROR(IF(VLOOKUP(G14,OFFSET($AG$2,,,COUNTIF($AG$2:$AG$50,"?*"),23),14,FALSE)&lt;&gt;0,VLOOKUP(G14,OFFSET($AG$2,,,COUNTIF($AG$2:$AG$50,"?*"),23),14,FALSE),"?"),"")</f>
        <v>2002</v>
      </c>
      <c r="K17" s="346"/>
      <c r="L17" s="7">
        <f ca="1">IFERROR(IF(VLOOKUP(G14,OFFSET($AG$2,,,COUNTIF($AG$2:$AG$50,"?*"),23),7,FALSE)&lt;&gt;0,VLOOKUP(G14,OFFSET($AG$2,,,COUNTIF($AG$2:$AG$50,"?*"),23),7,FALSE),"?"),"")</f>
        <v>10</v>
      </c>
      <c r="M17" s="337" t="s">
        <v>231</v>
      </c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225</v>
      </c>
      <c r="T17" s="102" t="s">
        <v>64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238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254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3 OZ, 0 (0+0), -3 ±</v>
      </c>
      <c r="AY17" s="129" t="str">
        <f t="shared" ca="1" si="2"/>
        <v>17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272</v>
      </c>
      <c r="BU17" s="103">
        <v>1</v>
      </c>
      <c r="BV17" s="104" t="str">
        <f t="shared" si="13"/>
        <v>Petr Chlad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0">
        <f ca="1">IFERROR(IF(VLOOKUP(A17,OFFSET($AG$2,,,COUNTIF($AG$2:$AG$50,"?*"),23),2,FALSE)&lt;&gt;0,YEAR(VLOOKUP(A17,OFFSET($AG$2,,,COUNTIF($AG$2:$AG$50,"?*"),23),2,FALSE)),""),"")</f>
        <v>1994</v>
      </c>
      <c r="C18" s="341"/>
      <c r="D18" s="150">
        <f ca="1">IFERROR(VLOOKUP(A17,OFFSET($AG$2,,,COUNTIF($AG$2:$AG$50,"?*"),23),15,FALSE),"")</f>
        <v>27</v>
      </c>
      <c r="E18" s="331" t="str">
        <f ca="1">IFERROR(VLOOKUP(A17,OFFSET($AG$2,,,COUNTIF($AG$2:$AG$50,"?*"),23),16,FALSE),"")</f>
        <v>180/82</v>
      </c>
      <c r="F18" s="332"/>
      <c r="M18" s="4" t="str">
        <f ca="1">IFERROR(IF(VLOOKUP(M17,OFFSET($AG$2,,,COUNTIF($AG$2:$AG$50,"?*"),23),10,FALSE)&lt;&gt;0,VLOOKUP(M17,OFFSET($AG$2,,,COUNTIF($AG$2:$AG$50,"?*"),23),10,FALSE),""),"")</f>
        <v>L</v>
      </c>
      <c r="N18" s="340">
        <f ca="1">IFERROR(IF(VLOOKUP(M17,OFFSET($AG$2,,,COUNTIF($AG$2:$AG$50,"?*"),23),2,FALSE)&lt;&gt;0,YEAR(VLOOKUP(M17,OFFSET($AG$2,,,COUNTIF($AG$2:$AG$50,"?*"),23),2,FALSE)),""),"")</f>
        <v>2003</v>
      </c>
      <c r="O18" s="341"/>
      <c r="P18" s="94">
        <f ca="1">IFERROR(VLOOKUP(M17,OFFSET($AG$2,,,COUNTIF($AG$2:$AG$50,"?*"),23),15,FALSE),"")</f>
        <v>18</v>
      </c>
      <c r="Q18" s="331" t="str">
        <f ca="1">IFERROR(VLOOKUP(M17,OFFSET($AG$2,,,COUNTIF($AG$2:$AG$50,"?*"),23),16,FALSE),"")</f>
        <v>178/74</v>
      </c>
      <c r="R18" s="332"/>
      <c r="S18" s="110" t="s">
        <v>238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228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254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3 OZ, 1 (0+1), -3 ±</v>
      </c>
      <c r="AY18" s="129" t="str">
        <f t="shared" ca="1" si="2"/>
        <v>78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902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>3 OZ, 1 (1+0), -3 ±</v>
      </c>
      <c r="B19" s="334"/>
      <c r="C19" s="334"/>
      <c r="D19" s="335" t="str">
        <f ca="1">IFERROR(VLOOKUP(A17,OFFSET($AG$2,,,COUNTIF($AG$2:$AG$50,"?*"),23),19,FALSE),"")</f>
        <v>197 OZ, 117 (51+66)</v>
      </c>
      <c r="E19" s="335"/>
      <c r="F19" s="336"/>
      <c r="H19" s="347" t="str">
        <f>H$8</f>
        <v>LIB</v>
      </c>
      <c r="I19" s="347"/>
      <c r="J19" s="347"/>
      <c r="K19" s="347"/>
      <c r="M19" s="333" t="str">
        <f ca="1">IFERROR(VLOOKUP(M17,OFFSET($AG$2,,,COUNTIF($AG$2:$AG$50,"?*"),23),18,FALSE),"")</f>
        <v>3 OZ, 0 (0+0), -3 ±</v>
      </c>
      <c r="N19" s="334"/>
      <c r="O19" s="334"/>
      <c r="P19" s="335" t="str">
        <f ca="1">IFERROR(VLOOKUP(M17,OFFSET($AG$2,,,COUNTIF($AG$2:$AG$50,"?*"),23),19,FALSE),"")</f>
        <v>25 OZ, 4 (2+2)</v>
      </c>
      <c r="Q19" s="335"/>
      <c r="R19" s="336"/>
      <c r="S19" s="110" t="s">
        <v>240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255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256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903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>Sokol Pardubice</v>
      </c>
      <c r="B20" s="343"/>
      <c r="C20" s="344"/>
      <c r="D20" s="345">
        <f ca="1">IFERROR(IF(VLOOKUP(A17,OFFSET($AG$2,,,COUNTIF($AG$2:$AG$50,"?*"),23),14,FALSE)&lt;&gt;0,VLOOKUP(A17,OFFSET($AG$2,,,COUNTIF($AG$2:$AG$50,"?*"),23),14,FALSE),"?"),"")</f>
        <v>2009</v>
      </c>
      <c r="E20" s="346"/>
      <c r="F20" s="7">
        <f ca="1">IFERROR(IF(VLOOKUP(A17,OFFSET($AG$2,,,COUNTIF($AG$2:$AG$50,"?*"),23),7,FALSE)&lt;&gt;0,VLOOKUP(A17,OFFSET($AG$2,,,COUNTIF($AG$2:$AG$50,"?*"),23),7,FALSE),"?"),"")</f>
        <v>11</v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>FBC Liberec</v>
      </c>
      <c r="N20" s="343"/>
      <c r="O20" s="344"/>
      <c r="P20" s="345">
        <f ca="1">IFERROR(IF(VLOOKUP(M17,OFFSET($AG$2,,,COUNTIF($AG$2:$AG$50,"?*"),23),14,FALSE)&lt;&gt;0,VLOOKUP(M17,OFFSET($AG$2,,,COUNTIF($AG$2:$AG$50,"?*"),23),14,FALSE),"?"),"")</f>
        <v>2010</v>
      </c>
      <c r="Q20" s="346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231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236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862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3 OZ, 1 (0+1), -2 ±</v>
      </c>
      <c r="AY20" s="129" t="str">
        <f t="shared" ca="1" si="2"/>
        <v>3 OZ, 1 (0+1)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241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 t="s">
        <v>229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257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3 OZ, 1 (0+1), -3 ±</v>
      </c>
      <c r="AY21" s="129" t="str">
        <f t="shared" ca="1" si="2"/>
        <v>21 OZ, 15 (9+6)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239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258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3 OZ, 2 (1+1), -5 ±</v>
      </c>
      <c r="AY22" s="129" t="str">
        <f t="shared" ca="1" si="2"/>
        <v>44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269</v>
      </c>
      <c r="BU22" s="103">
        <v>3</v>
      </c>
      <c r="BV22" s="104" t="str">
        <f t="shared" si="13"/>
        <v>Jakub Kopecký</v>
      </c>
      <c r="BW22" s="102">
        <f t="shared" si="14"/>
        <v>3</v>
      </c>
    </row>
    <row r="23" spans="1:75" ht="15" customHeight="1" thickTop="1" thickBot="1" x14ac:dyDescent="0.25">
      <c r="A23" s="337" t="s">
        <v>228</v>
      </c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39" t="s">
        <v>13</v>
      </c>
      <c r="I23" s="339"/>
      <c r="J23" s="339"/>
      <c r="K23" s="339"/>
      <c r="M23" s="337" t="s">
        <v>239</v>
      </c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223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3 OZ, 2 (2+0), -3 ±</v>
      </c>
      <c r="AY23" s="129" t="str">
        <f t="shared" ca="1" si="2"/>
        <v>97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901</v>
      </c>
      <c r="BU23" s="103">
        <v>2</v>
      </c>
      <c r="BV23" s="104" t="str">
        <f t="shared" si="13"/>
        <v>Prokop Ferdan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0">
        <f ca="1">IFERROR(IF(VLOOKUP(A23,OFFSET($AG$2,,,COUNTIF($AG$2:$AG$50,"?*"),23),2,FALSE)&lt;&gt;0,YEAR(VLOOKUP(A23,OFFSET($AG$2,,,COUNTIF($AG$2:$AG$50,"?*"),23),2,FALSE)),""),"")</f>
        <v>1999</v>
      </c>
      <c r="C24" s="341"/>
      <c r="D24" s="94">
        <f ca="1">IFERROR(VLOOKUP(A23,OFFSET($AG$2,,,COUNTIF($AG$2:$AG$50,"?*"),23),15,FALSE),"")</f>
        <v>21</v>
      </c>
      <c r="E24" s="331" t="str">
        <f ca="1">IFERROR(VLOOKUP(A23,OFFSET($AG$2,,,COUNTIF($AG$2:$AG$50,"?*"),23),16,FALSE),"")</f>
        <v>164/60</v>
      </c>
      <c r="F24" s="332"/>
      <c r="M24" s="4" t="str">
        <f ca="1">IFERROR(IF(VLOOKUP(M23,OFFSET($AG$2,,,COUNTIF($AG$2:$AG$50,"?*"),23),10,FALSE)&lt;&gt;0,VLOOKUP(M23,OFFSET($AG$2,,,COUNTIF($AG$2:$AG$50,"?*"),23),10,FALSE),""),"")</f>
        <v>L</v>
      </c>
      <c r="N24" s="340">
        <f ca="1">IFERROR(IF(VLOOKUP(M23,OFFSET($AG$2,,,COUNTIF($AG$2:$AG$50,"?*"),23),2,FALSE)&lt;&gt;0,YEAR(VLOOKUP(M23,OFFSET($AG$2,,,COUNTIF($AG$2:$AG$50,"?*"),23),2,FALSE)),""),"")</f>
        <v>1998</v>
      </c>
      <c r="O24" s="341"/>
      <c r="P24" s="94">
        <f ca="1">IFERROR(VLOOKUP(M23,OFFSET($AG$2,,,COUNTIF($AG$2:$AG$50,"?*"),23),15,FALSE),"")</f>
        <v>23</v>
      </c>
      <c r="Q24" s="331" t="str">
        <f ca="1">IFERROR(VLOOKUP(M23,OFFSET($AG$2,,,COUNTIF($AG$2:$AG$50,"?*"),23),16,FALSE),"")</f>
        <v>187/82</v>
      </c>
      <c r="R24" s="332"/>
      <c r="S24" s="111"/>
      <c r="AC24" s="102" t="str">
        <f t="shared" ca="1" si="0"/>
        <v/>
      </c>
      <c r="AG24" s="121" t="s">
        <v>233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271</v>
      </c>
      <c r="BU24" s="103">
        <v>2</v>
      </c>
      <c r="BV24" s="104" t="str">
        <f t="shared" si="13"/>
        <v>Radek Valeš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>3 OZ, 1 (0+1), -3 ±</v>
      </c>
      <c r="B25" s="334"/>
      <c r="C25" s="334"/>
      <c r="D25" s="335" t="str">
        <f ca="1">IFERROR(VLOOKUP(A23,OFFSET($AG$2,,,COUNTIF($AG$2:$AG$50,"?*"),23),19,FALSE),"")</f>
        <v>78 OZ, 45 (23+22)</v>
      </c>
      <c r="E25" s="335"/>
      <c r="F25" s="336"/>
      <c r="G25" s="337" t="s">
        <v>230</v>
      </c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3" t="str">
        <f ca="1">IFERROR(VLOOKUP(M23,OFFSET($AG$2,,,COUNTIF($AG$2:$AG$50,"?*"),23),18,FALSE),"")</f>
        <v>3 OZ, 2 (1+1), -5 ±</v>
      </c>
      <c r="N25" s="334"/>
      <c r="O25" s="334"/>
      <c r="P25" s="335" t="str">
        <f ca="1">IFERROR(VLOOKUP(M23,OFFSET($AG$2,,,COUNTIF($AG$2:$AG$50,"?*"),23),19,FALSE),"")</f>
        <v>44 OZ, 27 (16+11)</v>
      </c>
      <c r="Q25" s="335"/>
      <c r="R25" s="336"/>
      <c r="S25" s="111"/>
      <c r="AC25" s="102" t="str">
        <f t="shared" ca="1" si="0"/>
        <v/>
      </c>
      <c r="AG25" s="121" t="s">
        <v>224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3 OZ, 3 (1+2), -3 ±</v>
      </c>
      <c r="AY25" s="129" t="str">
        <f t="shared" ca="1" si="16"/>
        <v>192 OZ, 308 (167+141)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1045</v>
      </c>
      <c r="BU25" s="103">
        <v>1</v>
      </c>
      <c r="BV25" s="104" t="str">
        <f t="shared" si="13"/>
        <v>Filip Smutný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>Florbal Mladá Boleslav</v>
      </c>
      <c r="B26" s="343"/>
      <c r="C26" s="344"/>
      <c r="D26" s="345">
        <f ca="1">IFERROR(IF(VLOOKUP(A23,OFFSET($AG$2,,,COUNTIF($AG$2:$AG$50,"?*"),23),14,FALSE)&lt;&gt;0,VLOOKUP(A23,OFFSET($AG$2,,,COUNTIF($AG$2:$AG$50,"?*"),23),14,FALSE),"?"),"")</f>
        <v>2008</v>
      </c>
      <c r="E26" s="346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0">
        <f ca="1">IFERROR(IF(VLOOKUP(G25,OFFSET($AG$2,,,COUNTIF($AG$2:$AG$50,"?*"),23),2,FALSE)&lt;&gt;0,YEAR(VLOOKUP(G25,OFFSET($AG$2,,,COUNTIF($AG$2:$AG$50,"?*"),23),2,FALSE)),""),"")</f>
        <v>1994</v>
      </c>
      <c r="I26" s="341"/>
      <c r="J26" s="94">
        <f ca="1">IFERROR(VLOOKUP(G25,OFFSET($AG$2,,,COUNTIF($AG$2:$AG$50,"?*"),23),15,FALSE),"")</f>
        <v>27</v>
      </c>
      <c r="K26" s="331" t="str">
        <f ca="1">IFERROR(VLOOKUP(G25,OFFSET($AG$2,,,COUNTIF($AG$2:$AG$50,"?*"),23),16,FALSE),"")</f>
        <v>185/86</v>
      </c>
      <c r="L26" s="332"/>
      <c r="M26" s="342" t="str">
        <f ca="1">IFERROR(IF(VLOOKUP(M23,OFFSET($AG$2,,,COUNTIF($AG$2:$AG$50,"?*"),23),13,FALSE)&lt;&gt;0,VLOOKUP(M23,OFFSET($AG$2,,,COUNTIF($AG$2:$AG$50,"?*"),23),13,FALSE),"?"),"")</f>
        <v>DTJ Trutnov</v>
      </c>
      <c r="N26" s="343"/>
      <c r="O26" s="344"/>
      <c r="P26" s="345">
        <f ca="1">IFERROR(IF(VLOOKUP(M23,OFFSET($AG$2,,,COUNTIF($AG$2:$AG$50,"?*"),23),14,FALSE)&lt;&gt;0,VLOOKUP(M23,OFFSET($AG$2,,,COUNTIF($AG$2:$AG$50,"?*"),23),14,FALSE),"?"),"")</f>
        <v>2014</v>
      </c>
      <c r="Q26" s="346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234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3 OZ, 1 (1+0), -3 ±</v>
      </c>
      <c r="AY26" s="129" t="str">
        <f t="shared" ca="1" si="16"/>
        <v>25 OZ, 27 (10+17)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1041</v>
      </c>
      <c r="BU26" s="103">
        <v>1</v>
      </c>
      <c r="BV26" s="104" t="str">
        <f t="shared" si="13"/>
        <v>Jan Světlík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>3 OZ, 1 (1+0), -6 ±</v>
      </c>
      <c r="H27" s="334"/>
      <c r="I27" s="334"/>
      <c r="J27" s="335" t="str">
        <f ca="1">IFERROR(VLOOKUP(G25,OFFSET($AG$2,,,COUNTIF($AG$2:$AG$50,"?*"),23),19,FALSE),"")</f>
        <v>121 OZ, 36 (27+9)</v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1046</v>
      </c>
      <c r="BU27" s="103">
        <v>2</v>
      </c>
      <c r="BV27" s="104" t="str">
        <f t="shared" si="13"/>
        <v>Daniel Martínek</v>
      </c>
      <c r="BW27" s="102">
        <f t="shared" si="14"/>
        <v>2</v>
      </c>
    </row>
    <row r="28" spans="1:75" ht="15" customHeight="1" thickTop="1" thickBot="1" x14ac:dyDescent="0.25">
      <c r="A28" s="337" t="s">
        <v>227</v>
      </c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2" t="str">
        <f ca="1">IFERROR(IF(VLOOKUP(G25,OFFSET($AG$2,,,COUNTIF($AG$2:$AG$50,"?*"),23),13,FALSE)&lt;&gt;0,VLOOKUP(G25,OFFSET($AG$2,,,COUNTIF($AG$2:$AG$50,"?*"),23),13,FALSE),"?"),"")</f>
        <v>Sokol Dvůr Králové</v>
      </c>
      <c r="H28" s="343"/>
      <c r="I28" s="344"/>
      <c r="J28" s="345">
        <f ca="1">IFERROR(IF(VLOOKUP(G25,OFFSET($AG$2,,,COUNTIF($AG$2:$AG$50,"?*"),23),14,FALSE)&lt;&gt;0,VLOOKUP(G25,OFFSET($AG$2,,,COUNTIF($AG$2:$AG$50,"?*"),23),14,FALSE),"?"),"")</f>
        <v>2001</v>
      </c>
      <c r="K28" s="346"/>
      <c r="L28" s="7">
        <f ca="1">IFERROR(IF(VLOOKUP(G25,OFFSET($AG$2,,,COUNTIF($AG$2:$AG$50,"?*"),23),7,FALSE)&lt;&gt;0,VLOOKUP(G25,OFFSET($AG$2,,,COUNTIF($AG$2:$AG$50,"?*"),23),7,FALSE),"?"),"")</f>
        <v>11</v>
      </c>
      <c r="M28" s="337" t="s">
        <v>225</v>
      </c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1047</v>
      </c>
      <c r="BU28" s="103">
        <v>2</v>
      </c>
      <c r="BV28" s="104" t="str">
        <f t="shared" si="13"/>
        <v>Radek Valeš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0">
        <f ca="1">IFERROR(IF(VLOOKUP(A28,OFFSET($AG$2,,,COUNTIF($AG$2:$AG$50,"?*"),23),2,FALSE)&lt;&gt;0,YEAR(VLOOKUP(A28,OFFSET($AG$2,,,COUNTIF($AG$2:$AG$50,"?*"),23),2,FALSE)),""),"")</f>
        <v>2000</v>
      </c>
      <c r="C29" s="341"/>
      <c r="D29" s="94">
        <f ca="1">IFERROR(VLOOKUP(A28,OFFSET($AG$2,,,COUNTIF($AG$2:$AG$50,"?*"),23),15,FALSE),"")</f>
        <v>21</v>
      </c>
      <c r="E29" s="331" t="str">
        <f ca="1">IFERROR(VLOOKUP(A28,OFFSET($AG$2,,,COUNTIF($AG$2:$AG$50,"?*"),23),16,FALSE),"")</f>
        <v>180/72</v>
      </c>
      <c r="F29" s="332"/>
      <c r="M29" s="4" t="str">
        <f ca="1">IFERROR(IF(VLOOKUP(M28,OFFSET($AG$2,,,COUNTIF($AG$2:$AG$50,"?*"),23),10,FALSE)&lt;&gt;0,VLOOKUP(M28,OFFSET($AG$2,,,COUNTIF($AG$2:$AG$50,"?*"),23),10,FALSE),""),"")</f>
        <v>L</v>
      </c>
      <c r="N29" s="340">
        <f ca="1">IFERROR(IF(VLOOKUP(M28,OFFSET($AG$2,,,COUNTIF($AG$2:$AG$50,"?*"),23),2,FALSE)&lt;&gt;0,YEAR(VLOOKUP(M28,OFFSET($AG$2,,,COUNTIF($AG$2:$AG$50,"?*"),23),2,FALSE)),""),"")</f>
        <v>1989</v>
      </c>
      <c r="O29" s="341"/>
      <c r="P29" s="94">
        <f ca="1">IFERROR(VLOOKUP(M28,OFFSET($AG$2,,,COUNTIF($AG$2:$AG$50,"?*"),23),15,FALSE),"")</f>
        <v>31</v>
      </c>
      <c r="Q29" s="331" t="str">
        <f ca="1">IFERROR(VLOOKUP(M28,OFFSET($AG$2,,,COUNTIF($AG$2:$AG$50,"?*"),23),16,FALSE),"")</f>
        <v>194/98</v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274</v>
      </c>
      <c r="BU29" s="103">
        <v>0</v>
      </c>
      <c r="BV29" s="104" t="str">
        <f t="shared" si="13"/>
        <v>Filip Smutný</v>
      </c>
      <c r="BW29" s="102">
        <f t="shared" si="14"/>
        <v>0</v>
      </c>
    </row>
    <row r="30" spans="1:75" ht="15" customHeight="1" x14ac:dyDescent="0.2">
      <c r="A30" s="333" t="str">
        <f ca="1">IFERROR(VLOOKUP(A28,OFFSET($AG$2,,,COUNTIF($AG$2:$AG$50,"?*"),23),18,FALSE),"")</f>
        <v>3 OZ, 0 (0+0), -6 ±</v>
      </c>
      <c r="B30" s="334"/>
      <c r="C30" s="334"/>
      <c r="D30" s="335" t="str">
        <f ca="1">IFERROR(VLOOKUP(A28,OFFSET($AG$2,,,COUNTIF($AG$2:$AG$50,"?*"),23),19,FALSE),"")</f>
        <v>53 OZ, 13 (5+8)</v>
      </c>
      <c r="E30" s="335"/>
      <c r="F30" s="336"/>
      <c r="H30" s="347" t="str">
        <f>H$8</f>
        <v>LIB</v>
      </c>
      <c r="I30" s="347"/>
      <c r="J30" s="347"/>
      <c r="K30" s="347"/>
      <c r="M30" s="333" t="str">
        <f ca="1">IFERROR(VLOOKUP(M28,OFFSET($AG$2,,,COUNTIF($AG$2:$AG$50,"?*"),23),18,FALSE),"")</f>
        <v>2 OZ, 0 (0+0), -2 ±</v>
      </c>
      <c r="N30" s="334"/>
      <c r="O30" s="334"/>
      <c r="P30" s="335" t="str">
        <f ca="1">IFERROR(VLOOKUP(M28,OFFSET($AG$2,,,COUNTIF($AG$2:$AG$50,"?*"),23),19,FALSE),"")</f>
        <v>244 OZ, 118 (63+55)</v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275</v>
      </c>
      <c r="BU30" s="103">
        <v>0</v>
      </c>
      <c r="BV30" s="104" t="str">
        <f t="shared" si="13"/>
        <v>Jakub Kopecký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>FA Mladá Boleslav</v>
      </c>
      <c r="B31" s="343"/>
      <c r="C31" s="344"/>
      <c r="D31" s="345">
        <f ca="1">IFERROR(IF(VLOOKUP(A28,OFFSET($AG$2,,,COUNTIF($AG$2:$AG$50,"?*"),23),14,FALSE)&lt;&gt;0,VLOOKUP(A28,OFFSET($AG$2,,,COUNTIF($AG$2:$AG$50,"?*"),23),14,FALSE),"?"),"")</f>
        <v>2006</v>
      </c>
      <c r="E31" s="346"/>
      <c r="F31" s="7">
        <f ca="1">IFERROR(IF(VLOOKUP(A28,OFFSET($AG$2,,,COUNTIF($AG$2:$AG$50,"?*"),23),7,FALSE)&lt;&gt;0,VLOOKUP(A28,OFFSET($AG$2,,,COUNTIF($AG$2:$AG$50,"?*"),23),7,FALSE),"?"),"")</f>
        <v>3</v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>FBC Liberec</v>
      </c>
      <c r="N31" s="343"/>
      <c r="O31" s="344"/>
      <c r="P31" s="345">
        <f ca="1">IFERROR(IF(VLOOKUP(M28,OFFSET($AG$2,,,COUNTIF($AG$2:$AG$50,"?*"),23),14,FALSE)&lt;&gt;0,VLOOKUP(M28,OFFSET($AG$2,,,COUNTIF($AG$2:$AG$50,"?*"),23),14,FALSE),"?"),"")</f>
        <v>1999</v>
      </c>
      <c r="Q31" s="346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273</v>
      </c>
      <c r="BU31" s="103">
        <v>0</v>
      </c>
      <c r="BV31" s="104" t="str">
        <f t="shared" si="13"/>
        <v>Jakub Kárník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 t="s">
        <v>240</v>
      </c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48" t="s">
        <v>16</v>
      </c>
      <c r="J34" s="337" t="s">
        <v>236</v>
      </c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0">
        <f ca="1">IFERROR(IF(VLOOKUP(A34,OFFSET($AG$2,,,COUNTIF($AG$2:$AG$50,"?*"),23),2,FALSE)&lt;&gt;0,YEAR(VLOOKUP(A34,OFFSET($AG$2,,,COUNTIF($AG$2:$AG$50,"?*"),23),2,FALSE)),""),"")</f>
        <v>2001</v>
      </c>
      <c r="C35" s="341"/>
      <c r="D35" s="94">
        <f ca="1">IFERROR(VLOOKUP(A34,OFFSET($AG$2,,,COUNTIF($AG$2:$AG$50,"?*"),23),15,FALSE),"")</f>
        <v>20</v>
      </c>
      <c r="E35" s="331" t="str">
        <f ca="1">IFERROR(VLOOKUP(A34,OFFSET($AG$2,,,COUNTIF($AG$2:$AG$50,"?*"),23),16,FALSE),"")</f>
        <v>195/93</v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>P</v>
      </c>
      <c r="K35" s="341">
        <f ca="1">IFERROR(IF(VLOOKUP(J34,OFFSET($AG$2,,,COUNTIF($AG$2:$AG$50,"?*"),23),2,FALSE)&lt;&gt;0,YEAR(VLOOKUP(J34,OFFSET($AG$2,,,COUNTIF($AG$2:$AG$50,"?*"),23),2,FALSE)),""),"")</f>
        <v>2004</v>
      </c>
      <c r="L35" s="349"/>
      <c r="M35" s="93">
        <f ca="1">IFERROR(VLOOKUP(J34,OFFSET($AG$2,,,COUNTIF($AG$2:$AG$50,"?*"),23),15,FALSE),"")</f>
        <v>17</v>
      </c>
      <c r="N35" s="349" t="str">
        <f ca="1">IFERROR(VLOOKUP(J34,OFFSET($AG$2,,,COUNTIF($AG$2:$AG$50,"?*"),23),16,FALSE),"")</f>
        <v>183/79</v>
      </c>
      <c r="O35" s="349"/>
      <c r="P35" s="349" t="str">
        <f ca="1">IFERROR(VLOOKUP(J34,OFFSET($AG$2,,,COUNTIF($AG$2:$AG$50,"?*"),23),18,FALSE),"")</f>
        <v>3 OZ, 1 (0+1), -2 ±</v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3</v>
      </c>
      <c r="B36" s="357" t="str">
        <f ca="1">IFERROR(VLOOKUP(A34,OFFSET($AG$2,,,COUNTIF($AG$2:$AG$50,"?*"),23),18,FALSE),"")</f>
        <v>1 V, 2 P</v>
      </c>
      <c r="C36" s="357"/>
      <c r="D36" s="358">
        <f ca="1">IFERROR(VLOOKUP(A34,OFFSET($S$45,,,COUNTIF($S$45:$S$50,"?*"),14),5,FALSE),"")</f>
        <v>16</v>
      </c>
      <c r="E36" s="359"/>
      <c r="F36" s="17">
        <f ca="1">IFERROR(VLOOKUP(A34,OFFSET($S$45,,,COUNTIF($S$45:$S$50,"?*"),14),14,FALSE),"")</f>
        <v>71.428571428571431</v>
      </c>
      <c r="H36" s="348"/>
      <c r="J36" s="18">
        <f ca="1">IFERROR(IF(VLOOKUP(J34,OFFSET($AG$2,,,COUNTIF($AG$2:$AG$50,"?*"),23),7,FALSE)&lt;&gt;0,VLOOKUP(J34,OFFSET($AG$2,,,COUNTIF($AG$2:$AG$50,"?*"),23),7,FALSE),"?"),"")</f>
        <v>1</v>
      </c>
      <c r="K36" s="360" t="str">
        <f ca="1">IFERROR(VLOOKUP(J34,OFFSET($AG$2,,,COUNTIF($AG$2:$AG$50,"?*"),23),19,FALSE),"")</f>
        <v>3 OZ, 1 (0+1)</v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>FBC Panthers Liberec</v>
      </c>
      <c r="O36" s="361"/>
      <c r="P36" s="361"/>
      <c r="Q36" s="360">
        <f ca="1">IFERROR(IF(VLOOKUP(J34,OFFSET($AG$2,,,COUNTIF($AG$2:$AG$50,"?*"),23),14,FALSE)&lt;&gt;0,VLOOKUP(J34,OFFSET($AG$2,,,COUNTIF($AG$2:$AG$50,"?*"),23),14,FALSE),"?"),"")</f>
        <v>2010</v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>
        <f ca="1">IFERROR(VLOOKUP(A34,OFFSET($S$45,,,COUNTIF($S$45:$S$50,"?*"),14),3,FALSE),"")</f>
        <v>180</v>
      </c>
      <c r="B37" s="351"/>
      <c r="C37" s="352">
        <f ca="1">IFERROR(VLOOKUP(A34,OFFSET($S$45,,,COUNTIF($S$45:$S$50,"?*"),14),13,FALSE),"")</f>
        <v>5.333333333333333</v>
      </c>
      <c r="D37" s="353"/>
      <c r="E37" s="354" t="str">
        <f ca="1">IFERROR(VLOOKUP(A34,OFFSET($AG$2,,,COUNTIF($AG$2:$AG$50,"?*"),23),19,FALSE),"")</f>
        <v>3 OZ, 0 A</v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>FBC Liberec</v>
      </c>
      <c r="B38" s="343"/>
      <c r="C38" s="344"/>
      <c r="D38" s="345">
        <f ca="1">IFERROR(IF(VLOOKUP(A34,OFFSET($AG$2,,,COUNTIF($AG$2:$AG$50,"?*"),23),14,FALSE)&lt;&gt;0,VLOOKUP(A34,OFFSET($AG$2,,,COUNTIF($AG$2:$AG$50,"?*"),23),14,FALSE),"?"),"")</f>
        <v>2014</v>
      </c>
      <c r="E38" s="346"/>
      <c r="F38" s="19">
        <f ca="1">IFERROR(VLOOKUP(A34,OFFSET($S$45,,,COUNTIF($S$45:$S$50,"?*"),14),6,FALSE),"")</f>
        <v>0</v>
      </c>
      <c r="H38" s="348"/>
      <c r="J38" s="337" t="s">
        <v>241</v>
      </c>
      <c r="K38" s="338"/>
      <c r="L38" s="338"/>
      <c r="M38" s="338"/>
      <c r="N38" s="338"/>
      <c r="O38" s="338"/>
      <c r="P38" s="338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>P</v>
      </c>
      <c r="K39" s="341">
        <f ca="1">IFERROR(IF(VLOOKUP(J38,OFFSET($AG$2,,,COUNTIF($AG$2:$AG$50,"?*"),23),2,FALSE)&lt;&gt;0,YEAR(VLOOKUP(J38,OFFSET($AG$2,,,COUNTIF($AG$2:$AG$50,"?*"),23),2,FALSE)),""),"")</f>
        <v>2001</v>
      </c>
      <c r="L39" s="349"/>
      <c r="M39" s="151">
        <f ca="1">IFERROR(VLOOKUP(J38,OFFSET($AG$2,,,COUNTIF($AG$2:$AG$50,"?*"),23),15,FALSE),"")</f>
        <v>20</v>
      </c>
      <c r="N39" s="349" t="str">
        <f ca="1">IFERROR(VLOOKUP(J38,OFFSET($AG$2,,,COUNTIF($AG$2:$AG$50,"?*"),23),16,FALSE),"")</f>
        <v>170/67</v>
      </c>
      <c r="O39" s="349"/>
      <c r="P39" s="349" t="str">
        <f ca="1">IFERROR(VLOOKUP(J38,OFFSET($AG$2,,,COUNTIF($AG$2:$AG$50,"?*"),23),18,FALSE),"")</f>
        <v>3 OZ, 0 (0+0), 0 ±</v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 t="s">
        <v>899</v>
      </c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>
        <f ca="1">IFERROR(IF(VLOOKUP(J38,OFFSET($AG$2,,,COUNTIF($AG$2:$AG$50,"?*"),23),7,FALSE)&lt;&gt;0,VLOOKUP(J38,OFFSET($AG$2,,,COUNTIF($AG$2:$AG$50,"?*"),23),7,FALSE),"?"),"")</f>
        <v>4</v>
      </c>
      <c r="K40" s="360" t="str">
        <f ca="1">IFERROR(VLOOKUP(J38,OFFSET($AG$2,,,COUNTIF($AG$2:$AG$50,"?*"),23),19,FALSE),"")</f>
        <v>17 OZ, 0 (0+0)</v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>Sokol Benátky nad Jizerou</v>
      </c>
      <c r="O40" s="361"/>
      <c r="P40" s="361"/>
      <c r="Q40" s="360">
        <f ca="1">IFERROR(IF(VLOOKUP(J38,OFFSET($AG$2,,,COUNTIF($AG$2:$AG$50,"?*"),23),14,FALSE)&lt;&gt;0,VLOOKUP(J38,OFFSET($AG$2,,,COUNTIF($AG$2:$AG$50,"?*"),23),14,FALSE),"?"),"")</f>
        <v>2006</v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94" t="str">
        <f ca="1">IFERROR(VLOOKUP(A40,OFFSET($AG$2,,,COUNTIF($AG$2:$AG$50,"?*"),23),15,FALSE),"")</f>
        <v>?</v>
      </c>
      <c r="E41" s="331" t="str">
        <f ca="1">IFERROR(VLOOKUP(A40,OFFSET($AG$2,,,COUNTIF($AG$2:$AG$50,"?*"),23),16,FALSE),"")</f>
        <v>? / ?</v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57" t="str">
        <f ca="1">IFERROR(VLOOKUP(A40,OFFSET($AG$2,,,COUNTIF($AG$2:$AG$50,"?*"),23),18,FALSE),"")</f>
        <v>0 V, 0 P</v>
      </c>
      <c r="C42" s="357"/>
      <c r="D42" s="358">
        <f ca="1">IFERROR(VLOOKUP(A40,OFFSET($S$45,,,COUNTIF($S$45:$S$50,"?*"),14),5,FALSE),"")</f>
        <v>0</v>
      </c>
      <c r="E42" s="359"/>
      <c r="F42" s="17" t="str">
        <f ca="1">IFERROR(VLOOKUP(A40,OFFSET($S$45,,,COUNTIF($S$45:$S$50,"?*"),14),14,FALSE),"")</f>
        <v>-</v>
      </c>
      <c r="H42" s="348"/>
      <c r="J42" s="337"/>
      <c r="K42" s="338"/>
      <c r="L42" s="338"/>
      <c r="M42" s="338"/>
      <c r="N42" s="338"/>
      <c r="O42" s="338"/>
      <c r="P42" s="338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>
        <f ca="1">IFERROR(VLOOKUP(A40,OFFSET($S$45,,,COUNTIF($S$45:$S$50,"?*"),14),3,FALSE),"")</f>
        <v>0</v>
      </c>
      <c r="B43" s="351"/>
      <c r="C43" s="352">
        <f ca="1">IFERROR(VLOOKUP(A40,OFFSET($S$45,,,COUNTIF($S$45:$S$50,"?*"),14),13,FALSE),"")</f>
        <v>0</v>
      </c>
      <c r="D43" s="353"/>
      <c r="E43" s="354" t="str">
        <f ca="1">IFERROR(VLOOKUP(A40,OFFSET($AG$2,,,COUNTIF($AG$2:$AG$50,"?*"),23),19,FALSE),"")</f>
        <v>0 OZ, 0 A</v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>?</v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>?</v>
      </c>
      <c r="E44" s="346"/>
      <c r="F44" s="19">
        <f ca="1">IFERROR(VLOOKUP(A40,OFFSET($S$45,,,COUNTIF($S$45:$S$50,"?*"),14),6,FALSE),"")</f>
        <v>0</v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240</v>
      </c>
      <c r="T45" s="102">
        <v>3</v>
      </c>
      <c r="U45" s="112">
        <v>180</v>
      </c>
      <c r="V45" s="102">
        <v>1</v>
      </c>
      <c r="W45" s="102">
        <v>16</v>
      </c>
      <c r="X45" s="102">
        <v>0</v>
      </c>
      <c r="Y45" s="102">
        <v>56</v>
      </c>
      <c r="Z45" s="102">
        <v>0</v>
      </c>
      <c r="AA45" s="102">
        <v>2</v>
      </c>
      <c r="AB45" s="102">
        <v>40</v>
      </c>
      <c r="AC45" s="102">
        <v>0</v>
      </c>
      <c r="AD45" s="102">
        <v>0</v>
      </c>
      <c r="AE45" s="112">
        <f>IF(S45&lt;&gt;"",IF(T45&gt;0,W45/(U45/60),0),"")</f>
        <v>5.333333333333333</v>
      </c>
      <c r="AF45" s="112">
        <f>IF(S45&lt;&gt;"",IF(Y45&gt;0,(AB45/Y45)*100,"-"),"")</f>
        <v>71.428571428571431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235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 t="s">
        <v>259</v>
      </c>
      <c r="B47" s="378"/>
      <c r="C47" s="378"/>
      <c r="D47" s="378"/>
      <c r="E47" s="373" t="str">
        <f ca="1">IFERROR(VLOOKUP(A47,OFFSET($BN$2,,,COUNTIF($BN$2:$BN$11,"?*"),5),3,FALSE),"")</f>
        <v>hlavní trenér</v>
      </c>
      <c r="F47" s="373"/>
      <c r="G47" s="373"/>
      <c r="H47" s="373"/>
      <c r="I47" s="374"/>
      <c r="J47" s="377" t="s">
        <v>260</v>
      </c>
      <c r="K47" s="378"/>
      <c r="L47" s="378"/>
      <c r="M47" s="378"/>
      <c r="N47" s="373" t="str">
        <f ca="1">IFERROR(VLOOKUP(J47,OFFSET($BN$2,,,COUNTIF($BN$2:$BN$11,"?*"),5),3,FALSE),"")</f>
        <v>asistent trenéra</v>
      </c>
      <c r="O47" s="373"/>
      <c r="P47" s="373"/>
      <c r="Q47" s="373"/>
      <c r="R47" s="374"/>
      <c r="S47" s="111" t="s">
        <v>899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>
        <f ca="1">IFERROR(VLOOKUP(A47,OFFSET($BN$2,,,COUNTIF($BN$2:$BN$11,"?*"),5),5,FALSE),"")</f>
        <v>53</v>
      </c>
      <c r="B48" s="365" t="str">
        <f ca="1">IFERROR(IF(VLOOKUP(A47,OFFSET($BN$2,,,COUNTIF($BN$2:$BN$11,"?*"),5),4,FALSE)&lt;&gt;0,VLOOKUP(A47,OFFSET($BN$2,,,COUNTIF($BN$2:$BN$11,"?*"),5),4,FALSE),"-"),"")</f>
        <v>stříbro a bronz z MS</v>
      </c>
      <c r="C48" s="365"/>
      <c r="D48" s="365"/>
      <c r="E48" s="365"/>
      <c r="F48" s="365"/>
      <c r="G48" s="365"/>
      <c r="H48" s="365"/>
      <c r="I48" s="366"/>
      <c r="J48" s="92">
        <f ca="1">IFERROR(VLOOKUP(J47,OFFSET($BN$2,,,COUNTIF($BN$2:$BN$11,"?*"),5),5,FALSE),"")</f>
        <v>26</v>
      </c>
      <c r="K48" s="369" t="str">
        <f ca="1">IFERROR(IF(VLOOKUP(J47,OFFSET($BN$2,,,COUNTIF($BN$2:$BN$11,"?*"),5),4,FALSE)&lt;&gt;0,VLOOKUP(J47,OFFSET($BN$2,,,COUNTIF($BN$2:$BN$11,"?*"),5),4,FALSE),"-"),"")</f>
        <v>-</v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 t="s">
        <v>261</v>
      </c>
      <c r="K49" s="372"/>
      <c r="L49" s="372"/>
      <c r="M49" s="372"/>
      <c r="N49" s="373" t="str">
        <f ca="1">IFERROR(VLOOKUP(J49,OFFSET($BN$2,,,COUNTIF($BN$2:$BN$11,"?*"),5),3,FALSE),"")</f>
        <v>kondiční trenér</v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92">
        <f ca="1">IFERROR(VLOOKUP(J49,OFFSET($BN$2,,,COUNTIF($BN$2:$BN$11,"?*"),5),5,FALSE),"")</f>
        <v>42</v>
      </c>
      <c r="K50" s="369" t="str">
        <f ca="1">IFERROR(IF(VLOOKUP(J49,OFFSET($BN$2,,,COUNTIF($BN$2:$BN$11,"?*"),5),4,FALSE)&lt;&gt;0,VLOOKUP(J49,OFFSET($BN$2,,,COUNTIF($BN$2:$BN$11,"?*"),5),4,FALSE),"-"),"")</f>
        <v>-</v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416</v>
      </c>
      <c r="T2" s="102" t="s">
        <v>121</v>
      </c>
      <c r="U2" s="102">
        <v>3</v>
      </c>
      <c r="V2" s="102">
        <v>4</v>
      </c>
      <c r="W2" s="102">
        <v>2</v>
      </c>
      <c r="X2" s="102">
        <v>0</v>
      </c>
      <c r="Y2" s="102">
        <v>2</v>
      </c>
      <c r="Z2" s="102">
        <v>6</v>
      </c>
      <c r="AA2" s="102">
        <v>0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426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443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163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455</v>
      </c>
      <c r="BO2" s="122">
        <v>30091</v>
      </c>
      <c r="BP2" s="131" t="s">
        <v>264</v>
      </c>
      <c r="BQ2" s="132" t="s">
        <v>456</v>
      </c>
      <c r="BR2" s="127">
        <f ca="1">IF(BN2&lt;&gt;"",IF(BO2&lt;&gt;"",INT((TODAY()-BO2)/365),"?"),"")</f>
        <v>39</v>
      </c>
      <c r="BS2" s="376" t="s">
        <v>36</v>
      </c>
      <c r="BT2" s="104" t="s">
        <v>1052</v>
      </c>
      <c r="BU2" s="103">
        <v>6</v>
      </c>
      <c r="BV2" s="104" t="str">
        <f>IFERROR(RIGHT(BT2,LEN(BT2)-SEARCH(" ",BT2)),"")</f>
        <v>Jan Natov</v>
      </c>
      <c r="BW2" s="102">
        <f>IF(BT2&lt;&gt;0,_xlfn.NUMBERVALUE(BU2,","),"")</f>
        <v>6</v>
      </c>
      <c r="BX2" s="375" t="s">
        <v>219</v>
      </c>
      <c r="BY2" s="103" t="s">
        <v>966</v>
      </c>
      <c r="BZ2" s="103" t="s">
        <v>97</v>
      </c>
      <c r="CA2" s="115" t="s">
        <v>1049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413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2</v>
      </c>
      <c r="Z3" s="102">
        <v>5</v>
      </c>
      <c r="AA3" s="102">
        <v>2</v>
      </c>
      <c r="AB3" s="102">
        <v>0</v>
      </c>
      <c r="AC3" s="102" t="str">
        <f t="shared" ca="1" si="0"/>
        <v>ANO</v>
      </c>
      <c r="AG3" s="121" t="s">
        <v>421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444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3 OZ, 2 (2+0), -2 ±</v>
      </c>
      <c r="AY3" s="129" t="str">
        <f t="shared" ca="1" si="2"/>
        <v>141 OZ, 116 (86+30)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457</v>
      </c>
      <c r="BO3" s="122">
        <v>33197</v>
      </c>
      <c r="BP3" s="131" t="s">
        <v>194</v>
      </c>
      <c r="BQ3" s="132" t="s">
        <v>458</v>
      </c>
      <c r="BR3" s="127">
        <f t="shared" ref="BR3:BR11" ca="1" si="12">IF(BN3&lt;&gt;"",IF(BO3&lt;&gt;"",INT((TODAY()-BO3)/365),"?"),"")</f>
        <v>30</v>
      </c>
      <c r="BS3" s="376"/>
      <c r="BT3" s="104" t="s">
        <v>1053</v>
      </c>
      <c r="BU3" s="103">
        <v>5</v>
      </c>
      <c r="BV3" s="104" t="str">
        <f t="shared" ref="BV3:BV31" si="13">IFERROR(RIGHT(BT3,LEN(BT3)-SEARCH(" ",BT3)),"")</f>
        <v>Jiří Curney</v>
      </c>
      <c r="BW3" s="102">
        <f t="shared" ref="BW3:BW31" si="14">IF(BT3&lt;&gt;0,_xlfn.NUMBERVALUE(BU3,","),"")</f>
        <v>5</v>
      </c>
      <c r="BX3" s="375"/>
      <c r="BY3" s="103" t="s">
        <v>211</v>
      </c>
      <c r="BZ3" s="103" t="s">
        <v>24</v>
      </c>
      <c r="CA3" s="115" t="s">
        <v>904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422</v>
      </c>
      <c r="T4" s="102" t="s">
        <v>121</v>
      </c>
      <c r="U4" s="102">
        <v>3</v>
      </c>
      <c r="V4" s="102">
        <v>1</v>
      </c>
      <c r="W4" s="102">
        <v>0</v>
      </c>
      <c r="X4" s="102">
        <v>0</v>
      </c>
      <c r="Y4" s="102">
        <v>4</v>
      </c>
      <c r="Z4" s="102">
        <v>5</v>
      </c>
      <c r="AA4" s="102">
        <v>0</v>
      </c>
      <c r="AB4" s="102">
        <v>5</v>
      </c>
      <c r="AC4" s="102" t="str">
        <f t="shared" ca="1" si="0"/>
        <v>ANO</v>
      </c>
      <c r="AG4" s="121" t="s">
        <v>413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445</v>
      </c>
      <c r="AT4" s="123">
        <v>2004</v>
      </c>
      <c r="AU4" s="127">
        <f ca="1">IF(AG4&lt;&gt;"",IF(AH4&lt;&gt;"",INT((TODAY()-AH4)/365),"?"),"")</f>
        <v>31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3 OZ, 5 (3+2), 0 ±</v>
      </c>
      <c r="AY4" s="129" t="str">
        <f t="shared" ca="1" si="2"/>
        <v>338 OZ, 740 (406+334)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459</v>
      </c>
      <c r="BO4" s="122">
        <v>30597</v>
      </c>
      <c r="BP4" s="131" t="s">
        <v>265</v>
      </c>
      <c r="BQ4" s="132" t="s">
        <v>460</v>
      </c>
      <c r="BR4" s="127">
        <f t="shared" ca="1" si="12"/>
        <v>37</v>
      </c>
      <c r="BS4" s="376"/>
      <c r="BT4" s="104" t="s">
        <v>1054</v>
      </c>
      <c r="BU4" s="103">
        <v>5</v>
      </c>
      <c r="BV4" s="104" t="str">
        <f t="shared" si="13"/>
        <v>Milan Tomašík</v>
      </c>
      <c r="BW4" s="102">
        <f t="shared" si="14"/>
        <v>5</v>
      </c>
      <c r="BX4" s="375"/>
      <c r="BY4" s="103" t="s">
        <v>276</v>
      </c>
      <c r="BZ4" s="103" t="s">
        <v>105</v>
      </c>
      <c r="CA4" s="115" t="s">
        <v>470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415</v>
      </c>
      <c r="U5" s="102">
        <v>3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4</v>
      </c>
      <c r="AB5" s="102">
        <v>8</v>
      </c>
      <c r="AC5" s="102" t="str">
        <f t="shared" ca="1" si="0"/>
        <v>ANO</v>
      </c>
      <c r="AG5" s="121" t="s">
        <v>432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324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461</v>
      </c>
      <c r="BO5" s="122">
        <v>34618</v>
      </c>
      <c r="BP5" s="131" t="s">
        <v>462</v>
      </c>
      <c r="BQ5" s="132" t="s">
        <v>463</v>
      </c>
      <c r="BR5" s="127">
        <f t="shared" ca="1" si="12"/>
        <v>26</v>
      </c>
      <c r="BS5" s="376"/>
      <c r="BT5" s="104" t="s">
        <v>1055</v>
      </c>
      <c r="BU5" s="103">
        <v>4</v>
      </c>
      <c r="BV5" s="104" t="str">
        <f t="shared" si="13"/>
        <v>Martin Tokoš</v>
      </c>
      <c r="BW5" s="102">
        <f t="shared" si="14"/>
        <v>4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418</v>
      </c>
      <c r="U6" s="102">
        <v>3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3</v>
      </c>
      <c r="AC6" s="102" t="str">
        <f t="shared" ca="1" si="0"/>
        <v>NE</v>
      </c>
      <c r="AG6" s="121" t="s">
        <v>433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446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464</v>
      </c>
      <c r="BO6" s="122">
        <v>33694</v>
      </c>
      <c r="BP6" s="131" t="s">
        <v>465</v>
      </c>
      <c r="BQ6" s="132"/>
      <c r="BR6" s="127">
        <f t="shared" ca="1" si="12"/>
        <v>29</v>
      </c>
      <c r="BS6" s="376"/>
      <c r="BT6" s="104" t="s">
        <v>466</v>
      </c>
      <c r="BU6" s="103">
        <v>4</v>
      </c>
      <c r="BV6" s="104" t="str">
        <f t="shared" si="13"/>
        <v>Dominik Beneš</v>
      </c>
      <c r="BW6" s="102">
        <f t="shared" si="14"/>
        <v>4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423</v>
      </c>
      <c r="T7" s="102" t="s">
        <v>64</v>
      </c>
      <c r="U7" s="102">
        <v>3</v>
      </c>
      <c r="V7" s="102">
        <v>1</v>
      </c>
      <c r="W7" s="102">
        <v>0</v>
      </c>
      <c r="X7" s="102">
        <v>0</v>
      </c>
      <c r="Y7" s="102">
        <v>3</v>
      </c>
      <c r="Z7" s="102">
        <v>4</v>
      </c>
      <c r="AA7" s="102">
        <v>4</v>
      </c>
      <c r="AB7" s="102">
        <v>3</v>
      </c>
      <c r="AC7" s="102" t="str">
        <f t="shared" ca="1" si="0"/>
        <v>ANO</v>
      </c>
      <c r="AG7" s="121" t="s">
        <v>417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443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3 OZ, 2 (0+2), +1 ±</v>
      </c>
      <c r="AY7" s="129" t="str">
        <f t="shared" ca="1" si="2"/>
        <v>210 OZ, 137 (78+59)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467</v>
      </c>
      <c r="BU7" s="103" t="s">
        <v>1056</v>
      </c>
      <c r="BV7" s="104" t="str">
        <f t="shared" si="13"/>
        <v>Lukáš Bauer</v>
      </c>
      <c r="BW7" s="112">
        <f t="shared" si="14"/>
        <v>3.6</v>
      </c>
      <c r="BX7" s="375" t="s">
        <v>220</v>
      </c>
      <c r="BY7" s="103" t="s">
        <v>278</v>
      </c>
      <c r="BZ7" s="103" t="s">
        <v>104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23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419</v>
      </c>
      <c r="T8" s="102" t="s">
        <v>121</v>
      </c>
      <c r="U8" s="102">
        <v>3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2</v>
      </c>
      <c r="AC8" s="102" t="str">
        <f t="shared" ca="1" si="0"/>
        <v>ANO</v>
      </c>
      <c r="AG8" s="121" t="s">
        <v>434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447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1 OZ, 0 (0+0), 0 ±</v>
      </c>
      <c r="AY8" s="129" t="str">
        <f t="shared" ca="1" si="2"/>
        <v>14 OZ, 11 (7+4)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468</v>
      </c>
      <c r="BU8" s="103" t="s">
        <v>203</v>
      </c>
      <c r="BV8" s="104" t="str">
        <f t="shared" si="13"/>
        <v>Ondřej Tomšík</v>
      </c>
      <c r="BW8" s="112">
        <f t="shared" si="14"/>
        <v>0</v>
      </c>
      <c r="BX8" s="375"/>
      <c r="BY8" s="103" t="s">
        <v>214</v>
      </c>
      <c r="BZ8" s="103" t="s">
        <v>98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-2</v>
      </c>
      <c r="AC9" s="102" t="str">
        <f t="shared" ca="1" si="0"/>
        <v>ANO</v>
      </c>
      <c r="AG9" s="121" t="s">
        <v>435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215</v>
      </c>
      <c r="BZ9" s="103" t="s">
        <v>99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414</v>
      </c>
      <c r="U10" s="102">
        <v>3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NE</v>
      </c>
      <c r="AG10" s="121" t="s">
        <v>419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448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3 OZ, 2 (2+0), +2 ±</v>
      </c>
      <c r="AY10" s="129" t="str">
        <f t="shared" ca="1" si="2"/>
        <v>213 OZ, 186 (113+73)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1050</v>
      </c>
      <c r="BZ10" s="103" t="s">
        <v>96</v>
      </c>
      <c r="CA10" s="115" t="s">
        <v>212</v>
      </c>
    </row>
    <row r="11" spans="1:79" ht="15" customHeight="1" thickTop="1" thickBot="1" x14ac:dyDescent="0.25">
      <c r="R11" s="13"/>
      <c r="S11" s="110" t="s">
        <v>424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1</v>
      </c>
      <c r="AC11" s="102" t="str">
        <f t="shared" ca="1" si="0"/>
        <v>NE</v>
      </c>
      <c r="AG11" s="121" t="s">
        <v>436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448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103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417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289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1052</v>
      </c>
      <c r="BU12" s="103">
        <v>4</v>
      </c>
      <c r="BV12" s="104" t="str">
        <f t="shared" si="13"/>
        <v>Jan Natov</v>
      </c>
      <c r="BW12" s="102">
        <f t="shared" si="14"/>
        <v>4</v>
      </c>
      <c r="BX12" s="120" t="s">
        <v>218</v>
      </c>
      <c r="BY12" s="100" t="s">
        <v>1051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420</v>
      </c>
      <c r="T13" s="102" t="s">
        <v>121</v>
      </c>
      <c r="U13" s="102">
        <v>3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429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449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3 OZ, 0 (0+0), 0 ±</v>
      </c>
      <c r="AY13" s="129" t="str">
        <f t="shared" ca="1" si="2"/>
        <v>33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1053</v>
      </c>
      <c r="BU13" s="103">
        <v>3</v>
      </c>
      <c r="BV13" s="104" t="str">
        <f t="shared" si="13"/>
        <v>Jiří Curney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425</v>
      </c>
      <c r="U14" s="102">
        <v>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2</v>
      </c>
      <c r="AC14" s="102" t="str">
        <f t="shared" ca="1" si="0"/>
        <v>ANO</v>
      </c>
      <c r="AG14" s="121" t="s">
        <v>437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385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1057</v>
      </c>
      <c r="BU14" s="103">
        <v>3</v>
      </c>
      <c r="BV14" s="104" t="str">
        <f t="shared" si="13"/>
        <v>Martin Tokoš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U15" s="102">
        <v>3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438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1058</v>
      </c>
      <c r="BU15" s="103">
        <v>2</v>
      </c>
      <c r="BV15" s="104" t="str">
        <f t="shared" si="13"/>
        <v>Dominik Beneš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1048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439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450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906</v>
      </c>
      <c r="BU16" s="103">
        <v>2</v>
      </c>
      <c r="BV16" s="104" t="str">
        <f t="shared" si="13"/>
        <v>Jakub Bína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434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288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467</v>
      </c>
      <c r="BU17" s="103">
        <v>3</v>
      </c>
      <c r="BV17" s="104" t="str">
        <f t="shared" si="13"/>
        <v>Lukáš Bauer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429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416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451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3 OZ, 6 (4+2), +8 ±</v>
      </c>
      <c r="AY18" s="129" t="str">
        <f t="shared" ca="1" si="2"/>
        <v>276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468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MB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431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238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449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427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3</v>
      </c>
      <c r="AC20" s="102" t="str">
        <f t="shared" ca="1" si="0"/>
        <v>NE</v>
      </c>
      <c r="AG20" s="121" t="s">
        <v>440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452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426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423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385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3 OZ, 4 (1+3), +3 ±</v>
      </c>
      <c r="AY21" s="129" t="str">
        <f t="shared" ca="1" si="2"/>
        <v>186 OZ, 187 (88+99)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428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5</v>
      </c>
      <c r="AC22" s="102" t="str">
        <f t="shared" ca="1" si="0"/>
        <v>ANO</v>
      </c>
      <c r="AG22" s="121" t="s">
        <v>425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332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 OZ, 1 (0+1), +2 ±</v>
      </c>
      <c r="AY22" s="129" t="str">
        <f t="shared" ca="1" si="2"/>
        <v>142 OZ, 189 (101+88)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1059</v>
      </c>
      <c r="BU22" s="103">
        <v>4</v>
      </c>
      <c r="BV22" s="104" t="str">
        <f t="shared" si="13"/>
        <v>Milan Tomašík</v>
      </c>
      <c r="BW22" s="102">
        <f t="shared" si="14"/>
        <v>4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249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1060</v>
      </c>
      <c r="BU23" s="103">
        <v>3</v>
      </c>
      <c r="BV23" s="104" t="str">
        <f t="shared" si="13"/>
        <v>Patrik Suchánek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441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453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1061</v>
      </c>
      <c r="BU24" s="103">
        <v>2</v>
      </c>
      <c r="BV24" s="104" t="str">
        <f t="shared" si="13"/>
        <v>Dominik Beneš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415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454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3 OZ, 4 (3+1), +8 ±</v>
      </c>
      <c r="AY25" s="129" t="str">
        <f t="shared" ca="1" si="16"/>
        <v>236 OZ, 299 (186+113)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1062</v>
      </c>
      <c r="BU25" s="103">
        <v>2</v>
      </c>
      <c r="BV25" s="104" t="str">
        <f t="shared" si="13"/>
        <v>Jakub Gruber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422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454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3 OZ, 5 (1+4), +5 ±</v>
      </c>
      <c r="AY26" s="129" t="str">
        <f t="shared" ca="1" si="16"/>
        <v>221 OZ, 363 (185+178)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1063</v>
      </c>
      <c r="BU26" s="103">
        <v>2</v>
      </c>
      <c r="BV26" s="104" t="str">
        <f t="shared" si="13"/>
        <v>Jan Natov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431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249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469</v>
      </c>
      <c r="BU27" s="103">
        <v>4</v>
      </c>
      <c r="BV27" s="104" t="str">
        <f t="shared" si="13"/>
        <v>Martin Tokoš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442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249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1060</v>
      </c>
      <c r="BU28" s="103">
        <v>4</v>
      </c>
      <c r="BV28" s="104" t="str">
        <f t="shared" si="13"/>
        <v>Patrik Suchánek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428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449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0 (0+0), +5 ±</v>
      </c>
      <c r="AY29" s="129" t="str">
        <f t="shared" ca="1" si="16"/>
        <v>125 OZ, 43 (18+25)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905</v>
      </c>
      <c r="BU29" s="103">
        <v>2</v>
      </c>
      <c r="BV29" s="104" t="str">
        <f t="shared" si="13"/>
        <v>Jiří Curney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MB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420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449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1064</v>
      </c>
      <c r="BU30" s="103">
        <v>0</v>
      </c>
      <c r="BV30" s="104" t="str">
        <f t="shared" si="13"/>
        <v>Adam Hemerka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1065</v>
      </c>
      <c r="BU31" s="103">
        <v>0</v>
      </c>
      <c r="BV31" s="104" t="str">
        <f t="shared" si="13"/>
        <v>Daniel Šebek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426</v>
      </c>
      <c r="T45" s="102">
        <v>3</v>
      </c>
      <c r="U45" s="112">
        <v>183.2</v>
      </c>
      <c r="V45" s="102">
        <v>3</v>
      </c>
      <c r="W45" s="102">
        <v>11</v>
      </c>
      <c r="X45" s="102">
        <v>0</v>
      </c>
      <c r="Y45" s="102">
        <v>41</v>
      </c>
      <c r="Z45" s="102">
        <v>0</v>
      </c>
      <c r="AA45" s="102">
        <v>0</v>
      </c>
      <c r="AB45" s="102">
        <v>30</v>
      </c>
      <c r="AC45" s="102">
        <v>0</v>
      </c>
      <c r="AD45" s="102">
        <v>0</v>
      </c>
      <c r="AE45" s="112">
        <f>IF(S45&lt;&gt;"",IF(T45&gt;0,W45/(U45/60),0),"")</f>
        <v>3.6026200873362448</v>
      </c>
      <c r="AF45" s="112">
        <f>IF(S45&lt;&gt;"",IF(Y45&gt;0,(AB45/Y45)*100,"-"),"")</f>
        <v>73.170731707317074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817</v>
      </c>
      <c r="U2" s="102">
        <v>3</v>
      </c>
      <c r="V2" s="102">
        <v>5</v>
      </c>
      <c r="W2" s="102">
        <v>1</v>
      </c>
      <c r="X2" s="102">
        <v>0</v>
      </c>
      <c r="Y2" s="102">
        <v>2</v>
      </c>
      <c r="Z2" s="102">
        <v>7</v>
      </c>
      <c r="AA2" s="102">
        <v>0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822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2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831</v>
      </c>
      <c r="BU2" s="103">
        <v>7</v>
      </c>
      <c r="BV2" s="104" t="str">
        <f>IFERROR(RIGHT(BT2,LEN(BT2)-SEARCH(" ",BT2)),"")</f>
        <v>Wojciech Malajka</v>
      </c>
      <c r="BW2" s="102">
        <f>IF(BT2&lt;&gt;0,_xlfn.NUMBERVALUE(BU2,","),"")</f>
        <v>7</v>
      </c>
      <c r="BX2" s="375" t="s">
        <v>219</v>
      </c>
      <c r="BY2" s="103" t="s">
        <v>966</v>
      </c>
      <c r="BZ2" s="103" t="s">
        <v>94</v>
      </c>
      <c r="CA2" s="115" t="s">
        <v>889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820</v>
      </c>
      <c r="U3" s="102">
        <v>3</v>
      </c>
      <c r="V3" s="102">
        <v>5</v>
      </c>
      <c r="W3" s="102">
        <v>1</v>
      </c>
      <c r="X3" s="102">
        <v>0</v>
      </c>
      <c r="Y3" s="102">
        <v>1</v>
      </c>
      <c r="Z3" s="102">
        <v>6</v>
      </c>
      <c r="AA3" s="102">
        <v>2</v>
      </c>
      <c r="AB3" s="102">
        <v>0</v>
      </c>
      <c r="AC3" s="102" t="str">
        <f t="shared" ca="1" si="0"/>
        <v>ANO</v>
      </c>
      <c r="AG3" s="121" t="s">
        <v>545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3 OZ, 3 (3+0), +10 ±</v>
      </c>
      <c r="AY3" s="129" t="str">
        <f t="shared" ca="1" si="2"/>
        <v>3 OZ, 3 (3+0)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835</v>
      </c>
      <c r="BU3" s="103">
        <v>6</v>
      </c>
      <c r="BV3" s="104" t="str">
        <f t="shared" ref="BV3:BV31" si="13">IFERROR(RIGHT(BT3,LEN(BT3)-SEARCH(" ",BT3)),"")</f>
        <v>Daniel Chatrný</v>
      </c>
      <c r="BW3" s="102">
        <f t="shared" ref="BW3:BW31" si="14">IF(BT3&lt;&gt;0,_xlfn.NUMBERVALUE(BU3,","),"")</f>
        <v>6</v>
      </c>
      <c r="BX3" s="375"/>
      <c r="BY3" s="103" t="s">
        <v>211</v>
      </c>
      <c r="BZ3" s="103" t="s">
        <v>5</v>
      </c>
      <c r="CA3" s="115" t="s">
        <v>911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377</v>
      </c>
      <c r="T4" s="102" t="s">
        <v>64</v>
      </c>
      <c r="U4" s="102">
        <v>3</v>
      </c>
      <c r="V4" s="102">
        <v>2</v>
      </c>
      <c r="W4" s="102">
        <v>0</v>
      </c>
      <c r="X4" s="102">
        <v>0</v>
      </c>
      <c r="Y4" s="102">
        <v>4</v>
      </c>
      <c r="Z4" s="102">
        <v>6</v>
      </c>
      <c r="AA4" s="102">
        <v>0</v>
      </c>
      <c r="AB4" s="102">
        <v>10</v>
      </c>
      <c r="AC4" s="102" t="str">
        <f t="shared" ca="1" si="0"/>
        <v>ANO</v>
      </c>
      <c r="AG4" s="121" t="s">
        <v>826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3 OZ, 0 (0+0), -1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917</v>
      </c>
      <c r="BU4" s="103">
        <v>6</v>
      </c>
      <c r="BV4" s="104" t="str">
        <f t="shared" si="13"/>
        <v>Šimon Kuczera</v>
      </c>
      <c r="BW4" s="102">
        <f t="shared" si="14"/>
        <v>6</v>
      </c>
      <c r="BX4" s="375"/>
      <c r="BY4" s="103" t="s">
        <v>210</v>
      </c>
      <c r="BZ4" s="103" t="s">
        <v>101</v>
      </c>
      <c r="CA4" s="115" t="s">
        <v>838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818</v>
      </c>
      <c r="T5" s="102" t="s">
        <v>121</v>
      </c>
      <c r="U5" s="102">
        <v>3</v>
      </c>
      <c r="V5" s="102">
        <v>1</v>
      </c>
      <c r="W5" s="102">
        <v>1</v>
      </c>
      <c r="X5" s="102">
        <v>0</v>
      </c>
      <c r="Y5" s="102">
        <v>4</v>
      </c>
      <c r="Z5" s="102">
        <v>5</v>
      </c>
      <c r="AA5" s="102">
        <v>0</v>
      </c>
      <c r="AB5" s="102">
        <v>0</v>
      </c>
      <c r="AC5" s="102" t="str">
        <f t="shared" ca="1" si="0"/>
        <v>ANO</v>
      </c>
      <c r="AG5" s="121" t="s">
        <v>828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3 OZ, 0 (0+0), -1 ±</v>
      </c>
      <c r="AY5" s="129" t="str">
        <f t="shared" ca="1" si="2"/>
        <v>3 OZ, 0 (0+0)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1067</v>
      </c>
      <c r="BU5" s="103">
        <v>5</v>
      </c>
      <c r="BV5" s="104" t="str">
        <f t="shared" si="13"/>
        <v>Michal Sládek</v>
      </c>
      <c r="BW5" s="102">
        <f t="shared" si="14"/>
        <v>5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819</v>
      </c>
      <c r="T6" s="102" t="s">
        <v>121</v>
      </c>
      <c r="U6" s="102">
        <v>2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10</v>
      </c>
      <c r="AC6" s="102" t="str">
        <f t="shared" ca="1" si="0"/>
        <v>ANO</v>
      </c>
      <c r="AG6" s="121" t="s">
        <v>820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3 OZ, 6 (5+1), 0 ±</v>
      </c>
      <c r="AY6" s="129" t="str">
        <f t="shared" ca="1" si="2"/>
        <v>3 OZ, 6 (5+1)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912</v>
      </c>
      <c r="BU6" s="103">
        <v>4</v>
      </c>
      <c r="BV6" s="104" t="str">
        <f t="shared" si="13"/>
        <v>Lukáš Pešat</v>
      </c>
      <c r="BW6" s="102">
        <f t="shared" si="14"/>
        <v>4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545</v>
      </c>
      <c r="T7" s="102" t="s">
        <v>121</v>
      </c>
      <c r="U7" s="102">
        <v>3</v>
      </c>
      <c r="V7" s="102">
        <v>3</v>
      </c>
      <c r="W7" s="102">
        <v>0</v>
      </c>
      <c r="X7" s="102">
        <v>0</v>
      </c>
      <c r="Y7" s="102">
        <v>0</v>
      </c>
      <c r="Z7" s="102">
        <v>3</v>
      </c>
      <c r="AA7" s="102">
        <v>0</v>
      </c>
      <c r="AB7" s="102">
        <v>10</v>
      </c>
      <c r="AC7" s="102" t="str">
        <f t="shared" ca="1" si="0"/>
        <v>ANO</v>
      </c>
      <c r="AG7" s="121" t="s">
        <v>374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3 OZ, 0 (0+0), -2 ±</v>
      </c>
      <c r="AY7" s="129" t="str">
        <f t="shared" ca="1" si="2"/>
        <v>3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833</v>
      </c>
      <c r="BU7" s="103" t="s">
        <v>1068</v>
      </c>
      <c r="BV7" s="104" t="str">
        <f t="shared" si="13"/>
        <v>Jan Binder</v>
      </c>
      <c r="BW7" s="112">
        <f t="shared" si="14"/>
        <v>3.94</v>
      </c>
      <c r="BX7" s="375" t="s">
        <v>220</v>
      </c>
      <c r="BY7" s="103" t="s">
        <v>213</v>
      </c>
      <c r="BZ7" s="103" t="s">
        <v>102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99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825</v>
      </c>
      <c r="T8" s="102" t="s">
        <v>64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-1</v>
      </c>
      <c r="AC8" s="102" t="str">
        <f t="shared" ca="1" si="0"/>
        <v>ANO</v>
      </c>
      <c r="AG8" s="121" t="s">
        <v>821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3 OZ, 0 (0+0), -1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834</v>
      </c>
      <c r="BU8" s="103" t="s">
        <v>203</v>
      </c>
      <c r="BV8" s="104" t="str">
        <f t="shared" si="13"/>
        <v>Jan Klinka</v>
      </c>
      <c r="BW8" s="112">
        <f t="shared" si="14"/>
        <v>0</v>
      </c>
      <c r="BX8" s="375"/>
      <c r="BY8" s="103" t="s">
        <v>214</v>
      </c>
      <c r="BZ8" s="103" t="s">
        <v>105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830</v>
      </c>
      <c r="U9" s="102">
        <v>3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10</v>
      </c>
      <c r="AC9" s="102" t="str">
        <f t="shared" ca="1" si="0"/>
        <v>ANO</v>
      </c>
      <c r="AG9" s="121" t="s">
        <v>830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3 OZ, 2 (1+1), +10 ±</v>
      </c>
      <c r="AY9" s="129" t="str">
        <f t="shared" ca="1" si="2"/>
        <v>3 OZ, 2 (1+1)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913</v>
      </c>
      <c r="BU9" s="103" t="s">
        <v>203</v>
      </c>
      <c r="BV9" s="104" t="str">
        <f t="shared" si="13"/>
        <v>Martin Janík</v>
      </c>
      <c r="BW9" s="112">
        <f t="shared" si="14"/>
        <v>0</v>
      </c>
      <c r="BX9" s="375"/>
      <c r="BY9" s="103" t="s">
        <v>215</v>
      </c>
      <c r="BZ9" s="103" t="s">
        <v>23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829</v>
      </c>
      <c r="U10" s="102">
        <v>3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823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24</v>
      </c>
      <c r="CA10" s="115" t="s">
        <v>212</v>
      </c>
    </row>
    <row r="11" spans="1:79" ht="15" customHeight="1" thickTop="1" thickBot="1" x14ac:dyDescent="0.25">
      <c r="R11" s="13"/>
      <c r="S11" s="110" t="s">
        <v>823</v>
      </c>
      <c r="T11" s="102" t="s">
        <v>119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 t="str">
        <f t="shared" ca="1" si="0"/>
        <v>ANO</v>
      </c>
      <c r="AG11" s="121" t="s">
        <v>377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3 OZ, 6 (2+4), +10 ±</v>
      </c>
      <c r="AY11" s="129" t="str">
        <f t="shared" ca="1" si="2"/>
        <v>3 OZ, 6 (2+4)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97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565</v>
      </c>
      <c r="T12" s="102" t="s">
        <v>64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2</v>
      </c>
      <c r="AB12" s="102">
        <v>-1</v>
      </c>
      <c r="AC12" s="102" t="str">
        <f t="shared" ca="1" si="0"/>
        <v>ANO</v>
      </c>
      <c r="AG12" s="121" t="s">
        <v>825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3 OZ, 2 (1+1), -1 ±</v>
      </c>
      <c r="AY12" s="129" t="str">
        <f t="shared" ca="1" si="2"/>
        <v>3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919</v>
      </c>
      <c r="BU12" s="103">
        <v>5</v>
      </c>
      <c r="BV12" s="104" t="str">
        <f t="shared" si="13"/>
        <v>Daniel Chatrný</v>
      </c>
      <c r="BW12" s="102">
        <f t="shared" si="14"/>
        <v>5</v>
      </c>
      <c r="BX12" s="120" t="s">
        <v>218</v>
      </c>
      <c r="BY12" s="100" t="s">
        <v>1066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909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817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3 OZ, 7 (5+2), +10 ±</v>
      </c>
      <c r="AY13" s="129" t="str">
        <f t="shared" ca="1" si="2"/>
        <v>3 OZ, 7 (5+2)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1069</v>
      </c>
      <c r="BU13" s="103">
        <v>5</v>
      </c>
      <c r="BV13" s="104" t="str">
        <f t="shared" si="13"/>
        <v>Wojciech Malajka</v>
      </c>
      <c r="BW13" s="102">
        <f t="shared" si="14"/>
        <v>5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910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819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2 OZ, 4 (1+3), +10 ±</v>
      </c>
      <c r="AY14" s="129" t="str">
        <f t="shared" ca="1" si="2"/>
        <v>2 OZ, 4 (1+3)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836</v>
      </c>
      <c r="BU14" s="103">
        <v>3</v>
      </c>
      <c r="BV14" s="104" t="str">
        <f t="shared" si="13"/>
        <v>Ladislav Gál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908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1</v>
      </c>
      <c r="AC15" s="102" t="str">
        <f t="shared" ca="1" si="0"/>
        <v>NE</v>
      </c>
      <c r="AG15" s="121" t="s">
        <v>824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3 OZ, 0 (0+0), 0 ±</v>
      </c>
      <c r="AY15" s="129" t="str">
        <f t="shared" ca="1" si="2"/>
        <v>3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837</v>
      </c>
      <c r="BU15" s="103">
        <v>2</v>
      </c>
      <c r="BV15" s="104" t="str">
        <f t="shared" si="13"/>
        <v>Šimon Kuczera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907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818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3 OZ, 5 (1+4), 0 ±</v>
      </c>
      <c r="AY16" s="129" t="str">
        <f t="shared" ca="1" si="2"/>
        <v>3 OZ, 5 (1+4)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1070</v>
      </c>
      <c r="BU16" s="103">
        <v>1</v>
      </c>
      <c r="BV16" s="104" t="str">
        <f t="shared" si="13"/>
        <v>Dominik Klimscha</v>
      </c>
      <c r="BW16" s="102">
        <f t="shared" si="14"/>
        <v>1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822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0</v>
      </c>
      <c r="AC17" s="102" t="str">
        <f t="shared" ca="1" si="0"/>
        <v>ANO</v>
      </c>
      <c r="AG17" s="121" t="s">
        <v>829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3 OZ, 2 (0+2), 0 ±</v>
      </c>
      <c r="AY17" s="129" t="str">
        <f t="shared" ca="1" si="2"/>
        <v>3 OZ, 2 (0+2)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833</v>
      </c>
      <c r="BU17" s="103">
        <v>2</v>
      </c>
      <c r="BV17" s="104" t="str">
        <f t="shared" si="13"/>
        <v>Jan Binder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374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ANO</v>
      </c>
      <c r="AG18" s="121" t="s">
        <v>827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3 OZ, 0 (0+0), -2 ±</v>
      </c>
      <c r="AY18" s="129" t="str">
        <f t="shared" ca="1" si="2"/>
        <v>3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914</v>
      </c>
      <c r="BU18" s="103">
        <v>1</v>
      </c>
      <c r="BV18" s="104" t="str">
        <f t="shared" si="13"/>
        <v>Martin Janík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OST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824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565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 OZ, 0 (0+0), -1 ±</v>
      </c>
      <c r="AY19" s="129" t="str">
        <f t="shared" ca="1" si="2"/>
        <v>1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915</v>
      </c>
      <c r="BU19" s="103">
        <v>0</v>
      </c>
      <c r="BV19" s="104" t="str">
        <f t="shared" si="13"/>
        <v>Jan Klinka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827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828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826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916</v>
      </c>
      <c r="BU22" s="103">
        <v>4</v>
      </c>
      <c r="BV22" s="104" t="str">
        <f t="shared" si="13"/>
        <v>Michal Sládek</v>
      </c>
      <c r="BW22" s="102">
        <f t="shared" si="14"/>
        <v>4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821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832</v>
      </c>
      <c r="BU23" s="103">
        <v>4</v>
      </c>
      <c r="BV23" s="104" t="str">
        <f t="shared" si="13"/>
        <v>Šimon Kuczera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1071</v>
      </c>
      <c r="BU24" s="103">
        <v>3</v>
      </c>
      <c r="BV24" s="104" t="str">
        <f t="shared" si="13"/>
        <v>Lukáš Pešat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918</v>
      </c>
      <c r="BU25" s="103">
        <v>2</v>
      </c>
      <c r="BV25" s="104" t="str">
        <f t="shared" si="13"/>
        <v>Wojciech Malajka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1072</v>
      </c>
      <c r="BU26" s="103">
        <v>2</v>
      </c>
      <c r="BV26" s="104" t="str">
        <f t="shared" si="13"/>
        <v>Šimon Soukup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919</v>
      </c>
      <c r="BU27" s="103">
        <v>2</v>
      </c>
      <c r="BV27" s="104" t="str">
        <f t="shared" si="13"/>
        <v>Daniel Chatrný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920</v>
      </c>
      <c r="BU28" s="103">
        <v>2</v>
      </c>
      <c r="BV28" s="104" t="str">
        <f t="shared" si="13"/>
        <v>Denis Zimmer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921</v>
      </c>
      <c r="BU29" s="103">
        <v>2</v>
      </c>
      <c r="BV29" s="104" t="str">
        <f t="shared" si="13"/>
        <v>Jan Binder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OST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1073</v>
      </c>
      <c r="BU30" s="103">
        <v>2</v>
      </c>
      <c r="BV30" s="104" t="str">
        <f t="shared" si="13"/>
        <v>Lukáš Herblich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1074</v>
      </c>
      <c r="BU31" s="103">
        <v>2</v>
      </c>
      <c r="BV31" s="104" t="str">
        <f t="shared" si="13"/>
        <v>Marcel Jakubec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822</v>
      </c>
      <c r="T45" s="102">
        <v>3</v>
      </c>
      <c r="U45" s="112">
        <v>167.51</v>
      </c>
      <c r="V45" s="102">
        <v>2</v>
      </c>
      <c r="W45" s="102">
        <v>11</v>
      </c>
      <c r="X45" s="102">
        <v>0</v>
      </c>
      <c r="Y45" s="102">
        <v>74</v>
      </c>
      <c r="Z45" s="102">
        <v>0</v>
      </c>
      <c r="AA45" s="102">
        <v>1</v>
      </c>
      <c r="AB45" s="102">
        <v>63</v>
      </c>
      <c r="AC45" s="102">
        <v>0</v>
      </c>
      <c r="AD45" s="102">
        <v>2</v>
      </c>
      <c r="AE45" s="112">
        <f>IF(S45&lt;&gt;"",IF(T45&gt;0,W45/(U45/60),0),"")</f>
        <v>3.9400632798041908</v>
      </c>
      <c r="AF45" s="112">
        <f>IF(S45&lt;&gt;"",IF(Y45&gt;0,(AB45/Y45)*100,"-"),"")</f>
        <v>85.13513513513513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907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823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1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526</v>
      </c>
      <c r="U2" s="102">
        <v>3</v>
      </c>
      <c r="V2" s="102">
        <v>4</v>
      </c>
      <c r="W2" s="102">
        <v>1</v>
      </c>
      <c r="X2" s="102">
        <v>0</v>
      </c>
      <c r="Y2" s="102">
        <v>5</v>
      </c>
      <c r="Z2" s="102">
        <v>9</v>
      </c>
      <c r="AA2" s="102">
        <v>2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544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566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585</v>
      </c>
      <c r="BO2" s="122">
        <v>27314</v>
      </c>
      <c r="BP2" s="131" t="s">
        <v>264</v>
      </c>
      <c r="BQ2" s="132"/>
      <c r="BR2" s="127">
        <f ca="1">IF(BN2&lt;&gt;"",IF(BO2&lt;&gt;"",INT((TODAY()-BO2)/365),"?"),"")</f>
        <v>46</v>
      </c>
      <c r="BS2" s="376" t="s">
        <v>36</v>
      </c>
      <c r="BT2" s="104" t="s">
        <v>922</v>
      </c>
      <c r="BU2" s="103">
        <v>9</v>
      </c>
      <c r="BV2" s="104" t="str">
        <f>IFERROR(RIGHT(BT2,LEN(BT2)-SEARCH(" ",BT2)),"")</f>
        <v>Ronald Gašparík</v>
      </c>
      <c r="BW2" s="102">
        <f>IF(BT2&lt;&gt;0,_xlfn.NUMBERVALUE(BU2,","),"")</f>
        <v>9</v>
      </c>
      <c r="BX2" s="375" t="s">
        <v>219</v>
      </c>
      <c r="BY2" s="103" t="s">
        <v>966</v>
      </c>
      <c r="BZ2" s="103" t="s">
        <v>104</v>
      </c>
      <c r="CA2" s="115" t="s">
        <v>942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525</v>
      </c>
      <c r="T3" s="102" t="s">
        <v>121</v>
      </c>
      <c r="U3" s="102">
        <v>3</v>
      </c>
      <c r="V3" s="102">
        <v>5</v>
      </c>
      <c r="W3" s="102">
        <v>1</v>
      </c>
      <c r="X3" s="102">
        <v>0</v>
      </c>
      <c r="Y3" s="102">
        <v>3</v>
      </c>
      <c r="Z3" s="102">
        <v>8</v>
      </c>
      <c r="AA3" s="102">
        <v>0</v>
      </c>
      <c r="AB3" s="102">
        <v>-2</v>
      </c>
      <c r="AC3" s="102" t="str">
        <f t="shared" ca="1" si="0"/>
        <v>ANO</v>
      </c>
      <c r="AG3" s="121" t="s">
        <v>542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567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3 OZ, 1 (0+1), -3 ±</v>
      </c>
      <c r="AY3" s="129" t="str">
        <f t="shared" ca="1" si="2"/>
        <v>51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586</v>
      </c>
      <c r="BO3" s="122">
        <v>33731</v>
      </c>
      <c r="BP3" s="131" t="s">
        <v>265</v>
      </c>
      <c r="BQ3" s="132"/>
      <c r="BR3" s="127">
        <f t="shared" ref="BR3:BR11" ca="1" si="12">IF(BN3&lt;&gt;"",IF(BO3&lt;&gt;"",INT((TODAY()-BO3)/365),"?"),"")</f>
        <v>29</v>
      </c>
      <c r="BS3" s="376"/>
      <c r="BT3" s="104" t="s">
        <v>923</v>
      </c>
      <c r="BU3" s="103">
        <v>8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8</v>
      </c>
      <c r="BX3" s="375"/>
      <c r="BY3" s="103" t="s">
        <v>211</v>
      </c>
      <c r="BZ3" s="103" t="s">
        <v>97</v>
      </c>
      <c r="CA3" s="115" t="s">
        <v>889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529</v>
      </c>
      <c r="U4" s="102">
        <v>3</v>
      </c>
      <c r="V4" s="102">
        <v>3</v>
      </c>
      <c r="W4" s="102">
        <v>0</v>
      </c>
      <c r="X4" s="102">
        <v>0</v>
      </c>
      <c r="Y4" s="102">
        <v>1</v>
      </c>
      <c r="Z4" s="102">
        <v>4</v>
      </c>
      <c r="AA4" s="102">
        <v>0</v>
      </c>
      <c r="AB4" s="102">
        <v>-2</v>
      </c>
      <c r="AC4" s="102" t="str">
        <f t="shared" ca="1" si="0"/>
        <v>ANO</v>
      </c>
      <c r="AG4" s="121" t="s">
        <v>545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568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587</v>
      </c>
      <c r="BO4" s="122">
        <v>25991</v>
      </c>
      <c r="BP4" s="131" t="s">
        <v>194</v>
      </c>
      <c r="BQ4" s="132"/>
      <c r="BR4" s="127">
        <f t="shared" ca="1" si="12"/>
        <v>50</v>
      </c>
      <c r="BS4" s="376"/>
      <c r="BT4" s="104" t="s">
        <v>924</v>
      </c>
      <c r="BU4" s="103">
        <v>4</v>
      </c>
      <c r="BV4" s="104" t="str">
        <f t="shared" si="13"/>
        <v>Peter Nehila</v>
      </c>
      <c r="BW4" s="102">
        <f t="shared" si="14"/>
        <v>4</v>
      </c>
      <c r="BX4" s="375"/>
      <c r="BY4" s="103" t="s">
        <v>276</v>
      </c>
      <c r="BZ4" s="103" t="s">
        <v>24</v>
      </c>
      <c r="CA4" s="115" t="s">
        <v>592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532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-5</v>
      </c>
      <c r="AC5" s="102" t="str">
        <f t="shared" ca="1" si="0"/>
        <v>ANO</v>
      </c>
      <c r="AG5" s="121" t="s">
        <v>546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569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1075</v>
      </c>
      <c r="BU5" s="103">
        <v>3</v>
      </c>
      <c r="BV5" s="104" t="str">
        <f t="shared" si="13"/>
        <v>David Ležatka</v>
      </c>
      <c r="BW5" s="102">
        <f t="shared" si="14"/>
        <v>3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528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-2</v>
      </c>
      <c r="AC6" s="102" t="str">
        <f t="shared" ca="1" si="0"/>
        <v>NE</v>
      </c>
      <c r="AG6" s="121" t="s">
        <v>541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567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926</v>
      </c>
      <c r="BU6" s="103">
        <v>3</v>
      </c>
      <c r="BV6" s="104" t="str">
        <f t="shared" si="13"/>
        <v>Lukáš Petřík</v>
      </c>
      <c r="BW6" s="102">
        <f t="shared" si="14"/>
        <v>3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527</v>
      </c>
      <c r="T7" s="102" t="s">
        <v>121</v>
      </c>
      <c r="U7" s="102">
        <v>3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-1</v>
      </c>
      <c r="AC7" s="102" t="str">
        <f t="shared" ca="1" si="0"/>
        <v>NE</v>
      </c>
      <c r="AG7" s="121" t="s">
        <v>530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570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3 OZ, 1 (0+1), -1 ±</v>
      </c>
      <c r="AY7" s="129" t="str">
        <f t="shared" ca="1" si="2"/>
        <v>174 OZ, 161 (99+62)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1076</v>
      </c>
      <c r="BU7" s="103" t="s">
        <v>411</v>
      </c>
      <c r="BV7" s="104" t="str">
        <f t="shared" si="13"/>
        <v>Kevin Majrich</v>
      </c>
      <c r="BW7" s="112">
        <f t="shared" si="14"/>
        <v>4</v>
      </c>
      <c r="BX7" s="375" t="s">
        <v>220</v>
      </c>
      <c r="BY7" s="103" t="s">
        <v>278</v>
      </c>
      <c r="BZ7" s="103" t="s">
        <v>98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100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559</v>
      </c>
      <c r="T8" s="102" t="s">
        <v>121</v>
      </c>
      <c r="U8" s="102">
        <v>2</v>
      </c>
      <c r="V8" s="102">
        <v>0</v>
      </c>
      <c r="W8" s="102">
        <v>0</v>
      </c>
      <c r="X8" s="102">
        <v>0</v>
      </c>
      <c r="Y8" s="102">
        <v>1</v>
      </c>
      <c r="Z8" s="102">
        <v>1</v>
      </c>
      <c r="AA8" s="102">
        <v>0</v>
      </c>
      <c r="AB8" s="102">
        <v>-1</v>
      </c>
      <c r="AC8" s="102" t="str">
        <f t="shared" ca="1" si="0"/>
        <v>ANO</v>
      </c>
      <c r="AG8" s="121" t="s">
        <v>547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571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1077</v>
      </c>
      <c r="BU8" s="103" t="s">
        <v>925</v>
      </c>
      <c r="BV8" s="104" t="str">
        <f t="shared" si="13"/>
        <v>Adam Kohút</v>
      </c>
      <c r="BW8" s="112">
        <f t="shared" si="14"/>
        <v>5.54</v>
      </c>
      <c r="BX8" s="375"/>
      <c r="BY8" s="103" t="s">
        <v>214</v>
      </c>
      <c r="BZ8" s="103" t="s">
        <v>96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538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1</v>
      </c>
      <c r="AC9" s="102" t="str">
        <f t="shared" ca="1" si="0"/>
        <v>ANO</v>
      </c>
      <c r="AG9" s="121" t="s">
        <v>548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572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279</v>
      </c>
      <c r="BZ9" s="103" t="s">
        <v>105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375</v>
      </c>
      <c r="AH10" s="122"/>
      <c r="AI10" s="123"/>
      <c r="AJ10" s="123"/>
      <c r="AK10" s="123"/>
      <c r="AL10" s="124">
        <f>IF(AG10&lt;&gt;"",AJ10+AK10,"")</f>
        <v>0</v>
      </c>
      <c r="AM10" s="123" t="s">
        <v>319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103</v>
      </c>
      <c r="CA10" s="115" t="s">
        <v>212</v>
      </c>
    </row>
    <row r="11" spans="1:79" ht="15" customHeight="1" thickTop="1" thickBot="1" x14ac:dyDescent="0.25">
      <c r="R11" s="13"/>
      <c r="S11" s="110" t="s">
        <v>542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-3</v>
      </c>
      <c r="AC11" s="102" t="str">
        <f t="shared" ca="1" si="0"/>
        <v>ANO</v>
      </c>
      <c r="AG11" s="121" t="s">
        <v>549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567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102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533</v>
      </c>
      <c r="U12" s="102">
        <v>1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 t="str">
        <f t="shared" ca="1" si="0"/>
        <v>NE</v>
      </c>
      <c r="AG12" s="121" t="s">
        <v>535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573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3 OZ, 0 (0+0), -2 ±</v>
      </c>
      <c r="AY12" s="129" t="str">
        <f t="shared" ca="1" si="2"/>
        <v>144 OZ, 61 (41+20)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588</v>
      </c>
      <c r="BU12" s="103">
        <v>5</v>
      </c>
      <c r="BV12" s="104" t="str">
        <f t="shared" si="13"/>
        <v>František Vykopal</v>
      </c>
      <c r="BW12" s="102">
        <f t="shared" si="14"/>
        <v>5</v>
      </c>
      <c r="BX12" s="120" t="s">
        <v>218</v>
      </c>
      <c r="BY12" s="100" t="s">
        <v>1037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541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ANO</v>
      </c>
      <c r="AG13" s="121" t="s">
        <v>550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572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1078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537</v>
      </c>
      <c r="T14" s="102" t="s">
        <v>121</v>
      </c>
      <c r="U14" s="102">
        <v>3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551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574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924</v>
      </c>
      <c r="BU14" s="103">
        <v>3</v>
      </c>
      <c r="BV14" s="104" t="str">
        <f t="shared" si="13"/>
        <v>Peter Nehila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536</v>
      </c>
      <c r="T15" s="102" t="s">
        <v>119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424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1075</v>
      </c>
      <c r="BU15" s="103">
        <v>2</v>
      </c>
      <c r="BV15" s="104" t="str">
        <f t="shared" si="13"/>
        <v>David Ležatka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531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552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572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926</v>
      </c>
      <c r="BU16" s="103">
        <v>2</v>
      </c>
      <c r="BV16" s="104" t="str">
        <f t="shared" si="13"/>
        <v>Lukáš Petřík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534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4</v>
      </c>
      <c r="AB17" s="102">
        <v>-7</v>
      </c>
      <c r="AC17" s="102" t="str">
        <f t="shared" ca="1" si="0"/>
        <v>NE</v>
      </c>
      <c r="AG17" s="121" t="s">
        <v>553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575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1076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535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ANO</v>
      </c>
      <c r="AG18" s="121" t="s">
        <v>539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450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3 OZ, 0 (0+0), -6 ±</v>
      </c>
      <c r="AY18" s="129" t="str">
        <f t="shared" ca="1" si="2"/>
        <v>91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1077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OTR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540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554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539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536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0 P</v>
      </c>
      <c r="AY20" s="129" t="str">
        <f t="shared" ca="1" si="2"/>
        <v>35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543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538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577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555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572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922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529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578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3 OZ, 4 (3+1), -2 ±</v>
      </c>
      <c r="AY23" s="129" t="str">
        <f t="shared" ca="1" si="2"/>
        <v>65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923</v>
      </c>
      <c r="BU23" s="103">
        <v>3</v>
      </c>
      <c r="BV23" s="104" t="str">
        <f t="shared" si="13"/>
        <v>František Vykopal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532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579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3 (2+1),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309 OZ, 265 (123+142)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589</v>
      </c>
      <c r="BU24" s="103">
        <v>1</v>
      </c>
      <c r="BV24" s="104" t="str">
        <f t="shared" si="13"/>
        <v>David Ležatka</v>
      </c>
      <c r="BW24" s="102">
        <f t="shared" si="14"/>
        <v>1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556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572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1079</v>
      </c>
      <c r="BU25" s="103">
        <v>1</v>
      </c>
      <c r="BV25" s="104" t="str">
        <f t="shared" si="13"/>
        <v>David Medek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557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580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1080</v>
      </c>
      <c r="BU26" s="103">
        <v>1</v>
      </c>
      <c r="BV26" s="104" t="str">
        <f t="shared" si="13"/>
        <v>Filip Hrabal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558</v>
      </c>
      <c r="AH27" s="122"/>
      <c r="AI27" s="123"/>
      <c r="AJ27" s="123"/>
      <c r="AK27" s="123"/>
      <c r="AL27" s="124">
        <f>IF(AG27&lt;&gt;"",AJ27+AK27,"")</f>
        <v>0</v>
      </c>
      <c r="AM27" s="123" t="s">
        <v>319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591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559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572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2 OZ, 1 (0+1), -1 ±</v>
      </c>
      <c r="AY28" s="129" t="str">
        <f t="shared" ca="1" si="16"/>
        <v>211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927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560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581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1081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OTR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561</v>
      </c>
      <c r="AH30" s="122"/>
      <c r="AI30" s="123"/>
      <c r="AJ30" s="123"/>
      <c r="AK30" s="123"/>
      <c r="AL30" s="124">
        <f>IF(AG30&lt;&gt;"",AJ30+AK30,"")</f>
        <v>0</v>
      </c>
      <c r="AM30" s="123" t="s">
        <v>319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590</v>
      </c>
      <c r="BU30" s="103">
        <v>2</v>
      </c>
      <c r="BV30" s="104" t="str">
        <f t="shared" si="13"/>
        <v>Ronald Gašparík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537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572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3 OZ, 0 (0+0), -2 ±</v>
      </c>
      <c r="AY31" s="129" t="str">
        <f t="shared" ca="1" si="16"/>
        <v>22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6"/>
      <c r="BT31" s="104" t="s">
        <v>1082</v>
      </c>
      <c r="BU31" s="103">
        <v>0</v>
      </c>
      <c r="BV31" s="104" t="str">
        <f t="shared" si="13"/>
        <v>Adam Kohút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562</v>
      </c>
      <c r="AH32" s="122"/>
      <c r="AI32" s="123"/>
      <c r="AJ32" s="123"/>
      <c r="AK32" s="123"/>
      <c r="AL32" s="124">
        <f>IF(AG32&lt;&gt;"",AJ32+AK32,"")</f>
        <v>0</v>
      </c>
      <c r="AM32" s="123" t="s">
        <v>319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563</v>
      </c>
      <c r="AH33" s="122"/>
      <c r="AI33" s="123"/>
      <c r="AJ33" s="123"/>
      <c r="AK33" s="123"/>
      <c r="AL33" s="124">
        <f>IF(AG33&lt;&gt;"",AJ33+AK33,"")</f>
        <v>0</v>
      </c>
      <c r="AM33" s="123" t="s">
        <v>319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525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582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3 OZ, 8 (5+3), -2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102 OZ, 78 (46+32)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 t="s">
        <v>564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583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 t="s">
        <v>565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584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536</v>
      </c>
      <c r="T45" s="102">
        <v>1</v>
      </c>
      <c r="U45" s="112">
        <v>60</v>
      </c>
      <c r="V45" s="102">
        <v>1</v>
      </c>
      <c r="W45" s="102">
        <v>4</v>
      </c>
      <c r="X45" s="102">
        <v>0</v>
      </c>
      <c r="Y45" s="102">
        <v>22</v>
      </c>
      <c r="Z45" s="102">
        <v>0</v>
      </c>
      <c r="AA45" s="102">
        <v>0</v>
      </c>
      <c r="AB45" s="102">
        <v>18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81.818181818181827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540</v>
      </c>
      <c r="T46" s="102">
        <v>2</v>
      </c>
      <c r="U46" s="112">
        <v>119.18</v>
      </c>
      <c r="V46" s="102">
        <v>0</v>
      </c>
      <c r="W46" s="102">
        <v>11</v>
      </c>
      <c r="X46" s="102">
        <v>0</v>
      </c>
      <c r="Y46" s="102">
        <v>45</v>
      </c>
      <c r="Z46" s="102">
        <v>0</v>
      </c>
      <c r="AA46" s="102">
        <v>2</v>
      </c>
      <c r="AB46" s="102">
        <v>34</v>
      </c>
      <c r="AC46" s="102">
        <v>0</v>
      </c>
      <c r="AD46" s="102">
        <v>0</v>
      </c>
      <c r="AE46" s="112">
        <f t="shared" ref="AE46:AE50" si="23">IF(S46&lt;&gt;"",IF(T46&gt;0,W46/(U46/60),0),"")</f>
        <v>5.5378419197851985</v>
      </c>
      <c r="AF46" s="112">
        <f t="shared" ref="AF46:AF50" si="24">IF(S46&lt;&gt;"",IF(Y46&gt;0,(AB46/Y46)*100,"-"),"")</f>
        <v>75.555555555555557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1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842</v>
      </c>
      <c r="U2" s="102">
        <v>3</v>
      </c>
      <c r="V2" s="102">
        <v>4</v>
      </c>
      <c r="W2" s="102">
        <v>0</v>
      </c>
      <c r="X2" s="102">
        <v>0</v>
      </c>
      <c r="Y2" s="102">
        <v>1</v>
      </c>
      <c r="Z2" s="102">
        <v>5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853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857</v>
      </c>
      <c r="BU2" s="103">
        <v>5</v>
      </c>
      <c r="BV2" s="104" t="str">
        <f>IFERROR(RIGHT(BT2,LEN(BT2)-SEARCH(" ",BT2)),"")</f>
        <v>Adam Šmíd</v>
      </c>
      <c r="BW2" s="102">
        <f>IF(BT2&lt;&gt;0,_xlfn.NUMBERVALUE(BU2,","),"")</f>
        <v>5</v>
      </c>
      <c r="BX2" s="375" t="s">
        <v>219</v>
      </c>
      <c r="BY2" s="103" t="s">
        <v>966</v>
      </c>
      <c r="BZ2" s="103" t="s">
        <v>100</v>
      </c>
      <c r="CA2" s="115" t="s">
        <v>943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673</v>
      </c>
      <c r="U3" s="102">
        <v>3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</v>
      </c>
      <c r="AC3" s="102" t="str">
        <f t="shared" ca="1" si="0"/>
        <v>ANO</v>
      </c>
      <c r="AG3" s="121" t="s">
        <v>846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3 OZ, 2 (1+1), -2 ±</v>
      </c>
      <c r="AY3" s="129" t="str">
        <f t="shared" ca="1" si="2"/>
        <v>3 OZ, 2 (1+1)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858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75"/>
      <c r="BY3" s="103" t="s">
        <v>947</v>
      </c>
      <c r="BZ3" s="103" t="s">
        <v>103</v>
      </c>
      <c r="CA3" s="115" t="s">
        <v>838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854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-4</v>
      </c>
      <c r="AC4" s="102" t="str">
        <f t="shared" ca="1" si="0"/>
        <v>ANO</v>
      </c>
      <c r="AG4" s="121" t="s">
        <v>851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2 P</v>
      </c>
      <c r="AY4" s="129" t="str">
        <f t="shared" ca="1" si="2"/>
        <v>3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956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75"/>
      <c r="BY4" s="103" t="s">
        <v>210</v>
      </c>
      <c r="BZ4" s="103" t="s">
        <v>96</v>
      </c>
      <c r="CA4" s="115" t="s">
        <v>111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850</v>
      </c>
      <c r="T5" s="102" t="s">
        <v>121</v>
      </c>
      <c r="U5" s="102">
        <v>3</v>
      </c>
      <c r="V5" s="102">
        <v>1</v>
      </c>
      <c r="W5" s="102">
        <v>0</v>
      </c>
      <c r="X5" s="102">
        <v>0</v>
      </c>
      <c r="Y5" s="102">
        <v>2</v>
      </c>
      <c r="Z5" s="102">
        <v>3</v>
      </c>
      <c r="AA5" s="102">
        <v>0</v>
      </c>
      <c r="AB5" s="102">
        <v>-5</v>
      </c>
      <c r="AC5" s="102" t="str">
        <f t="shared" ca="1" si="0"/>
        <v>ANO</v>
      </c>
      <c r="AG5" s="121" t="s">
        <v>841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3 OZ, 1 (1+0), -2 ±</v>
      </c>
      <c r="AY5" s="129" t="str">
        <f t="shared" ca="1" si="2"/>
        <v>3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1083</v>
      </c>
      <c r="BU5" s="103">
        <v>3</v>
      </c>
      <c r="BV5" s="104" t="str">
        <f t="shared" si="13"/>
        <v>Přemek Pakosta</v>
      </c>
      <c r="BW5" s="102">
        <f t="shared" si="14"/>
        <v>3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800</v>
      </c>
      <c r="U6" s="102">
        <v>3</v>
      </c>
      <c r="V6" s="102">
        <v>1</v>
      </c>
      <c r="W6" s="102">
        <v>0</v>
      </c>
      <c r="X6" s="102">
        <v>0</v>
      </c>
      <c r="Y6" s="102">
        <v>1</v>
      </c>
      <c r="Z6" s="102">
        <v>2</v>
      </c>
      <c r="AA6" s="102">
        <v>0</v>
      </c>
      <c r="AB6" s="102">
        <v>-1</v>
      </c>
      <c r="AC6" s="102" t="str">
        <f t="shared" ca="1" si="0"/>
        <v>ANO</v>
      </c>
      <c r="AG6" s="121" t="s">
        <v>847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3 OZ, 0 (0+0), 0 ±</v>
      </c>
      <c r="AY6" s="129" t="str">
        <f t="shared" ca="1" si="2"/>
        <v>3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957</v>
      </c>
      <c r="BU6" s="103">
        <v>2</v>
      </c>
      <c r="BV6" s="104" t="str">
        <f t="shared" si="13"/>
        <v>Lukáš Kučera</v>
      </c>
      <c r="BW6" s="102">
        <f t="shared" si="14"/>
        <v>2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846</v>
      </c>
      <c r="U7" s="102">
        <v>3</v>
      </c>
      <c r="V7" s="102">
        <v>1</v>
      </c>
      <c r="W7" s="102">
        <v>0</v>
      </c>
      <c r="X7" s="102">
        <v>0</v>
      </c>
      <c r="Y7" s="102">
        <v>1</v>
      </c>
      <c r="Z7" s="102">
        <v>2</v>
      </c>
      <c r="AA7" s="102">
        <v>0</v>
      </c>
      <c r="AB7" s="102">
        <v>-2</v>
      </c>
      <c r="AC7" s="102" t="str">
        <f t="shared" ca="1" si="0"/>
        <v>ANO</v>
      </c>
      <c r="AG7" s="121" t="s">
        <v>800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3 OZ, 2 (1+1), -1 ±</v>
      </c>
      <c r="AY7" s="129" t="str">
        <f t="shared" ca="1" si="2"/>
        <v>3 OZ, 2 (1+1)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1084</v>
      </c>
      <c r="BU7" s="103" t="s">
        <v>1085</v>
      </c>
      <c r="BV7" s="104" t="str">
        <f t="shared" si="13"/>
        <v>Karel Aubus</v>
      </c>
      <c r="BW7" s="112">
        <f t="shared" si="14"/>
        <v>5</v>
      </c>
      <c r="BX7" s="375" t="s">
        <v>220</v>
      </c>
      <c r="BY7" s="103" t="s">
        <v>278</v>
      </c>
      <c r="BZ7" s="103" t="s">
        <v>23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839</v>
      </c>
      <c r="U8" s="102">
        <v>2</v>
      </c>
      <c r="V8" s="102">
        <v>0</v>
      </c>
      <c r="W8" s="102">
        <v>0</v>
      </c>
      <c r="X8" s="102">
        <v>0</v>
      </c>
      <c r="Y8" s="102">
        <v>2</v>
      </c>
      <c r="Z8" s="102">
        <v>2</v>
      </c>
      <c r="AA8" s="102">
        <v>0</v>
      </c>
      <c r="AB8" s="102">
        <v>-2</v>
      </c>
      <c r="AC8" s="102" t="str">
        <f t="shared" ca="1" si="0"/>
        <v>ANO</v>
      </c>
      <c r="AG8" s="121" t="s">
        <v>852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-1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1086</v>
      </c>
      <c r="BU8" s="103" t="s">
        <v>868</v>
      </c>
      <c r="BV8" s="104" t="str">
        <f t="shared" si="13"/>
        <v>Martin Haleš</v>
      </c>
      <c r="BW8" s="112">
        <f t="shared" si="14"/>
        <v>8</v>
      </c>
      <c r="BX8" s="375"/>
      <c r="BY8" s="103" t="s">
        <v>214</v>
      </c>
      <c r="BZ8" s="103" t="s">
        <v>101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841</v>
      </c>
      <c r="T9" s="102" t="s">
        <v>64</v>
      </c>
      <c r="U9" s="102">
        <v>3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-2</v>
      </c>
      <c r="AC9" s="102" t="str">
        <f t="shared" ca="1" si="0"/>
        <v>ANO</v>
      </c>
      <c r="AG9" s="121" t="s">
        <v>850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3 OZ, 3 (1+2), -5 ±</v>
      </c>
      <c r="AY9" s="129" t="str">
        <f t="shared" ca="1" si="2"/>
        <v>3 OZ, 3 (1+2)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215</v>
      </c>
      <c r="BZ9" s="103" t="s">
        <v>98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845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844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3 OZ, 0 (0+0), -1 ±</v>
      </c>
      <c r="AY10" s="129" t="str">
        <f t="shared" ca="1" si="2"/>
        <v>3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5</v>
      </c>
      <c r="CA10" s="115" t="s">
        <v>212</v>
      </c>
    </row>
    <row r="11" spans="1:79" ht="15" customHeight="1" thickTop="1" thickBot="1" x14ac:dyDescent="0.25">
      <c r="R11" s="13"/>
      <c r="S11" s="110" t="s">
        <v>840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-2</v>
      </c>
      <c r="AC11" s="102" t="str">
        <f t="shared" ca="1" si="0"/>
        <v>ANO</v>
      </c>
      <c r="AG11" s="121" t="s">
        <v>839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2 OZ, 2 (0+2), -2 ±</v>
      </c>
      <c r="AY11" s="129" t="str">
        <f t="shared" ca="1" si="2"/>
        <v>2 OZ, 2 (0+2)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94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843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843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3 OZ, 1 (0+1), -4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857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218</v>
      </c>
      <c r="BY12" s="100" t="s">
        <v>1098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955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840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3 OZ, 1 (1+0), -2 ±</v>
      </c>
      <c r="AY13" s="129" t="str">
        <f t="shared" ca="1" si="2"/>
        <v>3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1087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954</v>
      </c>
      <c r="T14" s="102" t="s">
        <v>64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854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-4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1088</v>
      </c>
      <c r="BU14" s="103">
        <v>2</v>
      </c>
      <c r="BV14" s="104" t="str">
        <f t="shared" si="13"/>
        <v>Matyáš Velc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848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-1</v>
      </c>
      <c r="AC15" s="102" t="str">
        <f t="shared" ca="1" si="0"/>
        <v>ANO</v>
      </c>
      <c r="AG15" s="121" t="s">
        <v>849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3 OZ, 0 (0+0), -4 ±</v>
      </c>
      <c r="AY15" s="129" t="str">
        <f t="shared" ca="1" si="2"/>
        <v>3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1089</v>
      </c>
      <c r="BU15" s="103">
        <v>1</v>
      </c>
      <c r="BV15" s="104" t="str">
        <f t="shared" si="13"/>
        <v>David Žáček</v>
      </c>
      <c r="BW15" s="102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852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842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3 OZ, 5 (4+1), -4 ±</v>
      </c>
      <c r="AY16" s="129" t="str">
        <f t="shared" ca="1" si="2"/>
        <v>3 OZ, 5 (4+1)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957</v>
      </c>
      <c r="BU16" s="103">
        <v>1</v>
      </c>
      <c r="BV16" s="104" t="str">
        <f t="shared" si="13"/>
        <v>Lukáš Kučera</v>
      </c>
      <c r="BW16" s="102">
        <f t="shared" si="14"/>
        <v>1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849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-4</v>
      </c>
      <c r="AC17" s="102" t="str">
        <f t="shared" ca="1" si="0"/>
        <v>ANO</v>
      </c>
      <c r="AG17" s="121" t="s">
        <v>848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3 OZ, 0 (0+0), -1 ±</v>
      </c>
      <c r="AY17" s="129" t="str">
        <f t="shared" ca="1" si="2"/>
        <v>3 OZ, 0 (0+0)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855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847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673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3 OZ, 5 (2+3), -1 ±</v>
      </c>
      <c r="AY18" s="129" t="str">
        <f t="shared" ca="1" si="2"/>
        <v>3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856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PAR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851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845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3 OZ, 1 (1+0), -1 ±</v>
      </c>
      <c r="AY19" s="129" t="str">
        <f t="shared" ca="1" si="2"/>
        <v>3 OZ, 1 (1+0)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853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844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1090</v>
      </c>
      <c r="BU22" s="103">
        <v>3</v>
      </c>
      <c r="BV22" s="104" t="str">
        <f t="shared" si="13"/>
        <v>Matyáš Velc</v>
      </c>
      <c r="BW22" s="102">
        <f t="shared" si="14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1091</v>
      </c>
      <c r="BU23" s="103">
        <v>2</v>
      </c>
      <c r="BV23" s="104" t="str">
        <f t="shared" si="13"/>
        <v>David Petržela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1092</v>
      </c>
      <c r="BU24" s="103">
        <v>2</v>
      </c>
      <c r="BV24" s="104" t="str">
        <f t="shared" si="13"/>
        <v>Přemek Pakosta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1093</v>
      </c>
      <c r="BU25" s="103">
        <v>1</v>
      </c>
      <c r="BV25" s="104" t="str">
        <f t="shared" si="13"/>
        <v>Adam Šmíd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1094</v>
      </c>
      <c r="BU26" s="103">
        <v>1</v>
      </c>
      <c r="BV26" s="104" t="str">
        <f t="shared" si="13"/>
        <v>Jan Savický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859</v>
      </c>
      <c r="BU27" s="103">
        <v>2</v>
      </c>
      <c r="BV27" s="104" t="str">
        <f t="shared" si="13"/>
        <v>Ivo Teichman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1095</v>
      </c>
      <c r="BU28" s="103">
        <v>2</v>
      </c>
      <c r="BV28" s="104" t="str">
        <f t="shared" si="13"/>
        <v>Lukáš Prix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1096</v>
      </c>
      <c r="BU29" s="103">
        <v>2</v>
      </c>
      <c r="BV29" s="104" t="str">
        <f t="shared" si="13"/>
        <v>Vojtěch Rusin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PAR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1093</v>
      </c>
      <c r="BU30" s="103">
        <v>0</v>
      </c>
      <c r="BV30" s="104" t="str">
        <f t="shared" si="13"/>
        <v>Adam Šmíd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1097</v>
      </c>
      <c r="BU31" s="103">
        <v>0</v>
      </c>
      <c r="BV31" s="104" t="str">
        <f t="shared" si="13"/>
        <v>David Petržela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853</v>
      </c>
      <c r="T45" s="102">
        <v>1</v>
      </c>
      <c r="U45" s="112">
        <v>60</v>
      </c>
      <c r="V45" s="102">
        <v>0</v>
      </c>
      <c r="W45" s="102">
        <v>5</v>
      </c>
      <c r="X45" s="102">
        <v>0</v>
      </c>
      <c r="Y45" s="102">
        <v>22</v>
      </c>
      <c r="Z45" s="102">
        <v>0</v>
      </c>
      <c r="AA45" s="102">
        <v>1</v>
      </c>
      <c r="AB45" s="102">
        <v>17</v>
      </c>
      <c r="AC45" s="102">
        <v>0</v>
      </c>
      <c r="AD45" s="102">
        <v>0</v>
      </c>
      <c r="AE45" s="112">
        <f>IF(S45&lt;&gt;"",IF(T45&gt;0,W45/(U45/60),0),"")</f>
        <v>5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851</v>
      </c>
      <c r="T46" s="102">
        <v>3</v>
      </c>
      <c r="U46" s="112">
        <v>120</v>
      </c>
      <c r="V46" s="102">
        <v>1</v>
      </c>
      <c r="W46" s="102">
        <v>16</v>
      </c>
      <c r="X46" s="102">
        <v>0</v>
      </c>
      <c r="Y46" s="102">
        <v>66</v>
      </c>
      <c r="Z46" s="102">
        <v>0</v>
      </c>
      <c r="AA46" s="102">
        <v>2</v>
      </c>
      <c r="AB46" s="102">
        <v>50</v>
      </c>
      <c r="AC46" s="102">
        <v>0</v>
      </c>
      <c r="AD46" s="102">
        <v>0</v>
      </c>
      <c r="AE46" s="112">
        <f t="shared" ref="AE46:AE50" si="25">IF(S46&lt;&gt;"",IF(T46&gt;0,W46/(U46/60),0),"")</f>
        <v>8</v>
      </c>
      <c r="AF46" s="112">
        <f t="shared" ref="AF46:AF50" si="26">IF(S46&lt;&gt;"",IF(Y46&gt;0,(AB46/Y46)*100,"-"),"")</f>
        <v>75.757575757575751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645</v>
      </c>
      <c r="T2" s="102" t="s">
        <v>121</v>
      </c>
      <c r="U2" s="102">
        <v>3</v>
      </c>
      <c r="V2" s="102">
        <v>3</v>
      </c>
      <c r="W2" s="102">
        <v>0</v>
      </c>
      <c r="X2" s="102">
        <v>0</v>
      </c>
      <c r="Y2" s="102">
        <v>3</v>
      </c>
      <c r="Z2" s="102">
        <v>6</v>
      </c>
      <c r="AA2" s="102">
        <v>2</v>
      </c>
      <c r="AB2" s="102">
        <v>3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664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676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690</v>
      </c>
      <c r="BO2" s="122">
        <v>29384</v>
      </c>
      <c r="BP2" s="131" t="s">
        <v>264</v>
      </c>
      <c r="BQ2" s="132" t="s">
        <v>691</v>
      </c>
      <c r="BR2" s="127">
        <f ca="1">IF(BN2&lt;&gt;"",IF(BO2&lt;&gt;"",INT((TODAY()-BO2)/365),"?"),"")</f>
        <v>41</v>
      </c>
      <c r="BS2" s="376" t="s">
        <v>36</v>
      </c>
      <c r="BT2" s="104" t="s">
        <v>698</v>
      </c>
      <c r="BU2" s="103">
        <v>6</v>
      </c>
      <c r="BV2" s="104" t="str">
        <f>IFERROR(RIGHT(BT2,LEN(BT2)-SEARCH(" ",BT2)),"")</f>
        <v>Lukáš Ujhélyi</v>
      </c>
      <c r="BW2" s="102">
        <f>IF(BT2&lt;&gt;0,_xlfn.NUMBERVALUE(BU2,","),"")</f>
        <v>6</v>
      </c>
      <c r="BX2" s="375" t="s">
        <v>219</v>
      </c>
      <c r="BY2" s="103" t="s">
        <v>966</v>
      </c>
      <c r="BZ2" s="103" t="s">
        <v>24</v>
      </c>
      <c r="CA2" s="115" t="s">
        <v>883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646</v>
      </c>
      <c r="U3" s="102">
        <v>3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1</v>
      </c>
      <c r="AC3" s="102" t="str">
        <f t="shared" ca="1" si="0"/>
        <v>ANO</v>
      </c>
      <c r="AG3" s="121" t="s">
        <v>650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677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3 OZ, 1 (0+1), +3 ±</v>
      </c>
      <c r="AY3" s="129" t="str">
        <f t="shared" ca="1" si="2"/>
        <v>130 OZ, 27 (9+18)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692</v>
      </c>
      <c r="BO3" s="122">
        <v>31166</v>
      </c>
      <c r="BP3" s="131" t="s">
        <v>265</v>
      </c>
      <c r="BQ3" s="132" t="s">
        <v>693</v>
      </c>
      <c r="BR3" s="127">
        <f t="shared" ref="BR3:BR11" ca="1" si="12">IF(BN3&lt;&gt;"",IF(BO3&lt;&gt;"",INT((TODAY()-BO3)/365),"?"),"")</f>
        <v>36</v>
      </c>
      <c r="BS3" s="376"/>
      <c r="BT3" s="104" t="s">
        <v>699</v>
      </c>
      <c r="BU3" s="103">
        <v>4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4</v>
      </c>
      <c r="BX3" s="375"/>
      <c r="BY3" s="103" t="s">
        <v>211</v>
      </c>
      <c r="BZ3" s="103" t="s">
        <v>105</v>
      </c>
      <c r="CA3" s="115" t="s">
        <v>928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647</v>
      </c>
      <c r="U4" s="102">
        <v>3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-1</v>
      </c>
      <c r="AC4" s="102" t="str">
        <f t="shared" ca="1" si="0"/>
        <v>ANO</v>
      </c>
      <c r="AG4" s="121" t="s">
        <v>418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287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694</v>
      </c>
      <c r="BO4" s="122">
        <v>32564</v>
      </c>
      <c r="BP4" s="131" t="s">
        <v>265</v>
      </c>
      <c r="BQ4" s="132" t="s">
        <v>695</v>
      </c>
      <c r="BR4" s="127">
        <f t="shared" ca="1" si="12"/>
        <v>32</v>
      </c>
      <c r="BS4" s="376"/>
      <c r="BT4" s="104" t="s">
        <v>1100</v>
      </c>
      <c r="BU4" s="103">
        <v>4</v>
      </c>
      <c r="BV4" s="104" t="str">
        <f t="shared" si="13"/>
        <v>Mikuláš Krbec</v>
      </c>
      <c r="BW4" s="102">
        <f t="shared" si="14"/>
        <v>4</v>
      </c>
      <c r="BX4" s="375"/>
      <c r="BY4" s="103" t="s">
        <v>210</v>
      </c>
      <c r="BZ4" s="103" t="s">
        <v>99</v>
      </c>
      <c r="CA4" s="115" t="s">
        <v>705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649</v>
      </c>
      <c r="U5" s="102">
        <v>3</v>
      </c>
      <c r="V5" s="102">
        <v>2</v>
      </c>
      <c r="W5" s="102">
        <v>0</v>
      </c>
      <c r="X5" s="102">
        <v>0</v>
      </c>
      <c r="Y5" s="102">
        <v>1</v>
      </c>
      <c r="Z5" s="102">
        <v>3</v>
      </c>
      <c r="AA5" s="102">
        <v>0</v>
      </c>
      <c r="AB5" s="102">
        <v>0</v>
      </c>
      <c r="AC5" s="102" t="str">
        <f t="shared" ca="1" si="0"/>
        <v>ANO</v>
      </c>
      <c r="AG5" s="121" t="s">
        <v>660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678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2 V, 1 P</v>
      </c>
      <c r="AY5" s="129" t="str">
        <f t="shared" ca="1" si="2"/>
        <v>210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696</v>
      </c>
      <c r="BO5" s="122">
        <v>33689</v>
      </c>
      <c r="BP5" s="131" t="s">
        <v>465</v>
      </c>
      <c r="BQ5" s="132"/>
      <c r="BR5" s="127">
        <f t="shared" ca="1" si="12"/>
        <v>29</v>
      </c>
      <c r="BS5" s="376"/>
      <c r="BT5" s="104" t="s">
        <v>700</v>
      </c>
      <c r="BU5" s="103">
        <v>3</v>
      </c>
      <c r="BV5" s="104" t="str">
        <f t="shared" si="13"/>
        <v>Jakub Kolstrunk</v>
      </c>
      <c r="BW5" s="102">
        <f t="shared" si="14"/>
        <v>3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648</v>
      </c>
      <c r="T6" s="102" t="s">
        <v>121</v>
      </c>
      <c r="U6" s="102">
        <v>3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0</v>
      </c>
      <c r="AB6" s="102">
        <v>3</v>
      </c>
      <c r="AC6" s="102" t="str">
        <f t="shared" ca="1" si="0"/>
        <v>ANO</v>
      </c>
      <c r="AG6" s="121" t="s">
        <v>652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679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3 OZ, 3 (2+1), 0 ±</v>
      </c>
      <c r="AY6" s="129" t="str">
        <f t="shared" ca="1" si="2"/>
        <v>55 OZ, 49 (27+22)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697</v>
      </c>
      <c r="BO6" s="122">
        <v>35048</v>
      </c>
      <c r="BP6" s="131" t="s">
        <v>194</v>
      </c>
      <c r="BQ6" s="132" t="s">
        <v>691</v>
      </c>
      <c r="BR6" s="127">
        <f t="shared" ca="1" si="12"/>
        <v>25</v>
      </c>
      <c r="BS6" s="376"/>
      <c r="BT6" s="104" t="s">
        <v>701</v>
      </c>
      <c r="BU6" s="103">
        <v>3</v>
      </c>
      <c r="BV6" s="104" t="str">
        <f t="shared" si="13"/>
        <v>Marek Zouzal</v>
      </c>
      <c r="BW6" s="102">
        <f t="shared" si="14"/>
        <v>3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652</v>
      </c>
      <c r="U7" s="102">
        <v>3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0</v>
      </c>
      <c r="AC7" s="102" t="str">
        <f t="shared" ca="1" si="0"/>
        <v>ANO</v>
      </c>
      <c r="AG7" s="121" t="s">
        <v>665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702</v>
      </c>
      <c r="BU7" s="103" t="s">
        <v>411</v>
      </c>
      <c r="BV7" s="104" t="str">
        <f t="shared" si="13"/>
        <v>Martin Beneš</v>
      </c>
      <c r="BW7" s="112">
        <f t="shared" si="14"/>
        <v>4</v>
      </c>
      <c r="BX7" s="375" t="s">
        <v>220</v>
      </c>
      <c r="BY7" s="103" t="s">
        <v>278</v>
      </c>
      <c r="BZ7" s="103" t="s">
        <v>97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101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661</v>
      </c>
      <c r="T8" s="102" t="s">
        <v>64</v>
      </c>
      <c r="U8" s="102">
        <v>3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1</v>
      </c>
      <c r="AC8" s="102" t="str">
        <f t="shared" ca="1" si="0"/>
        <v>ANO</v>
      </c>
      <c r="AG8" s="121" t="s">
        <v>666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680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1101</v>
      </c>
      <c r="BU8" s="103" t="s">
        <v>203</v>
      </c>
      <c r="BV8" s="104" t="str">
        <f t="shared" si="13"/>
        <v>Viktor Hejna</v>
      </c>
      <c r="BW8" s="112">
        <f t="shared" si="14"/>
        <v>0</v>
      </c>
      <c r="BX8" s="375"/>
      <c r="BY8" s="103" t="s">
        <v>214</v>
      </c>
      <c r="BZ8" s="103" t="s">
        <v>104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668</v>
      </c>
      <c r="U9" s="102">
        <v>2</v>
      </c>
      <c r="V9" s="102">
        <v>1</v>
      </c>
      <c r="W9" s="102">
        <v>0</v>
      </c>
      <c r="X9" s="102">
        <v>0</v>
      </c>
      <c r="Y9" s="102">
        <v>0</v>
      </c>
      <c r="Z9" s="102">
        <v>1</v>
      </c>
      <c r="AA9" s="102">
        <v>0</v>
      </c>
      <c r="AB9" s="102">
        <v>0</v>
      </c>
      <c r="AC9" s="102" t="str">
        <f t="shared" ca="1" si="0"/>
        <v>ANO</v>
      </c>
      <c r="AG9" s="121" t="s">
        <v>653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3 OZ, 1 (0+1), +1 ±</v>
      </c>
      <c r="AY9" s="129" t="str">
        <f t="shared" ca="1" si="2"/>
        <v>291 OZ, 288 (155+133)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279</v>
      </c>
      <c r="BZ9" s="103" t="s">
        <v>94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663</v>
      </c>
      <c r="T10" s="102" t="s">
        <v>64</v>
      </c>
      <c r="U10" s="102">
        <v>3</v>
      </c>
      <c r="V10" s="102">
        <v>1</v>
      </c>
      <c r="W10" s="102">
        <v>0</v>
      </c>
      <c r="X10" s="102">
        <v>0</v>
      </c>
      <c r="Y10" s="102">
        <v>0</v>
      </c>
      <c r="Z10" s="102">
        <v>1</v>
      </c>
      <c r="AA10" s="102">
        <v>0</v>
      </c>
      <c r="AB10" s="102">
        <v>0</v>
      </c>
      <c r="AC10" s="102" t="str">
        <f t="shared" ca="1" si="0"/>
        <v>ANO</v>
      </c>
      <c r="AG10" s="121" t="s">
        <v>662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253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3 OZ, 0 (0+0), -1 ±</v>
      </c>
      <c r="AY10" s="129" t="str">
        <f t="shared" ca="1" si="2"/>
        <v>29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98</v>
      </c>
      <c r="CA10" s="115" t="s">
        <v>212</v>
      </c>
    </row>
    <row r="11" spans="1:79" ht="15" customHeight="1" thickTop="1" thickBot="1" x14ac:dyDescent="0.25">
      <c r="R11" s="13"/>
      <c r="S11" s="110" t="s">
        <v>650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0</v>
      </c>
      <c r="AB11" s="102">
        <v>3</v>
      </c>
      <c r="AC11" s="102" t="str">
        <f t="shared" ca="1" si="0"/>
        <v>ANO</v>
      </c>
      <c r="AG11" s="121" t="s">
        <v>646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3 OZ, 4 (2+2), +1 ±</v>
      </c>
      <c r="AY11" s="129" t="str">
        <f t="shared" ca="1" si="2"/>
        <v>72 OZ, 65 (35+30)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96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653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1</v>
      </c>
      <c r="AC12" s="102" t="str">
        <f t="shared" ca="1" si="0"/>
        <v>ANO</v>
      </c>
      <c r="AG12" s="121" t="s">
        <v>657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681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3 OZ, 1 (0+1), 0 ±</v>
      </c>
      <c r="AY12" s="129" t="str">
        <f t="shared" ca="1" si="2"/>
        <v>112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698</v>
      </c>
      <c r="BU12" s="103">
        <v>3</v>
      </c>
      <c r="BV12" s="104" t="str">
        <f t="shared" si="13"/>
        <v>Lukáš Ujhélyi</v>
      </c>
      <c r="BW12" s="102">
        <f t="shared" si="14"/>
        <v>3</v>
      </c>
      <c r="BX12" s="120" t="s">
        <v>218</v>
      </c>
      <c r="BY12" s="100" t="s">
        <v>1099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657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649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287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3 OZ, 3 (2+1), 0 ±</v>
      </c>
      <c r="AY13" s="129" t="str">
        <f t="shared" ca="1" si="2"/>
        <v>91 OZ, 86 (62+24)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703</v>
      </c>
      <c r="BU13" s="103">
        <v>2</v>
      </c>
      <c r="BV13" s="104" t="str">
        <f t="shared" si="13"/>
        <v>Jakub Kolstrunk</v>
      </c>
      <c r="BW13" s="102">
        <f t="shared" si="14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656</v>
      </c>
      <c r="T14" s="102" t="s">
        <v>121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0</v>
      </c>
      <c r="AC14" s="102" t="str">
        <f t="shared" ca="1" si="0"/>
        <v>ANO</v>
      </c>
      <c r="AG14" s="121" t="s">
        <v>667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319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704</v>
      </c>
      <c r="BU14" s="103">
        <v>2</v>
      </c>
      <c r="BV14" s="104" t="str">
        <f t="shared" si="13"/>
        <v>Josef Juha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651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668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682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2 OZ, 1 (1+0), 0 ±</v>
      </c>
      <c r="AY15" s="129" t="str">
        <f t="shared" ca="1" si="2"/>
        <v>50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1102</v>
      </c>
      <c r="BU15" s="103">
        <v>2</v>
      </c>
      <c r="BV15" s="104" t="str">
        <f t="shared" si="13"/>
        <v>Marek Zouzal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658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647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683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3 OZ, 4 (2+2), -1 ±</v>
      </c>
      <c r="AY16" s="129" t="str">
        <f t="shared" ca="1" si="2"/>
        <v>102 OZ, 146 (57+89)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1103</v>
      </c>
      <c r="BU16" s="103">
        <v>2</v>
      </c>
      <c r="BV16" s="104" t="str">
        <f t="shared" si="13"/>
        <v>Matěj Čermák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659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661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331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3 OZ, 2 (1+1), +1 ±</v>
      </c>
      <c r="AY17" s="129" t="str">
        <f t="shared" ca="1" si="2"/>
        <v>344 OZ, 318 (142+176)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702</v>
      </c>
      <c r="BU17" s="103">
        <v>2</v>
      </c>
      <c r="BV17" s="104" t="str">
        <f t="shared" si="13"/>
        <v>Martin Beneš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662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658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253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2 OZ, 0 (0+0), 0 ±</v>
      </c>
      <c r="AY18" s="129" t="str">
        <f t="shared" ca="1" si="2"/>
        <v>217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1101</v>
      </c>
      <c r="BU18" s="103">
        <v>0</v>
      </c>
      <c r="BV18" s="104" t="str">
        <f t="shared" si="13"/>
        <v>Viktor Hejna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SPA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660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669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655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656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682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3 OZ, 1 (0+1), 0 ±</v>
      </c>
      <c r="AY20" s="129" t="str">
        <f t="shared" ca="1" si="2"/>
        <v>69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654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670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684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 t="s">
        <v>654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685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3 OZ, 0 (0+0), -3 ±</v>
      </c>
      <c r="AY22" s="129" t="str">
        <f t="shared" ca="1" si="2"/>
        <v>147 OZ, 95 (43+52)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698</v>
      </c>
      <c r="BU22" s="103">
        <v>3</v>
      </c>
      <c r="BV22" s="104" t="str">
        <f t="shared" si="13"/>
        <v>Lukáš Ujhélyi</v>
      </c>
      <c r="BW22" s="102">
        <f t="shared" si="14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671</v>
      </c>
      <c r="AH23" s="122"/>
      <c r="AI23" s="123"/>
      <c r="AJ23" s="123"/>
      <c r="AK23" s="123"/>
      <c r="AL23" s="124">
        <f>IF(AG23&lt;&gt;"",AJ23+AK23,"")</f>
        <v>0</v>
      </c>
      <c r="AM23" s="123" t="s">
        <v>319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699</v>
      </c>
      <c r="BU23" s="103">
        <v>2</v>
      </c>
      <c r="BV23" s="104" t="str">
        <f t="shared" si="13"/>
        <v>Josef Juha</v>
      </c>
      <c r="BW23" s="102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672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686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1100</v>
      </c>
      <c r="BU24" s="103">
        <v>2</v>
      </c>
      <c r="BV24" s="104" t="str">
        <f t="shared" si="13"/>
        <v>Mikuláš Krbec</v>
      </c>
      <c r="BW24" s="102">
        <f t="shared" si="14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673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687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929</v>
      </c>
      <c r="BU25" s="103">
        <v>1</v>
      </c>
      <c r="BV25" s="104" t="str">
        <f t="shared" si="13"/>
        <v>Dominik Bartoš</v>
      </c>
      <c r="BW25" s="102">
        <f t="shared" si="14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674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688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930</v>
      </c>
      <c r="BU26" s="103">
        <v>1</v>
      </c>
      <c r="BV26" s="104" t="str">
        <f t="shared" si="13"/>
        <v>Jakub Kolstrunk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663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452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3 OZ, 1 (1+0), 0 ±</v>
      </c>
      <c r="AY27" s="129" t="str">
        <f t="shared" ca="1" si="16"/>
        <v>129 OZ, 38 (18+20)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698</v>
      </c>
      <c r="BU27" s="103">
        <v>2</v>
      </c>
      <c r="BV27" s="104" t="str">
        <f t="shared" si="13"/>
        <v>Lukáš Ujhélyi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675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689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1104</v>
      </c>
      <c r="BU28" s="103">
        <v>2</v>
      </c>
      <c r="BV28" s="104" t="str">
        <f t="shared" si="13"/>
        <v>Michal Pažák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648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253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3 (2+1), +3 ±</v>
      </c>
      <c r="AY29" s="129" t="str">
        <f t="shared" ca="1" si="16"/>
        <v>142 OZ, 139 (65+74)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1105</v>
      </c>
      <c r="BU29" s="103">
        <v>2</v>
      </c>
      <c r="BV29" s="104" t="str">
        <f t="shared" si="13"/>
        <v>Milan Garčar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SPA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1106</v>
      </c>
      <c r="BU30" s="103">
        <v>0</v>
      </c>
      <c r="BV30" s="104" t="str">
        <f t="shared" si="13"/>
        <v>Daniel Fišer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1107</v>
      </c>
      <c r="BU31" s="103">
        <v>0</v>
      </c>
      <c r="BV31" s="104" t="str">
        <f t="shared" si="13"/>
        <v>Dominik Bartoš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660</v>
      </c>
      <c r="T45" s="102">
        <v>3</v>
      </c>
      <c r="U45" s="112">
        <v>180</v>
      </c>
      <c r="V45" s="102">
        <v>2</v>
      </c>
      <c r="W45" s="102">
        <v>12</v>
      </c>
      <c r="X45" s="102">
        <v>0</v>
      </c>
      <c r="Y45" s="102">
        <v>62</v>
      </c>
      <c r="Z45" s="102">
        <v>0</v>
      </c>
      <c r="AA45" s="102">
        <v>1</v>
      </c>
      <c r="AB45" s="102">
        <v>50</v>
      </c>
      <c r="AC45" s="102">
        <v>0</v>
      </c>
      <c r="AD45" s="102">
        <v>0</v>
      </c>
      <c r="AE45" s="112">
        <f>IF(S45&lt;&gt;"",IF(T45&gt;0,W45/(U45/60),0),"")</f>
        <v>4</v>
      </c>
      <c r="AF45" s="112">
        <f>IF(S45&lt;&gt;"",IF(Y45&gt;0,(AB45/Y45)*100,"-"),"")</f>
        <v>80.645161290322577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655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3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471</v>
      </c>
      <c r="U2" s="102">
        <v>3</v>
      </c>
      <c r="V2" s="102">
        <v>5</v>
      </c>
      <c r="W2" s="102">
        <v>1</v>
      </c>
      <c r="X2" s="102">
        <v>0</v>
      </c>
      <c r="Y2" s="102">
        <v>8</v>
      </c>
      <c r="Z2" s="102">
        <v>13</v>
      </c>
      <c r="AA2" s="102">
        <v>0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480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1 (1+0), +1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102 OZ, 85 (60+25)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512</v>
      </c>
      <c r="BO2" s="122">
        <v>29164</v>
      </c>
      <c r="BP2" s="131" t="s">
        <v>193</v>
      </c>
      <c r="BQ2" s="132" t="s">
        <v>513</v>
      </c>
      <c r="BR2" s="127">
        <f ca="1">IF(BN2&lt;&gt;"",IF(BO2&lt;&gt;"",INT((TODAY()-BO2)/365),"?"),"")</f>
        <v>41</v>
      </c>
      <c r="BS2" s="376" t="s">
        <v>36</v>
      </c>
      <c r="BT2" s="104" t="s">
        <v>518</v>
      </c>
      <c r="BU2" s="103">
        <v>13</v>
      </c>
      <c r="BV2" s="104" t="str">
        <f>IFERROR(RIGHT(BT2,LEN(BT2)-SEARCH(" ",BT2)),"")</f>
        <v>Marek Beneš</v>
      </c>
      <c r="BW2" s="102">
        <f>IF(BT2&lt;&gt;0,_xlfn.NUMBERVALUE(BU2,","),"")</f>
        <v>13</v>
      </c>
      <c r="BX2" s="375" t="s">
        <v>219</v>
      </c>
      <c r="BY2" s="103" t="s">
        <v>966</v>
      </c>
      <c r="BZ2" s="103" t="s">
        <v>99</v>
      </c>
      <c r="CA2" s="115" t="s">
        <v>871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475</v>
      </c>
      <c r="U3" s="102">
        <v>3</v>
      </c>
      <c r="V3" s="102">
        <v>5</v>
      </c>
      <c r="W3" s="102">
        <v>0</v>
      </c>
      <c r="X3" s="102">
        <v>0</v>
      </c>
      <c r="Y3" s="102">
        <v>2</v>
      </c>
      <c r="Z3" s="102">
        <v>7</v>
      </c>
      <c r="AA3" s="102">
        <v>0</v>
      </c>
      <c r="AB3" s="102">
        <v>4</v>
      </c>
      <c r="AC3" s="102" t="str">
        <f t="shared" ca="1" si="0"/>
        <v>NE</v>
      </c>
      <c r="AG3" s="121" t="s">
        <v>491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503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514</v>
      </c>
      <c r="BO3" s="122">
        <v>27190</v>
      </c>
      <c r="BP3" s="131" t="s">
        <v>342</v>
      </c>
      <c r="BQ3" s="132"/>
      <c r="BR3" s="127">
        <f t="shared" ref="BR3:BR11" ca="1" si="12">IF(BN3&lt;&gt;"",IF(BO3&lt;&gt;"",INT((TODAY()-BO3)/365),"?"),"")</f>
        <v>47</v>
      </c>
      <c r="BS3" s="376"/>
      <c r="BT3" s="104" t="s">
        <v>932</v>
      </c>
      <c r="BU3" s="103">
        <v>7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7</v>
      </c>
      <c r="BX3" s="375"/>
      <c r="BY3" s="103" t="s">
        <v>211</v>
      </c>
      <c r="BZ3" s="103" t="s">
        <v>102</v>
      </c>
      <c r="CA3" s="115" t="s">
        <v>871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3</v>
      </c>
      <c r="V4" s="102">
        <v>2</v>
      </c>
      <c r="W4" s="102">
        <v>1</v>
      </c>
      <c r="X4" s="102">
        <v>0</v>
      </c>
      <c r="Y4" s="102">
        <v>3</v>
      </c>
      <c r="Z4" s="102">
        <v>5</v>
      </c>
      <c r="AA4" s="102">
        <v>0</v>
      </c>
      <c r="AB4" s="102">
        <v>5</v>
      </c>
      <c r="AC4" s="102" t="str">
        <f t="shared" ca="1" si="0"/>
        <v>ANO</v>
      </c>
      <c r="AG4" s="121" t="s">
        <v>486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3 OZ, 3 (2+1), 0 ±</v>
      </c>
      <c r="AY4" s="129" t="str">
        <f t="shared" ca="1" si="2"/>
        <v>27 OZ, 48 (24+24)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515</v>
      </c>
      <c r="BO4" s="122"/>
      <c r="BP4" s="131" t="s">
        <v>194</v>
      </c>
      <c r="BQ4" s="132"/>
      <c r="BR4" s="127" t="str">
        <f t="shared" ca="1" si="12"/>
        <v>?</v>
      </c>
      <c r="BS4" s="376"/>
      <c r="BT4" s="104" t="s">
        <v>1108</v>
      </c>
      <c r="BU4" s="103">
        <v>5</v>
      </c>
      <c r="BV4" s="104" t="str">
        <f t="shared" si="13"/>
        <v>Ondřej Němeček</v>
      </c>
      <c r="BW4" s="102">
        <f t="shared" si="14"/>
        <v>5</v>
      </c>
      <c r="BX4" s="375"/>
      <c r="BY4" s="103" t="s">
        <v>210</v>
      </c>
      <c r="BZ4" s="103" t="s">
        <v>5</v>
      </c>
      <c r="CA4" s="115" t="s">
        <v>524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474</v>
      </c>
      <c r="U5" s="102">
        <v>3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2</v>
      </c>
      <c r="AC5" s="102" t="str">
        <f t="shared" ca="1" si="0"/>
        <v>ANO</v>
      </c>
      <c r="AG5" s="121" t="s">
        <v>492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504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516</v>
      </c>
      <c r="BO5" s="122"/>
      <c r="BP5" s="131" t="s">
        <v>267</v>
      </c>
      <c r="BQ5" s="132"/>
      <c r="BR5" s="127" t="str">
        <f t="shared" ca="1" si="12"/>
        <v>?</v>
      </c>
      <c r="BS5" s="376"/>
      <c r="BT5" s="104" t="s">
        <v>520</v>
      </c>
      <c r="BU5" s="103">
        <v>4</v>
      </c>
      <c r="BV5" s="104" t="str">
        <f t="shared" si="13"/>
        <v>Jonáš Kreysa</v>
      </c>
      <c r="BW5" s="102">
        <f t="shared" si="14"/>
        <v>4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472</v>
      </c>
      <c r="T6" s="102" t="s">
        <v>121</v>
      </c>
      <c r="U6" s="102">
        <v>3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2</v>
      </c>
      <c r="AC6" s="102" t="str">
        <f t="shared" ca="1" si="0"/>
        <v>ANO</v>
      </c>
      <c r="AG6" s="121" t="s">
        <v>493</v>
      </c>
      <c r="AH6" s="122"/>
      <c r="AI6" s="123"/>
      <c r="AJ6" s="123"/>
      <c r="AK6" s="123"/>
      <c r="AL6" s="124">
        <f>IF(AG6&lt;&gt;"",AJ6+AK6,"")</f>
        <v>0</v>
      </c>
      <c r="AM6" s="123" t="s">
        <v>319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517</v>
      </c>
      <c r="BO6" s="122"/>
      <c r="BP6" s="131" t="s">
        <v>193</v>
      </c>
      <c r="BQ6" s="132"/>
      <c r="BR6" s="127" t="str">
        <f t="shared" ca="1" si="12"/>
        <v>?</v>
      </c>
      <c r="BS6" s="376"/>
      <c r="BT6" s="104" t="s">
        <v>1109</v>
      </c>
      <c r="BU6" s="103">
        <v>4</v>
      </c>
      <c r="BV6" s="104" t="str">
        <f t="shared" si="13"/>
        <v>Martin Šindelář</v>
      </c>
      <c r="BW6" s="102">
        <f t="shared" si="14"/>
        <v>4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486</v>
      </c>
      <c r="U7" s="102">
        <v>3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0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521</v>
      </c>
      <c r="BU7" s="103" t="s">
        <v>1110</v>
      </c>
      <c r="BV7" s="104" t="str">
        <f t="shared" si="13"/>
        <v>Lukáš Kříž</v>
      </c>
      <c r="BW7" s="112">
        <f t="shared" si="14"/>
        <v>3.33</v>
      </c>
      <c r="BX7" s="375" t="s">
        <v>220</v>
      </c>
      <c r="BY7" s="103" t="s">
        <v>278</v>
      </c>
      <c r="BZ7" s="103" t="s">
        <v>105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477</v>
      </c>
      <c r="T8" s="102" t="s">
        <v>64</v>
      </c>
      <c r="U8" s="102">
        <v>3</v>
      </c>
      <c r="V8" s="102">
        <v>1</v>
      </c>
      <c r="W8" s="102">
        <v>0</v>
      </c>
      <c r="X8" s="102">
        <v>1</v>
      </c>
      <c r="Y8" s="102">
        <v>2</v>
      </c>
      <c r="Z8" s="102">
        <v>3</v>
      </c>
      <c r="AA8" s="102">
        <v>0</v>
      </c>
      <c r="AB8" s="102">
        <v>5</v>
      </c>
      <c r="AC8" s="102" t="str">
        <f t="shared" ca="1" si="0"/>
        <v>ANO</v>
      </c>
      <c r="AG8" s="121" t="s">
        <v>478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3 OZ, 2 (2+0), +5 ±</v>
      </c>
      <c r="AY8" s="129" t="str">
        <f t="shared" ca="1" si="2"/>
        <v>123 OZ, 94 (58+36)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522</v>
      </c>
      <c r="BU8" s="103" t="s">
        <v>203</v>
      </c>
      <c r="BV8" s="104" t="str">
        <f t="shared" si="13"/>
        <v>Jan Buzík</v>
      </c>
      <c r="BW8" s="112">
        <f t="shared" si="14"/>
        <v>0</v>
      </c>
      <c r="BX8" s="375"/>
      <c r="BY8" s="103" t="s">
        <v>214</v>
      </c>
      <c r="BZ8" s="103" t="s">
        <v>24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476</v>
      </c>
      <c r="T9" s="102" t="s">
        <v>121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2</v>
      </c>
      <c r="AB9" s="102">
        <v>2</v>
      </c>
      <c r="AC9" s="102" t="str">
        <f t="shared" ca="1" si="0"/>
        <v>ANO</v>
      </c>
      <c r="AG9" s="121" t="s">
        <v>494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279</v>
      </c>
      <c r="BZ9" s="103" t="s">
        <v>101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478</v>
      </c>
      <c r="T10" s="102" t="s">
        <v>121</v>
      </c>
      <c r="U10" s="102">
        <v>3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5</v>
      </c>
      <c r="AC10" s="102" t="str">
        <f t="shared" ca="1" si="0"/>
        <v>ANO</v>
      </c>
      <c r="AG10" s="121" t="s">
        <v>474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505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3 OZ, 4 (2+2), +2 ±</v>
      </c>
      <c r="AY10" s="129" t="str">
        <f t="shared" ca="1" si="2"/>
        <v>71 OZ, 57 (38+19)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864</v>
      </c>
      <c r="BZ10" s="103" t="s">
        <v>97</v>
      </c>
      <c r="CA10" s="115" t="s">
        <v>212</v>
      </c>
    </row>
    <row r="11" spans="1:79" ht="15" customHeight="1" thickTop="1" thickBot="1" x14ac:dyDescent="0.25">
      <c r="R11" s="13"/>
      <c r="S11" s="110" t="s">
        <v>480</v>
      </c>
      <c r="U11" s="102">
        <v>3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479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506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3 V, 0 P</v>
      </c>
      <c r="AY11" s="129" t="str">
        <f t="shared" ca="1" si="2"/>
        <v>39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104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481</v>
      </c>
      <c r="U12" s="102">
        <v>3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0</v>
      </c>
      <c r="AC12" s="102" t="str">
        <f t="shared" ca="1" si="0"/>
        <v>ANO</v>
      </c>
      <c r="AG12" s="121" t="s">
        <v>495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523</v>
      </c>
      <c r="BU12" s="103">
        <v>5</v>
      </c>
      <c r="BV12" s="104" t="str">
        <f t="shared" si="13"/>
        <v>David Šimek</v>
      </c>
      <c r="BW12" s="102">
        <f t="shared" si="14"/>
        <v>5</v>
      </c>
      <c r="BX12" s="120" t="s">
        <v>218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484</v>
      </c>
      <c r="T13" s="102" t="s">
        <v>121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476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3 OZ, 2 (2+0), +2 ±</v>
      </c>
      <c r="AY13" s="129" t="str">
        <f t="shared" ca="1" si="2"/>
        <v>141 OZ, 169 (90+79)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933</v>
      </c>
      <c r="BU13" s="103">
        <v>5</v>
      </c>
      <c r="BV13" s="104" t="str">
        <f t="shared" si="13"/>
        <v>Marek Beneš</v>
      </c>
      <c r="BW13" s="102">
        <f t="shared" si="14"/>
        <v>5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931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482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503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3 OZ, 0 (0+0), +2 ±</v>
      </c>
      <c r="AY14" s="129" t="str">
        <f t="shared" ca="1" si="2"/>
        <v>130 OZ, 28 (12+16)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934</v>
      </c>
      <c r="BU14" s="103">
        <v>2</v>
      </c>
      <c r="BV14" s="104" t="str">
        <f t="shared" si="13"/>
        <v>Jakub Kolísko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483</v>
      </c>
      <c r="T15" s="102" t="s">
        <v>119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496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520</v>
      </c>
      <c r="BU15" s="103">
        <v>2</v>
      </c>
      <c r="BV15" s="104" t="str">
        <f t="shared" si="13"/>
        <v>Jonáš Kreysa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489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0</v>
      </c>
      <c r="AC16" s="102" t="str">
        <f t="shared" ca="1" si="0"/>
        <v>NE</v>
      </c>
      <c r="AG16" s="121" t="s">
        <v>473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3 OZ, 5 (2+3), +5 ±</v>
      </c>
      <c r="AY16" s="129" t="str">
        <f t="shared" ca="1" si="2"/>
        <v>76 OZ, 88 (36+52)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1111</v>
      </c>
      <c r="BU16" s="103">
        <v>2</v>
      </c>
      <c r="BV16" s="104" t="str">
        <f t="shared" si="13"/>
        <v>Matěj Havlas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482</v>
      </c>
      <c r="T17" s="102" t="s">
        <v>64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2</v>
      </c>
      <c r="AC17" s="102" t="str">
        <f t="shared" ca="1" si="0"/>
        <v>ANO</v>
      </c>
      <c r="AG17" s="121" t="s">
        <v>455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507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521</v>
      </c>
      <c r="BU17" s="103">
        <v>3</v>
      </c>
      <c r="BV17" s="104" t="str">
        <f t="shared" si="13"/>
        <v>Lukáš Kříž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487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1</v>
      </c>
      <c r="AC18" s="102" t="str">
        <f t="shared" ca="1" si="0"/>
        <v>ANO</v>
      </c>
      <c r="AG18" s="121" t="s">
        <v>477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329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3 OZ, 3 (1+2), +5 ±</v>
      </c>
      <c r="AY18" s="129" t="str">
        <f t="shared" ca="1" si="2"/>
        <v>91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522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TAT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490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497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488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481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3 OZ, 1 (0+1), 0 ±</v>
      </c>
      <c r="AY20" s="129" t="str">
        <f t="shared" ca="1" si="2"/>
        <v>19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485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498</v>
      </c>
      <c r="AH21" s="122"/>
      <c r="AI21" s="123"/>
      <c r="AJ21" s="123"/>
      <c r="AK21" s="123"/>
      <c r="AL21" s="124">
        <f>IF(AG21&lt;&gt;"",AJ21+AK21,"")</f>
        <v>0</v>
      </c>
      <c r="AM21" s="123" t="s">
        <v>319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479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499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518</v>
      </c>
      <c r="BU22" s="103">
        <v>8</v>
      </c>
      <c r="BV22" s="104" t="str">
        <f t="shared" si="13"/>
        <v>Marek Beneš</v>
      </c>
      <c r="BW22" s="102">
        <f t="shared" si="14"/>
        <v>8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485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519</v>
      </c>
      <c r="BU23" s="103">
        <v>3</v>
      </c>
      <c r="BV23" s="104" t="str">
        <f t="shared" si="13"/>
        <v>Martin Šindelář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488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508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+2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95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1108</v>
      </c>
      <c r="BU24" s="103">
        <v>3</v>
      </c>
      <c r="BV24" s="104" t="str">
        <f t="shared" si="13"/>
        <v>Ondřej Němeček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472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329</v>
      </c>
      <c r="AT25" s="123">
        <v>2009</v>
      </c>
      <c r="AU25" s="127">
        <f ca="1">IF(AG25&lt;&gt;"",IF(AH25&lt;&gt;"",INT((TODAY()-AH25)/365),"?"),"")</f>
        <v>23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3 OZ, 4 (1+3), +2 ±</v>
      </c>
      <c r="AY25" s="129" t="str">
        <f t="shared" ca="1" si="16"/>
        <v>103 OZ, 137 (71+66)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1112</v>
      </c>
      <c r="BU25" s="103">
        <v>2</v>
      </c>
      <c r="BV25" s="104" t="str">
        <f t="shared" si="13"/>
        <v>David Šimek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500</v>
      </c>
      <c r="AH26" s="122"/>
      <c r="AI26" s="123"/>
      <c r="AJ26" s="123"/>
      <c r="AK26" s="123"/>
      <c r="AL26" s="124">
        <f>IF(AG26&lt;&gt;"",AJ26+AK26,"")</f>
        <v>0</v>
      </c>
      <c r="AM26" s="123" t="s">
        <v>319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1113</v>
      </c>
      <c r="BU26" s="103">
        <v>2</v>
      </c>
      <c r="BV26" s="104" t="str">
        <f t="shared" si="13"/>
        <v>Jonáš Kreysa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487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509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1114</v>
      </c>
      <c r="BU27" s="103">
        <v>2</v>
      </c>
      <c r="BV27" s="104" t="str">
        <f t="shared" si="13"/>
        <v>Martin Čermák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490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510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0 (0+0), +1 ±</v>
      </c>
      <c r="AY28" s="129" t="str">
        <f t="shared" ca="1" si="16"/>
        <v>122 OZ, 57 (25+32)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1115</v>
      </c>
      <c r="BU28" s="103">
        <v>2</v>
      </c>
      <c r="BV28" s="104" t="str">
        <f t="shared" si="13"/>
        <v>Milan Meliš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501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319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1116</v>
      </c>
      <c r="BU29" s="103">
        <v>2</v>
      </c>
      <c r="BV29" s="104" t="str">
        <f t="shared" si="13"/>
        <v>Petr Brautferger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TAT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502</v>
      </c>
      <c r="AH30" s="122"/>
      <c r="AI30" s="123"/>
      <c r="AJ30" s="123"/>
      <c r="AK30" s="123"/>
      <c r="AL30" s="124">
        <f>IF(AG30&lt;&gt;"",AJ30+AK30,"")</f>
        <v>0</v>
      </c>
      <c r="AM30" s="123" t="s">
        <v>319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1117</v>
      </c>
      <c r="BU30" s="103">
        <v>0</v>
      </c>
      <c r="BV30" s="104" t="str">
        <f t="shared" si="13"/>
        <v>Adam Tlapák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365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511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6"/>
      <c r="BT31" s="104" t="s">
        <v>935</v>
      </c>
      <c r="BU31" s="103">
        <v>0</v>
      </c>
      <c r="BV31" s="104" t="str">
        <f t="shared" si="13"/>
        <v>Bohumil Piskáček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479</v>
      </c>
      <c r="T45" s="102">
        <v>3</v>
      </c>
      <c r="U45" s="112">
        <v>180</v>
      </c>
      <c r="V45" s="102">
        <v>3</v>
      </c>
      <c r="W45" s="102">
        <v>10</v>
      </c>
      <c r="X45" s="102">
        <v>0</v>
      </c>
      <c r="Y45" s="102">
        <v>51</v>
      </c>
      <c r="Z45" s="102">
        <v>0</v>
      </c>
      <c r="AA45" s="102">
        <v>0</v>
      </c>
      <c r="AB45" s="102">
        <v>41</v>
      </c>
      <c r="AC45" s="102">
        <v>0</v>
      </c>
      <c r="AD45" s="102">
        <v>0</v>
      </c>
      <c r="AE45" s="112">
        <f>IF(S45&lt;&gt;"",IF(T45&gt;0,W45/(U45/60),0),"")</f>
        <v>3.3333333333333335</v>
      </c>
      <c r="AF45" s="112">
        <f>IF(S45&lt;&gt;"",IF(Y45&gt;0,(AB45/Y45)*100,"-"),"")</f>
        <v>80.392156862745097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483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3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286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206</v>
      </c>
      <c r="BT1" s="109" t="s">
        <v>129</v>
      </c>
      <c r="BU1" s="99" t="s">
        <v>207</v>
      </c>
      <c r="BV1" s="109" t="s">
        <v>208</v>
      </c>
      <c r="BW1" s="99" t="s">
        <v>209</v>
      </c>
      <c r="BX1" s="99" t="s">
        <v>216</v>
      </c>
      <c r="BY1" s="99" t="s">
        <v>51</v>
      </c>
      <c r="BZ1" s="99" t="s">
        <v>217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354</v>
      </c>
      <c r="T2" s="102" t="s">
        <v>121</v>
      </c>
      <c r="U2" s="102">
        <v>3</v>
      </c>
      <c r="V2" s="102">
        <v>6</v>
      </c>
      <c r="W2" s="102">
        <v>1</v>
      </c>
      <c r="X2" s="102">
        <v>0</v>
      </c>
      <c r="Y2" s="102">
        <v>4</v>
      </c>
      <c r="Z2" s="102">
        <v>10</v>
      </c>
      <c r="AA2" s="102">
        <v>0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371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384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2 (2+0),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130 OZ, 93 (40+53)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400</v>
      </c>
      <c r="BO2" s="122">
        <v>31830</v>
      </c>
      <c r="BP2" s="131" t="s">
        <v>264</v>
      </c>
      <c r="BQ2" s="132" t="s">
        <v>401</v>
      </c>
      <c r="BR2" s="127">
        <f ca="1">IF(BN2&lt;&gt;"",IF(BO2&lt;&gt;"",INT((TODAY()-BO2)/365),"?"),"")</f>
        <v>34</v>
      </c>
      <c r="BS2" s="376" t="s">
        <v>36</v>
      </c>
      <c r="BT2" s="104" t="s">
        <v>407</v>
      </c>
      <c r="BU2" s="103">
        <v>10</v>
      </c>
      <c r="BV2" s="104" t="str">
        <f>IFERROR(RIGHT(BT2,LEN(BT2)-SEARCH(" ",BT2)),"")</f>
        <v>Adam Delong</v>
      </c>
      <c r="BW2" s="102">
        <f>IF(BT2&lt;&gt;0,_xlfn.NUMBERVALUE(BU2,","),"")</f>
        <v>10</v>
      </c>
      <c r="BX2" s="375" t="s">
        <v>219</v>
      </c>
      <c r="BY2" s="103" t="s">
        <v>966</v>
      </c>
      <c r="BZ2" s="103" t="s">
        <v>102</v>
      </c>
      <c r="CA2" s="115" t="s">
        <v>1119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358</v>
      </c>
      <c r="T3" s="102" t="s">
        <v>121</v>
      </c>
      <c r="U3" s="102">
        <v>3</v>
      </c>
      <c r="V3" s="102">
        <v>3</v>
      </c>
      <c r="W3" s="102">
        <v>0</v>
      </c>
      <c r="X3" s="102">
        <v>0</v>
      </c>
      <c r="Y3" s="102">
        <v>4</v>
      </c>
      <c r="Z3" s="102">
        <v>7</v>
      </c>
      <c r="AA3" s="102">
        <v>0</v>
      </c>
      <c r="AB3" s="102">
        <v>3</v>
      </c>
      <c r="AC3" s="102" t="str">
        <f t="shared" ca="1" si="0"/>
        <v>ANO</v>
      </c>
      <c r="AG3" s="121" t="s">
        <v>361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385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3 OZ, 3 (2+1), +4 ±</v>
      </c>
      <c r="AY3" s="129" t="str">
        <f t="shared" ca="1" si="2"/>
        <v>173 OZ, 158 (124+34)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402</v>
      </c>
      <c r="BO3" s="122">
        <v>33988</v>
      </c>
      <c r="BP3" s="131" t="s">
        <v>265</v>
      </c>
      <c r="BQ3" s="132"/>
      <c r="BR3" s="127">
        <f t="shared" ref="BR3:BR11" ca="1" si="12">IF(BN3&lt;&gt;"",IF(BO3&lt;&gt;"",INT((TODAY()-BO3)/365),"?"),"")</f>
        <v>28</v>
      </c>
      <c r="BS3" s="376"/>
      <c r="BT3" s="104" t="s">
        <v>939</v>
      </c>
      <c r="BU3" s="103">
        <v>7</v>
      </c>
      <c r="BV3" s="104" t="str">
        <f t="shared" ref="BV3:BV31" si="13">IFERROR(RIGHT(BT3,LEN(BT3)-SEARCH(" ",BT3)),"")</f>
        <v>Marek Matejčík</v>
      </c>
      <c r="BW3" s="102">
        <f t="shared" ref="BW3:BW31" si="14">IF(BT3&lt;&gt;0,_xlfn.NUMBERVALUE(BU3,","),"")</f>
        <v>7</v>
      </c>
      <c r="BX3" s="375"/>
      <c r="BY3" s="103" t="s">
        <v>211</v>
      </c>
      <c r="BZ3" s="103" t="s">
        <v>98</v>
      </c>
      <c r="CA3" s="115" t="s">
        <v>937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355</v>
      </c>
      <c r="T4" s="102" t="s">
        <v>121</v>
      </c>
      <c r="U4" s="102">
        <v>3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2</v>
      </c>
      <c r="AB4" s="102">
        <v>2</v>
      </c>
      <c r="AC4" s="102" t="str">
        <f t="shared" ca="1" si="0"/>
        <v>ANO</v>
      </c>
      <c r="AG4" s="121" t="s">
        <v>356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3 OZ, 2 (2+0), +4 ±</v>
      </c>
      <c r="AY4" s="129" t="str">
        <f t="shared" ca="1" si="2"/>
        <v>67 OZ, 42 (20+22)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403</v>
      </c>
      <c r="BO4" s="122">
        <v>35289</v>
      </c>
      <c r="BP4" s="131" t="s">
        <v>404</v>
      </c>
      <c r="BQ4" s="132"/>
      <c r="BR4" s="127">
        <f t="shared" ca="1" si="12"/>
        <v>25</v>
      </c>
      <c r="BS4" s="376"/>
      <c r="BT4" s="104" t="s">
        <v>1121</v>
      </c>
      <c r="BU4" s="103">
        <v>6</v>
      </c>
      <c r="BV4" s="104" t="str">
        <f t="shared" si="13"/>
        <v>Rostislav Gattnar</v>
      </c>
      <c r="BW4" s="102">
        <f t="shared" si="14"/>
        <v>6</v>
      </c>
      <c r="BX4" s="375"/>
      <c r="BY4" s="103" t="s">
        <v>210</v>
      </c>
      <c r="BZ4" s="103" t="s">
        <v>104</v>
      </c>
      <c r="CA4" s="115" t="s">
        <v>117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357</v>
      </c>
      <c r="T5" s="102" t="s">
        <v>121</v>
      </c>
      <c r="U5" s="102">
        <v>3</v>
      </c>
      <c r="V5" s="102">
        <v>2</v>
      </c>
      <c r="W5" s="102">
        <v>0</v>
      </c>
      <c r="X5" s="102">
        <v>0</v>
      </c>
      <c r="Y5" s="102">
        <v>4</v>
      </c>
      <c r="Z5" s="102">
        <v>6</v>
      </c>
      <c r="AA5" s="102">
        <v>0</v>
      </c>
      <c r="AB5" s="102">
        <v>2</v>
      </c>
      <c r="AC5" s="102" t="str">
        <f t="shared" ca="1" si="0"/>
        <v>ANO</v>
      </c>
      <c r="AG5" s="121" t="s">
        <v>354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386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3 OZ, 10 (6+4), +2 ±</v>
      </c>
      <c r="AY5" s="129" t="str">
        <f t="shared" ca="1" si="2"/>
        <v>144 OZ, 229 (128+101)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405</v>
      </c>
      <c r="BO5" s="122">
        <v>24331</v>
      </c>
      <c r="BP5" s="131" t="s">
        <v>404</v>
      </c>
      <c r="BQ5" s="132"/>
      <c r="BR5" s="127">
        <f t="shared" ca="1" si="12"/>
        <v>55</v>
      </c>
      <c r="BS5" s="376"/>
      <c r="BT5" s="104" t="s">
        <v>408</v>
      </c>
      <c r="BU5" s="103">
        <v>6</v>
      </c>
      <c r="BV5" s="104" t="str">
        <f t="shared" si="13"/>
        <v>Matyáš Šindler</v>
      </c>
      <c r="BW5" s="102">
        <f t="shared" si="14"/>
        <v>6</v>
      </c>
      <c r="BX5" s="375"/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361</v>
      </c>
      <c r="T6" s="102" t="s">
        <v>121</v>
      </c>
      <c r="U6" s="102">
        <v>3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2</v>
      </c>
      <c r="AB6" s="102">
        <v>4</v>
      </c>
      <c r="AC6" s="102" t="str">
        <f t="shared" ca="1" si="0"/>
        <v>ANO</v>
      </c>
      <c r="AG6" s="121" t="s">
        <v>355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385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3 OZ, 6 (3+3), +2 ±</v>
      </c>
      <c r="AY6" s="129" t="str">
        <f t="shared" ca="1" si="2"/>
        <v>74 OZ, 79 (48+31)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406</v>
      </c>
      <c r="BO6" s="122">
        <v>31439</v>
      </c>
      <c r="BP6" s="131" t="s">
        <v>194</v>
      </c>
      <c r="BQ6" s="132"/>
      <c r="BR6" s="127">
        <f t="shared" ca="1" si="12"/>
        <v>35</v>
      </c>
      <c r="BS6" s="376"/>
      <c r="BT6" s="104" t="s">
        <v>412</v>
      </c>
      <c r="BU6" s="103">
        <v>3</v>
      </c>
      <c r="BV6" s="104" t="str">
        <f t="shared" si="13"/>
        <v>Marek Bräuer</v>
      </c>
      <c r="BW6" s="102">
        <f t="shared" si="14"/>
        <v>3</v>
      </c>
      <c r="BX6" s="375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359</v>
      </c>
      <c r="T7" s="102" t="s">
        <v>121</v>
      </c>
      <c r="U7" s="102">
        <v>3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0</v>
      </c>
      <c r="AB7" s="102">
        <v>0</v>
      </c>
      <c r="AC7" s="102" t="str">
        <f t="shared" ca="1" si="0"/>
        <v>NE</v>
      </c>
      <c r="AG7" s="121" t="s">
        <v>373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387</v>
      </c>
      <c r="AT7" s="123">
        <v>2004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410</v>
      </c>
      <c r="BU7" s="103" t="s">
        <v>1122</v>
      </c>
      <c r="BV7" s="104" t="str">
        <f t="shared" si="13"/>
        <v>Denis Jasiok</v>
      </c>
      <c r="BW7" s="112">
        <f t="shared" si="14"/>
        <v>4.42</v>
      </c>
      <c r="BX7" s="375" t="s">
        <v>220</v>
      </c>
      <c r="BY7" s="103" t="s">
        <v>278</v>
      </c>
      <c r="BZ7" s="103" t="s">
        <v>103</v>
      </c>
      <c r="CA7" s="115" t="s">
        <v>212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96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371</v>
      </c>
      <c r="T8" s="102" t="s">
        <v>121</v>
      </c>
      <c r="U8" s="102">
        <v>3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2</v>
      </c>
      <c r="AC8" s="102" t="str">
        <f t="shared" ca="1" si="0"/>
        <v>ANO</v>
      </c>
      <c r="AG8" s="121" t="s">
        <v>364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388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3 OZ, 1 (0+1), +1 ±</v>
      </c>
      <c r="AY8" s="129" t="str">
        <f t="shared" ca="1" si="2"/>
        <v>54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1123</v>
      </c>
      <c r="BU8" s="103" t="s">
        <v>203</v>
      </c>
      <c r="BV8" s="104" t="str">
        <f t="shared" si="13"/>
        <v>Michal Bartoň</v>
      </c>
      <c r="BW8" s="112">
        <f t="shared" si="14"/>
        <v>0</v>
      </c>
      <c r="BX8" s="375"/>
      <c r="BY8" s="103" t="s">
        <v>214</v>
      </c>
      <c r="BZ8" s="103" t="s">
        <v>100</v>
      </c>
      <c r="CA8" s="115" t="s">
        <v>212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356</v>
      </c>
      <c r="T9" s="102" t="s">
        <v>121</v>
      </c>
      <c r="U9" s="102">
        <v>3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4</v>
      </c>
      <c r="AC9" s="102" t="str">
        <f t="shared" ca="1" si="0"/>
        <v>ANO</v>
      </c>
      <c r="AG9" s="121" t="s">
        <v>362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385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2 OZ, 2 (1+1), +1 ±</v>
      </c>
      <c r="AY9" s="129" t="str">
        <f t="shared" ca="1" si="2"/>
        <v>192 OZ, 163 (78+85)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1124</v>
      </c>
      <c r="BU9" s="103" t="s">
        <v>203</v>
      </c>
      <c r="BV9" s="104" t="str">
        <f t="shared" si="13"/>
        <v>Petr Maláč</v>
      </c>
      <c r="BW9" s="112">
        <f t="shared" si="14"/>
        <v>0</v>
      </c>
      <c r="BX9" s="375"/>
      <c r="BY9" s="103" t="s">
        <v>215</v>
      </c>
      <c r="BZ9" s="103" t="s">
        <v>97</v>
      </c>
      <c r="CA9" s="115" t="s">
        <v>212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362</v>
      </c>
      <c r="T10" s="102" t="s">
        <v>64</v>
      </c>
      <c r="U10" s="102">
        <v>2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374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324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1050</v>
      </c>
      <c r="BZ10" s="103" t="s">
        <v>23</v>
      </c>
      <c r="CA10" s="115" t="s">
        <v>212</v>
      </c>
    </row>
    <row r="11" spans="1:79" ht="15" customHeight="1" thickTop="1" thickBot="1" x14ac:dyDescent="0.25">
      <c r="R11" s="13"/>
      <c r="S11" s="110" t="s">
        <v>363</v>
      </c>
      <c r="T11" s="102" t="s">
        <v>121</v>
      </c>
      <c r="U11" s="102">
        <v>3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375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389</v>
      </c>
      <c r="AT11" s="123"/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958</v>
      </c>
      <c r="BZ11" s="103" t="s">
        <v>101</v>
      </c>
      <c r="CA11" s="115" t="s">
        <v>212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360</v>
      </c>
      <c r="U12" s="102">
        <v>3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</v>
      </c>
      <c r="AB12" s="102">
        <v>-1</v>
      </c>
      <c r="AC12" s="102" t="str">
        <f t="shared" ca="1" si="0"/>
        <v>NE</v>
      </c>
      <c r="AG12" s="121" t="s">
        <v>368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390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2 V, 1 P</v>
      </c>
      <c r="AY12" s="129" t="str">
        <f t="shared" ca="1" si="2"/>
        <v>9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407</v>
      </c>
      <c r="BU12" s="103">
        <v>6</v>
      </c>
      <c r="BV12" s="104" t="str">
        <f t="shared" si="13"/>
        <v>Adam Delong</v>
      </c>
      <c r="BW12" s="102">
        <f t="shared" si="14"/>
        <v>6</v>
      </c>
      <c r="BX12" s="120" t="s">
        <v>218</v>
      </c>
      <c r="BY12" s="100" t="s">
        <v>1120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372</v>
      </c>
      <c r="T13" s="102" t="s">
        <v>64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376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391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939</v>
      </c>
      <c r="BU13" s="103">
        <v>3</v>
      </c>
      <c r="BV13" s="104" t="str">
        <f t="shared" si="13"/>
        <v>Marek Matejčík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364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1</v>
      </c>
      <c r="AC14" s="102" t="str">
        <f t="shared" ca="1" si="0"/>
        <v>ANO</v>
      </c>
      <c r="AG14" s="121" t="s">
        <v>372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392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3 OZ, 1 (0+1), +1 ±</v>
      </c>
      <c r="AY14" s="129" t="str">
        <f t="shared" ca="1" si="2"/>
        <v>22 OZ, 5 (3+2)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1121</v>
      </c>
      <c r="BU14" s="103">
        <v>3</v>
      </c>
      <c r="BV14" s="104" t="str">
        <f t="shared" si="13"/>
        <v>Rostislav Gattnar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1118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377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393</v>
      </c>
      <c r="AT15" s="123">
        <v>2011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1125</v>
      </c>
      <c r="BU15" s="103">
        <v>2</v>
      </c>
      <c r="BV15" s="104" t="str">
        <f t="shared" si="13"/>
        <v>Filip Čonka-Skyba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366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378</v>
      </c>
      <c r="AH16" s="122"/>
      <c r="AI16" s="123"/>
      <c r="AJ16" s="123"/>
      <c r="AK16" s="123"/>
      <c r="AL16" s="124">
        <f>IF(AG16&lt;&gt;"",AJ16+AK16,"")</f>
        <v>0</v>
      </c>
      <c r="AM16" s="123" t="s">
        <v>319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1126</v>
      </c>
      <c r="BU16" s="103">
        <v>2</v>
      </c>
      <c r="BV16" s="104" t="str">
        <f t="shared" si="13"/>
        <v>Jiří Besta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370</v>
      </c>
      <c r="T17" s="102" t="s">
        <v>121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369</v>
      </c>
      <c r="AH17" s="122"/>
      <c r="AI17" s="123"/>
      <c r="AJ17" s="123"/>
      <c r="AK17" s="123"/>
      <c r="AL17" s="124">
        <f>IF(AG17&lt;&gt;"",AJ17+AK17,"")</f>
        <v>0</v>
      </c>
      <c r="AM17" s="123" t="s">
        <v>319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410</v>
      </c>
      <c r="BU17" s="103">
        <v>2</v>
      </c>
      <c r="BV17" s="104" t="str">
        <f t="shared" si="13"/>
        <v>Denis Jasiok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936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-2</v>
      </c>
      <c r="AC18" s="102" t="str">
        <f t="shared" ca="1" si="0"/>
        <v>NE</v>
      </c>
      <c r="AG18" s="121" t="s">
        <v>358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385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3 OZ, 7 (3+4), +3 ±</v>
      </c>
      <c r="AY18" s="129" t="str">
        <f t="shared" ca="1" si="2"/>
        <v>208 OZ, 238 (125+113)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1123</v>
      </c>
      <c r="BU18" s="103">
        <v>0</v>
      </c>
      <c r="BV18" s="104" t="str">
        <f t="shared" si="13"/>
        <v>Michal Bartoň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VIT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369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379</v>
      </c>
      <c r="AH19" s="122"/>
      <c r="AI19" s="123"/>
      <c r="AJ19" s="123"/>
      <c r="AK19" s="123"/>
      <c r="AL19" s="124">
        <f>IF(AG19&lt;&gt;"",AJ19+AK19,"")</f>
        <v>0</v>
      </c>
      <c r="AM19" s="123" t="s">
        <v>319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1124</v>
      </c>
      <c r="BU19" s="103">
        <v>0</v>
      </c>
      <c r="BV19" s="104" t="str">
        <f t="shared" si="13"/>
        <v>Petr Maláč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367</v>
      </c>
      <c r="T20" s="102" t="s">
        <v>64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 t="s">
        <v>367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394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+2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363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395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3 OZ, 2 (0+2), +2 ±</v>
      </c>
      <c r="AY21" s="129" t="str">
        <f t="shared" ca="1" si="2"/>
        <v>45 OZ, 34 (19+15)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365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NE</v>
      </c>
      <c r="AG22" s="121" t="s">
        <v>380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385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407</v>
      </c>
      <c r="BU22" s="103">
        <v>4</v>
      </c>
      <c r="BV22" s="104" t="str">
        <f t="shared" si="13"/>
        <v>Adam Delong</v>
      </c>
      <c r="BW22" s="102">
        <f t="shared" si="14"/>
        <v>4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381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396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0 OZ, 0 (0+0)</v>
      </c>
      <c r="AY23" s="129" t="str">
        <f t="shared" ca="1" si="2"/>
        <v>145 OZ, 8 (0+8)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939</v>
      </c>
      <c r="BU23" s="103">
        <v>4</v>
      </c>
      <c r="BV23" s="104" t="str">
        <f t="shared" si="13"/>
        <v>Marek Matejčík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382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397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938</v>
      </c>
      <c r="BU24" s="103">
        <v>4</v>
      </c>
      <c r="BV24" s="104" t="str">
        <f t="shared" si="13"/>
        <v>Matyáš Šindler</v>
      </c>
      <c r="BW24" s="102">
        <f t="shared" si="14"/>
        <v>4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370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387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1127</v>
      </c>
      <c r="BU25" s="103">
        <v>3</v>
      </c>
      <c r="BV25" s="104" t="str">
        <f t="shared" si="13"/>
        <v>Rostislav Gattnar</v>
      </c>
      <c r="BW25" s="102">
        <f t="shared" si="14"/>
        <v>3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357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398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3 OZ, 6 (2+4), +2 ±</v>
      </c>
      <c r="AY26" s="129" t="str">
        <f t="shared" ca="1" si="16"/>
        <v>87 OZ, 127 (38+89)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409</v>
      </c>
      <c r="BU26" s="103">
        <v>2</v>
      </c>
      <c r="BV26" s="104" t="str">
        <f t="shared" si="13"/>
        <v>Adam Zubek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366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324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1 OZ, 0 (0+0), 0 ±</v>
      </c>
      <c r="AY27" s="129" t="str">
        <f t="shared" ca="1" si="16"/>
        <v>180 OZ, 118 (36+82)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940</v>
      </c>
      <c r="BU27" s="103">
        <v>2</v>
      </c>
      <c r="BV27" s="104" t="str">
        <f t="shared" si="13"/>
        <v>Marek Bräuer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383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399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941</v>
      </c>
      <c r="BU28" s="103">
        <v>2</v>
      </c>
      <c r="BV28" s="104" t="str">
        <f t="shared" si="13"/>
        <v>Martin Gattnar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1121</v>
      </c>
      <c r="BU29" s="103">
        <v>2</v>
      </c>
      <c r="BV29" s="104" t="str">
        <f t="shared" si="13"/>
        <v>Rostislav Gattnar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VIT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1128</v>
      </c>
      <c r="BU30" s="103">
        <v>0</v>
      </c>
      <c r="BV30" s="104" t="str">
        <f t="shared" si="13"/>
        <v>Adam Delong</v>
      </c>
      <c r="BW30" s="102">
        <f t="shared" si="14"/>
        <v>0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1129</v>
      </c>
      <c r="BU31" s="103">
        <v>0</v>
      </c>
      <c r="BV31" s="104" t="str">
        <f t="shared" si="13"/>
        <v>Adam Palčinský</v>
      </c>
      <c r="BW31" s="102">
        <f t="shared" si="14"/>
        <v>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368</v>
      </c>
      <c r="T45" s="102">
        <v>3</v>
      </c>
      <c r="U45" s="112">
        <v>176.5</v>
      </c>
      <c r="V45" s="102">
        <v>2</v>
      </c>
      <c r="W45" s="102">
        <v>13</v>
      </c>
      <c r="X45" s="102">
        <v>0</v>
      </c>
      <c r="Y45" s="102">
        <v>59</v>
      </c>
      <c r="Z45" s="102">
        <v>0</v>
      </c>
      <c r="AA45" s="102">
        <v>1</v>
      </c>
      <c r="AB45" s="102">
        <v>46</v>
      </c>
      <c r="AC45" s="102">
        <v>0</v>
      </c>
      <c r="AD45" s="102">
        <v>0</v>
      </c>
      <c r="AE45" s="112">
        <f>IF(S45&lt;&gt;"",IF(T45&gt;0,W45/(U45/60),0),"")</f>
        <v>4.4192634560906514</v>
      </c>
      <c r="AF45" s="112">
        <f>IF(S45&lt;&gt;"",IF(Y45&gt;0,(AB45/Y45)*100,"-"),"")</f>
        <v>77.966101694915253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1118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369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2021-09-19T21:02:04Z</cp:lastPrinted>
  <dcterms:created xsi:type="dcterms:W3CDTF">2021-09-13T20:56:50Z</dcterms:created>
  <dcterms:modified xsi:type="dcterms:W3CDTF">2021-09-23T21:00:51Z</dcterms:modified>
</cp:coreProperties>
</file>